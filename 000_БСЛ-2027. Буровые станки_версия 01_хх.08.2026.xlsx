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omments1.xml" ContentType="application/vnd.openxmlformats-officedocument.spreadsheetml.comments+xml"/>
  <Override PartName="/xl/customProperty9.bin" ContentType="application/vnd.openxmlformats-officedocument.spreadsheetml.customProperty"/>
  <Override PartName="/xl/comments2.xml" ContentType="application/vnd.openxmlformats-officedocument.spreadsheetml.comments+xml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fileSharing userName="Ибрагимова Алена Мухамедовна" algorithmName="SHA-512" hashValue="KDrN3/NHgQCOJIS3WhuoGYK0Sk9D8LVy/R3nRTOi/EZ/eTt7/Jv0EnWb4RpeX5SiLOSeM2Irq3K5UIlwwXaWyA==" saltValue="MhGw75yNS9uThth9GF2/5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К Полюс\Дирекция по производству\Балансировки ГТО\Тендеры_Расчеты\Сухой Лог-2027_Тендер_Буровые станки\"/>
    </mc:Choice>
  </mc:AlternateContent>
  <xr:revisionPtr revIDLastSave="0" documentId="13_ncr:10001_{D5BF4266-59C9-416A-B1FD-4A03F9348005}" xr6:coauthVersionLast="47" xr6:coauthVersionMax="47" xr10:uidLastSave="{00000000-0000-0000-0000-000000000000}"/>
  <bookViews>
    <workbookView xWindow="-109" yWindow="-109" windowWidth="34995" windowHeight="19196" tabRatio="819" xr2:uid="{8215CF70-52DB-47F7-A0D2-6981BF8E862F}"/>
  </bookViews>
  <sheets>
    <sheet name="Свод_250-270_диз" sheetId="1" r:id="rId1"/>
    <sheet name="ТСО_250-270_диз" sheetId="2" r:id="rId2"/>
    <sheet name="Свод_250-270_эл" sheetId="12" r:id="rId3"/>
    <sheet name="ТСО_250-270_эл" sheetId="11" r:id="rId4"/>
    <sheet name="Свод_215_диз" sheetId="13" r:id="rId5"/>
    <sheet name="ТСО_215_диз" sheetId="14" r:id="rId6"/>
    <sheet name="Производительность" sheetId="8" r:id="rId7"/>
    <sheet name="Простои" sheetId="5" r:id="rId8"/>
    <sheet name="W час" sheetId="7" r:id="rId9"/>
    <sheet name="топл-энерг" sheetId="10" r:id="rId10"/>
    <sheet name="факт СЛ" sheetId="17" r:id="rId11"/>
    <sheet name="ФОТ, МТР, макро" sheetId="6" r:id="rId12"/>
    <sheet name="HIFO 75D" sheetId="18" r:id="rId13"/>
    <sheet name="HIFO 75D ТО" sheetId="19" r:id="rId14"/>
    <sheet name="HIFO 75D Рем" sheetId="20" r:id="rId15"/>
    <sheet name="SWDRT270SM" sheetId="21" r:id="rId16"/>
    <sheet name="SWDRT270SM ТО" sheetId="22" r:id="rId17"/>
    <sheet name="SWDRT270SM Рем" sheetId="23" r:id="rId18"/>
    <sheet name="SWDRT250SM" sheetId="24" r:id="rId19"/>
    <sheet name="SWDRT250SM ТО" sheetId="25" r:id="rId20"/>
    <sheet name="SWDRT250SM Рем" sheetId="26" r:id="rId21"/>
    <sheet name="DR-75" sheetId="30" r:id="rId22"/>
    <sheet name="DR-75 ТО" sheetId="31" r:id="rId23"/>
    <sheet name="DR-75 Рем" sheetId="32" r:id="rId24"/>
    <sheet name="SWDRT270B" sheetId="33" r:id="rId25"/>
    <sheet name="SWDRT270B ТО" sheetId="34" r:id="rId26"/>
    <sheet name="SWDRT270B Рем" sheetId="35" r:id="rId27"/>
    <sheet name="БС-215" sheetId="27" r:id="rId28"/>
    <sheet name="БС-215 ТО" sheetId="28" r:id="rId29"/>
    <sheet name="БС-215 Рем" sheetId="29" r:id="rId30"/>
  </sheets>
  <externalReferences>
    <externalReference r:id="rId31"/>
    <externalReference r:id="rId32"/>
  </externalReferences>
  <definedNames>
    <definedName name="_A" localSheetId="21" hidden="1">#REF!</definedName>
    <definedName name="_A" localSheetId="22" hidden="1">#REF!</definedName>
    <definedName name="_A" localSheetId="12" hidden="1">#REF!</definedName>
    <definedName name="_A" localSheetId="13" hidden="1">#REF!</definedName>
    <definedName name="_A" localSheetId="18" hidden="1">#REF!</definedName>
    <definedName name="_A" localSheetId="19" hidden="1">#REF!</definedName>
    <definedName name="_A" localSheetId="24" hidden="1">#REF!</definedName>
    <definedName name="_A" localSheetId="25" hidden="1">#REF!</definedName>
    <definedName name="_A" localSheetId="15" hidden="1">#REF!</definedName>
    <definedName name="_A" localSheetId="16" hidden="1">#REF!</definedName>
    <definedName name="_A" localSheetId="27" hidden="1">#REF!</definedName>
    <definedName name="_A" localSheetId="28" hidden="1">#REF!</definedName>
    <definedName name="_A" hidden="1">#REF!</definedName>
    <definedName name="_Fill" localSheetId="21" hidden="1">#REF!</definedName>
    <definedName name="_Fill" localSheetId="22" hidden="1">#REF!</definedName>
    <definedName name="_Fill" localSheetId="12" hidden="1">#REF!</definedName>
    <definedName name="_Fill" localSheetId="13" hidden="1">#REF!</definedName>
    <definedName name="_Fill" localSheetId="18" hidden="1">#REF!</definedName>
    <definedName name="_Fill" localSheetId="19" hidden="1">#REF!</definedName>
    <definedName name="_Fill" localSheetId="24" hidden="1">#REF!</definedName>
    <definedName name="_Fill" localSheetId="25" hidden="1">#REF!</definedName>
    <definedName name="_Fill" localSheetId="15" hidden="1">#REF!</definedName>
    <definedName name="_Fill" localSheetId="16" hidden="1">#REF!</definedName>
    <definedName name="_Fill" localSheetId="27" hidden="1">#REF!</definedName>
    <definedName name="_Fill" localSheetId="28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22" hidden="1">#REF!</definedName>
    <definedName name="_Sort" localSheetId="13" hidden="1">#REF!</definedName>
    <definedName name="_Sort" localSheetId="19" hidden="1">#REF!</definedName>
    <definedName name="_Sort" localSheetId="25" hidden="1">#REF!</definedName>
    <definedName name="_Sort" localSheetId="16" hidden="1">#REF!</definedName>
    <definedName name="_Sort" localSheetId="28" hidden="1">#REF!</definedName>
    <definedName name="_Sort" hidden="1">#REF!</definedName>
    <definedName name="_xlnm._FilterDatabase" localSheetId="6" hidden="1">Производительность!$A$3:$AB$3</definedName>
    <definedName name="_xlnm._FilterDatabase" localSheetId="5" hidden="1">ТСО_215_диз!$A$1:$AC$114</definedName>
    <definedName name="_xlnm._FilterDatabase" localSheetId="1" hidden="1">'ТСО_250-270_диз'!$A$1:$AC$114</definedName>
    <definedName name="_xlnm._FilterDatabase" localSheetId="3" hidden="1">'ТСО_250-270_эл'!$A$1:$AC$114</definedName>
    <definedName name="_xlnm._FilterDatabase" hidden="1">#REF!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21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8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4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15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7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22" hidden="1">#REF!,#REF!,#REF!,#REF!,#REF!</definedName>
    <definedName name="Z_0DD4EB58_0647_11D5_A6F7_00508B654A95_.wvu.Cols" localSheetId="13" hidden="1">#REF!,#REF!,#REF!,#REF!,#REF!</definedName>
    <definedName name="Z_0DD4EB58_0647_11D5_A6F7_00508B654A95_.wvu.Cols" localSheetId="19" hidden="1">#REF!,#REF!,#REF!,#REF!,#REF!</definedName>
    <definedName name="Z_0DD4EB58_0647_11D5_A6F7_00508B654A95_.wvu.Cols" localSheetId="25" hidden="1">#REF!,#REF!,#REF!,#REF!,#REF!</definedName>
    <definedName name="Z_0DD4EB58_0647_11D5_A6F7_00508B654A95_.wvu.Cols" localSheetId="16" hidden="1">#REF!,#REF!,#REF!,#REF!,#REF!</definedName>
    <definedName name="Z_0DD4EB58_0647_11D5_A6F7_00508B654A95_.wvu.Cols" localSheetId="28" hidden="1">#REF!,#REF!,#REF!,#REF!,#REF!</definedName>
    <definedName name="Z_0DD4EB58_0647_11D5_A6F7_00508B654A95_.wvu.Cols" hidden="1">#REF!,#REF!,#REF!,#REF!,#REF!</definedName>
    <definedName name="Z_10435A81_C305_11D5_A6F8_009027BEE0E0_.wvu.Cols" localSheetId="22" hidden="1">#REF!,#REF!,#REF!</definedName>
    <definedName name="Z_10435A81_C305_11D5_A6F8_009027BEE0E0_.wvu.Cols" localSheetId="13" hidden="1">#REF!,#REF!,#REF!</definedName>
    <definedName name="Z_10435A81_C305_11D5_A6F8_009027BEE0E0_.wvu.Cols" localSheetId="19" hidden="1">#REF!,#REF!,#REF!</definedName>
    <definedName name="Z_10435A81_C305_11D5_A6F8_009027BEE0E0_.wvu.Cols" localSheetId="25" hidden="1">#REF!,#REF!,#REF!</definedName>
    <definedName name="Z_10435A81_C305_11D5_A6F8_009027BEE0E0_.wvu.Cols" localSheetId="16" hidden="1">#REF!,#REF!,#REF!</definedName>
    <definedName name="Z_10435A81_C305_11D5_A6F8_009027BEE0E0_.wvu.Cols" localSheetId="28" hidden="1">#REF!,#REF!,#REF!</definedName>
    <definedName name="Z_10435A81_C305_11D5_A6F8_009027BEE0E0_.wvu.Cols" hidden="1">#REF!,#REF!,#REF!</definedName>
    <definedName name="Z_10435A81_C305_11D5_A6F8_009027BEE0E0_.wvu.FilterData" localSheetId="22" hidden="1">#REF!</definedName>
    <definedName name="Z_10435A81_C305_11D5_A6F8_009027BEE0E0_.wvu.FilterData" localSheetId="13" hidden="1">#REF!</definedName>
    <definedName name="Z_10435A81_C305_11D5_A6F8_009027BEE0E0_.wvu.FilterData" localSheetId="19" hidden="1">#REF!</definedName>
    <definedName name="Z_10435A81_C305_11D5_A6F8_009027BEE0E0_.wvu.FilterData" localSheetId="25" hidden="1">#REF!</definedName>
    <definedName name="Z_10435A81_C305_11D5_A6F8_009027BEE0E0_.wvu.FilterData" localSheetId="16" hidden="1">#REF!</definedName>
    <definedName name="Z_10435A81_C305_11D5_A6F8_009027BEE0E0_.wvu.FilterData" localSheetId="28" hidden="1">#REF!</definedName>
    <definedName name="Z_10435A81_C305_11D5_A6F8_009027BEE0E0_.wvu.FilterData" hidden="1">#REF!</definedName>
    <definedName name="Z_10435A81_C305_11D5_A6F8_009027BEE0E0_.wvu.PrintArea" localSheetId="22" hidden="1">#REF!</definedName>
    <definedName name="Z_10435A81_C305_11D5_A6F8_009027BEE0E0_.wvu.PrintArea" localSheetId="13" hidden="1">#REF!</definedName>
    <definedName name="Z_10435A81_C305_11D5_A6F8_009027BEE0E0_.wvu.PrintArea" localSheetId="19" hidden="1">#REF!</definedName>
    <definedName name="Z_10435A81_C305_11D5_A6F8_009027BEE0E0_.wvu.PrintArea" localSheetId="25" hidden="1">#REF!</definedName>
    <definedName name="Z_10435A81_C305_11D5_A6F8_009027BEE0E0_.wvu.PrintArea" localSheetId="16" hidden="1">#REF!</definedName>
    <definedName name="Z_10435A81_C305_11D5_A6F8_009027BEE0E0_.wvu.PrintArea" localSheetId="28" hidden="1">#REF!</definedName>
    <definedName name="Z_10435A81_C305_11D5_A6F8_009027BEE0E0_.wvu.PrintArea" hidden="1">#REF!</definedName>
    <definedName name="Z_10435A81_C305_11D5_A6F8_009027BEE0E0_.wvu.PrintTitles" localSheetId="22" hidden="1">#REF!</definedName>
    <definedName name="Z_10435A81_C305_11D5_A6F8_009027BEE0E0_.wvu.PrintTitles" localSheetId="13" hidden="1">#REF!</definedName>
    <definedName name="Z_10435A81_C305_11D5_A6F8_009027BEE0E0_.wvu.PrintTitles" localSheetId="19" hidden="1">#REF!</definedName>
    <definedName name="Z_10435A81_C305_11D5_A6F8_009027BEE0E0_.wvu.PrintTitles" localSheetId="25" hidden="1">#REF!</definedName>
    <definedName name="Z_10435A81_C305_11D5_A6F8_009027BEE0E0_.wvu.PrintTitles" localSheetId="16" hidden="1">#REF!</definedName>
    <definedName name="Z_10435A81_C305_11D5_A6F8_009027BEE0E0_.wvu.PrintTitles" localSheetId="28" hidden="1">#REF!</definedName>
    <definedName name="Z_10435A81_C305_11D5_A6F8_009027BEE0E0_.wvu.PrintTitles" hidden="1">#REF!</definedName>
    <definedName name="Z_10435A81_C305_11D5_A6F8_009027BEE0E0_.wvu.Rows" localSheetId="22" hidden="1">#REF!,#REF!</definedName>
    <definedName name="Z_10435A81_C305_11D5_A6F8_009027BEE0E0_.wvu.Rows" localSheetId="13" hidden="1">#REF!,#REF!</definedName>
    <definedName name="Z_10435A81_C305_11D5_A6F8_009027BEE0E0_.wvu.Rows" localSheetId="19" hidden="1">#REF!,#REF!</definedName>
    <definedName name="Z_10435A81_C305_11D5_A6F8_009027BEE0E0_.wvu.Rows" localSheetId="25" hidden="1">#REF!,#REF!</definedName>
    <definedName name="Z_10435A81_C305_11D5_A6F8_009027BEE0E0_.wvu.Rows" localSheetId="16" hidden="1">#REF!,#REF!</definedName>
    <definedName name="Z_10435A81_C305_11D5_A6F8_009027BEE0E0_.wvu.Rows" localSheetId="28" hidden="1">#REF!,#REF!</definedName>
    <definedName name="Z_10435A81_C305_11D5_A6F8_009027BEE0E0_.wvu.Rows" hidden="1">#REF!,#REF!</definedName>
    <definedName name="Z_2804E4BB_ED21_11D4_A6F8_00508B654B8B_.wvu.Cols" localSheetId="22" hidden="1">#REF!,#REF!,#REF!</definedName>
    <definedName name="Z_2804E4BB_ED21_11D4_A6F8_00508B654B8B_.wvu.Cols" localSheetId="13" hidden="1">#REF!,#REF!,#REF!</definedName>
    <definedName name="Z_2804E4BB_ED21_11D4_A6F8_00508B654B8B_.wvu.Cols" localSheetId="19" hidden="1">#REF!,#REF!,#REF!</definedName>
    <definedName name="Z_2804E4BB_ED21_11D4_A6F8_00508B654B8B_.wvu.Cols" localSheetId="25" hidden="1">#REF!,#REF!,#REF!</definedName>
    <definedName name="Z_2804E4BB_ED21_11D4_A6F8_00508B654B8B_.wvu.Cols" localSheetId="16" hidden="1">#REF!,#REF!,#REF!</definedName>
    <definedName name="Z_2804E4BB_ED21_11D4_A6F8_00508B654B8B_.wvu.Cols" localSheetId="28" hidden="1">#REF!,#REF!,#REF!</definedName>
    <definedName name="Z_2804E4BB_ED21_11D4_A6F8_00508B654B8B_.wvu.Cols" hidden="1">#REF!,#REF!,#REF!</definedName>
    <definedName name="Z_2804E4BB_ED21_11D4_A6F8_00508B654B8B_.wvu.FilterData" localSheetId="22" hidden="1">#REF!</definedName>
    <definedName name="Z_2804E4BB_ED21_11D4_A6F8_00508B654B8B_.wvu.FilterData" localSheetId="13" hidden="1">#REF!</definedName>
    <definedName name="Z_2804E4BB_ED21_11D4_A6F8_00508B654B8B_.wvu.FilterData" localSheetId="19" hidden="1">#REF!</definedName>
    <definedName name="Z_2804E4BB_ED21_11D4_A6F8_00508B654B8B_.wvu.FilterData" localSheetId="25" hidden="1">#REF!</definedName>
    <definedName name="Z_2804E4BB_ED21_11D4_A6F8_00508B654B8B_.wvu.FilterData" localSheetId="16" hidden="1">#REF!</definedName>
    <definedName name="Z_2804E4BB_ED21_11D4_A6F8_00508B654B8B_.wvu.FilterData" localSheetId="28" hidden="1">#REF!</definedName>
    <definedName name="Z_2804E4BB_ED21_11D4_A6F8_00508B654B8B_.wvu.FilterData" hidden="1">#REF!</definedName>
    <definedName name="Z_2804E4BB_ED21_11D4_A6F8_00508B654B8B_.wvu.PrintArea" localSheetId="22" hidden="1">#REF!</definedName>
    <definedName name="Z_2804E4BB_ED21_11D4_A6F8_00508B654B8B_.wvu.PrintArea" localSheetId="13" hidden="1">#REF!</definedName>
    <definedName name="Z_2804E4BB_ED21_11D4_A6F8_00508B654B8B_.wvu.PrintArea" localSheetId="19" hidden="1">#REF!</definedName>
    <definedName name="Z_2804E4BB_ED21_11D4_A6F8_00508B654B8B_.wvu.PrintArea" localSheetId="25" hidden="1">#REF!</definedName>
    <definedName name="Z_2804E4BB_ED21_11D4_A6F8_00508B654B8B_.wvu.PrintArea" localSheetId="16" hidden="1">#REF!</definedName>
    <definedName name="Z_2804E4BB_ED21_11D4_A6F8_00508B654B8B_.wvu.PrintArea" localSheetId="28" hidden="1">#REF!</definedName>
    <definedName name="Z_2804E4BB_ED21_11D4_A6F8_00508B654B8B_.wvu.PrintArea" hidden="1">#REF!</definedName>
    <definedName name="Z_2804E4BB_ED21_11D4_A6F8_00508B654B8B_.wvu.Rows" localSheetId="22" hidden="1">#REF!,#REF!</definedName>
    <definedName name="Z_2804E4BB_ED21_11D4_A6F8_00508B654B8B_.wvu.Rows" localSheetId="13" hidden="1">#REF!,#REF!</definedName>
    <definedName name="Z_2804E4BB_ED21_11D4_A6F8_00508B654B8B_.wvu.Rows" localSheetId="19" hidden="1">#REF!,#REF!</definedName>
    <definedName name="Z_2804E4BB_ED21_11D4_A6F8_00508B654B8B_.wvu.Rows" localSheetId="25" hidden="1">#REF!,#REF!</definedName>
    <definedName name="Z_2804E4BB_ED21_11D4_A6F8_00508B654B8B_.wvu.Rows" localSheetId="16" hidden="1">#REF!,#REF!</definedName>
    <definedName name="Z_2804E4BB_ED21_11D4_A6F8_00508B654B8B_.wvu.Rows" localSheetId="28" hidden="1">#REF!,#REF!</definedName>
    <definedName name="Z_2804E4BB_ED21_11D4_A6F8_00508B654B8B_.wvu.Rows" hidden="1">#REF!,#REF!</definedName>
    <definedName name="Z_5A868EA0_ED63_11D4_A6F8_009027BEE0E0_.wvu.Cols" localSheetId="22" hidden="1">#REF!,#REF!,#REF!</definedName>
    <definedName name="Z_5A868EA0_ED63_11D4_A6F8_009027BEE0E0_.wvu.Cols" localSheetId="13" hidden="1">#REF!,#REF!,#REF!</definedName>
    <definedName name="Z_5A868EA0_ED63_11D4_A6F8_009027BEE0E0_.wvu.Cols" localSheetId="19" hidden="1">#REF!,#REF!,#REF!</definedName>
    <definedName name="Z_5A868EA0_ED63_11D4_A6F8_009027BEE0E0_.wvu.Cols" localSheetId="25" hidden="1">#REF!,#REF!,#REF!</definedName>
    <definedName name="Z_5A868EA0_ED63_11D4_A6F8_009027BEE0E0_.wvu.Cols" localSheetId="16" hidden="1">#REF!,#REF!,#REF!</definedName>
    <definedName name="Z_5A868EA0_ED63_11D4_A6F8_009027BEE0E0_.wvu.Cols" localSheetId="28" hidden="1">#REF!,#REF!,#REF!</definedName>
    <definedName name="Z_5A868EA0_ED63_11D4_A6F8_009027BEE0E0_.wvu.Cols" hidden="1">#REF!,#REF!,#REF!</definedName>
    <definedName name="Z_5A868EA0_ED63_11D4_A6F8_009027BEE0E0_.wvu.FilterData" localSheetId="22" hidden="1">#REF!</definedName>
    <definedName name="Z_5A868EA0_ED63_11D4_A6F8_009027BEE0E0_.wvu.FilterData" localSheetId="13" hidden="1">#REF!</definedName>
    <definedName name="Z_5A868EA0_ED63_11D4_A6F8_009027BEE0E0_.wvu.FilterData" localSheetId="19" hidden="1">#REF!</definedName>
    <definedName name="Z_5A868EA0_ED63_11D4_A6F8_009027BEE0E0_.wvu.FilterData" localSheetId="25" hidden="1">#REF!</definedName>
    <definedName name="Z_5A868EA0_ED63_11D4_A6F8_009027BEE0E0_.wvu.FilterData" localSheetId="16" hidden="1">#REF!</definedName>
    <definedName name="Z_5A868EA0_ED63_11D4_A6F8_009027BEE0E0_.wvu.FilterData" localSheetId="28" hidden="1">#REF!</definedName>
    <definedName name="Z_5A868EA0_ED63_11D4_A6F8_009027BEE0E0_.wvu.FilterData" hidden="1">#REF!</definedName>
    <definedName name="Z_5A868EA0_ED63_11D4_A6F8_009027BEE0E0_.wvu.PrintArea" localSheetId="22" hidden="1">#REF!</definedName>
    <definedName name="Z_5A868EA0_ED63_11D4_A6F8_009027BEE0E0_.wvu.PrintArea" localSheetId="13" hidden="1">#REF!</definedName>
    <definedName name="Z_5A868EA0_ED63_11D4_A6F8_009027BEE0E0_.wvu.PrintArea" localSheetId="19" hidden="1">#REF!</definedName>
    <definedName name="Z_5A868EA0_ED63_11D4_A6F8_009027BEE0E0_.wvu.PrintArea" localSheetId="25" hidden="1">#REF!</definedName>
    <definedName name="Z_5A868EA0_ED63_11D4_A6F8_009027BEE0E0_.wvu.PrintArea" localSheetId="16" hidden="1">#REF!</definedName>
    <definedName name="Z_5A868EA0_ED63_11D4_A6F8_009027BEE0E0_.wvu.PrintArea" localSheetId="28" hidden="1">#REF!</definedName>
    <definedName name="Z_5A868EA0_ED63_11D4_A6F8_009027BEE0E0_.wvu.PrintArea" hidden="1">#REF!</definedName>
    <definedName name="Z_5A868EA0_ED63_11D4_A6F8_009027BEE0E0_.wvu.Rows" localSheetId="22" hidden="1">#REF!,#REF!</definedName>
    <definedName name="Z_5A868EA0_ED63_11D4_A6F8_009027BEE0E0_.wvu.Rows" localSheetId="13" hidden="1">#REF!,#REF!</definedName>
    <definedName name="Z_5A868EA0_ED63_11D4_A6F8_009027BEE0E0_.wvu.Rows" localSheetId="19" hidden="1">#REF!,#REF!</definedName>
    <definedName name="Z_5A868EA0_ED63_11D4_A6F8_009027BEE0E0_.wvu.Rows" localSheetId="25" hidden="1">#REF!,#REF!</definedName>
    <definedName name="Z_5A868EA0_ED63_11D4_A6F8_009027BEE0E0_.wvu.Rows" localSheetId="16" hidden="1">#REF!,#REF!</definedName>
    <definedName name="Z_5A868EA0_ED63_11D4_A6F8_009027BEE0E0_.wvu.Rows" localSheetId="28" hidden="1">#REF!,#REF!</definedName>
    <definedName name="Z_5A868EA0_ED63_11D4_A6F8_009027BEE0E0_.wvu.Rows" hidden="1">#REF!,#REF!</definedName>
    <definedName name="Z_6E40955B_C2F5_11D5_A6F7_009027BEE7F1_.wvu.Cols" localSheetId="22" hidden="1">#REF!,#REF!,#REF!</definedName>
    <definedName name="Z_6E40955B_C2F5_11D5_A6F7_009027BEE7F1_.wvu.Cols" localSheetId="13" hidden="1">#REF!,#REF!,#REF!</definedName>
    <definedName name="Z_6E40955B_C2F5_11D5_A6F7_009027BEE7F1_.wvu.Cols" localSheetId="19" hidden="1">#REF!,#REF!,#REF!</definedName>
    <definedName name="Z_6E40955B_C2F5_11D5_A6F7_009027BEE7F1_.wvu.Cols" localSheetId="25" hidden="1">#REF!,#REF!,#REF!</definedName>
    <definedName name="Z_6E40955B_C2F5_11D5_A6F7_009027BEE7F1_.wvu.Cols" localSheetId="16" hidden="1">#REF!,#REF!,#REF!</definedName>
    <definedName name="Z_6E40955B_C2F5_11D5_A6F7_009027BEE7F1_.wvu.Cols" localSheetId="28" hidden="1">#REF!,#REF!,#REF!</definedName>
    <definedName name="Z_6E40955B_C2F5_11D5_A6F7_009027BEE7F1_.wvu.Cols" hidden="1">#REF!,#REF!,#REF!</definedName>
    <definedName name="Z_6E40955B_C2F5_11D5_A6F7_009027BEE7F1_.wvu.FilterData" localSheetId="22" hidden="1">#REF!</definedName>
    <definedName name="Z_6E40955B_C2F5_11D5_A6F7_009027BEE7F1_.wvu.FilterData" localSheetId="13" hidden="1">#REF!</definedName>
    <definedName name="Z_6E40955B_C2F5_11D5_A6F7_009027BEE7F1_.wvu.FilterData" localSheetId="19" hidden="1">#REF!</definedName>
    <definedName name="Z_6E40955B_C2F5_11D5_A6F7_009027BEE7F1_.wvu.FilterData" localSheetId="25" hidden="1">#REF!</definedName>
    <definedName name="Z_6E40955B_C2F5_11D5_A6F7_009027BEE7F1_.wvu.FilterData" localSheetId="16" hidden="1">#REF!</definedName>
    <definedName name="Z_6E40955B_C2F5_11D5_A6F7_009027BEE7F1_.wvu.FilterData" localSheetId="28" hidden="1">#REF!</definedName>
    <definedName name="Z_6E40955B_C2F5_11D5_A6F7_009027BEE7F1_.wvu.FilterData" hidden="1">#REF!</definedName>
    <definedName name="Z_6E40955B_C2F5_11D5_A6F7_009027BEE7F1_.wvu.PrintArea" localSheetId="22" hidden="1">#REF!</definedName>
    <definedName name="Z_6E40955B_C2F5_11D5_A6F7_009027BEE7F1_.wvu.PrintArea" localSheetId="13" hidden="1">#REF!</definedName>
    <definedName name="Z_6E40955B_C2F5_11D5_A6F7_009027BEE7F1_.wvu.PrintArea" localSheetId="19" hidden="1">#REF!</definedName>
    <definedName name="Z_6E40955B_C2F5_11D5_A6F7_009027BEE7F1_.wvu.PrintArea" localSheetId="25" hidden="1">#REF!</definedName>
    <definedName name="Z_6E40955B_C2F5_11D5_A6F7_009027BEE7F1_.wvu.PrintArea" localSheetId="16" hidden="1">#REF!</definedName>
    <definedName name="Z_6E40955B_C2F5_11D5_A6F7_009027BEE7F1_.wvu.PrintArea" localSheetId="28" hidden="1">#REF!</definedName>
    <definedName name="Z_6E40955B_C2F5_11D5_A6F7_009027BEE7F1_.wvu.PrintArea" hidden="1">#REF!</definedName>
    <definedName name="Z_6E40955B_C2F5_11D5_A6F7_009027BEE7F1_.wvu.PrintTitles" localSheetId="22" hidden="1">#REF!</definedName>
    <definedName name="Z_6E40955B_C2F5_11D5_A6F7_009027BEE7F1_.wvu.PrintTitles" localSheetId="13" hidden="1">#REF!</definedName>
    <definedName name="Z_6E40955B_C2F5_11D5_A6F7_009027BEE7F1_.wvu.PrintTitles" localSheetId="19" hidden="1">#REF!</definedName>
    <definedName name="Z_6E40955B_C2F5_11D5_A6F7_009027BEE7F1_.wvu.PrintTitles" localSheetId="25" hidden="1">#REF!</definedName>
    <definedName name="Z_6E40955B_C2F5_11D5_A6F7_009027BEE7F1_.wvu.PrintTitles" localSheetId="16" hidden="1">#REF!</definedName>
    <definedName name="Z_6E40955B_C2F5_11D5_A6F7_009027BEE7F1_.wvu.PrintTitles" localSheetId="28" hidden="1">#REF!</definedName>
    <definedName name="Z_6E40955B_C2F5_11D5_A6F7_009027BEE7F1_.wvu.PrintTitles" hidden="1">#REF!</definedName>
    <definedName name="Z_6E40955B_C2F5_11D5_A6F7_009027BEE7F1_.wvu.Rows" localSheetId="22" hidden="1">#REF!,#REF!</definedName>
    <definedName name="Z_6E40955B_C2F5_11D5_A6F7_009027BEE7F1_.wvu.Rows" localSheetId="13" hidden="1">#REF!,#REF!</definedName>
    <definedName name="Z_6E40955B_C2F5_11D5_A6F7_009027BEE7F1_.wvu.Rows" localSheetId="19" hidden="1">#REF!,#REF!</definedName>
    <definedName name="Z_6E40955B_C2F5_11D5_A6F7_009027BEE7F1_.wvu.Rows" localSheetId="25" hidden="1">#REF!,#REF!</definedName>
    <definedName name="Z_6E40955B_C2F5_11D5_A6F7_009027BEE7F1_.wvu.Rows" localSheetId="16" hidden="1">#REF!,#REF!</definedName>
    <definedName name="Z_6E40955B_C2F5_11D5_A6F7_009027BEE7F1_.wvu.Rows" localSheetId="28" hidden="1">#REF!,#REF!</definedName>
    <definedName name="Z_6E40955B_C2F5_11D5_A6F7_009027BEE7F1_.wvu.Rows" hidden="1">#REF!,#REF!</definedName>
    <definedName name="Z_901DD601_3312_11D5_8F89_00010215A1CA_.wvu.Rows" localSheetId="22" hidden="1">#REF!,#REF!</definedName>
    <definedName name="Z_901DD601_3312_11D5_8F89_00010215A1CA_.wvu.Rows" localSheetId="13" hidden="1">#REF!,#REF!</definedName>
    <definedName name="Z_901DD601_3312_11D5_8F89_00010215A1CA_.wvu.Rows" localSheetId="19" hidden="1">#REF!,#REF!</definedName>
    <definedName name="Z_901DD601_3312_11D5_8F89_00010215A1CA_.wvu.Rows" localSheetId="25" hidden="1">#REF!,#REF!</definedName>
    <definedName name="Z_901DD601_3312_11D5_8F89_00010215A1CA_.wvu.Rows" localSheetId="16" hidden="1">#REF!,#REF!</definedName>
    <definedName name="Z_901DD601_3312_11D5_8F89_00010215A1CA_.wvu.Rows" localSheetId="28" hidden="1">#REF!,#REF!</definedName>
    <definedName name="Z_901DD601_3312_11D5_8F89_00010215A1CA_.wvu.Rows" hidden="1">#REF!,#REF!</definedName>
    <definedName name="Z_A158D6E1_ED44_11D4_A6F7_00508B654028_.wvu.Cols" localSheetId="22" hidden="1">#REF!,#REF!,#REF!</definedName>
    <definedName name="Z_A158D6E1_ED44_11D4_A6F7_00508B654028_.wvu.Cols" localSheetId="13" hidden="1">#REF!,#REF!,#REF!</definedName>
    <definedName name="Z_A158D6E1_ED44_11D4_A6F7_00508B654028_.wvu.Cols" localSheetId="19" hidden="1">#REF!,#REF!,#REF!</definedName>
    <definedName name="Z_A158D6E1_ED44_11D4_A6F7_00508B654028_.wvu.Cols" localSheetId="25" hidden="1">#REF!,#REF!,#REF!</definedName>
    <definedName name="Z_A158D6E1_ED44_11D4_A6F7_00508B654028_.wvu.Cols" localSheetId="16" hidden="1">#REF!,#REF!,#REF!</definedName>
    <definedName name="Z_A158D6E1_ED44_11D4_A6F7_00508B654028_.wvu.Cols" localSheetId="28" hidden="1">#REF!,#REF!,#REF!</definedName>
    <definedName name="Z_A158D6E1_ED44_11D4_A6F7_00508B654028_.wvu.Cols" hidden="1">#REF!,#REF!,#REF!</definedName>
    <definedName name="Z_A158D6E1_ED44_11D4_A6F7_00508B654028_.wvu.FilterData" localSheetId="22" hidden="1">#REF!</definedName>
    <definedName name="Z_A158D6E1_ED44_11D4_A6F7_00508B654028_.wvu.FilterData" localSheetId="13" hidden="1">#REF!</definedName>
    <definedName name="Z_A158D6E1_ED44_11D4_A6F7_00508B654028_.wvu.FilterData" localSheetId="19" hidden="1">#REF!</definedName>
    <definedName name="Z_A158D6E1_ED44_11D4_A6F7_00508B654028_.wvu.FilterData" localSheetId="25" hidden="1">#REF!</definedName>
    <definedName name="Z_A158D6E1_ED44_11D4_A6F7_00508B654028_.wvu.FilterData" localSheetId="16" hidden="1">#REF!</definedName>
    <definedName name="Z_A158D6E1_ED44_11D4_A6F7_00508B654028_.wvu.FilterData" localSheetId="28" hidden="1">#REF!</definedName>
    <definedName name="Z_A158D6E1_ED44_11D4_A6F7_00508B654028_.wvu.FilterData" hidden="1">#REF!</definedName>
    <definedName name="Z_A158D6E1_ED44_11D4_A6F7_00508B654028_.wvu.PrintArea" localSheetId="22" hidden="1">#REF!</definedName>
    <definedName name="Z_A158D6E1_ED44_11D4_A6F7_00508B654028_.wvu.PrintArea" localSheetId="13" hidden="1">#REF!</definedName>
    <definedName name="Z_A158D6E1_ED44_11D4_A6F7_00508B654028_.wvu.PrintArea" localSheetId="19" hidden="1">#REF!</definedName>
    <definedName name="Z_A158D6E1_ED44_11D4_A6F7_00508B654028_.wvu.PrintArea" localSheetId="25" hidden="1">#REF!</definedName>
    <definedName name="Z_A158D6E1_ED44_11D4_A6F7_00508B654028_.wvu.PrintArea" localSheetId="16" hidden="1">#REF!</definedName>
    <definedName name="Z_A158D6E1_ED44_11D4_A6F7_00508B654028_.wvu.PrintArea" localSheetId="28" hidden="1">#REF!</definedName>
    <definedName name="Z_A158D6E1_ED44_11D4_A6F7_00508B654028_.wvu.PrintArea" hidden="1">#REF!</definedName>
    <definedName name="Z_A158D6E1_ED44_11D4_A6F7_00508B654028_.wvu.Rows" localSheetId="22" hidden="1">#REF!,#REF!</definedName>
    <definedName name="Z_A158D6E1_ED44_11D4_A6F7_00508B654028_.wvu.Rows" localSheetId="13" hidden="1">#REF!,#REF!</definedName>
    <definedName name="Z_A158D6E1_ED44_11D4_A6F7_00508B654028_.wvu.Rows" localSheetId="19" hidden="1">#REF!,#REF!</definedName>
    <definedName name="Z_A158D6E1_ED44_11D4_A6F7_00508B654028_.wvu.Rows" localSheetId="25" hidden="1">#REF!,#REF!</definedName>
    <definedName name="Z_A158D6E1_ED44_11D4_A6F7_00508B654028_.wvu.Rows" localSheetId="16" hidden="1">#REF!,#REF!</definedName>
    <definedName name="Z_A158D6E1_ED44_11D4_A6F7_00508B654028_.wvu.Rows" localSheetId="28" hidden="1">#REF!,#REF!</definedName>
    <definedName name="Z_A158D6E1_ED44_11D4_A6F7_00508B654028_.wvu.Rows" hidden="1">#REF!,#REF!</definedName>
    <definedName name="Z_ADA92181_C3E4_11D5_A6F7_00508B6A7686_.wvu.Cols" localSheetId="22" hidden="1">#REF!,#REF!,#REF!</definedName>
    <definedName name="Z_ADA92181_C3E4_11D5_A6F7_00508B6A7686_.wvu.Cols" localSheetId="13" hidden="1">#REF!,#REF!,#REF!</definedName>
    <definedName name="Z_ADA92181_C3E4_11D5_A6F7_00508B6A7686_.wvu.Cols" localSheetId="19" hidden="1">#REF!,#REF!,#REF!</definedName>
    <definedName name="Z_ADA92181_C3E4_11D5_A6F7_00508B6A7686_.wvu.Cols" localSheetId="25" hidden="1">#REF!,#REF!,#REF!</definedName>
    <definedName name="Z_ADA92181_C3E4_11D5_A6F7_00508B6A7686_.wvu.Cols" localSheetId="16" hidden="1">#REF!,#REF!,#REF!</definedName>
    <definedName name="Z_ADA92181_C3E4_11D5_A6F7_00508B6A7686_.wvu.Cols" localSheetId="28" hidden="1">#REF!,#REF!,#REF!</definedName>
    <definedName name="Z_ADA92181_C3E4_11D5_A6F7_00508B6A7686_.wvu.Cols" hidden="1">#REF!,#REF!,#REF!</definedName>
    <definedName name="Z_ADA92181_C3E4_11D5_A6F7_00508B6A7686_.wvu.FilterData" localSheetId="22" hidden="1">#REF!</definedName>
    <definedName name="Z_ADA92181_C3E4_11D5_A6F7_00508B6A7686_.wvu.FilterData" localSheetId="13" hidden="1">#REF!</definedName>
    <definedName name="Z_ADA92181_C3E4_11D5_A6F7_00508B6A7686_.wvu.FilterData" localSheetId="19" hidden="1">#REF!</definedName>
    <definedName name="Z_ADA92181_C3E4_11D5_A6F7_00508B6A7686_.wvu.FilterData" localSheetId="25" hidden="1">#REF!</definedName>
    <definedName name="Z_ADA92181_C3E4_11D5_A6F7_00508B6A7686_.wvu.FilterData" localSheetId="16" hidden="1">#REF!</definedName>
    <definedName name="Z_ADA92181_C3E4_11D5_A6F7_00508B6A7686_.wvu.FilterData" localSheetId="28" hidden="1">#REF!</definedName>
    <definedName name="Z_ADA92181_C3E4_11D5_A6F7_00508B6A7686_.wvu.FilterData" hidden="1">#REF!</definedName>
    <definedName name="Z_ADA92181_C3E4_11D5_A6F7_00508B6A7686_.wvu.PrintArea" localSheetId="22" hidden="1">#REF!</definedName>
    <definedName name="Z_ADA92181_C3E4_11D5_A6F7_00508B6A7686_.wvu.PrintArea" localSheetId="13" hidden="1">#REF!</definedName>
    <definedName name="Z_ADA92181_C3E4_11D5_A6F7_00508B6A7686_.wvu.PrintArea" localSheetId="19" hidden="1">#REF!</definedName>
    <definedName name="Z_ADA92181_C3E4_11D5_A6F7_00508B6A7686_.wvu.PrintArea" localSheetId="25" hidden="1">#REF!</definedName>
    <definedName name="Z_ADA92181_C3E4_11D5_A6F7_00508B6A7686_.wvu.PrintArea" localSheetId="16" hidden="1">#REF!</definedName>
    <definedName name="Z_ADA92181_C3E4_11D5_A6F7_00508B6A7686_.wvu.PrintArea" localSheetId="28" hidden="1">#REF!</definedName>
    <definedName name="Z_ADA92181_C3E4_11D5_A6F7_00508B6A7686_.wvu.PrintArea" hidden="1">#REF!</definedName>
    <definedName name="Z_ADA92181_C3E4_11D5_A6F7_00508B6A7686_.wvu.PrintTitles" localSheetId="22" hidden="1">#REF!</definedName>
    <definedName name="Z_ADA92181_C3E4_11D5_A6F7_00508B6A7686_.wvu.PrintTitles" localSheetId="13" hidden="1">#REF!</definedName>
    <definedName name="Z_ADA92181_C3E4_11D5_A6F7_00508B6A7686_.wvu.PrintTitles" localSheetId="19" hidden="1">#REF!</definedName>
    <definedName name="Z_ADA92181_C3E4_11D5_A6F7_00508B6A7686_.wvu.PrintTitles" localSheetId="25" hidden="1">#REF!</definedName>
    <definedName name="Z_ADA92181_C3E4_11D5_A6F7_00508B6A7686_.wvu.PrintTitles" localSheetId="16" hidden="1">#REF!</definedName>
    <definedName name="Z_ADA92181_C3E4_11D5_A6F7_00508B6A7686_.wvu.PrintTitles" localSheetId="28" hidden="1">#REF!</definedName>
    <definedName name="Z_ADA92181_C3E4_11D5_A6F7_00508B6A7686_.wvu.PrintTitles" hidden="1">#REF!</definedName>
    <definedName name="Z_ADA92181_C3E4_11D5_A6F7_00508B6A7686_.wvu.Rows" localSheetId="22" hidden="1">#REF!,#REF!</definedName>
    <definedName name="Z_ADA92181_C3E4_11D5_A6F7_00508B6A7686_.wvu.Rows" localSheetId="13" hidden="1">#REF!,#REF!</definedName>
    <definedName name="Z_ADA92181_C3E4_11D5_A6F7_00508B6A7686_.wvu.Rows" localSheetId="19" hidden="1">#REF!,#REF!</definedName>
    <definedName name="Z_ADA92181_C3E4_11D5_A6F7_00508B6A7686_.wvu.Rows" localSheetId="25" hidden="1">#REF!,#REF!</definedName>
    <definedName name="Z_ADA92181_C3E4_11D5_A6F7_00508B6A7686_.wvu.Rows" localSheetId="16" hidden="1">#REF!,#REF!</definedName>
    <definedName name="Z_ADA92181_C3E4_11D5_A6F7_00508B6A7686_.wvu.Rows" localSheetId="28" hidden="1">#REF!,#REF!</definedName>
    <definedName name="Z_ADA92181_C3E4_11D5_A6F7_00508B6A7686_.wvu.Rows" hidden="1">#REF!,#REF!</definedName>
    <definedName name="Z_D4FBBAF2_ED2F_11D4_A6F7_00508B6540C5_.wvu.FilterData" localSheetId="22" hidden="1">#REF!</definedName>
    <definedName name="Z_D4FBBAF2_ED2F_11D4_A6F7_00508B6540C5_.wvu.FilterData" localSheetId="13" hidden="1">#REF!</definedName>
    <definedName name="Z_D4FBBAF2_ED2F_11D4_A6F7_00508B6540C5_.wvu.FilterData" localSheetId="19" hidden="1">#REF!</definedName>
    <definedName name="Z_D4FBBAF2_ED2F_11D4_A6F7_00508B6540C5_.wvu.FilterData" localSheetId="25" hidden="1">#REF!</definedName>
    <definedName name="Z_D4FBBAF2_ED2F_11D4_A6F7_00508B6540C5_.wvu.FilterData" localSheetId="16" hidden="1">#REF!</definedName>
    <definedName name="Z_D4FBBAF2_ED2F_11D4_A6F7_00508B6540C5_.wvu.FilterData" localSheetId="28" hidden="1">#REF!</definedName>
    <definedName name="Z_D4FBBAF2_ED2F_11D4_A6F7_00508B6540C5_.wvu.FilterData" hidden="1">#REF!</definedName>
    <definedName name="Z_D9E68341_C2F0_11D5_A6F7_00508B6540C5_.wvu.Cols" localSheetId="22" hidden="1">#REF!,#REF!,#REF!</definedName>
    <definedName name="Z_D9E68341_C2F0_11D5_A6F7_00508B6540C5_.wvu.Cols" localSheetId="13" hidden="1">#REF!,#REF!,#REF!</definedName>
    <definedName name="Z_D9E68341_C2F0_11D5_A6F7_00508B6540C5_.wvu.Cols" localSheetId="19" hidden="1">#REF!,#REF!,#REF!</definedName>
    <definedName name="Z_D9E68341_C2F0_11D5_A6F7_00508B6540C5_.wvu.Cols" localSheetId="25" hidden="1">#REF!,#REF!,#REF!</definedName>
    <definedName name="Z_D9E68341_C2F0_11D5_A6F7_00508B6540C5_.wvu.Cols" localSheetId="16" hidden="1">#REF!,#REF!,#REF!</definedName>
    <definedName name="Z_D9E68341_C2F0_11D5_A6F7_00508B6540C5_.wvu.Cols" localSheetId="28" hidden="1">#REF!,#REF!,#REF!</definedName>
    <definedName name="Z_D9E68341_C2F0_11D5_A6F7_00508B6540C5_.wvu.Cols" hidden="1">#REF!,#REF!,#REF!</definedName>
    <definedName name="Z_D9E68341_C2F0_11D5_A6F7_00508B6540C5_.wvu.FilterData" localSheetId="22" hidden="1">#REF!</definedName>
    <definedName name="Z_D9E68341_C2F0_11D5_A6F7_00508B6540C5_.wvu.FilterData" localSheetId="13" hidden="1">#REF!</definedName>
    <definedName name="Z_D9E68341_C2F0_11D5_A6F7_00508B6540C5_.wvu.FilterData" localSheetId="19" hidden="1">#REF!</definedName>
    <definedName name="Z_D9E68341_C2F0_11D5_A6F7_00508B6540C5_.wvu.FilterData" localSheetId="25" hidden="1">#REF!</definedName>
    <definedName name="Z_D9E68341_C2F0_11D5_A6F7_00508B6540C5_.wvu.FilterData" localSheetId="16" hidden="1">#REF!</definedName>
    <definedName name="Z_D9E68341_C2F0_11D5_A6F7_00508B6540C5_.wvu.FilterData" localSheetId="28" hidden="1">#REF!</definedName>
    <definedName name="Z_D9E68341_C2F0_11D5_A6F7_00508B6540C5_.wvu.FilterData" hidden="1">#REF!</definedName>
    <definedName name="Z_D9E68341_C2F0_11D5_A6F7_00508B6540C5_.wvu.PrintArea" localSheetId="22" hidden="1">#REF!</definedName>
    <definedName name="Z_D9E68341_C2F0_11D5_A6F7_00508B6540C5_.wvu.PrintArea" localSheetId="13" hidden="1">#REF!</definedName>
    <definedName name="Z_D9E68341_C2F0_11D5_A6F7_00508B6540C5_.wvu.PrintArea" localSheetId="19" hidden="1">#REF!</definedName>
    <definedName name="Z_D9E68341_C2F0_11D5_A6F7_00508B6540C5_.wvu.PrintArea" localSheetId="25" hidden="1">#REF!</definedName>
    <definedName name="Z_D9E68341_C2F0_11D5_A6F7_00508B6540C5_.wvu.PrintArea" localSheetId="16" hidden="1">#REF!</definedName>
    <definedName name="Z_D9E68341_C2F0_11D5_A6F7_00508B6540C5_.wvu.PrintArea" localSheetId="28" hidden="1">#REF!</definedName>
    <definedName name="Z_D9E68341_C2F0_11D5_A6F7_00508B6540C5_.wvu.PrintArea" hidden="1">#REF!</definedName>
    <definedName name="Z_D9E68341_C2F0_11D5_A6F7_00508B6540C5_.wvu.PrintTitles" localSheetId="22" hidden="1">#REF!</definedName>
    <definedName name="Z_D9E68341_C2F0_11D5_A6F7_00508B6540C5_.wvu.PrintTitles" localSheetId="13" hidden="1">#REF!</definedName>
    <definedName name="Z_D9E68341_C2F0_11D5_A6F7_00508B6540C5_.wvu.PrintTitles" localSheetId="19" hidden="1">#REF!</definedName>
    <definedName name="Z_D9E68341_C2F0_11D5_A6F7_00508B6540C5_.wvu.PrintTitles" localSheetId="25" hidden="1">#REF!</definedName>
    <definedName name="Z_D9E68341_C2F0_11D5_A6F7_00508B6540C5_.wvu.PrintTitles" localSheetId="16" hidden="1">#REF!</definedName>
    <definedName name="Z_D9E68341_C2F0_11D5_A6F7_00508B6540C5_.wvu.PrintTitles" localSheetId="28" hidden="1">#REF!</definedName>
    <definedName name="Z_D9E68341_C2F0_11D5_A6F7_00508B6540C5_.wvu.PrintTitles" hidden="1">#REF!</definedName>
    <definedName name="Z_D9E68341_C2F0_11D5_A6F7_00508B6540C5_.wvu.Rows" localSheetId="22" hidden="1">#REF!</definedName>
    <definedName name="Z_D9E68341_C2F0_11D5_A6F7_00508B6540C5_.wvu.Rows" localSheetId="13" hidden="1">#REF!</definedName>
    <definedName name="Z_D9E68341_C2F0_11D5_A6F7_00508B6540C5_.wvu.Rows" localSheetId="19" hidden="1">#REF!</definedName>
    <definedName name="Z_D9E68341_C2F0_11D5_A6F7_00508B6540C5_.wvu.Rows" localSheetId="25" hidden="1">#REF!</definedName>
    <definedName name="Z_D9E68341_C2F0_11D5_A6F7_00508B6540C5_.wvu.Rows" localSheetId="16" hidden="1">#REF!</definedName>
    <definedName name="Z_D9E68341_C2F0_11D5_A6F7_00508B6540C5_.wvu.Rows" localSheetId="28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22" hidden="1">#REF!,#REF!,#REF!</definedName>
    <definedName name="БДДС" localSheetId="13" hidden="1">#REF!,#REF!,#REF!</definedName>
    <definedName name="БДДС" localSheetId="19" hidden="1">#REF!,#REF!,#REF!</definedName>
    <definedName name="БДДС" localSheetId="25" hidden="1">#REF!,#REF!,#REF!</definedName>
    <definedName name="БДДС" localSheetId="16" hidden="1">#REF!,#REF!,#REF!</definedName>
    <definedName name="БДДС" localSheetId="28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21" hidden="1">#REF!</definedName>
    <definedName name="Дподр09" localSheetId="22" hidden="1">#REF!</definedName>
    <definedName name="Дподр09" localSheetId="12" hidden="1">#REF!</definedName>
    <definedName name="Дподр09" localSheetId="13" hidden="1">#REF!</definedName>
    <definedName name="Дподр09" localSheetId="18" hidden="1">#REF!</definedName>
    <definedName name="Дподр09" localSheetId="19" hidden="1">#REF!</definedName>
    <definedName name="Дподр09" localSheetId="24" hidden="1">#REF!</definedName>
    <definedName name="Дподр09" localSheetId="25" hidden="1">#REF!</definedName>
    <definedName name="Дподр09" localSheetId="15" hidden="1">#REF!</definedName>
    <definedName name="Дподр09" localSheetId="16" hidden="1">#REF!</definedName>
    <definedName name="Дподр09" localSheetId="27" hidden="1">#REF!</definedName>
    <definedName name="Дподр09" localSheetId="28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21">'DR-75'!$3:$4</definedName>
    <definedName name="_xlnm.Print_Titles" localSheetId="23">'DR-75 Рем'!$4:$4,'DR-75 Рем'!$B:$B</definedName>
    <definedName name="_xlnm.Print_Titles" localSheetId="22">'DR-75 ТО'!$4:$4</definedName>
    <definedName name="_xlnm.Print_Titles" localSheetId="12">'HIFO 75D'!$3:$4</definedName>
    <definedName name="_xlnm.Print_Titles" localSheetId="14">'HIFO 75D Рем'!$B:$B,'HIFO 75D Рем'!$4:$4</definedName>
    <definedName name="_xlnm.Print_Titles" localSheetId="13">'HIFO 75D ТО'!$4:$4</definedName>
    <definedName name="_xlnm.Print_Titles" localSheetId="18">SWDRT250SM!$3:$4</definedName>
    <definedName name="_xlnm.Print_Titles" localSheetId="20">'SWDRT250SM Рем'!$B:$B,'SWDRT250SM Рем'!$4:$4</definedName>
    <definedName name="_xlnm.Print_Titles" localSheetId="19">'SWDRT250SM ТО'!$4:$4</definedName>
    <definedName name="_xlnm.Print_Titles" localSheetId="24">SWDRT270B!$3:$4</definedName>
    <definedName name="_xlnm.Print_Titles" localSheetId="26">'SWDRT270B Рем'!$B:$B,'SWDRT270B Рем'!$4:$4</definedName>
    <definedName name="_xlnm.Print_Titles" localSheetId="25">'SWDRT270B ТО'!$4:$4</definedName>
    <definedName name="_xlnm.Print_Titles" localSheetId="15">SWDRT270SM!$3:$4</definedName>
    <definedName name="_xlnm.Print_Titles" localSheetId="17">'SWDRT270SM Рем'!$B:$B,'SWDRT270SM Рем'!$4:$4</definedName>
    <definedName name="_xlnm.Print_Titles" localSheetId="16">'SWDRT270SM ТО'!$4:$4</definedName>
    <definedName name="_xlnm.Print_Titles" localSheetId="27">'БС-215'!$3:$4</definedName>
    <definedName name="_xlnm.Print_Titles" localSheetId="29">'БС-215 Рем'!$B:$B,'БС-215 Рем'!$4:$4</definedName>
    <definedName name="_xlnm.Print_Titles" localSheetId="28">'БС-215 ТО'!$4:$4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21">'DR-75'!$A$1:$Q$81</definedName>
    <definedName name="_xlnm.Print_Area" localSheetId="12">'HIFO 75D'!$A$1:$O$49</definedName>
    <definedName name="_xlnm.Print_Area" localSheetId="18">SWDRT250SM!$A$1:$Q$81</definedName>
    <definedName name="_xlnm.Print_Area" localSheetId="24">SWDRT270B!$A$1:$Q$81</definedName>
    <definedName name="_xlnm.Print_Area" localSheetId="15">SWDRT270SM!$A$1:$Q$81</definedName>
    <definedName name="_xlnm.Print_Area" localSheetId="27">'БС-215'!$A$1:$Q$81</definedName>
    <definedName name="_xlnm.Print_Area" localSheetId="29">'БС-215 Рем'!$A$1:$T$108</definedName>
    <definedName name="Общеж." hidden="1">{"'РП (2)'!$A$5:$S$150"}</definedName>
    <definedName name="оля" localSheetId="22" hidden="1">#REF!</definedName>
    <definedName name="оля" localSheetId="13" hidden="1">#REF!</definedName>
    <definedName name="оля" localSheetId="19" hidden="1">#REF!</definedName>
    <definedName name="оля" localSheetId="25" hidden="1">#REF!</definedName>
    <definedName name="оля" localSheetId="16" hidden="1">#REF!</definedName>
    <definedName name="оля" localSheetId="28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22" hidden="1">#REF!,#REF!</definedName>
    <definedName name="палрмапоапол" localSheetId="13" hidden="1">#REF!,#REF!</definedName>
    <definedName name="палрмапоапол" localSheetId="19" hidden="1">#REF!,#REF!</definedName>
    <definedName name="палрмапоапол" localSheetId="25" hidden="1">#REF!,#REF!</definedName>
    <definedName name="палрмапоапол" localSheetId="16" hidden="1">#REF!,#REF!</definedName>
    <definedName name="палрмапоапол" localSheetId="28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22" hidden="1">#REF!,#REF!</definedName>
    <definedName name="прпрп" localSheetId="13" hidden="1">#REF!,#REF!</definedName>
    <definedName name="прпрп" localSheetId="19" hidden="1">#REF!,#REF!</definedName>
    <definedName name="прпрп" localSheetId="25" hidden="1">#REF!,#REF!</definedName>
    <definedName name="прпрп" localSheetId="16" hidden="1">#REF!,#REF!</definedName>
    <definedName name="прпрп" localSheetId="28" hidden="1">#REF!,#REF!</definedName>
    <definedName name="прпрп" hidden="1">#REF!,#REF!</definedName>
    <definedName name="пту1" hidden="1">{"'РП (2)'!$A$5:$S$150"}</definedName>
    <definedName name="пыпыппывапа" localSheetId="22" hidden="1">#REF!,#REF!,#REF!</definedName>
    <definedName name="пыпыппывапа" localSheetId="13" hidden="1">#REF!,#REF!,#REF!</definedName>
    <definedName name="пыпыппывапа" localSheetId="19" hidden="1">#REF!,#REF!,#REF!</definedName>
    <definedName name="пыпыппывапа" localSheetId="25" hidden="1">#REF!,#REF!,#REF!</definedName>
    <definedName name="пыпыппывапа" localSheetId="16" hidden="1">#REF!,#REF!,#REF!</definedName>
    <definedName name="пыпыппывапа" localSheetId="28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6" l="1"/>
  <c r="L8" i="6"/>
  <c r="H11" i="10"/>
  <c r="G11" i="10"/>
  <c r="F11" i="10"/>
  <c r="E11" i="10"/>
  <c r="D11" i="10"/>
  <c r="G16" i="10"/>
  <c r="G13" i="10"/>
  <c r="G14" i="10"/>
  <c r="H453" i="2"/>
  <c r="I453" i="2"/>
  <c r="I452" i="2" s="1"/>
  <c r="J453" i="2"/>
  <c r="J452" i="2" s="1"/>
  <c r="K453" i="2"/>
  <c r="L453" i="2"/>
  <c r="L452" i="2" s="1"/>
  <c r="M453" i="2"/>
  <c r="M452" i="2" s="1"/>
  <c r="N453" i="2"/>
  <c r="O453" i="2"/>
  <c r="O452" i="2" s="1"/>
  <c r="P453" i="2"/>
  <c r="Q453" i="2"/>
  <c r="Q452" i="2" s="1"/>
  <c r="R453" i="2"/>
  <c r="R452" i="2" s="1"/>
  <c r="H454" i="2"/>
  <c r="H452" i="2" s="1"/>
  <c r="I454" i="2"/>
  <c r="J454" i="2"/>
  <c r="K454" i="2"/>
  <c r="K452" i="2" s="1"/>
  <c r="L454" i="2"/>
  <c r="M454" i="2"/>
  <c r="N454" i="2"/>
  <c r="N452" i="2" s="1"/>
  <c r="O454" i="2"/>
  <c r="P454" i="2"/>
  <c r="P452" i="2" s="1"/>
  <c r="Q454" i="2"/>
  <c r="R454" i="2"/>
  <c r="H455" i="2"/>
  <c r="I455" i="2"/>
  <c r="J455" i="2"/>
  <c r="K455" i="2"/>
  <c r="L455" i="2"/>
  <c r="M455" i="2"/>
  <c r="N455" i="2"/>
  <c r="O455" i="2"/>
  <c r="P455" i="2"/>
  <c r="Q455" i="2"/>
  <c r="R455" i="2"/>
  <c r="G455" i="2"/>
  <c r="G454" i="2"/>
  <c r="G453" i="2"/>
  <c r="H22" i="34"/>
  <c r="I22" i="34"/>
  <c r="J22" i="34"/>
  <c r="K22" i="34"/>
  <c r="L22" i="34"/>
  <c r="M22" i="34"/>
  <c r="N22" i="34"/>
  <c r="O22" i="34"/>
  <c r="P22" i="34"/>
  <c r="Q22" i="34"/>
  <c r="R22" i="34"/>
  <c r="G22" i="34"/>
  <c r="T33" i="33"/>
  <c r="S33" i="33"/>
  <c r="S32" i="33"/>
  <c r="T32" i="33" s="1"/>
  <c r="T31" i="33"/>
  <c r="S31" i="33"/>
  <c r="T30" i="33"/>
  <c r="S30" i="33"/>
  <c r="E83" i="30"/>
  <c r="P83" i="30"/>
  <c r="O83" i="30"/>
  <c r="N83" i="30"/>
  <c r="M83" i="30"/>
  <c r="L83" i="30"/>
  <c r="K83" i="30"/>
  <c r="J83" i="30"/>
  <c r="I83" i="30"/>
  <c r="H83" i="30"/>
  <c r="Q83" i="30" s="1"/>
  <c r="G83" i="30"/>
  <c r="F83" i="30"/>
  <c r="F11" i="8"/>
  <c r="G11" i="8"/>
  <c r="H11" i="8"/>
  <c r="I11" i="8"/>
  <c r="J11" i="8"/>
  <c r="K11" i="8"/>
  <c r="L11" i="8"/>
  <c r="M11" i="8"/>
  <c r="N11" i="8"/>
  <c r="O11" i="8"/>
  <c r="P11" i="8"/>
  <c r="E11" i="8"/>
  <c r="F77" i="35"/>
  <c r="G77" i="35" s="1"/>
  <c r="H77" i="35" s="1"/>
  <c r="I77" i="35" s="1"/>
  <c r="J77" i="35" s="1"/>
  <c r="K77" i="35" s="1"/>
  <c r="L77" i="35" s="1"/>
  <c r="M77" i="35" s="1"/>
  <c r="N77" i="35" s="1"/>
  <c r="O77" i="35" s="1"/>
  <c r="P77" i="35" s="1"/>
  <c r="Q77" i="35" s="1"/>
  <c r="Q76" i="35"/>
  <c r="P76" i="35"/>
  <c r="O76" i="35"/>
  <c r="N76" i="35"/>
  <c r="M76" i="35"/>
  <c r="L76" i="35"/>
  <c r="K76" i="35"/>
  <c r="J76" i="35"/>
  <c r="I76" i="35"/>
  <c r="H76" i="35"/>
  <c r="G76" i="35"/>
  <c r="F76" i="35"/>
  <c r="Q75" i="35"/>
  <c r="P75" i="35"/>
  <c r="O75" i="35"/>
  <c r="M75" i="35"/>
  <c r="L75" i="35"/>
  <c r="K75" i="35"/>
  <c r="J75" i="35"/>
  <c r="I75" i="35"/>
  <c r="H75" i="35"/>
  <c r="G75" i="35"/>
  <c r="Q74" i="35"/>
  <c r="P74" i="35"/>
  <c r="O74" i="35"/>
  <c r="M74" i="35"/>
  <c r="L74" i="35"/>
  <c r="K74" i="35"/>
  <c r="J74" i="35"/>
  <c r="I74" i="35"/>
  <c r="H74" i="35"/>
  <c r="G74" i="35"/>
  <c r="Q73" i="35"/>
  <c r="P73" i="35"/>
  <c r="N73" i="35"/>
  <c r="L73" i="35"/>
  <c r="K73" i="35"/>
  <c r="I73" i="35"/>
  <c r="G73" i="35"/>
  <c r="Q71" i="35"/>
  <c r="P71" i="35"/>
  <c r="O71" i="35"/>
  <c r="N71" i="35"/>
  <c r="M71" i="35"/>
  <c r="L71" i="35"/>
  <c r="K71" i="35"/>
  <c r="J71" i="35"/>
  <c r="I71" i="35"/>
  <c r="H71" i="35"/>
  <c r="G71" i="35"/>
  <c r="F71" i="35"/>
  <c r="F39" i="35" s="1"/>
  <c r="F11" i="35" s="1"/>
  <c r="Q70" i="35"/>
  <c r="P70" i="35"/>
  <c r="O70" i="35"/>
  <c r="N70" i="35"/>
  <c r="M70" i="35"/>
  <c r="L70" i="35"/>
  <c r="K70" i="35"/>
  <c r="J70" i="35"/>
  <c r="J39" i="35" s="1"/>
  <c r="J11" i="35" s="1"/>
  <c r="I70" i="35"/>
  <c r="H70" i="35"/>
  <c r="G70" i="35"/>
  <c r="F70" i="35"/>
  <c r="Q69" i="35"/>
  <c r="P69" i="35"/>
  <c r="N69" i="35"/>
  <c r="L69" i="35"/>
  <c r="K69" i="35"/>
  <c r="I69" i="35"/>
  <c r="G69" i="35"/>
  <c r="Q68" i="35"/>
  <c r="P68" i="35"/>
  <c r="O68" i="35"/>
  <c r="M68" i="35"/>
  <c r="L68" i="35"/>
  <c r="K68" i="35"/>
  <c r="J68" i="35"/>
  <c r="I68" i="35"/>
  <c r="H68" i="35"/>
  <c r="G68" i="35"/>
  <c r="Q67" i="35"/>
  <c r="P67" i="35"/>
  <c r="N67" i="35"/>
  <c r="L67" i="35"/>
  <c r="K67" i="35"/>
  <c r="I67" i="35"/>
  <c r="G67" i="35"/>
  <c r="Q65" i="35"/>
  <c r="P65" i="35"/>
  <c r="N65" i="35"/>
  <c r="L65" i="35"/>
  <c r="K65" i="35"/>
  <c r="I65" i="35"/>
  <c r="G65" i="35"/>
  <c r="Q64" i="35"/>
  <c r="P64" i="35"/>
  <c r="O64" i="35"/>
  <c r="M64" i="35"/>
  <c r="L64" i="35"/>
  <c r="K64" i="35"/>
  <c r="J64" i="35"/>
  <c r="I64" i="35"/>
  <c r="H64" i="35"/>
  <c r="G64" i="35"/>
  <c r="Q63" i="35"/>
  <c r="P63" i="35"/>
  <c r="O63" i="35"/>
  <c r="M63" i="35"/>
  <c r="L63" i="35"/>
  <c r="K63" i="35"/>
  <c r="J63" i="35"/>
  <c r="I63" i="35"/>
  <c r="H63" i="35"/>
  <c r="G63" i="35"/>
  <c r="Q62" i="35"/>
  <c r="N62" i="35"/>
  <c r="K62" i="35"/>
  <c r="H62" i="35"/>
  <c r="Q61" i="35"/>
  <c r="N61" i="35"/>
  <c r="K61" i="35"/>
  <c r="H61" i="35"/>
  <c r="Q59" i="35"/>
  <c r="P59" i="35"/>
  <c r="N59" i="35"/>
  <c r="L59" i="35"/>
  <c r="K59" i="35"/>
  <c r="I59" i="35"/>
  <c r="G59" i="35"/>
  <c r="Q58" i="35"/>
  <c r="O58" i="35"/>
  <c r="N58" i="35"/>
  <c r="M58" i="35"/>
  <c r="K58" i="35"/>
  <c r="J58" i="35"/>
  <c r="H58" i="35"/>
  <c r="G58" i="35"/>
  <c r="Q57" i="35"/>
  <c r="O57" i="35"/>
  <c r="N57" i="35"/>
  <c r="M57" i="35"/>
  <c r="K57" i="35"/>
  <c r="J57" i="35"/>
  <c r="H57" i="35"/>
  <c r="G57" i="35"/>
  <c r="Q56" i="35"/>
  <c r="P56" i="35"/>
  <c r="N56" i="35"/>
  <c r="L56" i="35"/>
  <c r="K56" i="35"/>
  <c r="I56" i="35"/>
  <c r="G56" i="35"/>
  <c r="Q55" i="35"/>
  <c r="P55" i="35"/>
  <c r="N55" i="35"/>
  <c r="L55" i="35"/>
  <c r="K55" i="35"/>
  <c r="I55" i="35"/>
  <c r="G55" i="35"/>
  <c r="Q53" i="35"/>
  <c r="P53" i="35"/>
  <c r="O53" i="35"/>
  <c r="M53" i="35"/>
  <c r="L53" i="35"/>
  <c r="K53" i="35"/>
  <c r="J53" i="35"/>
  <c r="I53" i="35"/>
  <c r="H53" i="35"/>
  <c r="G53" i="35"/>
  <c r="Q52" i="35"/>
  <c r="P52" i="35"/>
  <c r="P39" i="35" s="1"/>
  <c r="O52" i="35"/>
  <c r="M52" i="35"/>
  <c r="L52" i="35"/>
  <c r="K52" i="35"/>
  <c r="J52" i="35"/>
  <c r="I52" i="35"/>
  <c r="H52" i="35"/>
  <c r="G52" i="35"/>
  <c r="G39" i="35" s="1"/>
  <c r="G11" i="35" s="1"/>
  <c r="Q51" i="35"/>
  <c r="P51" i="35"/>
  <c r="O51" i="35"/>
  <c r="M51" i="35"/>
  <c r="L51" i="35"/>
  <c r="K51" i="35"/>
  <c r="J51" i="35"/>
  <c r="I51" i="35"/>
  <c r="I39" i="35" s="1"/>
  <c r="I11" i="35" s="1"/>
  <c r="H51" i="35"/>
  <c r="G51" i="35"/>
  <c r="Q50" i="35"/>
  <c r="P50" i="35"/>
  <c r="O50" i="35"/>
  <c r="M50" i="35"/>
  <c r="L50" i="35"/>
  <c r="K50" i="35"/>
  <c r="J50" i="35"/>
  <c r="I50" i="35"/>
  <c r="H50" i="35"/>
  <c r="G50" i="35"/>
  <c r="Q49" i="35"/>
  <c r="O49" i="35"/>
  <c r="N49" i="35"/>
  <c r="M49" i="35"/>
  <c r="K49" i="35"/>
  <c r="J49" i="35"/>
  <c r="H49" i="35"/>
  <c r="G49" i="35"/>
  <c r="Q48" i="35"/>
  <c r="P48" i="35"/>
  <c r="N48" i="35"/>
  <c r="L48" i="35"/>
  <c r="K48" i="35"/>
  <c r="I48" i="35"/>
  <c r="G48" i="35"/>
  <c r="Q46" i="35"/>
  <c r="O46" i="35"/>
  <c r="N46" i="35"/>
  <c r="M46" i="35"/>
  <c r="K46" i="35"/>
  <c r="J46" i="35"/>
  <c r="H46" i="35"/>
  <c r="G46" i="35"/>
  <c r="Q45" i="35"/>
  <c r="O45" i="35"/>
  <c r="N45" i="35"/>
  <c r="M45" i="35"/>
  <c r="K45" i="35"/>
  <c r="J45" i="35"/>
  <c r="H45" i="35"/>
  <c r="G45" i="35"/>
  <c r="Q44" i="35"/>
  <c r="P44" i="35"/>
  <c r="O44" i="35"/>
  <c r="M44" i="35"/>
  <c r="L44" i="35"/>
  <c r="K44" i="35"/>
  <c r="J44" i="35"/>
  <c r="I44" i="35"/>
  <c r="H44" i="35"/>
  <c r="G44" i="35"/>
  <c r="Q43" i="35"/>
  <c r="P43" i="35"/>
  <c r="O43" i="35"/>
  <c r="M43" i="35"/>
  <c r="L43" i="35"/>
  <c r="K43" i="35"/>
  <c r="J43" i="35"/>
  <c r="I43" i="35"/>
  <c r="H43" i="35"/>
  <c r="G43" i="35"/>
  <c r="Q42" i="35"/>
  <c r="O42" i="35"/>
  <c r="N42" i="35"/>
  <c r="M42" i="35"/>
  <c r="K42" i="35"/>
  <c r="J42" i="35"/>
  <c r="H42" i="35"/>
  <c r="G42" i="35"/>
  <c r="Q41" i="35"/>
  <c r="P41" i="35"/>
  <c r="N41" i="35"/>
  <c r="L41" i="35"/>
  <c r="K41" i="35"/>
  <c r="I41" i="35"/>
  <c r="G41" i="35"/>
  <c r="H39" i="35"/>
  <c r="H11" i="35" s="1"/>
  <c r="Q38" i="35"/>
  <c r="P38" i="35"/>
  <c r="O38" i="35"/>
  <c r="N38" i="35"/>
  <c r="M38" i="35"/>
  <c r="L38" i="35"/>
  <c r="K38" i="35"/>
  <c r="J38" i="35"/>
  <c r="I38" i="35"/>
  <c r="H38" i="35"/>
  <c r="G38" i="35"/>
  <c r="F38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Q34" i="35"/>
  <c r="P34" i="35"/>
  <c r="O34" i="35"/>
  <c r="O33" i="35" s="1"/>
  <c r="O10" i="35" s="1"/>
  <c r="N34" i="35"/>
  <c r="M34" i="35"/>
  <c r="M33" i="35" s="1"/>
  <c r="M10" i="35" s="1"/>
  <c r="L34" i="35"/>
  <c r="L33" i="35" s="1"/>
  <c r="L10" i="35" s="1"/>
  <c r="K34" i="35"/>
  <c r="J34" i="35"/>
  <c r="I34" i="35"/>
  <c r="H34" i="35"/>
  <c r="G34" i="35"/>
  <c r="G33" i="35" s="1"/>
  <c r="G10" i="35" s="1"/>
  <c r="F34" i="35"/>
  <c r="Q33" i="35"/>
  <c r="P33" i="35"/>
  <c r="P10" i="35" s="1"/>
  <c r="N33" i="35"/>
  <c r="K33" i="35"/>
  <c r="J33" i="35"/>
  <c r="I33" i="35"/>
  <c r="H33" i="35"/>
  <c r="H10" i="35" s="1"/>
  <c r="F33" i="35"/>
  <c r="B29" i="35"/>
  <c r="B28" i="35"/>
  <c r="B27" i="35"/>
  <c r="B26" i="35"/>
  <c r="B25" i="35"/>
  <c r="D23" i="35"/>
  <c r="D27" i="35" s="1"/>
  <c r="H27" i="35" s="1"/>
  <c r="Q21" i="35"/>
  <c r="P21" i="35"/>
  <c r="O21" i="35"/>
  <c r="N21" i="35"/>
  <c r="M21" i="35"/>
  <c r="L21" i="35"/>
  <c r="K21" i="35"/>
  <c r="J21" i="35"/>
  <c r="I21" i="35"/>
  <c r="H21" i="35"/>
  <c r="G21" i="35"/>
  <c r="F21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Q18" i="35"/>
  <c r="P18" i="35"/>
  <c r="O18" i="35"/>
  <c r="N18" i="35"/>
  <c r="M18" i="35"/>
  <c r="L18" i="35"/>
  <c r="K18" i="35"/>
  <c r="J18" i="35"/>
  <c r="I18" i="35"/>
  <c r="H18" i="35"/>
  <c r="G18" i="35"/>
  <c r="G16" i="35" s="1"/>
  <c r="G8" i="35" s="1"/>
  <c r="F8" i="33" s="1"/>
  <c r="F18" i="35"/>
  <c r="Q17" i="35"/>
  <c r="P17" i="35"/>
  <c r="O17" i="35"/>
  <c r="N17" i="35"/>
  <c r="M17" i="35"/>
  <c r="L17" i="35"/>
  <c r="K17" i="35"/>
  <c r="K16" i="35" s="1"/>
  <c r="J17" i="35"/>
  <c r="J16" i="35" s="1"/>
  <c r="J8" i="35" s="1"/>
  <c r="I17" i="35"/>
  <c r="H17" i="35"/>
  <c r="G17" i="35"/>
  <c r="F17" i="35"/>
  <c r="Q16" i="35"/>
  <c r="P16" i="35"/>
  <c r="O16" i="35"/>
  <c r="O8" i="35" s="1"/>
  <c r="N16" i="35"/>
  <c r="M16" i="35"/>
  <c r="L16" i="35"/>
  <c r="I16" i="35"/>
  <c r="H16" i="35"/>
  <c r="F16" i="35"/>
  <c r="Q10" i="35"/>
  <c r="N10" i="35"/>
  <c r="K10" i="35"/>
  <c r="J10" i="35"/>
  <c r="I10" i="35"/>
  <c r="F10" i="35"/>
  <c r="Q8" i="35"/>
  <c r="P8" i="35"/>
  <c r="N8" i="35"/>
  <c r="M8" i="35"/>
  <c r="L8" i="35"/>
  <c r="K8" i="35"/>
  <c r="I8" i="35"/>
  <c r="H8" i="35"/>
  <c r="F8" i="35"/>
  <c r="E6" i="35"/>
  <c r="F6" i="35" s="1"/>
  <c r="G5" i="35" s="1"/>
  <c r="O4" i="35"/>
  <c r="P4" i="35" s="1"/>
  <c r="Q4" i="35" s="1"/>
  <c r="G4" i="35"/>
  <c r="H4" i="35" s="1"/>
  <c r="I4" i="35" s="1"/>
  <c r="J4" i="35" s="1"/>
  <c r="K4" i="35" s="1"/>
  <c r="L4" i="35" s="1"/>
  <c r="M4" i="35" s="1"/>
  <c r="N4" i="35" s="1"/>
  <c r="Q3" i="35"/>
  <c r="P3" i="35"/>
  <c r="O3" i="35"/>
  <c r="N3" i="35"/>
  <c r="M3" i="35"/>
  <c r="L3" i="35"/>
  <c r="K3" i="35"/>
  <c r="J3" i="35"/>
  <c r="I3" i="35"/>
  <c r="H3" i="35"/>
  <c r="G3" i="35"/>
  <c r="F3" i="35"/>
  <c r="P64" i="34"/>
  <c r="N64" i="34"/>
  <c r="K64" i="34"/>
  <c r="I64" i="34"/>
  <c r="G64" i="34"/>
  <c r="P63" i="34"/>
  <c r="N63" i="34"/>
  <c r="K63" i="34"/>
  <c r="I63" i="34"/>
  <c r="G63" i="34"/>
  <c r="P62" i="34"/>
  <c r="N62" i="34"/>
  <c r="K62" i="34"/>
  <c r="I62" i="34"/>
  <c r="G62" i="34"/>
  <c r="P61" i="34"/>
  <c r="N61" i="34"/>
  <c r="K61" i="34"/>
  <c r="I61" i="34"/>
  <c r="G61" i="34"/>
  <c r="P60" i="34"/>
  <c r="N60" i="34"/>
  <c r="K60" i="34"/>
  <c r="I60" i="34"/>
  <c r="G60" i="34"/>
  <c r="P59" i="34"/>
  <c r="N59" i="34"/>
  <c r="K59" i="34"/>
  <c r="I59" i="34"/>
  <c r="G59" i="34"/>
  <c r="E58" i="34"/>
  <c r="P55" i="34"/>
  <c r="E51" i="34"/>
  <c r="R46" i="34"/>
  <c r="F44" i="34"/>
  <c r="E44" i="34"/>
  <c r="E37" i="34"/>
  <c r="E30" i="34"/>
  <c r="P29" i="34"/>
  <c r="H29" i="34"/>
  <c r="K27" i="34"/>
  <c r="L26" i="34"/>
  <c r="O24" i="34"/>
  <c r="L24" i="34"/>
  <c r="F23" i="34"/>
  <c r="E23" i="34"/>
  <c r="R19" i="34"/>
  <c r="R64" i="34" s="1"/>
  <c r="Q19" i="34"/>
  <c r="O19" i="34"/>
  <c r="M19" i="34"/>
  <c r="L19" i="34"/>
  <c r="J19" i="34"/>
  <c r="J64" i="34" s="1"/>
  <c r="H19" i="34"/>
  <c r="H63" i="34" s="1"/>
  <c r="P18" i="34"/>
  <c r="M18" i="34"/>
  <c r="E18" i="34"/>
  <c r="O18" i="34" s="1"/>
  <c r="R17" i="34"/>
  <c r="R50" i="34" s="1"/>
  <c r="M17" i="34"/>
  <c r="L17" i="34"/>
  <c r="K17" i="34"/>
  <c r="J17" i="34"/>
  <c r="J46" i="34" s="1"/>
  <c r="E17" i="34"/>
  <c r="P17" i="34" s="1"/>
  <c r="R16" i="34"/>
  <c r="Q16" i="34"/>
  <c r="P16" i="34"/>
  <c r="P40" i="34" s="1"/>
  <c r="O16" i="34"/>
  <c r="K16" i="34"/>
  <c r="J16" i="34"/>
  <c r="I16" i="34"/>
  <c r="H16" i="34"/>
  <c r="H38" i="34" s="1"/>
  <c r="G16" i="34"/>
  <c r="E16" i="34"/>
  <c r="F37" i="34" s="1"/>
  <c r="O15" i="34"/>
  <c r="N15" i="34"/>
  <c r="N34" i="34" s="1"/>
  <c r="L15" i="34"/>
  <c r="G15" i="34"/>
  <c r="E15" i="34"/>
  <c r="M15" i="34" s="1"/>
  <c r="R14" i="34"/>
  <c r="Q14" i="34"/>
  <c r="P14" i="34"/>
  <c r="M14" i="34"/>
  <c r="L14" i="34"/>
  <c r="L28" i="34" s="1"/>
  <c r="K14" i="34"/>
  <c r="K25" i="34" s="1"/>
  <c r="J14" i="34"/>
  <c r="I14" i="34"/>
  <c r="H14" i="34"/>
  <c r="H27" i="34" s="1"/>
  <c r="E14" i="34"/>
  <c r="O14" i="34" s="1"/>
  <c r="O26" i="34" s="1"/>
  <c r="H6" i="34"/>
  <c r="I6" i="34" s="1"/>
  <c r="G6" i="34"/>
  <c r="H5" i="34" s="1"/>
  <c r="G4" i="34"/>
  <c r="H4" i="34" s="1"/>
  <c r="I4" i="34" s="1"/>
  <c r="J4" i="34" s="1"/>
  <c r="K4" i="34" s="1"/>
  <c r="L4" i="34" s="1"/>
  <c r="M4" i="34" s="1"/>
  <c r="N4" i="34" s="1"/>
  <c r="O4" i="34" s="1"/>
  <c r="P4" i="34" s="1"/>
  <c r="Q4" i="34" s="1"/>
  <c r="R4" i="34" s="1"/>
  <c r="P44" i="33"/>
  <c r="O44" i="33"/>
  <c r="N44" i="33"/>
  <c r="M44" i="33"/>
  <c r="L44" i="33"/>
  <c r="K44" i="33"/>
  <c r="J44" i="33"/>
  <c r="I44" i="33"/>
  <c r="H44" i="33"/>
  <c r="G44" i="33"/>
  <c r="F44" i="33"/>
  <c r="E44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I31" i="33"/>
  <c r="H31" i="33"/>
  <c r="G31" i="33"/>
  <c r="F31" i="33"/>
  <c r="E31" i="33"/>
  <c r="P30" i="33"/>
  <c r="O30" i="33"/>
  <c r="M30" i="33"/>
  <c r="L30" i="33"/>
  <c r="K30" i="33"/>
  <c r="J30" i="33"/>
  <c r="I30" i="33"/>
  <c r="H30" i="33"/>
  <c r="E30" i="33"/>
  <c r="P8" i="33"/>
  <c r="O8" i="33"/>
  <c r="N8" i="33"/>
  <c r="M8" i="33"/>
  <c r="L8" i="33"/>
  <c r="K8" i="33"/>
  <c r="J8" i="33"/>
  <c r="I8" i="33"/>
  <c r="H8" i="33"/>
  <c r="G8" i="33"/>
  <c r="E8" i="33"/>
  <c r="A5" i="33"/>
  <c r="A6" i="33" s="1"/>
  <c r="A7" i="33" s="1"/>
  <c r="A8" i="33" s="1"/>
  <c r="A10" i="33" s="1"/>
  <c r="A11" i="33" s="1"/>
  <c r="A12" i="33" s="1"/>
  <c r="A13" i="33" s="1"/>
  <c r="A14" i="33" s="1"/>
  <c r="A17" i="33" s="1"/>
  <c r="A18" i="33" s="1"/>
  <c r="A19" i="33" s="1"/>
  <c r="A21" i="33" s="1"/>
  <c r="A22" i="33" s="1"/>
  <c r="A23" i="33" s="1"/>
  <c r="A24" i="33" s="1"/>
  <c r="A25" i="33" s="1"/>
  <c r="A26" i="33" s="1"/>
  <c r="A28" i="33" s="1"/>
  <c r="A29" i="33" s="1"/>
  <c r="A30" i="33" s="1"/>
  <c r="A31" i="33" s="1"/>
  <c r="A32" i="33" s="1"/>
  <c r="A33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8" i="33" s="1"/>
  <c r="A79" i="33" s="1"/>
  <c r="A80" i="33" s="1"/>
  <c r="F4" i="33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E4" i="33"/>
  <c r="G452" i="2" l="1"/>
  <c r="J6" i="34"/>
  <c r="J5" i="34"/>
  <c r="M35" i="34"/>
  <c r="M33" i="34"/>
  <c r="M31" i="34"/>
  <c r="M36" i="34"/>
  <c r="M34" i="34"/>
  <c r="M32" i="34"/>
  <c r="P11" i="35"/>
  <c r="O31" i="33"/>
  <c r="O56" i="34"/>
  <c r="O54" i="34"/>
  <c r="O52" i="34"/>
  <c r="O57" i="34"/>
  <c r="O55" i="34"/>
  <c r="O53" i="34"/>
  <c r="L36" i="34"/>
  <c r="L34" i="34"/>
  <c r="L32" i="34"/>
  <c r="L35" i="34"/>
  <c r="L33" i="34"/>
  <c r="L31" i="34"/>
  <c r="O63" i="34"/>
  <c r="O61" i="34"/>
  <c r="O59" i="34"/>
  <c r="P28" i="34"/>
  <c r="P26" i="34"/>
  <c r="P24" i="34"/>
  <c r="J43" i="34"/>
  <c r="J41" i="34"/>
  <c r="J39" i="34"/>
  <c r="J42" i="34"/>
  <c r="J40" i="34"/>
  <c r="J38" i="34"/>
  <c r="K49" i="34"/>
  <c r="K47" i="34"/>
  <c r="K45" i="34"/>
  <c r="K50" i="34"/>
  <c r="K48" i="34"/>
  <c r="K46" i="34"/>
  <c r="N18" i="34"/>
  <c r="Q63" i="34"/>
  <c r="Q61" i="34"/>
  <c r="Q59" i="34"/>
  <c r="Q64" i="34"/>
  <c r="Q62" i="34"/>
  <c r="Q60" i="34"/>
  <c r="K29" i="34"/>
  <c r="H40" i="34"/>
  <c r="O62" i="34"/>
  <c r="I43" i="34"/>
  <c r="I41" i="34"/>
  <c r="I39" i="34"/>
  <c r="I42" i="34"/>
  <c r="I40" i="34"/>
  <c r="I38" i="34"/>
  <c r="J50" i="34"/>
  <c r="F30" i="33"/>
  <c r="N30" i="33"/>
  <c r="I5" i="34"/>
  <c r="O29" i="34"/>
  <c r="O27" i="34"/>
  <c r="O25" i="34"/>
  <c r="Q28" i="34"/>
  <c r="Q26" i="34"/>
  <c r="Q24" i="34"/>
  <c r="Q29" i="34"/>
  <c r="Q27" i="34"/>
  <c r="Q25" i="34"/>
  <c r="N35" i="34"/>
  <c r="N33" i="34"/>
  <c r="N31" i="34"/>
  <c r="K42" i="34"/>
  <c r="K40" i="34"/>
  <c r="K38" i="34"/>
  <c r="K43" i="34"/>
  <c r="K41" i="34"/>
  <c r="K39" i="34"/>
  <c r="L49" i="34"/>
  <c r="L47" i="34"/>
  <c r="L45" i="34"/>
  <c r="L50" i="34"/>
  <c r="L48" i="34"/>
  <c r="L46" i="34"/>
  <c r="N27" i="35"/>
  <c r="F27" i="35"/>
  <c r="M27" i="35"/>
  <c r="L27" i="35"/>
  <c r="K27" i="35"/>
  <c r="J27" i="35"/>
  <c r="Q27" i="35"/>
  <c r="I27" i="35"/>
  <c r="O27" i="35"/>
  <c r="G27" i="35"/>
  <c r="P27" i="35"/>
  <c r="M57" i="34"/>
  <c r="M55" i="34"/>
  <c r="M53" i="34"/>
  <c r="M56" i="34"/>
  <c r="M54" i="34"/>
  <c r="M52" i="34"/>
  <c r="H28" i="34"/>
  <c r="H26" i="34"/>
  <c r="H24" i="34"/>
  <c r="R28" i="34"/>
  <c r="R26" i="34"/>
  <c r="R24" i="34"/>
  <c r="R29" i="34"/>
  <c r="R27" i="34"/>
  <c r="R25" i="34"/>
  <c r="O35" i="34"/>
  <c r="O33" i="34"/>
  <c r="O31" i="34"/>
  <c r="O36" i="34"/>
  <c r="O34" i="34"/>
  <c r="O32" i="34"/>
  <c r="O43" i="34"/>
  <c r="O41" i="34"/>
  <c r="O39" i="34"/>
  <c r="O42" i="34"/>
  <c r="O40" i="34"/>
  <c r="O38" i="34"/>
  <c r="P56" i="34"/>
  <c r="P54" i="34"/>
  <c r="P52" i="34"/>
  <c r="P57" i="34"/>
  <c r="Q39" i="35"/>
  <c r="O39" i="35"/>
  <c r="L39" i="35"/>
  <c r="K39" i="35"/>
  <c r="M39" i="35"/>
  <c r="N39" i="35"/>
  <c r="M29" i="34"/>
  <c r="M27" i="34"/>
  <c r="M25" i="34"/>
  <c r="M28" i="34"/>
  <c r="M26" i="34"/>
  <c r="M24" i="34"/>
  <c r="G30" i="33"/>
  <c r="M50" i="34"/>
  <c r="M48" i="34"/>
  <c r="M46" i="34"/>
  <c r="M49" i="34"/>
  <c r="M47" i="34"/>
  <c r="M45" i="34"/>
  <c r="I28" i="34"/>
  <c r="I26" i="34"/>
  <c r="I24" i="34"/>
  <c r="I29" i="34"/>
  <c r="I27" i="34"/>
  <c r="I25" i="34"/>
  <c r="R15" i="34"/>
  <c r="J15" i="34"/>
  <c r="Q15" i="34"/>
  <c r="I15" i="34"/>
  <c r="F30" i="34"/>
  <c r="P15" i="34"/>
  <c r="P43" i="34"/>
  <c r="P41" i="34"/>
  <c r="P39" i="34"/>
  <c r="R49" i="34"/>
  <c r="R47" i="34"/>
  <c r="R45" i="34"/>
  <c r="H25" i="34"/>
  <c r="P27" i="34"/>
  <c r="N36" i="34"/>
  <c r="H42" i="34"/>
  <c r="O64" i="34"/>
  <c r="J49" i="34"/>
  <c r="J47" i="34"/>
  <c r="J45" i="34"/>
  <c r="J28" i="34"/>
  <c r="J26" i="34"/>
  <c r="J24" i="34"/>
  <c r="J29" i="34"/>
  <c r="J27" i="34"/>
  <c r="J25" i="34"/>
  <c r="G35" i="34"/>
  <c r="G33" i="34"/>
  <c r="G31" i="34"/>
  <c r="G36" i="34"/>
  <c r="G34" i="34"/>
  <c r="G32" i="34"/>
  <c r="Q43" i="34"/>
  <c r="Q41" i="34"/>
  <c r="Q39" i="34"/>
  <c r="Q42" i="34"/>
  <c r="Q40" i="34"/>
  <c r="Q38" i="34"/>
  <c r="K18" i="34"/>
  <c r="R18" i="34"/>
  <c r="J18" i="34"/>
  <c r="Q18" i="34"/>
  <c r="I18" i="34"/>
  <c r="F51" i="34"/>
  <c r="L18" i="34"/>
  <c r="P42" i="34"/>
  <c r="J48" i="34"/>
  <c r="P53" i="34"/>
  <c r="K13" i="34"/>
  <c r="K7" i="34" s="1"/>
  <c r="I7" i="33" s="1"/>
  <c r="I9" i="33" s="1"/>
  <c r="K28" i="34"/>
  <c r="K26" i="34"/>
  <c r="K24" i="34"/>
  <c r="H15" i="34"/>
  <c r="G43" i="34"/>
  <c r="G41" i="34"/>
  <c r="G39" i="34"/>
  <c r="G42" i="34"/>
  <c r="G40" i="34"/>
  <c r="G38" i="34"/>
  <c r="R43" i="34"/>
  <c r="R41" i="34"/>
  <c r="R39" i="34"/>
  <c r="R42" i="34"/>
  <c r="R40" i="34"/>
  <c r="R38" i="34"/>
  <c r="G18" i="34"/>
  <c r="L64" i="34"/>
  <c r="L62" i="34"/>
  <c r="L60" i="34"/>
  <c r="L63" i="34"/>
  <c r="L61" i="34"/>
  <c r="L59" i="34"/>
  <c r="P25" i="34"/>
  <c r="N32" i="34"/>
  <c r="R48" i="34"/>
  <c r="O60" i="34"/>
  <c r="G6" i="35"/>
  <c r="R10" i="34"/>
  <c r="P32" i="33" s="1"/>
  <c r="L29" i="34"/>
  <c r="L27" i="34"/>
  <c r="L25" i="34"/>
  <c r="K15" i="34"/>
  <c r="H43" i="34"/>
  <c r="H41" i="34"/>
  <c r="H39" i="34"/>
  <c r="P50" i="34"/>
  <c r="P48" i="34"/>
  <c r="P46" i="34"/>
  <c r="P49" i="34"/>
  <c r="P47" i="34"/>
  <c r="P45" i="34"/>
  <c r="H18" i="34"/>
  <c r="M64" i="34"/>
  <c r="M62" i="34"/>
  <c r="M60" i="34"/>
  <c r="M63" i="34"/>
  <c r="M61" i="34"/>
  <c r="M59" i="34"/>
  <c r="O28" i="34"/>
  <c r="P38" i="34"/>
  <c r="N16" i="34"/>
  <c r="I17" i="34"/>
  <c r="Q17" i="34"/>
  <c r="J59" i="34"/>
  <c r="R59" i="34"/>
  <c r="J61" i="34"/>
  <c r="R61" i="34"/>
  <c r="J63" i="34"/>
  <c r="R63" i="34"/>
  <c r="D26" i="35"/>
  <c r="H60" i="34"/>
  <c r="H62" i="34"/>
  <c r="H64" i="34"/>
  <c r="D25" i="35"/>
  <c r="D29" i="35"/>
  <c r="J60" i="34"/>
  <c r="R60" i="34"/>
  <c r="J62" i="34"/>
  <c r="R62" i="34"/>
  <c r="D28" i="35"/>
  <c r="N17" i="34"/>
  <c r="N14" i="34"/>
  <c r="L16" i="34"/>
  <c r="L13" i="34" s="1"/>
  <c r="L7" i="34" s="1"/>
  <c r="J7" i="33" s="1"/>
  <c r="J9" i="33" s="1"/>
  <c r="G17" i="34"/>
  <c r="O17" i="34"/>
  <c r="O10" i="34" s="1"/>
  <c r="M32" i="33" s="1"/>
  <c r="H59" i="34"/>
  <c r="H61" i="34"/>
  <c r="G14" i="34"/>
  <c r="M16" i="34"/>
  <c r="H17" i="34"/>
  <c r="Q56" i="34" l="1"/>
  <c r="Q54" i="34"/>
  <c r="Q52" i="34"/>
  <c r="Q57" i="34"/>
  <c r="Q55" i="34"/>
  <c r="Q53" i="34"/>
  <c r="N57" i="34"/>
  <c r="N55" i="34"/>
  <c r="N53" i="34"/>
  <c r="N56" i="34"/>
  <c r="N54" i="34"/>
  <c r="N52" i="34"/>
  <c r="M42" i="34"/>
  <c r="M40" i="34"/>
  <c r="M38" i="34"/>
  <c r="M9" i="34" s="1"/>
  <c r="M43" i="34"/>
  <c r="M41" i="34"/>
  <c r="M39" i="34"/>
  <c r="N50" i="34"/>
  <c r="N48" i="34"/>
  <c r="N46" i="34"/>
  <c r="N49" i="34"/>
  <c r="N47" i="34"/>
  <c r="N45" i="34"/>
  <c r="K36" i="34"/>
  <c r="K34" i="34"/>
  <c r="K32" i="34"/>
  <c r="K35" i="34"/>
  <c r="K33" i="34"/>
  <c r="K31" i="34"/>
  <c r="K10" i="34"/>
  <c r="I32" i="33" s="1"/>
  <c r="J56" i="34"/>
  <c r="J54" i="34"/>
  <c r="J52" i="34"/>
  <c r="J57" i="34"/>
  <c r="J55" i="34"/>
  <c r="J53" i="34"/>
  <c r="J36" i="34"/>
  <c r="J34" i="34"/>
  <c r="J32" i="34"/>
  <c r="J9" i="34" s="1"/>
  <c r="J33" i="34"/>
  <c r="J31" i="34"/>
  <c r="J13" i="34"/>
  <c r="J7" i="34" s="1"/>
  <c r="H7" i="33" s="1"/>
  <c r="H9" i="33" s="1"/>
  <c r="J35" i="34"/>
  <c r="M13" i="34"/>
  <c r="M7" i="34" s="1"/>
  <c r="K7" i="33" s="1"/>
  <c r="K9" i="33" s="1"/>
  <c r="L10" i="34"/>
  <c r="J32" i="33" s="1"/>
  <c r="J25" i="35"/>
  <c r="J12" i="35" s="1"/>
  <c r="Q25" i="35"/>
  <c r="Q12" i="35" s="1"/>
  <c r="P33" i="33" s="1"/>
  <c r="I25" i="35"/>
  <c r="P25" i="35"/>
  <c r="H25" i="35"/>
  <c r="O25" i="35"/>
  <c r="G25" i="35"/>
  <c r="N25" i="35"/>
  <c r="F25" i="35"/>
  <c r="M25" i="35"/>
  <c r="M12" i="35" s="1"/>
  <c r="L33" i="33" s="1"/>
  <c r="K25" i="35"/>
  <c r="L25" i="35"/>
  <c r="Q36" i="34"/>
  <c r="Q34" i="34"/>
  <c r="Q32" i="34"/>
  <c r="Q35" i="34"/>
  <c r="Q33" i="34"/>
  <c r="Q31" i="34"/>
  <c r="Q9" i="34" s="1"/>
  <c r="Q10" i="34"/>
  <c r="O32" i="33" s="1"/>
  <c r="Q13" i="34"/>
  <c r="Q7" i="34" s="1"/>
  <c r="O7" i="33" s="1"/>
  <c r="O9" i="33" s="1"/>
  <c r="G29" i="34"/>
  <c r="G27" i="34"/>
  <c r="G25" i="34"/>
  <c r="G26" i="34"/>
  <c r="G28" i="34"/>
  <c r="G13" i="34"/>
  <c r="G7" i="34" s="1"/>
  <c r="E7" i="33" s="1"/>
  <c r="E9" i="33" s="1"/>
  <c r="G10" i="34"/>
  <c r="E32" i="33" s="1"/>
  <c r="G24" i="34"/>
  <c r="P28" i="35"/>
  <c r="H28" i="35"/>
  <c r="O28" i="35"/>
  <c r="G28" i="35"/>
  <c r="N28" i="35"/>
  <c r="F28" i="35"/>
  <c r="M28" i="35"/>
  <c r="L28" i="35"/>
  <c r="K28" i="35"/>
  <c r="Q28" i="35"/>
  <c r="I28" i="35"/>
  <c r="J28" i="35"/>
  <c r="H5" i="35"/>
  <c r="H6" i="35"/>
  <c r="H35" i="34"/>
  <c r="H33" i="34"/>
  <c r="H31" i="34"/>
  <c r="H9" i="34" s="1"/>
  <c r="H36" i="34"/>
  <c r="H34" i="34"/>
  <c r="H32" i="34"/>
  <c r="R56" i="34"/>
  <c r="R54" i="34"/>
  <c r="R52" i="34"/>
  <c r="R57" i="34"/>
  <c r="R55" i="34"/>
  <c r="R53" i="34"/>
  <c r="R36" i="34"/>
  <c r="R34" i="34"/>
  <c r="R32" i="34"/>
  <c r="R31" i="34"/>
  <c r="R9" i="34" s="1"/>
  <c r="R35" i="34"/>
  <c r="R33" i="34"/>
  <c r="N11" i="35"/>
  <c r="M31" i="33"/>
  <c r="K57" i="34"/>
  <c r="K9" i="34" s="1"/>
  <c r="K55" i="34"/>
  <c r="K53" i="34"/>
  <c r="K56" i="34"/>
  <c r="K54" i="34"/>
  <c r="K52" i="34"/>
  <c r="M10" i="34"/>
  <c r="K32" i="33" s="1"/>
  <c r="H50" i="34"/>
  <c r="H48" i="34"/>
  <c r="H46" i="34"/>
  <c r="H49" i="34"/>
  <c r="H47" i="34"/>
  <c r="H45" i="34"/>
  <c r="Q11" i="35"/>
  <c r="P31" i="33"/>
  <c r="H13" i="34"/>
  <c r="H7" i="34" s="1"/>
  <c r="F7" i="33" s="1"/>
  <c r="F9" i="33" s="1"/>
  <c r="L26" i="35"/>
  <c r="K26" i="35"/>
  <c r="J26" i="35"/>
  <c r="Q26" i="35"/>
  <c r="I26" i="35"/>
  <c r="P26" i="35"/>
  <c r="H26" i="35"/>
  <c r="O26" i="35"/>
  <c r="G26" i="35"/>
  <c r="M26" i="35"/>
  <c r="N26" i="35"/>
  <c r="F26" i="35"/>
  <c r="I49" i="34"/>
  <c r="I47" i="34"/>
  <c r="I45" i="34"/>
  <c r="I50" i="34"/>
  <c r="I48" i="34"/>
  <c r="I46" i="34"/>
  <c r="M11" i="35"/>
  <c r="L31" i="33"/>
  <c r="K6" i="34"/>
  <c r="K5" i="34"/>
  <c r="Q49" i="34"/>
  <c r="Q47" i="34"/>
  <c r="Q45" i="34"/>
  <c r="Q50" i="34"/>
  <c r="Q48" i="34"/>
  <c r="Q46" i="34"/>
  <c r="O50" i="34"/>
  <c r="O48" i="34"/>
  <c r="O46" i="34"/>
  <c r="O9" i="34" s="1"/>
  <c r="O49" i="34"/>
  <c r="O47" i="34"/>
  <c r="O45" i="34"/>
  <c r="N42" i="34"/>
  <c r="N40" i="34"/>
  <c r="N38" i="34"/>
  <c r="N43" i="34"/>
  <c r="N41" i="34"/>
  <c r="N39" i="34"/>
  <c r="G56" i="34"/>
  <c r="G54" i="34"/>
  <c r="G52" i="34"/>
  <c r="G57" i="34"/>
  <c r="G55" i="34"/>
  <c r="G53" i="34"/>
  <c r="L57" i="34"/>
  <c r="L55" i="34"/>
  <c r="L53" i="34"/>
  <c r="L54" i="34"/>
  <c r="L52" i="34"/>
  <c r="L56" i="34"/>
  <c r="P35" i="34"/>
  <c r="P33" i="34"/>
  <c r="P31" i="34"/>
  <c r="P36" i="34"/>
  <c r="P34" i="34"/>
  <c r="P32" i="34"/>
  <c r="P13" i="34"/>
  <c r="P7" i="34" s="1"/>
  <c r="N7" i="33" s="1"/>
  <c r="N9" i="33" s="1"/>
  <c r="P10" i="34"/>
  <c r="N32" i="33" s="1"/>
  <c r="K11" i="35"/>
  <c r="J31" i="33"/>
  <c r="P9" i="34"/>
  <c r="N29" i="34"/>
  <c r="N27" i="34"/>
  <c r="N25" i="34"/>
  <c r="N28" i="34"/>
  <c r="N26" i="34"/>
  <c r="N24" i="34"/>
  <c r="N13" i="34"/>
  <c r="N7" i="34" s="1"/>
  <c r="L7" i="33" s="1"/>
  <c r="L9" i="33" s="1"/>
  <c r="N10" i="34"/>
  <c r="L32" i="33" s="1"/>
  <c r="G50" i="34"/>
  <c r="G48" i="34"/>
  <c r="G46" i="34"/>
  <c r="G49" i="34"/>
  <c r="G47" i="34"/>
  <c r="G45" i="34"/>
  <c r="H10" i="34"/>
  <c r="F32" i="33" s="1"/>
  <c r="L11" i="35"/>
  <c r="K31" i="33"/>
  <c r="L42" i="34"/>
  <c r="L40" i="34"/>
  <c r="L38" i="34"/>
  <c r="L43" i="34"/>
  <c r="L39" i="34"/>
  <c r="L9" i="34" s="1"/>
  <c r="L41" i="34"/>
  <c r="J29" i="35"/>
  <c r="Q29" i="35"/>
  <c r="I29" i="35"/>
  <c r="P29" i="35"/>
  <c r="H29" i="35"/>
  <c r="O29" i="35"/>
  <c r="G29" i="35"/>
  <c r="N29" i="35"/>
  <c r="F29" i="35"/>
  <c r="M29" i="35"/>
  <c r="K29" i="35"/>
  <c r="L29" i="35"/>
  <c r="H56" i="34"/>
  <c r="H54" i="34"/>
  <c r="H52" i="34"/>
  <c r="H55" i="34"/>
  <c r="H53" i="34"/>
  <c r="H57" i="34"/>
  <c r="J10" i="34"/>
  <c r="H32" i="33" s="1"/>
  <c r="O13" i="34"/>
  <c r="O7" i="34" s="1"/>
  <c r="M7" i="33" s="1"/>
  <c r="M9" i="33" s="1"/>
  <c r="I56" i="34"/>
  <c r="I54" i="34"/>
  <c r="I52" i="34"/>
  <c r="I57" i="34"/>
  <c r="I55" i="34"/>
  <c r="I53" i="34"/>
  <c r="I36" i="34"/>
  <c r="I34" i="34"/>
  <c r="I32" i="34"/>
  <c r="I35" i="34"/>
  <c r="I33" i="34"/>
  <c r="I9" i="34" s="1"/>
  <c r="I31" i="34"/>
  <c r="I10" i="34"/>
  <c r="G32" i="33" s="1"/>
  <c r="I13" i="34"/>
  <c r="I7" i="34" s="1"/>
  <c r="G7" i="33" s="1"/>
  <c r="G9" i="33" s="1"/>
  <c r="N31" i="33"/>
  <c r="O11" i="35"/>
  <c r="R13" i="34"/>
  <c r="R7" i="34" s="1"/>
  <c r="P7" i="33" s="1"/>
  <c r="P9" i="33" s="1"/>
  <c r="M8" i="34" l="1"/>
  <c r="K29" i="33"/>
  <c r="I29" i="33"/>
  <c r="K8" i="34"/>
  <c r="J8" i="34"/>
  <c r="H29" i="33"/>
  <c r="Q8" i="34"/>
  <c r="O29" i="33"/>
  <c r="O8" i="34"/>
  <c r="M29" i="33"/>
  <c r="H8" i="34"/>
  <c r="F29" i="33"/>
  <c r="R8" i="34"/>
  <c r="P29" i="33"/>
  <c r="P28" i="33" s="1"/>
  <c r="P83" i="33" s="1"/>
  <c r="I8" i="34"/>
  <c r="G29" i="33"/>
  <c r="L8" i="34"/>
  <c r="J29" i="33"/>
  <c r="I33" i="33"/>
  <c r="J9" i="35"/>
  <c r="N9" i="34"/>
  <c r="N12" i="35"/>
  <c r="M33" i="33" s="1"/>
  <c r="L5" i="34"/>
  <c r="L6" i="34"/>
  <c r="G12" i="35"/>
  <c r="I5" i="35"/>
  <c r="I6" i="35"/>
  <c r="Q9" i="35"/>
  <c r="O12" i="35"/>
  <c r="N33" i="33" s="1"/>
  <c r="M9" i="35"/>
  <c r="G9" i="34"/>
  <c r="L12" i="35"/>
  <c r="K33" i="33" s="1"/>
  <c r="P12" i="35"/>
  <c r="F12" i="35"/>
  <c r="H12" i="35"/>
  <c r="L9" i="35"/>
  <c r="K12" i="35"/>
  <c r="J33" i="33" s="1"/>
  <c r="I12" i="35"/>
  <c r="N29" i="33"/>
  <c r="P8" i="34"/>
  <c r="N9" i="35" l="1"/>
  <c r="O9" i="35"/>
  <c r="E33" i="33"/>
  <c r="F9" i="35"/>
  <c r="J5" i="35"/>
  <c r="J6" i="35"/>
  <c r="L29" i="33"/>
  <c r="L28" i="33" s="1"/>
  <c r="L83" i="33" s="1"/>
  <c r="N8" i="34"/>
  <c r="K9" i="35"/>
  <c r="O33" i="33"/>
  <c r="O28" i="33" s="1"/>
  <c r="O83" i="33" s="1"/>
  <c r="P9" i="35"/>
  <c r="F28" i="33"/>
  <c r="F83" i="33" s="1"/>
  <c r="G33" i="33"/>
  <c r="G28" i="33" s="1"/>
  <c r="G83" i="33" s="1"/>
  <c r="H9" i="35"/>
  <c r="F33" i="33"/>
  <c r="G9" i="35"/>
  <c r="I28" i="33"/>
  <c r="I83" i="33" s="1"/>
  <c r="G8" i="34"/>
  <c r="E29" i="33"/>
  <c r="M5" i="34"/>
  <c r="M6" i="34"/>
  <c r="J28" i="33"/>
  <c r="J83" i="33" s="1"/>
  <c r="M28" i="33"/>
  <c r="M83" i="33" s="1"/>
  <c r="K28" i="33"/>
  <c r="K83" i="33" s="1"/>
  <c r="N28" i="33"/>
  <c r="N83" i="33" s="1"/>
  <c r="H33" i="33"/>
  <c r="H28" i="33" s="1"/>
  <c r="H83" i="33" s="1"/>
  <c r="I9" i="35"/>
  <c r="E28" i="33" l="1"/>
  <c r="S29" i="33"/>
  <c r="T29" i="33" s="1"/>
  <c r="N5" i="34"/>
  <c r="N6" i="34"/>
  <c r="K6" i="35"/>
  <c r="K5" i="35"/>
  <c r="E83" i="33" l="1"/>
  <c r="Q83" i="33" s="1"/>
  <c r="S28" i="33"/>
  <c r="T28" i="33" s="1"/>
  <c r="U28" i="33" s="1"/>
  <c r="L6" i="35"/>
  <c r="L5" i="35"/>
  <c r="O6" i="34"/>
  <c r="O5" i="34"/>
  <c r="P6" i="34" l="1"/>
  <c r="P5" i="34"/>
  <c r="M6" i="35"/>
  <c r="M5" i="35"/>
  <c r="N5" i="35" l="1"/>
  <c r="N6" i="35"/>
  <c r="Q6" i="34"/>
  <c r="Q5" i="34"/>
  <c r="R6" i="34" l="1"/>
  <c r="R5" i="34"/>
  <c r="O5" i="35"/>
  <c r="O6" i="35"/>
  <c r="P5" i="35" l="1"/>
  <c r="P6" i="35"/>
  <c r="Q5" i="35" l="1"/>
  <c r="Q6" i="35"/>
  <c r="U28" i="30" l="1"/>
  <c r="U28" i="24"/>
  <c r="U28" i="21"/>
  <c r="M5" i="6"/>
  <c r="L5" i="6"/>
  <c r="S11" i="10"/>
  <c r="D14" i="10"/>
  <c r="D13" i="10" s="1"/>
  <c r="F8" i="8"/>
  <c r="G8" i="8"/>
  <c r="H8" i="8"/>
  <c r="I8" i="8"/>
  <c r="J8" i="8"/>
  <c r="K8" i="8"/>
  <c r="L8" i="8"/>
  <c r="M8" i="8"/>
  <c r="N8" i="8"/>
  <c r="O8" i="8"/>
  <c r="P8" i="8"/>
  <c r="E8" i="8"/>
  <c r="R344" i="2"/>
  <c r="R343" i="2" s="1"/>
  <c r="R345" i="2"/>
  <c r="R346" i="2"/>
  <c r="H343" i="2"/>
  <c r="O343" i="2"/>
  <c r="P343" i="2"/>
  <c r="H344" i="2"/>
  <c r="I344" i="2"/>
  <c r="I343" i="2" s="1"/>
  <c r="J344" i="2"/>
  <c r="J343" i="2" s="1"/>
  <c r="K344" i="2"/>
  <c r="K343" i="2" s="1"/>
  <c r="L344" i="2"/>
  <c r="L343" i="2" s="1"/>
  <c r="M344" i="2"/>
  <c r="M343" i="2" s="1"/>
  <c r="N344" i="2"/>
  <c r="N343" i="2" s="1"/>
  <c r="O344" i="2"/>
  <c r="P344" i="2"/>
  <c r="Q344" i="2"/>
  <c r="Q343" i="2" s="1"/>
  <c r="H345" i="2"/>
  <c r="I345" i="2"/>
  <c r="J345" i="2"/>
  <c r="K345" i="2"/>
  <c r="L345" i="2"/>
  <c r="M345" i="2"/>
  <c r="N345" i="2"/>
  <c r="O345" i="2"/>
  <c r="P345" i="2"/>
  <c r="Q345" i="2"/>
  <c r="H346" i="2"/>
  <c r="I346" i="2"/>
  <c r="J346" i="2"/>
  <c r="K346" i="2"/>
  <c r="L346" i="2"/>
  <c r="M346" i="2"/>
  <c r="N346" i="2"/>
  <c r="O346" i="2"/>
  <c r="P346" i="2"/>
  <c r="Q346" i="2"/>
  <c r="G346" i="2"/>
  <c r="G345" i="2"/>
  <c r="G344" i="2"/>
  <c r="T28" i="30"/>
  <c r="S28" i="30"/>
  <c r="T33" i="30"/>
  <c r="S33" i="30"/>
  <c r="S32" i="30"/>
  <c r="T32" i="30" s="1"/>
  <c r="S31" i="30"/>
  <c r="T31" i="30" s="1"/>
  <c r="S30" i="30"/>
  <c r="T30" i="30" s="1"/>
  <c r="T29" i="30"/>
  <c r="S29" i="30"/>
  <c r="H22" i="31"/>
  <c r="I22" i="31"/>
  <c r="J22" i="31"/>
  <c r="K22" i="31"/>
  <c r="L22" i="31"/>
  <c r="M22" i="31"/>
  <c r="N22" i="31"/>
  <c r="O22" i="31"/>
  <c r="P22" i="31"/>
  <c r="Q22" i="31"/>
  <c r="R22" i="31"/>
  <c r="G22" i="31"/>
  <c r="G343" i="2" l="1"/>
  <c r="Q77" i="32"/>
  <c r="P77" i="32"/>
  <c r="O77" i="32"/>
  <c r="N77" i="32"/>
  <c r="M77" i="32"/>
  <c r="L77" i="32"/>
  <c r="K77" i="32"/>
  <c r="J77" i="32"/>
  <c r="I77" i="32"/>
  <c r="H77" i="32"/>
  <c r="G77" i="32"/>
  <c r="F77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Q75" i="32"/>
  <c r="O75" i="32"/>
  <c r="N75" i="32"/>
  <c r="L75" i="32"/>
  <c r="J75" i="32"/>
  <c r="I75" i="32"/>
  <c r="G75" i="32"/>
  <c r="P74" i="32"/>
  <c r="M74" i="32"/>
  <c r="K74" i="32"/>
  <c r="H74" i="32"/>
  <c r="Q73" i="32"/>
  <c r="P73" i="32"/>
  <c r="O73" i="32"/>
  <c r="M73" i="32"/>
  <c r="L73" i="32"/>
  <c r="K73" i="32"/>
  <c r="I73" i="32"/>
  <c r="H73" i="32"/>
  <c r="G73" i="32"/>
  <c r="Q71" i="32"/>
  <c r="O71" i="32"/>
  <c r="M71" i="32"/>
  <c r="K71" i="32"/>
  <c r="I71" i="32"/>
  <c r="G71" i="32"/>
  <c r="Q70" i="32"/>
  <c r="O70" i="32"/>
  <c r="M70" i="32"/>
  <c r="K70" i="32"/>
  <c r="I70" i="32"/>
  <c r="G70" i="32"/>
  <c r="Q69" i="32"/>
  <c r="O69" i="32"/>
  <c r="N69" i="32"/>
  <c r="L69" i="32"/>
  <c r="J69" i="32"/>
  <c r="I69" i="32"/>
  <c r="G69" i="32"/>
  <c r="Q68" i="32"/>
  <c r="M68" i="32"/>
  <c r="I68" i="32"/>
  <c r="Q67" i="32"/>
  <c r="O67" i="32"/>
  <c r="M67" i="32"/>
  <c r="K67" i="32"/>
  <c r="I67" i="32"/>
  <c r="G67" i="32"/>
  <c r="O65" i="32"/>
  <c r="M65" i="32"/>
  <c r="J65" i="32"/>
  <c r="H65" i="32"/>
  <c r="Q64" i="32"/>
  <c r="P64" i="32"/>
  <c r="O64" i="32"/>
  <c r="M64" i="32"/>
  <c r="L64" i="32"/>
  <c r="K64" i="32"/>
  <c r="I64" i="32"/>
  <c r="H64" i="32"/>
  <c r="G64" i="32"/>
  <c r="Q63" i="32"/>
  <c r="N63" i="32"/>
  <c r="K63" i="32"/>
  <c r="H63" i="32"/>
  <c r="Q62" i="32"/>
  <c r="N62" i="32"/>
  <c r="K62" i="32"/>
  <c r="H62" i="32"/>
  <c r="Q61" i="32"/>
  <c r="O61" i="32"/>
  <c r="N61" i="32"/>
  <c r="L61" i="32"/>
  <c r="J61" i="32"/>
  <c r="I61" i="32"/>
  <c r="G61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O58" i="32"/>
  <c r="M58" i="32"/>
  <c r="J58" i="32"/>
  <c r="H58" i="32"/>
  <c r="Q57" i="32"/>
  <c r="O57" i="32"/>
  <c r="M57" i="32"/>
  <c r="K57" i="32"/>
  <c r="I57" i="32"/>
  <c r="G57" i="32"/>
  <c r="P56" i="32"/>
  <c r="M56" i="32"/>
  <c r="K56" i="32"/>
  <c r="H56" i="32"/>
  <c r="Q55" i="32"/>
  <c r="P55" i="32"/>
  <c r="O55" i="32"/>
  <c r="M55" i="32"/>
  <c r="L55" i="32"/>
  <c r="K55" i="32"/>
  <c r="I55" i="32"/>
  <c r="H55" i="32"/>
  <c r="G55" i="32"/>
  <c r="Q53" i="32"/>
  <c r="P53" i="32"/>
  <c r="O53" i="32"/>
  <c r="M53" i="32"/>
  <c r="L53" i="32"/>
  <c r="K53" i="32"/>
  <c r="I53" i="32"/>
  <c r="H53" i="32"/>
  <c r="G53" i="32"/>
  <c r="Q52" i="32"/>
  <c r="O52" i="32"/>
  <c r="N52" i="32"/>
  <c r="L52" i="32"/>
  <c r="J52" i="32"/>
  <c r="I52" i="32"/>
  <c r="G52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O50" i="32"/>
  <c r="M50" i="32"/>
  <c r="J50" i="32"/>
  <c r="H50" i="32"/>
  <c r="P49" i="32"/>
  <c r="M49" i="32"/>
  <c r="K49" i="32"/>
  <c r="H49" i="32"/>
  <c r="Q48" i="32"/>
  <c r="P48" i="32"/>
  <c r="O48" i="32"/>
  <c r="M48" i="32"/>
  <c r="L48" i="32"/>
  <c r="K48" i="32"/>
  <c r="I48" i="32"/>
  <c r="H48" i="32"/>
  <c r="G48" i="32"/>
  <c r="N46" i="32"/>
  <c r="K45" i="32"/>
  <c r="H45" i="32"/>
  <c r="Q44" i="32"/>
  <c r="O44" i="32"/>
  <c r="M44" i="32"/>
  <c r="K44" i="32"/>
  <c r="I44" i="32"/>
  <c r="G44" i="32"/>
  <c r="Q43" i="32"/>
  <c r="Q39" i="32" s="1"/>
  <c r="Q11" i="32" s="1"/>
  <c r="O43" i="32"/>
  <c r="N43" i="32"/>
  <c r="L43" i="32"/>
  <c r="J43" i="32"/>
  <c r="I43" i="32"/>
  <c r="G43" i="32"/>
  <c r="Q42" i="32"/>
  <c r="O42" i="32"/>
  <c r="O39" i="32" s="1"/>
  <c r="M42" i="32"/>
  <c r="K42" i="32"/>
  <c r="I42" i="32"/>
  <c r="G42" i="32"/>
  <c r="Q41" i="32"/>
  <c r="P41" i="32"/>
  <c r="O41" i="32"/>
  <c r="N41" i="32"/>
  <c r="N39" i="32" s="1"/>
  <c r="N11" i="32" s="1"/>
  <c r="M41" i="32"/>
  <c r="L41" i="32"/>
  <c r="L39" i="32" s="1"/>
  <c r="L11" i="32" s="1"/>
  <c r="K41" i="32"/>
  <c r="J41" i="32"/>
  <c r="I41" i="32"/>
  <c r="H41" i="32"/>
  <c r="G41" i="32"/>
  <c r="F41" i="32"/>
  <c r="F39" i="32" s="1"/>
  <c r="J39" i="32"/>
  <c r="J11" i="32" s="1"/>
  <c r="G39" i="32"/>
  <c r="G11" i="32" s="1"/>
  <c r="Q38" i="32"/>
  <c r="P38" i="32"/>
  <c r="O38" i="32"/>
  <c r="N38" i="32"/>
  <c r="M38" i="32"/>
  <c r="L38" i="32"/>
  <c r="K38" i="32"/>
  <c r="J38" i="32"/>
  <c r="I38" i="32"/>
  <c r="H38" i="32"/>
  <c r="G38" i="32"/>
  <c r="F38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Q35" i="32"/>
  <c r="P35" i="32"/>
  <c r="O35" i="32"/>
  <c r="O33" i="32" s="1"/>
  <c r="N35" i="32"/>
  <c r="M35" i="32"/>
  <c r="L35" i="32"/>
  <c r="K35" i="32"/>
  <c r="J35" i="32"/>
  <c r="I35" i="32"/>
  <c r="H35" i="32"/>
  <c r="G35" i="32"/>
  <c r="G33" i="32" s="1"/>
  <c r="F35" i="32"/>
  <c r="Q34" i="32"/>
  <c r="P34" i="32"/>
  <c r="O34" i="32"/>
  <c r="N34" i="32"/>
  <c r="N33" i="32" s="1"/>
  <c r="N10" i="32" s="1"/>
  <c r="M34" i="32"/>
  <c r="M33" i="32" s="1"/>
  <c r="M10" i="32" s="1"/>
  <c r="L34" i="32"/>
  <c r="L33" i="32" s="1"/>
  <c r="L10" i="32" s="1"/>
  <c r="K34" i="32"/>
  <c r="K33" i="32" s="1"/>
  <c r="K10" i="32" s="1"/>
  <c r="J34" i="32"/>
  <c r="I34" i="32"/>
  <c r="H34" i="32"/>
  <c r="G34" i="32"/>
  <c r="F34" i="32"/>
  <c r="F33" i="32" s="1"/>
  <c r="F10" i="32" s="1"/>
  <c r="Q33" i="32"/>
  <c r="Q10" i="32" s="1"/>
  <c r="P33" i="32"/>
  <c r="P10" i="32" s="1"/>
  <c r="J33" i="32"/>
  <c r="I33" i="32"/>
  <c r="I10" i="32" s="1"/>
  <c r="H33" i="32"/>
  <c r="H10" i="32" s="1"/>
  <c r="B29" i="32"/>
  <c r="B28" i="32"/>
  <c r="D27" i="32"/>
  <c r="B27" i="32"/>
  <c r="D26" i="32"/>
  <c r="B26" i="32"/>
  <c r="B25" i="32"/>
  <c r="D23" i="32"/>
  <c r="D29" i="32" s="1"/>
  <c r="Q16" i="32"/>
  <c r="Q8" i="32" s="1"/>
  <c r="P16" i="32"/>
  <c r="P8" i="32" s="1"/>
  <c r="O16" i="32"/>
  <c r="O8" i="32" s="1"/>
  <c r="N16" i="32"/>
  <c r="N8" i="32" s="1"/>
  <c r="M8" i="30" s="1"/>
  <c r="M16" i="32"/>
  <c r="L16" i="32"/>
  <c r="K16" i="32"/>
  <c r="J16" i="32"/>
  <c r="I16" i="32"/>
  <c r="I8" i="32" s="1"/>
  <c r="H16" i="32"/>
  <c r="H8" i="32" s="1"/>
  <c r="G16" i="32"/>
  <c r="G8" i="32" s="1"/>
  <c r="F16" i="32"/>
  <c r="F8" i="32" s="1"/>
  <c r="E8" i="30" s="1"/>
  <c r="F11" i="32"/>
  <c r="J10" i="32"/>
  <c r="M8" i="32"/>
  <c r="L8" i="32"/>
  <c r="K8" i="32"/>
  <c r="J8" i="32"/>
  <c r="F6" i="32"/>
  <c r="E6" i="32"/>
  <c r="Q4" i="32"/>
  <c r="N4" i="32"/>
  <c r="O4" i="32" s="1"/>
  <c r="P4" i="32" s="1"/>
  <c r="I4" i="32"/>
  <c r="J4" i="32" s="1"/>
  <c r="K4" i="32" s="1"/>
  <c r="L4" i="32" s="1"/>
  <c r="M4" i="32" s="1"/>
  <c r="H4" i="32"/>
  <c r="G4" i="32"/>
  <c r="Q64" i="31"/>
  <c r="P64" i="31"/>
  <c r="N64" i="31"/>
  <c r="K64" i="31"/>
  <c r="I64" i="31"/>
  <c r="G64" i="31"/>
  <c r="R63" i="31"/>
  <c r="P63" i="31"/>
  <c r="N63" i="31"/>
  <c r="M63" i="31"/>
  <c r="K63" i="31"/>
  <c r="I63" i="31"/>
  <c r="G63" i="31"/>
  <c r="Q62" i="31"/>
  <c r="P62" i="31"/>
  <c r="N62" i="31"/>
  <c r="K62" i="31"/>
  <c r="I62" i="31"/>
  <c r="G62" i="31"/>
  <c r="R61" i="31"/>
  <c r="P61" i="31"/>
  <c r="N61" i="31"/>
  <c r="M61" i="31"/>
  <c r="K61" i="31"/>
  <c r="I61" i="31"/>
  <c r="G61" i="31"/>
  <c r="Q60" i="31"/>
  <c r="P60" i="31"/>
  <c r="N60" i="31"/>
  <c r="K60" i="31"/>
  <c r="I60" i="31"/>
  <c r="G60" i="31"/>
  <c r="R59" i="31"/>
  <c r="P59" i="31"/>
  <c r="N59" i="31"/>
  <c r="M59" i="31"/>
  <c r="K59" i="31"/>
  <c r="I59" i="31"/>
  <c r="G59" i="31"/>
  <c r="E58" i="31"/>
  <c r="R57" i="31"/>
  <c r="J57" i="31"/>
  <c r="G57" i="31"/>
  <c r="N56" i="31"/>
  <c r="K56" i="31"/>
  <c r="R55" i="31"/>
  <c r="J55" i="31"/>
  <c r="N54" i="31"/>
  <c r="K54" i="31"/>
  <c r="R53" i="31"/>
  <c r="O53" i="31"/>
  <c r="J53" i="31"/>
  <c r="N52" i="31"/>
  <c r="K52" i="31"/>
  <c r="F51" i="31"/>
  <c r="E51" i="31"/>
  <c r="Q50" i="31"/>
  <c r="L50" i="31"/>
  <c r="I50" i="31"/>
  <c r="M49" i="31"/>
  <c r="Q48" i="31"/>
  <c r="L48" i="31"/>
  <c r="I48" i="31"/>
  <c r="P47" i="31"/>
  <c r="M47" i="31"/>
  <c r="Q46" i="31"/>
  <c r="L46" i="31"/>
  <c r="I46" i="31"/>
  <c r="M45" i="31"/>
  <c r="H45" i="31"/>
  <c r="F44" i="31"/>
  <c r="E44" i="31"/>
  <c r="N43" i="31"/>
  <c r="K43" i="31"/>
  <c r="R42" i="31"/>
  <c r="O42" i="31"/>
  <c r="J42" i="31"/>
  <c r="G42" i="31"/>
  <c r="N41" i="31"/>
  <c r="K41" i="31"/>
  <c r="R40" i="31"/>
  <c r="J40" i="31"/>
  <c r="G40" i="31"/>
  <c r="N39" i="31"/>
  <c r="K39" i="31"/>
  <c r="R38" i="31"/>
  <c r="O38" i="31"/>
  <c r="J38" i="31"/>
  <c r="F37" i="31"/>
  <c r="E37" i="31"/>
  <c r="H36" i="31"/>
  <c r="Q35" i="31"/>
  <c r="L35" i="31"/>
  <c r="I35" i="31"/>
  <c r="Q33" i="31"/>
  <c r="L33" i="31"/>
  <c r="I33" i="31"/>
  <c r="H32" i="31"/>
  <c r="Q31" i="31"/>
  <c r="L31" i="31"/>
  <c r="I31" i="31"/>
  <c r="E30" i="31"/>
  <c r="O29" i="31"/>
  <c r="G29" i="31"/>
  <c r="O27" i="31"/>
  <c r="G27" i="31"/>
  <c r="O25" i="31"/>
  <c r="G25" i="31"/>
  <c r="F23" i="31"/>
  <c r="E23" i="31"/>
  <c r="R19" i="31"/>
  <c r="R64" i="31" s="1"/>
  <c r="Q19" i="31"/>
  <c r="Q63" i="31" s="1"/>
  <c r="O19" i="31"/>
  <c r="M19" i="31"/>
  <c r="M64" i="31" s="1"/>
  <c r="L19" i="31"/>
  <c r="L64" i="31" s="1"/>
  <c r="J19" i="31"/>
  <c r="J59" i="31" s="1"/>
  <c r="H19" i="31"/>
  <c r="H63" i="31" s="1"/>
  <c r="R18" i="31"/>
  <c r="R56" i="31" s="1"/>
  <c r="Q18" i="31"/>
  <c r="Q56" i="31" s="1"/>
  <c r="P18" i="31"/>
  <c r="P56" i="31" s="1"/>
  <c r="O18" i="31"/>
  <c r="O57" i="31" s="1"/>
  <c r="N18" i="31"/>
  <c r="N57" i="31" s="1"/>
  <c r="M18" i="31"/>
  <c r="M57" i="31" s="1"/>
  <c r="L18" i="31"/>
  <c r="K18" i="31"/>
  <c r="K57" i="31" s="1"/>
  <c r="J18" i="31"/>
  <c r="J56" i="31" s="1"/>
  <c r="I18" i="31"/>
  <c r="I56" i="31" s="1"/>
  <c r="H18" i="31"/>
  <c r="H56" i="31" s="1"/>
  <c r="G18" i="31"/>
  <c r="G55" i="31" s="1"/>
  <c r="R17" i="31"/>
  <c r="R49" i="31" s="1"/>
  <c r="Q17" i="31"/>
  <c r="Q49" i="31" s="1"/>
  <c r="P17" i="31"/>
  <c r="O17" i="31"/>
  <c r="O50" i="31" s="1"/>
  <c r="N17" i="31"/>
  <c r="N50" i="31" s="1"/>
  <c r="M17" i="31"/>
  <c r="M50" i="31" s="1"/>
  <c r="L17" i="31"/>
  <c r="L49" i="31" s="1"/>
  <c r="K17" i="31"/>
  <c r="J17" i="31"/>
  <c r="J49" i="31" s="1"/>
  <c r="I17" i="31"/>
  <c r="I49" i="31" s="1"/>
  <c r="H17" i="31"/>
  <c r="G17" i="31"/>
  <c r="G50" i="31" s="1"/>
  <c r="R16" i="31"/>
  <c r="R43" i="31" s="1"/>
  <c r="Q16" i="31"/>
  <c r="Q43" i="31" s="1"/>
  <c r="P16" i="31"/>
  <c r="P43" i="31" s="1"/>
  <c r="O16" i="31"/>
  <c r="O40" i="31" s="1"/>
  <c r="N16" i="31"/>
  <c r="N42" i="31" s="1"/>
  <c r="M16" i="31"/>
  <c r="M42" i="31" s="1"/>
  <c r="L16" i="31"/>
  <c r="K16" i="31"/>
  <c r="K42" i="31" s="1"/>
  <c r="J16" i="31"/>
  <c r="J43" i="31" s="1"/>
  <c r="I16" i="31"/>
  <c r="I43" i="31" s="1"/>
  <c r="H16" i="31"/>
  <c r="H43" i="31" s="1"/>
  <c r="G16" i="31"/>
  <c r="G38" i="31" s="1"/>
  <c r="R15" i="31"/>
  <c r="R36" i="31" s="1"/>
  <c r="Q15" i="31"/>
  <c r="Q36" i="31" s="1"/>
  <c r="P15" i="31"/>
  <c r="P36" i="31" s="1"/>
  <c r="L15" i="31"/>
  <c r="L36" i="31" s="1"/>
  <c r="K15" i="31"/>
  <c r="J15" i="31"/>
  <c r="J36" i="31" s="1"/>
  <c r="I15" i="31"/>
  <c r="I36" i="31" s="1"/>
  <c r="H15" i="31"/>
  <c r="H34" i="31" s="1"/>
  <c r="E15" i="31"/>
  <c r="O15" i="31" s="1"/>
  <c r="Q14" i="31"/>
  <c r="Q13" i="31" s="1"/>
  <c r="Q7" i="31" s="1"/>
  <c r="P14" i="31"/>
  <c r="O14" i="31"/>
  <c r="M14" i="31"/>
  <c r="I14" i="31"/>
  <c r="I13" i="31" s="1"/>
  <c r="I7" i="31" s="1"/>
  <c r="H14" i="31"/>
  <c r="G14" i="31"/>
  <c r="E14" i="31"/>
  <c r="L14" i="31" s="1"/>
  <c r="Q10" i="31"/>
  <c r="O32" i="30" s="1"/>
  <c r="I10" i="31"/>
  <c r="H6" i="31"/>
  <c r="I5" i="31" s="1"/>
  <c r="G6" i="31"/>
  <c r="H5" i="31" s="1"/>
  <c r="H4" i="31"/>
  <c r="I4" i="31" s="1"/>
  <c r="J4" i="31" s="1"/>
  <c r="K4" i="31" s="1"/>
  <c r="L4" i="31" s="1"/>
  <c r="M4" i="31" s="1"/>
  <c r="N4" i="31" s="1"/>
  <c r="O4" i="31" s="1"/>
  <c r="P4" i="31" s="1"/>
  <c r="Q4" i="31" s="1"/>
  <c r="R4" i="31" s="1"/>
  <c r="G4" i="31"/>
  <c r="C47" i="30"/>
  <c r="C44" i="30"/>
  <c r="C41" i="30"/>
  <c r="C38" i="30"/>
  <c r="G32" i="30"/>
  <c r="P31" i="30"/>
  <c r="M31" i="30"/>
  <c r="K31" i="30"/>
  <c r="F31" i="30"/>
  <c r="E31" i="30"/>
  <c r="P30" i="30"/>
  <c r="O30" i="30"/>
  <c r="M30" i="30"/>
  <c r="L30" i="30"/>
  <c r="K30" i="30"/>
  <c r="I30" i="30"/>
  <c r="H30" i="30"/>
  <c r="G30" i="30"/>
  <c r="E30" i="30"/>
  <c r="P8" i="30"/>
  <c r="O8" i="30"/>
  <c r="N8" i="30"/>
  <c r="L8" i="30"/>
  <c r="K8" i="30"/>
  <c r="J8" i="30"/>
  <c r="I8" i="30"/>
  <c r="H8" i="30"/>
  <c r="G8" i="30"/>
  <c r="F8" i="30"/>
  <c r="O7" i="30"/>
  <c r="G7" i="30"/>
  <c r="A5" i="30"/>
  <c r="A6" i="30" s="1"/>
  <c r="A7" i="30" s="1"/>
  <c r="A8" i="30" s="1"/>
  <c r="A10" i="30" s="1"/>
  <c r="A11" i="30" s="1"/>
  <c r="A12" i="30" s="1"/>
  <c r="A13" i="30" s="1"/>
  <c r="A14" i="30" s="1"/>
  <c r="A17" i="30" s="1"/>
  <c r="A18" i="30" s="1"/>
  <c r="A19" i="30" s="1"/>
  <c r="A21" i="30" s="1"/>
  <c r="A22" i="30" s="1"/>
  <c r="A23" i="30" s="1"/>
  <c r="A24" i="30" s="1"/>
  <c r="A25" i="30" s="1"/>
  <c r="A26" i="30" s="1"/>
  <c r="A28" i="30" s="1"/>
  <c r="A29" i="30" s="1"/>
  <c r="A30" i="30" s="1"/>
  <c r="A31" i="30" s="1"/>
  <c r="A32" i="30" s="1"/>
  <c r="A33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8" i="30" s="1"/>
  <c r="A79" i="30" s="1"/>
  <c r="A80" i="30" s="1"/>
  <c r="E4" i="30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P4" i="30" s="1"/>
  <c r="G10" i="32" l="1"/>
  <c r="F30" i="30"/>
  <c r="O10" i="32"/>
  <c r="N30" i="30"/>
  <c r="O11" i="32"/>
  <c r="N31" i="30"/>
  <c r="I6" i="31"/>
  <c r="O13" i="31"/>
  <c r="O7" i="31" s="1"/>
  <c r="M7" i="30" s="1"/>
  <c r="M39" i="32"/>
  <c r="H39" i="32"/>
  <c r="M29" i="31"/>
  <c r="M27" i="31"/>
  <c r="M25" i="31"/>
  <c r="M28" i="31"/>
  <c r="M26" i="31"/>
  <c r="M24" i="31"/>
  <c r="O9" i="30"/>
  <c r="O6" i="30" s="1"/>
  <c r="P3" i="32" s="1"/>
  <c r="J30" i="30"/>
  <c r="P13" i="31"/>
  <c r="P7" i="31" s="1"/>
  <c r="N7" i="30" s="1"/>
  <c r="P28" i="31"/>
  <c r="P26" i="31"/>
  <c r="P24" i="31"/>
  <c r="P10" i="31"/>
  <c r="N32" i="30" s="1"/>
  <c r="P29" i="31"/>
  <c r="P27" i="31"/>
  <c r="P25" i="31"/>
  <c r="P35" i="31"/>
  <c r="P33" i="31"/>
  <c r="P31" i="31"/>
  <c r="L42" i="31"/>
  <c r="L40" i="31"/>
  <c r="L38" i="31"/>
  <c r="L43" i="31"/>
  <c r="L41" i="31"/>
  <c r="L39" i="31"/>
  <c r="H50" i="31"/>
  <c r="H48" i="31"/>
  <c r="H46" i="31"/>
  <c r="P50" i="31"/>
  <c r="P48" i="31"/>
  <c r="P46" i="31"/>
  <c r="L57" i="31"/>
  <c r="L55" i="31"/>
  <c r="L53" i="31"/>
  <c r="L56" i="31"/>
  <c r="L54" i="31"/>
  <c r="L52" i="31"/>
  <c r="J64" i="31"/>
  <c r="J62" i="31"/>
  <c r="J60" i="31"/>
  <c r="P45" i="31"/>
  <c r="G9" i="30"/>
  <c r="G6" i="30" s="1"/>
  <c r="H3" i="32" s="1"/>
  <c r="P34" i="31"/>
  <c r="K36" i="31"/>
  <c r="K34" i="31"/>
  <c r="K32" i="31"/>
  <c r="K35" i="31"/>
  <c r="K33" i="31"/>
  <c r="K31" i="31"/>
  <c r="L10" i="31"/>
  <c r="J32" i="30" s="1"/>
  <c r="L29" i="31"/>
  <c r="L27" i="31"/>
  <c r="L25" i="31"/>
  <c r="L13" i="31"/>
  <c r="L7" i="31" s="1"/>
  <c r="J7" i="30" s="1"/>
  <c r="L28" i="31"/>
  <c r="L26" i="31"/>
  <c r="L24" i="31"/>
  <c r="O35" i="31"/>
  <c r="O33" i="31"/>
  <c r="O31" i="31"/>
  <c r="O36" i="31"/>
  <c r="O34" i="31"/>
  <c r="O32" i="31"/>
  <c r="O10" i="31"/>
  <c r="M32" i="30" s="1"/>
  <c r="H49" i="31"/>
  <c r="G5" i="32"/>
  <c r="G6" i="32"/>
  <c r="H35" i="31"/>
  <c r="H33" i="31"/>
  <c r="H31" i="31"/>
  <c r="G43" i="31"/>
  <c r="G41" i="31"/>
  <c r="G39" i="31"/>
  <c r="O43" i="31"/>
  <c r="O41" i="31"/>
  <c r="O39" i="31"/>
  <c r="K49" i="31"/>
  <c r="K47" i="31"/>
  <c r="K45" i="31"/>
  <c r="K50" i="31"/>
  <c r="K48" i="31"/>
  <c r="K46" i="31"/>
  <c r="G56" i="31"/>
  <c r="G54" i="31"/>
  <c r="G52" i="31"/>
  <c r="O56" i="31"/>
  <c r="O54" i="31"/>
  <c r="O52" i="31"/>
  <c r="O63" i="31"/>
  <c r="O61" i="31"/>
  <c r="O59" i="31"/>
  <c r="O64" i="31"/>
  <c r="O62" i="31"/>
  <c r="O60" i="31"/>
  <c r="P32" i="31"/>
  <c r="J63" i="31"/>
  <c r="I31" i="30"/>
  <c r="H13" i="31"/>
  <c r="H7" i="31" s="1"/>
  <c r="F7" i="30" s="1"/>
  <c r="H28" i="31"/>
  <c r="H26" i="31"/>
  <c r="H24" i="31"/>
  <c r="H10" i="31"/>
  <c r="F32" i="30" s="1"/>
  <c r="H29" i="31"/>
  <c r="H27" i="31"/>
  <c r="H25" i="31"/>
  <c r="H47" i="31"/>
  <c r="P49" i="31"/>
  <c r="G53" i="31"/>
  <c r="O55" i="31"/>
  <c r="J61" i="31"/>
  <c r="K39" i="32"/>
  <c r="I39" i="32"/>
  <c r="P39" i="32"/>
  <c r="N14" i="31"/>
  <c r="J31" i="31"/>
  <c r="R31" i="31"/>
  <c r="J33" i="31"/>
  <c r="R33" i="31"/>
  <c r="J35" i="31"/>
  <c r="R35" i="31"/>
  <c r="H38" i="31"/>
  <c r="P38" i="31"/>
  <c r="H40" i="31"/>
  <c r="P40" i="31"/>
  <c r="H42" i="31"/>
  <c r="P42" i="31"/>
  <c r="N45" i="31"/>
  <c r="J46" i="31"/>
  <c r="R46" i="31"/>
  <c r="N47" i="31"/>
  <c r="J48" i="31"/>
  <c r="R48" i="31"/>
  <c r="N49" i="31"/>
  <c r="J50" i="31"/>
  <c r="R50" i="31"/>
  <c r="H53" i="31"/>
  <c r="P53" i="31"/>
  <c r="H55" i="31"/>
  <c r="P55" i="31"/>
  <c r="H57" i="31"/>
  <c r="P57" i="31"/>
  <c r="I25" i="31"/>
  <c r="Q25" i="31"/>
  <c r="I27" i="31"/>
  <c r="Q27" i="31"/>
  <c r="I29" i="31"/>
  <c r="Q29" i="31"/>
  <c r="I38" i="31"/>
  <c r="Q38" i="31"/>
  <c r="M39" i="31"/>
  <c r="I40" i="31"/>
  <c r="Q40" i="31"/>
  <c r="M41" i="31"/>
  <c r="I42" i="31"/>
  <c r="Q42" i="31"/>
  <c r="M43" i="31"/>
  <c r="G45" i="31"/>
  <c r="O45" i="31"/>
  <c r="G47" i="31"/>
  <c r="O47" i="31"/>
  <c r="G49" i="31"/>
  <c r="O49" i="31"/>
  <c r="M52" i="31"/>
  <c r="I53" i="31"/>
  <c r="Q53" i="31"/>
  <c r="M54" i="31"/>
  <c r="I55" i="31"/>
  <c r="Q55" i="31"/>
  <c r="M56" i="31"/>
  <c r="I57" i="31"/>
  <c r="Q57" i="31"/>
  <c r="L59" i="31"/>
  <c r="H60" i="31"/>
  <c r="L61" i="31"/>
  <c r="H62" i="31"/>
  <c r="L63" i="31"/>
  <c r="H64" i="31"/>
  <c r="G24" i="31"/>
  <c r="O24" i="31"/>
  <c r="G26" i="31"/>
  <c r="O26" i="31"/>
  <c r="G28" i="31"/>
  <c r="O28" i="31"/>
  <c r="I32" i="31"/>
  <c r="Q32" i="31"/>
  <c r="I34" i="31"/>
  <c r="Q34" i="31"/>
  <c r="K38" i="31"/>
  <c r="K40" i="31"/>
  <c r="I45" i="31"/>
  <c r="Q45" i="31"/>
  <c r="M46" i="31"/>
  <c r="I47" i="31"/>
  <c r="Q47" i="31"/>
  <c r="M48" i="31"/>
  <c r="K53" i="31"/>
  <c r="K55" i="31"/>
  <c r="R60" i="31"/>
  <c r="R62" i="31"/>
  <c r="D28" i="32"/>
  <c r="J14" i="31"/>
  <c r="R14" i="31"/>
  <c r="M15" i="31"/>
  <c r="M13" i="31" s="1"/>
  <c r="M7" i="31" s="1"/>
  <c r="K7" i="30" s="1"/>
  <c r="F30" i="31"/>
  <c r="J32" i="31"/>
  <c r="R32" i="31"/>
  <c r="J34" i="31"/>
  <c r="R34" i="31"/>
  <c r="H39" i="31"/>
  <c r="P39" i="31"/>
  <c r="H41" i="31"/>
  <c r="P41" i="31"/>
  <c r="J45" i="31"/>
  <c r="R45" i="31"/>
  <c r="N46" i="31"/>
  <c r="J47" i="31"/>
  <c r="R47" i="31"/>
  <c r="N48" i="31"/>
  <c r="H52" i="31"/>
  <c r="P52" i="31"/>
  <c r="H54" i="31"/>
  <c r="P54" i="31"/>
  <c r="K14" i="31"/>
  <c r="N15" i="31"/>
  <c r="I24" i="31"/>
  <c r="Q24" i="31"/>
  <c r="I26" i="31"/>
  <c r="Q26" i="31"/>
  <c r="I28" i="31"/>
  <c r="Q28" i="31"/>
  <c r="M38" i="31"/>
  <c r="I39" i="31"/>
  <c r="Q39" i="31"/>
  <c r="M40" i="31"/>
  <c r="I41" i="31"/>
  <c r="Q41" i="31"/>
  <c r="G46" i="31"/>
  <c r="O46" i="31"/>
  <c r="G48" i="31"/>
  <c r="O48" i="31"/>
  <c r="I52" i="31"/>
  <c r="Q52" i="31"/>
  <c r="M53" i="31"/>
  <c r="I54" i="31"/>
  <c r="Q54" i="31"/>
  <c r="M55" i="31"/>
  <c r="H59" i="31"/>
  <c r="L60" i="31"/>
  <c r="H61" i="31"/>
  <c r="L62" i="31"/>
  <c r="D25" i="32"/>
  <c r="G15" i="31"/>
  <c r="L32" i="31"/>
  <c r="L34" i="31"/>
  <c r="N38" i="31"/>
  <c r="J39" i="31"/>
  <c r="R39" i="31"/>
  <c r="N40" i="31"/>
  <c r="J41" i="31"/>
  <c r="R41" i="31"/>
  <c r="L45" i="31"/>
  <c r="L47" i="31"/>
  <c r="J52" i="31"/>
  <c r="R52" i="31"/>
  <c r="N53" i="31"/>
  <c r="J54" i="31"/>
  <c r="R54" i="31"/>
  <c r="N55" i="31"/>
  <c r="Q59" i="31"/>
  <c r="M60" i="31"/>
  <c r="Q61" i="31"/>
  <c r="M62" i="31"/>
  <c r="K9" i="30" l="1"/>
  <c r="K6" i="30"/>
  <c r="L3" i="32" s="1"/>
  <c r="K10" i="31"/>
  <c r="I32" i="30" s="1"/>
  <c r="K29" i="31"/>
  <c r="K27" i="31"/>
  <c r="K25" i="31"/>
  <c r="K13" i="31"/>
  <c r="K7" i="31" s="1"/>
  <c r="I7" i="30" s="1"/>
  <c r="K24" i="31"/>
  <c r="K9" i="31" s="1"/>
  <c r="K26" i="31"/>
  <c r="K28" i="31"/>
  <c r="K11" i="32"/>
  <c r="J31" i="30"/>
  <c r="H5" i="32"/>
  <c r="H6" i="32"/>
  <c r="L9" i="31"/>
  <c r="N6" i="30"/>
  <c r="O3" i="32" s="1"/>
  <c r="N9" i="30"/>
  <c r="M9" i="30"/>
  <c r="M6" i="30"/>
  <c r="N3" i="32" s="1"/>
  <c r="J6" i="31"/>
  <c r="J5" i="31"/>
  <c r="G35" i="31"/>
  <c r="G33" i="31"/>
  <c r="G31" i="31"/>
  <c r="G36" i="31"/>
  <c r="G34" i="31"/>
  <c r="G32" i="31"/>
  <c r="G10" i="31"/>
  <c r="E32" i="30" s="1"/>
  <c r="H9" i="31"/>
  <c r="H31" i="30"/>
  <c r="I11" i="32"/>
  <c r="Q12" i="32"/>
  <c r="I12" i="32"/>
  <c r="H33" i="30" s="1"/>
  <c r="P12" i="32"/>
  <c r="O33" i="30" s="1"/>
  <c r="H12" i="32"/>
  <c r="G33" i="30" s="1"/>
  <c r="O12" i="32"/>
  <c r="N33" i="30" s="1"/>
  <c r="G12" i="32"/>
  <c r="F33" i="30" s="1"/>
  <c r="N12" i="32"/>
  <c r="F12" i="32"/>
  <c r="L12" i="32"/>
  <c r="K12" i="32"/>
  <c r="J33" i="30" s="1"/>
  <c r="M12" i="32"/>
  <c r="L33" i="30" s="1"/>
  <c r="J12" i="32"/>
  <c r="M35" i="31"/>
  <c r="M33" i="31"/>
  <c r="M31" i="31"/>
  <c r="M32" i="31"/>
  <c r="M34" i="31"/>
  <c r="M36" i="31"/>
  <c r="M9" i="31" s="1"/>
  <c r="O9" i="31"/>
  <c r="J6" i="30"/>
  <c r="K3" i="32" s="1"/>
  <c r="J9" i="30"/>
  <c r="M10" i="31"/>
  <c r="K32" i="30" s="1"/>
  <c r="N35" i="31"/>
  <c r="N33" i="31"/>
  <c r="N31" i="31"/>
  <c r="N36" i="31"/>
  <c r="N34" i="31"/>
  <c r="N32" i="31"/>
  <c r="Q9" i="31"/>
  <c r="R28" i="31"/>
  <c r="R26" i="31"/>
  <c r="R24" i="31"/>
  <c r="R10" i="31"/>
  <c r="P32" i="30" s="1"/>
  <c r="R27" i="31"/>
  <c r="R29" i="31"/>
  <c r="R13" i="31"/>
  <c r="R7" i="31" s="1"/>
  <c r="P7" i="30" s="1"/>
  <c r="R25" i="31"/>
  <c r="G9" i="31"/>
  <c r="N29" i="31"/>
  <c r="N27" i="31"/>
  <c r="N25" i="31"/>
  <c r="N13" i="31"/>
  <c r="N7" i="31" s="1"/>
  <c r="L7" i="30" s="1"/>
  <c r="N10" i="31"/>
  <c r="L32" i="30" s="1"/>
  <c r="N24" i="31"/>
  <c r="N26" i="31"/>
  <c r="N28" i="31"/>
  <c r="H11" i="32"/>
  <c r="H9" i="32" s="1"/>
  <c r="G31" i="30"/>
  <c r="G9" i="32"/>
  <c r="I9" i="31"/>
  <c r="J28" i="31"/>
  <c r="J26" i="31"/>
  <c r="J24" i="31"/>
  <c r="J27" i="31"/>
  <c r="J10" i="31"/>
  <c r="H32" i="30" s="1"/>
  <c r="J25" i="31"/>
  <c r="J29" i="31"/>
  <c r="J13" i="31"/>
  <c r="J7" i="31" s="1"/>
  <c r="H7" i="30" s="1"/>
  <c r="P11" i="32"/>
  <c r="P9" i="32" s="1"/>
  <c r="O31" i="30"/>
  <c r="F9" i="30"/>
  <c r="F6" i="30" s="1"/>
  <c r="G3" i="32" s="1"/>
  <c r="G13" i="31"/>
  <c r="G7" i="31" s="1"/>
  <c r="E7" i="30" s="1"/>
  <c r="P9" i="31"/>
  <c r="M11" i="32"/>
  <c r="M9" i="32" s="1"/>
  <c r="L31" i="30"/>
  <c r="M8" i="31" l="1"/>
  <c r="K29" i="30"/>
  <c r="P8" i="31"/>
  <c r="N29" i="30"/>
  <c r="N28" i="30" s="1"/>
  <c r="R9" i="31"/>
  <c r="E33" i="30"/>
  <c r="F9" i="32"/>
  <c r="I9" i="32"/>
  <c r="K8" i="31"/>
  <c r="I29" i="30"/>
  <c r="E9" i="30"/>
  <c r="E6" i="30" s="1"/>
  <c r="F3" i="32" s="1"/>
  <c r="M33" i="30"/>
  <c r="N9" i="32"/>
  <c r="L8" i="31"/>
  <c r="J29" i="30"/>
  <c r="J28" i="30" s="1"/>
  <c r="I9" i="30"/>
  <c r="I6" i="30" s="1"/>
  <c r="J3" i="32" s="1"/>
  <c r="G8" i="31"/>
  <c r="E29" i="30"/>
  <c r="O9" i="32"/>
  <c r="I5" i="32"/>
  <c r="I6" i="32"/>
  <c r="J9" i="31"/>
  <c r="Q8" i="31"/>
  <c r="O29" i="30"/>
  <c r="O28" i="30" s="1"/>
  <c r="H8" i="31"/>
  <c r="F29" i="30"/>
  <c r="F28" i="30" s="1"/>
  <c r="N9" i="31"/>
  <c r="P6" i="30"/>
  <c r="Q3" i="32" s="1"/>
  <c r="P9" i="30"/>
  <c r="I33" i="30"/>
  <c r="J9" i="32"/>
  <c r="K6" i="31"/>
  <c r="K5" i="31"/>
  <c r="M29" i="30"/>
  <c r="M28" i="30" s="1"/>
  <c r="O8" i="31"/>
  <c r="K9" i="32"/>
  <c r="H9" i="30"/>
  <c r="H6" i="30" s="1"/>
  <c r="I3" i="32" s="1"/>
  <c r="I8" i="31"/>
  <c r="G29" i="30"/>
  <c r="G28" i="30" s="1"/>
  <c r="L9" i="30"/>
  <c r="L6" i="30" s="1"/>
  <c r="M3" i="32" s="1"/>
  <c r="K33" i="30"/>
  <c r="L9" i="32"/>
  <c r="P33" i="30"/>
  <c r="Q9" i="32"/>
  <c r="J5" i="32" l="1"/>
  <c r="J6" i="32"/>
  <c r="L29" i="30"/>
  <c r="L28" i="30" s="1"/>
  <c r="N8" i="31"/>
  <c r="R8" i="31"/>
  <c r="P29" i="30"/>
  <c r="P28" i="30" s="1"/>
  <c r="E28" i="30"/>
  <c r="H29" i="30"/>
  <c r="H28" i="30" s="1"/>
  <c r="J8" i="31"/>
  <c r="L6" i="31"/>
  <c r="L5" i="31"/>
  <c r="I28" i="30"/>
  <c r="K28" i="30"/>
  <c r="K6" i="32" l="1"/>
  <c r="K5" i="32"/>
  <c r="M6" i="31"/>
  <c r="M5" i="31"/>
  <c r="N5" i="31" l="1"/>
  <c r="N6" i="31"/>
  <c r="L6" i="32"/>
  <c r="L5" i="32"/>
  <c r="M6" i="32" l="1"/>
  <c r="M5" i="32"/>
  <c r="O5" i="31"/>
  <c r="O6" i="31"/>
  <c r="P5" i="31" l="1"/>
  <c r="P6" i="31"/>
  <c r="N6" i="32"/>
  <c r="N5" i="32"/>
  <c r="Q5" i="31" l="1"/>
  <c r="Q6" i="31"/>
  <c r="O5" i="32"/>
  <c r="O6" i="32"/>
  <c r="P5" i="32" l="1"/>
  <c r="P6" i="32"/>
  <c r="R6" i="31"/>
  <c r="R5" i="31"/>
  <c r="Q5" i="32" l="1"/>
  <c r="Q6" i="32"/>
  <c r="D115" i="14" l="1"/>
  <c r="E217" i="14"/>
  <c r="E218" i="14" s="1"/>
  <c r="E219" i="14" s="1"/>
  <c r="E220" i="14" s="1"/>
  <c r="E212" i="14"/>
  <c r="E213" i="14" s="1"/>
  <c r="E214" i="14" s="1"/>
  <c r="E215" i="14" s="1"/>
  <c r="E216" i="14" s="1"/>
  <c r="E208" i="14"/>
  <c r="B208" i="14"/>
  <c r="E206" i="14"/>
  <c r="E207" i="14" s="1"/>
  <c r="B206" i="14"/>
  <c r="E197" i="14"/>
  <c r="E198" i="14" s="1"/>
  <c r="E199" i="14" s="1"/>
  <c r="E200" i="14" s="1"/>
  <c r="E201" i="14" s="1"/>
  <c r="E202" i="14" s="1"/>
  <c r="E203" i="14" s="1"/>
  <c r="E204" i="14" s="1"/>
  <c r="E205" i="14" s="1"/>
  <c r="B196" i="14"/>
  <c r="U189" i="14"/>
  <c r="N189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D188" i="14"/>
  <c r="D191" i="14" s="1"/>
  <c r="D207" i="14" s="1"/>
  <c r="B207" i="14" s="1"/>
  <c r="T187" i="14"/>
  <c r="T189" i="14" s="1"/>
  <c r="S187" i="14"/>
  <c r="S189" i="14" s="1"/>
  <c r="L187" i="14"/>
  <c r="K187" i="14"/>
  <c r="F185" i="14"/>
  <c r="D185" i="14"/>
  <c r="D205" i="14" s="1"/>
  <c r="B205" i="14" s="1"/>
  <c r="F184" i="14"/>
  <c r="D184" i="14"/>
  <c r="D204" i="14" s="1"/>
  <c r="F183" i="14"/>
  <c r="D183" i="14"/>
  <c r="D203" i="14" s="1"/>
  <c r="F182" i="14"/>
  <c r="F181" i="14"/>
  <c r="D181" i="14"/>
  <c r="D201" i="14" s="1"/>
  <c r="D217" i="14" s="1"/>
  <c r="F180" i="14"/>
  <c r="D180" i="14"/>
  <c r="D200" i="14" s="1"/>
  <c r="F179" i="14"/>
  <c r="D179" i="14"/>
  <c r="D199" i="14" s="1"/>
  <c r="F178" i="14"/>
  <c r="G178" i="14" s="1"/>
  <c r="D178" i="14"/>
  <c r="D198" i="14" s="1"/>
  <c r="F177" i="14"/>
  <c r="D177" i="14"/>
  <c r="D197" i="14" s="1"/>
  <c r="F176" i="14"/>
  <c r="D174" i="14"/>
  <c r="D173" i="14"/>
  <c r="D172" i="14"/>
  <c r="D171" i="14"/>
  <c r="D182" i="14" s="1"/>
  <c r="D202" i="14" s="1"/>
  <c r="D170" i="14"/>
  <c r="D169" i="14"/>
  <c r="D168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D167" i="14"/>
  <c r="Z166" i="14"/>
  <c r="Y166" i="14"/>
  <c r="X166" i="14"/>
  <c r="W166" i="14"/>
  <c r="V166" i="14"/>
  <c r="U166" i="14"/>
  <c r="T166" i="14"/>
  <c r="S166" i="14"/>
  <c r="D166" i="14"/>
  <c r="E164" i="14"/>
  <c r="E165" i="14" s="1"/>
  <c r="Z161" i="14"/>
  <c r="Z187" i="14" s="1"/>
  <c r="Z189" i="14" s="1"/>
  <c r="Y161" i="14"/>
  <c r="Y187" i="14" s="1"/>
  <c r="Y189" i="14" s="1"/>
  <c r="X161" i="14"/>
  <c r="X187" i="14" s="1"/>
  <c r="X189" i="14" s="1"/>
  <c r="W161" i="14"/>
  <c r="W187" i="14" s="1"/>
  <c r="W189" i="14" s="1"/>
  <c r="V161" i="14"/>
  <c r="V187" i="14" s="1"/>
  <c r="V189" i="14" s="1"/>
  <c r="U161" i="14"/>
  <c r="U187" i="14" s="1"/>
  <c r="T161" i="14"/>
  <c r="S161" i="14"/>
  <c r="R161" i="14"/>
  <c r="R187" i="14" s="1"/>
  <c r="R189" i="14" s="1"/>
  <c r="Q161" i="14"/>
  <c r="Q187" i="14" s="1"/>
  <c r="Q189" i="14" s="1"/>
  <c r="P161" i="14"/>
  <c r="P187" i="14" s="1"/>
  <c r="P189" i="14" s="1"/>
  <c r="O161" i="14"/>
  <c r="O187" i="14" s="1"/>
  <c r="O189" i="14" s="1"/>
  <c r="N161" i="14"/>
  <c r="N187" i="14" s="1"/>
  <c r="M161" i="14"/>
  <c r="M187" i="14" s="1"/>
  <c r="M189" i="14" s="1"/>
  <c r="L161" i="14"/>
  <c r="K161" i="14"/>
  <c r="J161" i="14"/>
  <c r="J187" i="14" s="1"/>
  <c r="J189" i="14" s="1"/>
  <c r="I161" i="14"/>
  <c r="I187" i="14" s="1"/>
  <c r="I189" i="14" s="1"/>
  <c r="H161" i="14"/>
  <c r="H187" i="14" s="1"/>
  <c r="H189" i="14" s="1"/>
  <c r="G161" i="14"/>
  <c r="G187" i="14" s="1"/>
  <c r="G189" i="14" s="1"/>
  <c r="E161" i="14"/>
  <c r="E162" i="14" s="1"/>
  <c r="E159" i="14"/>
  <c r="E158" i="14"/>
  <c r="E157" i="14"/>
  <c r="E154" i="14"/>
  <c r="E151" i="14"/>
  <c r="E152" i="14" s="1"/>
  <c r="E143" i="14"/>
  <c r="E147" i="14" s="1"/>
  <c r="E142" i="14"/>
  <c r="E140" i="14"/>
  <c r="E136" i="14"/>
  <c r="E132" i="14"/>
  <c r="E130" i="14"/>
  <c r="E125" i="14"/>
  <c r="F124" i="14"/>
  <c r="E122" i="14"/>
  <c r="E119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F115" i="14"/>
  <c r="E115" i="14"/>
  <c r="C196" i="14" s="1"/>
  <c r="A117" i="14"/>
  <c r="A118" i="14" s="1"/>
  <c r="H17" i="14"/>
  <c r="H16" i="14" s="1"/>
  <c r="I17" i="14"/>
  <c r="I16" i="14" s="1"/>
  <c r="J17" i="14"/>
  <c r="J16" i="14" s="1"/>
  <c r="K17" i="14"/>
  <c r="K16" i="14" s="1"/>
  <c r="L17" i="14"/>
  <c r="L16" i="14" s="1"/>
  <c r="M17" i="14"/>
  <c r="N17" i="14"/>
  <c r="O17" i="14"/>
  <c r="O16" i="14" s="1"/>
  <c r="P17" i="14"/>
  <c r="P16" i="14" s="1"/>
  <c r="Q17" i="14"/>
  <c r="Q16" i="14" s="1"/>
  <c r="R17" i="14"/>
  <c r="R16" i="14" s="1"/>
  <c r="H18" i="14"/>
  <c r="I18" i="14"/>
  <c r="J18" i="14"/>
  <c r="K18" i="14"/>
  <c r="L18" i="14"/>
  <c r="M18" i="14"/>
  <c r="M16" i="14" s="1"/>
  <c r="N18" i="14"/>
  <c r="N16" i="14" s="1"/>
  <c r="O18" i="14"/>
  <c r="P18" i="14"/>
  <c r="Q18" i="14"/>
  <c r="R18" i="14"/>
  <c r="H19" i="14"/>
  <c r="I19" i="14"/>
  <c r="J19" i="14"/>
  <c r="K19" i="14"/>
  <c r="L19" i="14"/>
  <c r="M19" i="14"/>
  <c r="N19" i="14"/>
  <c r="O19" i="14"/>
  <c r="P19" i="14"/>
  <c r="Q19" i="14"/>
  <c r="R19" i="14"/>
  <c r="G16" i="14"/>
  <c r="G19" i="14"/>
  <c r="G18" i="14"/>
  <c r="G17" i="14"/>
  <c r="F23" i="8"/>
  <c r="G23" i="8"/>
  <c r="H23" i="8"/>
  <c r="I23" i="8"/>
  <c r="J23" i="8"/>
  <c r="K23" i="8"/>
  <c r="L23" i="8"/>
  <c r="M23" i="8"/>
  <c r="N23" i="8"/>
  <c r="O23" i="8"/>
  <c r="P23" i="8"/>
  <c r="X28" i="27"/>
  <c r="W33" i="27"/>
  <c r="V33" i="27"/>
  <c r="W32" i="27"/>
  <c r="V32" i="27"/>
  <c r="W31" i="27"/>
  <c r="V31" i="27"/>
  <c r="W30" i="27"/>
  <c r="V30" i="27"/>
  <c r="W29" i="27"/>
  <c r="V29" i="27"/>
  <c r="W28" i="27"/>
  <c r="V28" i="27"/>
  <c r="W26" i="27"/>
  <c r="S33" i="27"/>
  <c r="T33" i="27" s="1"/>
  <c r="S32" i="27"/>
  <c r="T32" i="27" s="1"/>
  <c r="T31" i="27"/>
  <c r="S31" i="27"/>
  <c r="T30" i="27"/>
  <c r="S30" i="27"/>
  <c r="S29" i="27"/>
  <c r="T29" i="27" s="1"/>
  <c r="T28" i="27"/>
  <c r="S28" i="27"/>
  <c r="E23" i="8"/>
  <c r="L20" i="6"/>
  <c r="S14" i="10"/>
  <c r="S13" i="10" s="1"/>
  <c r="M20" i="6" s="1"/>
  <c r="Q107" i="29"/>
  <c r="N107" i="29"/>
  <c r="K107" i="29"/>
  <c r="H107" i="29"/>
  <c r="O104" i="29"/>
  <c r="J104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Q97" i="29"/>
  <c r="P97" i="29"/>
  <c r="O97" i="29"/>
  <c r="N97" i="29"/>
  <c r="M97" i="29"/>
  <c r="M84" i="29" s="1"/>
  <c r="M11" i="29" s="1"/>
  <c r="L97" i="29"/>
  <c r="K97" i="29"/>
  <c r="J97" i="29"/>
  <c r="I97" i="29"/>
  <c r="H97" i="29"/>
  <c r="G97" i="29"/>
  <c r="F97" i="29"/>
  <c r="Q96" i="29"/>
  <c r="Q84" i="29" s="1"/>
  <c r="Q11" i="29" s="1"/>
  <c r="P96" i="29"/>
  <c r="O96" i="29"/>
  <c r="N96" i="29"/>
  <c r="M96" i="29"/>
  <c r="L96" i="29"/>
  <c r="K96" i="29"/>
  <c r="J96" i="29"/>
  <c r="I96" i="29"/>
  <c r="I84" i="29" s="1"/>
  <c r="I11" i="29" s="1"/>
  <c r="H96" i="29"/>
  <c r="G96" i="29"/>
  <c r="F96" i="29"/>
  <c r="P95" i="29"/>
  <c r="M95" i="29"/>
  <c r="I95" i="29"/>
  <c r="P92" i="29"/>
  <c r="N92" i="29"/>
  <c r="N84" i="29" s="1"/>
  <c r="N11" i="29" s="1"/>
  <c r="K92" i="29"/>
  <c r="H92" i="29"/>
  <c r="L91" i="29"/>
  <c r="O88" i="29"/>
  <c r="K88" i="29"/>
  <c r="Q86" i="29"/>
  <c r="N86" i="29"/>
  <c r="L86" i="29"/>
  <c r="L84" i="29" s="1"/>
  <c r="L11" i="29" s="1"/>
  <c r="I86" i="29"/>
  <c r="G86" i="29"/>
  <c r="O85" i="29"/>
  <c r="L85" i="29"/>
  <c r="I85" i="29"/>
  <c r="P84" i="29"/>
  <c r="O84" i="29"/>
  <c r="O11" i="29" s="1"/>
  <c r="K84" i="29"/>
  <c r="J84" i="29"/>
  <c r="H84" i="29"/>
  <c r="G84" i="29"/>
  <c r="G11" i="29" s="1"/>
  <c r="F84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Q81" i="29"/>
  <c r="P81" i="29"/>
  <c r="O81" i="29"/>
  <c r="N81" i="29"/>
  <c r="M81" i="29"/>
  <c r="L81" i="29"/>
  <c r="K81" i="29"/>
  <c r="K79" i="29" s="1"/>
  <c r="K10" i="29" s="1"/>
  <c r="J81" i="29"/>
  <c r="I81" i="29"/>
  <c r="H81" i="29"/>
  <c r="G81" i="29"/>
  <c r="F81" i="29"/>
  <c r="Q80" i="29"/>
  <c r="Q79" i="29" s="1"/>
  <c r="Q10" i="29" s="1"/>
  <c r="P80" i="29"/>
  <c r="O80" i="29"/>
  <c r="O79" i="29" s="1"/>
  <c r="O10" i="29" s="1"/>
  <c r="N80" i="29"/>
  <c r="N79" i="29" s="1"/>
  <c r="N10" i="29" s="1"/>
  <c r="M80" i="29"/>
  <c r="L80" i="29"/>
  <c r="L79" i="29" s="1"/>
  <c r="L10" i="29" s="1"/>
  <c r="K80" i="29"/>
  <c r="J80" i="29"/>
  <c r="I80" i="29"/>
  <c r="I79" i="29" s="1"/>
  <c r="I10" i="29" s="1"/>
  <c r="H80" i="29"/>
  <c r="G80" i="29"/>
  <c r="G79" i="29" s="1"/>
  <c r="G10" i="29" s="1"/>
  <c r="F80" i="29"/>
  <c r="F79" i="29" s="1"/>
  <c r="F10" i="29" s="1"/>
  <c r="P79" i="29"/>
  <c r="M79" i="29"/>
  <c r="J79" i="29"/>
  <c r="H79" i="29"/>
  <c r="D73" i="29"/>
  <c r="D65" i="29"/>
  <c r="P59" i="29"/>
  <c r="N59" i="29"/>
  <c r="K59" i="29"/>
  <c r="H59" i="29"/>
  <c r="D53" i="29"/>
  <c r="O52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D46" i="29"/>
  <c r="D71" i="29" s="1"/>
  <c r="Q16" i="29"/>
  <c r="Q8" i="29" s="1"/>
  <c r="P16" i="29"/>
  <c r="O16" i="29"/>
  <c r="N16" i="29"/>
  <c r="M16" i="29"/>
  <c r="L16" i="29"/>
  <c r="K16" i="29"/>
  <c r="J16" i="29"/>
  <c r="I16" i="29"/>
  <c r="I8" i="29" s="1"/>
  <c r="H16" i="29"/>
  <c r="G16" i="29"/>
  <c r="F16" i="29"/>
  <c r="P11" i="29"/>
  <c r="K11" i="29"/>
  <c r="J11" i="29"/>
  <c r="H11" i="29"/>
  <c r="F11" i="29"/>
  <c r="P10" i="29"/>
  <c r="M10" i="29"/>
  <c r="J10" i="29"/>
  <c r="H10" i="29"/>
  <c r="P8" i="29"/>
  <c r="O8" i="29"/>
  <c r="N8" i="29"/>
  <c r="M8" i="29"/>
  <c r="L8" i="29"/>
  <c r="K8" i="29"/>
  <c r="J8" i="29"/>
  <c r="H8" i="29"/>
  <c r="G8" i="29"/>
  <c r="F8" i="29"/>
  <c r="E6" i="29"/>
  <c r="F6" i="29" s="1"/>
  <c r="Q4" i="29"/>
  <c r="I4" i="29"/>
  <c r="J4" i="29" s="1"/>
  <c r="K4" i="29" s="1"/>
  <c r="L4" i="29" s="1"/>
  <c r="M4" i="29" s="1"/>
  <c r="N4" i="29" s="1"/>
  <c r="O4" i="29" s="1"/>
  <c r="P4" i="29" s="1"/>
  <c r="G4" i="29"/>
  <c r="H4" i="29" s="1"/>
  <c r="N109" i="28"/>
  <c r="F90" i="28"/>
  <c r="E90" i="28"/>
  <c r="M83" i="28"/>
  <c r="O72" i="28"/>
  <c r="F66" i="28"/>
  <c r="E66" i="28"/>
  <c r="J63" i="28"/>
  <c r="N60" i="28"/>
  <c r="R57" i="28"/>
  <c r="J55" i="28"/>
  <c r="N52" i="28"/>
  <c r="N50" i="28"/>
  <c r="J50" i="28"/>
  <c r="N48" i="28"/>
  <c r="R46" i="28"/>
  <c r="F45" i="28"/>
  <c r="E45" i="28"/>
  <c r="I44" i="28"/>
  <c r="J43" i="28"/>
  <c r="I42" i="28"/>
  <c r="H42" i="28"/>
  <c r="J41" i="28"/>
  <c r="M40" i="28"/>
  <c r="J40" i="28"/>
  <c r="M39" i="28"/>
  <c r="L39" i="28"/>
  <c r="O38" i="28"/>
  <c r="N38" i="28"/>
  <c r="Q37" i="28"/>
  <c r="N37" i="28"/>
  <c r="Q36" i="28"/>
  <c r="P36" i="28"/>
  <c r="G36" i="28"/>
  <c r="R35" i="28"/>
  <c r="I35" i="28"/>
  <c r="R34" i="28"/>
  <c r="I34" i="28"/>
  <c r="H34" i="28"/>
  <c r="J33" i="28"/>
  <c r="M32" i="28"/>
  <c r="J32" i="28"/>
  <c r="M31" i="28"/>
  <c r="L31" i="28"/>
  <c r="F30" i="28"/>
  <c r="E30" i="28"/>
  <c r="R29" i="28"/>
  <c r="Q29" i="28"/>
  <c r="Q28" i="28"/>
  <c r="J27" i="28"/>
  <c r="I27" i="28"/>
  <c r="L26" i="28"/>
  <c r="I26" i="28"/>
  <c r="N25" i="28"/>
  <c r="M25" i="28"/>
  <c r="R24" i="28"/>
  <c r="Q24" i="28"/>
  <c r="J24" i="28"/>
  <c r="I24" i="28"/>
  <c r="N23" i="28"/>
  <c r="M23" i="28"/>
  <c r="F22" i="28"/>
  <c r="E22" i="28"/>
  <c r="R18" i="28"/>
  <c r="R114" i="28" s="1"/>
  <c r="Q18" i="28"/>
  <c r="P18" i="28"/>
  <c r="O18" i="28"/>
  <c r="N18" i="28"/>
  <c r="N93" i="28" s="1"/>
  <c r="M18" i="28"/>
  <c r="L18" i="28"/>
  <c r="K18" i="28"/>
  <c r="J18" i="28"/>
  <c r="J120" i="28" s="1"/>
  <c r="I18" i="28"/>
  <c r="H18" i="28"/>
  <c r="G18" i="28"/>
  <c r="R17" i="28"/>
  <c r="Q17" i="28"/>
  <c r="Q88" i="28" s="1"/>
  <c r="P17" i="28"/>
  <c r="O17" i="28"/>
  <c r="O68" i="28" s="1"/>
  <c r="N17" i="28"/>
  <c r="M17" i="28"/>
  <c r="L17" i="28"/>
  <c r="K17" i="28"/>
  <c r="K67" i="28" s="1"/>
  <c r="J17" i="28"/>
  <c r="J74" i="28" s="1"/>
  <c r="I17" i="28"/>
  <c r="I75" i="28" s="1"/>
  <c r="H17" i="28"/>
  <c r="H76" i="28" s="1"/>
  <c r="G17" i="28"/>
  <c r="G68" i="28" s="1"/>
  <c r="R16" i="28"/>
  <c r="R63" i="28" s="1"/>
  <c r="Q16" i="28"/>
  <c r="P16" i="28"/>
  <c r="O16" i="28"/>
  <c r="O58" i="28" s="1"/>
  <c r="N16" i="28"/>
  <c r="N62" i="28" s="1"/>
  <c r="M16" i="28"/>
  <c r="L16" i="28"/>
  <c r="L47" i="28" s="1"/>
  <c r="K16" i="28"/>
  <c r="K61" i="28" s="1"/>
  <c r="J16" i="28"/>
  <c r="J61" i="28" s="1"/>
  <c r="I16" i="28"/>
  <c r="H16" i="28"/>
  <c r="G16" i="28"/>
  <c r="R15" i="28"/>
  <c r="R41" i="28" s="1"/>
  <c r="Q15" i="28"/>
  <c r="Q35" i="28" s="1"/>
  <c r="P15" i="28"/>
  <c r="P44" i="28" s="1"/>
  <c r="O15" i="28"/>
  <c r="O44" i="28" s="1"/>
  <c r="N15" i="28"/>
  <c r="N43" i="28" s="1"/>
  <c r="M15" i="28"/>
  <c r="M38" i="28" s="1"/>
  <c r="L15" i="28"/>
  <c r="K15" i="28"/>
  <c r="K43" i="28" s="1"/>
  <c r="J15" i="28"/>
  <c r="J39" i="28" s="1"/>
  <c r="I15" i="28"/>
  <c r="I43" i="28" s="1"/>
  <c r="H15" i="28"/>
  <c r="H38" i="28" s="1"/>
  <c r="G15" i="28"/>
  <c r="G38" i="28" s="1"/>
  <c r="R14" i="28"/>
  <c r="Q14" i="28"/>
  <c r="Q27" i="28" s="1"/>
  <c r="P14" i="28"/>
  <c r="P29" i="28" s="1"/>
  <c r="O14" i="28"/>
  <c r="O28" i="28" s="1"/>
  <c r="N14" i="28"/>
  <c r="N28" i="28" s="1"/>
  <c r="M14" i="28"/>
  <c r="M29" i="28" s="1"/>
  <c r="L14" i="28"/>
  <c r="L25" i="28" s="1"/>
  <c r="K14" i="28"/>
  <c r="K27" i="28" s="1"/>
  <c r="J14" i="28"/>
  <c r="I14" i="28"/>
  <c r="I13" i="28" s="1"/>
  <c r="I7" i="28" s="1"/>
  <c r="G7" i="27" s="1"/>
  <c r="H14" i="28"/>
  <c r="H27" i="28" s="1"/>
  <c r="G14" i="28"/>
  <c r="G13" i="28" s="1"/>
  <c r="G7" i="28" s="1"/>
  <c r="E7" i="27" s="1"/>
  <c r="N13" i="28"/>
  <c r="M13" i="28"/>
  <c r="L13" i="28"/>
  <c r="K13" i="28"/>
  <c r="R10" i="28"/>
  <c r="Q10" i="28"/>
  <c r="P10" i="28"/>
  <c r="N32" i="27" s="1"/>
  <c r="O10" i="28"/>
  <c r="M32" i="27" s="1"/>
  <c r="N10" i="28"/>
  <c r="M10" i="28"/>
  <c r="J10" i="28"/>
  <c r="I10" i="28"/>
  <c r="H10" i="28"/>
  <c r="F32" i="27" s="1"/>
  <c r="G10" i="28"/>
  <c r="E32" i="27" s="1"/>
  <c r="N7" i="28"/>
  <c r="M7" i="28"/>
  <c r="L7" i="28"/>
  <c r="K7" i="28"/>
  <c r="I7" i="27" s="1"/>
  <c r="G6" i="28"/>
  <c r="H5" i="28" s="1"/>
  <c r="G4" i="28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P32" i="27"/>
  <c r="O32" i="27"/>
  <c r="L32" i="27"/>
  <c r="K32" i="27"/>
  <c r="H32" i="27"/>
  <c r="G32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P8" i="27"/>
  <c r="O8" i="27"/>
  <c r="N8" i="27"/>
  <c r="M8" i="27"/>
  <c r="L8" i="27"/>
  <c r="K8" i="27"/>
  <c r="J8" i="27"/>
  <c r="I8" i="27"/>
  <c r="H8" i="27"/>
  <c r="G8" i="27"/>
  <c r="F8" i="27"/>
  <c r="E8" i="27"/>
  <c r="L7" i="27"/>
  <c r="L9" i="27" s="1"/>
  <c r="L6" i="27" s="1"/>
  <c r="M3" i="29" s="1"/>
  <c r="K7" i="27"/>
  <c r="J7" i="27"/>
  <c r="A5" i="27"/>
  <c r="A6" i="27" s="1"/>
  <c r="A7" i="27" s="1"/>
  <c r="A8" i="27" s="1"/>
  <c r="A10" i="27" s="1"/>
  <c r="A11" i="27" s="1"/>
  <c r="A12" i="27" s="1"/>
  <c r="A13" i="27" s="1"/>
  <c r="A14" i="27" s="1"/>
  <c r="A17" i="27" s="1"/>
  <c r="A18" i="27" s="1"/>
  <c r="A19" i="27" s="1"/>
  <c r="A21" i="27" s="1"/>
  <c r="A22" i="27" s="1"/>
  <c r="A23" i="27" s="1"/>
  <c r="A24" i="27" s="1"/>
  <c r="A25" i="27" s="1"/>
  <c r="A26" i="27" s="1"/>
  <c r="A28" i="27" s="1"/>
  <c r="A29" i="27" s="1"/>
  <c r="A30" i="27" s="1"/>
  <c r="A31" i="27" s="1"/>
  <c r="A32" i="27" s="1"/>
  <c r="A33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8" i="27" s="1"/>
  <c r="A79" i="27" s="1"/>
  <c r="A80" i="27" s="1"/>
  <c r="E4" i="27"/>
  <c r="F4" i="27" s="1"/>
  <c r="G4" i="27" s="1"/>
  <c r="H4" i="27" s="1"/>
  <c r="I4" i="27" s="1"/>
  <c r="J4" i="27" s="1"/>
  <c r="K4" i="27" s="1"/>
  <c r="L4" i="27" s="1"/>
  <c r="M4" i="27" s="1"/>
  <c r="N4" i="27" s="1"/>
  <c r="O4" i="27" s="1"/>
  <c r="P4" i="27" s="1"/>
  <c r="H166" i="14" l="1"/>
  <c r="P166" i="14"/>
  <c r="L166" i="14"/>
  <c r="I166" i="14"/>
  <c r="Q166" i="14"/>
  <c r="W118" i="14"/>
  <c r="O118" i="14"/>
  <c r="G118" i="14"/>
  <c r="V118" i="14"/>
  <c r="N118" i="14"/>
  <c r="U118" i="14"/>
  <c r="M118" i="14"/>
  <c r="T118" i="14"/>
  <c r="L118" i="14"/>
  <c r="A119" i="14"/>
  <c r="S118" i="14"/>
  <c r="K118" i="14"/>
  <c r="Q118" i="14"/>
  <c r="Z118" i="14"/>
  <c r="R118" i="14"/>
  <c r="J118" i="14"/>
  <c r="I118" i="14"/>
  <c r="X118" i="14"/>
  <c r="P118" i="14"/>
  <c r="H118" i="14"/>
  <c r="Y118" i="14"/>
  <c r="K166" i="14"/>
  <c r="M166" i="14"/>
  <c r="E176" i="14"/>
  <c r="E166" i="14"/>
  <c r="O166" i="14"/>
  <c r="B199" i="14"/>
  <c r="D215" i="14"/>
  <c r="C197" i="14"/>
  <c r="G166" i="14"/>
  <c r="J166" i="14"/>
  <c r="R166" i="14"/>
  <c r="B200" i="14"/>
  <c r="D216" i="14"/>
  <c r="AB125" i="14"/>
  <c r="N166" i="14"/>
  <c r="D218" i="14"/>
  <c r="B202" i="14"/>
  <c r="D214" i="14"/>
  <c r="B198" i="14"/>
  <c r="B197" i="14"/>
  <c r="D213" i="14"/>
  <c r="H178" i="14"/>
  <c r="K189" i="14"/>
  <c r="B201" i="14"/>
  <c r="G177" i="14"/>
  <c r="D220" i="14"/>
  <c r="B204" i="14"/>
  <c r="L189" i="14"/>
  <c r="E193" i="14"/>
  <c r="E194" i="14" s="1"/>
  <c r="E187" i="14"/>
  <c r="B203" i="14"/>
  <c r="D219" i="14"/>
  <c r="I9" i="27"/>
  <c r="I6" i="27"/>
  <c r="J3" i="29" s="1"/>
  <c r="E9" i="27"/>
  <c r="E6" i="27" s="1"/>
  <c r="F3" i="29" s="1"/>
  <c r="G9" i="27"/>
  <c r="G6" i="27" s="1"/>
  <c r="H3" i="29" s="1"/>
  <c r="G65" i="28"/>
  <c r="G63" i="28"/>
  <c r="G61" i="28"/>
  <c r="G59" i="28"/>
  <c r="G57" i="28"/>
  <c r="G55" i="28"/>
  <c r="G53" i="28"/>
  <c r="G51" i="28"/>
  <c r="G49" i="28"/>
  <c r="G47" i="28"/>
  <c r="G64" i="28"/>
  <c r="G120" i="28"/>
  <c r="G118" i="28"/>
  <c r="G116" i="28"/>
  <c r="G114" i="28"/>
  <c r="G112" i="28"/>
  <c r="G110" i="28"/>
  <c r="G108" i="28"/>
  <c r="G106" i="28"/>
  <c r="G104" i="28"/>
  <c r="G102" i="28"/>
  <c r="G100" i="28"/>
  <c r="G98" i="28"/>
  <c r="G96" i="28"/>
  <c r="G94" i="28"/>
  <c r="G92" i="28"/>
  <c r="G119" i="28"/>
  <c r="G117" i="28"/>
  <c r="G115" i="28"/>
  <c r="G113" i="28"/>
  <c r="G111" i="28"/>
  <c r="G109" i="28"/>
  <c r="G107" i="28"/>
  <c r="G105" i="28"/>
  <c r="G103" i="28"/>
  <c r="G101" i="28"/>
  <c r="G99" i="28"/>
  <c r="G97" i="28"/>
  <c r="G95" i="28"/>
  <c r="G93" i="28"/>
  <c r="G91" i="28"/>
  <c r="G28" i="28"/>
  <c r="J9" i="27"/>
  <c r="J6" i="27" s="1"/>
  <c r="K3" i="29" s="1"/>
  <c r="H6" i="28"/>
  <c r="L44" i="28"/>
  <c r="L42" i="28"/>
  <c r="L40" i="28"/>
  <c r="L38" i="28"/>
  <c r="L36" i="28"/>
  <c r="L34" i="28"/>
  <c r="L32" i="28"/>
  <c r="H65" i="28"/>
  <c r="H63" i="28"/>
  <c r="H61" i="28"/>
  <c r="H59" i="28"/>
  <c r="H57" i="28"/>
  <c r="H55" i="28"/>
  <c r="H53" i="28"/>
  <c r="H51" i="28"/>
  <c r="H49" i="28"/>
  <c r="H47" i="28"/>
  <c r="H64" i="28"/>
  <c r="H62" i="28"/>
  <c r="H60" i="28"/>
  <c r="H58" i="28"/>
  <c r="H56" i="28"/>
  <c r="H54" i="28"/>
  <c r="H52" i="28"/>
  <c r="H50" i="28"/>
  <c r="H48" i="28"/>
  <c r="P65" i="28"/>
  <c r="P63" i="28"/>
  <c r="P61" i="28"/>
  <c r="P59" i="28"/>
  <c r="P57" i="28"/>
  <c r="P55" i="28"/>
  <c r="P53" i="28"/>
  <c r="P51" i="28"/>
  <c r="P49" i="28"/>
  <c r="P47" i="28"/>
  <c r="P64" i="28"/>
  <c r="P62" i="28"/>
  <c r="P60" i="28"/>
  <c r="P58" i="28"/>
  <c r="P56" i="28"/>
  <c r="P54" i="28"/>
  <c r="P52" i="28"/>
  <c r="P50" i="28"/>
  <c r="P48" i="28"/>
  <c r="L88" i="28"/>
  <c r="L86" i="28"/>
  <c r="L84" i="28"/>
  <c r="L82" i="28"/>
  <c r="L80" i="28"/>
  <c r="L78" i="28"/>
  <c r="L76" i="28"/>
  <c r="L74" i="28"/>
  <c r="L85" i="28"/>
  <c r="L72" i="28"/>
  <c r="L70" i="28"/>
  <c r="L68" i="28"/>
  <c r="L87" i="28"/>
  <c r="L79" i="28"/>
  <c r="L77" i="28"/>
  <c r="L75" i="28"/>
  <c r="L89" i="28"/>
  <c r="L81" i="28"/>
  <c r="L71" i="28"/>
  <c r="L69" i="28"/>
  <c r="L67" i="28"/>
  <c r="L83" i="28"/>
  <c r="H120" i="28"/>
  <c r="H118" i="28"/>
  <c r="H116" i="28"/>
  <c r="H114" i="28"/>
  <c r="H112" i="28"/>
  <c r="H110" i="28"/>
  <c r="H108" i="28"/>
  <c r="H106" i="28"/>
  <c r="H104" i="28"/>
  <c r="H102" i="28"/>
  <c r="H100" i="28"/>
  <c r="H98" i="28"/>
  <c r="H96" i="28"/>
  <c r="H94" i="28"/>
  <c r="H92" i="28"/>
  <c r="H119" i="28"/>
  <c r="H117" i="28"/>
  <c r="H115" i="28"/>
  <c r="H113" i="28"/>
  <c r="H111" i="28"/>
  <c r="H109" i="28"/>
  <c r="H107" i="28"/>
  <c r="H105" i="28"/>
  <c r="H103" i="28"/>
  <c r="H101" i="28"/>
  <c r="H99" i="28"/>
  <c r="H97" i="28"/>
  <c r="H95" i="28"/>
  <c r="H93" i="28"/>
  <c r="H91" i="28"/>
  <c r="P120" i="28"/>
  <c r="P118" i="28"/>
  <c r="P116" i="28"/>
  <c r="P114" i="28"/>
  <c r="P112" i="28"/>
  <c r="P110" i="28"/>
  <c r="P108" i="28"/>
  <c r="P106" i="28"/>
  <c r="P104" i="28"/>
  <c r="P102" i="28"/>
  <c r="P100" i="28"/>
  <c r="P98" i="28"/>
  <c r="P96" i="28"/>
  <c r="P94" i="28"/>
  <c r="P92" i="28"/>
  <c r="P119" i="28"/>
  <c r="P117" i="28"/>
  <c r="P115" i="28"/>
  <c r="P113" i="28"/>
  <c r="P111" i="28"/>
  <c r="P109" i="28"/>
  <c r="P107" i="28"/>
  <c r="P105" i="28"/>
  <c r="P103" i="28"/>
  <c r="P101" i="28"/>
  <c r="P99" i="28"/>
  <c r="P97" i="28"/>
  <c r="P95" i="28"/>
  <c r="P93" i="28"/>
  <c r="P91" i="28"/>
  <c r="H28" i="28"/>
  <c r="H29" i="28"/>
  <c r="K33" i="28"/>
  <c r="K41" i="28"/>
  <c r="M44" i="28"/>
  <c r="H46" i="28"/>
  <c r="J47" i="28"/>
  <c r="O48" i="28"/>
  <c r="O52" i="28"/>
  <c r="K55" i="28"/>
  <c r="G58" i="28"/>
  <c r="O60" i="28"/>
  <c r="K63" i="28"/>
  <c r="L73" i="28"/>
  <c r="I86" i="28"/>
  <c r="K44" i="28"/>
  <c r="K42" i="28"/>
  <c r="K40" i="28"/>
  <c r="K38" i="28"/>
  <c r="K36" i="28"/>
  <c r="K34" i="28"/>
  <c r="K32" i="28"/>
  <c r="K9" i="27"/>
  <c r="K6" i="27" s="1"/>
  <c r="L3" i="29" s="1"/>
  <c r="I64" i="28"/>
  <c r="I62" i="28"/>
  <c r="I60" i="28"/>
  <c r="I58" i="28"/>
  <c r="I56" i="28"/>
  <c r="I54" i="28"/>
  <c r="I52" i="28"/>
  <c r="I50" i="28"/>
  <c r="I48" i="28"/>
  <c r="I65" i="28"/>
  <c r="I63" i="28"/>
  <c r="I61" i="28"/>
  <c r="I59" i="28"/>
  <c r="I57" i="28"/>
  <c r="I55" i="28"/>
  <c r="I53" i="28"/>
  <c r="I51" i="28"/>
  <c r="I49" i="28"/>
  <c r="I47" i="28"/>
  <c r="Q64" i="28"/>
  <c r="Q62" i="28"/>
  <c r="Q60" i="28"/>
  <c r="Q58" i="28"/>
  <c r="Q56" i="28"/>
  <c r="Q54" i="28"/>
  <c r="Q52" i="28"/>
  <c r="Q50" i="28"/>
  <c r="Q48" i="28"/>
  <c r="Q65" i="28"/>
  <c r="Q63" i="28"/>
  <c r="Q61" i="28"/>
  <c r="Q59" i="28"/>
  <c r="Q57" i="28"/>
  <c r="Q55" i="28"/>
  <c r="Q53" i="28"/>
  <c r="Q51" i="28"/>
  <c r="Q49" i="28"/>
  <c r="Q47" i="28"/>
  <c r="M88" i="28"/>
  <c r="M86" i="28"/>
  <c r="M84" i="28"/>
  <c r="M82" i="28"/>
  <c r="M80" i="28"/>
  <c r="M78" i="28"/>
  <c r="M85" i="28"/>
  <c r="M72" i="28"/>
  <c r="M70" i="28"/>
  <c r="M68" i="28"/>
  <c r="M87" i="28"/>
  <c r="M79" i="28"/>
  <c r="M77" i="28"/>
  <c r="M76" i="28"/>
  <c r="M75" i="28"/>
  <c r="M89" i="28"/>
  <c r="M81" i="28"/>
  <c r="M74" i="28"/>
  <c r="M71" i="28"/>
  <c r="M69" i="28"/>
  <c r="M67" i="28"/>
  <c r="M73" i="28"/>
  <c r="I119" i="28"/>
  <c r="I117" i="28"/>
  <c r="I115" i="28"/>
  <c r="I113" i="28"/>
  <c r="I111" i="28"/>
  <c r="I109" i="28"/>
  <c r="I107" i="28"/>
  <c r="I105" i="28"/>
  <c r="I103" i="28"/>
  <c r="I101" i="28"/>
  <c r="I99" i="28"/>
  <c r="I97" i="28"/>
  <c r="I95" i="28"/>
  <c r="I93" i="28"/>
  <c r="I91" i="28"/>
  <c r="I120" i="28"/>
  <c r="I118" i="28"/>
  <c r="I116" i="28"/>
  <c r="I114" i="28"/>
  <c r="I112" i="28"/>
  <c r="I110" i="28"/>
  <c r="I108" i="28"/>
  <c r="I106" i="28"/>
  <c r="I104" i="28"/>
  <c r="I102" i="28"/>
  <c r="I100" i="28"/>
  <c r="I98" i="28"/>
  <c r="I96" i="28"/>
  <c r="I94" i="28"/>
  <c r="I92" i="28"/>
  <c r="Q119" i="28"/>
  <c r="Q117" i="28"/>
  <c r="Q115" i="28"/>
  <c r="Q113" i="28"/>
  <c r="Q111" i="28"/>
  <c r="Q109" i="28"/>
  <c r="Q107" i="28"/>
  <c r="Q105" i="28"/>
  <c r="Q103" i="28"/>
  <c r="Q101" i="28"/>
  <c r="Q99" i="28"/>
  <c r="Q97" i="28"/>
  <c r="Q95" i="28"/>
  <c r="Q93" i="28"/>
  <c r="Q91" i="28"/>
  <c r="Q120" i="28"/>
  <c r="Q118" i="28"/>
  <c r="Q116" i="28"/>
  <c r="Q114" i="28"/>
  <c r="Q112" i="28"/>
  <c r="Q110" i="28"/>
  <c r="Q108" i="28"/>
  <c r="Q106" i="28"/>
  <c r="Q104" i="28"/>
  <c r="Q102" i="28"/>
  <c r="Q100" i="28"/>
  <c r="Q98" i="28"/>
  <c r="Q96" i="28"/>
  <c r="Q94" i="28"/>
  <c r="Q92" i="28"/>
  <c r="G23" i="28"/>
  <c r="O23" i="28"/>
  <c r="K24" i="28"/>
  <c r="G25" i="28"/>
  <c r="O25" i="28"/>
  <c r="M26" i="28"/>
  <c r="I28" i="28"/>
  <c r="I29" i="28"/>
  <c r="N31" i="28"/>
  <c r="N32" i="28"/>
  <c r="L33" i="28"/>
  <c r="J34" i="28"/>
  <c r="J35" i="28"/>
  <c r="H36" i="28"/>
  <c r="R36" i="28"/>
  <c r="R37" i="28"/>
  <c r="P38" i="28"/>
  <c r="N39" i="28"/>
  <c r="N40" i="28"/>
  <c r="L41" i="28"/>
  <c r="M42" i="28"/>
  <c r="L43" i="28"/>
  <c r="N44" i="28"/>
  <c r="I46" i="28"/>
  <c r="K47" i="28"/>
  <c r="R48" i="28"/>
  <c r="O50" i="28"/>
  <c r="J53" i="28"/>
  <c r="R55" i="28"/>
  <c r="N58" i="28"/>
  <c r="K89" i="28"/>
  <c r="K87" i="28"/>
  <c r="K85" i="28"/>
  <c r="K83" i="28"/>
  <c r="K81" i="28"/>
  <c r="K79" i="28"/>
  <c r="K88" i="28"/>
  <c r="K86" i="28"/>
  <c r="K84" i="28"/>
  <c r="K82" i="28"/>
  <c r="K80" i="28"/>
  <c r="K78" i="28"/>
  <c r="K72" i="28"/>
  <c r="K70" i="28"/>
  <c r="K68" i="28"/>
  <c r="K76" i="28"/>
  <c r="K77" i="28"/>
  <c r="K75" i="28"/>
  <c r="K74" i="28"/>
  <c r="K73" i="28"/>
  <c r="J28" i="28"/>
  <c r="J26" i="28"/>
  <c r="R28" i="28"/>
  <c r="R26" i="28"/>
  <c r="J64" i="28"/>
  <c r="J62" i="28"/>
  <c r="J60" i="28"/>
  <c r="J58" i="28"/>
  <c r="J56" i="28"/>
  <c r="J54" i="28"/>
  <c r="J52" i="28"/>
  <c r="R64" i="28"/>
  <c r="R62" i="28"/>
  <c r="R60" i="28"/>
  <c r="R58" i="28"/>
  <c r="R56" i="28"/>
  <c r="R54" i="28"/>
  <c r="R52" i="28"/>
  <c r="N88" i="28"/>
  <c r="N86" i="28"/>
  <c r="N84" i="28"/>
  <c r="N82" i="28"/>
  <c r="N80" i="28"/>
  <c r="N78" i="28"/>
  <c r="N76" i="28"/>
  <c r="N74" i="28"/>
  <c r="N89" i="28"/>
  <c r="N87" i="28"/>
  <c r="N85" i="28"/>
  <c r="N83" i="28"/>
  <c r="N81" i="28"/>
  <c r="N79" i="28"/>
  <c r="N77" i="28"/>
  <c r="N75" i="28"/>
  <c r="N71" i="28"/>
  <c r="N69" i="28"/>
  <c r="N67" i="28"/>
  <c r="N73" i="28"/>
  <c r="N72" i="28"/>
  <c r="N70" i="28"/>
  <c r="N68" i="28"/>
  <c r="J119" i="28"/>
  <c r="J117" i="28"/>
  <c r="J115" i="28"/>
  <c r="J113" i="28"/>
  <c r="J111" i="28"/>
  <c r="J109" i="28"/>
  <c r="J107" i="28"/>
  <c r="J105" i="28"/>
  <c r="J103" i="28"/>
  <c r="J101" i="28"/>
  <c r="J99" i="28"/>
  <c r="J97" i="28"/>
  <c r="J95" i="28"/>
  <c r="J93" i="28"/>
  <c r="J91" i="28"/>
  <c r="J108" i="28"/>
  <c r="J92" i="28"/>
  <c r="J118" i="28"/>
  <c r="J102" i="28"/>
  <c r="J112" i="28"/>
  <c r="J96" i="28"/>
  <c r="J106" i="28"/>
  <c r="J116" i="28"/>
  <c r="J100" i="28"/>
  <c r="J110" i="28"/>
  <c r="J94" i="28"/>
  <c r="J114" i="28"/>
  <c r="J98" i="28"/>
  <c r="R119" i="28"/>
  <c r="R117" i="28"/>
  <c r="R115" i="28"/>
  <c r="R113" i="28"/>
  <c r="R111" i="28"/>
  <c r="R109" i="28"/>
  <c r="R107" i="28"/>
  <c r="R105" i="28"/>
  <c r="R103" i="28"/>
  <c r="R101" i="28"/>
  <c r="R99" i="28"/>
  <c r="R97" i="28"/>
  <c r="R95" i="28"/>
  <c r="R93" i="28"/>
  <c r="R91" i="28"/>
  <c r="R118" i="28"/>
  <c r="R102" i="28"/>
  <c r="R112" i="28"/>
  <c r="R96" i="28"/>
  <c r="R106" i="28"/>
  <c r="R116" i="28"/>
  <c r="R100" i="28"/>
  <c r="R110" i="28"/>
  <c r="R94" i="28"/>
  <c r="R120" i="28"/>
  <c r="R104" i="28"/>
  <c r="R108" i="28"/>
  <c r="R92" i="28"/>
  <c r="H23" i="28"/>
  <c r="P23" i="28"/>
  <c r="L24" i="28"/>
  <c r="H25" i="28"/>
  <c r="P25" i="28"/>
  <c r="N26" i="28"/>
  <c r="L27" i="28"/>
  <c r="L28" i="28"/>
  <c r="J29" i="28"/>
  <c r="Q31" i="28"/>
  <c r="O32" i="28"/>
  <c r="M33" i="28"/>
  <c r="M34" i="28"/>
  <c r="K35" i="28"/>
  <c r="I36" i="28"/>
  <c r="I37" i="28"/>
  <c r="Q38" i="28"/>
  <c r="Q39" i="28"/>
  <c r="O40" i="28"/>
  <c r="M41" i="28"/>
  <c r="N42" i="28"/>
  <c r="M43" i="28"/>
  <c r="J46" i="28"/>
  <c r="J49" i="28"/>
  <c r="R50" i="28"/>
  <c r="K53" i="28"/>
  <c r="G56" i="28"/>
  <c r="N64" i="28"/>
  <c r="K69" i="28"/>
  <c r="O65" i="28"/>
  <c r="O63" i="28"/>
  <c r="O61" i="28"/>
  <c r="O59" i="28"/>
  <c r="O57" i="28"/>
  <c r="O55" i="28"/>
  <c r="O53" i="28"/>
  <c r="O51" i="28"/>
  <c r="O49" i="28"/>
  <c r="O47" i="28"/>
  <c r="O64" i="28"/>
  <c r="K10" i="28"/>
  <c r="I32" i="27" s="1"/>
  <c r="O13" i="28"/>
  <c r="O7" i="28" s="1"/>
  <c r="M7" i="27" s="1"/>
  <c r="K28" i="28"/>
  <c r="K26" i="28"/>
  <c r="G43" i="28"/>
  <c r="G41" i="28"/>
  <c r="G39" i="28"/>
  <c r="G37" i="28"/>
  <c r="G35" i="28"/>
  <c r="G33" i="28"/>
  <c r="G31" i="28"/>
  <c r="O43" i="28"/>
  <c r="O41" i="28"/>
  <c r="O39" i="28"/>
  <c r="O37" i="28"/>
  <c r="O35" i="28"/>
  <c r="O33" i="28"/>
  <c r="O31" i="28"/>
  <c r="K64" i="28"/>
  <c r="K62" i="28"/>
  <c r="K60" i="28"/>
  <c r="K58" i="28"/>
  <c r="K56" i="28"/>
  <c r="K54" i="28"/>
  <c r="K52" i="28"/>
  <c r="K50" i="28"/>
  <c r="K48" i="28"/>
  <c r="K46" i="28"/>
  <c r="K65" i="28"/>
  <c r="G88" i="28"/>
  <c r="G86" i="28"/>
  <c r="G84" i="28"/>
  <c r="G82" i="28"/>
  <c r="G80" i="28"/>
  <c r="G89" i="28"/>
  <c r="G87" i="28"/>
  <c r="G85" i="28"/>
  <c r="G83" i="28"/>
  <c r="G81" i="28"/>
  <c r="G79" i="28"/>
  <c r="G78" i="28"/>
  <c r="G74" i="28"/>
  <c r="G73" i="28"/>
  <c r="G71" i="28"/>
  <c r="G69" i="28"/>
  <c r="G67" i="28"/>
  <c r="G76" i="28"/>
  <c r="G75" i="28"/>
  <c r="O88" i="28"/>
  <c r="O86" i="28"/>
  <c r="O84" i="28"/>
  <c r="O82" i="28"/>
  <c r="O80" i="28"/>
  <c r="O78" i="28"/>
  <c r="O89" i="28"/>
  <c r="O87" i="28"/>
  <c r="O85" i="28"/>
  <c r="O83" i="28"/>
  <c r="O81" i="28"/>
  <c r="O79" i="28"/>
  <c r="O77" i="28"/>
  <c r="O76" i="28"/>
  <c r="O75" i="28"/>
  <c r="O71" i="28"/>
  <c r="O69" i="28"/>
  <c r="O67" i="28"/>
  <c r="O74" i="28"/>
  <c r="O73" i="28"/>
  <c r="K119" i="28"/>
  <c r="K117" i="28"/>
  <c r="K115" i="28"/>
  <c r="K113" i="28"/>
  <c r="K111" i="28"/>
  <c r="K109" i="28"/>
  <c r="K107" i="28"/>
  <c r="K105" i="28"/>
  <c r="K103" i="28"/>
  <c r="K101" i="28"/>
  <c r="K99" i="28"/>
  <c r="K97" i="28"/>
  <c r="K95" i="28"/>
  <c r="K93" i="28"/>
  <c r="K91" i="28"/>
  <c r="K120" i="28"/>
  <c r="K118" i="28"/>
  <c r="K116" i="28"/>
  <c r="K114" i="28"/>
  <c r="K112" i="28"/>
  <c r="K110" i="28"/>
  <c r="K108" i="28"/>
  <c r="K106" i="28"/>
  <c r="K104" i="28"/>
  <c r="K102" i="28"/>
  <c r="K100" i="28"/>
  <c r="K98" i="28"/>
  <c r="K96" i="28"/>
  <c r="K94" i="28"/>
  <c r="K92" i="28"/>
  <c r="I23" i="28"/>
  <c r="Q23" i="28"/>
  <c r="M24" i="28"/>
  <c r="M21" i="28" s="1"/>
  <c r="M9" i="28" s="1"/>
  <c r="I25" i="28"/>
  <c r="Q25" i="28"/>
  <c r="O26" i="28"/>
  <c r="M27" i="28"/>
  <c r="M28" i="28"/>
  <c r="K29" i="28"/>
  <c r="R31" i="28"/>
  <c r="P32" i="28"/>
  <c r="N33" i="28"/>
  <c r="N34" i="28"/>
  <c r="L35" i="28"/>
  <c r="J36" i="28"/>
  <c r="J37" i="28"/>
  <c r="R38" i="28"/>
  <c r="R39" i="28"/>
  <c r="P40" i="28"/>
  <c r="N41" i="28"/>
  <c r="O42" i="28"/>
  <c r="Q43" i="28"/>
  <c r="N46" i="28"/>
  <c r="N47" i="28"/>
  <c r="K49" i="28"/>
  <c r="J51" i="28"/>
  <c r="R53" i="28"/>
  <c r="N56" i="28"/>
  <c r="J59" i="28"/>
  <c r="R61" i="28"/>
  <c r="J65" i="28"/>
  <c r="G70" i="28"/>
  <c r="G29" i="28"/>
  <c r="G27" i="28"/>
  <c r="O120" i="28"/>
  <c r="O118" i="28"/>
  <c r="O116" i="28"/>
  <c r="O114" i="28"/>
  <c r="O112" i="28"/>
  <c r="O110" i="28"/>
  <c r="O108" i="28"/>
  <c r="O106" i="28"/>
  <c r="O104" i="28"/>
  <c r="O102" i="28"/>
  <c r="O100" i="28"/>
  <c r="O98" i="28"/>
  <c r="O96" i="28"/>
  <c r="O94" i="28"/>
  <c r="O92" i="28"/>
  <c r="O119" i="28"/>
  <c r="O117" i="28"/>
  <c r="O115" i="28"/>
  <c r="O113" i="28"/>
  <c r="O111" i="28"/>
  <c r="O109" i="28"/>
  <c r="O107" i="28"/>
  <c r="O105" i="28"/>
  <c r="O103" i="28"/>
  <c r="O101" i="28"/>
  <c r="O99" i="28"/>
  <c r="O97" i="28"/>
  <c r="O95" i="28"/>
  <c r="O93" i="28"/>
  <c r="O91" i="28"/>
  <c r="L10" i="28"/>
  <c r="J32" i="27" s="1"/>
  <c r="H13" i="28"/>
  <c r="H7" i="28" s="1"/>
  <c r="F7" i="27" s="1"/>
  <c r="P13" i="28"/>
  <c r="P7" i="28" s="1"/>
  <c r="N7" i="27" s="1"/>
  <c r="H43" i="28"/>
  <c r="H41" i="28"/>
  <c r="H39" i="28"/>
  <c r="H37" i="28"/>
  <c r="H35" i="28"/>
  <c r="H33" i="28"/>
  <c r="H31" i="28"/>
  <c r="P43" i="28"/>
  <c r="P41" i="28"/>
  <c r="P39" i="28"/>
  <c r="P37" i="28"/>
  <c r="P35" i="28"/>
  <c r="P33" i="28"/>
  <c r="P31" i="28"/>
  <c r="L64" i="28"/>
  <c r="L62" i="28"/>
  <c r="L60" i="28"/>
  <c r="L58" i="28"/>
  <c r="L56" i="28"/>
  <c r="L54" i="28"/>
  <c r="L52" i="28"/>
  <c r="L50" i="28"/>
  <c r="L48" i="28"/>
  <c r="L46" i="28"/>
  <c r="L65" i="28"/>
  <c r="L63" i="28"/>
  <c r="L61" i="28"/>
  <c r="L59" i="28"/>
  <c r="L57" i="28"/>
  <c r="L55" i="28"/>
  <c r="L53" i="28"/>
  <c r="L51" i="28"/>
  <c r="L49" i="28"/>
  <c r="H89" i="28"/>
  <c r="H87" i="28"/>
  <c r="H85" i="28"/>
  <c r="H83" i="28"/>
  <c r="H81" i="28"/>
  <c r="H79" i="28"/>
  <c r="H77" i="28"/>
  <c r="H75" i="28"/>
  <c r="H74" i="28"/>
  <c r="H88" i="28"/>
  <c r="H80" i="28"/>
  <c r="H73" i="28"/>
  <c r="H71" i="28"/>
  <c r="H69" i="28"/>
  <c r="H67" i="28"/>
  <c r="H82" i="28"/>
  <c r="H84" i="28"/>
  <c r="H72" i="28"/>
  <c r="H70" i="28"/>
  <c r="H68" i="28"/>
  <c r="H86" i="28"/>
  <c r="H78" i="28"/>
  <c r="P89" i="28"/>
  <c r="P87" i="28"/>
  <c r="P85" i="28"/>
  <c r="P83" i="28"/>
  <c r="P81" i="28"/>
  <c r="P79" i="28"/>
  <c r="P77" i="28"/>
  <c r="P75" i="28"/>
  <c r="P73" i="28"/>
  <c r="P76" i="28"/>
  <c r="P82" i="28"/>
  <c r="P71" i="28"/>
  <c r="P69" i="28"/>
  <c r="P67" i="28"/>
  <c r="P74" i="28"/>
  <c r="P84" i="28"/>
  <c r="P86" i="28"/>
  <c r="P78" i="28"/>
  <c r="P72" i="28"/>
  <c r="P70" i="28"/>
  <c r="P68" i="28"/>
  <c r="P88" i="28"/>
  <c r="P80" i="28"/>
  <c r="L119" i="28"/>
  <c r="L117" i="28"/>
  <c r="L115" i="28"/>
  <c r="L113" i="28"/>
  <c r="L111" i="28"/>
  <c r="L109" i="28"/>
  <c r="L107" i="28"/>
  <c r="L105" i="28"/>
  <c r="L103" i="28"/>
  <c r="L101" i="28"/>
  <c r="L99" i="28"/>
  <c r="L97" i="28"/>
  <c r="L95" i="28"/>
  <c r="L93" i="28"/>
  <c r="L91" i="28"/>
  <c r="L120" i="28"/>
  <c r="L118" i="28"/>
  <c r="L116" i="28"/>
  <c r="L114" i="28"/>
  <c r="L112" i="28"/>
  <c r="L110" i="28"/>
  <c r="L108" i="28"/>
  <c r="L106" i="28"/>
  <c r="L104" i="28"/>
  <c r="L102" i="28"/>
  <c r="L100" i="28"/>
  <c r="L98" i="28"/>
  <c r="L96" i="28"/>
  <c r="L94" i="28"/>
  <c r="L92" i="28"/>
  <c r="J23" i="28"/>
  <c r="R23" i="28"/>
  <c r="N24" i="28"/>
  <c r="N21" i="28" s="1"/>
  <c r="N9" i="28" s="1"/>
  <c r="J25" i="28"/>
  <c r="R25" i="28"/>
  <c r="P26" i="28"/>
  <c r="P27" i="28"/>
  <c r="L29" i="28"/>
  <c r="I31" i="28"/>
  <c r="G32" i="28"/>
  <c r="Q32" i="28"/>
  <c r="Q33" i="28"/>
  <c r="O34" i="28"/>
  <c r="M35" i="28"/>
  <c r="M36" i="28"/>
  <c r="K37" i="28"/>
  <c r="I38" i="28"/>
  <c r="I39" i="28"/>
  <c r="G40" i="28"/>
  <c r="Q40" i="28"/>
  <c r="Q41" i="28"/>
  <c r="P42" i="28"/>
  <c r="R43" i="28"/>
  <c r="Q44" i="28"/>
  <c r="O46" i="28"/>
  <c r="R47" i="28"/>
  <c r="T65" i="28" s="1"/>
  <c r="N49" i="28"/>
  <c r="K51" i="28"/>
  <c r="G54" i="28"/>
  <c r="O56" i="28"/>
  <c r="K59" i="28"/>
  <c r="G62" i="28"/>
  <c r="R65" i="28"/>
  <c r="O70" i="28"/>
  <c r="G77" i="28"/>
  <c r="G46" i="28"/>
  <c r="Q13" i="28"/>
  <c r="Q7" i="28" s="1"/>
  <c r="O7" i="27" s="1"/>
  <c r="M65" i="28"/>
  <c r="M63" i="28"/>
  <c r="M61" i="28"/>
  <c r="M59" i="28"/>
  <c r="M57" i="28"/>
  <c r="M55" i="28"/>
  <c r="M53" i="28"/>
  <c r="M51" i="28"/>
  <c r="M49" i="28"/>
  <c r="M47" i="28"/>
  <c r="M64" i="28"/>
  <c r="M62" i="28"/>
  <c r="M60" i="28"/>
  <c r="M58" i="28"/>
  <c r="M56" i="28"/>
  <c r="M54" i="28"/>
  <c r="M52" i="28"/>
  <c r="M50" i="28"/>
  <c r="M48" i="28"/>
  <c r="M46" i="28"/>
  <c r="I89" i="28"/>
  <c r="I87" i="28"/>
  <c r="I85" i="28"/>
  <c r="I83" i="28"/>
  <c r="I81" i="28"/>
  <c r="I79" i="28"/>
  <c r="I88" i="28"/>
  <c r="I80" i="28"/>
  <c r="I73" i="28"/>
  <c r="I71" i="28"/>
  <c r="I69" i="28"/>
  <c r="I67" i="28"/>
  <c r="I82" i="28"/>
  <c r="I84" i="28"/>
  <c r="I72" i="28"/>
  <c r="I70" i="28"/>
  <c r="I68" i="28"/>
  <c r="I77" i="28"/>
  <c r="I76" i="28"/>
  <c r="I74" i="28"/>
  <c r="Q89" i="28"/>
  <c r="Q87" i="28"/>
  <c r="Q85" i="28"/>
  <c r="Q83" i="28"/>
  <c r="Q81" i="28"/>
  <c r="Q79" i="28"/>
  <c r="Q77" i="28"/>
  <c r="Q82" i="28"/>
  <c r="Q75" i="28"/>
  <c r="Q71" i="28"/>
  <c r="Q69" i="28"/>
  <c r="Q67" i="28"/>
  <c r="Q74" i="28"/>
  <c r="Q84" i="28"/>
  <c r="Q73" i="28"/>
  <c r="Q86" i="28"/>
  <c r="Q78" i="28"/>
  <c r="Q72" i="28"/>
  <c r="Q70" i="28"/>
  <c r="Q68" i="28"/>
  <c r="Q76" i="28"/>
  <c r="M120" i="28"/>
  <c r="M118" i="28"/>
  <c r="M116" i="28"/>
  <c r="M114" i="28"/>
  <c r="M112" i="28"/>
  <c r="M110" i="28"/>
  <c r="M108" i="28"/>
  <c r="M106" i="28"/>
  <c r="M104" i="28"/>
  <c r="M102" i="28"/>
  <c r="M100" i="28"/>
  <c r="M98" i="28"/>
  <c r="M96" i="28"/>
  <c r="M94" i="28"/>
  <c r="M92" i="28"/>
  <c r="M119" i="28"/>
  <c r="M117" i="28"/>
  <c r="M115" i="28"/>
  <c r="M113" i="28"/>
  <c r="M111" i="28"/>
  <c r="M109" i="28"/>
  <c r="M107" i="28"/>
  <c r="M105" i="28"/>
  <c r="M103" i="28"/>
  <c r="M101" i="28"/>
  <c r="M99" i="28"/>
  <c r="M97" i="28"/>
  <c r="M95" i="28"/>
  <c r="M93" i="28"/>
  <c r="M91" i="28"/>
  <c r="K23" i="28"/>
  <c r="G24" i="28"/>
  <c r="O24" i="28"/>
  <c r="K25" i="28"/>
  <c r="G26" i="28"/>
  <c r="Q26" i="28"/>
  <c r="J31" i="28"/>
  <c r="H32" i="28"/>
  <c r="R32" i="28"/>
  <c r="R33" i="28"/>
  <c r="P34" i="28"/>
  <c r="N35" i="28"/>
  <c r="N36" i="28"/>
  <c r="L37" i="28"/>
  <c r="J38" i="28"/>
  <c r="H40" i="28"/>
  <c r="R40" i="28"/>
  <c r="Q42" i="28"/>
  <c r="G44" i="28"/>
  <c r="P46" i="28"/>
  <c r="G48" i="28"/>
  <c r="R49" i="28"/>
  <c r="R51" i="28"/>
  <c r="N54" i="28"/>
  <c r="J57" i="28"/>
  <c r="R59" i="28"/>
  <c r="K71" i="28"/>
  <c r="I78" i="28"/>
  <c r="R98" i="28"/>
  <c r="O29" i="28"/>
  <c r="O27" i="28"/>
  <c r="J13" i="28"/>
  <c r="J7" i="28" s="1"/>
  <c r="H7" i="27" s="1"/>
  <c r="R13" i="28"/>
  <c r="R7" i="28" s="1"/>
  <c r="P7" i="27" s="1"/>
  <c r="N29" i="28"/>
  <c r="N27" i="28"/>
  <c r="J44" i="28"/>
  <c r="J42" i="28"/>
  <c r="R44" i="28"/>
  <c r="R42" i="28"/>
  <c r="N65" i="28"/>
  <c r="N63" i="28"/>
  <c r="N61" i="28"/>
  <c r="N59" i="28"/>
  <c r="N57" i="28"/>
  <c r="N55" i="28"/>
  <c r="N53" i="28"/>
  <c r="N51" i="28"/>
  <c r="J89" i="28"/>
  <c r="J87" i="28"/>
  <c r="J85" i="28"/>
  <c r="J83" i="28"/>
  <c r="J81" i="28"/>
  <c r="J79" i="28"/>
  <c r="J77" i="28"/>
  <c r="J75" i="28"/>
  <c r="J73" i="28"/>
  <c r="J88" i="28"/>
  <c r="J86" i="28"/>
  <c r="J84" i="28"/>
  <c r="J82" i="28"/>
  <c r="J80" i="28"/>
  <c r="J78" i="28"/>
  <c r="J72" i="28"/>
  <c r="J70" i="28"/>
  <c r="J68" i="28"/>
  <c r="J76" i="28"/>
  <c r="J71" i="28"/>
  <c r="J69" i="28"/>
  <c r="J67" i="28"/>
  <c r="R89" i="28"/>
  <c r="R87" i="28"/>
  <c r="R85" i="28"/>
  <c r="R83" i="28"/>
  <c r="R81" i="28"/>
  <c r="R79" i="28"/>
  <c r="R77" i="28"/>
  <c r="R75" i="28"/>
  <c r="R73" i="28"/>
  <c r="R88" i="28"/>
  <c r="R86" i="28"/>
  <c r="R84" i="28"/>
  <c r="R82" i="28"/>
  <c r="R80" i="28"/>
  <c r="R78" i="28"/>
  <c r="R76" i="28"/>
  <c r="R74" i="28"/>
  <c r="R72" i="28"/>
  <c r="R70" i="28"/>
  <c r="R68" i="28"/>
  <c r="R71" i="28"/>
  <c r="R69" i="28"/>
  <c r="R67" i="28"/>
  <c r="N120" i="28"/>
  <c r="N118" i="28"/>
  <c r="N116" i="28"/>
  <c r="N114" i="28"/>
  <c r="N112" i="28"/>
  <c r="N110" i="28"/>
  <c r="N108" i="28"/>
  <c r="N106" i="28"/>
  <c r="N104" i="28"/>
  <c r="N102" i="28"/>
  <c r="N100" i="28"/>
  <c r="N98" i="28"/>
  <c r="N96" i="28"/>
  <c r="N94" i="28"/>
  <c r="N92" i="28"/>
  <c r="N113" i="28"/>
  <c r="N97" i="28"/>
  <c r="N107" i="28"/>
  <c r="N91" i="28"/>
  <c r="N117" i="28"/>
  <c r="N101" i="28"/>
  <c r="N111" i="28"/>
  <c r="N95" i="28"/>
  <c r="N105" i="28"/>
  <c r="N115" i="28"/>
  <c r="N99" i="28"/>
  <c r="N119" i="28"/>
  <c r="N103" i="28"/>
  <c r="L23" i="28"/>
  <c r="H24" i="28"/>
  <c r="P24" i="28"/>
  <c r="H26" i="28"/>
  <c r="R27" i="28"/>
  <c r="P28" i="28"/>
  <c r="K31" i="28"/>
  <c r="I32" i="28"/>
  <c r="I33" i="28"/>
  <c r="G34" i="28"/>
  <c r="Q34" i="28"/>
  <c r="O36" i="28"/>
  <c r="M37" i="28"/>
  <c r="K39" i="28"/>
  <c r="I40" i="28"/>
  <c r="I41" i="28"/>
  <c r="G42" i="28"/>
  <c r="H44" i="28"/>
  <c r="Q46" i="28"/>
  <c r="J48" i="28"/>
  <c r="G50" i="28"/>
  <c r="G52" i="28"/>
  <c r="O54" i="28"/>
  <c r="K57" i="28"/>
  <c r="G60" i="28"/>
  <c r="O62" i="28"/>
  <c r="G72" i="28"/>
  <c r="Q80" i="28"/>
  <c r="J104" i="28"/>
  <c r="G6" i="29"/>
  <c r="G5" i="29"/>
  <c r="D49" i="29"/>
  <c r="D64" i="29"/>
  <c r="D72" i="29"/>
  <c r="D51" i="29"/>
  <c r="D54" i="29"/>
  <c r="D66" i="29"/>
  <c r="D74" i="29"/>
  <c r="D48" i="29"/>
  <c r="D55" i="29"/>
  <c r="D67" i="29"/>
  <c r="D75" i="29"/>
  <c r="D56" i="29"/>
  <c r="D60" i="29"/>
  <c r="D68" i="29"/>
  <c r="D50" i="29"/>
  <c r="D57" i="29"/>
  <c r="D61" i="29"/>
  <c r="D69" i="29"/>
  <c r="D58" i="29"/>
  <c r="D62" i="29"/>
  <c r="D70" i="29"/>
  <c r="D52" i="29"/>
  <c r="D59" i="29"/>
  <c r="D63" i="29"/>
  <c r="C198" i="14" l="1"/>
  <c r="E167" i="14"/>
  <c r="E177" i="14"/>
  <c r="E188" i="14"/>
  <c r="E191" i="14" s="1"/>
  <c r="E190" i="14"/>
  <c r="I178" i="14"/>
  <c r="Y119" i="14"/>
  <c r="Q119" i="14"/>
  <c r="I119" i="14"/>
  <c r="X119" i="14"/>
  <c r="P119" i="14"/>
  <c r="H119" i="14"/>
  <c r="W119" i="14"/>
  <c r="O119" i="14"/>
  <c r="G119" i="14"/>
  <c r="V119" i="14"/>
  <c r="N119" i="14"/>
  <c r="U119" i="14"/>
  <c r="M119" i="14"/>
  <c r="T119" i="14"/>
  <c r="L119" i="14"/>
  <c r="Z119" i="14"/>
  <c r="R119" i="14"/>
  <c r="J119" i="14"/>
  <c r="A120" i="14"/>
  <c r="S119" i="14"/>
  <c r="K119" i="14"/>
  <c r="H177" i="14"/>
  <c r="M8" i="28"/>
  <c r="K29" i="27"/>
  <c r="N8" i="28"/>
  <c r="L29" i="27"/>
  <c r="O21" i="28"/>
  <c r="O9" i="28" s="1"/>
  <c r="F9" i="27"/>
  <c r="F6" i="27" s="1"/>
  <c r="G3" i="29" s="1"/>
  <c r="G21" i="28"/>
  <c r="G9" i="28" s="1"/>
  <c r="I5" i="28"/>
  <c r="I6" i="28"/>
  <c r="P9" i="27"/>
  <c r="P6" i="27"/>
  <c r="Q3" i="29" s="1"/>
  <c r="R21" i="28"/>
  <c r="R9" i="28" s="1"/>
  <c r="T29" i="28"/>
  <c r="T44" i="28"/>
  <c r="Q21" i="28"/>
  <c r="Q9" i="28" s="1"/>
  <c r="H9" i="27"/>
  <c r="H6" i="27"/>
  <c r="I3" i="29" s="1"/>
  <c r="K21" i="28"/>
  <c r="K9" i="28" s="1"/>
  <c r="J21" i="28"/>
  <c r="J9" i="28" s="1"/>
  <c r="I21" i="28"/>
  <c r="I9" i="28" s="1"/>
  <c r="T120" i="28"/>
  <c r="M6" i="27"/>
  <c r="N3" i="29" s="1"/>
  <c r="M9" i="27"/>
  <c r="P21" i="28"/>
  <c r="P9" i="28" s="1"/>
  <c r="H5" i="29"/>
  <c r="H6" i="29"/>
  <c r="H21" i="28"/>
  <c r="H9" i="28" s="1"/>
  <c r="N6" i="27"/>
  <c r="O3" i="29" s="1"/>
  <c r="N9" i="27"/>
  <c r="L21" i="28"/>
  <c r="L9" i="28" s="1"/>
  <c r="K12" i="29"/>
  <c r="J12" i="29"/>
  <c r="Q12" i="29"/>
  <c r="I12" i="29"/>
  <c r="P12" i="29"/>
  <c r="H12" i="29"/>
  <c r="O12" i="29"/>
  <c r="G12" i="29"/>
  <c r="N12" i="29"/>
  <c r="F12" i="29"/>
  <c r="L12" i="29"/>
  <c r="M12" i="29"/>
  <c r="T89" i="28"/>
  <c r="O9" i="27"/>
  <c r="O6" i="27" s="1"/>
  <c r="P3" i="29" s="1"/>
  <c r="J178" i="14" l="1"/>
  <c r="I177" i="14"/>
  <c r="T120" i="14"/>
  <c r="L120" i="14"/>
  <c r="A121" i="14"/>
  <c r="S120" i="14"/>
  <c r="K120" i="14"/>
  <c r="Z120" i="14"/>
  <c r="R120" i="14"/>
  <c r="J120" i="14"/>
  <c r="Y120" i="14"/>
  <c r="Q120" i="14"/>
  <c r="I120" i="14"/>
  <c r="X120" i="14"/>
  <c r="P120" i="14"/>
  <c r="H120" i="14"/>
  <c r="W120" i="14"/>
  <c r="O120" i="14"/>
  <c r="G120" i="14"/>
  <c r="U120" i="14"/>
  <c r="M120" i="14"/>
  <c r="V120" i="14"/>
  <c r="N120" i="14"/>
  <c r="E168" i="14"/>
  <c r="E178" i="14"/>
  <c r="C199" i="14"/>
  <c r="J33" i="27"/>
  <c r="K9" i="29"/>
  <c r="O29" i="27"/>
  <c r="O28" i="27" s="1"/>
  <c r="Q8" i="28"/>
  <c r="G8" i="28"/>
  <c r="E29" i="27"/>
  <c r="N33" i="27"/>
  <c r="O9" i="29"/>
  <c r="G33" i="27"/>
  <c r="H9" i="29"/>
  <c r="G29" i="27"/>
  <c r="G28" i="27" s="1"/>
  <c r="I8" i="28"/>
  <c r="P29" i="27"/>
  <c r="R8" i="28"/>
  <c r="O8" i="28"/>
  <c r="M29" i="27"/>
  <c r="M28" i="27" s="1"/>
  <c r="O33" i="27"/>
  <c r="P9" i="29"/>
  <c r="F29" i="27"/>
  <c r="H8" i="28"/>
  <c r="H29" i="27"/>
  <c r="H28" i="27" s="1"/>
  <c r="J8" i="28"/>
  <c r="L28" i="27"/>
  <c r="F33" i="27"/>
  <c r="G9" i="29"/>
  <c r="L33" i="27"/>
  <c r="M9" i="29"/>
  <c r="H33" i="27"/>
  <c r="I9" i="29"/>
  <c r="I5" i="29"/>
  <c r="I6" i="29"/>
  <c r="K8" i="28"/>
  <c r="I29" i="27"/>
  <c r="J29" i="27"/>
  <c r="J28" i="27" s="1"/>
  <c r="L8" i="28"/>
  <c r="K33" i="27"/>
  <c r="K28" i="27" s="1"/>
  <c r="L9" i="29"/>
  <c r="P33" i="27"/>
  <c r="Q9" i="29"/>
  <c r="J5" i="28"/>
  <c r="J6" i="28"/>
  <c r="M33" i="27"/>
  <c r="N9" i="29"/>
  <c r="E33" i="27"/>
  <c r="F9" i="29"/>
  <c r="J9" i="29"/>
  <c r="I33" i="27"/>
  <c r="N29" i="27"/>
  <c r="P8" i="28"/>
  <c r="R153" i="14" l="1"/>
  <c r="R154" i="14"/>
  <c r="R152" i="14"/>
  <c r="R151" i="14" s="1"/>
  <c r="H152" i="14"/>
  <c r="H153" i="14"/>
  <c r="H154" i="14"/>
  <c r="Z153" i="14"/>
  <c r="Z154" i="14"/>
  <c r="Z152" i="14"/>
  <c r="K178" i="14"/>
  <c r="P152" i="14"/>
  <c r="P153" i="14"/>
  <c r="P154" i="14"/>
  <c r="K153" i="14"/>
  <c r="K154" i="14"/>
  <c r="K152" i="14"/>
  <c r="K151" i="14" s="1"/>
  <c r="W152" i="14"/>
  <c r="W153" i="14"/>
  <c r="W154" i="14"/>
  <c r="V152" i="14"/>
  <c r="V154" i="14"/>
  <c r="V153" i="14"/>
  <c r="X152" i="14"/>
  <c r="X153" i="14"/>
  <c r="X154" i="14"/>
  <c r="S153" i="14"/>
  <c r="S154" i="14"/>
  <c r="S152" i="14"/>
  <c r="C200" i="14"/>
  <c r="N152" i="14"/>
  <c r="N154" i="14"/>
  <c r="N153" i="14"/>
  <c r="M154" i="14"/>
  <c r="M152" i="14"/>
  <c r="M153" i="14"/>
  <c r="I152" i="14"/>
  <c r="I151" i="14" s="1"/>
  <c r="I153" i="14"/>
  <c r="I154" i="14"/>
  <c r="W121" i="14"/>
  <c r="O121" i="14"/>
  <c r="G121" i="14"/>
  <c r="V121" i="14"/>
  <c r="N121" i="14"/>
  <c r="U121" i="14"/>
  <c r="M121" i="14"/>
  <c r="T121" i="14"/>
  <c r="L121" i="14"/>
  <c r="A122" i="14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S121" i="14"/>
  <c r="K121" i="14"/>
  <c r="Z121" i="14"/>
  <c r="R121" i="14"/>
  <c r="J121" i="14"/>
  <c r="Q121" i="14"/>
  <c r="X121" i="14"/>
  <c r="P121" i="14"/>
  <c r="H121" i="14"/>
  <c r="Y121" i="14"/>
  <c r="I121" i="14"/>
  <c r="J153" i="14"/>
  <c r="J154" i="14"/>
  <c r="J152" i="14"/>
  <c r="J151" i="14" s="1"/>
  <c r="U154" i="14"/>
  <c r="U152" i="14"/>
  <c r="U153" i="14"/>
  <c r="Q152" i="14"/>
  <c r="Q153" i="14"/>
  <c r="Q154" i="14"/>
  <c r="L154" i="14"/>
  <c r="L153" i="14"/>
  <c r="L152" i="14"/>
  <c r="O152" i="14"/>
  <c r="O153" i="14"/>
  <c r="O154" i="14"/>
  <c r="J177" i="14"/>
  <c r="E169" i="14"/>
  <c r="E179" i="14"/>
  <c r="G152" i="14"/>
  <c r="G153" i="14"/>
  <c r="G154" i="14"/>
  <c r="Y152" i="14"/>
  <c r="Y153" i="14"/>
  <c r="Y154" i="14"/>
  <c r="T154" i="14"/>
  <c r="T153" i="14"/>
  <c r="T152" i="14"/>
  <c r="J5" i="29"/>
  <c r="J6" i="29"/>
  <c r="E28" i="27"/>
  <c r="P28" i="27"/>
  <c r="F28" i="27"/>
  <c r="N28" i="27"/>
  <c r="K5" i="28"/>
  <c r="K6" i="28"/>
  <c r="I28" i="27"/>
  <c r="H151" i="14" l="1"/>
  <c r="S151" i="14"/>
  <c r="W151" i="14"/>
  <c r="L151" i="14"/>
  <c r="L219" i="14" s="1"/>
  <c r="O151" i="14"/>
  <c r="Y151" i="14"/>
  <c r="U151" i="14"/>
  <c r="U219" i="14" s="1"/>
  <c r="G220" i="14"/>
  <c r="G173" i="14"/>
  <c r="G184" i="14" s="1"/>
  <c r="K177" i="14"/>
  <c r="L172" i="14"/>
  <c r="Q220" i="14"/>
  <c r="Q173" i="14"/>
  <c r="T220" i="14"/>
  <c r="T173" i="14"/>
  <c r="U220" i="14"/>
  <c r="U173" i="14"/>
  <c r="Y214" i="14"/>
  <c r="Y213" i="14"/>
  <c r="Y212" i="14" s="1"/>
  <c r="Y122" i="14"/>
  <c r="K214" i="14"/>
  <c r="K122" i="14"/>
  <c r="K213" i="14"/>
  <c r="K212" i="14" s="1"/>
  <c r="V213" i="14"/>
  <c r="V212" i="14" s="1"/>
  <c r="V214" i="14"/>
  <c r="V122" i="14"/>
  <c r="V151" i="14"/>
  <c r="P220" i="14"/>
  <c r="P173" i="14"/>
  <c r="G214" i="14"/>
  <c r="G122" i="14"/>
  <c r="G213" i="14"/>
  <c r="G212" i="14" s="1"/>
  <c r="I219" i="14"/>
  <c r="I172" i="14"/>
  <c r="S219" i="14"/>
  <c r="S172" i="14"/>
  <c r="K219" i="14"/>
  <c r="K172" i="14"/>
  <c r="Z220" i="14"/>
  <c r="Z173" i="14"/>
  <c r="H172" i="14"/>
  <c r="H219" i="14"/>
  <c r="O220" i="14"/>
  <c r="O173" i="14"/>
  <c r="Q151" i="14"/>
  <c r="J219" i="14"/>
  <c r="J172" i="14"/>
  <c r="L214" i="14"/>
  <c r="L122" i="14"/>
  <c r="L213" i="14"/>
  <c r="L212" i="14" s="1"/>
  <c r="W213" i="14"/>
  <c r="W212" i="14" s="1"/>
  <c r="W214" i="14"/>
  <c r="W122" i="14"/>
  <c r="X151" i="14"/>
  <c r="W220" i="14"/>
  <c r="W173" i="14"/>
  <c r="P151" i="14"/>
  <c r="R219" i="14"/>
  <c r="R172" i="14"/>
  <c r="H214" i="14"/>
  <c r="H122" i="14"/>
  <c r="H213" i="14"/>
  <c r="H212" i="14" s="1"/>
  <c r="O214" i="14"/>
  <c r="O122" i="14"/>
  <c r="O213" i="14"/>
  <c r="O212" i="14" s="1"/>
  <c r="N220" i="14"/>
  <c r="N173" i="14"/>
  <c r="Y220" i="14"/>
  <c r="Y173" i="14"/>
  <c r="G151" i="14"/>
  <c r="L220" i="14"/>
  <c r="L173" i="14"/>
  <c r="J220" i="14"/>
  <c r="J173" i="14"/>
  <c r="Q214" i="14"/>
  <c r="Q122" i="14"/>
  <c r="Q213" i="14"/>
  <c r="Q212" i="14" s="1"/>
  <c r="T213" i="14"/>
  <c r="T212" i="14" s="1"/>
  <c r="T214" i="14"/>
  <c r="T122" i="14"/>
  <c r="N151" i="14"/>
  <c r="S220" i="14"/>
  <c r="S173" i="14"/>
  <c r="K220" i="14"/>
  <c r="K173" i="14"/>
  <c r="K198" i="14"/>
  <c r="L178" i="14"/>
  <c r="S213" i="14"/>
  <c r="S212" i="14" s="1"/>
  <c r="S214" i="14"/>
  <c r="S122" i="14"/>
  <c r="X213" i="14"/>
  <c r="X212" i="14" s="1"/>
  <c r="X214" i="14"/>
  <c r="X122" i="14"/>
  <c r="T151" i="14"/>
  <c r="J214" i="14"/>
  <c r="J122" i="14"/>
  <c r="J198" i="14" s="1"/>
  <c r="J213" i="14"/>
  <c r="J212" i="14" s="1"/>
  <c r="M214" i="14"/>
  <c r="M122" i="14"/>
  <c r="M213" i="14"/>
  <c r="M212" i="14" s="1"/>
  <c r="M151" i="14"/>
  <c r="H220" i="14"/>
  <c r="H173" i="14"/>
  <c r="R220" i="14"/>
  <c r="R173" i="14"/>
  <c r="P214" i="14"/>
  <c r="P122" i="14"/>
  <c r="P213" i="14"/>
  <c r="P212" i="14" s="1"/>
  <c r="F133" i="14"/>
  <c r="G133" i="14" s="1"/>
  <c r="A134" i="14"/>
  <c r="A135" i="14" s="1"/>
  <c r="Y219" i="14"/>
  <c r="Y172" i="14"/>
  <c r="E170" i="14"/>
  <c r="E180" i="14"/>
  <c r="O219" i="14"/>
  <c r="O172" i="14"/>
  <c r="U172" i="14"/>
  <c r="R214" i="14"/>
  <c r="R122" i="14"/>
  <c r="R213" i="14"/>
  <c r="R212" i="14" s="1"/>
  <c r="U213" i="14"/>
  <c r="U212" i="14" s="1"/>
  <c r="U214" i="14"/>
  <c r="U122" i="14"/>
  <c r="I173" i="14"/>
  <c r="I220" i="14"/>
  <c r="X220" i="14"/>
  <c r="X173" i="14"/>
  <c r="V220" i="14"/>
  <c r="V173" i="14"/>
  <c r="I214" i="14"/>
  <c r="I122" i="14"/>
  <c r="I213" i="14"/>
  <c r="I212" i="14" s="1"/>
  <c r="Z214" i="14"/>
  <c r="Z213" i="14"/>
  <c r="Z212" i="14" s="1"/>
  <c r="Z122" i="14"/>
  <c r="N214" i="14"/>
  <c r="N122" i="14"/>
  <c r="N213" i="14"/>
  <c r="N212" i="14" s="1"/>
  <c r="M220" i="14"/>
  <c r="M173" i="14"/>
  <c r="C201" i="14"/>
  <c r="W219" i="14"/>
  <c r="W172" i="14"/>
  <c r="Z151" i="14"/>
  <c r="K5" i="29"/>
  <c r="K6" i="29"/>
  <c r="L6" i="28"/>
  <c r="L5" i="28"/>
  <c r="H133" i="14" l="1"/>
  <c r="G134" i="14"/>
  <c r="M219" i="14"/>
  <c r="M172" i="14"/>
  <c r="H198" i="14"/>
  <c r="H197" i="14"/>
  <c r="Q219" i="14"/>
  <c r="Q172" i="14"/>
  <c r="E181" i="14"/>
  <c r="E171" i="14"/>
  <c r="N219" i="14"/>
  <c r="N172" i="14"/>
  <c r="P172" i="14"/>
  <c r="P219" i="14"/>
  <c r="K197" i="14"/>
  <c r="L177" i="14"/>
  <c r="J197" i="14"/>
  <c r="V219" i="14"/>
  <c r="V172" i="14"/>
  <c r="Z219" i="14"/>
  <c r="Z172" i="14"/>
  <c r="C202" i="14"/>
  <c r="M178" i="14"/>
  <c r="L198" i="14"/>
  <c r="G198" i="14"/>
  <c r="G197" i="14"/>
  <c r="G204" i="14"/>
  <c r="H184" i="14"/>
  <c r="I198" i="14"/>
  <c r="I197" i="14"/>
  <c r="A136" i="14"/>
  <c r="A137" i="14" s="1"/>
  <c r="F135" i="14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T219" i="14"/>
  <c r="T172" i="14"/>
  <c r="G219" i="14"/>
  <c r="G172" i="14"/>
  <c r="G183" i="14" s="1"/>
  <c r="X172" i="14"/>
  <c r="X219" i="14"/>
  <c r="M6" i="28"/>
  <c r="M5" i="28"/>
  <c r="L5" i="29"/>
  <c r="L6" i="29"/>
  <c r="H204" i="14" l="1"/>
  <c r="I184" i="14"/>
  <c r="C203" i="14"/>
  <c r="G203" i="14"/>
  <c r="H183" i="14"/>
  <c r="F137" i="14"/>
  <c r="G137" i="14" s="1"/>
  <c r="A138" i="14"/>
  <c r="A139" i="14" s="1"/>
  <c r="G132" i="14"/>
  <c r="M198" i="14"/>
  <c r="N178" i="14"/>
  <c r="L197" i="14"/>
  <c r="M177" i="14"/>
  <c r="E182" i="14"/>
  <c r="E172" i="14"/>
  <c r="I133" i="14"/>
  <c r="H134" i="14"/>
  <c r="H132" i="14" s="1"/>
  <c r="M6" i="29"/>
  <c r="M5" i="29"/>
  <c r="N6" i="28"/>
  <c r="N5" i="28"/>
  <c r="C204" i="14" l="1"/>
  <c r="E183" i="14"/>
  <c r="E173" i="14"/>
  <c r="M197" i="14"/>
  <c r="N177" i="14"/>
  <c r="H203" i="14"/>
  <c r="I183" i="14"/>
  <c r="N198" i="14"/>
  <c r="O178" i="14"/>
  <c r="H215" i="14"/>
  <c r="H168" i="14"/>
  <c r="G215" i="14"/>
  <c r="G168" i="14"/>
  <c r="G179" i="14" s="1"/>
  <c r="J133" i="14"/>
  <c r="I134" i="14"/>
  <c r="I132" i="14" s="1"/>
  <c r="A140" i="14"/>
  <c r="A141" i="14" s="1"/>
  <c r="F139" i="14"/>
  <c r="G139" i="14" s="1"/>
  <c r="H139" i="14" s="1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I204" i="14"/>
  <c r="J184" i="14"/>
  <c r="H137" i="14"/>
  <c r="G138" i="14"/>
  <c r="O5" i="28"/>
  <c r="O6" i="28"/>
  <c r="N6" i="29"/>
  <c r="N5" i="29"/>
  <c r="I203" i="14" l="1"/>
  <c r="J183" i="14"/>
  <c r="I137" i="14"/>
  <c r="H138" i="14"/>
  <c r="H136" i="14" s="1"/>
  <c r="G199" i="14"/>
  <c r="H179" i="14"/>
  <c r="J204" i="14"/>
  <c r="K184" i="14"/>
  <c r="N197" i="14"/>
  <c r="O177" i="14"/>
  <c r="G136" i="14"/>
  <c r="E184" i="14"/>
  <c r="E174" i="14"/>
  <c r="E185" i="14" s="1"/>
  <c r="F141" i="14"/>
  <c r="G141" i="14" s="1"/>
  <c r="A142" i="14"/>
  <c r="I215" i="14"/>
  <c r="I168" i="14"/>
  <c r="O198" i="14"/>
  <c r="P178" i="14"/>
  <c r="C205" i="14"/>
  <c r="K133" i="14"/>
  <c r="J134" i="14"/>
  <c r="J132" i="14" s="1"/>
  <c r="P5" i="28"/>
  <c r="P6" i="28"/>
  <c r="O6" i="29"/>
  <c r="O5" i="29"/>
  <c r="C142" i="14" l="1"/>
  <c r="A143" i="14"/>
  <c r="A144" i="14" s="1"/>
  <c r="H216" i="14"/>
  <c r="H169" i="14"/>
  <c r="L133" i="14"/>
  <c r="K134" i="14"/>
  <c r="K132" i="14" s="1"/>
  <c r="K204" i="14"/>
  <c r="L184" i="14"/>
  <c r="H199" i="14"/>
  <c r="I179" i="14"/>
  <c r="P198" i="14"/>
  <c r="Q178" i="14"/>
  <c r="P177" i="14"/>
  <c r="O197" i="14"/>
  <c r="J203" i="14"/>
  <c r="K183" i="14"/>
  <c r="H141" i="14"/>
  <c r="G140" i="14"/>
  <c r="C206" i="14"/>
  <c r="G216" i="14"/>
  <c r="G169" i="14"/>
  <c r="G180" i="14" s="1"/>
  <c r="J137" i="14"/>
  <c r="I138" i="14"/>
  <c r="I136" i="14" s="1"/>
  <c r="J215" i="14"/>
  <c r="J168" i="14"/>
  <c r="Q5" i="28"/>
  <c r="Q6" i="28"/>
  <c r="P5" i="29"/>
  <c r="P6" i="29"/>
  <c r="P197" i="14" l="1"/>
  <c r="Q177" i="14"/>
  <c r="C207" i="14"/>
  <c r="Q198" i="14"/>
  <c r="R178" i="14"/>
  <c r="G200" i="14"/>
  <c r="H180" i="14"/>
  <c r="K215" i="14"/>
  <c r="K168" i="14"/>
  <c r="M133" i="14"/>
  <c r="L134" i="14"/>
  <c r="L132" i="14" s="1"/>
  <c r="G217" i="14"/>
  <c r="G170" i="14"/>
  <c r="G181" i="14" s="1"/>
  <c r="I199" i="14"/>
  <c r="J179" i="14"/>
  <c r="I216" i="14"/>
  <c r="I169" i="14"/>
  <c r="I141" i="14"/>
  <c r="H140" i="14"/>
  <c r="K137" i="14"/>
  <c r="J138" i="14"/>
  <c r="J136" i="14" s="1"/>
  <c r="K203" i="14"/>
  <c r="L183" i="14"/>
  <c r="L204" i="14"/>
  <c r="M184" i="14"/>
  <c r="A145" i="14"/>
  <c r="A146" i="14" s="1"/>
  <c r="A147" i="14" s="1"/>
  <c r="A148" i="14" s="1"/>
  <c r="E144" i="14"/>
  <c r="F144" i="14"/>
  <c r="G144" i="14" s="1"/>
  <c r="Q5" i="29"/>
  <c r="Q6" i="29"/>
  <c r="R5" i="28"/>
  <c r="R6" i="28"/>
  <c r="J141" i="14" l="1"/>
  <c r="I140" i="14"/>
  <c r="M204" i="14"/>
  <c r="N184" i="14"/>
  <c r="L215" i="14"/>
  <c r="L168" i="14"/>
  <c r="R198" i="14"/>
  <c r="S178" i="14"/>
  <c r="L203" i="14"/>
  <c r="M183" i="14"/>
  <c r="N133" i="14"/>
  <c r="M134" i="14"/>
  <c r="M132" i="14" s="1"/>
  <c r="F148" i="14"/>
  <c r="G148" i="14" s="1"/>
  <c r="A149" i="14"/>
  <c r="A150" i="14" s="1"/>
  <c r="A151" i="14" s="1"/>
  <c r="A152" i="14" s="1"/>
  <c r="J199" i="14"/>
  <c r="K179" i="14"/>
  <c r="C208" i="14"/>
  <c r="J216" i="14"/>
  <c r="J169" i="14"/>
  <c r="H144" i="14"/>
  <c r="G145" i="14"/>
  <c r="L137" i="14"/>
  <c r="K138" i="14"/>
  <c r="K136" i="14" s="1"/>
  <c r="G201" i="14"/>
  <c r="Q197" i="14"/>
  <c r="R177" i="14"/>
  <c r="E145" i="14"/>
  <c r="E148" i="14"/>
  <c r="H217" i="14"/>
  <c r="H170" i="14"/>
  <c r="H181" i="14" s="1"/>
  <c r="H200" i="14"/>
  <c r="I180" i="14"/>
  <c r="H23" i="13"/>
  <c r="I23" i="13"/>
  <c r="J23" i="13"/>
  <c r="K23" i="13"/>
  <c r="L23" i="13"/>
  <c r="M23" i="13"/>
  <c r="N23" i="13"/>
  <c r="O23" i="13"/>
  <c r="H24" i="13"/>
  <c r="I24" i="13"/>
  <c r="J24" i="13"/>
  <c r="K24" i="13"/>
  <c r="L24" i="13"/>
  <c r="M24" i="13"/>
  <c r="N24" i="13"/>
  <c r="O24" i="13"/>
  <c r="H25" i="13"/>
  <c r="I25" i="13"/>
  <c r="J25" i="13"/>
  <c r="K25" i="13"/>
  <c r="L25" i="13"/>
  <c r="M25" i="13"/>
  <c r="N25" i="13"/>
  <c r="O25" i="13"/>
  <c r="G33" i="13"/>
  <c r="H33" i="13"/>
  <c r="I33" i="13"/>
  <c r="I41" i="13" s="1"/>
  <c r="J33" i="13"/>
  <c r="K33" i="13"/>
  <c r="K41" i="13" s="1"/>
  <c r="L33" i="13"/>
  <c r="L41" i="13" s="1"/>
  <c r="M33" i="13"/>
  <c r="N33" i="13"/>
  <c r="N41" i="13" s="1"/>
  <c r="O33" i="13"/>
  <c r="G41" i="13"/>
  <c r="H41" i="13"/>
  <c r="J41" i="13"/>
  <c r="M41" i="13"/>
  <c r="O41" i="13"/>
  <c r="G59" i="13"/>
  <c r="H59" i="13"/>
  <c r="J59" i="13"/>
  <c r="K59" i="13"/>
  <c r="L59" i="13"/>
  <c r="M59" i="13"/>
  <c r="N59" i="13"/>
  <c r="O59" i="13"/>
  <c r="G60" i="13"/>
  <c r="H60" i="13"/>
  <c r="I60" i="13"/>
  <c r="J60" i="13"/>
  <c r="K60" i="13"/>
  <c r="L60" i="13"/>
  <c r="M60" i="13"/>
  <c r="N60" i="13"/>
  <c r="O60" i="13"/>
  <c r="G19" i="13"/>
  <c r="G18" i="13" s="1"/>
  <c r="F19" i="13"/>
  <c r="H18" i="13"/>
  <c r="I18" i="13"/>
  <c r="J18" i="13"/>
  <c r="K18" i="13"/>
  <c r="L18" i="13"/>
  <c r="M18" i="13"/>
  <c r="N18" i="13"/>
  <c r="O18" i="13"/>
  <c r="G23" i="12"/>
  <c r="H23" i="12"/>
  <c r="I23" i="12"/>
  <c r="J23" i="12"/>
  <c r="K23" i="12"/>
  <c r="L23" i="12"/>
  <c r="M23" i="12"/>
  <c r="N23" i="12"/>
  <c r="O23" i="12"/>
  <c r="G24" i="12"/>
  <c r="H24" i="12"/>
  <c r="I24" i="12"/>
  <c r="J24" i="12"/>
  <c r="K24" i="12"/>
  <c r="L24" i="12"/>
  <c r="M24" i="12"/>
  <c r="N24" i="12"/>
  <c r="O24" i="12"/>
  <c r="G25" i="12"/>
  <c r="H25" i="12"/>
  <c r="I25" i="12"/>
  <c r="J25" i="12"/>
  <c r="K25" i="12"/>
  <c r="L25" i="12"/>
  <c r="M25" i="12"/>
  <c r="N25" i="12"/>
  <c r="O25" i="12"/>
  <c r="G33" i="12"/>
  <c r="G41" i="12" s="1"/>
  <c r="H33" i="12"/>
  <c r="I33" i="12"/>
  <c r="I41" i="12" s="1"/>
  <c r="J33" i="12"/>
  <c r="K33" i="12"/>
  <c r="L33" i="12"/>
  <c r="L41" i="12" s="1"/>
  <c r="M33" i="12"/>
  <c r="M41" i="12" s="1"/>
  <c r="N33" i="12"/>
  <c r="N41" i="12" s="1"/>
  <c r="O33" i="12"/>
  <c r="O41" i="12" s="1"/>
  <c r="H41" i="12"/>
  <c r="J41" i="12"/>
  <c r="K41" i="12"/>
  <c r="H59" i="12"/>
  <c r="J59" i="12"/>
  <c r="K59" i="12"/>
  <c r="L59" i="12"/>
  <c r="N59" i="12"/>
  <c r="G60" i="12"/>
  <c r="H60" i="12"/>
  <c r="I60" i="12"/>
  <c r="J60" i="12"/>
  <c r="K60" i="12"/>
  <c r="L60" i="12"/>
  <c r="M60" i="12"/>
  <c r="N60" i="12"/>
  <c r="O60" i="12"/>
  <c r="F19" i="12"/>
  <c r="G18" i="12"/>
  <c r="H18" i="12"/>
  <c r="I18" i="12"/>
  <c r="J18" i="12"/>
  <c r="K18" i="12"/>
  <c r="L18" i="12"/>
  <c r="M18" i="12"/>
  <c r="N18" i="12"/>
  <c r="O18" i="12"/>
  <c r="K18" i="1"/>
  <c r="L18" i="1"/>
  <c r="M18" i="1"/>
  <c r="N18" i="1"/>
  <c r="O18" i="1"/>
  <c r="E535" i="2"/>
  <c r="E539" i="2" s="1"/>
  <c r="E540" i="2" s="1"/>
  <c r="E541" i="2" s="1"/>
  <c r="E542" i="2" s="1"/>
  <c r="E543" i="2" s="1"/>
  <c r="E544" i="2" s="1"/>
  <c r="E545" i="2" s="1"/>
  <c r="E546" i="2" s="1"/>
  <c r="E547" i="2" s="1"/>
  <c r="B535" i="2"/>
  <c r="E533" i="2"/>
  <c r="E534" i="2" s="1"/>
  <c r="B533" i="2"/>
  <c r="E524" i="2"/>
  <c r="E525" i="2" s="1"/>
  <c r="E526" i="2" s="1"/>
  <c r="E527" i="2" s="1"/>
  <c r="E528" i="2" s="1"/>
  <c r="E529" i="2" s="1"/>
  <c r="E530" i="2" s="1"/>
  <c r="E531" i="2" s="1"/>
  <c r="E532" i="2" s="1"/>
  <c r="B523" i="2"/>
  <c r="D515" i="2"/>
  <c r="D518" i="2" s="1"/>
  <c r="D534" i="2" s="1"/>
  <c r="B534" i="2" s="1"/>
  <c r="F512" i="2"/>
  <c r="F511" i="2"/>
  <c r="F510" i="2"/>
  <c r="F509" i="2"/>
  <c r="F508" i="2"/>
  <c r="F507" i="2"/>
  <c r="F506" i="2"/>
  <c r="F505" i="2"/>
  <c r="F504" i="2"/>
  <c r="F503" i="2"/>
  <c r="D501" i="2"/>
  <c r="D512" i="2" s="1"/>
  <c r="D532" i="2" s="1"/>
  <c r="B532" i="2" s="1"/>
  <c r="D500" i="2"/>
  <c r="D511" i="2" s="1"/>
  <c r="D531" i="2" s="1"/>
  <c r="D499" i="2"/>
  <c r="D510" i="2" s="1"/>
  <c r="D530" i="2" s="1"/>
  <c r="D498" i="2"/>
  <c r="D509" i="2" s="1"/>
  <c r="D529" i="2" s="1"/>
  <c r="D545" i="2" s="1"/>
  <c r="D497" i="2"/>
  <c r="D508" i="2" s="1"/>
  <c r="D528" i="2" s="1"/>
  <c r="D496" i="2"/>
  <c r="D507" i="2" s="1"/>
  <c r="D527" i="2" s="1"/>
  <c r="D495" i="2"/>
  <c r="D506" i="2" s="1"/>
  <c r="D526" i="2" s="1"/>
  <c r="D494" i="2"/>
  <c r="D505" i="2" s="1"/>
  <c r="D525" i="2" s="1"/>
  <c r="D493" i="2"/>
  <c r="D504" i="2" s="1"/>
  <c r="D524" i="2" s="1"/>
  <c r="E491" i="2"/>
  <c r="E520" i="2" s="1"/>
  <c r="E521" i="2" s="1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E488" i="2"/>
  <c r="E489" i="2" s="1"/>
  <c r="E486" i="2"/>
  <c r="E485" i="2"/>
  <c r="E484" i="2"/>
  <c r="E481" i="2"/>
  <c r="E478" i="2"/>
  <c r="E479" i="2" s="1"/>
  <c r="E469" i="2"/>
  <c r="E470" i="2" s="1"/>
  <c r="E474" i="2" s="1"/>
  <c r="E467" i="2"/>
  <c r="E463" i="2"/>
  <c r="E459" i="2"/>
  <c r="E457" i="2"/>
  <c r="E452" i="2"/>
  <c r="F451" i="2"/>
  <c r="E449" i="2"/>
  <c r="E446" i="2"/>
  <c r="G444" i="2"/>
  <c r="E444" i="2"/>
  <c r="D444" i="2"/>
  <c r="F442" i="2"/>
  <c r="O59" i="12" l="1"/>
  <c r="M59" i="12"/>
  <c r="G59" i="12"/>
  <c r="R197" i="14"/>
  <c r="S177" i="14"/>
  <c r="O133" i="14"/>
  <c r="N134" i="14"/>
  <c r="N132" i="14" s="1"/>
  <c r="N204" i="14"/>
  <c r="O184" i="14"/>
  <c r="H148" i="14"/>
  <c r="G149" i="14"/>
  <c r="M215" i="14"/>
  <c r="M168" i="14"/>
  <c r="K216" i="14"/>
  <c r="K169" i="14"/>
  <c r="N183" i="14"/>
  <c r="M203" i="14"/>
  <c r="I200" i="14"/>
  <c r="J180" i="14"/>
  <c r="M137" i="14"/>
  <c r="L138" i="14"/>
  <c r="L136" i="14" s="1"/>
  <c r="K199" i="14"/>
  <c r="L179" i="14"/>
  <c r="I217" i="14"/>
  <c r="I170" i="14"/>
  <c r="I181" i="14" s="1"/>
  <c r="S198" i="14"/>
  <c r="T178" i="14"/>
  <c r="K141" i="14"/>
  <c r="J140" i="14"/>
  <c r="H201" i="14"/>
  <c r="F146" i="14"/>
  <c r="G146" i="14" s="1"/>
  <c r="G143" i="14" s="1"/>
  <c r="E146" i="14"/>
  <c r="E150" i="14" s="1"/>
  <c r="E149" i="14"/>
  <c r="I144" i="14"/>
  <c r="H145" i="14"/>
  <c r="F152" i="14"/>
  <c r="A153" i="14"/>
  <c r="G25" i="13"/>
  <c r="I59" i="13"/>
  <c r="I59" i="12"/>
  <c r="E492" i="2"/>
  <c r="E503" i="2" s="1"/>
  <c r="B529" i="2"/>
  <c r="E514" i="2"/>
  <c r="D541" i="2"/>
  <c r="B525" i="2"/>
  <c r="B524" i="2"/>
  <c r="D540" i="2"/>
  <c r="D546" i="2"/>
  <c r="B530" i="2"/>
  <c r="D544" i="2"/>
  <c r="B528" i="2"/>
  <c r="B527" i="2"/>
  <c r="D543" i="2"/>
  <c r="B526" i="2"/>
  <c r="D542" i="2"/>
  <c r="D547" i="2"/>
  <c r="B531" i="2"/>
  <c r="E426" i="2"/>
  <c r="E430" i="2" s="1"/>
  <c r="E431" i="2" s="1"/>
  <c r="E432" i="2" s="1"/>
  <c r="E433" i="2" s="1"/>
  <c r="E434" i="2" s="1"/>
  <c r="E435" i="2" s="1"/>
  <c r="E436" i="2" s="1"/>
  <c r="E437" i="2" s="1"/>
  <c r="E438" i="2" s="1"/>
  <c r="B426" i="2"/>
  <c r="E424" i="2"/>
  <c r="E425" i="2" s="1"/>
  <c r="B424" i="2"/>
  <c r="E415" i="2"/>
  <c r="E416" i="2" s="1"/>
  <c r="E417" i="2" s="1"/>
  <c r="E418" i="2" s="1"/>
  <c r="E419" i="2" s="1"/>
  <c r="E420" i="2" s="1"/>
  <c r="E421" i="2" s="1"/>
  <c r="E422" i="2" s="1"/>
  <c r="E423" i="2" s="1"/>
  <c r="B414" i="2"/>
  <c r="D406" i="2"/>
  <c r="D409" i="2" s="1"/>
  <c r="D425" i="2" s="1"/>
  <c r="B425" i="2" s="1"/>
  <c r="F403" i="2"/>
  <c r="F402" i="2"/>
  <c r="F401" i="2"/>
  <c r="F400" i="2"/>
  <c r="F399" i="2"/>
  <c r="F398" i="2"/>
  <c r="F397" i="2"/>
  <c r="F396" i="2"/>
  <c r="F395" i="2"/>
  <c r="F394" i="2"/>
  <c r="D392" i="2"/>
  <c r="D403" i="2" s="1"/>
  <c r="D423" i="2" s="1"/>
  <c r="B423" i="2" s="1"/>
  <c r="D391" i="2"/>
  <c r="D402" i="2" s="1"/>
  <c r="D422" i="2" s="1"/>
  <c r="D390" i="2"/>
  <c r="D401" i="2" s="1"/>
  <c r="D421" i="2" s="1"/>
  <c r="D389" i="2"/>
  <c r="D400" i="2" s="1"/>
  <c r="D420" i="2" s="1"/>
  <c r="D388" i="2"/>
  <c r="D399" i="2" s="1"/>
  <c r="D419" i="2" s="1"/>
  <c r="D387" i="2"/>
  <c r="D398" i="2" s="1"/>
  <c r="D418" i="2" s="1"/>
  <c r="B418" i="2" s="1"/>
  <c r="D386" i="2"/>
  <c r="D397" i="2" s="1"/>
  <c r="D417" i="2" s="1"/>
  <c r="D385" i="2"/>
  <c r="D396" i="2" s="1"/>
  <c r="D416" i="2" s="1"/>
  <c r="D384" i="2"/>
  <c r="D395" i="2" s="1"/>
  <c r="D415" i="2" s="1"/>
  <c r="E382" i="2"/>
  <c r="E411" i="2" s="1"/>
  <c r="E412" i="2" s="1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E379" i="2"/>
  <c r="E380" i="2" s="1"/>
  <c r="E377" i="2"/>
  <c r="E376" i="2"/>
  <c r="E375" i="2"/>
  <c r="E372" i="2"/>
  <c r="E369" i="2"/>
  <c r="E370" i="2" s="1"/>
  <c r="E360" i="2"/>
  <c r="E361" i="2" s="1"/>
  <c r="E365" i="2" s="1"/>
  <c r="E358" i="2"/>
  <c r="E354" i="2"/>
  <c r="E350" i="2"/>
  <c r="E348" i="2"/>
  <c r="E343" i="2"/>
  <c r="F342" i="2"/>
  <c r="E340" i="2"/>
  <c r="E337" i="2"/>
  <c r="G335" i="2"/>
  <c r="E335" i="2"/>
  <c r="D335" i="2"/>
  <c r="F333" i="2"/>
  <c r="F9" i="8"/>
  <c r="G9" i="8"/>
  <c r="H9" i="8"/>
  <c r="I9" i="8"/>
  <c r="J9" i="8"/>
  <c r="K9" i="8"/>
  <c r="L9" i="8"/>
  <c r="M9" i="8"/>
  <c r="N9" i="8"/>
  <c r="O9" i="8"/>
  <c r="P9" i="8"/>
  <c r="F10" i="8"/>
  <c r="G10" i="8"/>
  <c r="H10" i="8"/>
  <c r="I10" i="8"/>
  <c r="J10" i="8"/>
  <c r="K10" i="8"/>
  <c r="L10" i="8"/>
  <c r="M10" i="8"/>
  <c r="N10" i="8"/>
  <c r="O10" i="8"/>
  <c r="P10" i="8"/>
  <c r="I201" i="14" l="1"/>
  <c r="L216" i="14"/>
  <c r="L169" i="14"/>
  <c r="O204" i="14"/>
  <c r="P184" i="14"/>
  <c r="J200" i="14"/>
  <c r="K180" i="14"/>
  <c r="N215" i="14"/>
  <c r="N168" i="14"/>
  <c r="A154" i="14"/>
  <c r="A155" i="14" s="1"/>
  <c r="F153" i="14"/>
  <c r="P133" i="14"/>
  <c r="O134" i="14"/>
  <c r="O132" i="14" s="1"/>
  <c r="G150" i="14"/>
  <c r="H146" i="14"/>
  <c r="H143" i="14" s="1"/>
  <c r="J217" i="14"/>
  <c r="J170" i="14"/>
  <c r="J181" i="14" s="1"/>
  <c r="S197" i="14"/>
  <c r="T177" i="14"/>
  <c r="N137" i="14"/>
  <c r="M138" i="14"/>
  <c r="M136" i="14" s="1"/>
  <c r="J144" i="14"/>
  <c r="I145" i="14"/>
  <c r="L141" i="14"/>
  <c r="K140" i="14"/>
  <c r="L199" i="14"/>
  <c r="M179" i="14"/>
  <c r="N203" i="14"/>
  <c r="O183" i="14"/>
  <c r="G147" i="14"/>
  <c r="G142" i="14" s="1"/>
  <c r="U178" i="14"/>
  <c r="T198" i="14"/>
  <c r="I148" i="14"/>
  <c r="H149" i="14"/>
  <c r="E493" i="2"/>
  <c r="E504" i="2" s="1"/>
  <c r="E405" i="2"/>
  <c r="E406" i="2" s="1"/>
  <c r="E409" i="2" s="1"/>
  <c r="E517" i="2"/>
  <c r="E515" i="2"/>
  <c r="E518" i="2" s="1"/>
  <c r="D436" i="2"/>
  <c r="B420" i="2"/>
  <c r="B415" i="2"/>
  <c r="D431" i="2"/>
  <c r="B417" i="2"/>
  <c r="D433" i="2"/>
  <c r="D432" i="2"/>
  <c r="B416" i="2"/>
  <c r="D434" i="2"/>
  <c r="D435" i="2"/>
  <c r="B419" i="2"/>
  <c r="B421" i="2"/>
  <c r="D437" i="2"/>
  <c r="D438" i="2"/>
  <c r="B422" i="2"/>
  <c r="E383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F16" i="10"/>
  <c r="E408" i="2" l="1"/>
  <c r="J201" i="14"/>
  <c r="M141" i="14"/>
  <c r="L140" i="14"/>
  <c r="O203" i="14"/>
  <c r="P183" i="14"/>
  <c r="M169" i="14"/>
  <c r="M216" i="14"/>
  <c r="I146" i="14"/>
  <c r="I143" i="14" s="1"/>
  <c r="H150" i="14"/>
  <c r="H147" i="14" s="1"/>
  <c r="H142" i="14" s="1"/>
  <c r="U198" i="14"/>
  <c r="V178" i="14"/>
  <c r="O137" i="14"/>
  <c r="N138" i="14"/>
  <c r="N136" i="14" s="1"/>
  <c r="M199" i="14"/>
  <c r="N179" i="14"/>
  <c r="T197" i="14"/>
  <c r="U177" i="14"/>
  <c r="O215" i="14"/>
  <c r="O168" i="14"/>
  <c r="K200" i="14"/>
  <c r="L180" i="14"/>
  <c r="G218" i="14"/>
  <c r="G171" i="14"/>
  <c r="G182" i="14" s="1"/>
  <c r="Q133" i="14"/>
  <c r="P134" i="14"/>
  <c r="P132" i="14" s="1"/>
  <c r="K144" i="14"/>
  <c r="J145" i="14"/>
  <c r="J148" i="14"/>
  <c r="I149" i="14"/>
  <c r="K217" i="14"/>
  <c r="K170" i="14"/>
  <c r="K181" i="14" s="1"/>
  <c r="P204" i="14"/>
  <c r="Q184" i="14"/>
  <c r="F155" i="14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156" i="14"/>
  <c r="E494" i="2"/>
  <c r="E505" i="2" s="1"/>
  <c r="E384" i="2"/>
  <c r="E394" i="2"/>
  <c r="H17" i="2"/>
  <c r="I17" i="2"/>
  <c r="J17" i="2"/>
  <c r="K17" i="2"/>
  <c r="L17" i="2"/>
  <c r="M17" i="2"/>
  <c r="N17" i="2"/>
  <c r="O17" i="2"/>
  <c r="P17" i="2"/>
  <c r="H18" i="2"/>
  <c r="I18" i="2"/>
  <c r="J18" i="2"/>
  <c r="K18" i="2"/>
  <c r="L18" i="2"/>
  <c r="M18" i="2"/>
  <c r="N18" i="2"/>
  <c r="O18" i="2"/>
  <c r="P18" i="2"/>
  <c r="H19" i="2"/>
  <c r="I19" i="2"/>
  <c r="J19" i="2"/>
  <c r="K19" i="2"/>
  <c r="L19" i="2"/>
  <c r="M19" i="2"/>
  <c r="N19" i="2"/>
  <c r="O19" i="2"/>
  <c r="P19" i="2"/>
  <c r="K23" i="1"/>
  <c r="L23" i="1"/>
  <c r="M23" i="1"/>
  <c r="N23" i="1"/>
  <c r="O23" i="1"/>
  <c r="K24" i="1"/>
  <c r="L24" i="1"/>
  <c r="M24" i="1"/>
  <c r="N24" i="1"/>
  <c r="O24" i="1"/>
  <c r="K25" i="1"/>
  <c r="L25" i="1"/>
  <c r="M25" i="1"/>
  <c r="N25" i="1"/>
  <c r="O25" i="1"/>
  <c r="G33" i="1"/>
  <c r="H33" i="1"/>
  <c r="I33" i="1"/>
  <c r="I41" i="1" s="1"/>
  <c r="J33" i="1"/>
  <c r="J59" i="1" s="1"/>
  <c r="K33" i="1"/>
  <c r="K41" i="1" s="1"/>
  <c r="L33" i="1"/>
  <c r="L41" i="1" s="1"/>
  <c r="M33" i="1"/>
  <c r="M41" i="1" s="1"/>
  <c r="N33" i="1"/>
  <c r="N41" i="1" s="1"/>
  <c r="O33" i="1"/>
  <c r="G41" i="1"/>
  <c r="H41" i="1"/>
  <c r="J41" i="1"/>
  <c r="O41" i="1"/>
  <c r="G59" i="1"/>
  <c r="H59" i="1"/>
  <c r="O59" i="1"/>
  <c r="K60" i="1"/>
  <c r="L60" i="1"/>
  <c r="M60" i="1"/>
  <c r="N60" i="1"/>
  <c r="O60" i="1"/>
  <c r="F12" i="8"/>
  <c r="G12" i="8"/>
  <c r="H12" i="8"/>
  <c r="I12" i="8"/>
  <c r="J12" i="8"/>
  <c r="K12" i="8"/>
  <c r="L12" i="8"/>
  <c r="M12" i="8"/>
  <c r="N12" i="8"/>
  <c r="H14" i="10"/>
  <c r="H13" i="10" s="1"/>
  <c r="E495" i="2" l="1"/>
  <c r="E496" i="2" s="1"/>
  <c r="K201" i="14"/>
  <c r="H218" i="14"/>
  <c r="H171" i="14"/>
  <c r="H182" i="14" s="1"/>
  <c r="N141" i="14"/>
  <c r="M140" i="14"/>
  <c r="N199" i="14"/>
  <c r="O179" i="14"/>
  <c r="J146" i="14"/>
  <c r="J143" i="14" s="1"/>
  <c r="I150" i="14"/>
  <c r="I147" i="14" s="1"/>
  <c r="I142" i="14" s="1"/>
  <c r="L144" i="14"/>
  <c r="K145" i="14"/>
  <c r="L200" i="14"/>
  <c r="M180" i="14"/>
  <c r="F156" i="14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157" i="14"/>
  <c r="K148" i="14"/>
  <c r="J149" i="14"/>
  <c r="N216" i="14"/>
  <c r="N169" i="14"/>
  <c r="G202" i="14"/>
  <c r="P215" i="14"/>
  <c r="P168" i="14"/>
  <c r="R133" i="14"/>
  <c r="Q134" i="14"/>
  <c r="Q132" i="14" s="1"/>
  <c r="P137" i="14"/>
  <c r="O138" i="14"/>
  <c r="O136" i="14" s="1"/>
  <c r="P203" i="14"/>
  <c r="Q183" i="14"/>
  <c r="Q204" i="14"/>
  <c r="R184" i="14"/>
  <c r="V198" i="14"/>
  <c r="W178" i="14"/>
  <c r="U197" i="14"/>
  <c r="V177" i="14"/>
  <c r="L217" i="14"/>
  <c r="L170" i="14"/>
  <c r="L181" i="14" s="1"/>
  <c r="I59" i="1"/>
  <c r="N59" i="1"/>
  <c r="M59" i="1"/>
  <c r="L59" i="1"/>
  <c r="K59" i="1"/>
  <c r="E385" i="2"/>
  <c r="E395" i="2"/>
  <c r="J19" i="1"/>
  <c r="I19" i="1"/>
  <c r="H19" i="1"/>
  <c r="H18" i="1" s="1"/>
  <c r="G19" i="1"/>
  <c r="G18" i="1" s="1"/>
  <c r="F19" i="1"/>
  <c r="F12" i="10"/>
  <c r="E12" i="10"/>
  <c r="AB9" i="10"/>
  <c r="AB12" i="10" s="1"/>
  <c r="AA9" i="10"/>
  <c r="AA12" i="10" s="1"/>
  <c r="Z9" i="10"/>
  <c r="Z12" i="10" s="1"/>
  <c r="Y9" i="10"/>
  <c r="Y12" i="10" s="1"/>
  <c r="X9" i="10"/>
  <c r="X12" i="10" s="1"/>
  <c r="W9" i="10"/>
  <c r="W12" i="10" s="1"/>
  <c r="V9" i="10"/>
  <c r="V12" i="10" s="1"/>
  <c r="U9" i="10"/>
  <c r="U12" i="10" s="1"/>
  <c r="T9" i="10"/>
  <c r="T12" i="10" s="1"/>
  <c r="S9" i="10"/>
  <c r="S16" i="10" s="1"/>
  <c r="AB7" i="10"/>
  <c r="AA7" i="10"/>
  <c r="Z7" i="10"/>
  <c r="Y7" i="10"/>
  <c r="X7" i="10"/>
  <c r="W7" i="10"/>
  <c r="V7" i="10"/>
  <c r="U7" i="10"/>
  <c r="T7" i="10"/>
  <c r="S7" i="10"/>
  <c r="AB6" i="10"/>
  <c r="AA6" i="10"/>
  <c r="Z6" i="10"/>
  <c r="Y6" i="10"/>
  <c r="X6" i="10"/>
  <c r="W6" i="10"/>
  <c r="V6" i="10"/>
  <c r="U6" i="10"/>
  <c r="T6" i="10"/>
  <c r="S6" i="10"/>
  <c r="AB5" i="10"/>
  <c r="AA5" i="10"/>
  <c r="Z5" i="10"/>
  <c r="Y5" i="10"/>
  <c r="X5" i="10"/>
  <c r="W5" i="10"/>
  <c r="V5" i="10"/>
  <c r="U5" i="10"/>
  <c r="T5" i="10"/>
  <c r="S5" i="10"/>
  <c r="Q9" i="10"/>
  <c r="P9" i="10"/>
  <c r="O9" i="10"/>
  <c r="N9" i="10"/>
  <c r="M9" i="10"/>
  <c r="L9" i="10"/>
  <c r="Q7" i="10"/>
  <c r="P7" i="10"/>
  <c r="O7" i="10"/>
  <c r="N7" i="10"/>
  <c r="M7" i="10"/>
  <c r="L7" i="10"/>
  <c r="Q6" i="10"/>
  <c r="P6" i="10"/>
  <c r="O6" i="10"/>
  <c r="N6" i="10"/>
  <c r="M6" i="10"/>
  <c r="L6" i="10"/>
  <c r="Q5" i="10"/>
  <c r="P5" i="10"/>
  <c r="O5" i="10"/>
  <c r="N5" i="10"/>
  <c r="M5" i="10"/>
  <c r="L5" i="10"/>
  <c r="J9" i="10"/>
  <c r="J12" i="10" s="1"/>
  <c r="I9" i="10"/>
  <c r="I12" i="10" s="1"/>
  <c r="H9" i="10"/>
  <c r="G9" i="10"/>
  <c r="G12" i="10" s="1"/>
  <c r="F9" i="10"/>
  <c r="F13" i="10" s="1"/>
  <c r="F14" i="10" s="1"/>
  <c r="E9" i="10"/>
  <c r="J7" i="10"/>
  <c r="I7" i="10"/>
  <c r="H7" i="10"/>
  <c r="G7" i="10"/>
  <c r="F7" i="10"/>
  <c r="E7" i="10"/>
  <c r="J6" i="10"/>
  <c r="I6" i="10"/>
  <c r="H6" i="10"/>
  <c r="G6" i="10"/>
  <c r="F6" i="10"/>
  <c r="E6" i="10"/>
  <c r="J5" i="10"/>
  <c r="I5" i="10"/>
  <c r="H5" i="10"/>
  <c r="G5" i="10"/>
  <c r="F5" i="10"/>
  <c r="E5" i="10"/>
  <c r="AB43" i="7"/>
  <c r="AB22" i="7"/>
  <c r="AB14" i="7"/>
  <c r="AB13" i="7"/>
  <c r="AB15" i="7" s="1"/>
  <c r="V43" i="7"/>
  <c r="V22" i="7"/>
  <c r="V14" i="7"/>
  <c r="V13" i="7"/>
  <c r="W15" i="7"/>
  <c r="X15" i="7"/>
  <c r="Y15" i="7"/>
  <c r="Z15" i="7"/>
  <c r="AA15" i="7"/>
  <c r="AC15" i="7"/>
  <c r="AD15" i="7"/>
  <c r="AE15" i="7"/>
  <c r="W20" i="7"/>
  <c r="X20" i="7"/>
  <c r="X21" i="7" s="1"/>
  <c r="Y20" i="7"/>
  <c r="Z20" i="7"/>
  <c r="Z21" i="7" s="1"/>
  <c r="Z36" i="7" s="1"/>
  <c r="AA20" i="7"/>
  <c r="AB20" i="7"/>
  <c r="AC20" i="7"/>
  <c r="AC21" i="7" s="1"/>
  <c r="AC36" i="7" s="1"/>
  <c r="AC38" i="7" s="1"/>
  <c r="AC44" i="7" s="1"/>
  <c r="AC45" i="7" s="1"/>
  <c r="AC37" i="7" s="1"/>
  <c r="AD20" i="7"/>
  <c r="AE20" i="7"/>
  <c r="W21" i="7"/>
  <c r="W36" i="7" s="1"/>
  <c r="Y21" i="7"/>
  <c r="AA21" i="7"/>
  <c r="AA36" i="7" s="1"/>
  <c r="AA38" i="7" s="1"/>
  <c r="AA44" i="7" s="1"/>
  <c r="AA45" i="7" s="1"/>
  <c r="AA37" i="7" s="1"/>
  <c r="AB21" i="7"/>
  <c r="AD21" i="7"/>
  <c r="AD36" i="7" s="1"/>
  <c r="AE21" i="7"/>
  <c r="AE36" i="7" s="1"/>
  <c r="X24" i="7"/>
  <c r="AA24" i="7"/>
  <c r="AD24" i="7"/>
  <c r="W28" i="7"/>
  <c r="W24" i="7" s="1"/>
  <c r="X28" i="7"/>
  <c r="Y28" i="7"/>
  <c r="Y24" i="7" s="1"/>
  <c r="Z28" i="7"/>
  <c r="Z24" i="7" s="1"/>
  <c r="AA28" i="7"/>
  <c r="AB28" i="7"/>
  <c r="AB24" i="7" s="1"/>
  <c r="AC28" i="7"/>
  <c r="AC24" i="7" s="1"/>
  <c r="AD28" i="7"/>
  <c r="AE28" i="7"/>
  <c r="AE24" i="7" s="1"/>
  <c r="W30" i="7"/>
  <c r="X30" i="7"/>
  <c r="X36" i="7" s="1"/>
  <c r="X38" i="7" s="1"/>
  <c r="X44" i="7" s="1"/>
  <c r="X45" i="7" s="1"/>
  <c r="X37" i="7" s="1"/>
  <c r="Y30" i="7"/>
  <c r="Y36" i="7" s="1"/>
  <c r="Y38" i="7" s="1"/>
  <c r="Y44" i="7" s="1"/>
  <c r="Y45" i="7" s="1"/>
  <c r="Y37" i="7" s="1"/>
  <c r="Z30" i="7"/>
  <c r="AA30" i="7"/>
  <c r="AB30" i="7"/>
  <c r="AC30" i="7"/>
  <c r="AD30" i="7"/>
  <c r="AE30" i="7"/>
  <c r="W31" i="7"/>
  <c r="X31" i="7"/>
  <c r="Y31" i="7"/>
  <c r="Z31" i="7"/>
  <c r="AA31" i="7"/>
  <c r="AB31" i="7"/>
  <c r="AC31" i="7"/>
  <c r="AD31" i="7"/>
  <c r="AE31" i="7"/>
  <c r="W32" i="7"/>
  <c r="W38" i="7" s="1"/>
  <c r="X32" i="7"/>
  <c r="Y32" i="7"/>
  <c r="Z32" i="7"/>
  <c r="Z42" i="7" s="1"/>
  <c r="AA32" i="7"/>
  <c r="AB32" i="7"/>
  <c r="AB42" i="7" s="1"/>
  <c r="AC32" i="7"/>
  <c r="AD32" i="7"/>
  <c r="AE32" i="7"/>
  <c r="W39" i="7"/>
  <c r="X39" i="7"/>
  <c r="X41" i="7" s="1"/>
  <c r="Y39" i="7"/>
  <c r="Z39" i="7"/>
  <c r="AA39" i="7"/>
  <c r="AA41" i="7" s="1"/>
  <c r="AC39" i="7"/>
  <c r="AD39" i="7"/>
  <c r="AD41" i="7" s="1"/>
  <c r="AE39" i="7"/>
  <c r="W41" i="7"/>
  <c r="Y41" i="7"/>
  <c r="Z41" i="7"/>
  <c r="AB41" i="7"/>
  <c r="AC41" i="7"/>
  <c r="AE41" i="7"/>
  <c r="X42" i="7"/>
  <c r="Y42" i="7"/>
  <c r="AA42" i="7"/>
  <c r="AC42" i="7"/>
  <c r="AD42" i="7"/>
  <c r="R15" i="7"/>
  <c r="S15" i="7"/>
  <c r="T15" i="7"/>
  <c r="R19" i="7"/>
  <c r="R21" i="7" s="1"/>
  <c r="R36" i="7" s="1"/>
  <c r="R38" i="7" s="1"/>
  <c r="R44" i="7" s="1"/>
  <c r="R45" i="7" s="1"/>
  <c r="R37" i="7" s="1"/>
  <c r="S19" i="7"/>
  <c r="T19" i="7"/>
  <c r="R20" i="7"/>
  <c r="S20" i="7"/>
  <c r="T20" i="7"/>
  <c r="S21" i="7"/>
  <c r="T21" i="7"/>
  <c r="S24" i="7"/>
  <c r="T24" i="7"/>
  <c r="R28" i="7"/>
  <c r="R24" i="7" s="1"/>
  <c r="S28" i="7"/>
  <c r="T28" i="7"/>
  <c r="R30" i="7"/>
  <c r="S30" i="7"/>
  <c r="S36" i="7" s="1"/>
  <c r="T30" i="7"/>
  <c r="R31" i="7"/>
  <c r="S31" i="7"/>
  <c r="T31" i="7"/>
  <c r="R32" i="7"/>
  <c r="S32" i="7"/>
  <c r="T32" i="7"/>
  <c r="T36" i="7"/>
  <c r="T38" i="7" s="1"/>
  <c r="T44" i="7" s="1"/>
  <c r="T45" i="7" s="1"/>
  <c r="T37" i="7" s="1"/>
  <c r="R39" i="7"/>
  <c r="S39" i="7"/>
  <c r="S41" i="7" s="1"/>
  <c r="T39" i="7"/>
  <c r="T41" i="7" s="1"/>
  <c r="R41" i="7"/>
  <c r="R42" i="7"/>
  <c r="S42" i="7"/>
  <c r="T42" i="7"/>
  <c r="M39" i="7"/>
  <c r="M41" i="7" s="1"/>
  <c r="M32" i="7"/>
  <c r="M42" i="7" s="1"/>
  <c r="M31" i="7"/>
  <c r="M30" i="7"/>
  <c r="M28" i="7"/>
  <c r="M24" i="7" s="1"/>
  <c r="M20" i="7"/>
  <c r="M19" i="7"/>
  <c r="M21" i="7" s="1"/>
  <c r="M36" i="7" s="1"/>
  <c r="M15" i="7"/>
  <c r="L42" i="7"/>
  <c r="L41" i="7"/>
  <c r="L39" i="7"/>
  <c r="L32" i="7"/>
  <c r="L31" i="7"/>
  <c r="L30" i="7"/>
  <c r="L28" i="7"/>
  <c r="L24" i="7" s="1"/>
  <c r="L20" i="7"/>
  <c r="L19" i="7"/>
  <c r="L21" i="7" s="1"/>
  <c r="L36" i="7" s="1"/>
  <c r="L15" i="7"/>
  <c r="J43" i="7"/>
  <c r="J40" i="7"/>
  <c r="J39" i="7"/>
  <c r="J34" i="7"/>
  <c r="J35" i="7"/>
  <c r="J33" i="7"/>
  <c r="J29" i="7"/>
  <c r="J27" i="7"/>
  <c r="J28" i="7" s="1"/>
  <c r="J26" i="7"/>
  <c r="J23" i="7"/>
  <c r="J22" i="7" s="1"/>
  <c r="H14" i="7"/>
  <c r="I14" i="7"/>
  <c r="J14" i="7"/>
  <c r="K14" i="7"/>
  <c r="K15" i="7" s="1"/>
  <c r="K22" i="7"/>
  <c r="J18" i="7"/>
  <c r="J17" i="7"/>
  <c r="J16" i="7"/>
  <c r="J13" i="7"/>
  <c r="K13" i="7"/>
  <c r="J12" i="7"/>
  <c r="J10" i="7"/>
  <c r="J9" i="7"/>
  <c r="J8" i="7"/>
  <c r="J7" i="7"/>
  <c r="J6" i="7"/>
  <c r="J5" i="7"/>
  <c r="K43" i="7"/>
  <c r="K40" i="7"/>
  <c r="K39" i="7"/>
  <c r="K35" i="7"/>
  <c r="K34" i="7"/>
  <c r="K33" i="7"/>
  <c r="H32" i="7"/>
  <c r="I32" i="7"/>
  <c r="J32" i="7"/>
  <c r="K32" i="7"/>
  <c r="H19" i="7"/>
  <c r="I19" i="7"/>
  <c r="J19" i="7"/>
  <c r="K19" i="7"/>
  <c r="K29" i="7"/>
  <c r="K27" i="7"/>
  <c r="K26" i="7"/>
  <c r="K23" i="7"/>
  <c r="K18" i="7"/>
  <c r="K17" i="7"/>
  <c r="K16" i="7"/>
  <c r="K12" i="7"/>
  <c r="K7" i="7"/>
  <c r="K6" i="7"/>
  <c r="K10" i="7"/>
  <c r="J31" i="7"/>
  <c r="J30" i="7"/>
  <c r="J21" i="7"/>
  <c r="J20" i="7"/>
  <c r="G24" i="7"/>
  <c r="G22" i="7"/>
  <c r="G15" i="7"/>
  <c r="G14" i="7"/>
  <c r="G21" i="7"/>
  <c r="G20" i="7"/>
  <c r="H16" i="10" l="1"/>
  <c r="H12" i="10"/>
  <c r="S12" i="10"/>
  <c r="E506" i="2"/>
  <c r="L201" i="14"/>
  <c r="I218" i="14"/>
  <c r="I171" i="14"/>
  <c r="I182" i="14" s="1"/>
  <c r="O199" i="14"/>
  <c r="P179" i="14"/>
  <c r="H202" i="14"/>
  <c r="O216" i="14"/>
  <c r="O169" i="14"/>
  <c r="M200" i="14"/>
  <c r="N180" i="14"/>
  <c r="Q137" i="14"/>
  <c r="P138" i="14"/>
  <c r="P136" i="14" s="1"/>
  <c r="W198" i="14"/>
  <c r="X178" i="14"/>
  <c r="Q215" i="14"/>
  <c r="Q168" i="14"/>
  <c r="M217" i="14"/>
  <c r="M170" i="14"/>
  <c r="M181" i="14" s="1"/>
  <c r="Q203" i="14"/>
  <c r="R183" i="14"/>
  <c r="S133" i="14"/>
  <c r="R134" i="14"/>
  <c r="R132" i="14" s="1"/>
  <c r="M144" i="14"/>
  <c r="L145" i="14"/>
  <c r="O141" i="14"/>
  <c r="N140" i="14"/>
  <c r="V197" i="14"/>
  <c r="W177" i="14"/>
  <c r="J150" i="14"/>
  <c r="J147" i="14" s="1"/>
  <c r="J142" i="14" s="1"/>
  <c r="K146" i="14"/>
  <c r="R204" i="14"/>
  <c r="S184" i="14"/>
  <c r="A158" i="14"/>
  <c r="C157" i="14"/>
  <c r="L148" i="14"/>
  <c r="K149" i="14"/>
  <c r="I18" i="1"/>
  <c r="D333" i="2"/>
  <c r="D442" i="2"/>
  <c r="J18" i="1"/>
  <c r="E507" i="2"/>
  <c r="E497" i="2"/>
  <c r="E386" i="2"/>
  <c r="E396" i="2"/>
  <c r="G25" i="1"/>
  <c r="G60" i="1"/>
  <c r="H25" i="1"/>
  <c r="H60" i="1"/>
  <c r="I60" i="1"/>
  <c r="I25" i="1"/>
  <c r="J60" i="1"/>
  <c r="J25" i="1"/>
  <c r="AB36" i="7"/>
  <c r="AB38" i="7" s="1"/>
  <c r="AB44" i="7" s="1"/>
  <c r="AB45" i="7" s="1"/>
  <c r="AB37" i="7" s="1"/>
  <c r="AD38" i="7"/>
  <c r="AD44" i="7" s="1"/>
  <c r="AD45" i="7" s="1"/>
  <c r="AD37" i="7" s="1"/>
  <c r="AE38" i="7"/>
  <c r="AE44" i="7" s="1"/>
  <c r="AE45" i="7" s="1"/>
  <c r="AE37" i="7" s="1"/>
  <c r="AE42" i="7"/>
  <c r="W42" i="7"/>
  <c r="W44" i="7" s="1"/>
  <c r="W45" i="7" s="1"/>
  <c r="W37" i="7" s="1"/>
  <c r="Z38" i="7"/>
  <c r="Z44" i="7" s="1"/>
  <c r="Z45" i="7" s="1"/>
  <c r="Z37" i="7" s="1"/>
  <c r="S38" i="7"/>
  <c r="S44" i="7" s="1"/>
  <c r="S45" i="7" s="1"/>
  <c r="S37" i="7" s="1"/>
  <c r="M38" i="7"/>
  <c r="M44" i="7" s="1"/>
  <c r="M45" i="7" s="1"/>
  <c r="M37" i="7" s="1"/>
  <c r="L38" i="7"/>
  <c r="L44" i="7" s="1"/>
  <c r="L45" i="7" s="1"/>
  <c r="L37" i="7" s="1"/>
  <c r="J24" i="7"/>
  <c r="J15" i="7"/>
  <c r="J218" i="14" l="1"/>
  <c r="J171" i="14"/>
  <c r="J182" i="14" s="1"/>
  <c r="I202" i="14"/>
  <c r="N144" i="14"/>
  <c r="M145" i="14"/>
  <c r="R137" i="14"/>
  <c r="Q138" i="14"/>
  <c r="Q136" i="14" s="1"/>
  <c r="M148" i="14"/>
  <c r="L149" i="14"/>
  <c r="K150" i="14"/>
  <c r="K147" i="14" s="1"/>
  <c r="K142" i="14" s="1"/>
  <c r="L146" i="14"/>
  <c r="L143" i="14" s="1"/>
  <c r="R215" i="14"/>
  <c r="R168" i="14"/>
  <c r="K143" i="14"/>
  <c r="M201" i="14"/>
  <c r="A159" i="14"/>
  <c r="A160" i="14" s="1"/>
  <c r="A161" i="14" s="1"/>
  <c r="A162" i="14" s="1"/>
  <c r="C158" i="14"/>
  <c r="W197" i="14"/>
  <c r="X177" i="14"/>
  <c r="R203" i="14"/>
  <c r="S183" i="14"/>
  <c r="N200" i="14"/>
  <c r="O180" i="14"/>
  <c r="T133" i="14"/>
  <c r="S134" i="14"/>
  <c r="S132" i="14" s="1"/>
  <c r="N170" i="14"/>
  <c r="N181" i="14" s="1"/>
  <c r="N217" i="14"/>
  <c r="P199" i="14"/>
  <c r="Q179" i="14"/>
  <c r="P141" i="14"/>
  <c r="O140" i="14"/>
  <c r="X198" i="14"/>
  <c r="Y178" i="14"/>
  <c r="S204" i="14"/>
  <c r="T184" i="14"/>
  <c r="P216" i="14"/>
  <c r="P169" i="14"/>
  <c r="A444" i="2"/>
  <c r="A445" i="2" s="1"/>
  <c r="A335" i="2"/>
  <c r="A336" i="2" s="1"/>
  <c r="E508" i="2"/>
  <c r="E498" i="2"/>
  <c r="E387" i="2"/>
  <c r="E397" i="2"/>
  <c r="W16" i="5"/>
  <c r="S16" i="5"/>
  <c r="W8" i="5"/>
  <c r="S8" i="5"/>
  <c r="X1" i="5"/>
  <c r="T1" i="5"/>
  <c r="N25" i="5"/>
  <c r="N26" i="5" s="1"/>
  <c r="N27" i="5" s="1"/>
  <c r="N28" i="5" s="1"/>
  <c r="N29" i="5" s="1"/>
  <c r="N30" i="5" s="1"/>
  <c r="N31" i="5" s="1"/>
  <c r="N32" i="5" s="1"/>
  <c r="L25" i="5"/>
  <c r="L26" i="5" s="1"/>
  <c r="L27" i="5" s="1"/>
  <c r="L28" i="5" s="1"/>
  <c r="L29" i="5" s="1"/>
  <c r="L30" i="5" s="1"/>
  <c r="L31" i="5" s="1"/>
  <c r="L32" i="5" s="1"/>
  <c r="K25" i="5"/>
  <c r="K26" i="5" s="1"/>
  <c r="K27" i="5" s="1"/>
  <c r="K28" i="5" s="1"/>
  <c r="K29" i="5" s="1"/>
  <c r="K30" i="5" s="1"/>
  <c r="K31" i="5" s="1"/>
  <c r="K32" i="5" s="1"/>
  <c r="C25" i="5"/>
  <c r="B25" i="5"/>
  <c r="B26" i="5" s="1"/>
  <c r="P24" i="5"/>
  <c r="P25" i="5" s="1"/>
  <c r="P26" i="5" s="1"/>
  <c r="P27" i="5" s="1"/>
  <c r="P28" i="5" s="1"/>
  <c r="P29" i="5" s="1"/>
  <c r="P30" i="5" s="1"/>
  <c r="P31" i="5" s="1"/>
  <c r="P32" i="5" s="1"/>
  <c r="O24" i="5"/>
  <c r="O25" i="5" s="1"/>
  <c r="O26" i="5" s="1"/>
  <c r="O27" i="5" s="1"/>
  <c r="O28" i="5" s="1"/>
  <c r="O29" i="5" s="1"/>
  <c r="O30" i="5" s="1"/>
  <c r="O31" i="5" s="1"/>
  <c r="O32" i="5" s="1"/>
  <c r="N24" i="5"/>
  <c r="L24" i="5"/>
  <c r="K24" i="5"/>
  <c r="J24" i="5"/>
  <c r="J25" i="5" s="1"/>
  <c r="J26" i="5" s="1"/>
  <c r="J27" i="5" s="1"/>
  <c r="J28" i="5" s="1"/>
  <c r="J29" i="5" s="1"/>
  <c r="J30" i="5" s="1"/>
  <c r="J31" i="5" s="1"/>
  <c r="J32" i="5" s="1"/>
  <c r="I24" i="5"/>
  <c r="I25" i="5" s="1"/>
  <c r="I26" i="5" s="1"/>
  <c r="I27" i="5" s="1"/>
  <c r="I28" i="5" s="1"/>
  <c r="I29" i="5" s="1"/>
  <c r="I30" i="5" s="1"/>
  <c r="I31" i="5" s="1"/>
  <c r="I32" i="5" s="1"/>
  <c r="H24" i="5"/>
  <c r="H25" i="5" s="1"/>
  <c r="H26" i="5" s="1"/>
  <c r="H27" i="5" s="1"/>
  <c r="H28" i="5" s="1"/>
  <c r="H29" i="5" s="1"/>
  <c r="H30" i="5" s="1"/>
  <c r="H31" i="5" s="1"/>
  <c r="H32" i="5" s="1"/>
  <c r="G24" i="5"/>
  <c r="G25" i="5" s="1"/>
  <c r="G26" i="5" s="1"/>
  <c r="G27" i="5" s="1"/>
  <c r="G28" i="5" s="1"/>
  <c r="G29" i="5" s="1"/>
  <c r="G30" i="5" s="1"/>
  <c r="G31" i="5" s="1"/>
  <c r="G32" i="5" s="1"/>
  <c r="F24" i="5"/>
  <c r="F25" i="5" s="1"/>
  <c r="F26" i="5" s="1"/>
  <c r="F27" i="5" s="1"/>
  <c r="F28" i="5" s="1"/>
  <c r="F29" i="5" s="1"/>
  <c r="F30" i="5" s="1"/>
  <c r="F31" i="5" s="1"/>
  <c r="F32" i="5" s="1"/>
  <c r="E24" i="5"/>
  <c r="E25" i="5" s="1"/>
  <c r="E26" i="5" s="1"/>
  <c r="E27" i="5" s="1"/>
  <c r="E28" i="5" s="1"/>
  <c r="E29" i="5" s="1"/>
  <c r="E30" i="5" s="1"/>
  <c r="E31" i="5" s="1"/>
  <c r="E32" i="5" s="1"/>
  <c r="C24" i="5"/>
  <c r="B24" i="5"/>
  <c r="P18" i="5"/>
  <c r="P19" i="5" s="1"/>
  <c r="P20" i="5" s="1"/>
  <c r="P21" i="5" s="1"/>
  <c r="I18" i="5"/>
  <c r="I19" i="5" s="1"/>
  <c r="I20" i="5" s="1"/>
  <c r="I21" i="5" s="1"/>
  <c r="H18" i="5"/>
  <c r="H19" i="5" s="1"/>
  <c r="H20" i="5" s="1"/>
  <c r="H21" i="5" s="1"/>
  <c r="G18" i="5"/>
  <c r="G19" i="5" s="1"/>
  <c r="G20" i="5" s="1"/>
  <c r="G21" i="5" s="1"/>
  <c r="P17" i="5"/>
  <c r="O17" i="5"/>
  <c r="O18" i="5" s="1"/>
  <c r="O19" i="5" s="1"/>
  <c r="O20" i="5" s="1"/>
  <c r="O21" i="5" s="1"/>
  <c r="N17" i="5"/>
  <c r="N18" i="5" s="1"/>
  <c r="N19" i="5" s="1"/>
  <c r="N20" i="5" s="1"/>
  <c r="N21" i="5" s="1"/>
  <c r="L17" i="5"/>
  <c r="L18" i="5" s="1"/>
  <c r="L19" i="5" s="1"/>
  <c r="L20" i="5" s="1"/>
  <c r="L21" i="5" s="1"/>
  <c r="K17" i="5"/>
  <c r="K18" i="5" s="1"/>
  <c r="K19" i="5" s="1"/>
  <c r="K20" i="5" s="1"/>
  <c r="K21" i="5" s="1"/>
  <c r="J17" i="5"/>
  <c r="J18" i="5" s="1"/>
  <c r="J19" i="5" s="1"/>
  <c r="J20" i="5" s="1"/>
  <c r="J21" i="5" s="1"/>
  <c r="I17" i="5"/>
  <c r="H17" i="5"/>
  <c r="G17" i="5"/>
  <c r="F17" i="5"/>
  <c r="F18" i="5" s="1"/>
  <c r="F19" i="5" s="1"/>
  <c r="F20" i="5" s="1"/>
  <c r="F21" i="5" s="1"/>
  <c r="E17" i="5"/>
  <c r="E18" i="5" s="1"/>
  <c r="E19" i="5" s="1"/>
  <c r="E20" i="5" s="1"/>
  <c r="E21" i="5" s="1"/>
  <c r="C17" i="5"/>
  <c r="B17" i="5"/>
  <c r="B18" i="5" s="1"/>
  <c r="P11" i="5"/>
  <c r="P12" i="5" s="1"/>
  <c r="P13" i="5" s="1"/>
  <c r="P14" i="5" s="1"/>
  <c r="H11" i="5"/>
  <c r="H12" i="5" s="1"/>
  <c r="H13" i="5" s="1"/>
  <c r="H14" i="5" s="1"/>
  <c r="G11" i="5"/>
  <c r="G12" i="5" s="1"/>
  <c r="G13" i="5" s="1"/>
  <c r="G14" i="5" s="1"/>
  <c r="P10" i="5"/>
  <c r="O10" i="5"/>
  <c r="O11" i="5" s="1"/>
  <c r="O12" i="5" s="1"/>
  <c r="O13" i="5" s="1"/>
  <c r="O14" i="5" s="1"/>
  <c r="N10" i="5"/>
  <c r="N11" i="5" s="1"/>
  <c r="N12" i="5" s="1"/>
  <c r="N13" i="5" s="1"/>
  <c r="N14" i="5" s="1"/>
  <c r="L10" i="5"/>
  <c r="L11" i="5" s="1"/>
  <c r="L12" i="5" s="1"/>
  <c r="L13" i="5" s="1"/>
  <c r="L14" i="5" s="1"/>
  <c r="K10" i="5"/>
  <c r="K11" i="5" s="1"/>
  <c r="K12" i="5" s="1"/>
  <c r="K13" i="5" s="1"/>
  <c r="K14" i="5" s="1"/>
  <c r="J10" i="5"/>
  <c r="J11" i="5" s="1"/>
  <c r="J12" i="5" s="1"/>
  <c r="J13" i="5" s="1"/>
  <c r="J14" i="5" s="1"/>
  <c r="I10" i="5"/>
  <c r="I11" i="5" s="1"/>
  <c r="I12" i="5" s="1"/>
  <c r="I13" i="5" s="1"/>
  <c r="I14" i="5" s="1"/>
  <c r="H10" i="5"/>
  <c r="G10" i="5"/>
  <c r="F10" i="5"/>
  <c r="F11" i="5" s="1"/>
  <c r="F12" i="5" s="1"/>
  <c r="F13" i="5" s="1"/>
  <c r="F14" i="5" s="1"/>
  <c r="E10" i="5"/>
  <c r="E11" i="5" s="1"/>
  <c r="E12" i="5" s="1"/>
  <c r="E13" i="5" s="1"/>
  <c r="E14" i="5" s="1"/>
  <c r="C10" i="5"/>
  <c r="B10" i="5"/>
  <c r="B11" i="5" s="1"/>
  <c r="P9" i="5"/>
  <c r="O9" i="5"/>
  <c r="N9" i="5"/>
  <c r="L9" i="5"/>
  <c r="K9" i="5"/>
  <c r="J9" i="5"/>
  <c r="I9" i="5"/>
  <c r="H9" i="5"/>
  <c r="G9" i="5"/>
  <c r="F9" i="5"/>
  <c r="E9" i="5"/>
  <c r="B9" i="5"/>
  <c r="N201" i="14" l="1"/>
  <c r="S203" i="14"/>
  <c r="T183" i="14"/>
  <c r="N148" i="14"/>
  <c r="M149" i="14"/>
  <c r="J202" i="14"/>
  <c r="Q216" i="14"/>
  <c r="Q169" i="14"/>
  <c r="X197" i="14"/>
  <c r="Y177" i="14"/>
  <c r="S137" i="14"/>
  <c r="R138" i="14"/>
  <c r="R136" i="14" s="1"/>
  <c r="Y198" i="14"/>
  <c r="Z178" i="14"/>
  <c r="Z198" i="14" s="1"/>
  <c r="O144" i="14"/>
  <c r="N145" i="14"/>
  <c r="T204" i="14"/>
  <c r="U184" i="14"/>
  <c r="O217" i="14"/>
  <c r="O170" i="14"/>
  <c r="O181" i="14" s="1"/>
  <c r="U133" i="14"/>
  <c r="T134" i="14"/>
  <c r="T132" i="14" s="1"/>
  <c r="F162" i="14"/>
  <c r="G157" i="14" s="1"/>
  <c r="A163" i="14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L150" i="14"/>
  <c r="L147" i="14" s="1"/>
  <c r="L142" i="14" s="1"/>
  <c r="M146" i="14"/>
  <c r="K218" i="14"/>
  <c r="K171" i="14"/>
  <c r="K182" i="14" s="1"/>
  <c r="S215" i="14"/>
  <c r="S168" i="14"/>
  <c r="Q141" i="14"/>
  <c r="P140" i="14"/>
  <c r="O200" i="14"/>
  <c r="P180" i="14"/>
  <c r="Q199" i="14"/>
  <c r="R179" i="14"/>
  <c r="H336" i="2"/>
  <c r="A337" i="2"/>
  <c r="U336" i="2"/>
  <c r="W336" i="2"/>
  <c r="S336" i="2"/>
  <c r="I336" i="2"/>
  <c r="O336" i="2"/>
  <c r="K336" i="2"/>
  <c r="Q336" i="2"/>
  <c r="G336" i="2"/>
  <c r="Z336" i="2"/>
  <c r="L336" i="2"/>
  <c r="V336" i="2"/>
  <c r="R336" i="2"/>
  <c r="T336" i="2"/>
  <c r="X336" i="2"/>
  <c r="N336" i="2"/>
  <c r="J336" i="2"/>
  <c r="Y336" i="2"/>
  <c r="M336" i="2"/>
  <c r="P336" i="2"/>
  <c r="O445" i="2"/>
  <c r="J445" i="2"/>
  <c r="Q445" i="2"/>
  <c r="R445" i="2"/>
  <c r="X445" i="2"/>
  <c r="S445" i="2"/>
  <c r="A446" i="2"/>
  <c r="P445" i="2"/>
  <c r="Y445" i="2"/>
  <c r="G445" i="2"/>
  <c r="I445" i="2"/>
  <c r="H445" i="2"/>
  <c r="L445" i="2"/>
  <c r="N445" i="2"/>
  <c r="U445" i="2"/>
  <c r="W445" i="2"/>
  <c r="V445" i="2"/>
  <c r="M445" i="2"/>
  <c r="K445" i="2"/>
  <c r="Z445" i="2"/>
  <c r="T445" i="2"/>
  <c r="E509" i="2"/>
  <c r="E499" i="2"/>
  <c r="E388" i="2"/>
  <c r="E398" i="2"/>
  <c r="C26" i="5"/>
  <c r="B27" i="5"/>
  <c r="C18" i="5"/>
  <c r="B19" i="5"/>
  <c r="C11" i="5"/>
  <c r="B12" i="5"/>
  <c r="E16" i="10"/>
  <c r="L6" i="6"/>
  <c r="H235" i="2"/>
  <c r="I235" i="2"/>
  <c r="J235" i="2"/>
  <c r="K235" i="2"/>
  <c r="L235" i="2"/>
  <c r="M235" i="2"/>
  <c r="N235" i="2"/>
  <c r="O235" i="2"/>
  <c r="P235" i="2"/>
  <c r="Q235" i="2"/>
  <c r="R235" i="2"/>
  <c r="H236" i="2"/>
  <c r="I236" i="2"/>
  <c r="J236" i="2"/>
  <c r="K236" i="2"/>
  <c r="L236" i="2"/>
  <c r="M236" i="2"/>
  <c r="N236" i="2"/>
  <c r="O236" i="2"/>
  <c r="P236" i="2"/>
  <c r="Q236" i="2"/>
  <c r="R236" i="2"/>
  <c r="H237" i="2"/>
  <c r="I237" i="2"/>
  <c r="J237" i="2"/>
  <c r="K237" i="2"/>
  <c r="L237" i="2"/>
  <c r="M237" i="2"/>
  <c r="N237" i="2"/>
  <c r="O237" i="2"/>
  <c r="P237" i="2"/>
  <c r="Q237" i="2"/>
  <c r="R237" i="2"/>
  <c r="G237" i="2"/>
  <c r="G236" i="2"/>
  <c r="G235" i="2"/>
  <c r="C12" i="10"/>
  <c r="G158" i="14" l="1"/>
  <c r="G159" i="14" s="1"/>
  <c r="G174" i="14" s="1"/>
  <c r="G185" i="14" s="1"/>
  <c r="G205" i="14" s="1"/>
  <c r="AC198" i="14" a="1"/>
  <c r="AC198" i="14" s="1"/>
  <c r="O201" i="14"/>
  <c r="K202" i="14"/>
  <c r="R199" i="14"/>
  <c r="S179" i="14"/>
  <c r="P200" i="14"/>
  <c r="Q180" i="14"/>
  <c r="T215" i="14"/>
  <c r="T168" i="14"/>
  <c r="P217" i="14"/>
  <c r="P170" i="14"/>
  <c r="P181" i="14" s="1"/>
  <c r="R216" i="14"/>
  <c r="R169" i="14"/>
  <c r="P144" i="14"/>
  <c r="O145" i="14"/>
  <c r="H157" i="14"/>
  <c r="T137" i="14"/>
  <c r="S138" i="14"/>
  <c r="S136" i="14" s="1"/>
  <c r="V133" i="14"/>
  <c r="U134" i="14"/>
  <c r="U132" i="14" s="1"/>
  <c r="R141" i="14"/>
  <c r="Q140" i="14"/>
  <c r="L218" i="14"/>
  <c r="L171" i="14"/>
  <c r="L182" i="14" s="1"/>
  <c r="M150" i="14"/>
  <c r="M147" i="14" s="1"/>
  <c r="M142" i="14" s="1"/>
  <c r="N146" i="14"/>
  <c r="N143" i="14" s="1"/>
  <c r="Y197" i="14"/>
  <c r="Z177" i="14"/>
  <c r="Z197" i="14" s="1"/>
  <c r="O148" i="14"/>
  <c r="N149" i="14"/>
  <c r="U204" i="14"/>
  <c r="V184" i="14"/>
  <c r="M143" i="14"/>
  <c r="T203" i="14"/>
  <c r="U183" i="14"/>
  <c r="F188" i="14"/>
  <c r="F191" i="14" s="1"/>
  <c r="G191" i="14" s="1"/>
  <c r="F161" i="14"/>
  <c r="W129" i="14"/>
  <c r="V129" i="14"/>
  <c r="Y129" i="14"/>
  <c r="U129" i="14"/>
  <c r="T129" i="14"/>
  <c r="AA129" i="14"/>
  <c r="S129" i="14"/>
  <c r="Z129" i="14"/>
  <c r="R129" i="14"/>
  <c r="J129" i="14"/>
  <c r="X129" i="14"/>
  <c r="N129" i="14"/>
  <c r="K129" i="14"/>
  <c r="G129" i="14"/>
  <c r="O129" i="14"/>
  <c r="P129" i="14"/>
  <c r="I129" i="14"/>
  <c r="M129" i="14"/>
  <c r="H129" i="14"/>
  <c r="L129" i="14"/>
  <c r="Q129" i="14"/>
  <c r="A447" i="2"/>
  <c r="A338" i="2"/>
  <c r="E510" i="2"/>
  <c r="E500" i="2"/>
  <c r="E389" i="2"/>
  <c r="E399" i="2"/>
  <c r="B28" i="5"/>
  <c r="C27" i="5"/>
  <c r="B20" i="5"/>
  <c r="C19" i="5"/>
  <c r="B13" i="5"/>
  <c r="C12" i="5"/>
  <c r="D224" i="2"/>
  <c r="A226" i="2" s="1"/>
  <c r="A227" i="2" s="1"/>
  <c r="E317" i="2"/>
  <c r="E321" i="2" s="1"/>
  <c r="E322" i="2" s="1"/>
  <c r="E323" i="2" s="1"/>
  <c r="E324" i="2" s="1"/>
  <c r="E325" i="2" s="1"/>
  <c r="E326" i="2" s="1"/>
  <c r="E327" i="2" s="1"/>
  <c r="E328" i="2" s="1"/>
  <c r="E329" i="2" s="1"/>
  <c r="B317" i="2"/>
  <c r="E315" i="2"/>
  <c r="E316" i="2" s="1"/>
  <c r="B315" i="2"/>
  <c r="E306" i="2"/>
  <c r="E307" i="2" s="1"/>
  <c r="E308" i="2" s="1"/>
  <c r="E309" i="2" s="1"/>
  <c r="E310" i="2" s="1"/>
  <c r="E311" i="2" s="1"/>
  <c r="E312" i="2" s="1"/>
  <c r="E313" i="2" s="1"/>
  <c r="E314" i="2" s="1"/>
  <c r="B305" i="2"/>
  <c r="D297" i="2"/>
  <c r="D300" i="2" s="1"/>
  <c r="D316" i="2" s="1"/>
  <c r="B316" i="2" s="1"/>
  <c r="F294" i="2"/>
  <c r="F293" i="2"/>
  <c r="F292" i="2"/>
  <c r="F291" i="2"/>
  <c r="F290" i="2"/>
  <c r="F289" i="2"/>
  <c r="F288" i="2"/>
  <c r="F287" i="2"/>
  <c r="F286" i="2"/>
  <c r="F285" i="2"/>
  <c r="D283" i="2"/>
  <c r="D294" i="2" s="1"/>
  <c r="D314" i="2" s="1"/>
  <c r="B314" i="2" s="1"/>
  <c r="D282" i="2"/>
  <c r="D293" i="2" s="1"/>
  <c r="D313" i="2" s="1"/>
  <c r="D281" i="2"/>
  <c r="D292" i="2" s="1"/>
  <c r="D312" i="2" s="1"/>
  <c r="D280" i="2"/>
  <c r="D291" i="2" s="1"/>
  <c r="D311" i="2" s="1"/>
  <c r="D279" i="2"/>
  <c r="D290" i="2" s="1"/>
  <c r="D310" i="2" s="1"/>
  <c r="B310" i="2" s="1"/>
  <c r="D278" i="2"/>
  <c r="D289" i="2" s="1"/>
  <c r="D309" i="2" s="1"/>
  <c r="D277" i="2"/>
  <c r="D288" i="2" s="1"/>
  <c r="D308" i="2" s="1"/>
  <c r="D276" i="2"/>
  <c r="D287" i="2" s="1"/>
  <c r="D307" i="2" s="1"/>
  <c r="D323" i="2" s="1"/>
  <c r="D275" i="2"/>
  <c r="D286" i="2" s="1"/>
  <c r="D306" i="2" s="1"/>
  <c r="E273" i="2"/>
  <c r="E296" i="2" s="1"/>
  <c r="E297" i="2" s="1"/>
  <c r="E300" i="2" s="1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E270" i="2"/>
  <c r="E271" i="2" s="1"/>
  <c r="E268" i="2"/>
  <c r="E267" i="2"/>
  <c r="E266" i="2"/>
  <c r="E263" i="2"/>
  <c r="E260" i="2"/>
  <c r="E261" i="2" s="1"/>
  <c r="E251" i="2"/>
  <c r="E252" i="2" s="1"/>
  <c r="E256" i="2" s="1"/>
  <c r="E249" i="2"/>
  <c r="E245" i="2"/>
  <c r="E241" i="2"/>
  <c r="E239" i="2"/>
  <c r="E234" i="2"/>
  <c r="F233" i="2"/>
  <c r="E231" i="2"/>
  <c r="E228" i="2"/>
  <c r="G226" i="2"/>
  <c r="E226" i="2"/>
  <c r="D226" i="2"/>
  <c r="F224" i="2"/>
  <c r="F12" i="26"/>
  <c r="G10" i="25"/>
  <c r="E9" i="8"/>
  <c r="P83" i="24"/>
  <c r="O83" i="24"/>
  <c r="N83" i="24"/>
  <c r="M83" i="24"/>
  <c r="L83" i="24"/>
  <c r="K83" i="24"/>
  <c r="J83" i="24"/>
  <c r="I83" i="24"/>
  <c r="H83" i="24"/>
  <c r="G83" i="24"/>
  <c r="F83" i="24"/>
  <c r="T30" i="24"/>
  <c r="T31" i="24"/>
  <c r="T29" i="24"/>
  <c r="S30" i="24"/>
  <c r="S31" i="24"/>
  <c r="S29" i="24"/>
  <c r="Q63" i="26"/>
  <c r="P63" i="26"/>
  <c r="O63" i="26"/>
  <c r="N63" i="26"/>
  <c r="M63" i="26"/>
  <c r="L63" i="26"/>
  <c r="K63" i="26"/>
  <c r="J63" i="26"/>
  <c r="I63" i="26"/>
  <c r="H63" i="26"/>
  <c r="G63" i="26"/>
  <c r="F63" i="26"/>
  <c r="N61" i="26"/>
  <c r="K61" i="26"/>
  <c r="H61" i="26"/>
  <c r="Q59" i="26"/>
  <c r="P59" i="26"/>
  <c r="O59" i="26"/>
  <c r="N59" i="26"/>
  <c r="M59" i="26"/>
  <c r="L59" i="26"/>
  <c r="K59" i="26"/>
  <c r="J59" i="26"/>
  <c r="I59" i="26"/>
  <c r="H59" i="26"/>
  <c r="G59" i="26"/>
  <c r="F59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Q57" i="26"/>
  <c r="Q33" i="26" s="1"/>
  <c r="P57" i="26"/>
  <c r="O57" i="26"/>
  <c r="N57" i="26"/>
  <c r="M57" i="26"/>
  <c r="L57" i="26"/>
  <c r="K57" i="26"/>
  <c r="J57" i="26"/>
  <c r="I57" i="26"/>
  <c r="H57" i="26"/>
  <c r="G57" i="26"/>
  <c r="F57" i="26"/>
  <c r="P55" i="26"/>
  <c r="O55" i="26"/>
  <c r="M55" i="26"/>
  <c r="L55" i="26"/>
  <c r="K55" i="26"/>
  <c r="J55" i="26"/>
  <c r="I55" i="26"/>
  <c r="H55" i="26"/>
  <c r="G55" i="26"/>
  <c r="P54" i="26"/>
  <c r="O54" i="26"/>
  <c r="M54" i="26"/>
  <c r="L54" i="26"/>
  <c r="K54" i="26"/>
  <c r="J54" i="26"/>
  <c r="I54" i="26"/>
  <c r="H54" i="26"/>
  <c r="G54" i="26"/>
  <c r="P53" i="26"/>
  <c r="O53" i="26"/>
  <c r="M53" i="26"/>
  <c r="L53" i="26"/>
  <c r="K53" i="26"/>
  <c r="J53" i="26"/>
  <c r="I53" i="26"/>
  <c r="H53" i="26"/>
  <c r="G53" i="26"/>
  <c r="P52" i="26"/>
  <c r="O52" i="26"/>
  <c r="M52" i="26"/>
  <c r="L52" i="26"/>
  <c r="K52" i="26"/>
  <c r="J52" i="26"/>
  <c r="I52" i="26"/>
  <c r="H52" i="26"/>
  <c r="G52" i="26"/>
  <c r="P51" i="26"/>
  <c r="O51" i="26"/>
  <c r="M51" i="26"/>
  <c r="L51" i="26"/>
  <c r="K51" i="26"/>
  <c r="J51" i="26"/>
  <c r="I51" i="26"/>
  <c r="H51" i="26"/>
  <c r="G51" i="26"/>
  <c r="P50" i="26"/>
  <c r="O50" i="26"/>
  <c r="M50" i="26"/>
  <c r="L50" i="26"/>
  <c r="K50" i="26"/>
  <c r="J50" i="26"/>
  <c r="I50" i="26"/>
  <c r="H50" i="26"/>
  <c r="G50" i="26"/>
  <c r="P49" i="26"/>
  <c r="O49" i="26"/>
  <c r="M49" i="26"/>
  <c r="L49" i="26"/>
  <c r="K49" i="26"/>
  <c r="J49" i="26"/>
  <c r="I49" i="26"/>
  <c r="H49" i="26"/>
  <c r="G49" i="26"/>
  <c r="P48" i="26"/>
  <c r="O48" i="26"/>
  <c r="M48" i="26"/>
  <c r="L48" i="26"/>
  <c r="K48" i="26"/>
  <c r="J48" i="26"/>
  <c r="I48" i="26"/>
  <c r="H48" i="26"/>
  <c r="G48" i="26"/>
  <c r="P47" i="26"/>
  <c r="O47" i="26"/>
  <c r="M47" i="26"/>
  <c r="L47" i="26"/>
  <c r="K47" i="26"/>
  <c r="J47" i="26"/>
  <c r="I47" i="26"/>
  <c r="H47" i="26"/>
  <c r="G47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F33" i="26" s="1"/>
  <c r="Q44" i="26"/>
  <c r="P44" i="26"/>
  <c r="O44" i="26"/>
  <c r="N44" i="26"/>
  <c r="M44" i="26"/>
  <c r="L44" i="26"/>
  <c r="K44" i="26"/>
  <c r="J44" i="26"/>
  <c r="I44" i="26"/>
  <c r="H44" i="26"/>
  <c r="G44" i="26"/>
  <c r="F44" i="26"/>
  <c r="O43" i="26"/>
  <c r="M43" i="26"/>
  <c r="K43" i="26"/>
  <c r="I43" i="26"/>
  <c r="G43" i="26"/>
  <c r="O42" i="26"/>
  <c r="M42" i="26"/>
  <c r="K42" i="26"/>
  <c r="I42" i="26"/>
  <c r="G42" i="26"/>
  <c r="O41" i="26"/>
  <c r="M41" i="26"/>
  <c r="K41" i="26"/>
  <c r="I41" i="26"/>
  <c r="G41" i="26"/>
  <c r="O40" i="26"/>
  <c r="M40" i="26"/>
  <c r="K40" i="26"/>
  <c r="I40" i="26"/>
  <c r="G40" i="26"/>
  <c r="G33" i="26" s="1"/>
  <c r="O39" i="26"/>
  <c r="M39" i="26"/>
  <c r="K39" i="26"/>
  <c r="I39" i="26"/>
  <c r="G39" i="26"/>
  <c r="O38" i="26"/>
  <c r="M38" i="26"/>
  <c r="K38" i="26"/>
  <c r="I38" i="26"/>
  <c r="G38" i="26"/>
  <c r="O37" i="26"/>
  <c r="M37" i="26"/>
  <c r="K37" i="26"/>
  <c r="I37" i="26"/>
  <c r="G37" i="26"/>
  <c r="P35" i="26"/>
  <c r="P33" i="26" s="1"/>
  <c r="N35" i="26"/>
  <c r="M35" i="26"/>
  <c r="K35" i="26"/>
  <c r="J35" i="26"/>
  <c r="H35" i="26"/>
  <c r="G35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Q31" i="26"/>
  <c r="P31" i="26"/>
  <c r="O31" i="26"/>
  <c r="N31" i="26"/>
  <c r="N29" i="26" s="1"/>
  <c r="N10" i="26" s="1"/>
  <c r="M31" i="26"/>
  <c r="L31" i="26"/>
  <c r="K31" i="26"/>
  <c r="J31" i="26"/>
  <c r="I31" i="26"/>
  <c r="H31" i="26"/>
  <c r="G31" i="26"/>
  <c r="G29" i="26" s="1"/>
  <c r="G10" i="26" s="1"/>
  <c r="F31" i="26"/>
  <c r="F29" i="26" s="1"/>
  <c r="F10" i="26" s="1"/>
  <c r="Q30" i="26"/>
  <c r="Q29" i="26" s="1"/>
  <c r="Q10" i="26" s="1"/>
  <c r="P30" i="26"/>
  <c r="P29" i="26" s="1"/>
  <c r="P10" i="26" s="1"/>
  <c r="O30" i="26"/>
  <c r="N30" i="26"/>
  <c r="M30" i="26"/>
  <c r="L30" i="26"/>
  <c r="K30" i="26"/>
  <c r="K29" i="26" s="1"/>
  <c r="K10" i="26" s="1"/>
  <c r="J30" i="26"/>
  <c r="J29" i="26" s="1"/>
  <c r="I30" i="26"/>
  <c r="H30" i="26"/>
  <c r="G30" i="26"/>
  <c r="F30" i="26"/>
  <c r="O29" i="26"/>
  <c r="M29" i="26"/>
  <c r="L29" i="26"/>
  <c r="I29" i="26"/>
  <c r="H29" i="26"/>
  <c r="D26" i="26"/>
  <c r="D25" i="26"/>
  <c r="B25" i="26"/>
  <c r="B24" i="26"/>
  <c r="D23" i="26"/>
  <c r="N12" i="26" s="1"/>
  <c r="B23" i="26"/>
  <c r="D21" i="26"/>
  <c r="D24" i="26" s="1"/>
  <c r="Q16" i="26"/>
  <c r="P16" i="26"/>
  <c r="O16" i="26"/>
  <c r="N16" i="26"/>
  <c r="M16" i="26"/>
  <c r="L16" i="26"/>
  <c r="K16" i="26"/>
  <c r="K8" i="26" s="1"/>
  <c r="J16" i="26"/>
  <c r="J8" i="26" s="1"/>
  <c r="I16" i="26"/>
  <c r="H16" i="26"/>
  <c r="G16" i="26"/>
  <c r="F16" i="26"/>
  <c r="I12" i="26"/>
  <c r="O10" i="26"/>
  <c r="M10" i="26"/>
  <c r="L10" i="26"/>
  <c r="I10" i="26"/>
  <c r="H10" i="26"/>
  <c r="Q8" i="26"/>
  <c r="P8" i="26"/>
  <c r="O8" i="26"/>
  <c r="N8" i="26"/>
  <c r="M8" i="26"/>
  <c r="L8" i="26"/>
  <c r="I8" i="26"/>
  <c r="H8" i="26"/>
  <c r="G8" i="26"/>
  <c r="F8" i="26"/>
  <c r="E6" i="26"/>
  <c r="F6" i="26" s="1"/>
  <c r="I4" i="26"/>
  <c r="J4" i="26" s="1"/>
  <c r="K4" i="26" s="1"/>
  <c r="L4" i="26" s="1"/>
  <c r="M4" i="26" s="1"/>
  <c r="N4" i="26" s="1"/>
  <c r="O4" i="26" s="1"/>
  <c r="P4" i="26" s="1"/>
  <c r="Q4" i="26" s="1"/>
  <c r="H4" i="26"/>
  <c r="G4" i="26"/>
  <c r="N106" i="25"/>
  <c r="L99" i="25"/>
  <c r="L92" i="25"/>
  <c r="H78" i="25"/>
  <c r="F76" i="25"/>
  <c r="E76" i="25"/>
  <c r="Q73" i="25"/>
  <c r="K70" i="25"/>
  <c r="O66" i="25"/>
  <c r="I63" i="25"/>
  <c r="I60" i="25"/>
  <c r="M57" i="25"/>
  <c r="I56" i="25"/>
  <c r="Q54" i="25"/>
  <c r="M53" i="25"/>
  <c r="I52" i="25"/>
  <c r="Q50" i="25"/>
  <c r="M49" i="25"/>
  <c r="I48" i="25"/>
  <c r="F47" i="25"/>
  <c r="E47" i="25"/>
  <c r="K46" i="25"/>
  <c r="N45" i="25"/>
  <c r="N43" i="25"/>
  <c r="N41" i="25"/>
  <c r="R40" i="25"/>
  <c r="J40" i="25"/>
  <c r="N39" i="25"/>
  <c r="N37" i="25"/>
  <c r="N35" i="25"/>
  <c r="R34" i="25"/>
  <c r="N33" i="25"/>
  <c r="F31" i="25"/>
  <c r="E31" i="25"/>
  <c r="P30" i="25"/>
  <c r="H30" i="25"/>
  <c r="L29" i="25"/>
  <c r="P28" i="25"/>
  <c r="L28" i="25"/>
  <c r="H28" i="25"/>
  <c r="L27" i="25"/>
  <c r="P26" i="25"/>
  <c r="L26" i="25"/>
  <c r="H26" i="25"/>
  <c r="L25" i="25"/>
  <c r="P24" i="25"/>
  <c r="L24" i="25"/>
  <c r="H24" i="25"/>
  <c r="L23" i="25"/>
  <c r="P22" i="25"/>
  <c r="L22" i="25"/>
  <c r="H22" i="25"/>
  <c r="F21" i="25"/>
  <c r="E21" i="25"/>
  <c r="R17" i="25"/>
  <c r="Q17" i="25"/>
  <c r="P17" i="25"/>
  <c r="P96" i="25" s="1"/>
  <c r="O17" i="25"/>
  <c r="N17" i="25"/>
  <c r="M17" i="25"/>
  <c r="L17" i="25"/>
  <c r="L107" i="25" s="1"/>
  <c r="K17" i="25"/>
  <c r="J17" i="25"/>
  <c r="I17" i="25"/>
  <c r="H17" i="25"/>
  <c r="H103" i="25" s="1"/>
  <c r="G17" i="25"/>
  <c r="R16" i="25"/>
  <c r="R60" i="25" s="1"/>
  <c r="Q16" i="25"/>
  <c r="Q53" i="25" s="1"/>
  <c r="P16" i="25"/>
  <c r="O16" i="25"/>
  <c r="N16" i="25"/>
  <c r="M16" i="25"/>
  <c r="M59" i="25" s="1"/>
  <c r="L16" i="25"/>
  <c r="K16" i="25"/>
  <c r="K55" i="25" s="1"/>
  <c r="J16" i="25"/>
  <c r="J61" i="25" s="1"/>
  <c r="I16" i="25"/>
  <c r="I71" i="25" s="1"/>
  <c r="H16" i="25"/>
  <c r="G16" i="25"/>
  <c r="R15" i="25"/>
  <c r="R36" i="25" s="1"/>
  <c r="Q15" i="25"/>
  <c r="Q46" i="25" s="1"/>
  <c r="P15" i="25"/>
  <c r="P44" i="25" s="1"/>
  <c r="O15" i="25"/>
  <c r="O44" i="25" s="1"/>
  <c r="N15" i="25"/>
  <c r="N46" i="25" s="1"/>
  <c r="M15" i="25"/>
  <c r="M45" i="25" s="1"/>
  <c r="L15" i="25"/>
  <c r="L45" i="25" s="1"/>
  <c r="K15" i="25"/>
  <c r="K45" i="25" s="1"/>
  <c r="J15" i="25"/>
  <c r="J42" i="25" s="1"/>
  <c r="I15" i="25"/>
  <c r="I44" i="25" s="1"/>
  <c r="H15" i="25"/>
  <c r="H44" i="25" s="1"/>
  <c r="G15" i="25"/>
  <c r="G44" i="25" s="1"/>
  <c r="R14" i="25"/>
  <c r="R29" i="25" s="1"/>
  <c r="Q14" i="25"/>
  <c r="Q13" i="25" s="1"/>
  <c r="Q7" i="25" s="1"/>
  <c r="P14" i="25"/>
  <c r="P13" i="25" s="1"/>
  <c r="P7" i="25" s="1"/>
  <c r="O14" i="25"/>
  <c r="O30" i="25" s="1"/>
  <c r="N14" i="25"/>
  <c r="M14" i="25"/>
  <c r="M30" i="25" s="1"/>
  <c r="L14" i="25"/>
  <c r="L30" i="25" s="1"/>
  <c r="K14" i="25"/>
  <c r="K29" i="25" s="1"/>
  <c r="J14" i="25"/>
  <c r="J29" i="25" s="1"/>
  <c r="I14" i="25"/>
  <c r="I13" i="25" s="1"/>
  <c r="I7" i="25" s="1"/>
  <c r="H14" i="25"/>
  <c r="H13" i="25" s="1"/>
  <c r="H7" i="25" s="1"/>
  <c r="G14" i="25"/>
  <c r="G30" i="25" s="1"/>
  <c r="R13" i="25"/>
  <c r="O13" i="25"/>
  <c r="M13" i="25"/>
  <c r="L13" i="25"/>
  <c r="K13" i="25"/>
  <c r="G13" i="25"/>
  <c r="Q10" i="25"/>
  <c r="P10" i="25"/>
  <c r="O10" i="25"/>
  <c r="N10" i="25"/>
  <c r="L32" i="24" s="1"/>
  <c r="M10" i="25"/>
  <c r="K10" i="25"/>
  <c r="I10" i="25"/>
  <c r="H10" i="25"/>
  <c r="R7" i="25"/>
  <c r="P7" i="24" s="1"/>
  <c r="O7" i="25"/>
  <c r="M7" i="25"/>
  <c r="L7" i="25"/>
  <c r="K7" i="25"/>
  <c r="G7" i="25"/>
  <c r="H6" i="25"/>
  <c r="I5" i="25" s="1"/>
  <c r="G6" i="25"/>
  <c r="H5" i="25" s="1"/>
  <c r="G4" i="25"/>
  <c r="H4" i="25" s="1"/>
  <c r="I4" i="25" s="1"/>
  <c r="J4" i="25" s="1"/>
  <c r="K4" i="25" s="1"/>
  <c r="L4" i="25" s="1"/>
  <c r="M4" i="25" s="1"/>
  <c r="N4" i="25" s="1"/>
  <c r="O4" i="25" s="1"/>
  <c r="P4" i="25" s="1"/>
  <c r="Q4" i="25" s="1"/>
  <c r="R4" i="25" s="1"/>
  <c r="P35" i="24"/>
  <c r="O35" i="24"/>
  <c r="N35" i="24"/>
  <c r="M35" i="24"/>
  <c r="L35" i="24"/>
  <c r="K35" i="24"/>
  <c r="J35" i="24"/>
  <c r="I35" i="24"/>
  <c r="H35" i="24"/>
  <c r="G35" i="24"/>
  <c r="F35" i="24"/>
  <c r="E35" i="24"/>
  <c r="M33" i="24"/>
  <c r="H33" i="24"/>
  <c r="O32" i="24"/>
  <c r="N32" i="24"/>
  <c r="M32" i="24"/>
  <c r="K32" i="24"/>
  <c r="I32" i="24"/>
  <c r="G32" i="24"/>
  <c r="F32" i="24"/>
  <c r="E32" i="24"/>
  <c r="S32" i="24" s="1"/>
  <c r="T32" i="24" s="1"/>
  <c r="P30" i="24"/>
  <c r="O30" i="24"/>
  <c r="N30" i="24"/>
  <c r="L30" i="24"/>
  <c r="K30" i="24"/>
  <c r="J30" i="24"/>
  <c r="H30" i="24"/>
  <c r="G30" i="24"/>
  <c r="F30" i="24"/>
  <c r="M9" i="24"/>
  <c r="M6" i="24" s="1"/>
  <c r="N3" i="26" s="1"/>
  <c r="K9" i="24"/>
  <c r="K6" i="24" s="1"/>
  <c r="L3" i="26" s="1"/>
  <c r="E9" i="24"/>
  <c r="P8" i="24"/>
  <c r="O8" i="24"/>
  <c r="N8" i="24"/>
  <c r="M8" i="24"/>
  <c r="L8" i="24"/>
  <c r="K8" i="24"/>
  <c r="J8" i="24"/>
  <c r="I8" i="24"/>
  <c r="H8" i="24"/>
  <c r="G8" i="24"/>
  <c r="F8" i="24"/>
  <c r="E8" i="24"/>
  <c r="O7" i="24"/>
  <c r="N7" i="24"/>
  <c r="N9" i="24" s="1"/>
  <c r="M7" i="24"/>
  <c r="K7" i="24"/>
  <c r="J7" i="24"/>
  <c r="J9" i="24" s="1"/>
  <c r="I7" i="24"/>
  <c r="I9" i="24" s="1"/>
  <c r="G7" i="24"/>
  <c r="G9" i="24" s="1"/>
  <c r="F7" i="24"/>
  <c r="F9" i="24" s="1"/>
  <c r="E7" i="24"/>
  <c r="A5" i="24"/>
  <c r="A6" i="24" s="1"/>
  <c r="A7" i="24" s="1"/>
  <c r="A8" i="24" s="1"/>
  <c r="A10" i="24" s="1"/>
  <c r="A11" i="24" s="1"/>
  <c r="A12" i="24" s="1"/>
  <c r="A13" i="24" s="1"/>
  <c r="A14" i="24" s="1"/>
  <c r="A17" i="24" s="1"/>
  <c r="A18" i="24" s="1"/>
  <c r="A19" i="24" s="1"/>
  <c r="A21" i="24" s="1"/>
  <c r="A22" i="24" s="1"/>
  <c r="A23" i="24" s="1"/>
  <c r="A24" i="24" s="1"/>
  <c r="A25" i="24" s="1"/>
  <c r="A26" i="24" s="1"/>
  <c r="A28" i="24" s="1"/>
  <c r="A29" i="24" s="1"/>
  <c r="A30" i="24" s="1"/>
  <c r="A31" i="24" s="1"/>
  <c r="A32" i="24" s="1"/>
  <c r="A33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8" i="24" s="1"/>
  <c r="A79" i="24" s="1"/>
  <c r="A80" i="24" s="1"/>
  <c r="E4" i="24"/>
  <c r="F4" i="24" s="1"/>
  <c r="G4" i="24" s="1"/>
  <c r="H4" i="24" s="1"/>
  <c r="I4" i="24" s="1"/>
  <c r="J4" i="24" s="1"/>
  <c r="K4" i="24" s="1"/>
  <c r="L4" i="24" s="1"/>
  <c r="M4" i="24" s="1"/>
  <c r="N4" i="24" s="1"/>
  <c r="O4" i="24" s="1"/>
  <c r="P4" i="24" s="1"/>
  <c r="AC197" i="14" l="1" a="1"/>
  <c r="AC197" i="14" s="1"/>
  <c r="H158" i="14"/>
  <c r="H159" i="14" s="1"/>
  <c r="H174" i="14" s="1"/>
  <c r="H185" i="14" s="1"/>
  <c r="H205" i="14" s="1"/>
  <c r="G124" i="14"/>
  <c r="L202" i="14"/>
  <c r="P148" i="14"/>
  <c r="O149" i="14"/>
  <c r="P201" i="14"/>
  <c r="V183" i="14"/>
  <c r="U203" i="14"/>
  <c r="U137" i="14"/>
  <c r="T138" i="14"/>
  <c r="T136" i="14" s="1"/>
  <c r="G207" i="14"/>
  <c r="H191" i="14"/>
  <c r="S199" i="14"/>
  <c r="T179" i="14"/>
  <c r="Q200" i="14"/>
  <c r="R180" i="14"/>
  <c r="Q217" i="14"/>
  <c r="Q170" i="14"/>
  <c r="Q181" i="14" s="1"/>
  <c r="I157" i="14"/>
  <c r="I158" i="14" s="1"/>
  <c r="I159" i="14" s="1"/>
  <c r="I174" i="14" s="1"/>
  <c r="S141" i="14"/>
  <c r="R140" i="14"/>
  <c r="S216" i="14"/>
  <c r="S169" i="14"/>
  <c r="V204" i="14"/>
  <c r="W184" i="14"/>
  <c r="U215" i="14"/>
  <c r="U168" i="14"/>
  <c r="Q144" i="14"/>
  <c r="P145" i="14"/>
  <c r="M218" i="14"/>
  <c r="M171" i="14"/>
  <c r="M182" i="14" s="1"/>
  <c r="N150" i="14"/>
  <c r="N147" i="14" s="1"/>
  <c r="N142" i="14" s="1"/>
  <c r="O146" i="14"/>
  <c r="O143" i="14" s="1"/>
  <c r="W133" i="14"/>
  <c r="V134" i="14"/>
  <c r="V132" i="14" s="1"/>
  <c r="F187" i="14"/>
  <c r="F164" i="14"/>
  <c r="F193" i="14" s="1"/>
  <c r="F194" i="14" s="1"/>
  <c r="A339" i="2"/>
  <c r="A448" i="2"/>
  <c r="E501" i="2"/>
  <c r="E512" i="2" s="1"/>
  <c r="E511" i="2"/>
  <c r="E390" i="2"/>
  <c r="E400" i="2"/>
  <c r="D326" i="2"/>
  <c r="B29" i="5"/>
  <c r="C28" i="5"/>
  <c r="C20" i="5"/>
  <c r="B21" i="5"/>
  <c r="C21" i="5" s="1"/>
  <c r="C13" i="5"/>
  <c r="B14" i="5"/>
  <c r="C14" i="5" s="1"/>
  <c r="W227" i="2"/>
  <c r="O227" i="2"/>
  <c r="G227" i="2"/>
  <c r="U227" i="2"/>
  <c r="M227" i="2"/>
  <c r="T227" i="2"/>
  <c r="L227" i="2"/>
  <c r="V227" i="2"/>
  <c r="S227" i="2"/>
  <c r="H227" i="2"/>
  <c r="R227" i="2"/>
  <c r="Q227" i="2"/>
  <c r="Z227" i="2"/>
  <c r="N227" i="2"/>
  <c r="A228" i="2"/>
  <c r="P227" i="2"/>
  <c r="Y227" i="2"/>
  <c r="K227" i="2"/>
  <c r="X227" i="2"/>
  <c r="J227" i="2"/>
  <c r="I227" i="2"/>
  <c r="B306" i="2"/>
  <c r="D322" i="2"/>
  <c r="B307" i="2"/>
  <c r="E299" i="2"/>
  <c r="B311" i="2"/>
  <c r="D327" i="2"/>
  <c r="E302" i="2"/>
  <c r="E303" i="2" s="1"/>
  <c r="E274" i="2"/>
  <c r="B309" i="2"/>
  <c r="D325" i="2"/>
  <c r="D328" i="2"/>
  <c r="B312" i="2"/>
  <c r="D324" i="2"/>
  <c r="B308" i="2"/>
  <c r="D329" i="2"/>
  <c r="B313" i="2"/>
  <c r="P9" i="24"/>
  <c r="P6" i="24"/>
  <c r="Q3" i="26" s="1"/>
  <c r="F11" i="26"/>
  <c r="E31" i="24"/>
  <c r="O6" i="24"/>
  <c r="P3" i="26" s="1"/>
  <c r="P11" i="26"/>
  <c r="P9" i="26" s="1"/>
  <c r="O31" i="24"/>
  <c r="J36" i="25"/>
  <c r="F6" i="24"/>
  <c r="G3" i="26" s="1"/>
  <c r="N6" i="24"/>
  <c r="O3" i="26" s="1"/>
  <c r="F9" i="26"/>
  <c r="G6" i="24"/>
  <c r="H3" i="26" s="1"/>
  <c r="O9" i="24"/>
  <c r="M30" i="24"/>
  <c r="N30" i="25"/>
  <c r="N28" i="25"/>
  <c r="N26" i="25"/>
  <c r="N24" i="25"/>
  <c r="N22" i="25"/>
  <c r="N13" i="25"/>
  <c r="N7" i="25" s="1"/>
  <c r="L7" i="24" s="1"/>
  <c r="N29" i="25"/>
  <c r="N27" i="25"/>
  <c r="N25" i="25"/>
  <c r="N23" i="25"/>
  <c r="J46" i="25"/>
  <c r="J45" i="25"/>
  <c r="J43" i="25"/>
  <c r="J41" i="25"/>
  <c r="J39" i="25"/>
  <c r="J37" i="25"/>
  <c r="J35" i="25"/>
  <c r="J33" i="25"/>
  <c r="J10" i="25"/>
  <c r="H32" i="24" s="1"/>
  <c r="R45" i="25"/>
  <c r="R46" i="25"/>
  <c r="R43" i="25"/>
  <c r="R41" i="25"/>
  <c r="R39" i="25"/>
  <c r="R37" i="25"/>
  <c r="R35" i="25"/>
  <c r="R33" i="25"/>
  <c r="R10" i="25"/>
  <c r="P32" i="24" s="1"/>
  <c r="N75" i="25"/>
  <c r="N74" i="25"/>
  <c r="N67" i="25"/>
  <c r="N66" i="25"/>
  <c r="N61" i="25"/>
  <c r="N73" i="25"/>
  <c r="N72" i="25"/>
  <c r="N65" i="25"/>
  <c r="N64" i="25"/>
  <c r="N60" i="25"/>
  <c r="N58" i="25"/>
  <c r="N56" i="25"/>
  <c r="N54" i="25"/>
  <c r="N52" i="25"/>
  <c r="N50" i="25"/>
  <c r="N48" i="25"/>
  <c r="N71" i="25"/>
  <c r="N70" i="25"/>
  <c r="N63" i="25"/>
  <c r="N62" i="25"/>
  <c r="N69" i="25"/>
  <c r="N68" i="25"/>
  <c r="N59" i="25"/>
  <c r="N57" i="25"/>
  <c r="N55" i="25"/>
  <c r="N51" i="25"/>
  <c r="N53" i="25"/>
  <c r="N49" i="25"/>
  <c r="J106" i="25"/>
  <c r="J104" i="25"/>
  <c r="J102" i="25"/>
  <c r="J100" i="25"/>
  <c r="J98" i="25"/>
  <c r="J96" i="25"/>
  <c r="J94" i="25"/>
  <c r="J92" i="25"/>
  <c r="J90" i="25"/>
  <c r="J88" i="25"/>
  <c r="J86" i="25"/>
  <c r="J84" i="25"/>
  <c r="J82" i="25"/>
  <c r="J80" i="25"/>
  <c r="J78" i="25"/>
  <c r="J107" i="25"/>
  <c r="J99" i="25"/>
  <c r="J91" i="25"/>
  <c r="J83" i="25"/>
  <c r="J105" i="25"/>
  <c r="J97" i="25"/>
  <c r="J89" i="25"/>
  <c r="J81" i="25"/>
  <c r="J103" i="25"/>
  <c r="J95" i="25"/>
  <c r="J87" i="25"/>
  <c r="J79" i="25"/>
  <c r="J77" i="25"/>
  <c r="J101" i="25"/>
  <c r="J93" i="25"/>
  <c r="R106" i="25"/>
  <c r="R104" i="25"/>
  <c r="R102" i="25"/>
  <c r="R100" i="25"/>
  <c r="R98" i="25"/>
  <c r="R96" i="25"/>
  <c r="R94" i="25"/>
  <c r="R92" i="25"/>
  <c r="R90" i="25"/>
  <c r="R88" i="25"/>
  <c r="R86" i="25"/>
  <c r="R84" i="25"/>
  <c r="R82" i="25"/>
  <c r="R80" i="25"/>
  <c r="R78" i="25"/>
  <c r="R101" i="25"/>
  <c r="R93" i="25"/>
  <c r="R85" i="25"/>
  <c r="R77" i="25"/>
  <c r="R107" i="25"/>
  <c r="R99" i="25"/>
  <c r="R91" i="25"/>
  <c r="R83" i="25"/>
  <c r="R105" i="25"/>
  <c r="R97" i="25"/>
  <c r="R89" i="25"/>
  <c r="R81" i="25"/>
  <c r="R103" i="25"/>
  <c r="R95" i="25"/>
  <c r="R87" i="25"/>
  <c r="R79" i="25"/>
  <c r="J32" i="25"/>
  <c r="R42" i="25"/>
  <c r="J85" i="25"/>
  <c r="Q11" i="26"/>
  <c r="P31" i="24"/>
  <c r="E6" i="24"/>
  <c r="F3" i="26" s="1"/>
  <c r="E30" i="24"/>
  <c r="R32" i="25"/>
  <c r="J38" i="25"/>
  <c r="G11" i="26"/>
  <c r="F31" i="24"/>
  <c r="I6" i="24"/>
  <c r="J3" i="26" s="1"/>
  <c r="R38" i="25"/>
  <c r="J44" i="25"/>
  <c r="J10" i="26"/>
  <c r="I30" i="24"/>
  <c r="J6" i="24"/>
  <c r="K3" i="26" s="1"/>
  <c r="J13" i="25"/>
  <c r="J7" i="25" s="1"/>
  <c r="H7" i="24" s="1"/>
  <c r="J34" i="25"/>
  <c r="R44" i="25"/>
  <c r="G71" i="25"/>
  <c r="G70" i="25"/>
  <c r="G63" i="25"/>
  <c r="G60" i="25"/>
  <c r="G58" i="25"/>
  <c r="G75" i="25"/>
  <c r="G74" i="25"/>
  <c r="G67" i="25"/>
  <c r="G66" i="25"/>
  <c r="G59" i="25"/>
  <c r="G57" i="25"/>
  <c r="G55" i="25"/>
  <c r="G53" i="25"/>
  <c r="G51" i="25"/>
  <c r="G49" i="25"/>
  <c r="G61" i="25"/>
  <c r="O73" i="25"/>
  <c r="O72" i="25"/>
  <c r="O65" i="25"/>
  <c r="O64" i="25"/>
  <c r="O60" i="25"/>
  <c r="O58" i="25"/>
  <c r="O62" i="25"/>
  <c r="O69" i="25"/>
  <c r="O68" i="25"/>
  <c r="O59" i="25"/>
  <c r="O57" i="25"/>
  <c r="O55" i="25"/>
  <c r="O53" i="25"/>
  <c r="O51" i="25"/>
  <c r="O49" i="25"/>
  <c r="K106" i="25"/>
  <c r="K104" i="25"/>
  <c r="K102" i="25"/>
  <c r="K100" i="25"/>
  <c r="K98" i="25"/>
  <c r="K96" i="25"/>
  <c r="K94" i="25"/>
  <c r="K92" i="25"/>
  <c r="K90" i="25"/>
  <c r="K88" i="25"/>
  <c r="K86" i="25"/>
  <c r="K84" i="25"/>
  <c r="K82" i="25"/>
  <c r="K80" i="25"/>
  <c r="K78" i="25"/>
  <c r="K107" i="25"/>
  <c r="K99" i="25"/>
  <c r="K91" i="25"/>
  <c r="K83" i="25"/>
  <c r="K105" i="25"/>
  <c r="K97" i="25"/>
  <c r="K89" i="25"/>
  <c r="K81" i="25"/>
  <c r="K103" i="25"/>
  <c r="K95" i="25"/>
  <c r="K87" i="25"/>
  <c r="K79" i="25"/>
  <c r="K101" i="25"/>
  <c r="K93" i="25"/>
  <c r="K85" i="25"/>
  <c r="K77" i="25"/>
  <c r="I22" i="25"/>
  <c r="Q22" i="25"/>
  <c r="M23" i="25"/>
  <c r="I24" i="25"/>
  <c r="Q24" i="25"/>
  <c r="M25" i="25"/>
  <c r="I26" i="25"/>
  <c r="Q26" i="25"/>
  <c r="M27" i="25"/>
  <c r="I28" i="25"/>
  <c r="Q28" i="25"/>
  <c r="M29" i="25"/>
  <c r="I30" i="25"/>
  <c r="Q30" i="25"/>
  <c r="K32" i="25"/>
  <c r="G33" i="25"/>
  <c r="O33" i="25"/>
  <c r="K34" i="25"/>
  <c r="G35" i="25"/>
  <c r="O35" i="25"/>
  <c r="K36" i="25"/>
  <c r="G37" i="25"/>
  <c r="O37" i="25"/>
  <c r="K38" i="25"/>
  <c r="G39" i="25"/>
  <c r="O39" i="25"/>
  <c r="K40" i="25"/>
  <c r="G41" i="25"/>
  <c r="O41" i="25"/>
  <c r="K42" i="25"/>
  <c r="G43" i="25"/>
  <c r="O43" i="25"/>
  <c r="K44" i="25"/>
  <c r="G45" i="25"/>
  <c r="O45" i="25"/>
  <c r="L46" i="25"/>
  <c r="J48" i="25"/>
  <c r="R50" i="25"/>
  <c r="J52" i="25"/>
  <c r="R54" i="25"/>
  <c r="J56" i="25"/>
  <c r="Q57" i="25"/>
  <c r="M60" i="25"/>
  <c r="O63" i="25"/>
  <c r="I67" i="25"/>
  <c r="O70" i="25"/>
  <c r="K74" i="25"/>
  <c r="H79" i="25"/>
  <c r="H86" i="25"/>
  <c r="L100" i="25"/>
  <c r="M33" i="26"/>
  <c r="L33" i="26"/>
  <c r="H74" i="25"/>
  <c r="H72" i="25"/>
  <c r="H70" i="25"/>
  <c r="H68" i="25"/>
  <c r="H66" i="25"/>
  <c r="H64" i="25"/>
  <c r="H62" i="25"/>
  <c r="H71" i="25"/>
  <c r="H63" i="25"/>
  <c r="H60" i="25"/>
  <c r="H58" i="25"/>
  <c r="H56" i="25"/>
  <c r="H54" i="25"/>
  <c r="H52" i="25"/>
  <c r="H50" i="25"/>
  <c r="H48" i="25"/>
  <c r="H69" i="25"/>
  <c r="H75" i="25"/>
  <c r="H67" i="25"/>
  <c r="H59" i="25"/>
  <c r="H57" i="25"/>
  <c r="H55" i="25"/>
  <c r="H53" i="25"/>
  <c r="H51" i="25"/>
  <c r="H49" i="25"/>
  <c r="H61" i="25"/>
  <c r="H73" i="25"/>
  <c r="H65" i="25"/>
  <c r="P74" i="25"/>
  <c r="P72" i="25"/>
  <c r="P70" i="25"/>
  <c r="P68" i="25"/>
  <c r="P66" i="25"/>
  <c r="P64" i="25"/>
  <c r="P62" i="25"/>
  <c r="P60" i="25"/>
  <c r="P73" i="25"/>
  <c r="P65" i="25"/>
  <c r="P58" i="25"/>
  <c r="P56" i="25"/>
  <c r="P54" i="25"/>
  <c r="P52" i="25"/>
  <c r="P50" i="25"/>
  <c r="P48" i="25"/>
  <c r="P71" i="25"/>
  <c r="P63" i="25"/>
  <c r="P69" i="25"/>
  <c r="P59" i="25"/>
  <c r="P57" i="25"/>
  <c r="P55" i="25"/>
  <c r="P53" i="25"/>
  <c r="P51" i="25"/>
  <c r="P49" i="25"/>
  <c r="P75" i="25"/>
  <c r="P67" i="25"/>
  <c r="P61" i="25"/>
  <c r="L106" i="25"/>
  <c r="L105" i="25"/>
  <c r="L98" i="25"/>
  <c r="L97" i="25"/>
  <c r="L90" i="25"/>
  <c r="L89" i="25"/>
  <c r="L82" i="25"/>
  <c r="L81" i="25"/>
  <c r="L104" i="25"/>
  <c r="L103" i="25"/>
  <c r="L96" i="25"/>
  <c r="L95" i="25"/>
  <c r="L88" i="25"/>
  <c r="L87" i="25"/>
  <c r="L80" i="25"/>
  <c r="L79" i="25"/>
  <c r="L102" i="25"/>
  <c r="L101" i="25"/>
  <c r="L94" i="25"/>
  <c r="L93" i="25"/>
  <c r="L86" i="25"/>
  <c r="L85" i="25"/>
  <c r="L78" i="25"/>
  <c r="L77" i="25"/>
  <c r="J22" i="25"/>
  <c r="R22" i="25"/>
  <c r="J24" i="25"/>
  <c r="R24" i="25"/>
  <c r="J26" i="25"/>
  <c r="R26" i="25"/>
  <c r="J28" i="25"/>
  <c r="R28" i="25"/>
  <c r="J30" i="25"/>
  <c r="R30" i="25"/>
  <c r="L32" i="25"/>
  <c r="L20" i="25" s="1"/>
  <c r="L9" i="25" s="1"/>
  <c r="H33" i="25"/>
  <c r="P33" i="25"/>
  <c r="L34" i="25"/>
  <c r="H35" i="25"/>
  <c r="P35" i="25"/>
  <c r="L36" i="25"/>
  <c r="H37" i="25"/>
  <c r="P37" i="25"/>
  <c r="L38" i="25"/>
  <c r="H39" i="25"/>
  <c r="P39" i="25"/>
  <c r="L40" i="25"/>
  <c r="H41" i="25"/>
  <c r="P41" i="25"/>
  <c r="L42" i="25"/>
  <c r="H43" i="25"/>
  <c r="P43" i="25"/>
  <c r="L44" i="25"/>
  <c r="H45" i="25"/>
  <c r="P45" i="25"/>
  <c r="M46" i="25"/>
  <c r="M48" i="25"/>
  <c r="Q49" i="25"/>
  <c r="I51" i="25"/>
  <c r="M52" i="25"/>
  <c r="I55" i="25"/>
  <c r="M56" i="25"/>
  <c r="I58" i="25"/>
  <c r="G64" i="25"/>
  <c r="O67" i="25"/>
  <c r="O74" i="25"/>
  <c r="H87" i="25"/>
  <c r="H94" i="25"/>
  <c r="I6" i="25"/>
  <c r="I74" i="25"/>
  <c r="I72" i="25"/>
  <c r="I70" i="25"/>
  <c r="I68" i="25"/>
  <c r="I66" i="25"/>
  <c r="I64" i="25"/>
  <c r="I69" i="25"/>
  <c r="I62" i="25"/>
  <c r="I61" i="25"/>
  <c r="I73" i="25"/>
  <c r="I65" i="25"/>
  <c r="Q74" i="25"/>
  <c r="Q72" i="25"/>
  <c r="Q70" i="25"/>
  <c r="Q68" i="25"/>
  <c r="Q66" i="25"/>
  <c r="Q64" i="25"/>
  <c r="Q60" i="25"/>
  <c r="Q71" i="25"/>
  <c r="Q63" i="25"/>
  <c r="Q75" i="25"/>
  <c r="Q67" i="25"/>
  <c r="Q61" i="25"/>
  <c r="M106" i="25"/>
  <c r="M105" i="25"/>
  <c r="M98" i="25"/>
  <c r="M97" i="25"/>
  <c r="M90" i="25"/>
  <c r="M89" i="25"/>
  <c r="M82" i="25"/>
  <c r="M81" i="25"/>
  <c r="M104" i="25"/>
  <c r="M103" i="25"/>
  <c r="M96" i="25"/>
  <c r="M95" i="25"/>
  <c r="M88" i="25"/>
  <c r="M87" i="25"/>
  <c r="M80" i="25"/>
  <c r="M79" i="25"/>
  <c r="M102" i="25"/>
  <c r="M101" i="25"/>
  <c r="M94" i="25"/>
  <c r="M93" i="25"/>
  <c r="M86" i="25"/>
  <c r="M85" i="25"/>
  <c r="M78" i="25"/>
  <c r="M77" i="25"/>
  <c r="M107" i="25"/>
  <c r="M100" i="25"/>
  <c r="M99" i="25"/>
  <c r="M92" i="25"/>
  <c r="M91" i="25"/>
  <c r="M84" i="25"/>
  <c r="M83" i="25"/>
  <c r="K22" i="25"/>
  <c r="G23" i="25"/>
  <c r="O23" i="25"/>
  <c r="K24" i="25"/>
  <c r="G25" i="25"/>
  <c r="O25" i="25"/>
  <c r="K26" i="25"/>
  <c r="G27" i="25"/>
  <c r="O27" i="25"/>
  <c r="K28" i="25"/>
  <c r="G29" i="25"/>
  <c r="O29" i="25"/>
  <c r="K30" i="25"/>
  <c r="M32" i="25"/>
  <c r="I33" i="25"/>
  <c r="Q33" i="25"/>
  <c r="M34" i="25"/>
  <c r="I35" i="25"/>
  <c r="Q35" i="25"/>
  <c r="M36" i="25"/>
  <c r="I37" i="25"/>
  <c r="Q37" i="25"/>
  <c r="M38" i="25"/>
  <c r="I39" i="25"/>
  <c r="Q39" i="25"/>
  <c r="M40" i="25"/>
  <c r="I41" i="25"/>
  <c r="Q41" i="25"/>
  <c r="M42" i="25"/>
  <c r="I43" i="25"/>
  <c r="Q43" i="25"/>
  <c r="M44" i="25"/>
  <c r="I45" i="25"/>
  <c r="Q45" i="25"/>
  <c r="O46" i="25"/>
  <c r="O48" i="25"/>
  <c r="G50" i="25"/>
  <c r="K51" i="25"/>
  <c r="O52" i="25"/>
  <c r="G54" i="25"/>
  <c r="O56" i="25"/>
  <c r="M58" i="25"/>
  <c r="M64" i="25"/>
  <c r="G68" i="25"/>
  <c r="O71" i="25"/>
  <c r="I75" i="25"/>
  <c r="P80" i="25"/>
  <c r="H95" i="25"/>
  <c r="H102" i="25"/>
  <c r="J70" i="25"/>
  <c r="J69" i="25"/>
  <c r="J62" i="25"/>
  <c r="J75" i="25"/>
  <c r="J68" i="25"/>
  <c r="J67" i="25"/>
  <c r="J59" i="25"/>
  <c r="J57" i="25"/>
  <c r="J55" i="25"/>
  <c r="J53" i="25"/>
  <c r="J51" i="25"/>
  <c r="J49" i="25"/>
  <c r="J74" i="25"/>
  <c r="J73" i="25"/>
  <c r="J66" i="25"/>
  <c r="J65" i="25"/>
  <c r="J72" i="25"/>
  <c r="J71" i="25"/>
  <c r="J64" i="25"/>
  <c r="J63" i="25"/>
  <c r="J60" i="25"/>
  <c r="J58" i="25"/>
  <c r="R72" i="25"/>
  <c r="R71" i="25"/>
  <c r="R64" i="25"/>
  <c r="R63" i="25"/>
  <c r="R70" i="25"/>
  <c r="R69" i="25"/>
  <c r="R62" i="25"/>
  <c r="R59" i="25"/>
  <c r="R57" i="25"/>
  <c r="R55" i="25"/>
  <c r="R53" i="25"/>
  <c r="R51" i="25"/>
  <c r="R49" i="25"/>
  <c r="R75" i="25"/>
  <c r="R68" i="25"/>
  <c r="R67" i="25"/>
  <c r="R61" i="25"/>
  <c r="R74" i="25"/>
  <c r="R73" i="25"/>
  <c r="R66" i="25"/>
  <c r="R65" i="25"/>
  <c r="R58" i="25"/>
  <c r="N107" i="25"/>
  <c r="N105" i="25"/>
  <c r="N103" i="25"/>
  <c r="N101" i="25"/>
  <c r="N99" i="25"/>
  <c r="N97" i="25"/>
  <c r="N95" i="25"/>
  <c r="N93" i="25"/>
  <c r="N91" i="25"/>
  <c r="N89" i="25"/>
  <c r="N87" i="25"/>
  <c r="N85" i="25"/>
  <c r="N83" i="25"/>
  <c r="N81" i="25"/>
  <c r="N79" i="25"/>
  <c r="N77" i="25"/>
  <c r="N104" i="25"/>
  <c r="N96" i="25"/>
  <c r="N88" i="25"/>
  <c r="N80" i="25"/>
  <c r="N102" i="25"/>
  <c r="N94" i="25"/>
  <c r="N86" i="25"/>
  <c r="N78" i="25"/>
  <c r="N100" i="25"/>
  <c r="N92" i="25"/>
  <c r="N84" i="25"/>
  <c r="H23" i="25"/>
  <c r="H20" i="25" s="1"/>
  <c r="H9" i="25" s="1"/>
  <c r="P23" i="25"/>
  <c r="P20" i="25" s="1"/>
  <c r="P9" i="25" s="1"/>
  <c r="H25" i="25"/>
  <c r="P25" i="25"/>
  <c r="H27" i="25"/>
  <c r="P27" i="25"/>
  <c r="H29" i="25"/>
  <c r="P29" i="25"/>
  <c r="N32" i="25"/>
  <c r="N34" i="25"/>
  <c r="N36" i="25"/>
  <c r="N38" i="25"/>
  <c r="N40" i="25"/>
  <c r="N42" i="25"/>
  <c r="N44" i="25"/>
  <c r="G46" i="25"/>
  <c r="P46" i="25"/>
  <c r="Q48" i="25"/>
  <c r="I50" i="25"/>
  <c r="M51" i="25"/>
  <c r="Q52" i="25"/>
  <c r="I54" i="25"/>
  <c r="M55" i="25"/>
  <c r="Q56" i="25"/>
  <c r="Q58" i="25"/>
  <c r="O61" i="25"/>
  <c r="G65" i="25"/>
  <c r="M68" i="25"/>
  <c r="G72" i="25"/>
  <c r="O75" i="25"/>
  <c r="P81" i="25"/>
  <c r="P88" i="25"/>
  <c r="Q12" i="26"/>
  <c r="P33" i="24" s="1"/>
  <c r="G12" i="26"/>
  <c r="F33" i="24" s="1"/>
  <c r="P12" i="26"/>
  <c r="O33" i="24" s="1"/>
  <c r="E33" i="24"/>
  <c r="S33" i="24" s="1"/>
  <c r="T33" i="24" s="1"/>
  <c r="O12" i="26"/>
  <c r="N33" i="24" s="1"/>
  <c r="M12" i="26"/>
  <c r="L33" i="24" s="1"/>
  <c r="L12" i="26"/>
  <c r="K33" i="24" s="1"/>
  <c r="K62" i="25"/>
  <c r="K75" i="25"/>
  <c r="K68" i="25"/>
  <c r="K67" i="25"/>
  <c r="K59" i="25"/>
  <c r="K61" i="25"/>
  <c r="K72" i="25"/>
  <c r="K71" i="25"/>
  <c r="K64" i="25"/>
  <c r="K63" i="25"/>
  <c r="K60" i="25"/>
  <c r="K58" i="25"/>
  <c r="K56" i="25"/>
  <c r="K54" i="25"/>
  <c r="K52" i="25"/>
  <c r="K50" i="25"/>
  <c r="K48" i="25"/>
  <c r="G107" i="25"/>
  <c r="G105" i="25"/>
  <c r="G103" i="25"/>
  <c r="G101" i="25"/>
  <c r="G99" i="25"/>
  <c r="G97" i="25"/>
  <c r="G95" i="25"/>
  <c r="G93" i="25"/>
  <c r="G91" i="25"/>
  <c r="G89" i="25"/>
  <c r="G87" i="25"/>
  <c r="G85" i="25"/>
  <c r="G83" i="25"/>
  <c r="G81" i="25"/>
  <c r="G79" i="25"/>
  <c r="G77" i="25"/>
  <c r="G102" i="25"/>
  <c r="G94" i="25"/>
  <c r="G86" i="25"/>
  <c r="G78" i="25"/>
  <c r="G100" i="25"/>
  <c r="G92" i="25"/>
  <c r="G84" i="25"/>
  <c r="G106" i="25"/>
  <c r="G98" i="25"/>
  <c r="G90" i="25"/>
  <c r="G82" i="25"/>
  <c r="G104" i="25"/>
  <c r="G96" i="25"/>
  <c r="G88" i="25"/>
  <c r="G80" i="25"/>
  <c r="O107" i="25"/>
  <c r="O105" i="25"/>
  <c r="O103" i="25"/>
  <c r="O101" i="25"/>
  <c r="O99" i="25"/>
  <c r="O97" i="25"/>
  <c r="O95" i="25"/>
  <c r="O93" i="25"/>
  <c r="O91" i="25"/>
  <c r="O89" i="25"/>
  <c r="O87" i="25"/>
  <c r="O85" i="25"/>
  <c r="O83" i="25"/>
  <c r="O81" i="25"/>
  <c r="O79" i="25"/>
  <c r="O77" i="25"/>
  <c r="O104" i="25"/>
  <c r="O96" i="25"/>
  <c r="O88" i="25"/>
  <c r="O80" i="25"/>
  <c r="O102" i="25"/>
  <c r="O94" i="25"/>
  <c r="O86" i="25"/>
  <c r="O78" i="25"/>
  <c r="O100" i="25"/>
  <c r="O92" i="25"/>
  <c r="O84" i="25"/>
  <c r="O106" i="25"/>
  <c r="O98" i="25"/>
  <c r="O90" i="25"/>
  <c r="O82" i="25"/>
  <c r="M22" i="25"/>
  <c r="I23" i="25"/>
  <c r="Q23" i="25"/>
  <c r="M24" i="25"/>
  <c r="I25" i="25"/>
  <c r="Q25" i="25"/>
  <c r="M26" i="25"/>
  <c r="I27" i="25"/>
  <c r="Q27" i="25"/>
  <c r="M28" i="25"/>
  <c r="I29" i="25"/>
  <c r="Q29" i="25"/>
  <c r="G32" i="25"/>
  <c r="O32" i="25"/>
  <c r="K33" i="25"/>
  <c r="G34" i="25"/>
  <c r="O34" i="25"/>
  <c r="K35" i="25"/>
  <c r="G36" i="25"/>
  <c r="O36" i="25"/>
  <c r="K37" i="25"/>
  <c r="G38" i="25"/>
  <c r="O38" i="25"/>
  <c r="K39" i="25"/>
  <c r="G40" i="25"/>
  <c r="O40" i="25"/>
  <c r="K41" i="25"/>
  <c r="G42" i="25"/>
  <c r="O42" i="25"/>
  <c r="K43" i="25"/>
  <c r="H46" i="25"/>
  <c r="R48" i="25"/>
  <c r="J50" i="25"/>
  <c r="R52" i="25"/>
  <c r="J54" i="25"/>
  <c r="R56" i="25"/>
  <c r="I59" i="25"/>
  <c r="G62" i="25"/>
  <c r="K65" i="25"/>
  <c r="G69" i="25"/>
  <c r="M72" i="25"/>
  <c r="N82" i="25"/>
  <c r="P89" i="25"/>
  <c r="O33" i="26"/>
  <c r="H33" i="26"/>
  <c r="L10" i="25"/>
  <c r="J32" i="24" s="1"/>
  <c r="L75" i="25"/>
  <c r="L73" i="25"/>
  <c r="L71" i="25"/>
  <c r="L69" i="25"/>
  <c r="L67" i="25"/>
  <c r="L65" i="25"/>
  <c r="L63" i="25"/>
  <c r="L61" i="25"/>
  <c r="L68" i="25"/>
  <c r="L59" i="25"/>
  <c r="L57" i="25"/>
  <c r="L55" i="25"/>
  <c r="L53" i="25"/>
  <c r="L51" i="25"/>
  <c r="L49" i="25"/>
  <c r="L74" i="25"/>
  <c r="L66" i="25"/>
  <c r="L72" i="25"/>
  <c r="L64" i="25"/>
  <c r="L60" i="25"/>
  <c r="L58" i="25"/>
  <c r="L56" i="25"/>
  <c r="L54" i="25"/>
  <c r="L52" i="25"/>
  <c r="L50" i="25"/>
  <c r="L48" i="25"/>
  <c r="L70" i="25"/>
  <c r="H101" i="25"/>
  <c r="H100" i="25"/>
  <c r="H93" i="25"/>
  <c r="H92" i="25"/>
  <c r="H85" i="25"/>
  <c r="H84" i="25"/>
  <c r="H77" i="25"/>
  <c r="H107" i="25"/>
  <c r="H106" i="25"/>
  <c r="H99" i="25"/>
  <c r="H98" i="25"/>
  <c r="H91" i="25"/>
  <c r="H90" i="25"/>
  <c r="H83" i="25"/>
  <c r="H82" i="25"/>
  <c r="H105" i="25"/>
  <c r="H104" i="25"/>
  <c r="H97" i="25"/>
  <c r="H96" i="25"/>
  <c r="H89" i="25"/>
  <c r="H88" i="25"/>
  <c r="H81" i="25"/>
  <c r="H80" i="25"/>
  <c r="P103" i="25"/>
  <c r="P102" i="25"/>
  <c r="P95" i="25"/>
  <c r="P94" i="25"/>
  <c r="P87" i="25"/>
  <c r="P86" i="25"/>
  <c r="P79" i="25"/>
  <c r="P78" i="25"/>
  <c r="P101" i="25"/>
  <c r="P100" i="25"/>
  <c r="P93" i="25"/>
  <c r="P92" i="25"/>
  <c r="P85" i="25"/>
  <c r="P84" i="25"/>
  <c r="P77" i="25"/>
  <c r="P107" i="25"/>
  <c r="P106" i="25"/>
  <c r="P99" i="25"/>
  <c r="P98" i="25"/>
  <c r="P91" i="25"/>
  <c r="P90" i="25"/>
  <c r="P83" i="25"/>
  <c r="P82" i="25"/>
  <c r="J23" i="25"/>
  <c r="R23" i="25"/>
  <c r="J25" i="25"/>
  <c r="R25" i="25"/>
  <c r="J27" i="25"/>
  <c r="R27" i="25"/>
  <c r="H32" i="25"/>
  <c r="P32" i="25"/>
  <c r="L33" i="25"/>
  <c r="H34" i="25"/>
  <c r="P34" i="25"/>
  <c r="L35" i="25"/>
  <c r="H36" i="25"/>
  <c r="P36" i="25"/>
  <c r="L37" i="25"/>
  <c r="H38" i="25"/>
  <c r="P38" i="25"/>
  <c r="L39" i="25"/>
  <c r="H40" i="25"/>
  <c r="P40" i="25"/>
  <c r="L41" i="25"/>
  <c r="H42" i="25"/>
  <c r="P42" i="25"/>
  <c r="L43" i="25"/>
  <c r="I46" i="25"/>
  <c r="I49" i="25"/>
  <c r="M50" i="25"/>
  <c r="Q51" i="25"/>
  <c r="I53" i="25"/>
  <c r="M54" i="25"/>
  <c r="Q55" i="25"/>
  <c r="I57" i="25"/>
  <c r="L62" i="25"/>
  <c r="Q65" i="25"/>
  <c r="K69" i="25"/>
  <c r="G73" i="25"/>
  <c r="L83" i="25"/>
  <c r="N90" i="25"/>
  <c r="P97" i="25"/>
  <c r="P104" i="25"/>
  <c r="M75" i="25"/>
  <c r="M73" i="25"/>
  <c r="M71" i="25"/>
  <c r="M69" i="25"/>
  <c r="M67" i="25"/>
  <c r="M65" i="25"/>
  <c r="M63" i="25"/>
  <c r="M74" i="25"/>
  <c r="M66" i="25"/>
  <c r="M61" i="25"/>
  <c r="M70" i="25"/>
  <c r="M62" i="25"/>
  <c r="I101" i="25"/>
  <c r="I100" i="25"/>
  <c r="I93" i="25"/>
  <c r="I92" i="25"/>
  <c r="I85" i="25"/>
  <c r="I84" i="25"/>
  <c r="I77" i="25"/>
  <c r="I107" i="25"/>
  <c r="I106" i="25"/>
  <c r="I99" i="25"/>
  <c r="I98" i="25"/>
  <c r="I91" i="25"/>
  <c r="I90" i="25"/>
  <c r="I83" i="25"/>
  <c r="I82" i="25"/>
  <c r="I105" i="25"/>
  <c r="I104" i="25"/>
  <c r="I97" i="25"/>
  <c r="I96" i="25"/>
  <c r="I89" i="25"/>
  <c r="I88" i="25"/>
  <c r="I81" i="25"/>
  <c r="I80" i="25"/>
  <c r="I103" i="25"/>
  <c r="I102" i="25"/>
  <c r="I95" i="25"/>
  <c r="I94" i="25"/>
  <c r="I87" i="25"/>
  <c r="I86" i="25"/>
  <c r="I79" i="25"/>
  <c r="I78" i="25"/>
  <c r="Q103" i="25"/>
  <c r="Q102" i="25"/>
  <c r="Q95" i="25"/>
  <c r="Q94" i="25"/>
  <c r="Q87" i="25"/>
  <c r="Q86" i="25"/>
  <c r="Q79" i="25"/>
  <c r="Q78" i="25"/>
  <c r="Q101" i="25"/>
  <c r="Q100" i="25"/>
  <c r="Q93" i="25"/>
  <c r="Q92" i="25"/>
  <c r="Q85" i="25"/>
  <c r="Q84" i="25"/>
  <c r="Q77" i="25"/>
  <c r="Q107" i="25"/>
  <c r="Q106" i="25"/>
  <c r="Q99" i="25"/>
  <c r="Q98" i="25"/>
  <c r="Q91" i="25"/>
  <c r="Q90" i="25"/>
  <c r="Q83" i="25"/>
  <c r="Q82" i="25"/>
  <c r="Q105" i="25"/>
  <c r="Q104" i="25"/>
  <c r="Q97" i="25"/>
  <c r="Q96" i="25"/>
  <c r="Q89" i="25"/>
  <c r="Q88" i="25"/>
  <c r="Q81" i="25"/>
  <c r="Q80" i="25"/>
  <c r="G22" i="25"/>
  <c r="O22" i="25"/>
  <c r="O20" i="25" s="1"/>
  <c r="O9" i="25" s="1"/>
  <c r="K23" i="25"/>
  <c r="G24" i="25"/>
  <c r="O24" i="25"/>
  <c r="K25" i="25"/>
  <c r="G26" i="25"/>
  <c r="O26" i="25"/>
  <c r="K27" i="25"/>
  <c r="G28" i="25"/>
  <c r="O28" i="25"/>
  <c r="I32" i="25"/>
  <c r="Q32" i="25"/>
  <c r="M33" i="25"/>
  <c r="I34" i="25"/>
  <c r="Q34" i="25"/>
  <c r="M35" i="25"/>
  <c r="I36" i="25"/>
  <c r="Q36" i="25"/>
  <c r="M37" i="25"/>
  <c r="I38" i="25"/>
  <c r="Q38" i="25"/>
  <c r="M39" i="25"/>
  <c r="I40" i="25"/>
  <c r="Q40" i="25"/>
  <c r="M41" i="25"/>
  <c r="I42" i="25"/>
  <c r="Q42" i="25"/>
  <c r="M43" i="25"/>
  <c r="Q44" i="25"/>
  <c r="G48" i="25"/>
  <c r="K49" i="25"/>
  <c r="O50" i="25"/>
  <c r="G52" i="25"/>
  <c r="K53" i="25"/>
  <c r="O54" i="25"/>
  <c r="G56" i="25"/>
  <c r="K57" i="25"/>
  <c r="Q59" i="25"/>
  <c r="Q62" i="25"/>
  <c r="K66" i="25"/>
  <c r="Q69" i="25"/>
  <c r="K73" i="25"/>
  <c r="L84" i="25"/>
  <c r="L91" i="25"/>
  <c r="N98" i="25"/>
  <c r="P105" i="25"/>
  <c r="G6" i="26"/>
  <c r="G5" i="26"/>
  <c r="Q9" i="26"/>
  <c r="N33" i="26"/>
  <c r="I33" i="26"/>
  <c r="J33" i="26"/>
  <c r="K12" i="26"/>
  <c r="J33" i="24" s="1"/>
  <c r="J12" i="26"/>
  <c r="I33" i="24" s="1"/>
  <c r="K33" i="26"/>
  <c r="H12" i="26"/>
  <c r="G33" i="24" s="1"/>
  <c r="I185" i="14" l="1"/>
  <c r="I205" i="14" s="1"/>
  <c r="G164" i="14"/>
  <c r="G193" i="14" s="1"/>
  <c r="G165" i="14"/>
  <c r="G221" i="14"/>
  <c r="H124" i="14"/>
  <c r="G194" i="14"/>
  <c r="G208" i="14" s="1"/>
  <c r="Q201" i="14"/>
  <c r="R181" i="14"/>
  <c r="N218" i="14"/>
  <c r="N171" i="14"/>
  <c r="N182" i="14" s="1"/>
  <c r="M202" i="14"/>
  <c r="Q148" i="14"/>
  <c r="P149" i="14"/>
  <c r="T216" i="14"/>
  <c r="T169" i="14"/>
  <c r="V137" i="14"/>
  <c r="U138" i="14"/>
  <c r="U136" i="14" s="1"/>
  <c r="R217" i="14"/>
  <c r="R170" i="14"/>
  <c r="F189" i="14"/>
  <c r="F190" i="14"/>
  <c r="G190" i="14" s="1"/>
  <c r="T141" i="14"/>
  <c r="S140" i="14"/>
  <c r="V203" i="14"/>
  <c r="W183" i="14"/>
  <c r="O150" i="14"/>
  <c r="P146" i="14"/>
  <c r="P143" i="14" s="1"/>
  <c r="T199" i="14"/>
  <c r="U179" i="14"/>
  <c r="W204" i="14"/>
  <c r="X184" i="14"/>
  <c r="H207" i="14"/>
  <c r="I191" i="14"/>
  <c r="V215" i="14"/>
  <c r="V168" i="14"/>
  <c r="R144" i="14"/>
  <c r="Q145" i="14"/>
  <c r="R200" i="14"/>
  <c r="S180" i="14"/>
  <c r="X133" i="14"/>
  <c r="W134" i="14"/>
  <c r="W132" i="14" s="1"/>
  <c r="I124" i="14"/>
  <c r="K157" i="14"/>
  <c r="K158" i="14" s="1"/>
  <c r="K159" i="14" s="1"/>
  <c r="K174" i="14" s="1"/>
  <c r="J157" i="14"/>
  <c r="O147" i="14"/>
  <c r="O142" i="14" s="1"/>
  <c r="A340" i="2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449" i="2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E391" i="2"/>
  <c r="E401" i="2"/>
  <c r="B30" i="5"/>
  <c r="C29" i="5"/>
  <c r="E285" i="2"/>
  <c r="E275" i="2"/>
  <c r="A229" i="2"/>
  <c r="N29" i="24"/>
  <c r="P8" i="25"/>
  <c r="F29" i="24"/>
  <c r="F28" i="24" s="1"/>
  <c r="H8" i="25"/>
  <c r="L8" i="25"/>
  <c r="J29" i="24"/>
  <c r="J28" i="24" s="1"/>
  <c r="J31" i="24"/>
  <c r="K11" i="26"/>
  <c r="K9" i="26" s="1"/>
  <c r="G20" i="25"/>
  <c r="G9" i="25" s="1"/>
  <c r="G9" i="26"/>
  <c r="J9" i="26"/>
  <c r="J6" i="25"/>
  <c r="J5" i="25"/>
  <c r="Q20" i="25"/>
  <c r="Q9" i="25" s="1"/>
  <c r="O11" i="26"/>
  <c r="O9" i="26" s="1"/>
  <c r="N31" i="24"/>
  <c r="M11" i="26"/>
  <c r="M9" i="26" s="1"/>
  <c r="L31" i="24"/>
  <c r="N20" i="25"/>
  <c r="N9" i="25" s="1"/>
  <c r="H6" i="26"/>
  <c r="H5" i="26"/>
  <c r="K20" i="25"/>
  <c r="K9" i="25" s="1"/>
  <c r="I20" i="25"/>
  <c r="I9" i="25" s="1"/>
  <c r="J11" i="26"/>
  <c r="I31" i="24"/>
  <c r="M20" i="25"/>
  <c r="M9" i="25" s="1"/>
  <c r="H9" i="24"/>
  <c r="H6" i="24"/>
  <c r="I3" i="26" s="1"/>
  <c r="R20" i="25"/>
  <c r="R9" i="25" s="1"/>
  <c r="J20" i="25"/>
  <c r="J9" i="25" s="1"/>
  <c r="O8" i="25"/>
  <c r="M29" i="24"/>
  <c r="I11" i="26"/>
  <c r="I9" i="26" s="1"/>
  <c r="H31" i="24"/>
  <c r="N11" i="26"/>
  <c r="N9" i="26" s="1"/>
  <c r="M31" i="24"/>
  <c r="H11" i="26"/>
  <c r="H9" i="26" s="1"/>
  <c r="G31" i="24"/>
  <c r="L11" i="26"/>
  <c r="L9" i="26" s="1"/>
  <c r="K31" i="24"/>
  <c r="L6" i="24"/>
  <c r="M3" i="26" s="1"/>
  <c r="L9" i="24"/>
  <c r="H164" i="14" l="1"/>
  <c r="H193" i="14" s="1"/>
  <c r="H194" i="14" s="1"/>
  <c r="H208" i="14" s="1"/>
  <c r="H221" i="14"/>
  <c r="H165" i="14"/>
  <c r="H175" i="14" s="1"/>
  <c r="J158" i="14"/>
  <c r="J159" i="14" s="1"/>
  <c r="J174" i="14" s="1"/>
  <c r="J185" i="14" s="1"/>
  <c r="G175" i="14"/>
  <c r="G176" i="14"/>
  <c r="N202" i="14"/>
  <c r="S200" i="14"/>
  <c r="T180" i="14"/>
  <c r="W203" i="14"/>
  <c r="X183" i="14"/>
  <c r="U141" i="14"/>
  <c r="T140" i="14"/>
  <c r="G206" i="14"/>
  <c r="H190" i="14"/>
  <c r="X204" i="14"/>
  <c r="Y184" i="14"/>
  <c r="W215" i="14"/>
  <c r="W168" i="14"/>
  <c r="S144" i="14"/>
  <c r="R145" i="14"/>
  <c r="I164" i="14"/>
  <c r="I193" i="14" s="1"/>
  <c r="I165" i="14"/>
  <c r="I175" i="14" s="1"/>
  <c r="I221" i="14"/>
  <c r="Y133" i="14"/>
  <c r="X134" i="14"/>
  <c r="X132" i="14" s="1"/>
  <c r="U199" i="14"/>
  <c r="V179" i="14"/>
  <c r="R148" i="14"/>
  <c r="Q149" i="14"/>
  <c r="K124" i="14"/>
  <c r="L157" i="14"/>
  <c r="L158" i="14" s="1"/>
  <c r="L159" i="14" s="1"/>
  <c r="L174" i="14" s="1"/>
  <c r="R201" i="14"/>
  <c r="Q146" i="14"/>
  <c r="P150" i="14"/>
  <c r="P147" i="14" s="1"/>
  <c r="P142" i="14" s="1"/>
  <c r="U169" i="14"/>
  <c r="U216" i="14"/>
  <c r="O218" i="14"/>
  <c r="O171" i="14"/>
  <c r="O182" i="14" s="1"/>
  <c r="J191" i="14"/>
  <c r="I207" i="14"/>
  <c r="S217" i="14"/>
  <c r="S170" i="14"/>
  <c r="S181" i="14" s="1"/>
  <c r="W137" i="14"/>
  <c r="V138" i="14"/>
  <c r="V136" i="14" s="1"/>
  <c r="A461" i="2"/>
  <c r="A462" i="2" s="1"/>
  <c r="A352" i="2"/>
  <c r="A353" i="2" s="1"/>
  <c r="E402" i="2"/>
  <c r="E392" i="2"/>
  <c r="E403" i="2" s="1"/>
  <c r="B31" i="5"/>
  <c r="C30" i="5"/>
  <c r="E286" i="2"/>
  <c r="E276" i="2"/>
  <c r="A230" i="2"/>
  <c r="H29" i="24"/>
  <c r="H28" i="24" s="1"/>
  <c r="J8" i="25"/>
  <c r="G29" i="24"/>
  <c r="G28" i="24" s="1"/>
  <c r="I8" i="25"/>
  <c r="P29" i="24"/>
  <c r="P28" i="24" s="1"/>
  <c r="R8" i="25"/>
  <c r="K8" i="25"/>
  <c r="I29" i="24"/>
  <c r="I28" i="24" s="1"/>
  <c r="O29" i="24"/>
  <c r="O28" i="24" s="1"/>
  <c r="Q8" i="25"/>
  <c r="I6" i="26"/>
  <c r="I5" i="26"/>
  <c r="K6" i="25"/>
  <c r="K5" i="25"/>
  <c r="M8" i="25"/>
  <c r="K29" i="24"/>
  <c r="K28" i="24" s="1"/>
  <c r="L29" i="24"/>
  <c r="L28" i="24" s="1"/>
  <c r="N8" i="25"/>
  <c r="M28" i="24"/>
  <c r="G8" i="25"/>
  <c r="E29" i="24"/>
  <c r="N28" i="24"/>
  <c r="I194" i="14" l="1"/>
  <c r="I208" i="14" s="1"/>
  <c r="J205" i="14"/>
  <c r="K185" i="14"/>
  <c r="K205" i="14" s="1"/>
  <c r="H176" i="14"/>
  <c r="G196" i="14"/>
  <c r="G210" i="14" s="1"/>
  <c r="J124" i="14"/>
  <c r="L185" i="14"/>
  <c r="L205" i="14" s="1"/>
  <c r="P218" i="14"/>
  <c r="P171" i="14"/>
  <c r="P182" i="14" s="1"/>
  <c r="M157" i="14"/>
  <c r="M158" i="14" s="1"/>
  <c r="M159" i="14" s="1"/>
  <c r="M174" i="14" s="1"/>
  <c r="L124" i="14"/>
  <c r="Z133" i="14"/>
  <c r="Z134" i="14" s="1"/>
  <c r="Z132" i="14" s="1"/>
  <c r="Y134" i="14"/>
  <c r="Y132" i="14" s="1"/>
  <c r="H206" i="14"/>
  <c r="I190" i="14"/>
  <c r="K191" i="14"/>
  <c r="J207" i="14"/>
  <c r="Q150" i="14"/>
  <c r="Q147" i="14" s="1"/>
  <c r="Q142" i="14" s="1"/>
  <c r="R146" i="14"/>
  <c r="K165" i="14"/>
  <c r="K175" i="14" s="1"/>
  <c r="K164" i="14"/>
  <c r="K193" i="14" s="1"/>
  <c r="K221" i="14"/>
  <c r="X215" i="14"/>
  <c r="X168" i="14"/>
  <c r="T217" i="14"/>
  <c r="T170" i="14"/>
  <c r="V216" i="14"/>
  <c r="V169" i="14"/>
  <c r="S148" i="14"/>
  <c r="R149" i="14"/>
  <c r="R143" i="14"/>
  <c r="V141" i="14"/>
  <c r="U140" i="14"/>
  <c r="X137" i="14"/>
  <c r="W138" i="14"/>
  <c r="W136" i="14" s="1"/>
  <c r="S201" i="14"/>
  <c r="T181" i="14"/>
  <c r="T144" i="14"/>
  <c r="S145" i="14"/>
  <c r="Y204" i="14"/>
  <c r="Z184" i="14"/>
  <c r="Z204" i="14" s="1"/>
  <c r="X203" i="14"/>
  <c r="Y183" i="14"/>
  <c r="O202" i="14"/>
  <c r="V199" i="14"/>
  <c r="W179" i="14"/>
  <c r="Q143" i="14"/>
  <c r="T200" i="14"/>
  <c r="U180" i="14"/>
  <c r="A354" i="2"/>
  <c r="A355" i="2" s="1"/>
  <c r="A463" i="2"/>
  <c r="A464" i="2" s="1"/>
  <c r="C31" i="5"/>
  <c r="B32" i="5"/>
  <c r="C32" i="5" s="1"/>
  <c r="E287" i="2"/>
  <c r="E277" i="2"/>
  <c r="A231" i="2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J6" i="26"/>
  <c r="J5" i="26"/>
  <c r="E28" i="24"/>
  <c r="L6" i="25"/>
  <c r="L5" i="25"/>
  <c r="M185" i="14" l="1"/>
  <c r="M205" i="14" s="1"/>
  <c r="J164" i="14"/>
  <c r="J193" i="14" s="1"/>
  <c r="J194" i="14" s="1"/>
  <c r="J208" i="14" s="1"/>
  <c r="J165" i="14"/>
  <c r="J175" i="14" s="1"/>
  <c r="J221" i="14"/>
  <c r="H196" i="14"/>
  <c r="H210" i="14" s="1"/>
  <c r="I176" i="14"/>
  <c r="AC204" i="14" a="1"/>
  <c r="AC204" i="14" s="1"/>
  <c r="P202" i="14"/>
  <c r="K207" i="14"/>
  <c r="L191" i="14"/>
  <c r="T201" i="14"/>
  <c r="T148" i="14"/>
  <c r="S149" i="14"/>
  <c r="I206" i="14"/>
  <c r="J190" i="14"/>
  <c r="U144" i="14"/>
  <c r="T145" i="14"/>
  <c r="U200" i="14"/>
  <c r="V180" i="14"/>
  <c r="Q218" i="14"/>
  <c r="Q171" i="14"/>
  <c r="Q182" i="14" s="1"/>
  <c r="Y203" i="14"/>
  <c r="AC203" i="14" s="1" a="1"/>
  <c r="AC203" i="14" s="1"/>
  <c r="Z183" i="14"/>
  <c r="Z203" i="14" s="1"/>
  <c r="W216" i="14"/>
  <c r="W169" i="14"/>
  <c r="Y215" i="14"/>
  <c r="Y168" i="14"/>
  <c r="Y137" i="14"/>
  <c r="X138" i="14"/>
  <c r="X136" i="14" s="1"/>
  <c r="Z215" i="14"/>
  <c r="Z168" i="14"/>
  <c r="U217" i="14"/>
  <c r="U170" i="14"/>
  <c r="U181" i="14" s="1"/>
  <c r="R150" i="14"/>
  <c r="R147" i="14" s="1"/>
  <c r="R142" i="14" s="1"/>
  <c r="S146" i="14"/>
  <c r="S143" i="14" s="1"/>
  <c r="L165" i="14"/>
  <c r="L175" i="14" s="1"/>
  <c r="L164" i="14"/>
  <c r="L193" i="14" s="1"/>
  <c r="L221" i="14"/>
  <c r="W199" i="14"/>
  <c r="X179" i="14"/>
  <c r="W141" i="14"/>
  <c r="V140" i="14"/>
  <c r="N157" i="14"/>
  <c r="N158" i="14" s="1"/>
  <c r="N159" i="14" s="1"/>
  <c r="N174" i="14" s="1"/>
  <c r="M124" i="14"/>
  <c r="A465" i="2"/>
  <c r="A466" i="2" s="1"/>
  <c r="A356" i="2"/>
  <c r="A357" i="2" s="1"/>
  <c r="E278" i="2"/>
  <c r="E288" i="2"/>
  <c r="A243" i="2"/>
  <c r="A244" i="2" s="1"/>
  <c r="S28" i="24"/>
  <c r="T28" i="24" s="1"/>
  <c r="E83" i="24"/>
  <c r="Q83" i="24" s="1"/>
  <c r="M6" i="25"/>
  <c r="M5" i="25"/>
  <c r="K5" i="26"/>
  <c r="K6" i="26"/>
  <c r="N185" i="14" l="1"/>
  <c r="N205" i="14" s="1"/>
  <c r="K194" i="14"/>
  <c r="K208" i="14" s="1"/>
  <c r="I196" i="14"/>
  <c r="I210" i="14" s="1"/>
  <c r="J176" i="14"/>
  <c r="R218" i="14"/>
  <c r="R171" i="14"/>
  <c r="R182" i="14" s="1"/>
  <c r="U201" i="14"/>
  <c r="Q202" i="14"/>
  <c r="Z137" i="14"/>
  <c r="Z138" i="14" s="1"/>
  <c r="Z136" i="14" s="1"/>
  <c r="Y138" i="14"/>
  <c r="Y136" i="14" s="1"/>
  <c r="X141" i="14"/>
  <c r="W140" i="14"/>
  <c r="X199" i="14"/>
  <c r="Y179" i="14"/>
  <c r="X216" i="14"/>
  <c r="X169" i="14"/>
  <c r="U148" i="14"/>
  <c r="T149" i="14"/>
  <c r="J206" i="14"/>
  <c r="K190" i="14"/>
  <c r="M191" i="14"/>
  <c r="L207" i="14"/>
  <c r="M165" i="14"/>
  <c r="M175" i="14" s="1"/>
  <c r="M164" i="14"/>
  <c r="M193" i="14" s="1"/>
  <c r="M221" i="14"/>
  <c r="O157" i="14"/>
  <c r="O158" i="14" s="1"/>
  <c r="O159" i="14" s="1"/>
  <c r="O174" i="14" s="1"/>
  <c r="O185" i="14" s="1"/>
  <c r="O205" i="14" s="1"/>
  <c r="N124" i="14"/>
  <c r="V144" i="14"/>
  <c r="U145" i="14"/>
  <c r="V217" i="14"/>
  <c r="V170" i="14"/>
  <c r="V181" i="14" s="1"/>
  <c r="S150" i="14"/>
  <c r="S147" i="14" s="1"/>
  <c r="S142" i="14" s="1"/>
  <c r="T146" i="14"/>
  <c r="T143" i="14" s="1"/>
  <c r="W180" i="14"/>
  <c r="V200" i="14"/>
  <c r="A358" i="2"/>
  <c r="A359" i="2" s="1"/>
  <c r="A467" i="2"/>
  <c r="A468" i="2" s="1"/>
  <c r="A245" i="2"/>
  <c r="A246" i="2" s="1"/>
  <c r="E289" i="2"/>
  <c r="E279" i="2"/>
  <c r="L5" i="26"/>
  <c r="L6" i="26"/>
  <c r="N5" i="25"/>
  <c r="N6" i="25"/>
  <c r="L194" i="14" l="1"/>
  <c r="J196" i="14"/>
  <c r="J210" i="14" s="1"/>
  <c r="K176" i="14"/>
  <c r="R202" i="14"/>
  <c r="S218" i="14"/>
  <c r="S171" i="14"/>
  <c r="S182" i="14" s="1"/>
  <c r="V201" i="14"/>
  <c r="W181" i="14"/>
  <c r="M207" i="14"/>
  <c r="N191" i="14"/>
  <c r="V148" i="14"/>
  <c r="U149" i="14"/>
  <c r="N164" i="14"/>
  <c r="N193" i="14" s="1"/>
  <c r="N165" i="14"/>
  <c r="N175" i="14" s="1"/>
  <c r="N221" i="14"/>
  <c r="K206" i="14"/>
  <c r="L190" i="14"/>
  <c r="W217" i="14"/>
  <c r="W170" i="14"/>
  <c r="P157" i="14"/>
  <c r="P158" i="14" s="1"/>
  <c r="P159" i="14" s="1"/>
  <c r="P174" i="14" s="1"/>
  <c r="P185" i="14" s="1"/>
  <c r="P205" i="14" s="1"/>
  <c r="O124" i="14"/>
  <c r="Y141" i="14"/>
  <c r="X140" i="14"/>
  <c r="Z216" i="14"/>
  <c r="Z169" i="14"/>
  <c r="W200" i="14"/>
  <c r="X180" i="14"/>
  <c r="L208" i="14"/>
  <c r="M194" i="14"/>
  <c r="Y199" i="14"/>
  <c r="Z179" i="14"/>
  <c r="Z199" i="14" s="1"/>
  <c r="Y216" i="14"/>
  <c r="Y169" i="14"/>
  <c r="T150" i="14"/>
  <c r="U146" i="14"/>
  <c r="W144" i="14"/>
  <c r="V145" i="14"/>
  <c r="T147" i="14"/>
  <c r="T142" i="14" s="1"/>
  <c r="A469" i="2"/>
  <c r="A360" i="2"/>
  <c r="E290" i="2"/>
  <c r="E280" i="2"/>
  <c r="A247" i="2"/>
  <c r="A248" i="2" s="1"/>
  <c r="M6" i="26"/>
  <c r="M5" i="26"/>
  <c r="O5" i="25"/>
  <c r="O6" i="25"/>
  <c r="L176" i="14" l="1"/>
  <c r="K196" i="14"/>
  <c r="K210" i="14" s="1"/>
  <c r="S202" i="14"/>
  <c r="Q157" i="14"/>
  <c r="Q158" i="14" s="1"/>
  <c r="Q159" i="14" s="1"/>
  <c r="Q174" i="14" s="1"/>
  <c r="Q185" i="14" s="1"/>
  <c r="Q205" i="14" s="1"/>
  <c r="P124" i="14"/>
  <c r="W201" i="14"/>
  <c r="W148" i="14"/>
  <c r="V149" i="14"/>
  <c r="AC199" i="14" a="1"/>
  <c r="AC199" i="14" s="1"/>
  <c r="O191" i="14"/>
  <c r="N207" i="14"/>
  <c r="T218" i="14"/>
  <c r="T171" i="14"/>
  <c r="T182" i="14" s="1"/>
  <c r="L206" i="14"/>
  <c r="M190" i="14"/>
  <c r="X144" i="14"/>
  <c r="W145" i="14"/>
  <c r="M208" i="14"/>
  <c r="N194" i="14"/>
  <c r="X217" i="14"/>
  <c r="X170" i="14"/>
  <c r="X181" i="14" s="1"/>
  <c r="U150" i="14"/>
  <c r="U147" i="14" s="1"/>
  <c r="U142" i="14" s="1"/>
  <c r="V146" i="14"/>
  <c r="V143" i="14" s="1"/>
  <c r="Z141" i="14"/>
  <c r="Z140" i="14" s="1"/>
  <c r="Y140" i="14"/>
  <c r="U143" i="14"/>
  <c r="O164" i="14"/>
  <c r="O193" i="14" s="1"/>
  <c r="O165" i="14"/>
  <c r="O175" i="14" s="1"/>
  <c r="O221" i="14"/>
  <c r="X200" i="14"/>
  <c r="Y180" i="14"/>
  <c r="A361" i="2"/>
  <c r="A362" i="2" s="1"/>
  <c r="A470" i="2"/>
  <c r="A471" i="2" s="1"/>
  <c r="A249" i="2"/>
  <c r="A250" i="2" s="1"/>
  <c r="E281" i="2"/>
  <c r="E291" i="2"/>
  <c r="P5" i="25"/>
  <c r="P6" i="25"/>
  <c r="N6" i="26"/>
  <c r="N5" i="26"/>
  <c r="M176" i="14" l="1"/>
  <c r="L196" i="14"/>
  <c r="L210" i="14" s="1"/>
  <c r="X201" i="14"/>
  <c r="U218" i="14"/>
  <c r="U171" i="14"/>
  <c r="U182" i="14" s="1"/>
  <c r="T202" i="14"/>
  <c r="M206" i="14"/>
  <c r="N190" i="14"/>
  <c r="O207" i="14"/>
  <c r="P191" i="14"/>
  <c r="P164" i="14"/>
  <c r="P193" i="14" s="1"/>
  <c r="P165" i="14"/>
  <c r="P175" i="14" s="1"/>
  <c r="P221" i="14"/>
  <c r="R157" i="14"/>
  <c r="R158" i="14" s="1"/>
  <c r="R159" i="14" s="1"/>
  <c r="R174" i="14" s="1"/>
  <c r="R185" i="14" s="1"/>
  <c r="R205" i="14" s="1"/>
  <c r="Q124" i="14"/>
  <c r="Y200" i="14"/>
  <c r="AC200" i="14" s="1" a="1"/>
  <c r="AC200" i="14" s="1"/>
  <c r="Z180" i="14"/>
  <c r="Z200" i="14" s="1"/>
  <c r="Z217" i="14"/>
  <c r="Z170" i="14"/>
  <c r="Y217" i="14"/>
  <c r="Y170" i="14"/>
  <c r="Y181" i="14" s="1"/>
  <c r="N208" i="14"/>
  <c r="O194" i="14"/>
  <c r="X148" i="14"/>
  <c r="W149" i="14"/>
  <c r="V150" i="14"/>
  <c r="V147" i="14" s="1"/>
  <c r="V142" i="14" s="1"/>
  <c r="W146" i="14"/>
  <c r="W143" i="14" s="1"/>
  <c r="Y144" i="14"/>
  <c r="X145" i="14"/>
  <c r="A472" i="2"/>
  <c r="A473" i="2" s="1"/>
  <c r="A474" i="2" s="1"/>
  <c r="A475" i="2" s="1"/>
  <c r="A363" i="2"/>
  <c r="A364" i="2" s="1"/>
  <c r="A365" i="2" s="1"/>
  <c r="A366" i="2" s="1"/>
  <c r="A251" i="2"/>
  <c r="E282" i="2"/>
  <c r="E292" i="2"/>
  <c r="Q5" i="25"/>
  <c r="Q6" i="25"/>
  <c r="O6" i="26"/>
  <c r="O5" i="26"/>
  <c r="M196" i="14" l="1"/>
  <c r="M210" i="14" s="1"/>
  <c r="N176" i="14"/>
  <c r="Y201" i="14"/>
  <c r="Z181" i="14"/>
  <c r="Z201" i="14" s="1"/>
  <c r="U202" i="14"/>
  <c r="O190" i="14"/>
  <c r="N206" i="14"/>
  <c r="Z144" i="14"/>
  <c r="Z145" i="14" s="1"/>
  <c r="Y145" i="14"/>
  <c r="P194" i="14"/>
  <c r="O208" i="14"/>
  <c r="W150" i="14"/>
  <c r="W147" i="14" s="1"/>
  <c r="W142" i="14" s="1"/>
  <c r="X146" i="14"/>
  <c r="P207" i="14"/>
  <c r="Q191" i="14"/>
  <c r="Q164" i="14"/>
  <c r="Q193" i="14" s="1"/>
  <c r="Q165" i="14"/>
  <c r="Q175" i="14" s="1"/>
  <c r="Q221" i="14"/>
  <c r="Y148" i="14"/>
  <c r="X149" i="14"/>
  <c r="V218" i="14"/>
  <c r="V171" i="14"/>
  <c r="V182" i="14" s="1"/>
  <c r="S157" i="14"/>
  <c r="S158" i="14" s="1"/>
  <c r="S159" i="14" s="1"/>
  <c r="S174" i="14" s="1"/>
  <c r="S185" i="14" s="1"/>
  <c r="S205" i="14" s="1"/>
  <c r="R124" i="14"/>
  <c r="A367" i="2"/>
  <c r="A368" i="2" s="1"/>
  <c r="A369" i="2" s="1"/>
  <c r="A370" i="2" s="1"/>
  <c r="A476" i="2"/>
  <c r="A477" i="2" s="1"/>
  <c r="A478" i="2" s="1"/>
  <c r="A479" i="2" s="1"/>
  <c r="A252" i="2"/>
  <c r="A253" i="2" s="1"/>
  <c r="E293" i="2"/>
  <c r="E283" i="2"/>
  <c r="E294" i="2" s="1"/>
  <c r="P6" i="26"/>
  <c r="P5" i="26"/>
  <c r="R6" i="25"/>
  <c r="R5" i="25"/>
  <c r="AC201" i="14" l="1" a="1"/>
  <c r="AC201" i="14" s="1"/>
  <c r="N196" i="14"/>
  <c r="N210" i="14" s="1"/>
  <c r="O176" i="14"/>
  <c r="W218" i="14"/>
  <c r="W171" i="14"/>
  <c r="W182" i="14" s="1"/>
  <c r="V202" i="14"/>
  <c r="R164" i="14"/>
  <c r="R193" i="14" s="1"/>
  <c r="R165" i="14"/>
  <c r="R175" i="14" s="1"/>
  <c r="R221" i="14"/>
  <c r="R191" i="14"/>
  <c r="Q207" i="14"/>
  <c r="Q194" i="14"/>
  <c r="P208" i="14"/>
  <c r="T157" i="14"/>
  <c r="T158" i="14" s="1"/>
  <c r="T159" i="14" s="1"/>
  <c r="T174" i="14" s="1"/>
  <c r="T185" i="14" s="1"/>
  <c r="T205" i="14" s="1"/>
  <c r="S124" i="14"/>
  <c r="Z148" i="14"/>
  <c r="Z149" i="14" s="1"/>
  <c r="Y149" i="14"/>
  <c r="X150" i="14"/>
  <c r="Y146" i="14"/>
  <c r="Y143" i="14" s="1"/>
  <c r="X143" i="14"/>
  <c r="O206" i="14"/>
  <c r="P190" i="14"/>
  <c r="X147" i="14"/>
  <c r="X142" i="14" s="1"/>
  <c r="A480" i="2"/>
  <c r="A371" i="2"/>
  <c r="A254" i="2"/>
  <c r="A255" i="2" s="1"/>
  <c r="A256" i="2" s="1"/>
  <c r="A257" i="2" s="1"/>
  <c r="Q5" i="26"/>
  <c r="Q6" i="26"/>
  <c r="P176" i="14" l="1"/>
  <c r="O196" i="14"/>
  <c r="O210" i="14" s="1"/>
  <c r="X218" i="14"/>
  <c r="X171" i="14"/>
  <c r="X182" i="14" s="1"/>
  <c r="S165" i="14"/>
  <c r="S175" i="14" s="1"/>
  <c r="S164" i="14"/>
  <c r="S193" i="14" s="1"/>
  <c r="S221" i="14"/>
  <c r="U157" i="14"/>
  <c r="U158" i="14" s="1"/>
  <c r="U159" i="14" s="1"/>
  <c r="U174" i="14" s="1"/>
  <c r="U185" i="14" s="1"/>
  <c r="U205" i="14" s="1"/>
  <c r="T124" i="14"/>
  <c r="W202" i="14"/>
  <c r="P206" i="14"/>
  <c r="Q190" i="14"/>
  <c r="S191" i="14"/>
  <c r="R207" i="14"/>
  <c r="Y147" i="14"/>
  <c r="Y142" i="14" s="1"/>
  <c r="Q208" i="14"/>
  <c r="R194" i="14"/>
  <c r="Z146" i="14"/>
  <c r="Y150" i="14"/>
  <c r="A372" i="2"/>
  <c r="A373" i="2" s="1"/>
  <c r="A481" i="2"/>
  <c r="A482" i="2" s="1"/>
  <c r="A483" i="2" s="1"/>
  <c r="A258" i="2"/>
  <c r="A259" i="2" s="1"/>
  <c r="A260" i="2" s="1"/>
  <c r="A261" i="2" s="1"/>
  <c r="P196" i="14" l="1"/>
  <c r="P210" i="14" s="1"/>
  <c r="Q176" i="14"/>
  <c r="S207" i="14"/>
  <c r="T191" i="14"/>
  <c r="Z150" i="14"/>
  <c r="Z147" i="14" s="1"/>
  <c r="Z142" i="14" s="1"/>
  <c r="Z143" i="14"/>
  <c r="X202" i="14"/>
  <c r="Q206" i="14"/>
  <c r="R190" i="14"/>
  <c r="Y218" i="14"/>
  <c r="Y171" i="14"/>
  <c r="Y182" i="14" s="1"/>
  <c r="T165" i="14"/>
  <c r="T175" i="14" s="1"/>
  <c r="T164" i="14"/>
  <c r="T193" i="14" s="1"/>
  <c r="T221" i="14"/>
  <c r="R208" i="14"/>
  <c r="S194" i="14"/>
  <c r="V157" i="14"/>
  <c r="V158" i="14" s="1"/>
  <c r="V159" i="14" s="1"/>
  <c r="V174" i="14" s="1"/>
  <c r="V185" i="14" s="1"/>
  <c r="V205" i="14" s="1"/>
  <c r="U124" i="14"/>
  <c r="A484" i="2"/>
  <c r="A374" i="2"/>
  <c r="A262" i="2"/>
  <c r="Q196" i="14" l="1"/>
  <c r="Q210" i="14" s="1"/>
  <c r="R176" i="14"/>
  <c r="U191" i="14"/>
  <c r="T207" i="14"/>
  <c r="Y202" i="14"/>
  <c r="U165" i="14"/>
  <c r="U175" i="14" s="1"/>
  <c r="U164" i="14"/>
  <c r="U193" i="14" s="1"/>
  <c r="U221" i="14"/>
  <c r="W157" i="14"/>
  <c r="W158" i="14" s="1"/>
  <c r="W159" i="14" s="1"/>
  <c r="W174" i="14" s="1"/>
  <c r="W185" i="14" s="1"/>
  <c r="V124" i="14"/>
  <c r="S208" i="14"/>
  <c r="T194" i="14"/>
  <c r="Z218" i="14"/>
  <c r="Z171" i="14"/>
  <c r="Z182" i="14" s="1"/>
  <c r="Z202" i="14" s="1"/>
  <c r="AC202" i="14" s="1" a="1"/>
  <c r="AC202" i="14" s="1"/>
  <c r="R206" i="14"/>
  <c r="S190" i="14"/>
  <c r="A485" i="2"/>
  <c r="A375" i="2"/>
  <c r="A263" i="2"/>
  <c r="A264" i="2" s="1"/>
  <c r="R196" i="14" l="1"/>
  <c r="R210" i="14" s="1"/>
  <c r="S176" i="14"/>
  <c r="W205" i="14"/>
  <c r="U207" i="14"/>
  <c r="V191" i="14"/>
  <c r="V164" i="14"/>
  <c r="V193" i="14" s="1"/>
  <c r="V165" i="14"/>
  <c r="V175" i="14" s="1"/>
  <c r="V221" i="14"/>
  <c r="T208" i="14"/>
  <c r="U194" i="14"/>
  <c r="S206" i="14"/>
  <c r="T190" i="14"/>
  <c r="X157" i="14"/>
  <c r="X158" i="14" s="1"/>
  <c r="X159" i="14" s="1"/>
  <c r="X174" i="14" s="1"/>
  <c r="X185" i="14" s="1"/>
  <c r="W124" i="14"/>
  <c r="A376" i="2"/>
  <c r="A486" i="2"/>
  <c r="A487" i="2" s="1"/>
  <c r="A488" i="2" s="1"/>
  <c r="A489" i="2" s="1"/>
  <c r="A265" i="2"/>
  <c r="X205" i="14" l="1"/>
  <c r="S196" i="14"/>
  <c r="S210" i="14" s="1"/>
  <c r="T176" i="14"/>
  <c r="T206" i="14"/>
  <c r="U190" i="14"/>
  <c r="W191" i="14"/>
  <c r="V207" i="14"/>
  <c r="Y157" i="14"/>
  <c r="Y158" i="14" s="1"/>
  <c r="Y159" i="14" s="1"/>
  <c r="Y174" i="14" s="1"/>
  <c r="Y185" i="14" s="1"/>
  <c r="Y205" i="14" s="1"/>
  <c r="X124" i="14"/>
  <c r="U208" i="14"/>
  <c r="V194" i="14"/>
  <c r="W164" i="14"/>
  <c r="W193" i="14" s="1"/>
  <c r="W165" i="14"/>
  <c r="W175" i="14" s="1"/>
  <c r="W221" i="14"/>
  <c r="F489" i="2"/>
  <c r="A490" i="2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377" i="2"/>
  <c r="A378" i="2" s="1"/>
  <c r="A379" i="2" s="1"/>
  <c r="A380" i="2" s="1"/>
  <c r="A266" i="2"/>
  <c r="T196" i="14" l="1"/>
  <c r="T210" i="14" s="1"/>
  <c r="U176" i="14"/>
  <c r="X164" i="14"/>
  <c r="X193" i="14" s="1"/>
  <c r="X165" i="14"/>
  <c r="X175" i="14" s="1"/>
  <c r="X221" i="14"/>
  <c r="Z157" i="14"/>
  <c r="Y124" i="14"/>
  <c r="W207" i="14"/>
  <c r="X191" i="14"/>
  <c r="V208" i="14"/>
  <c r="W194" i="14"/>
  <c r="U206" i="14"/>
  <c r="V190" i="14"/>
  <c r="A381" i="2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F380" i="2"/>
  <c r="H456" i="2"/>
  <c r="I456" i="2"/>
  <c r="F515" i="2"/>
  <c r="F518" i="2" s="1"/>
  <c r="U456" i="2"/>
  <c r="Q456" i="2"/>
  <c r="Y456" i="2"/>
  <c r="N456" i="2"/>
  <c r="V456" i="2"/>
  <c r="G456" i="2"/>
  <c r="Z456" i="2"/>
  <c r="AA456" i="2"/>
  <c r="R456" i="2"/>
  <c r="T456" i="2"/>
  <c r="W456" i="2"/>
  <c r="F488" i="2"/>
  <c r="M456" i="2"/>
  <c r="O456" i="2"/>
  <c r="L456" i="2"/>
  <c r="J456" i="2"/>
  <c r="S456" i="2"/>
  <c r="X456" i="2"/>
  <c r="K456" i="2"/>
  <c r="P456" i="2"/>
  <c r="A267" i="2"/>
  <c r="V176" i="14" l="1"/>
  <c r="U196" i="14"/>
  <c r="Z158" i="14"/>
  <c r="Z159" i="14" s="1"/>
  <c r="Z174" i="14" s="1"/>
  <c r="Z185" i="14" s="1"/>
  <c r="Z205" i="14" s="1"/>
  <c r="AC205" i="14" s="1" a="1"/>
  <c r="AC205" i="14" s="1"/>
  <c r="U210" i="14"/>
  <c r="W190" i="14"/>
  <c r="V206" i="14"/>
  <c r="Y164" i="14"/>
  <c r="Y193" i="14" s="1"/>
  <c r="Y165" i="14"/>
  <c r="Y175" i="14" s="1"/>
  <c r="Y221" i="14"/>
  <c r="X194" i="14"/>
  <c r="W208" i="14"/>
  <c r="X207" i="14"/>
  <c r="Y191" i="14"/>
  <c r="F491" i="2"/>
  <c r="F520" i="2" s="1"/>
  <c r="F521" i="2" s="1"/>
  <c r="F514" i="2"/>
  <c r="AA347" i="2"/>
  <c r="H347" i="2"/>
  <c r="N347" i="2"/>
  <c r="F379" i="2"/>
  <c r="M347" i="2"/>
  <c r="I347" i="2"/>
  <c r="R347" i="2"/>
  <c r="V347" i="2"/>
  <c r="J347" i="2"/>
  <c r="Y347" i="2"/>
  <c r="S347" i="2"/>
  <c r="Q347" i="2"/>
  <c r="G347" i="2"/>
  <c r="Z347" i="2"/>
  <c r="U347" i="2"/>
  <c r="O347" i="2"/>
  <c r="F406" i="2"/>
  <c r="F409" i="2" s="1"/>
  <c r="T347" i="2"/>
  <c r="P347" i="2"/>
  <c r="W347" i="2"/>
  <c r="X347" i="2"/>
  <c r="K347" i="2"/>
  <c r="L347" i="2"/>
  <c r="A268" i="2"/>
  <c r="A269" i="2" s="1"/>
  <c r="A270" i="2" s="1"/>
  <c r="A271" i="2" s="1"/>
  <c r="Z124" i="14" l="1"/>
  <c r="V196" i="14"/>
  <c r="V210" i="14" s="1"/>
  <c r="W176" i="14"/>
  <c r="Y194" i="14"/>
  <c r="X208" i="14"/>
  <c r="Z191" i="14"/>
  <c r="Z207" i="14" s="1"/>
  <c r="Y207" i="14"/>
  <c r="W206" i="14"/>
  <c r="X190" i="14"/>
  <c r="F405" i="2"/>
  <c r="F382" i="2"/>
  <c r="F411" i="2" s="1"/>
  <c r="F412" i="2" s="1"/>
  <c r="F517" i="2"/>
  <c r="F516" i="2"/>
  <c r="A272" i="2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X176" i="14" l="1"/>
  <c r="W196" i="14"/>
  <c r="W210" i="14" s="1"/>
  <c r="AC207" i="14" a="1"/>
  <c r="AC207" i="14" s="1"/>
  <c r="Z165" i="14"/>
  <c r="Z175" i="14" s="1"/>
  <c r="C115" i="14" s="1"/>
  <c r="Z221" i="14"/>
  <c r="Z164" i="14"/>
  <c r="Z193" i="14" s="1"/>
  <c r="Z194" i="14" s="1"/>
  <c r="Z208" i="14" s="1"/>
  <c r="AC208" i="14" s="1" a="1"/>
  <c r="AC208" i="14" s="1"/>
  <c r="X206" i="14"/>
  <c r="Y190" i="14"/>
  <c r="Y208" i="14"/>
  <c r="F407" i="2"/>
  <c r="F408" i="2"/>
  <c r="L36" i="10"/>
  <c r="C9" i="10"/>
  <c r="B9" i="10"/>
  <c r="R34" i="12"/>
  <c r="R35" i="12"/>
  <c r="R36" i="12"/>
  <c r="Y176" i="14" l="1"/>
  <c r="X196" i="14"/>
  <c r="X210" i="14" s="1"/>
  <c r="Y206" i="14"/>
  <c r="Z190" i="14"/>
  <c r="Z206" i="14" s="1"/>
  <c r="F271" i="2"/>
  <c r="AC206" i="14" l="1" a="1"/>
  <c r="AC206" i="14" s="1"/>
  <c r="Z176" i="14"/>
  <c r="Z196" i="14" s="1"/>
  <c r="Y196" i="14"/>
  <c r="Y210" i="14" s="1"/>
  <c r="X238" i="2"/>
  <c r="Y238" i="2"/>
  <c r="U238" i="2"/>
  <c r="W238" i="2"/>
  <c r="S238" i="2"/>
  <c r="V238" i="2"/>
  <c r="Z238" i="2"/>
  <c r="F270" i="2"/>
  <c r="F297" i="2"/>
  <c r="F300" i="2" s="1"/>
  <c r="T238" i="2"/>
  <c r="G128" i="2"/>
  <c r="G127" i="2"/>
  <c r="G126" i="2"/>
  <c r="D115" i="2"/>
  <c r="A117" i="2" s="1"/>
  <c r="A118" i="2" s="1"/>
  <c r="T118" i="2" s="1"/>
  <c r="E208" i="2"/>
  <c r="E212" i="2" s="1"/>
  <c r="E213" i="2" s="1"/>
  <c r="E214" i="2" s="1"/>
  <c r="E215" i="2" s="1"/>
  <c r="E216" i="2" s="1"/>
  <c r="E217" i="2" s="1"/>
  <c r="E218" i="2" s="1"/>
  <c r="E219" i="2" s="1"/>
  <c r="E220" i="2" s="1"/>
  <c r="B208" i="2"/>
  <c r="E206" i="2"/>
  <c r="E207" i="2" s="1"/>
  <c r="B206" i="2"/>
  <c r="E197" i="2"/>
  <c r="E198" i="2" s="1"/>
  <c r="E199" i="2" s="1"/>
  <c r="E200" i="2" s="1"/>
  <c r="E201" i="2" s="1"/>
  <c r="E202" i="2" s="1"/>
  <c r="E203" i="2" s="1"/>
  <c r="E204" i="2" s="1"/>
  <c r="E205" i="2" s="1"/>
  <c r="B196" i="2"/>
  <c r="D188" i="2"/>
  <c r="D191" i="2" s="1"/>
  <c r="D207" i="2" s="1"/>
  <c r="B207" i="2" s="1"/>
  <c r="F185" i="2"/>
  <c r="F184" i="2"/>
  <c r="F183" i="2"/>
  <c r="F182" i="2"/>
  <c r="F181" i="2"/>
  <c r="F180" i="2"/>
  <c r="F179" i="2"/>
  <c r="F178" i="2"/>
  <c r="F177" i="2"/>
  <c r="F176" i="2"/>
  <c r="D174" i="2"/>
  <c r="D185" i="2" s="1"/>
  <c r="D205" i="2" s="1"/>
  <c r="B205" i="2" s="1"/>
  <c r="D173" i="2"/>
  <c r="D184" i="2" s="1"/>
  <c r="D204" i="2" s="1"/>
  <c r="D172" i="2"/>
  <c r="D183" i="2" s="1"/>
  <c r="D203" i="2" s="1"/>
  <c r="D171" i="2"/>
  <c r="D182" i="2" s="1"/>
  <c r="D202" i="2" s="1"/>
  <c r="D170" i="2"/>
  <c r="D181" i="2" s="1"/>
  <c r="D201" i="2" s="1"/>
  <c r="D169" i="2"/>
  <c r="D180" i="2" s="1"/>
  <c r="D200" i="2" s="1"/>
  <c r="D168" i="2"/>
  <c r="D179" i="2" s="1"/>
  <c r="D199" i="2" s="1"/>
  <c r="D215" i="2" s="1"/>
  <c r="D167" i="2"/>
  <c r="D178" i="2" s="1"/>
  <c r="D198" i="2" s="1"/>
  <c r="D166" i="2"/>
  <c r="D177" i="2" s="1"/>
  <c r="D197" i="2" s="1"/>
  <c r="E164" i="2"/>
  <c r="E165" i="2" s="1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E161" i="2"/>
  <c r="E162" i="2" s="1"/>
  <c r="E159" i="2"/>
  <c r="E158" i="2"/>
  <c r="E157" i="2"/>
  <c r="E154" i="2"/>
  <c r="E151" i="2"/>
  <c r="E152" i="2" s="1"/>
  <c r="E142" i="2"/>
  <c r="E143" i="2" s="1"/>
  <c r="E147" i="2" s="1"/>
  <c r="E140" i="2"/>
  <c r="E136" i="2"/>
  <c r="E132" i="2"/>
  <c r="E130" i="2"/>
  <c r="E125" i="2"/>
  <c r="F124" i="2"/>
  <c r="E122" i="2"/>
  <c r="E119" i="2"/>
  <c r="G117" i="2"/>
  <c r="E117" i="2"/>
  <c r="D117" i="2"/>
  <c r="F115" i="2"/>
  <c r="Q83" i="21"/>
  <c r="F83" i="21"/>
  <c r="G83" i="21"/>
  <c r="H83" i="21"/>
  <c r="I83" i="21"/>
  <c r="J83" i="21"/>
  <c r="K83" i="21"/>
  <c r="L83" i="21"/>
  <c r="M83" i="21"/>
  <c r="N83" i="21"/>
  <c r="O83" i="21"/>
  <c r="P83" i="21"/>
  <c r="E83" i="21"/>
  <c r="T33" i="21"/>
  <c r="T32" i="21"/>
  <c r="T31" i="21"/>
  <c r="T30" i="21"/>
  <c r="T29" i="21"/>
  <c r="T28" i="21"/>
  <c r="S33" i="21"/>
  <c r="S32" i="21"/>
  <c r="S31" i="21"/>
  <c r="S30" i="21"/>
  <c r="S29" i="21"/>
  <c r="S28" i="21"/>
  <c r="E10" i="8"/>
  <c r="Q63" i="23"/>
  <c r="P63" i="23"/>
  <c r="O63" i="23"/>
  <c r="N63" i="23"/>
  <c r="M63" i="23"/>
  <c r="L63" i="23"/>
  <c r="K63" i="23"/>
  <c r="J63" i="23"/>
  <c r="I63" i="23"/>
  <c r="H63" i="23"/>
  <c r="G63" i="23"/>
  <c r="F63" i="23"/>
  <c r="N61" i="23"/>
  <c r="K61" i="23"/>
  <c r="H61" i="23"/>
  <c r="Q59" i="23"/>
  <c r="P59" i="23"/>
  <c r="O59" i="23"/>
  <c r="N59" i="23"/>
  <c r="M59" i="23"/>
  <c r="L59" i="23"/>
  <c r="K59" i="23"/>
  <c r="J59" i="23"/>
  <c r="I59" i="23"/>
  <c r="H59" i="23"/>
  <c r="G59" i="23"/>
  <c r="F59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P55" i="23"/>
  <c r="O55" i="23"/>
  <c r="M55" i="23"/>
  <c r="L55" i="23"/>
  <c r="K55" i="23"/>
  <c r="J55" i="23"/>
  <c r="I55" i="23"/>
  <c r="H55" i="23"/>
  <c r="G55" i="23"/>
  <c r="P54" i="23"/>
  <c r="O54" i="23"/>
  <c r="M54" i="23"/>
  <c r="L54" i="23"/>
  <c r="K54" i="23"/>
  <c r="J54" i="23"/>
  <c r="I54" i="23"/>
  <c r="H54" i="23"/>
  <c r="G54" i="23"/>
  <c r="P53" i="23"/>
  <c r="O53" i="23"/>
  <c r="M53" i="23"/>
  <c r="L53" i="23"/>
  <c r="K53" i="23"/>
  <c r="J53" i="23"/>
  <c r="I53" i="23"/>
  <c r="H53" i="23"/>
  <c r="G53" i="23"/>
  <c r="P52" i="23"/>
  <c r="O52" i="23"/>
  <c r="M52" i="23"/>
  <c r="L52" i="23"/>
  <c r="K52" i="23"/>
  <c r="J52" i="23"/>
  <c r="I52" i="23"/>
  <c r="H52" i="23"/>
  <c r="G52" i="23"/>
  <c r="P51" i="23"/>
  <c r="O51" i="23"/>
  <c r="M51" i="23"/>
  <c r="L51" i="23"/>
  <c r="K51" i="23"/>
  <c r="J51" i="23"/>
  <c r="I51" i="23"/>
  <c r="H51" i="23"/>
  <c r="G51" i="23"/>
  <c r="P50" i="23"/>
  <c r="O50" i="23"/>
  <c r="M50" i="23"/>
  <c r="L50" i="23"/>
  <c r="K50" i="23"/>
  <c r="J50" i="23"/>
  <c r="I50" i="23"/>
  <c r="H50" i="23"/>
  <c r="G50" i="23"/>
  <c r="P49" i="23"/>
  <c r="O49" i="23"/>
  <c r="M49" i="23"/>
  <c r="L49" i="23"/>
  <c r="K49" i="23"/>
  <c r="J49" i="23"/>
  <c r="I49" i="23"/>
  <c r="H49" i="23"/>
  <c r="G49" i="23"/>
  <c r="P48" i="23"/>
  <c r="O48" i="23"/>
  <c r="M48" i="23"/>
  <c r="L48" i="23"/>
  <c r="K48" i="23"/>
  <c r="J48" i="23"/>
  <c r="I48" i="23"/>
  <c r="H48" i="23"/>
  <c r="G48" i="23"/>
  <c r="P47" i="23"/>
  <c r="O47" i="23"/>
  <c r="M47" i="23"/>
  <c r="L47" i="23"/>
  <c r="K47" i="23"/>
  <c r="J47" i="23"/>
  <c r="I47" i="23"/>
  <c r="H47" i="23"/>
  <c r="G47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Q44" i="23"/>
  <c r="P44" i="23"/>
  <c r="P33" i="23" s="1"/>
  <c r="O44" i="23"/>
  <c r="N44" i="23"/>
  <c r="M44" i="23"/>
  <c r="L44" i="23"/>
  <c r="L33" i="23" s="1"/>
  <c r="L11" i="23" s="1"/>
  <c r="K44" i="23"/>
  <c r="J44" i="23"/>
  <c r="I44" i="23"/>
  <c r="H44" i="23"/>
  <c r="H33" i="23" s="1"/>
  <c r="G44" i="23"/>
  <c r="F44" i="23"/>
  <c r="O43" i="23"/>
  <c r="M43" i="23"/>
  <c r="K43" i="23"/>
  <c r="I43" i="23"/>
  <c r="G43" i="23"/>
  <c r="O42" i="23"/>
  <c r="M42" i="23"/>
  <c r="K42" i="23"/>
  <c r="I42" i="23"/>
  <c r="G42" i="23"/>
  <c r="O41" i="23"/>
  <c r="M41" i="23"/>
  <c r="K41" i="23"/>
  <c r="I41" i="23"/>
  <c r="G41" i="23"/>
  <c r="O40" i="23"/>
  <c r="M40" i="23"/>
  <c r="K40" i="23"/>
  <c r="I40" i="23"/>
  <c r="G40" i="23"/>
  <c r="O39" i="23"/>
  <c r="M39" i="23"/>
  <c r="K39" i="23"/>
  <c r="I39" i="23"/>
  <c r="G39" i="23"/>
  <c r="O38" i="23"/>
  <c r="M38" i="23"/>
  <c r="K38" i="23"/>
  <c r="I38" i="23"/>
  <c r="G38" i="23"/>
  <c r="O37" i="23"/>
  <c r="M37" i="23"/>
  <c r="K37" i="23"/>
  <c r="I37" i="23"/>
  <c r="G37" i="23"/>
  <c r="P35" i="23"/>
  <c r="N35" i="23"/>
  <c r="M35" i="23"/>
  <c r="K35" i="23"/>
  <c r="K33" i="23" s="1"/>
  <c r="J35" i="23"/>
  <c r="H35" i="23"/>
  <c r="G35" i="23"/>
  <c r="N33" i="23"/>
  <c r="M33" i="23"/>
  <c r="J33" i="23"/>
  <c r="F33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Q30" i="23"/>
  <c r="Q29" i="23" s="1"/>
  <c r="Q10" i="23" s="1"/>
  <c r="P30" i="23"/>
  <c r="P29" i="23" s="1"/>
  <c r="P10" i="23" s="1"/>
  <c r="O30" i="23"/>
  <c r="N30" i="23"/>
  <c r="N29" i="23" s="1"/>
  <c r="N10" i="23" s="1"/>
  <c r="M30" i="23"/>
  <c r="L30" i="23"/>
  <c r="K30" i="23"/>
  <c r="K29" i="23" s="1"/>
  <c r="K10" i="23" s="1"/>
  <c r="J30" i="23"/>
  <c r="I30" i="23"/>
  <c r="I29" i="23" s="1"/>
  <c r="I10" i="23" s="1"/>
  <c r="H30" i="23"/>
  <c r="H29" i="23" s="1"/>
  <c r="H10" i="23" s="1"/>
  <c r="G30" i="23"/>
  <c r="F30" i="23"/>
  <c r="F29" i="23" s="1"/>
  <c r="F10" i="23" s="1"/>
  <c r="O29" i="23"/>
  <c r="M29" i="23"/>
  <c r="M10" i="23" s="1"/>
  <c r="L29" i="23"/>
  <c r="G29" i="23"/>
  <c r="D26" i="23"/>
  <c r="D25" i="23"/>
  <c r="B25" i="23"/>
  <c r="D24" i="23"/>
  <c r="B24" i="23"/>
  <c r="B23" i="23"/>
  <c r="D21" i="23"/>
  <c r="D23" i="23" s="1"/>
  <c r="Q16" i="23"/>
  <c r="Q8" i="23" s="1"/>
  <c r="P16" i="23"/>
  <c r="P8" i="23" s="1"/>
  <c r="O16" i="23"/>
  <c r="N16" i="23"/>
  <c r="M16" i="23"/>
  <c r="L16" i="23"/>
  <c r="K16" i="23"/>
  <c r="J16" i="23"/>
  <c r="I16" i="23"/>
  <c r="I8" i="23" s="1"/>
  <c r="H16" i="23"/>
  <c r="H8" i="23" s="1"/>
  <c r="G16" i="23"/>
  <c r="F16" i="23"/>
  <c r="P11" i="23"/>
  <c r="K11" i="23"/>
  <c r="J11" i="23"/>
  <c r="H11" i="23"/>
  <c r="F11" i="23"/>
  <c r="O10" i="23"/>
  <c r="L10" i="23"/>
  <c r="G10" i="23"/>
  <c r="O8" i="23"/>
  <c r="N8" i="23"/>
  <c r="M8" i="23"/>
  <c r="L8" i="23"/>
  <c r="K8" i="23"/>
  <c r="J8" i="23"/>
  <c r="G8" i="23"/>
  <c r="F8" i="23"/>
  <c r="F6" i="23"/>
  <c r="G6" i="23" s="1"/>
  <c r="H6" i="23" s="1"/>
  <c r="E6" i="23"/>
  <c r="G5" i="23"/>
  <c r="H4" i="23"/>
  <c r="I4" i="23" s="1"/>
  <c r="J4" i="23" s="1"/>
  <c r="K4" i="23" s="1"/>
  <c r="L4" i="23" s="1"/>
  <c r="M4" i="23" s="1"/>
  <c r="N4" i="23" s="1"/>
  <c r="O4" i="23" s="1"/>
  <c r="P4" i="23" s="1"/>
  <c r="Q4" i="23" s="1"/>
  <c r="G4" i="23"/>
  <c r="P107" i="22"/>
  <c r="J103" i="22"/>
  <c r="I99" i="22"/>
  <c r="H99" i="22"/>
  <c r="R94" i="22"/>
  <c r="N90" i="22"/>
  <c r="M90" i="22"/>
  <c r="L86" i="22"/>
  <c r="J86" i="22"/>
  <c r="R81" i="22"/>
  <c r="Q77" i="22"/>
  <c r="P77" i="22"/>
  <c r="F76" i="22"/>
  <c r="E76" i="22"/>
  <c r="H74" i="22"/>
  <c r="K73" i="22"/>
  <c r="M70" i="22"/>
  <c r="P69" i="22"/>
  <c r="L63" i="22"/>
  <c r="P60" i="22"/>
  <c r="L57" i="22"/>
  <c r="R55" i="22"/>
  <c r="L55" i="22"/>
  <c r="R53" i="22"/>
  <c r="H52" i="22"/>
  <c r="N50" i="22"/>
  <c r="H50" i="22"/>
  <c r="N48" i="22"/>
  <c r="F47" i="22"/>
  <c r="E47" i="22"/>
  <c r="L46" i="22"/>
  <c r="R45" i="22"/>
  <c r="J45" i="22"/>
  <c r="M44" i="22"/>
  <c r="L44" i="22"/>
  <c r="P43" i="22"/>
  <c r="M42" i="22"/>
  <c r="Q41" i="22"/>
  <c r="H41" i="22"/>
  <c r="N40" i="22"/>
  <c r="R39" i="22"/>
  <c r="J39" i="22"/>
  <c r="O38" i="22"/>
  <c r="N38" i="22"/>
  <c r="R37" i="22"/>
  <c r="J37" i="22"/>
  <c r="N36" i="22"/>
  <c r="R35" i="22"/>
  <c r="J35" i="22"/>
  <c r="O34" i="22"/>
  <c r="N34" i="22"/>
  <c r="R33" i="22"/>
  <c r="O33" i="22"/>
  <c r="J33" i="22"/>
  <c r="G33" i="22"/>
  <c r="F31" i="22"/>
  <c r="E31" i="22"/>
  <c r="Q30" i="22"/>
  <c r="M30" i="22"/>
  <c r="L30" i="22"/>
  <c r="I30" i="22"/>
  <c r="Q29" i="22"/>
  <c r="P29" i="22"/>
  <c r="M29" i="22"/>
  <c r="I29" i="22"/>
  <c r="H29" i="22"/>
  <c r="Q28" i="22"/>
  <c r="M28" i="22"/>
  <c r="L28" i="22"/>
  <c r="I28" i="22"/>
  <c r="Q27" i="22"/>
  <c r="P27" i="22"/>
  <c r="M27" i="22"/>
  <c r="I27" i="22"/>
  <c r="H27" i="22"/>
  <c r="Q26" i="22"/>
  <c r="M26" i="22"/>
  <c r="L26" i="22"/>
  <c r="I26" i="22"/>
  <c r="Q25" i="22"/>
  <c r="P25" i="22"/>
  <c r="M25" i="22"/>
  <c r="I25" i="22"/>
  <c r="H25" i="22"/>
  <c r="Q24" i="22"/>
  <c r="M24" i="22"/>
  <c r="L24" i="22"/>
  <c r="I24" i="22"/>
  <c r="Q23" i="22"/>
  <c r="P23" i="22"/>
  <c r="M23" i="22"/>
  <c r="I23" i="22"/>
  <c r="H23" i="22"/>
  <c r="Q22" i="22"/>
  <c r="M22" i="22"/>
  <c r="L22" i="22"/>
  <c r="I22" i="22"/>
  <c r="F21" i="22"/>
  <c r="E21" i="22"/>
  <c r="R17" i="22"/>
  <c r="R95" i="22" s="1"/>
  <c r="Q17" i="22"/>
  <c r="Q95" i="22" s="1"/>
  <c r="P17" i="22"/>
  <c r="O17" i="22"/>
  <c r="O94" i="22" s="1"/>
  <c r="N17" i="22"/>
  <c r="N107" i="22" s="1"/>
  <c r="M17" i="22"/>
  <c r="M106" i="22" s="1"/>
  <c r="L17" i="22"/>
  <c r="L88" i="22" s="1"/>
  <c r="K17" i="22"/>
  <c r="K103" i="22" s="1"/>
  <c r="J17" i="22"/>
  <c r="J100" i="22" s="1"/>
  <c r="I17" i="22"/>
  <c r="H17" i="22"/>
  <c r="G17" i="22"/>
  <c r="R16" i="22"/>
  <c r="Q16" i="22"/>
  <c r="Q75" i="22" s="1"/>
  <c r="P16" i="22"/>
  <c r="P68" i="22" s="1"/>
  <c r="O16" i="22"/>
  <c r="O62" i="22" s="1"/>
  <c r="N16" i="22"/>
  <c r="N54" i="22" s="1"/>
  <c r="M16" i="22"/>
  <c r="L16" i="22"/>
  <c r="K16" i="22"/>
  <c r="K57" i="22" s="1"/>
  <c r="J16" i="22"/>
  <c r="J66" i="22" s="1"/>
  <c r="I16" i="22"/>
  <c r="I65" i="22" s="1"/>
  <c r="H16" i="22"/>
  <c r="H60" i="22" s="1"/>
  <c r="G16" i="22"/>
  <c r="G52" i="22" s="1"/>
  <c r="R15" i="22"/>
  <c r="Q15" i="22"/>
  <c r="P15" i="22"/>
  <c r="O15" i="22"/>
  <c r="O35" i="22" s="1"/>
  <c r="N15" i="22"/>
  <c r="N42" i="22" s="1"/>
  <c r="M15" i="22"/>
  <c r="M39" i="22" s="1"/>
  <c r="L15" i="22"/>
  <c r="L39" i="22" s="1"/>
  <c r="K15" i="22"/>
  <c r="K39" i="22" s="1"/>
  <c r="J15" i="22"/>
  <c r="J41" i="22" s="1"/>
  <c r="I15" i="22"/>
  <c r="I41" i="22" s="1"/>
  <c r="H15" i="22"/>
  <c r="G15" i="22"/>
  <c r="G38" i="22" s="1"/>
  <c r="R14" i="22"/>
  <c r="Q14" i="22"/>
  <c r="P14" i="22"/>
  <c r="P30" i="22" s="1"/>
  <c r="O14" i="22"/>
  <c r="O10" i="22" s="1"/>
  <c r="M32" i="21" s="1"/>
  <c r="N14" i="22"/>
  <c r="N29" i="22" s="1"/>
  <c r="M14" i="22"/>
  <c r="L14" i="22"/>
  <c r="L29" i="22" s="1"/>
  <c r="K14" i="22"/>
  <c r="K13" i="22" s="1"/>
  <c r="K7" i="22" s="1"/>
  <c r="I7" i="21" s="1"/>
  <c r="J14" i="22"/>
  <c r="I14" i="22"/>
  <c r="H14" i="22"/>
  <c r="H30" i="22" s="1"/>
  <c r="G14" i="22"/>
  <c r="G13" i="22" s="1"/>
  <c r="G7" i="22" s="1"/>
  <c r="E7" i="21" s="1"/>
  <c r="Q13" i="22"/>
  <c r="P13" i="22"/>
  <c r="O13" i="22"/>
  <c r="O7" i="22" s="1"/>
  <c r="M7" i="21" s="1"/>
  <c r="N13" i="22"/>
  <c r="N7" i="22" s="1"/>
  <c r="L7" i="21" s="1"/>
  <c r="M13" i="22"/>
  <c r="L13" i="22"/>
  <c r="I13" i="22"/>
  <c r="H13" i="22"/>
  <c r="R10" i="22"/>
  <c r="P32" i="21" s="1"/>
  <c r="Q10" i="22"/>
  <c r="P10" i="22"/>
  <c r="M10" i="22"/>
  <c r="L10" i="22"/>
  <c r="J10" i="22"/>
  <c r="H32" i="21" s="1"/>
  <c r="I10" i="22"/>
  <c r="H10" i="22"/>
  <c r="Q7" i="22"/>
  <c r="P7" i="22"/>
  <c r="M7" i="22"/>
  <c r="L7" i="22"/>
  <c r="I7" i="22"/>
  <c r="H7" i="22"/>
  <c r="G6" i="22"/>
  <c r="G4" i="22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O32" i="21"/>
  <c r="N32" i="21"/>
  <c r="K32" i="21"/>
  <c r="J32" i="21"/>
  <c r="G32" i="21"/>
  <c r="F32" i="21"/>
  <c r="O31" i="21"/>
  <c r="K31" i="21"/>
  <c r="J31" i="21"/>
  <c r="I31" i="21"/>
  <c r="G31" i="21"/>
  <c r="E31" i="21"/>
  <c r="P30" i="21"/>
  <c r="O30" i="21"/>
  <c r="N30" i="21"/>
  <c r="M30" i="21"/>
  <c r="L30" i="21"/>
  <c r="K30" i="21"/>
  <c r="J30" i="21"/>
  <c r="H30" i="21"/>
  <c r="G30" i="21"/>
  <c r="F30" i="21"/>
  <c r="E30" i="21"/>
  <c r="P8" i="21"/>
  <c r="O8" i="21"/>
  <c r="N8" i="21"/>
  <c r="M8" i="21"/>
  <c r="L8" i="21"/>
  <c r="K8" i="21"/>
  <c r="J8" i="21"/>
  <c r="I8" i="21"/>
  <c r="H8" i="21"/>
  <c r="G8" i="21"/>
  <c r="F8" i="21"/>
  <c r="E8" i="21"/>
  <c r="O7" i="21"/>
  <c r="O9" i="21" s="1"/>
  <c r="O6" i="21" s="1"/>
  <c r="P3" i="23" s="1"/>
  <c r="N7" i="21"/>
  <c r="N9" i="21" s="1"/>
  <c r="K7" i="21"/>
  <c r="K9" i="21" s="1"/>
  <c r="J7" i="21"/>
  <c r="J9" i="21" s="1"/>
  <c r="G7" i="21"/>
  <c r="G9" i="21" s="1"/>
  <c r="F7" i="21"/>
  <c r="F9" i="21" s="1"/>
  <c r="N6" i="21"/>
  <c r="O3" i="23" s="1"/>
  <c r="K6" i="21"/>
  <c r="L3" i="23" s="1"/>
  <c r="G6" i="21"/>
  <c r="H3" i="23" s="1"/>
  <c r="F6" i="21"/>
  <c r="G3" i="23" s="1"/>
  <c r="A5" i="21"/>
  <c r="A6" i="21" s="1"/>
  <c r="A7" i="21" s="1"/>
  <c r="A8" i="21" s="1"/>
  <c r="A10" i="21" s="1"/>
  <c r="A11" i="21" s="1"/>
  <c r="A12" i="21" s="1"/>
  <c r="A13" i="21" s="1"/>
  <c r="A14" i="21" s="1"/>
  <c r="A17" i="21" s="1"/>
  <c r="A18" i="21" s="1"/>
  <c r="A19" i="21" s="1"/>
  <c r="A21" i="21" s="1"/>
  <c r="A22" i="21" s="1"/>
  <c r="A23" i="21" s="1"/>
  <c r="A24" i="21" s="1"/>
  <c r="A25" i="21" s="1"/>
  <c r="A26" i="21" s="1"/>
  <c r="A28" i="21" s="1"/>
  <c r="A29" i="21" s="1"/>
  <c r="A30" i="21" s="1"/>
  <c r="A31" i="21" s="1"/>
  <c r="A32" i="21" s="1"/>
  <c r="A33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8" i="21" s="1"/>
  <c r="A79" i="21" s="1"/>
  <c r="A80" i="21" s="1"/>
  <c r="E4" i="21"/>
  <c r="F4" i="21" s="1"/>
  <c r="G4" i="21" s="1"/>
  <c r="H4" i="21" s="1"/>
  <c r="I4" i="21" s="1"/>
  <c r="J4" i="21" s="1"/>
  <c r="K4" i="21" s="1"/>
  <c r="L4" i="21" s="1"/>
  <c r="M4" i="21" s="1"/>
  <c r="N4" i="21" s="1"/>
  <c r="O4" i="21" s="1"/>
  <c r="P4" i="21" s="1"/>
  <c r="AC196" i="14" l="1" a="1"/>
  <c r="AC196" i="14" s="1"/>
  <c r="Z210" i="14"/>
  <c r="F273" i="2"/>
  <c r="F302" i="2" s="1"/>
  <c r="F303" i="2" s="1"/>
  <c r="F296" i="2"/>
  <c r="J118" i="2"/>
  <c r="L118" i="2"/>
  <c r="R118" i="2"/>
  <c r="Y118" i="2"/>
  <c r="Q118" i="2"/>
  <c r="I118" i="2"/>
  <c r="G118" i="2"/>
  <c r="X118" i="2"/>
  <c r="P118" i="2"/>
  <c r="H118" i="2"/>
  <c r="O118" i="2"/>
  <c r="W118" i="2"/>
  <c r="V118" i="2"/>
  <c r="N118" i="2"/>
  <c r="U118" i="2"/>
  <c r="M118" i="2"/>
  <c r="A119" i="2"/>
  <c r="S118" i="2"/>
  <c r="K118" i="2"/>
  <c r="Z118" i="2"/>
  <c r="E176" i="2"/>
  <c r="E166" i="2"/>
  <c r="D214" i="2"/>
  <c r="B198" i="2"/>
  <c r="D218" i="2"/>
  <c r="B202" i="2"/>
  <c r="D220" i="2"/>
  <c r="B204" i="2"/>
  <c r="B197" i="2"/>
  <c r="D213" i="2"/>
  <c r="B200" i="2"/>
  <c r="D216" i="2"/>
  <c r="B199" i="2"/>
  <c r="E193" i="2"/>
  <c r="E194" i="2" s="1"/>
  <c r="E187" i="2"/>
  <c r="D217" i="2"/>
  <c r="B201" i="2"/>
  <c r="D219" i="2"/>
  <c r="B203" i="2"/>
  <c r="M9" i="21"/>
  <c r="M6" i="21" s="1"/>
  <c r="N3" i="23" s="1"/>
  <c r="E6" i="21"/>
  <c r="F3" i="23" s="1"/>
  <c r="E9" i="21"/>
  <c r="L6" i="21"/>
  <c r="M3" i="23" s="1"/>
  <c r="L9" i="21"/>
  <c r="I9" i="21"/>
  <c r="I6" i="21"/>
  <c r="J3" i="23" s="1"/>
  <c r="M11" i="23"/>
  <c r="L31" i="21"/>
  <c r="G35" i="22"/>
  <c r="O36" i="22"/>
  <c r="G54" i="22"/>
  <c r="J61" i="22"/>
  <c r="N11" i="23"/>
  <c r="N9" i="23" s="1"/>
  <c r="M31" i="21"/>
  <c r="K10" i="22"/>
  <c r="I32" i="21" s="1"/>
  <c r="K33" i="22"/>
  <c r="G37" i="22"/>
  <c r="G29" i="22"/>
  <c r="G27" i="22"/>
  <c r="G25" i="22"/>
  <c r="G23" i="22"/>
  <c r="G30" i="22"/>
  <c r="G28" i="22"/>
  <c r="G26" i="22"/>
  <c r="G24" i="22"/>
  <c r="G22" i="22"/>
  <c r="K46" i="22"/>
  <c r="K44" i="22"/>
  <c r="K42" i="22"/>
  <c r="K45" i="22"/>
  <c r="K43" i="22"/>
  <c r="K41" i="22"/>
  <c r="K40" i="22"/>
  <c r="K38" i="22"/>
  <c r="K106" i="22"/>
  <c r="K104" i="22"/>
  <c r="K102" i="22"/>
  <c r="K100" i="22"/>
  <c r="K98" i="22"/>
  <c r="K96" i="22"/>
  <c r="K94" i="22"/>
  <c r="K92" i="22"/>
  <c r="K90" i="22"/>
  <c r="K88" i="22"/>
  <c r="K86" i="22"/>
  <c r="K84" i="22"/>
  <c r="K82" i="22"/>
  <c r="K80" i="22"/>
  <c r="K78" i="22"/>
  <c r="K107" i="22"/>
  <c r="K91" i="22"/>
  <c r="K93" i="22"/>
  <c r="K77" i="22"/>
  <c r="K95" i="22"/>
  <c r="K79" i="22"/>
  <c r="K97" i="22"/>
  <c r="K81" i="22"/>
  <c r="K99" i="22"/>
  <c r="K83" i="22"/>
  <c r="K101" i="22"/>
  <c r="K85" i="22"/>
  <c r="K89" i="22"/>
  <c r="K105" i="22"/>
  <c r="K87" i="22"/>
  <c r="J6" i="21"/>
  <c r="K3" i="23" s="1"/>
  <c r="G32" i="22"/>
  <c r="K37" i="22"/>
  <c r="G40" i="22"/>
  <c r="K32" i="22"/>
  <c r="G34" i="22"/>
  <c r="G67" i="22"/>
  <c r="O29" i="22"/>
  <c r="O27" i="22"/>
  <c r="O25" i="22"/>
  <c r="O23" i="22"/>
  <c r="O30" i="22"/>
  <c r="O28" i="22"/>
  <c r="O26" i="22"/>
  <c r="O24" i="22"/>
  <c r="O22" i="22"/>
  <c r="O68" i="22"/>
  <c r="O75" i="22"/>
  <c r="O67" i="22"/>
  <c r="O74" i="22"/>
  <c r="O66" i="22"/>
  <c r="O61" i="22"/>
  <c r="O59" i="22"/>
  <c r="O57" i="22"/>
  <c r="O55" i="22"/>
  <c r="O53" i="22"/>
  <c r="O51" i="22"/>
  <c r="O49" i="22"/>
  <c r="O73" i="22"/>
  <c r="O65" i="22"/>
  <c r="O72" i="22"/>
  <c r="O64" i="22"/>
  <c r="O71" i="22"/>
  <c r="O63" i="22"/>
  <c r="O69" i="22"/>
  <c r="O60" i="22"/>
  <c r="O58" i="22"/>
  <c r="O56" i="22"/>
  <c r="O54" i="22"/>
  <c r="O52" i="22"/>
  <c r="O70" i="22"/>
  <c r="O50" i="22"/>
  <c r="H6" i="22"/>
  <c r="H5" i="22"/>
  <c r="G10" i="22"/>
  <c r="E32" i="21" s="1"/>
  <c r="J30" i="22"/>
  <c r="J28" i="22"/>
  <c r="J26" i="22"/>
  <c r="J24" i="22"/>
  <c r="J22" i="22"/>
  <c r="J13" i="22"/>
  <c r="J7" i="22" s="1"/>
  <c r="H7" i="21" s="1"/>
  <c r="J29" i="22"/>
  <c r="J27" i="22"/>
  <c r="J25" i="22"/>
  <c r="J23" i="22"/>
  <c r="R30" i="22"/>
  <c r="R28" i="22"/>
  <c r="R26" i="22"/>
  <c r="R24" i="22"/>
  <c r="R22" i="22"/>
  <c r="R13" i="22"/>
  <c r="R7" i="22" s="1"/>
  <c r="P7" i="21" s="1"/>
  <c r="R29" i="22"/>
  <c r="R27" i="22"/>
  <c r="R25" i="22"/>
  <c r="R23" i="22"/>
  <c r="N45" i="22"/>
  <c r="N43" i="22"/>
  <c r="N41" i="22"/>
  <c r="N39" i="22"/>
  <c r="N37" i="22"/>
  <c r="N35" i="22"/>
  <c r="N33" i="22"/>
  <c r="N10" i="22"/>
  <c r="L32" i="21" s="1"/>
  <c r="N46" i="22"/>
  <c r="N44" i="22"/>
  <c r="J75" i="22"/>
  <c r="J73" i="22"/>
  <c r="J71" i="22"/>
  <c r="J69" i="22"/>
  <c r="J67" i="22"/>
  <c r="J65" i="22"/>
  <c r="J63" i="22"/>
  <c r="J72" i="22"/>
  <c r="J64" i="22"/>
  <c r="J70" i="22"/>
  <c r="J62" i="22"/>
  <c r="J60" i="22"/>
  <c r="J58" i="22"/>
  <c r="J56" i="22"/>
  <c r="J54" i="22"/>
  <c r="J52" i="22"/>
  <c r="J50" i="22"/>
  <c r="J48" i="22"/>
  <c r="J68" i="22"/>
  <c r="J57" i="22"/>
  <c r="J55" i="22"/>
  <c r="J53" i="22"/>
  <c r="J51" i="22"/>
  <c r="J49" i="22"/>
  <c r="J74" i="22"/>
  <c r="R75" i="22"/>
  <c r="R73" i="22"/>
  <c r="R71" i="22"/>
  <c r="R69" i="22"/>
  <c r="R67" i="22"/>
  <c r="R65" i="22"/>
  <c r="R63" i="22"/>
  <c r="R74" i="22"/>
  <c r="R66" i="22"/>
  <c r="R72" i="22"/>
  <c r="R64" i="22"/>
  <c r="R60" i="22"/>
  <c r="R58" i="22"/>
  <c r="R56" i="22"/>
  <c r="R54" i="22"/>
  <c r="R52" i="22"/>
  <c r="R50" i="22"/>
  <c r="R48" i="22"/>
  <c r="R70" i="22"/>
  <c r="R62" i="22"/>
  <c r="R51" i="22"/>
  <c r="R68" i="22"/>
  <c r="R49" i="22"/>
  <c r="R61" i="22"/>
  <c r="R59" i="22"/>
  <c r="R57" i="22"/>
  <c r="N94" i="22"/>
  <c r="N93" i="22"/>
  <c r="N78" i="22"/>
  <c r="N77" i="22"/>
  <c r="N96" i="22"/>
  <c r="N95" i="22"/>
  <c r="N80" i="22"/>
  <c r="N79" i="22"/>
  <c r="N98" i="22"/>
  <c r="N97" i="22"/>
  <c r="N82" i="22"/>
  <c r="N81" i="22"/>
  <c r="N100" i="22"/>
  <c r="N99" i="22"/>
  <c r="N84" i="22"/>
  <c r="N83" i="22"/>
  <c r="N102" i="22"/>
  <c r="N101" i="22"/>
  <c r="N86" i="22"/>
  <c r="N85" i="22"/>
  <c r="N104" i="22"/>
  <c r="N103" i="22"/>
  <c r="N88" i="22"/>
  <c r="N87" i="22"/>
  <c r="N106" i="22"/>
  <c r="N89" i="22"/>
  <c r="N105" i="22"/>
  <c r="N92" i="22"/>
  <c r="N91" i="22"/>
  <c r="N32" i="22"/>
  <c r="K34" i="22"/>
  <c r="G36" i="22"/>
  <c r="J59" i="22"/>
  <c r="G74" i="22"/>
  <c r="G66" i="22"/>
  <c r="G73" i="22"/>
  <c r="G65" i="22"/>
  <c r="G72" i="22"/>
  <c r="G64" i="22"/>
  <c r="G61" i="22"/>
  <c r="G59" i="22"/>
  <c r="G57" i="22"/>
  <c r="G55" i="22"/>
  <c r="G53" i="22"/>
  <c r="G51" i="22"/>
  <c r="G49" i="22"/>
  <c r="G71" i="22"/>
  <c r="G63" i="22"/>
  <c r="G70" i="22"/>
  <c r="G69" i="22"/>
  <c r="G50" i="22"/>
  <c r="G48" i="22"/>
  <c r="G62" i="22"/>
  <c r="G68" i="22"/>
  <c r="G60" i="22"/>
  <c r="G75" i="22"/>
  <c r="G58" i="22"/>
  <c r="G56" i="22"/>
  <c r="K35" i="22"/>
  <c r="O48" i="22"/>
  <c r="K30" i="22"/>
  <c r="K28" i="22"/>
  <c r="K26" i="22"/>
  <c r="K24" i="22"/>
  <c r="K22" i="22"/>
  <c r="K29" i="22"/>
  <c r="K27" i="22"/>
  <c r="K25" i="22"/>
  <c r="K23" i="22"/>
  <c r="G45" i="22"/>
  <c r="G43" i="22"/>
  <c r="G41" i="22"/>
  <c r="G46" i="22"/>
  <c r="G44" i="22"/>
  <c r="G42" i="22"/>
  <c r="G39" i="22"/>
  <c r="O45" i="22"/>
  <c r="O43" i="22"/>
  <c r="O41" i="22"/>
  <c r="O46" i="22"/>
  <c r="O44" i="22"/>
  <c r="O42" i="22"/>
  <c r="O40" i="22"/>
  <c r="O39" i="22"/>
  <c r="O37" i="22"/>
  <c r="K71" i="22"/>
  <c r="K63" i="22"/>
  <c r="K70" i="22"/>
  <c r="K69" i="22"/>
  <c r="K62" i="22"/>
  <c r="K60" i="22"/>
  <c r="K58" i="22"/>
  <c r="K56" i="22"/>
  <c r="K54" i="22"/>
  <c r="K52" i="22"/>
  <c r="K50" i="22"/>
  <c r="K48" i="22"/>
  <c r="K68" i="22"/>
  <c r="K75" i="22"/>
  <c r="K67" i="22"/>
  <c r="K74" i="22"/>
  <c r="K66" i="22"/>
  <c r="K55" i="22"/>
  <c r="K65" i="22"/>
  <c r="K53" i="22"/>
  <c r="K72" i="22"/>
  <c r="K51" i="22"/>
  <c r="K49" i="22"/>
  <c r="K64" i="22"/>
  <c r="K61" i="22"/>
  <c r="G107" i="22"/>
  <c r="G105" i="22"/>
  <c r="G103" i="22"/>
  <c r="G101" i="22"/>
  <c r="G99" i="22"/>
  <c r="G97" i="22"/>
  <c r="G95" i="22"/>
  <c r="G93" i="22"/>
  <c r="G91" i="22"/>
  <c r="G89" i="22"/>
  <c r="G87" i="22"/>
  <c r="G85" i="22"/>
  <c r="G83" i="22"/>
  <c r="G81" i="22"/>
  <c r="G79" i="22"/>
  <c r="G77" i="22"/>
  <c r="G102" i="22"/>
  <c r="G86" i="22"/>
  <c r="G104" i="22"/>
  <c r="G88" i="22"/>
  <c r="G106" i="22"/>
  <c r="G90" i="22"/>
  <c r="G92" i="22"/>
  <c r="G94" i="22"/>
  <c r="G78" i="22"/>
  <c r="G96" i="22"/>
  <c r="G80" i="22"/>
  <c r="G98" i="22"/>
  <c r="G84" i="22"/>
  <c r="G100" i="22"/>
  <c r="O107" i="22"/>
  <c r="O105" i="22"/>
  <c r="O103" i="22"/>
  <c r="O101" i="22"/>
  <c r="O99" i="22"/>
  <c r="O97" i="22"/>
  <c r="O95" i="22"/>
  <c r="O93" i="22"/>
  <c r="O91" i="22"/>
  <c r="O89" i="22"/>
  <c r="O87" i="22"/>
  <c r="O85" i="22"/>
  <c r="O83" i="22"/>
  <c r="O81" i="22"/>
  <c r="O79" i="22"/>
  <c r="O77" i="22"/>
  <c r="O96" i="22"/>
  <c r="O80" i="22"/>
  <c r="O98" i="22"/>
  <c r="O82" i="22"/>
  <c r="O100" i="22"/>
  <c r="O84" i="22"/>
  <c r="O102" i="22"/>
  <c r="O86" i="22"/>
  <c r="O104" i="22"/>
  <c r="O88" i="22"/>
  <c r="O106" i="22"/>
  <c r="O90" i="22"/>
  <c r="O92" i="22"/>
  <c r="O78" i="22"/>
  <c r="O32" i="22"/>
  <c r="K36" i="22"/>
  <c r="K59" i="22"/>
  <c r="G82" i="22"/>
  <c r="H46" i="22"/>
  <c r="H44" i="22"/>
  <c r="H42" i="22"/>
  <c r="P46" i="22"/>
  <c r="P44" i="22"/>
  <c r="P42" i="22"/>
  <c r="P40" i="22"/>
  <c r="L70" i="22"/>
  <c r="L69" i="22"/>
  <c r="L62" i="22"/>
  <c r="L60" i="22"/>
  <c r="L58" i="22"/>
  <c r="L56" i="22"/>
  <c r="L54" i="22"/>
  <c r="L52" i="22"/>
  <c r="L50" i="22"/>
  <c r="L48" i="22"/>
  <c r="L68" i="22"/>
  <c r="L75" i="22"/>
  <c r="L67" i="22"/>
  <c r="L74" i="22"/>
  <c r="L66" i="22"/>
  <c r="L73" i="22"/>
  <c r="L65" i="22"/>
  <c r="H106" i="22"/>
  <c r="H104" i="22"/>
  <c r="H102" i="22"/>
  <c r="H100" i="22"/>
  <c r="H98" i="22"/>
  <c r="H96" i="22"/>
  <c r="H94" i="22"/>
  <c r="H92" i="22"/>
  <c r="H90" i="22"/>
  <c r="H88" i="22"/>
  <c r="H86" i="22"/>
  <c r="H84" i="22"/>
  <c r="H82" i="22"/>
  <c r="H80" i="22"/>
  <c r="H78" i="22"/>
  <c r="H101" i="22"/>
  <c r="H85" i="22"/>
  <c r="H103" i="22"/>
  <c r="H87" i="22"/>
  <c r="H105" i="22"/>
  <c r="H89" i="22"/>
  <c r="H107" i="22"/>
  <c r="H91" i="22"/>
  <c r="H93" i="22"/>
  <c r="H77" i="22"/>
  <c r="H95" i="22"/>
  <c r="H79" i="22"/>
  <c r="P106" i="22"/>
  <c r="P104" i="22"/>
  <c r="P102" i="22"/>
  <c r="P100" i="22"/>
  <c r="P98" i="22"/>
  <c r="P96" i="22"/>
  <c r="P94" i="22"/>
  <c r="P92" i="22"/>
  <c r="P90" i="22"/>
  <c r="P88" i="22"/>
  <c r="P86" i="22"/>
  <c r="P84" i="22"/>
  <c r="P82" i="22"/>
  <c r="P80" i="22"/>
  <c r="P78" i="22"/>
  <c r="P95" i="22"/>
  <c r="P79" i="22"/>
  <c r="P97" i="22"/>
  <c r="P81" i="22"/>
  <c r="P99" i="22"/>
  <c r="P83" i="22"/>
  <c r="P101" i="22"/>
  <c r="P85" i="22"/>
  <c r="P103" i="22"/>
  <c r="P87" i="22"/>
  <c r="P105" i="22"/>
  <c r="P89" i="22"/>
  <c r="N22" i="22"/>
  <c r="N24" i="22"/>
  <c r="N26" i="22"/>
  <c r="N28" i="22"/>
  <c r="N30" i="22"/>
  <c r="H32" i="22"/>
  <c r="P32" i="22"/>
  <c r="L33" i="22"/>
  <c r="H34" i="22"/>
  <c r="P34" i="22"/>
  <c r="L35" i="22"/>
  <c r="H36" i="22"/>
  <c r="P36" i="22"/>
  <c r="L37" i="22"/>
  <c r="H38" i="22"/>
  <c r="P38" i="22"/>
  <c r="H40" i="22"/>
  <c r="H43" i="22"/>
  <c r="M46" i="22"/>
  <c r="P48" i="22"/>
  <c r="N52" i="22"/>
  <c r="H54" i="22"/>
  <c r="L59" i="22"/>
  <c r="N63" i="22"/>
  <c r="H67" i="22"/>
  <c r="H83" i="22"/>
  <c r="J87" i="22"/>
  <c r="L104" i="22"/>
  <c r="F9" i="23"/>
  <c r="I46" i="22"/>
  <c r="I44" i="22"/>
  <c r="I42" i="22"/>
  <c r="Q46" i="22"/>
  <c r="Q44" i="22"/>
  <c r="Q42" i="22"/>
  <c r="Q40" i="22"/>
  <c r="M75" i="22"/>
  <c r="M73" i="22"/>
  <c r="M71" i="22"/>
  <c r="M69" i="22"/>
  <c r="M67" i="22"/>
  <c r="M65" i="22"/>
  <c r="M63" i="22"/>
  <c r="M62" i="22"/>
  <c r="M60" i="22"/>
  <c r="M58" i="22"/>
  <c r="M56" i="22"/>
  <c r="M54" i="22"/>
  <c r="M52" i="22"/>
  <c r="M50" i="22"/>
  <c r="M48" i="22"/>
  <c r="M68" i="22"/>
  <c r="M74" i="22"/>
  <c r="M66" i="22"/>
  <c r="M61" i="22"/>
  <c r="M59" i="22"/>
  <c r="M57" i="22"/>
  <c r="M55" i="22"/>
  <c r="M53" i="22"/>
  <c r="M51" i="22"/>
  <c r="M49" i="22"/>
  <c r="M72" i="22"/>
  <c r="M64" i="22"/>
  <c r="I106" i="22"/>
  <c r="I104" i="22"/>
  <c r="I102" i="22"/>
  <c r="I100" i="22"/>
  <c r="I98" i="22"/>
  <c r="I96" i="22"/>
  <c r="I94" i="22"/>
  <c r="I92" i="22"/>
  <c r="I90" i="22"/>
  <c r="I88" i="22"/>
  <c r="I86" i="22"/>
  <c r="I84" i="22"/>
  <c r="I82" i="22"/>
  <c r="I80" i="22"/>
  <c r="I78" i="22"/>
  <c r="I103" i="22"/>
  <c r="I87" i="22"/>
  <c r="I105" i="22"/>
  <c r="I89" i="22"/>
  <c r="I107" i="22"/>
  <c r="I91" i="22"/>
  <c r="I93" i="22"/>
  <c r="I77" i="22"/>
  <c r="I95" i="22"/>
  <c r="I79" i="22"/>
  <c r="I97" i="22"/>
  <c r="I81" i="22"/>
  <c r="Q106" i="22"/>
  <c r="Q104" i="22"/>
  <c r="Q102" i="22"/>
  <c r="Q100" i="22"/>
  <c r="Q98" i="22"/>
  <c r="Q96" i="22"/>
  <c r="Q94" i="22"/>
  <c r="Q92" i="22"/>
  <c r="Q90" i="22"/>
  <c r="Q88" i="22"/>
  <c r="Q86" i="22"/>
  <c r="Q84" i="22"/>
  <c r="Q82" i="22"/>
  <c r="Q80" i="22"/>
  <c r="Q78" i="22"/>
  <c r="Q97" i="22"/>
  <c r="Q81" i="22"/>
  <c r="Q99" i="22"/>
  <c r="Q83" i="22"/>
  <c r="Q101" i="22"/>
  <c r="Q85" i="22"/>
  <c r="Q103" i="22"/>
  <c r="Q87" i="22"/>
  <c r="Q105" i="22"/>
  <c r="Q89" i="22"/>
  <c r="Q107" i="22"/>
  <c r="Q91" i="22"/>
  <c r="I32" i="22"/>
  <c r="I20" i="22" s="1"/>
  <c r="I9" i="22" s="1"/>
  <c r="Q32" i="22"/>
  <c r="Q20" i="22" s="1"/>
  <c r="Q9" i="22" s="1"/>
  <c r="M33" i="22"/>
  <c r="I34" i="22"/>
  <c r="Q34" i="22"/>
  <c r="M35" i="22"/>
  <c r="I36" i="22"/>
  <c r="Q36" i="22"/>
  <c r="M37" i="22"/>
  <c r="I38" i="22"/>
  <c r="Q38" i="22"/>
  <c r="I40" i="22"/>
  <c r="I43" i="22"/>
  <c r="H45" i="22"/>
  <c r="P50" i="22"/>
  <c r="H56" i="22"/>
  <c r="L61" i="22"/>
  <c r="Q67" i="22"/>
  <c r="L71" i="22"/>
  <c r="R78" i="22"/>
  <c r="I83" i="22"/>
  <c r="P91" i="22"/>
  <c r="M104" i="22"/>
  <c r="J46" i="22"/>
  <c r="J44" i="22"/>
  <c r="J42" i="22"/>
  <c r="R46" i="22"/>
  <c r="R44" i="22"/>
  <c r="R42" i="22"/>
  <c r="R40" i="22"/>
  <c r="N74" i="22"/>
  <c r="N72" i="22"/>
  <c r="N70" i="22"/>
  <c r="N68" i="22"/>
  <c r="N66" i="22"/>
  <c r="N64" i="22"/>
  <c r="N69" i="22"/>
  <c r="N75" i="22"/>
  <c r="N67" i="22"/>
  <c r="N61" i="22"/>
  <c r="N59" i="22"/>
  <c r="N57" i="22"/>
  <c r="N55" i="22"/>
  <c r="N53" i="22"/>
  <c r="N51" i="22"/>
  <c r="N49" i="22"/>
  <c r="N73" i="22"/>
  <c r="N65" i="22"/>
  <c r="J105" i="22"/>
  <c r="J104" i="22"/>
  <c r="J89" i="22"/>
  <c r="J88" i="22"/>
  <c r="J107" i="22"/>
  <c r="J106" i="22"/>
  <c r="J91" i="22"/>
  <c r="J90" i="22"/>
  <c r="J93" i="22"/>
  <c r="J92" i="22"/>
  <c r="J77" i="22"/>
  <c r="J95" i="22"/>
  <c r="J94" i="22"/>
  <c r="J79" i="22"/>
  <c r="J78" i="22"/>
  <c r="J97" i="22"/>
  <c r="J96" i="22"/>
  <c r="J81" i="22"/>
  <c r="J80" i="22"/>
  <c r="J99" i="22"/>
  <c r="J98" i="22"/>
  <c r="J83" i="22"/>
  <c r="J82" i="22"/>
  <c r="R99" i="22"/>
  <c r="R98" i="22"/>
  <c r="R83" i="22"/>
  <c r="R82" i="22"/>
  <c r="R101" i="22"/>
  <c r="R100" i="22"/>
  <c r="R85" i="22"/>
  <c r="R84" i="22"/>
  <c r="R103" i="22"/>
  <c r="R102" i="22"/>
  <c r="R87" i="22"/>
  <c r="R86" i="22"/>
  <c r="R105" i="22"/>
  <c r="R104" i="22"/>
  <c r="R89" i="22"/>
  <c r="R88" i="22"/>
  <c r="R107" i="22"/>
  <c r="R106" i="22"/>
  <c r="R91" i="22"/>
  <c r="R90" i="22"/>
  <c r="R93" i="22"/>
  <c r="R92" i="22"/>
  <c r="R77" i="22"/>
  <c r="H22" i="22"/>
  <c r="P22" i="22"/>
  <c r="L23" i="22"/>
  <c r="L20" i="22" s="1"/>
  <c r="L9" i="22" s="1"/>
  <c r="H24" i="22"/>
  <c r="P24" i="22"/>
  <c r="L25" i="22"/>
  <c r="H26" i="22"/>
  <c r="P26" i="22"/>
  <c r="L27" i="22"/>
  <c r="H28" i="22"/>
  <c r="P28" i="22"/>
  <c r="J32" i="22"/>
  <c r="R32" i="22"/>
  <c r="J34" i="22"/>
  <c r="R34" i="22"/>
  <c r="J36" i="22"/>
  <c r="R36" i="22"/>
  <c r="J38" i="22"/>
  <c r="R38" i="22"/>
  <c r="J40" i="22"/>
  <c r="P41" i="22"/>
  <c r="J43" i="22"/>
  <c r="I45" i="22"/>
  <c r="P52" i="22"/>
  <c r="N56" i="22"/>
  <c r="H58" i="22"/>
  <c r="L64" i="22"/>
  <c r="N71" i="22"/>
  <c r="H75" i="22"/>
  <c r="Q79" i="22"/>
  <c r="R96" i="22"/>
  <c r="I101" i="22"/>
  <c r="I5" i="23"/>
  <c r="I6" i="23"/>
  <c r="N12" i="23"/>
  <c r="M33" i="21" s="1"/>
  <c r="M12" i="23"/>
  <c r="L33" i="21" s="1"/>
  <c r="L12" i="23"/>
  <c r="K33" i="21" s="1"/>
  <c r="J12" i="23"/>
  <c r="I33" i="21" s="1"/>
  <c r="F12" i="23"/>
  <c r="E33" i="21" s="1"/>
  <c r="L49" i="22"/>
  <c r="P54" i="22"/>
  <c r="N58" i="22"/>
  <c r="R79" i="22"/>
  <c r="J84" i="22"/>
  <c r="M88" i="22"/>
  <c r="H97" i="22"/>
  <c r="J101" i="22"/>
  <c r="L45" i="22"/>
  <c r="L43" i="22"/>
  <c r="L41" i="22"/>
  <c r="H73" i="22"/>
  <c r="H65" i="22"/>
  <c r="H72" i="22"/>
  <c r="H64" i="22"/>
  <c r="H61" i="22"/>
  <c r="H59" i="22"/>
  <c r="H57" i="22"/>
  <c r="H55" i="22"/>
  <c r="H53" i="22"/>
  <c r="H51" i="22"/>
  <c r="H49" i="22"/>
  <c r="H71" i="22"/>
  <c r="H63" i="22"/>
  <c r="H70" i="22"/>
  <c r="H69" i="22"/>
  <c r="H68" i="22"/>
  <c r="P75" i="22"/>
  <c r="P67" i="22"/>
  <c r="P74" i="22"/>
  <c r="P66" i="22"/>
  <c r="P61" i="22"/>
  <c r="P59" i="22"/>
  <c r="P57" i="22"/>
  <c r="P55" i="22"/>
  <c r="P53" i="22"/>
  <c r="P51" i="22"/>
  <c r="P49" i="22"/>
  <c r="P73" i="22"/>
  <c r="P65" i="22"/>
  <c r="P72" i="22"/>
  <c r="P64" i="22"/>
  <c r="P71" i="22"/>
  <c r="P63" i="22"/>
  <c r="P70" i="22"/>
  <c r="P62" i="22"/>
  <c r="L107" i="22"/>
  <c r="L105" i="22"/>
  <c r="L103" i="22"/>
  <c r="L101" i="22"/>
  <c r="L99" i="22"/>
  <c r="L97" i="22"/>
  <c r="L95" i="22"/>
  <c r="L93" i="22"/>
  <c r="L91" i="22"/>
  <c r="L89" i="22"/>
  <c r="L87" i="22"/>
  <c r="L85" i="22"/>
  <c r="L83" i="22"/>
  <c r="L81" i="22"/>
  <c r="L79" i="22"/>
  <c r="L77" i="22"/>
  <c r="L106" i="22"/>
  <c r="L90" i="22"/>
  <c r="L92" i="22"/>
  <c r="L94" i="22"/>
  <c r="L78" i="22"/>
  <c r="L96" i="22"/>
  <c r="L80" i="22"/>
  <c r="L98" i="22"/>
  <c r="L82" i="22"/>
  <c r="L100" i="22"/>
  <c r="L84" i="22"/>
  <c r="N23" i="22"/>
  <c r="N25" i="22"/>
  <c r="N27" i="22"/>
  <c r="L32" i="22"/>
  <c r="H33" i="22"/>
  <c r="P33" i="22"/>
  <c r="L34" i="22"/>
  <c r="H35" i="22"/>
  <c r="P35" i="22"/>
  <c r="L36" i="22"/>
  <c r="H37" i="22"/>
  <c r="P37" i="22"/>
  <c r="L38" i="22"/>
  <c r="H39" i="22"/>
  <c r="P39" i="22"/>
  <c r="L40" i="22"/>
  <c r="R41" i="22"/>
  <c r="Q43" i="22"/>
  <c r="P45" i="22"/>
  <c r="L51" i="22"/>
  <c r="P56" i="22"/>
  <c r="N60" i="22"/>
  <c r="H62" i="22"/>
  <c r="L72" i="22"/>
  <c r="R80" i="22"/>
  <c r="I85" i="22"/>
  <c r="P93" i="22"/>
  <c r="R97" i="22"/>
  <c r="J102" i="22"/>
  <c r="J29" i="23"/>
  <c r="M45" i="22"/>
  <c r="M43" i="22"/>
  <c r="M41" i="22"/>
  <c r="I74" i="22"/>
  <c r="I72" i="22"/>
  <c r="I70" i="22"/>
  <c r="I68" i="22"/>
  <c r="I66" i="22"/>
  <c r="I64" i="22"/>
  <c r="I61" i="22"/>
  <c r="I59" i="22"/>
  <c r="I57" i="22"/>
  <c r="I55" i="22"/>
  <c r="I53" i="22"/>
  <c r="I51" i="22"/>
  <c r="I49" i="22"/>
  <c r="I71" i="22"/>
  <c r="I63" i="22"/>
  <c r="I69" i="22"/>
  <c r="I62" i="22"/>
  <c r="I60" i="22"/>
  <c r="I58" i="22"/>
  <c r="I56" i="22"/>
  <c r="I54" i="22"/>
  <c r="I52" i="22"/>
  <c r="I50" i="22"/>
  <c r="I48" i="22"/>
  <c r="I75" i="22"/>
  <c r="I67" i="22"/>
  <c r="Q74" i="22"/>
  <c r="Q72" i="22"/>
  <c r="Q70" i="22"/>
  <c r="Q68" i="22"/>
  <c r="Q66" i="22"/>
  <c r="Q64" i="22"/>
  <c r="Q62" i="22"/>
  <c r="Q61" i="22"/>
  <c r="Q59" i="22"/>
  <c r="Q57" i="22"/>
  <c r="Q55" i="22"/>
  <c r="Q53" i="22"/>
  <c r="Q51" i="22"/>
  <c r="Q49" i="22"/>
  <c r="Q73" i="22"/>
  <c r="Q65" i="22"/>
  <c r="Q71" i="22"/>
  <c r="Q63" i="22"/>
  <c r="Q60" i="22"/>
  <c r="Q58" i="22"/>
  <c r="Q56" i="22"/>
  <c r="Q54" i="22"/>
  <c r="Q52" i="22"/>
  <c r="Q50" i="22"/>
  <c r="Q48" i="22"/>
  <c r="Q69" i="22"/>
  <c r="M107" i="22"/>
  <c r="M105" i="22"/>
  <c r="M103" i="22"/>
  <c r="M101" i="22"/>
  <c r="M99" i="22"/>
  <c r="M97" i="22"/>
  <c r="M95" i="22"/>
  <c r="M93" i="22"/>
  <c r="M91" i="22"/>
  <c r="M89" i="22"/>
  <c r="M87" i="22"/>
  <c r="M85" i="22"/>
  <c r="M83" i="22"/>
  <c r="M81" i="22"/>
  <c r="M79" i="22"/>
  <c r="M77" i="22"/>
  <c r="M92" i="22"/>
  <c r="M94" i="22"/>
  <c r="M78" i="22"/>
  <c r="M96" i="22"/>
  <c r="M80" i="22"/>
  <c r="M98" i="22"/>
  <c r="M82" i="22"/>
  <c r="M100" i="22"/>
  <c r="M84" i="22"/>
  <c r="M102" i="22"/>
  <c r="M86" i="22"/>
  <c r="M32" i="22"/>
  <c r="M20" i="22" s="1"/>
  <c r="M9" i="22" s="1"/>
  <c r="I33" i="22"/>
  <c r="Q33" i="22"/>
  <c r="M34" i="22"/>
  <c r="I35" i="22"/>
  <c r="Q35" i="22"/>
  <c r="M36" i="22"/>
  <c r="I37" i="22"/>
  <c r="Q37" i="22"/>
  <c r="M38" i="22"/>
  <c r="I39" i="22"/>
  <c r="Q39" i="22"/>
  <c r="M40" i="22"/>
  <c r="L42" i="22"/>
  <c r="R43" i="22"/>
  <c r="Q45" i="22"/>
  <c r="H48" i="22"/>
  <c r="L53" i="22"/>
  <c r="P58" i="22"/>
  <c r="N62" i="22"/>
  <c r="H66" i="22"/>
  <c r="I73" i="22"/>
  <c r="H81" i="22"/>
  <c r="J85" i="22"/>
  <c r="Q93" i="22"/>
  <c r="L102" i="22"/>
  <c r="G33" i="23"/>
  <c r="I33" i="23"/>
  <c r="O12" i="23"/>
  <c r="N33" i="21" s="1"/>
  <c r="G12" i="23"/>
  <c r="F33" i="21" s="1"/>
  <c r="K12" i="23"/>
  <c r="J33" i="21" s="1"/>
  <c r="Q12" i="23"/>
  <c r="P33" i="21" s="1"/>
  <c r="I12" i="23"/>
  <c r="H33" i="21" s="1"/>
  <c r="P12" i="23"/>
  <c r="H12" i="23"/>
  <c r="G33" i="21" s="1"/>
  <c r="H5" i="23"/>
  <c r="O33" i="23"/>
  <c r="L9" i="23"/>
  <c r="Q33" i="23"/>
  <c r="F299" i="2" l="1"/>
  <c r="F298" i="2"/>
  <c r="A120" i="2"/>
  <c r="E188" i="2"/>
  <c r="E191" i="2" s="1"/>
  <c r="E190" i="2"/>
  <c r="E177" i="2"/>
  <c r="E167" i="2"/>
  <c r="K29" i="21"/>
  <c r="K28" i="21" s="1"/>
  <c r="M8" i="22"/>
  <c r="Q8" i="22"/>
  <c r="O29" i="21"/>
  <c r="J29" i="21"/>
  <c r="J28" i="21" s="1"/>
  <c r="L8" i="22"/>
  <c r="I8" i="22"/>
  <c r="G29" i="21"/>
  <c r="G28" i="21" s="1"/>
  <c r="O11" i="23"/>
  <c r="O9" i="23" s="1"/>
  <c r="N31" i="21"/>
  <c r="H20" i="22"/>
  <c r="H9" i="22" s="1"/>
  <c r="G20" i="22"/>
  <c r="G9" i="22" s="1"/>
  <c r="J10" i="23"/>
  <c r="J9" i="23" s="1"/>
  <c r="I30" i="21"/>
  <c r="I11" i="23"/>
  <c r="I9" i="23" s="1"/>
  <c r="H31" i="21"/>
  <c r="H9" i="23"/>
  <c r="P9" i="21"/>
  <c r="P6" i="21"/>
  <c r="Q3" i="23" s="1"/>
  <c r="J5" i="23"/>
  <c r="J6" i="23"/>
  <c r="P20" i="22"/>
  <c r="P9" i="22" s="1"/>
  <c r="K20" i="22"/>
  <c r="K9" i="22" s="1"/>
  <c r="N20" i="22"/>
  <c r="N9" i="22" s="1"/>
  <c r="R20" i="22"/>
  <c r="R9" i="22" s="1"/>
  <c r="P31" i="21"/>
  <c r="Q11" i="23"/>
  <c r="Q9" i="23" s="1"/>
  <c r="O20" i="22"/>
  <c r="O9" i="22" s="1"/>
  <c r="G11" i="23"/>
  <c r="G9" i="23" s="1"/>
  <c r="F31" i="21"/>
  <c r="O33" i="21"/>
  <c r="P9" i="23"/>
  <c r="K9" i="23"/>
  <c r="H9" i="21"/>
  <c r="H6" i="21"/>
  <c r="I3" i="23" s="1"/>
  <c r="I6" i="22"/>
  <c r="I5" i="22"/>
  <c r="J20" i="22"/>
  <c r="J9" i="22" s="1"/>
  <c r="M9" i="23"/>
  <c r="A121" i="2" l="1"/>
  <c r="E178" i="2"/>
  <c r="E168" i="2"/>
  <c r="H29" i="21"/>
  <c r="H28" i="21" s="1"/>
  <c r="J8" i="22"/>
  <c r="P8" i="22"/>
  <c r="N29" i="21"/>
  <c r="N28" i="21" s="1"/>
  <c r="K6" i="23"/>
  <c r="K5" i="23"/>
  <c r="M29" i="21"/>
  <c r="M28" i="21" s="1"/>
  <c r="O8" i="22"/>
  <c r="G8" i="22"/>
  <c r="E29" i="21"/>
  <c r="E28" i="21" s="1"/>
  <c r="O28" i="21"/>
  <c r="H8" i="22"/>
  <c r="F29" i="21"/>
  <c r="F28" i="21" s="1"/>
  <c r="N8" i="22"/>
  <c r="L29" i="21"/>
  <c r="L28" i="21" s="1"/>
  <c r="J5" i="22"/>
  <c r="J6" i="22"/>
  <c r="K8" i="22"/>
  <c r="I29" i="21"/>
  <c r="I28" i="21" s="1"/>
  <c r="P29" i="21"/>
  <c r="P28" i="21" s="1"/>
  <c r="R8" i="22"/>
  <c r="A122" i="2" l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E179" i="2"/>
  <c r="E169" i="2"/>
  <c r="L5" i="23"/>
  <c r="L6" i="23"/>
  <c r="K5" i="22"/>
  <c r="K6" i="22"/>
  <c r="E180" i="2" l="1"/>
  <c r="E170" i="2"/>
  <c r="A134" i="2"/>
  <c r="A135" i="2" s="1"/>
  <c r="L5" i="22"/>
  <c r="L6" i="22"/>
  <c r="M6" i="23"/>
  <c r="M5" i="23"/>
  <c r="E181" i="2" l="1"/>
  <c r="E171" i="2"/>
  <c r="A136" i="2"/>
  <c r="A137" i="2" s="1"/>
  <c r="N5" i="23"/>
  <c r="N6" i="23"/>
  <c r="M5" i="22"/>
  <c r="M6" i="22"/>
  <c r="E182" i="2" l="1"/>
  <c r="E172" i="2"/>
  <c r="A138" i="2"/>
  <c r="A139" i="2" s="1"/>
  <c r="N6" i="22"/>
  <c r="N5" i="22"/>
  <c r="O6" i="23"/>
  <c r="O5" i="23"/>
  <c r="E183" i="2" l="1"/>
  <c r="E173" i="2"/>
  <c r="A140" i="2"/>
  <c r="A141" i="2" s="1"/>
  <c r="P6" i="23"/>
  <c r="P5" i="23"/>
  <c r="O5" i="22"/>
  <c r="O6" i="22"/>
  <c r="A142" i="2" l="1"/>
  <c r="E184" i="2"/>
  <c r="E174" i="2"/>
  <c r="E185" i="2" s="1"/>
  <c r="P6" i="22"/>
  <c r="P5" i="22"/>
  <c r="Q5" i="23"/>
  <c r="Q6" i="23"/>
  <c r="A143" i="2" l="1"/>
  <c r="A144" i="2" s="1"/>
  <c r="Q6" i="22"/>
  <c r="Q5" i="22"/>
  <c r="A145" i="2" l="1"/>
  <c r="A146" i="2" s="1"/>
  <c r="A147" i="2" s="1"/>
  <c r="A148" i="2" s="1"/>
  <c r="R5" i="22"/>
  <c r="R6" i="22"/>
  <c r="A149" i="2" l="1"/>
  <c r="A150" i="2" s="1"/>
  <c r="A151" i="2" s="1"/>
  <c r="A152" i="2" s="1"/>
  <c r="A153" i="2" l="1"/>
  <c r="A154" i="2" l="1"/>
  <c r="A155" i="2" s="1"/>
  <c r="A156" i="2" l="1"/>
  <c r="A157" i="2" l="1"/>
  <c r="A158" i="2" l="1"/>
  <c r="A159" i="2" l="1"/>
  <c r="A160" i="2" s="1"/>
  <c r="A161" i="2" s="1"/>
  <c r="A162" i="2" s="1"/>
  <c r="A163" i="2" l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F162" i="2"/>
  <c r="F188" i="2" l="1"/>
  <c r="F191" i="2" s="1"/>
  <c r="F161" i="2"/>
  <c r="Y129" i="2"/>
  <c r="W129" i="2"/>
  <c r="X129" i="2"/>
  <c r="V129" i="2"/>
  <c r="U129" i="2"/>
  <c r="T129" i="2"/>
  <c r="S129" i="2"/>
  <c r="Z129" i="2"/>
  <c r="F187" i="2" l="1"/>
  <c r="F164" i="2"/>
  <c r="F193" i="2" s="1"/>
  <c r="F194" i="2" s="1"/>
  <c r="F189" i="2" l="1"/>
  <c r="F190" i="2"/>
  <c r="M9" i="6" l="1"/>
  <c r="L9" i="6" l="1"/>
  <c r="G19" i="2"/>
  <c r="G18" i="2"/>
  <c r="G17" i="2"/>
  <c r="D6" i="2"/>
  <c r="F18" i="13"/>
  <c r="F18" i="12"/>
  <c r="F18" i="1"/>
  <c r="E12" i="8"/>
  <c r="O51" i="18"/>
  <c r="F51" i="18"/>
  <c r="G51" i="18"/>
  <c r="H51" i="18"/>
  <c r="I51" i="18"/>
  <c r="J51" i="18"/>
  <c r="K51" i="18"/>
  <c r="L51" i="18"/>
  <c r="M51" i="18"/>
  <c r="N51" i="18"/>
  <c r="E51" i="18"/>
  <c r="R22" i="18"/>
  <c r="R23" i="18"/>
  <c r="R24" i="18"/>
  <c r="R25" i="18"/>
  <c r="R26" i="18"/>
  <c r="R21" i="18"/>
  <c r="Q22" i="18"/>
  <c r="Q23" i="18"/>
  <c r="Q24" i="18"/>
  <c r="Q25" i="18"/>
  <c r="Q26" i="18"/>
  <c r="Q21" i="18"/>
  <c r="G10" i="19"/>
  <c r="O216" i="20"/>
  <c r="N216" i="20"/>
  <c r="M216" i="20"/>
  <c r="L216" i="20"/>
  <c r="K216" i="20"/>
  <c r="J216" i="20"/>
  <c r="I216" i="20"/>
  <c r="H216" i="20"/>
  <c r="H11" i="20" s="1"/>
  <c r="G24" i="18" s="1"/>
  <c r="G216" i="20"/>
  <c r="F216" i="20"/>
  <c r="F202" i="20"/>
  <c r="G201" i="20"/>
  <c r="G200" i="20"/>
  <c r="O196" i="20"/>
  <c r="N196" i="20"/>
  <c r="M196" i="20"/>
  <c r="M10" i="20" s="1"/>
  <c r="L196" i="20"/>
  <c r="K196" i="20"/>
  <c r="J196" i="20"/>
  <c r="I196" i="20"/>
  <c r="H196" i="20"/>
  <c r="G196" i="20"/>
  <c r="F196" i="20"/>
  <c r="O106" i="20"/>
  <c r="N106" i="20"/>
  <c r="M106" i="20"/>
  <c r="L106" i="20"/>
  <c r="K106" i="20"/>
  <c r="J106" i="20"/>
  <c r="I106" i="20"/>
  <c r="H106" i="20"/>
  <c r="G106" i="20"/>
  <c r="F106" i="20"/>
  <c r="O16" i="20"/>
  <c r="N16" i="20"/>
  <c r="M16" i="20"/>
  <c r="L16" i="20"/>
  <c r="K16" i="20"/>
  <c r="J16" i="20"/>
  <c r="I16" i="20"/>
  <c r="I8" i="20" s="1"/>
  <c r="H8" i="18" s="1"/>
  <c r="H16" i="20"/>
  <c r="G16" i="20"/>
  <c r="F16" i="20"/>
  <c r="O12" i="20"/>
  <c r="N12" i="20"/>
  <c r="M12" i="20"/>
  <c r="L12" i="20"/>
  <c r="K12" i="20"/>
  <c r="J12" i="20"/>
  <c r="I12" i="20"/>
  <c r="H12" i="20"/>
  <c r="G12" i="20"/>
  <c r="F12" i="20"/>
  <c r="O11" i="20"/>
  <c r="N11" i="20"/>
  <c r="N9" i="20" s="1"/>
  <c r="M11" i="20"/>
  <c r="L24" i="18" s="1"/>
  <c r="L11" i="20"/>
  <c r="K11" i="20"/>
  <c r="J11" i="20"/>
  <c r="I11" i="20"/>
  <c r="G11" i="20"/>
  <c r="F11" i="20"/>
  <c r="F9" i="20" s="1"/>
  <c r="O10" i="20"/>
  <c r="O9" i="20" s="1"/>
  <c r="N10" i="20"/>
  <c r="L10" i="20"/>
  <c r="K10" i="20"/>
  <c r="J10" i="20"/>
  <c r="J9" i="20" s="1"/>
  <c r="I10" i="20"/>
  <c r="H10" i="20"/>
  <c r="G10" i="20"/>
  <c r="G9" i="20" s="1"/>
  <c r="F10" i="20"/>
  <c r="L9" i="20"/>
  <c r="I9" i="20"/>
  <c r="O8" i="20"/>
  <c r="N8" i="20"/>
  <c r="M8" i="20"/>
  <c r="L8" i="20"/>
  <c r="K8" i="20"/>
  <c r="J8" i="20"/>
  <c r="H8" i="20"/>
  <c r="G8" i="20"/>
  <c r="F8" i="20"/>
  <c r="G6" i="20"/>
  <c r="H6" i="20" s="1"/>
  <c r="F6" i="20"/>
  <c r="G5" i="20"/>
  <c r="H4" i="20"/>
  <c r="I4" i="20" s="1"/>
  <c r="J4" i="20" s="1"/>
  <c r="K4" i="20" s="1"/>
  <c r="L4" i="20" s="1"/>
  <c r="M4" i="20" s="1"/>
  <c r="N4" i="20" s="1"/>
  <c r="O4" i="20" s="1"/>
  <c r="G4" i="20"/>
  <c r="N27" i="19"/>
  <c r="P26" i="19"/>
  <c r="H26" i="19"/>
  <c r="J25" i="19"/>
  <c r="AA14" i="19"/>
  <c r="Z14" i="19"/>
  <c r="Y14" i="19"/>
  <c r="X14" i="19"/>
  <c r="W14" i="19"/>
  <c r="L14" i="19" s="1"/>
  <c r="V14" i="19"/>
  <c r="U14" i="19"/>
  <c r="T14" i="19"/>
  <c r="S14" i="19"/>
  <c r="R14" i="19"/>
  <c r="P14" i="19"/>
  <c r="P25" i="19" s="1"/>
  <c r="O14" i="19"/>
  <c r="O26" i="19" s="1"/>
  <c r="N14" i="19"/>
  <c r="M14" i="19"/>
  <c r="M27" i="19" s="1"/>
  <c r="K14" i="19"/>
  <c r="K28" i="19" s="1"/>
  <c r="J14" i="19"/>
  <c r="J28" i="19" s="1"/>
  <c r="I14" i="19"/>
  <c r="I25" i="19" s="1"/>
  <c r="H14" i="19"/>
  <c r="H25" i="19" s="1"/>
  <c r="G14" i="19"/>
  <c r="G26" i="19" s="1"/>
  <c r="X13" i="19"/>
  <c r="F10" i="19" s="1"/>
  <c r="V13" i="19"/>
  <c r="G6" i="19"/>
  <c r="R19" i="19" s="1"/>
  <c r="G19" i="19" s="1"/>
  <c r="P4" i="19"/>
  <c r="H4" i="19"/>
  <c r="I4" i="19" s="1"/>
  <c r="J4" i="19" s="1"/>
  <c r="K4" i="19" s="1"/>
  <c r="L4" i="19" s="1"/>
  <c r="M4" i="19" s="1"/>
  <c r="N4" i="19" s="1"/>
  <c r="O4" i="19" s="1"/>
  <c r="G4" i="19"/>
  <c r="N44" i="18"/>
  <c r="M44" i="18"/>
  <c r="L44" i="18"/>
  <c r="K44" i="18"/>
  <c r="K28" i="18" s="1"/>
  <c r="J44" i="18"/>
  <c r="I44" i="18"/>
  <c r="H44" i="18"/>
  <c r="G44" i="18"/>
  <c r="F44" i="18"/>
  <c r="E44" i="18"/>
  <c r="N41" i="18"/>
  <c r="M41" i="18"/>
  <c r="L41" i="18"/>
  <c r="K41" i="18"/>
  <c r="J41" i="18"/>
  <c r="I41" i="18"/>
  <c r="H41" i="18"/>
  <c r="G41" i="18"/>
  <c r="F41" i="18"/>
  <c r="E41" i="18"/>
  <c r="N38" i="18"/>
  <c r="M38" i="18"/>
  <c r="L38" i="18"/>
  <c r="K38" i="18"/>
  <c r="J38" i="18"/>
  <c r="I38" i="18"/>
  <c r="H38" i="18"/>
  <c r="G38" i="18"/>
  <c r="F38" i="18"/>
  <c r="E38" i="18"/>
  <c r="N35" i="18"/>
  <c r="M35" i="18"/>
  <c r="L35" i="18"/>
  <c r="K35" i="18"/>
  <c r="J35" i="18"/>
  <c r="I35" i="18"/>
  <c r="H35" i="18"/>
  <c r="G35" i="18"/>
  <c r="G28" i="18" s="1"/>
  <c r="F35" i="18"/>
  <c r="E35" i="18"/>
  <c r="N32" i="18"/>
  <c r="N28" i="18" s="1"/>
  <c r="M32" i="18"/>
  <c r="L32" i="18"/>
  <c r="L28" i="18" s="1"/>
  <c r="K32" i="18"/>
  <c r="J32" i="18"/>
  <c r="I32" i="18"/>
  <c r="H32" i="18"/>
  <c r="G32" i="18"/>
  <c r="F32" i="18"/>
  <c r="F28" i="18" s="1"/>
  <c r="E32" i="18"/>
  <c r="M28" i="18"/>
  <c r="J28" i="18"/>
  <c r="I28" i="18"/>
  <c r="H28" i="18"/>
  <c r="E28" i="18"/>
  <c r="N26" i="18"/>
  <c r="M26" i="18"/>
  <c r="L26" i="18"/>
  <c r="K26" i="18"/>
  <c r="I26" i="18"/>
  <c r="H26" i="18"/>
  <c r="G26" i="18"/>
  <c r="F26" i="18"/>
  <c r="E26" i="18"/>
  <c r="N24" i="18"/>
  <c r="M24" i="18"/>
  <c r="K24" i="18"/>
  <c r="J24" i="18"/>
  <c r="I24" i="18"/>
  <c r="H24" i="18"/>
  <c r="F24" i="18"/>
  <c r="E24" i="18"/>
  <c r="M23" i="18"/>
  <c r="K23" i="18"/>
  <c r="J23" i="18"/>
  <c r="I23" i="18"/>
  <c r="H23" i="18"/>
  <c r="G23" i="18"/>
  <c r="E23" i="18"/>
  <c r="N8" i="18"/>
  <c r="M8" i="18"/>
  <c r="L8" i="18"/>
  <c r="K8" i="18"/>
  <c r="J8" i="18"/>
  <c r="I8" i="18"/>
  <c r="G8" i="18"/>
  <c r="F8" i="18"/>
  <c r="E8" i="18"/>
  <c r="A5" i="18"/>
  <c r="A6" i="18" s="1"/>
  <c r="A7" i="18" s="1"/>
  <c r="A8" i="18" s="1"/>
  <c r="A10" i="18" s="1"/>
  <c r="A11" i="18" s="1"/>
  <c r="A12" i="18" s="1"/>
  <c r="A13" i="18" s="1"/>
  <c r="A14" i="18" s="1"/>
  <c r="A17" i="18" s="1"/>
  <c r="A18" i="18" s="1"/>
  <c r="A19" i="18" s="1"/>
  <c r="A21" i="18" s="1"/>
  <c r="A22" i="18" s="1"/>
  <c r="A23" i="18" s="1"/>
  <c r="A24" i="18" s="1"/>
  <c r="A25" i="18" s="1"/>
  <c r="A26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4" i="18" s="1"/>
  <c r="A46" i="18" s="1"/>
  <c r="A47" i="18" s="1"/>
  <c r="A48" i="18" s="1"/>
  <c r="E4" i="18"/>
  <c r="F4" i="18" s="1"/>
  <c r="G4" i="18" s="1"/>
  <c r="H4" i="18" s="1"/>
  <c r="I4" i="18" s="1"/>
  <c r="J4" i="18" s="1"/>
  <c r="K4" i="18" s="1"/>
  <c r="L4" i="18" s="1"/>
  <c r="M4" i="18" s="1"/>
  <c r="N4" i="18" s="1"/>
  <c r="J26" i="18" l="1"/>
  <c r="K9" i="20"/>
  <c r="L23" i="18"/>
  <c r="M9" i="20"/>
  <c r="L27" i="19"/>
  <c r="L26" i="19"/>
  <c r="L25" i="19"/>
  <c r="F23" i="18"/>
  <c r="H9" i="20"/>
  <c r="G57" i="19"/>
  <c r="G56" i="19"/>
  <c r="G61" i="19"/>
  <c r="G59" i="19"/>
  <c r="I6" i="20"/>
  <c r="I5" i="20"/>
  <c r="L28" i="19"/>
  <c r="L24" i="19"/>
  <c r="N26" i="19"/>
  <c r="N25" i="19"/>
  <c r="N28" i="19"/>
  <c r="N24" i="19"/>
  <c r="N23" i="18"/>
  <c r="H5" i="19"/>
  <c r="M24" i="19"/>
  <c r="K25" i="19"/>
  <c r="I26" i="19"/>
  <c r="G27" i="19"/>
  <c r="O27" i="19"/>
  <c r="M28" i="19"/>
  <c r="H5" i="20"/>
  <c r="J26" i="19"/>
  <c r="H27" i="19"/>
  <c r="P27" i="19"/>
  <c r="H6" i="19"/>
  <c r="R16" i="19"/>
  <c r="G16" i="19" s="1"/>
  <c r="R18" i="19"/>
  <c r="G18" i="19" s="1"/>
  <c r="G24" i="19"/>
  <c r="O24" i="19"/>
  <c r="M25" i="19"/>
  <c r="K26" i="19"/>
  <c r="I27" i="19"/>
  <c r="G28" i="19"/>
  <c r="O28" i="19"/>
  <c r="H24" i="19"/>
  <c r="P24" i="19"/>
  <c r="J27" i="19"/>
  <c r="H28" i="19"/>
  <c r="P28" i="19"/>
  <c r="I24" i="19"/>
  <c r="G25" i="19"/>
  <c r="O25" i="19"/>
  <c r="M26" i="19"/>
  <c r="K27" i="19"/>
  <c r="I28" i="19"/>
  <c r="J24" i="19"/>
  <c r="R15" i="19"/>
  <c r="G15" i="19" s="1"/>
  <c r="E25" i="18" s="1"/>
  <c r="R17" i="19"/>
  <c r="G17" i="19" s="1"/>
  <c r="K24" i="19"/>
  <c r="G30" i="19" l="1"/>
  <c r="G33" i="19"/>
  <c r="G29" i="19"/>
  <c r="G22" i="19" s="1"/>
  <c r="G9" i="19" s="1"/>
  <c r="G13" i="19"/>
  <c r="G7" i="19" s="1"/>
  <c r="E7" i="18" s="1"/>
  <c r="G32" i="19"/>
  <c r="G31" i="19"/>
  <c r="J6" i="20"/>
  <c r="J5" i="20"/>
  <c r="G52" i="19"/>
  <c r="G51" i="19"/>
  <c r="G55" i="19"/>
  <c r="G50" i="19"/>
  <c r="G54" i="19"/>
  <c r="G39" i="19"/>
  <c r="G35" i="19"/>
  <c r="G38" i="19"/>
  <c r="G41" i="19"/>
  <c r="G37" i="19"/>
  <c r="G49" i="19"/>
  <c r="G40" i="19"/>
  <c r="G36" i="19"/>
  <c r="G48" i="19"/>
  <c r="G44" i="19"/>
  <c r="G47" i="19"/>
  <c r="G43" i="19"/>
  <c r="G46" i="19"/>
  <c r="G45" i="19"/>
  <c r="S18" i="19"/>
  <c r="H18" i="19" s="1"/>
  <c r="S16" i="19"/>
  <c r="H16" i="19" s="1"/>
  <c r="I6" i="19"/>
  <c r="I5" i="19"/>
  <c r="S19" i="19"/>
  <c r="H19" i="19" s="1"/>
  <c r="S17" i="19"/>
  <c r="H17" i="19" s="1"/>
  <c r="S15" i="19"/>
  <c r="H15" i="19" s="1"/>
  <c r="G8" i="19" l="1"/>
  <c r="E22" i="18"/>
  <c r="E21" i="18" s="1"/>
  <c r="E20" i="18" s="1"/>
  <c r="H33" i="19"/>
  <c r="H29" i="19"/>
  <c r="H32" i="19"/>
  <c r="H31" i="19"/>
  <c r="H30" i="19"/>
  <c r="H13" i="19"/>
  <c r="H7" i="19" s="1"/>
  <c r="F7" i="18" s="1"/>
  <c r="H10" i="19"/>
  <c r="F25" i="18" s="1"/>
  <c r="H56" i="19"/>
  <c r="H61" i="19"/>
  <c r="H59" i="19"/>
  <c r="H57" i="19"/>
  <c r="T18" i="19"/>
  <c r="I18" i="19" s="1"/>
  <c r="T16" i="19"/>
  <c r="I16" i="19" s="1"/>
  <c r="J6" i="19"/>
  <c r="J5" i="19"/>
  <c r="T19" i="19"/>
  <c r="I19" i="19" s="1"/>
  <c r="T17" i="19"/>
  <c r="I17" i="19" s="1"/>
  <c r="T15" i="19"/>
  <c r="I15" i="19" s="1"/>
  <c r="H47" i="19"/>
  <c r="H43" i="19"/>
  <c r="H46" i="19"/>
  <c r="H45" i="19"/>
  <c r="H48" i="19"/>
  <c r="H44" i="19"/>
  <c r="H38" i="19"/>
  <c r="H41" i="19"/>
  <c r="H37" i="19"/>
  <c r="H49" i="19"/>
  <c r="H40" i="19"/>
  <c r="H36" i="19"/>
  <c r="H39" i="19"/>
  <c r="H35" i="19"/>
  <c r="E9" i="18"/>
  <c r="E6" i="18"/>
  <c r="F3" i="20" s="1"/>
  <c r="H51" i="19"/>
  <c r="H55" i="19"/>
  <c r="H50" i="19"/>
  <c r="H54" i="19"/>
  <c r="H52" i="19"/>
  <c r="K6" i="20"/>
  <c r="K5" i="20"/>
  <c r="U18" i="19" l="1"/>
  <c r="J18" i="19" s="1"/>
  <c r="U16" i="19"/>
  <c r="J16" i="19" s="1"/>
  <c r="K6" i="19"/>
  <c r="K5" i="19"/>
  <c r="U19" i="19"/>
  <c r="J19" i="19" s="1"/>
  <c r="U17" i="19"/>
  <c r="J17" i="19" s="1"/>
  <c r="U15" i="19"/>
  <c r="J15" i="19" s="1"/>
  <c r="F9" i="18"/>
  <c r="F6" i="18" s="1"/>
  <c r="G3" i="20" s="1"/>
  <c r="I38" i="19"/>
  <c r="I41" i="19"/>
  <c r="I37" i="19"/>
  <c r="I49" i="19"/>
  <c r="I40" i="19"/>
  <c r="I36" i="19"/>
  <c r="I39" i="19"/>
  <c r="I35" i="19"/>
  <c r="I51" i="19"/>
  <c r="I55" i="19"/>
  <c r="I50" i="19"/>
  <c r="I54" i="19"/>
  <c r="I52" i="19"/>
  <c r="I33" i="19"/>
  <c r="I29" i="19"/>
  <c r="I13" i="19"/>
  <c r="I7" i="19" s="1"/>
  <c r="G7" i="18" s="1"/>
  <c r="I32" i="19"/>
  <c r="I31" i="19"/>
  <c r="I30" i="19"/>
  <c r="I10" i="19"/>
  <c r="G25" i="18" s="1"/>
  <c r="H22" i="19"/>
  <c r="H9" i="19" s="1"/>
  <c r="I47" i="19"/>
  <c r="I43" i="19"/>
  <c r="I46" i="19"/>
  <c r="I45" i="19"/>
  <c r="I48" i="19"/>
  <c r="I44" i="19"/>
  <c r="L6" i="20"/>
  <c r="L5" i="20"/>
  <c r="I56" i="19"/>
  <c r="I61" i="19"/>
  <c r="I59" i="19"/>
  <c r="I57" i="19"/>
  <c r="I22" i="19" l="1"/>
  <c r="I9" i="19" s="1"/>
  <c r="J61" i="19"/>
  <c r="J59" i="19"/>
  <c r="J57" i="19"/>
  <c r="J56" i="19"/>
  <c r="H8" i="19"/>
  <c r="F22" i="18"/>
  <c r="F21" i="18" s="1"/>
  <c r="F20" i="18" s="1"/>
  <c r="V18" i="19"/>
  <c r="K18" i="19" s="1"/>
  <c r="V16" i="19"/>
  <c r="K16" i="19" s="1"/>
  <c r="L6" i="19"/>
  <c r="L5" i="19"/>
  <c r="V19" i="19"/>
  <c r="K19" i="19" s="1"/>
  <c r="V17" i="19"/>
  <c r="K17" i="19" s="1"/>
  <c r="V15" i="19"/>
  <c r="K15" i="19" s="1"/>
  <c r="J46" i="19"/>
  <c r="J45" i="19"/>
  <c r="J48" i="19"/>
  <c r="J44" i="19"/>
  <c r="J47" i="19"/>
  <c r="J43" i="19"/>
  <c r="J41" i="19"/>
  <c r="J37" i="19"/>
  <c r="J49" i="19"/>
  <c r="J40" i="19"/>
  <c r="J36" i="19"/>
  <c r="J39" i="19"/>
  <c r="J35" i="19"/>
  <c r="J38" i="19"/>
  <c r="J32" i="19"/>
  <c r="J31" i="19"/>
  <c r="J30" i="19"/>
  <c r="J29" i="19"/>
  <c r="J22" i="19" s="1"/>
  <c r="J9" i="19" s="1"/>
  <c r="J13" i="19"/>
  <c r="J7" i="19" s="1"/>
  <c r="H7" i="18" s="1"/>
  <c r="J33" i="19"/>
  <c r="J10" i="19"/>
  <c r="H25" i="18" s="1"/>
  <c r="M5" i="20"/>
  <c r="M6" i="20"/>
  <c r="G9" i="18"/>
  <c r="G6" i="18"/>
  <c r="H3" i="20" s="1"/>
  <c r="J55" i="19"/>
  <c r="J50" i="19"/>
  <c r="J54" i="19"/>
  <c r="J52" i="19"/>
  <c r="J51" i="19"/>
  <c r="H22" i="18" l="1"/>
  <c r="H21" i="18" s="1"/>
  <c r="H20" i="18" s="1"/>
  <c r="J8" i="19"/>
  <c r="K55" i="19"/>
  <c r="K50" i="19"/>
  <c r="K54" i="19"/>
  <c r="K52" i="19"/>
  <c r="K51" i="19"/>
  <c r="K46" i="19"/>
  <c r="K45" i="19"/>
  <c r="K48" i="19"/>
  <c r="K44" i="19"/>
  <c r="K47" i="19"/>
  <c r="K43" i="19"/>
  <c r="K61" i="19"/>
  <c r="K59" i="19"/>
  <c r="K57" i="19"/>
  <c r="K56" i="19"/>
  <c r="K32" i="19"/>
  <c r="K31" i="19"/>
  <c r="K30" i="19"/>
  <c r="K33" i="19"/>
  <c r="K29" i="19"/>
  <c r="K13" i="19"/>
  <c r="K7" i="19" s="1"/>
  <c r="I7" i="18" s="1"/>
  <c r="K10" i="19"/>
  <c r="I25" i="18" s="1"/>
  <c r="N5" i="20"/>
  <c r="N6" i="20"/>
  <c r="M5" i="19"/>
  <c r="W19" i="19"/>
  <c r="L19" i="19" s="1"/>
  <c r="W17" i="19"/>
  <c r="L17" i="19" s="1"/>
  <c r="W15" i="19"/>
  <c r="L15" i="19" s="1"/>
  <c r="W18" i="19"/>
  <c r="L18" i="19" s="1"/>
  <c r="W16" i="19"/>
  <c r="L16" i="19" s="1"/>
  <c r="M6" i="19"/>
  <c r="H9" i="18"/>
  <c r="H6" i="18" s="1"/>
  <c r="I3" i="20" s="1"/>
  <c r="K41" i="19"/>
  <c r="K37" i="19"/>
  <c r="K49" i="19"/>
  <c r="K40" i="19"/>
  <c r="K36" i="19"/>
  <c r="K39" i="19"/>
  <c r="K35" i="19"/>
  <c r="K38" i="19"/>
  <c r="G22" i="18"/>
  <c r="G21" i="18" s="1"/>
  <c r="G20" i="18" s="1"/>
  <c r="I8" i="19"/>
  <c r="L31" i="19" l="1"/>
  <c r="L30" i="19"/>
  <c r="L33" i="19"/>
  <c r="L29" i="19"/>
  <c r="L32" i="19"/>
  <c r="L10" i="19"/>
  <c r="J25" i="18" s="1"/>
  <c r="L13" i="19"/>
  <c r="L7" i="19" s="1"/>
  <c r="J7" i="18" s="1"/>
  <c r="K22" i="19"/>
  <c r="K9" i="19" s="1"/>
  <c r="L54" i="19"/>
  <c r="L52" i="19"/>
  <c r="L51" i="19"/>
  <c r="L50" i="19"/>
  <c r="L55" i="19"/>
  <c r="L45" i="19"/>
  <c r="L48" i="19"/>
  <c r="L44" i="19"/>
  <c r="L47" i="19"/>
  <c r="L43" i="19"/>
  <c r="L46" i="19"/>
  <c r="L59" i="19"/>
  <c r="L57" i="19"/>
  <c r="L56" i="19"/>
  <c r="L61" i="19"/>
  <c r="L49" i="19"/>
  <c r="L40" i="19"/>
  <c r="L36" i="19"/>
  <c r="L39" i="19"/>
  <c r="L35" i="19"/>
  <c r="L38" i="19"/>
  <c r="L41" i="19"/>
  <c r="L37" i="19"/>
  <c r="O6" i="20"/>
  <c r="O5" i="20"/>
  <c r="I9" i="18"/>
  <c r="I6" i="18"/>
  <c r="J3" i="20" s="1"/>
  <c r="N5" i="19"/>
  <c r="X19" i="19"/>
  <c r="M19" i="19" s="1"/>
  <c r="X17" i="19"/>
  <c r="M17" i="19" s="1"/>
  <c r="X15" i="19"/>
  <c r="M15" i="19" s="1"/>
  <c r="X18" i="19"/>
  <c r="M18" i="19" s="1"/>
  <c r="X16" i="19"/>
  <c r="M16" i="19" s="1"/>
  <c r="N6" i="19"/>
  <c r="K8" i="19" l="1"/>
  <c r="I22" i="18"/>
  <c r="I21" i="18" s="1"/>
  <c r="I20" i="18" s="1"/>
  <c r="M45" i="19"/>
  <c r="M48" i="19"/>
  <c r="M44" i="19"/>
  <c r="M47" i="19"/>
  <c r="M43" i="19"/>
  <c r="M46" i="19"/>
  <c r="J9" i="18"/>
  <c r="J6" i="18"/>
  <c r="K3" i="20" s="1"/>
  <c r="L22" i="19"/>
  <c r="L9" i="19" s="1"/>
  <c r="M31" i="19"/>
  <c r="M30" i="19"/>
  <c r="M33" i="19"/>
  <c r="M29" i="19"/>
  <c r="M13" i="19"/>
  <c r="M7" i="19" s="1"/>
  <c r="K7" i="18" s="1"/>
  <c r="M32" i="19"/>
  <c r="M10" i="19"/>
  <c r="K25" i="18" s="1"/>
  <c r="M59" i="19"/>
  <c r="M57" i="19"/>
  <c r="M56" i="19"/>
  <c r="M61" i="19"/>
  <c r="M54" i="19"/>
  <c r="M52" i="19"/>
  <c r="M51" i="19"/>
  <c r="M55" i="19"/>
  <c r="M50" i="19"/>
  <c r="Y19" i="19"/>
  <c r="N19" i="19" s="1"/>
  <c r="Y17" i="19"/>
  <c r="N17" i="19" s="1"/>
  <c r="Y15" i="19"/>
  <c r="N15" i="19" s="1"/>
  <c r="Y18" i="19"/>
  <c r="N18" i="19" s="1"/>
  <c r="Y16" i="19"/>
  <c r="N16" i="19" s="1"/>
  <c r="O6" i="19"/>
  <c r="O5" i="19"/>
  <c r="M49" i="19"/>
  <c r="M40" i="19"/>
  <c r="M36" i="19"/>
  <c r="M39" i="19"/>
  <c r="M35" i="19"/>
  <c r="M38" i="19"/>
  <c r="M41" i="19"/>
  <c r="M37" i="19"/>
  <c r="N39" i="19" l="1"/>
  <c r="N35" i="19"/>
  <c r="N38" i="19"/>
  <c r="N41" i="19"/>
  <c r="N37" i="19"/>
  <c r="N49" i="19"/>
  <c r="N40" i="19"/>
  <c r="N36" i="19"/>
  <c r="K9" i="18"/>
  <c r="K6" i="18"/>
  <c r="L3" i="20" s="1"/>
  <c r="M22" i="19"/>
  <c r="M9" i="19" s="1"/>
  <c r="N48" i="19"/>
  <c r="N44" i="19"/>
  <c r="N47" i="19"/>
  <c r="N43" i="19"/>
  <c r="N46" i="19"/>
  <c r="N45" i="19"/>
  <c r="N57" i="19"/>
  <c r="N56" i="19"/>
  <c r="N61" i="19"/>
  <c r="N59" i="19"/>
  <c r="L8" i="19"/>
  <c r="J22" i="18"/>
  <c r="J21" i="18" s="1"/>
  <c r="J20" i="18" s="1"/>
  <c r="N30" i="19"/>
  <c r="N33" i="19"/>
  <c r="N29" i="19"/>
  <c r="N32" i="19"/>
  <c r="N31" i="19"/>
  <c r="N13" i="19"/>
  <c r="N7" i="19" s="1"/>
  <c r="L7" i="18" s="1"/>
  <c r="N10" i="19"/>
  <c r="L25" i="18" s="1"/>
  <c r="N52" i="19"/>
  <c r="N51" i="19"/>
  <c r="N55" i="19"/>
  <c r="N50" i="19"/>
  <c r="N54" i="19"/>
  <c r="Z19" i="19"/>
  <c r="O19" i="19" s="1"/>
  <c r="Z17" i="19"/>
  <c r="O17" i="19" s="1"/>
  <c r="Z15" i="19"/>
  <c r="O15" i="19" s="1"/>
  <c r="Z18" i="19"/>
  <c r="O18" i="19" s="1"/>
  <c r="Z16" i="19"/>
  <c r="O16" i="19" s="1"/>
  <c r="P6" i="19"/>
  <c r="P5" i="19"/>
  <c r="O39" i="19" l="1"/>
  <c r="O35" i="19"/>
  <c r="O38" i="19"/>
  <c r="O41" i="19"/>
  <c r="O37" i="19"/>
  <c r="O49" i="19"/>
  <c r="O40" i="19"/>
  <c r="O36" i="19"/>
  <c r="O52" i="19"/>
  <c r="O51" i="19"/>
  <c r="O55" i="19"/>
  <c r="O50" i="19"/>
  <c r="O54" i="19"/>
  <c r="O30" i="19"/>
  <c r="O33" i="19"/>
  <c r="O29" i="19"/>
  <c r="O13" i="19"/>
  <c r="O7" i="19" s="1"/>
  <c r="M7" i="18" s="1"/>
  <c r="O32" i="19"/>
  <c r="O31" i="19"/>
  <c r="O10" i="19"/>
  <c r="M25" i="18" s="1"/>
  <c r="O48" i="19"/>
  <c r="O44" i="19"/>
  <c r="O47" i="19"/>
  <c r="O43" i="19"/>
  <c r="O46" i="19"/>
  <c r="O45" i="19"/>
  <c r="L9" i="18"/>
  <c r="L6" i="18"/>
  <c r="M3" i="20" s="1"/>
  <c r="O57" i="19"/>
  <c r="O56" i="19"/>
  <c r="O61" i="19"/>
  <c r="O59" i="19"/>
  <c r="M8" i="19"/>
  <c r="K22" i="18"/>
  <c r="K21" i="18" s="1"/>
  <c r="K20" i="18" s="1"/>
  <c r="N22" i="19"/>
  <c r="N9" i="19" s="1"/>
  <c r="AA18" i="19"/>
  <c r="P18" i="19" s="1"/>
  <c r="AA16" i="19"/>
  <c r="P16" i="19" s="1"/>
  <c r="AA17" i="19"/>
  <c r="P17" i="19" s="1"/>
  <c r="AA15" i="19"/>
  <c r="P15" i="19" s="1"/>
  <c r="AA19" i="19"/>
  <c r="P19" i="19" s="1"/>
  <c r="P56" i="19" l="1"/>
  <c r="P61" i="19"/>
  <c r="P59" i="19"/>
  <c r="P57" i="19"/>
  <c r="O22" i="19"/>
  <c r="O9" i="19" s="1"/>
  <c r="P47" i="19"/>
  <c r="P43" i="19"/>
  <c r="P46" i="19"/>
  <c r="P45" i="19"/>
  <c r="P48" i="19"/>
  <c r="P44" i="19"/>
  <c r="P38" i="19"/>
  <c r="P41" i="19"/>
  <c r="P37" i="19"/>
  <c r="P49" i="19"/>
  <c r="P40" i="19"/>
  <c r="P36" i="19"/>
  <c r="P39" i="19"/>
  <c r="P35" i="19"/>
  <c r="P33" i="19"/>
  <c r="P29" i="19"/>
  <c r="P32" i="19"/>
  <c r="P31" i="19"/>
  <c r="P30" i="19"/>
  <c r="P13" i="19"/>
  <c r="P7" i="19" s="1"/>
  <c r="N7" i="18" s="1"/>
  <c r="P10" i="19"/>
  <c r="N25" i="18" s="1"/>
  <c r="P51" i="19"/>
  <c r="P55" i="19"/>
  <c r="P50" i="19"/>
  <c r="P54" i="19"/>
  <c r="P52" i="19"/>
  <c r="N8" i="19"/>
  <c r="L22" i="18"/>
  <c r="L21" i="18" s="1"/>
  <c r="L20" i="18" s="1"/>
  <c r="M9" i="18"/>
  <c r="M6" i="18" s="1"/>
  <c r="N3" i="20" s="1"/>
  <c r="O8" i="19" l="1"/>
  <c r="M22" i="18"/>
  <c r="M21" i="18" s="1"/>
  <c r="M20" i="18" s="1"/>
  <c r="P22" i="19"/>
  <c r="P9" i="19" s="1"/>
  <c r="N9" i="18"/>
  <c r="N6" i="18" s="1"/>
  <c r="O3" i="20" s="1"/>
  <c r="P8" i="19" l="1"/>
  <c r="N22" i="18"/>
  <c r="N21" i="18" s="1"/>
  <c r="N20" i="18" s="1"/>
  <c r="AJ33" i="7" l="1"/>
  <c r="AH32" i="7"/>
  <c r="W23" i="5"/>
  <c r="S23" i="5"/>
  <c r="Q32" i="5"/>
  <c r="Q31" i="5"/>
  <c r="Q30" i="5"/>
  <c r="Q29" i="5"/>
  <c r="Q28" i="5"/>
  <c r="Q27" i="5"/>
  <c r="Q26" i="5"/>
  <c r="S25" i="5"/>
  <c r="S26" i="5" s="1"/>
  <c r="Q25" i="5"/>
  <c r="X24" i="5"/>
  <c r="Y24" i="5" s="1"/>
  <c r="W24" i="5"/>
  <c r="W25" i="5" s="1"/>
  <c r="S24" i="5"/>
  <c r="T24" i="5" s="1"/>
  <c r="U24" i="5" s="1"/>
  <c r="Q24" i="5"/>
  <c r="Q21" i="5"/>
  <c r="Q20" i="5"/>
  <c r="Q19" i="5"/>
  <c r="W18" i="5"/>
  <c r="W19" i="5" s="1"/>
  <c r="Q18" i="5"/>
  <c r="W17" i="5"/>
  <c r="X17" i="5" s="1"/>
  <c r="S17" i="5"/>
  <c r="S18" i="5" s="1"/>
  <c r="Q17" i="5"/>
  <c r="Q14" i="5"/>
  <c r="Q13" i="5"/>
  <c r="Q12" i="5"/>
  <c r="Q11" i="5"/>
  <c r="W10" i="5"/>
  <c r="X10" i="5" s="1"/>
  <c r="Y10" i="5" s="1"/>
  <c r="T10" i="5"/>
  <c r="S10" i="5"/>
  <c r="S11" i="5" s="1"/>
  <c r="Q10" i="5"/>
  <c r="X9" i="5"/>
  <c r="Y9" i="5" s="1"/>
  <c r="W9" i="5"/>
  <c r="T9" i="5"/>
  <c r="S9" i="5"/>
  <c r="C9" i="5"/>
  <c r="U9" i="5" s="1"/>
  <c r="U10" i="5" l="1"/>
  <c r="T26" i="5"/>
  <c r="U26" i="5" s="1"/>
  <c r="S27" i="5"/>
  <c r="W26" i="5"/>
  <c r="X25" i="5"/>
  <c r="Y25" i="5" s="1"/>
  <c r="T25" i="5"/>
  <c r="T18" i="5"/>
  <c r="S19" i="5"/>
  <c r="X19" i="5"/>
  <c r="W20" i="5"/>
  <c r="X18" i="5"/>
  <c r="T17" i="5"/>
  <c r="U17" i="5" s="1"/>
  <c r="T11" i="5"/>
  <c r="S12" i="5"/>
  <c r="W11" i="5"/>
  <c r="P22" i="7"/>
  <c r="O22" i="7"/>
  <c r="I22" i="7"/>
  <c r="H22" i="7"/>
  <c r="P41" i="7"/>
  <c r="P43" i="7" s="1"/>
  <c r="O41" i="7"/>
  <c r="O43" i="7" s="1"/>
  <c r="K41" i="7"/>
  <c r="I41" i="7"/>
  <c r="I43" i="7" s="1"/>
  <c r="H41" i="7"/>
  <c r="H43" i="7" s="1"/>
  <c r="G41" i="7"/>
  <c r="U11" i="5" l="1"/>
  <c r="U25" i="5"/>
  <c r="S28" i="5"/>
  <c r="T27" i="5"/>
  <c r="X26" i="5"/>
  <c r="Y26" i="5" s="1"/>
  <c r="W27" i="5"/>
  <c r="S20" i="5"/>
  <c r="T19" i="5"/>
  <c r="U19" i="5" s="1"/>
  <c r="Y18" i="5"/>
  <c r="U18" i="5"/>
  <c r="Y17" i="5"/>
  <c r="W21" i="5"/>
  <c r="X21" i="5" s="1"/>
  <c r="X20" i="5"/>
  <c r="W12" i="5"/>
  <c r="X11" i="5"/>
  <c r="Y11" i="5" s="1"/>
  <c r="S13" i="5"/>
  <c r="T12" i="5"/>
  <c r="U12" i="5" s="1"/>
  <c r="W28" i="5" l="1"/>
  <c r="X27" i="5"/>
  <c r="Y27" i="5" s="1"/>
  <c r="T28" i="5"/>
  <c r="S29" i="5"/>
  <c r="U27" i="5"/>
  <c r="Y21" i="5"/>
  <c r="T20" i="5"/>
  <c r="U20" i="5" s="1"/>
  <c r="S21" i="5"/>
  <c r="T21" i="5" s="1"/>
  <c r="U21" i="5" s="1"/>
  <c r="Y19" i="5"/>
  <c r="T13" i="5"/>
  <c r="U13" i="5" s="1"/>
  <c r="S14" i="5"/>
  <c r="T14" i="5" s="1"/>
  <c r="U14" i="5" s="1"/>
  <c r="X12" i="5"/>
  <c r="Y12" i="5" s="1"/>
  <c r="W13" i="5"/>
  <c r="C55" i="10"/>
  <c r="C54" i="10"/>
  <c r="B54" i="10"/>
  <c r="B53" i="10"/>
  <c r="C28" i="10"/>
  <c r="C27" i="10"/>
  <c r="H4" i="7"/>
  <c r="I4" i="7"/>
  <c r="F4" i="10" s="1"/>
  <c r="F35" i="10" s="1"/>
  <c r="J4" i="7"/>
  <c r="J1" i="7" s="1"/>
  <c r="G1" i="10" s="1"/>
  <c r="K4" i="7"/>
  <c r="K1" i="7" s="1"/>
  <c r="H1" i="10" s="1"/>
  <c r="L4" i="7"/>
  <c r="I4" i="10" s="1"/>
  <c r="I35" i="10" s="1"/>
  <c r="M4" i="7"/>
  <c r="N4" i="7"/>
  <c r="O4" i="7"/>
  <c r="P4" i="7"/>
  <c r="Q4" i="7"/>
  <c r="N4" i="10" s="1"/>
  <c r="N35" i="10" s="1"/>
  <c r="R4" i="7"/>
  <c r="O4" i="10" s="1"/>
  <c r="O35" i="10" s="1"/>
  <c r="S4" i="7"/>
  <c r="P4" i="10" s="1"/>
  <c r="P35" i="10" s="1"/>
  <c r="T4" i="7"/>
  <c r="U4" i="7"/>
  <c r="V4" i="7"/>
  <c r="S4" i="10" s="1"/>
  <c r="S35" i="10" s="1"/>
  <c r="W4" i="7"/>
  <c r="X4" i="7"/>
  <c r="Y4" i="7"/>
  <c r="Y1" i="7" s="1"/>
  <c r="V1" i="10" s="1"/>
  <c r="Z4" i="7"/>
  <c r="W4" i="10" s="1"/>
  <c r="W35" i="10" s="1"/>
  <c r="AA4" i="7"/>
  <c r="AA1" i="7" s="1"/>
  <c r="X1" i="10" s="1"/>
  <c r="AB4" i="7"/>
  <c r="Y4" i="10" s="1"/>
  <c r="Y35" i="10" s="1"/>
  <c r="AC4" i="7"/>
  <c r="AD4" i="7"/>
  <c r="AA4" i="10" s="1"/>
  <c r="AA35" i="10" s="1"/>
  <c r="AE4" i="7"/>
  <c r="AE1" i="7" s="1"/>
  <c r="AB1" i="10" s="1"/>
  <c r="AF4" i="7"/>
  <c r="Y16" i="5"/>
  <c r="Y23" i="5"/>
  <c r="Y8" i="5"/>
  <c r="U16" i="5"/>
  <c r="U23" i="5"/>
  <c r="U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Z6" i="6"/>
  <c r="Z7" i="6"/>
  <c r="Z8" i="6"/>
  <c r="Z9" i="6"/>
  <c r="Z10" i="6"/>
  <c r="Y10" i="6" s="1"/>
  <c r="Z11" i="6"/>
  <c r="Z13" i="6"/>
  <c r="Z14" i="6"/>
  <c r="Z15" i="6"/>
  <c r="Z16" i="6"/>
  <c r="Z17" i="6"/>
  <c r="Z18" i="6"/>
  <c r="Z20" i="6"/>
  <c r="Y20" i="6" s="1"/>
  <c r="Z21" i="6"/>
  <c r="Z22" i="6"/>
  <c r="Z23" i="6"/>
  <c r="Z24" i="6"/>
  <c r="Z25" i="6"/>
  <c r="Z26" i="6"/>
  <c r="Y26" i="6" s="1"/>
  <c r="Z27" i="6"/>
  <c r="X27" i="6" s="1"/>
  <c r="Z28" i="6"/>
  <c r="Y28" i="6" s="1"/>
  <c r="Z29" i="6"/>
  <c r="W16" i="6"/>
  <c r="W24" i="6"/>
  <c r="W26" i="6"/>
  <c r="J10" i="6"/>
  <c r="J13" i="6"/>
  <c r="J26" i="6"/>
  <c r="A6" i="6"/>
  <c r="W6" i="6" s="1"/>
  <c r="A7" i="6"/>
  <c r="W7" i="6" s="1"/>
  <c r="A8" i="6"/>
  <c r="W8" i="6" s="1"/>
  <c r="A9" i="6"/>
  <c r="W9" i="6" s="1"/>
  <c r="A10" i="6"/>
  <c r="W10" i="6" s="1"/>
  <c r="A11" i="6"/>
  <c r="W11" i="6" s="1"/>
  <c r="A12" i="6"/>
  <c r="W12" i="6" s="1"/>
  <c r="A13" i="6"/>
  <c r="W13" i="6" s="1"/>
  <c r="A14" i="6"/>
  <c r="W14" i="6" s="1"/>
  <c r="A15" i="6"/>
  <c r="W15" i="6" s="1"/>
  <c r="A16" i="6"/>
  <c r="J16" i="6" s="1"/>
  <c r="A17" i="6"/>
  <c r="A18" i="6"/>
  <c r="J18" i="6" s="1"/>
  <c r="A19" i="6"/>
  <c r="W19" i="6" s="1"/>
  <c r="A20" i="6"/>
  <c r="W20" i="6" s="1"/>
  <c r="A21" i="6"/>
  <c r="W21" i="6" s="1"/>
  <c r="A22" i="6"/>
  <c r="W22" i="6" s="1"/>
  <c r="A23" i="6"/>
  <c r="W23" i="6" s="1"/>
  <c r="A24" i="6"/>
  <c r="J24" i="6" s="1"/>
  <c r="A25" i="6"/>
  <c r="A26" i="6"/>
  <c r="A27" i="6"/>
  <c r="W27" i="6" s="1"/>
  <c r="A28" i="6"/>
  <c r="W28" i="6" s="1"/>
  <c r="A29" i="6"/>
  <c r="W29" i="6" s="1"/>
  <c r="A30" i="6"/>
  <c r="W30" i="6" s="1"/>
  <c r="B23" i="10"/>
  <c r="B30" i="10" s="1"/>
  <c r="B22" i="10"/>
  <c r="B29" i="10" s="1"/>
  <c r="C24" i="10"/>
  <c r="C31" i="10" s="1"/>
  <c r="C23" i="10"/>
  <c r="C30" i="10" s="1"/>
  <c r="E4" i="10"/>
  <c r="E35" i="10" s="1"/>
  <c r="J4" i="10"/>
  <c r="J35" i="10" s="1"/>
  <c r="K4" i="10"/>
  <c r="K35" i="10" s="1"/>
  <c r="M4" i="10"/>
  <c r="M35" i="10" s="1"/>
  <c r="R4" i="10"/>
  <c r="R35" i="10" s="1"/>
  <c r="U4" i="10"/>
  <c r="U35" i="10" s="1"/>
  <c r="Z4" i="10"/>
  <c r="Z35" i="10" s="1"/>
  <c r="AC4" i="10"/>
  <c r="AC35" i="10" s="1"/>
  <c r="C35" i="10"/>
  <c r="Q36" i="10"/>
  <c r="P36" i="10"/>
  <c r="O36" i="10"/>
  <c r="N36" i="10"/>
  <c r="M36" i="10"/>
  <c r="G48" i="7"/>
  <c r="F240" i="8"/>
  <c r="F241" i="8" s="1"/>
  <c r="F242" i="8" s="1"/>
  <c r="F243" i="8" s="1"/>
  <c r="F244" i="8" s="1"/>
  <c r="F245" i="8" s="1"/>
  <c r="F246" i="8" s="1"/>
  <c r="F247" i="8" s="1"/>
  <c r="F248" i="8" s="1"/>
  <c r="G240" i="8"/>
  <c r="G241" i="8" s="1"/>
  <c r="G242" i="8" s="1"/>
  <c r="G243" i="8" s="1"/>
  <c r="G244" i="8" s="1"/>
  <c r="G245" i="8" s="1"/>
  <c r="G246" i="8" s="1"/>
  <c r="G247" i="8" s="1"/>
  <c r="G248" i="8" s="1"/>
  <c r="H240" i="8"/>
  <c r="I240" i="8"/>
  <c r="J240" i="8"/>
  <c r="K240" i="8"/>
  <c r="K241" i="8" s="1"/>
  <c r="K242" i="8" s="1"/>
  <c r="K243" i="8" s="1"/>
  <c r="K244" i="8" s="1"/>
  <c r="K245" i="8" s="1"/>
  <c r="K246" i="8" s="1"/>
  <c r="K247" i="8" s="1"/>
  <c r="K248" i="8" s="1"/>
  <c r="L240" i="8"/>
  <c r="L241" i="8" s="1"/>
  <c r="L242" i="8" s="1"/>
  <c r="L243" i="8" s="1"/>
  <c r="L244" i="8" s="1"/>
  <c r="L245" i="8" s="1"/>
  <c r="L246" i="8" s="1"/>
  <c r="L247" i="8" s="1"/>
  <c r="L248" i="8" s="1"/>
  <c r="M240" i="8"/>
  <c r="M241" i="8"/>
  <c r="M242" i="8" s="1"/>
  <c r="M243" i="8" s="1"/>
  <c r="M244" i="8" s="1"/>
  <c r="M245" i="8" s="1"/>
  <c r="M246" i="8" s="1"/>
  <c r="M247" i="8" s="1"/>
  <c r="M248" i="8" s="1"/>
  <c r="N240" i="8"/>
  <c r="N241" i="8" s="1"/>
  <c r="N242" i="8" s="1"/>
  <c r="N243" i="8" s="1"/>
  <c r="N244" i="8" s="1"/>
  <c r="N245" i="8" s="1"/>
  <c r="N246" i="8" s="1"/>
  <c r="N247" i="8" s="1"/>
  <c r="N248" i="8" s="1"/>
  <c r="O240" i="8"/>
  <c r="O241" i="8" s="1"/>
  <c r="O242" i="8" s="1"/>
  <c r="O243" i="8" s="1"/>
  <c r="O244" i="8" s="1"/>
  <c r="O245" i="8" s="1"/>
  <c r="O246" i="8" s="1"/>
  <c r="O247" i="8"/>
  <c r="O248" i="8" s="1"/>
  <c r="P240" i="8"/>
  <c r="Q240" i="8"/>
  <c r="R240" i="8"/>
  <c r="S240" i="8"/>
  <c r="S241" i="8" s="1"/>
  <c r="T240" i="8"/>
  <c r="T241" i="8" s="1"/>
  <c r="T242" i="8" s="1"/>
  <c r="T243" i="8" s="1"/>
  <c r="T244" i="8" s="1"/>
  <c r="T245" i="8" s="1"/>
  <c r="T246" i="8" s="1"/>
  <c r="T247" i="8" s="1"/>
  <c r="T248" i="8" s="1"/>
  <c r="U240" i="8"/>
  <c r="U241" i="8"/>
  <c r="U242" i="8" s="1"/>
  <c r="U243" i="8" s="1"/>
  <c r="U244" i="8" s="1"/>
  <c r="U245" i="8" s="1"/>
  <c r="U246" i="8" s="1"/>
  <c r="U247" i="8" s="1"/>
  <c r="U248" i="8" s="1"/>
  <c r="V240" i="8"/>
  <c r="V241" i="8" s="1"/>
  <c r="V242" i="8" s="1"/>
  <c r="V243" i="8" s="1"/>
  <c r="V244" i="8" s="1"/>
  <c r="V245" i="8" s="1"/>
  <c r="V246" i="8" s="1"/>
  <c r="V247" i="8" s="1"/>
  <c r="V248" i="8" s="1"/>
  <c r="W240" i="8"/>
  <c r="W241" i="8" s="1"/>
  <c r="W242" i="8" s="1"/>
  <c r="W243" i="8" s="1"/>
  <c r="W244" i="8" s="1"/>
  <c r="W245" i="8" s="1"/>
  <c r="W246" i="8" s="1"/>
  <c r="W247" i="8" s="1"/>
  <c r="W248" i="8" s="1"/>
  <c r="X240" i="8"/>
  <c r="X241" i="8" s="1"/>
  <c r="X242" i="8" s="1"/>
  <c r="X243" i="8" s="1"/>
  <c r="X244" i="8" s="1"/>
  <c r="X245" i="8" s="1"/>
  <c r="X246" i="8" s="1"/>
  <c r="X247" i="8" s="1"/>
  <c r="X248" i="8" s="1"/>
  <c r="H241" i="8"/>
  <c r="H242" i="8" s="1"/>
  <c r="H243" i="8" s="1"/>
  <c r="H244" i="8" s="1"/>
  <c r="H245" i="8" s="1"/>
  <c r="H246" i="8" s="1"/>
  <c r="H247" i="8" s="1"/>
  <c r="H248" i="8" s="1"/>
  <c r="I241" i="8"/>
  <c r="I242" i="8" s="1"/>
  <c r="I243" i="8" s="1"/>
  <c r="I244" i="8" s="1"/>
  <c r="I245" i="8" s="1"/>
  <c r="I246" i="8" s="1"/>
  <c r="I247" i="8" s="1"/>
  <c r="I248" i="8" s="1"/>
  <c r="J241" i="8"/>
  <c r="J242" i="8" s="1"/>
  <c r="J243" i="8" s="1"/>
  <c r="J244" i="8" s="1"/>
  <c r="J245" i="8" s="1"/>
  <c r="J246" i="8" s="1"/>
  <c r="J247" i="8" s="1"/>
  <c r="J248" i="8" s="1"/>
  <c r="P241" i="8"/>
  <c r="Q241" i="8"/>
  <c r="Q242" i="8" s="1"/>
  <c r="Q243" i="8" s="1"/>
  <c r="Q244" i="8" s="1"/>
  <c r="R241" i="8"/>
  <c r="R242" i="8"/>
  <c r="R243" i="8" s="1"/>
  <c r="R244" i="8" s="1"/>
  <c r="R245" i="8" s="1"/>
  <c r="R246" i="8" s="1"/>
  <c r="R247" i="8" s="1"/>
  <c r="R248" i="8" s="1"/>
  <c r="S242" i="8"/>
  <c r="S243" i="8" s="1"/>
  <c r="S244" i="8" s="1"/>
  <c r="S245" i="8" s="1"/>
  <c r="S246" i="8" s="1"/>
  <c r="S247" i="8" s="1"/>
  <c r="S248" i="8" s="1"/>
  <c r="P242" i="8"/>
  <c r="P243" i="8" s="1"/>
  <c r="P244" i="8" s="1"/>
  <c r="P245" i="8" s="1"/>
  <c r="P246" i="8" s="1"/>
  <c r="P247" i="8" s="1"/>
  <c r="P248" i="8" s="1"/>
  <c r="Q245" i="8"/>
  <c r="Q246" i="8" s="1"/>
  <c r="Q247" i="8" s="1"/>
  <c r="Q248" i="8" s="1"/>
  <c r="E240" i="8"/>
  <c r="E241" i="8" s="1"/>
  <c r="E242" i="8" s="1"/>
  <c r="E243" i="8" s="1"/>
  <c r="E244" i="8" s="1"/>
  <c r="E245" i="8" s="1"/>
  <c r="E246" i="8" s="1"/>
  <c r="E247" i="8" s="1"/>
  <c r="E248" i="8" s="1"/>
  <c r="F232" i="8"/>
  <c r="F233" i="8"/>
  <c r="F234" i="8"/>
  <c r="F235" i="8" s="1"/>
  <c r="F236" i="8" s="1"/>
  <c r="F237" i="8" s="1"/>
  <c r="G232" i="8"/>
  <c r="G233" i="8" s="1"/>
  <c r="G234" i="8" s="1"/>
  <c r="G235" i="8" s="1"/>
  <c r="G236" i="8" s="1"/>
  <c r="G237" i="8" s="1"/>
  <c r="H232" i="8"/>
  <c r="H233" i="8" s="1"/>
  <c r="H234" i="8" s="1"/>
  <c r="H235" i="8" s="1"/>
  <c r="H236" i="8" s="1"/>
  <c r="H237" i="8" s="1"/>
  <c r="I232" i="8"/>
  <c r="I233" i="8"/>
  <c r="I234" i="8"/>
  <c r="I235" i="8" s="1"/>
  <c r="I236" i="8" s="1"/>
  <c r="I237" i="8" s="1"/>
  <c r="J232" i="8"/>
  <c r="J233" i="8"/>
  <c r="J234" i="8" s="1"/>
  <c r="J235" i="8" s="1"/>
  <c r="J236" i="8" s="1"/>
  <c r="J237" i="8" s="1"/>
  <c r="K232" i="8"/>
  <c r="K233" i="8" s="1"/>
  <c r="K234" i="8" s="1"/>
  <c r="K235" i="8" s="1"/>
  <c r="K236" i="8" s="1"/>
  <c r="K237" i="8" s="1"/>
  <c r="L232" i="8"/>
  <c r="L233" i="8" s="1"/>
  <c r="L234" i="8" s="1"/>
  <c r="L235" i="8" s="1"/>
  <c r="L236" i="8" s="1"/>
  <c r="L237" i="8" s="1"/>
  <c r="M232" i="8"/>
  <c r="M233" i="8"/>
  <c r="M234" i="8" s="1"/>
  <c r="M235" i="8" s="1"/>
  <c r="M236" i="8" s="1"/>
  <c r="M237" i="8" s="1"/>
  <c r="N232" i="8"/>
  <c r="N233" i="8" s="1"/>
  <c r="N234" i="8" s="1"/>
  <c r="N235" i="8" s="1"/>
  <c r="N236" i="8" s="1"/>
  <c r="N237" i="8" s="1"/>
  <c r="O232" i="8"/>
  <c r="P232" i="8"/>
  <c r="Q232" i="8"/>
  <c r="Q233" i="8"/>
  <c r="Q234" i="8" s="1"/>
  <c r="Q235" i="8" s="1"/>
  <c r="Q236" i="8" s="1"/>
  <c r="Q237" i="8" s="1"/>
  <c r="R232" i="8"/>
  <c r="R233" i="8" s="1"/>
  <c r="R234" i="8" s="1"/>
  <c r="R235" i="8" s="1"/>
  <c r="R236" i="8" s="1"/>
  <c r="R237" i="8"/>
  <c r="S232" i="8"/>
  <c r="S233" i="8" s="1"/>
  <c r="S234" i="8" s="1"/>
  <c r="S235" i="8" s="1"/>
  <c r="S236" i="8" s="1"/>
  <c r="S237" i="8" s="1"/>
  <c r="T232" i="8"/>
  <c r="T233" i="8" s="1"/>
  <c r="T234" i="8" s="1"/>
  <c r="T235" i="8" s="1"/>
  <c r="T236" i="8" s="1"/>
  <c r="T237" i="8" s="1"/>
  <c r="U232" i="8"/>
  <c r="U233" i="8" s="1"/>
  <c r="U234" i="8" s="1"/>
  <c r="U235" i="8" s="1"/>
  <c r="U236" i="8" s="1"/>
  <c r="U237" i="8" s="1"/>
  <c r="V232" i="8"/>
  <c r="V233" i="8" s="1"/>
  <c r="V234" i="8"/>
  <c r="V235" i="8" s="1"/>
  <c r="V236" i="8" s="1"/>
  <c r="V237" i="8" s="1"/>
  <c r="W232" i="8"/>
  <c r="X232" i="8"/>
  <c r="X233" i="8" s="1"/>
  <c r="X234" i="8" s="1"/>
  <c r="X235" i="8" s="1"/>
  <c r="X236" i="8" s="1"/>
  <c r="X237" i="8" s="1"/>
  <c r="O233" i="8"/>
  <c r="O234" i="8" s="1"/>
  <c r="O235" i="8" s="1"/>
  <c r="O236" i="8" s="1"/>
  <c r="O237" i="8" s="1"/>
  <c r="P233" i="8"/>
  <c r="P234" i="8" s="1"/>
  <c r="P235" i="8"/>
  <c r="P236" i="8" s="1"/>
  <c r="P237" i="8" s="1"/>
  <c r="W233" i="8"/>
  <c r="W234" i="8" s="1"/>
  <c r="W235" i="8" s="1"/>
  <c r="W236" i="8" s="1"/>
  <c r="W237" i="8" s="1"/>
  <c r="E232" i="8"/>
  <c r="E233" i="8" s="1"/>
  <c r="E234" i="8" s="1"/>
  <c r="E235" i="8" s="1"/>
  <c r="E236" i="8" s="1"/>
  <c r="E237" i="8" s="1"/>
  <c r="F225" i="8"/>
  <c r="F226" i="8" s="1"/>
  <c r="F227" i="8" s="1"/>
  <c r="F228" i="8" s="1"/>
  <c r="F229" i="8" s="1"/>
  <c r="F230" i="8" s="1"/>
  <c r="G225" i="8"/>
  <c r="G226" i="8" s="1"/>
  <c r="G227" i="8" s="1"/>
  <c r="G228" i="8" s="1"/>
  <c r="G229" i="8" s="1"/>
  <c r="G230" i="8" s="1"/>
  <c r="H225" i="8"/>
  <c r="H226" i="8" s="1"/>
  <c r="H227" i="8" s="1"/>
  <c r="H228" i="8" s="1"/>
  <c r="H229" i="8" s="1"/>
  <c r="H230" i="8" s="1"/>
  <c r="I225" i="8"/>
  <c r="J225" i="8"/>
  <c r="K225" i="8"/>
  <c r="K226" i="8" s="1"/>
  <c r="K227" i="8" s="1"/>
  <c r="K228" i="8" s="1"/>
  <c r="K229" i="8" s="1"/>
  <c r="K230" i="8" s="1"/>
  <c r="L225" i="8"/>
  <c r="L226" i="8"/>
  <c r="L227" i="8" s="1"/>
  <c r="L228" i="8" s="1"/>
  <c r="L229" i="8" s="1"/>
  <c r="L230" i="8" s="1"/>
  <c r="M225" i="8"/>
  <c r="M226" i="8"/>
  <c r="M227" i="8" s="1"/>
  <c r="M228" i="8" s="1"/>
  <c r="M229" i="8" s="1"/>
  <c r="M230" i="8" s="1"/>
  <c r="N225" i="8"/>
  <c r="O225" i="8"/>
  <c r="P225" i="8"/>
  <c r="Q225" i="8"/>
  <c r="Q226" i="8" s="1"/>
  <c r="Q227" i="8" s="1"/>
  <c r="Q228" i="8" s="1"/>
  <c r="R225" i="8"/>
  <c r="S225" i="8"/>
  <c r="S226" i="8" s="1"/>
  <c r="S227" i="8" s="1"/>
  <c r="S228" i="8" s="1"/>
  <c r="S229" i="8" s="1"/>
  <c r="S230" i="8" s="1"/>
  <c r="T225" i="8"/>
  <c r="T226" i="8" s="1"/>
  <c r="T227" i="8" s="1"/>
  <c r="T228" i="8" s="1"/>
  <c r="T229" i="8" s="1"/>
  <c r="T230" i="8" s="1"/>
  <c r="U225" i="8"/>
  <c r="U226" i="8" s="1"/>
  <c r="U227" i="8" s="1"/>
  <c r="U228" i="8" s="1"/>
  <c r="U229" i="8" s="1"/>
  <c r="U230" i="8" s="1"/>
  <c r="V225" i="8"/>
  <c r="W225" i="8"/>
  <c r="W226" i="8" s="1"/>
  <c r="X225" i="8"/>
  <c r="I226" i="8"/>
  <c r="I227" i="8" s="1"/>
  <c r="I228" i="8" s="1"/>
  <c r="I229" i="8" s="1"/>
  <c r="I230" i="8" s="1"/>
  <c r="J226" i="8"/>
  <c r="J227" i="8" s="1"/>
  <c r="J228" i="8" s="1"/>
  <c r="J229" i="8" s="1"/>
  <c r="J230" i="8" s="1"/>
  <c r="N226" i="8"/>
  <c r="O226" i="8"/>
  <c r="O227" i="8" s="1"/>
  <c r="O228" i="8" s="1"/>
  <c r="O229" i="8" s="1"/>
  <c r="O230" i="8" s="1"/>
  <c r="P226" i="8"/>
  <c r="P227" i="8" s="1"/>
  <c r="P228" i="8" s="1"/>
  <c r="P229" i="8" s="1"/>
  <c r="P230" i="8" s="1"/>
  <c r="R226" i="8"/>
  <c r="R227" i="8"/>
  <c r="R228" i="8" s="1"/>
  <c r="R229" i="8"/>
  <c r="R230" i="8" s="1"/>
  <c r="V226" i="8"/>
  <c r="V227" i="8" s="1"/>
  <c r="V228" i="8" s="1"/>
  <c r="V229" i="8" s="1"/>
  <c r="V230" i="8" s="1"/>
  <c r="X226" i="8"/>
  <c r="X227" i="8"/>
  <c r="X228" i="8" s="1"/>
  <c r="X229" i="8" s="1"/>
  <c r="X230" i="8" s="1"/>
  <c r="N227" i="8"/>
  <c r="N228" i="8" s="1"/>
  <c r="N229" i="8" s="1"/>
  <c r="N230" i="8" s="1"/>
  <c r="W227" i="8"/>
  <c r="W228" i="8" s="1"/>
  <c r="W229" i="8" s="1"/>
  <c r="W230" i="8" s="1"/>
  <c r="Q229" i="8"/>
  <c r="Q230" i="8" s="1"/>
  <c r="E225" i="8"/>
  <c r="E226" i="8" s="1"/>
  <c r="E227" i="8" s="1"/>
  <c r="E228" i="8" s="1"/>
  <c r="E229" i="8" s="1"/>
  <c r="E230" i="8" s="1"/>
  <c r="Y239" i="8"/>
  <c r="AB33" i="8"/>
  <c r="AA33" i="8"/>
  <c r="Z30" i="6" s="1"/>
  <c r="AB22" i="8"/>
  <c r="AA22" i="8"/>
  <c r="Z19" i="6" s="1"/>
  <c r="AB15" i="8"/>
  <c r="AA15" i="8"/>
  <c r="Z12" i="6" s="1"/>
  <c r="G4" i="7"/>
  <c r="V48" i="7"/>
  <c r="O48" i="7"/>
  <c r="C27" i="17"/>
  <c r="C26" i="17"/>
  <c r="C25" i="17"/>
  <c r="B15" i="17"/>
  <c r="B16" i="17"/>
  <c r="B17" i="17"/>
  <c r="B18" i="17"/>
  <c r="B19" i="17"/>
  <c r="B20" i="17"/>
  <c r="B21" i="17"/>
  <c r="B14" i="17"/>
  <c r="G30" i="7"/>
  <c r="P14" i="7"/>
  <c r="P15" i="7" s="1"/>
  <c r="O14" i="7"/>
  <c r="O15" i="7" s="1"/>
  <c r="L7" i="6"/>
  <c r="D7" i="10"/>
  <c r="H28" i="7"/>
  <c r="H24" i="7" s="1"/>
  <c r="V32" i="7"/>
  <c r="V42" i="7" s="1"/>
  <c r="AI26" i="7"/>
  <c r="AH26" i="7"/>
  <c r="AL31" i="7"/>
  <c r="AM31" i="7"/>
  <c r="AN31" i="7" s="1"/>
  <c r="AI31" i="7"/>
  <c r="AH31" i="7"/>
  <c r="V41" i="7"/>
  <c r="V31" i="7"/>
  <c r="V30" i="7"/>
  <c r="V28" i="7"/>
  <c r="V24" i="7" s="1"/>
  <c r="V20" i="7"/>
  <c r="V21" i="7" s="1"/>
  <c r="V36" i="7" s="1"/>
  <c r="V38" i="7" s="1"/>
  <c r="V15" i="7"/>
  <c r="Q39" i="10"/>
  <c r="P39" i="10"/>
  <c r="O39" i="10"/>
  <c r="Q39" i="7"/>
  <c r="Q41" i="7" s="1"/>
  <c r="Q31" i="7"/>
  <c r="N39" i="10" s="1"/>
  <c r="Q30" i="7"/>
  <c r="Q28" i="7"/>
  <c r="Q24" i="7" s="1"/>
  <c r="Q20" i="7"/>
  <c r="Q15" i="7"/>
  <c r="P31" i="7"/>
  <c r="M39" i="10" s="1"/>
  <c r="P30" i="7"/>
  <c r="P28" i="7"/>
  <c r="P20" i="7"/>
  <c r="O31" i="7"/>
  <c r="L39" i="10" s="1"/>
  <c r="O30" i="7"/>
  <c r="O28" i="7"/>
  <c r="O20" i="7"/>
  <c r="K31" i="7"/>
  <c r="K30" i="7"/>
  <c r="K28" i="7"/>
  <c r="K24" i="7" s="1"/>
  <c r="K20" i="7"/>
  <c r="I31" i="7"/>
  <c r="I30" i="7"/>
  <c r="I28" i="7"/>
  <c r="I20" i="7"/>
  <c r="I15" i="7"/>
  <c r="H31" i="7"/>
  <c r="H30" i="7"/>
  <c r="H20" i="7"/>
  <c r="H15" i="7"/>
  <c r="G31" i="7"/>
  <c r="G28" i="7"/>
  <c r="Y9" i="8"/>
  <c r="H23" i="1" s="1"/>
  <c r="Y10" i="8"/>
  <c r="G23" i="1" s="1"/>
  <c r="Y11" i="8"/>
  <c r="Y12" i="8"/>
  <c r="E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Y13" i="8"/>
  <c r="Z13" i="8" s="1"/>
  <c r="Y14" i="8"/>
  <c r="Z14" i="8"/>
  <c r="Y15" i="8"/>
  <c r="Z15" i="8"/>
  <c r="Y16" i="8"/>
  <c r="Y17" i="8"/>
  <c r="Y18" i="8"/>
  <c r="Y19" i="8"/>
  <c r="Z19" i="8" s="1"/>
  <c r="Y20" i="8"/>
  <c r="Y21" i="8"/>
  <c r="Z21" i="8"/>
  <c r="Y22" i="8"/>
  <c r="Z22" i="8" s="1"/>
  <c r="Y23" i="8"/>
  <c r="Z23" i="8" s="1"/>
  <c r="F24" i="13" s="1"/>
  <c r="Y24" i="8"/>
  <c r="Y25" i="8"/>
  <c r="Z25" i="8" s="1"/>
  <c r="Y26" i="8"/>
  <c r="Y27" i="8"/>
  <c r="Z27" i="8"/>
  <c r="Y28" i="8"/>
  <c r="Z28" i="8" s="1"/>
  <c r="Y29" i="8"/>
  <c r="Y30" i="8"/>
  <c r="Z30" i="8" s="1"/>
  <c r="Y31" i="8"/>
  <c r="Z31" i="8" s="1"/>
  <c r="Y32" i="8"/>
  <c r="Y33" i="8"/>
  <c r="Z33" i="8"/>
  <c r="Y8" i="8"/>
  <c r="Z8" i="8" s="1"/>
  <c r="I24" i="1" s="1"/>
  <c r="E90" i="8"/>
  <c r="F90" i="8" s="1"/>
  <c r="E96" i="8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E97" i="8"/>
  <c r="E98" i="8"/>
  <c r="E103" i="8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E104" i="8"/>
  <c r="E105" i="8"/>
  <c r="F105" i="8" s="1"/>
  <c r="E114" i="8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E89" i="8"/>
  <c r="E63" i="8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E69" i="8"/>
  <c r="F69" i="8" s="1"/>
  <c r="E70" i="8"/>
  <c r="F70" i="8"/>
  <c r="G70" i="8" s="1"/>
  <c r="E71" i="8"/>
  <c r="F71" i="8" s="1"/>
  <c r="E72" i="8"/>
  <c r="F72" i="8" s="1"/>
  <c r="E73" i="8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E74" i="8"/>
  <c r="F74" i="8" s="1"/>
  <c r="E75" i="8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E76" i="8"/>
  <c r="F76" i="8" s="1"/>
  <c r="E77" i="8"/>
  <c r="F77" i="8" s="1"/>
  <c r="E78" i="8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E79" i="8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E80" i="8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E81" i="8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E82" i="8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E83" i="8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E84" i="8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E85" i="8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E86" i="8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E87" i="8"/>
  <c r="F87" i="8" s="1"/>
  <c r="X16" i="5"/>
  <c r="X8" i="5"/>
  <c r="T23" i="5"/>
  <c r="T16" i="5"/>
  <c r="T8" i="5"/>
  <c r="E107" i="8"/>
  <c r="C23" i="5"/>
  <c r="E102" i="8"/>
  <c r="E101" i="8"/>
  <c r="C16" i="5"/>
  <c r="C8" i="5"/>
  <c r="X7" i="5"/>
  <c r="W7" i="5"/>
  <c r="W6" i="5"/>
  <c r="T7" i="5"/>
  <c r="S7" i="5"/>
  <c r="S6" i="5"/>
  <c r="Q9" i="5"/>
  <c r="Q16" i="5"/>
  <c r="Q23" i="5"/>
  <c r="D6" i="10"/>
  <c r="D5" i="10"/>
  <c r="R33" i="12"/>
  <c r="R33" i="13"/>
  <c r="R34" i="13"/>
  <c r="R35" i="13"/>
  <c r="R36" i="13"/>
  <c r="E45" i="13"/>
  <c r="D56" i="13"/>
  <c r="D58" i="13" s="1"/>
  <c r="D55" i="13"/>
  <c r="D45" i="13"/>
  <c r="E99" i="14"/>
  <c r="E56" i="13" s="1"/>
  <c r="B99" i="14"/>
  <c r="A56" i="13" s="1"/>
  <c r="E97" i="14"/>
  <c r="E55" i="13" s="1"/>
  <c r="B97" i="14"/>
  <c r="A55" i="13" s="1"/>
  <c r="E88" i="14"/>
  <c r="E89" i="14" s="1"/>
  <c r="B87" i="14"/>
  <c r="D79" i="14"/>
  <c r="D82" i="14" s="1"/>
  <c r="D98" i="14" s="1"/>
  <c r="B98" i="14" s="1"/>
  <c r="F76" i="14"/>
  <c r="F75" i="14"/>
  <c r="F74" i="14"/>
  <c r="F73" i="14"/>
  <c r="F72" i="14"/>
  <c r="F71" i="14"/>
  <c r="F70" i="14"/>
  <c r="F69" i="14"/>
  <c r="F68" i="14"/>
  <c r="F67" i="14"/>
  <c r="D65" i="14"/>
  <c r="D76" i="14" s="1"/>
  <c r="D96" i="14" s="1"/>
  <c r="D64" i="14"/>
  <c r="D75" i="14" s="1"/>
  <c r="D95" i="14" s="1"/>
  <c r="D63" i="14"/>
  <c r="D74" i="14"/>
  <c r="D94" i="14" s="1"/>
  <c r="D62" i="14"/>
  <c r="D73" i="14" s="1"/>
  <c r="D93" i="14" s="1"/>
  <c r="D61" i="14"/>
  <c r="D72" i="14" s="1"/>
  <c r="D92" i="14" s="1"/>
  <c r="D60" i="14"/>
  <c r="D71" i="14" s="1"/>
  <c r="D91" i="14" s="1"/>
  <c r="D59" i="14"/>
  <c r="D70" i="14" s="1"/>
  <c r="D90" i="14" s="1"/>
  <c r="D58" i="14"/>
  <c r="D69" i="14"/>
  <c r="D89" i="14"/>
  <c r="D47" i="13" s="1"/>
  <c r="D57" i="14"/>
  <c r="D68" i="14" s="1"/>
  <c r="D88" i="14" s="1"/>
  <c r="D104" i="14" s="1"/>
  <c r="E55" i="14"/>
  <c r="E78" i="14" s="1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E52" i="14"/>
  <c r="E53" i="14" s="1"/>
  <c r="E50" i="14"/>
  <c r="E49" i="14"/>
  <c r="E48" i="14"/>
  <c r="E45" i="14"/>
  <c r="E42" i="14"/>
  <c r="E43" i="14" s="1"/>
  <c r="E33" i="14"/>
  <c r="E34" i="14" s="1"/>
  <c r="E38" i="14" s="1"/>
  <c r="E31" i="14"/>
  <c r="E27" i="14"/>
  <c r="E23" i="14"/>
  <c r="E21" i="14"/>
  <c r="E16" i="14"/>
  <c r="F15" i="14"/>
  <c r="E13" i="14"/>
  <c r="E10" i="14"/>
  <c r="G8" i="14"/>
  <c r="E8" i="14"/>
  <c r="D8" i="14"/>
  <c r="F6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H2" i="14"/>
  <c r="H1" i="14"/>
  <c r="F1" i="14"/>
  <c r="F8" i="14"/>
  <c r="A60" i="13"/>
  <c r="D59" i="13"/>
  <c r="A59" i="13"/>
  <c r="F41" i="13"/>
  <c r="E41" i="13"/>
  <c r="E38" i="13"/>
  <c r="E37" i="13"/>
  <c r="F33" i="13"/>
  <c r="F59" i="13"/>
  <c r="E31" i="13"/>
  <c r="E30" i="13"/>
  <c r="E26" i="13"/>
  <c r="E25" i="13"/>
  <c r="C21" i="13"/>
  <c r="C8" i="13"/>
  <c r="G8" i="13"/>
  <c r="C9" i="13"/>
  <c r="C7" i="13"/>
  <c r="G7" i="13"/>
  <c r="G6" i="13"/>
  <c r="H5" i="13"/>
  <c r="G5" i="13"/>
  <c r="F60" i="13"/>
  <c r="H8" i="14"/>
  <c r="I1" i="14"/>
  <c r="D105" i="14"/>
  <c r="B89" i="14"/>
  <c r="A47" i="13" s="1"/>
  <c r="C22" i="13"/>
  <c r="F25" i="13"/>
  <c r="D6" i="11"/>
  <c r="E45" i="12"/>
  <c r="D56" i="12"/>
  <c r="D55" i="12"/>
  <c r="D45" i="12"/>
  <c r="F60" i="12"/>
  <c r="A60" i="12"/>
  <c r="D59" i="12"/>
  <c r="A59" i="12"/>
  <c r="D58" i="12"/>
  <c r="E41" i="12"/>
  <c r="E38" i="12"/>
  <c r="E37" i="12"/>
  <c r="F33" i="12"/>
  <c r="F41" i="12" s="1"/>
  <c r="E31" i="12"/>
  <c r="E30" i="12"/>
  <c r="E26" i="12"/>
  <c r="E25" i="12"/>
  <c r="C21" i="12"/>
  <c r="C8" i="12"/>
  <c r="C9" i="12" s="1"/>
  <c r="C7" i="12"/>
  <c r="G7" i="12"/>
  <c r="G6" i="12"/>
  <c r="H5" i="12"/>
  <c r="G5" i="12"/>
  <c r="E99" i="11"/>
  <c r="E103" i="11" s="1"/>
  <c r="E104" i="11" s="1"/>
  <c r="E105" i="11" s="1"/>
  <c r="E106" i="11" s="1"/>
  <c r="E107" i="11" s="1"/>
  <c r="E108" i="11" s="1"/>
  <c r="E109" i="11" s="1"/>
  <c r="E110" i="11" s="1"/>
  <c r="E111" i="11" s="1"/>
  <c r="B99" i="11"/>
  <c r="A56" i="12" s="1"/>
  <c r="E97" i="11"/>
  <c r="B97" i="11"/>
  <c r="A55" i="12" s="1"/>
  <c r="E88" i="11"/>
  <c r="E46" i="12" s="1"/>
  <c r="B87" i="11"/>
  <c r="D79" i="11"/>
  <c r="D82" i="11" s="1"/>
  <c r="D98" i="11" s="1"/>
  <c r="B98" i="11" s="1"/>
  <c r="F76" i="11"/>
  <c r="F75" i="11"/>
  <c r="F74" i="11"/>
  <c r="F73" i="11"/>
  <c r="F72" i="11"/>
  <c r="F71" i="11"/>
  <c r="F70" i="11"/>
  <c r="F69" i="11"/>
  <c r="F68" i="11"/>
  <c r="F67" i="11"/>
  <c r="D65" i="11"/>
  <c r="D76" i="11" s="1"/>
  <c r="D96" i="11" s="1"/>
  <c r="D64" i="11"/>
  <c r="D75" i="11" s="1"/>
  <c r="D95" i="11" s="1"/>
  <c r="D63" i="11"/>
  <c r="D74" i="11" s="1"/>
  <c r="D94" i="11" s="1"/>
  <c r="D62" i="11"/>
  <c r="D73" i="11" s="1"/>
  <c r="D93" i="11" s="1"/>
  <c r="D61" i="11"/>
  <c r="D72" i="11" s="1"/>
  <c r="D92" i="11" s="1"/>
  <c r="D60" i="11"/>
  <c r="D71" i="11" s="1"/>
  <c r="D91" i="11" s="1"/>
  <c r="D59" i="11"/>
  <c r="D70" i="11" s="1"/>
  <c r="D90" i="11" s="1"/>
  <c r="D58" i="11"/>
  <c r="D69" i="11" s="1"/>
  <c r="D89" i="11" s="1"/>
  <c r="D57" i="11"/>
  <c r="D68" i="11" s="1"/>
  <c r="D88" i="11" s="1"/>
  <c r="E55" i="11"/>
  <c r="E84" i="11" s="1"/>
  <c r="E85" i="11" s="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E52" i="11"/>
  <c r="E53" i="11" s="1"/>
  <c r="E50" i="11"/>
  <c r="E49" i="11"/>
  <c r="E48" i="11"/>
  <c r="E45" i="11"/>
  <c r="E42" i="11"/>
  <c r="E43" i="11" s="1"/>
  <c r="E33" i="11"/>
  <c r="E34" i="11" s="1"/>
  <c r="E38" i="11" s="1"/>
  <c r="E31" i="11"/>
  <c r="E27" i="11"/>
  <c r="E23" i="11"/>
  <c r="E21" i="11"/>
  <c r="E16" i="11"/>
  <c r="F15" i="11"/>
  <c r="E13" i="11"/>
  <c r="E10" i="11"/>
  <c r="G8" i="11"/>
  <c r="E8" i="11"/>
  <c r="D8" i="11"/>
  <c r="F6" i="11"/>
  <c r="H2" i="1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H1" i="11"/>
  <c r="I1" i="11" s="1"/>
  <c r="F1" i="11"/>
  <c r="F8" i="11" s="1"/>
  <c r="AE7" i="6"/>
  <c r="AF7" i="6"/>
  <c r="AE8" i="6"/>
  <c r="AF8" i="6"/>
  <c r="AE9" i="6"/>
  <c r="AF9" i="6"/>
  <c r="AE10" i="6"/>
  <c r="AF10" i="6"/>
  <c r="AE11" i="6"/>
  <c r="AF11" i="6"/>
  <c r="AE13" i="6"/>
  <c r="AF13" i="6"/>
  <c r="AE14" i="6"/>
  <c r="AF14" i="6"/>
  <c r="AE15" i="6"/>
  <c r="AF15" i="6"/>
  <c r="AE16" i="6"/>
  <c r="AF16" i="6"/>
  <c r="AE17" i="6"/>
  <c r="AF17" i="6"/>
  <c r="AE18" i="6"/>
  <c r="AF18" i="6"/>
  <c r="AE20" i="6"/>
  <c r="AF20" i="6"/>
  <c r="AE21" i="6"/>
  <c r="AF21" i="6"/>
  <c r="AE22" i="6"/>
  <c r="AF22" i="6"/>
  <c r="AE23" i="6"/>
  <c r="AF23" i="6"/>
  <c r="AE24" i="6"/>
  <c r="AF24" i="6"/>
  <c r="AE25" i="6"/>
  <c r="AF25" i="6"/>
  <c r="AE26" i="6"/>
  <c r="AF26" i="6"/>
  <c r="AE27" i="6"/>
  <c r="AF27" i="6"/>
  <c r="AE28" i="6"/>
  <c r="AF28" i="6"/>
  <c r="AE29" i="6"/>
  <c r="AF29" i="6"/>
  <c r="Y6" i="6"/>
  <c r="Y7" i="6"/>
  <c r="X11" i="6"/>
  <c r="X13" i="6"/>
  <c r="Y16" i="6"/>
  <c r="Y21" i="6"/>
  <c r="X22" i="6"/>
  <c r="Y23" i="6"/>
  <c r="Y25" i="6"/>
  <c r="X69" i="6"/>
  <c r="Z36" i="6"/>
  <c r="Y14" i="6"/>
  <c r="Z35" i="6"/>
  <c r="Y24" i="6"/>
  <c r="J41" i="7"/>
  <c r="J1" i="14"/>
  <c r="I8" i="14"/>
  <c r="K7" i="13"/>
  <c r="H7" i="13" s="1"/>
  <c r="G8" i="12"/>
  <c r="A8" i="11"/>
  <c r="Y17" i="6"/>
  <c r="Y8" i="6"/>
  <c r="Y29" i="6"/>
  <c r="Y13" i="6"/>
  <c r="K1" i="14"/>
  <c r="J8" i="14"/>
  <c r="AF1" i="7"/>
  <c r="AC1" i="10" s="1"/>
  <c r="AD1" i="7"/>
  <c r="AA1" i="10" s="1"/>
  <c r="U1" i="7"/>
  <c r="R1" i="10" s="1"/>
  <c r="P1" i="7"/>
  <c r="M1" i="10" s="1"/>
  <c r="N50" i="7"/>
  <c r="B23" i="5"/>
  <c r="G16" i="5"/>
  <c r="G23" i="5"/>
  <c r="G8" i="5"/>
  <c r="Q8" i="5"/>
  <c r="Q33" i="5"/>
  <c r="Q15" i="5"/>
  <c r="C60" i="8"/>
  <c r="C87" i="8" s="1"/>
  <c r="C114" i="8" s="1"/>
  <c r="C141" i="8" s="1"/>
  <c r="C168" i="8" s="1"/>
  <c r="C195" i="8" s="1"/>
  <c r="C222" i="8" s="1"/>
  <c r="A33" i="8"/>
  <c r="A60" i="8" s="1"/>
  <c r="A87" i="8" s="1"/>
  <c r="A114" i="8" s="1"/>
  <c r="A141" i="8" s="1"/>
  <c r="A168" i="8" s="1"/>
  <c r="A195" i="8" s="1"/>
  <c r="A222" i="8" s="1"/>
  <c r="A249" i="8" s="1"/>
  <c r="A276" i="8" s="1"/>
  <c r="K8" i="14"/>
  <c r="L1" i="14"/>
  <c r="D252" i="8"/>
  <c r="D253" i="8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L8" i="14"/>
  <c r="M1" i="14"/>
  <c r="F48" i="7"/>
  <c r="F50" i="7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9" i="8"/>
  <c r="D10" i="8"/>
  <c r="D11" i="8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A9" i="8"/>
  <c r="A36" i="8" s="1"/>
  <c r="A63" i="8" s="1"/>
  <c r="A90" i="8" s="1"/>
  <c r="A117" i="8" s="1"/>
  <c r="A144" i="8" s="1"/>
  <c r="A171" i="8" s="1"/>
  <c r="A198" i="8" s="1"/>
  <c r="A225" i="8" s="1"/>
  <c r="A252" i="8" s="1"/>
  <c r="A10" i="8"/>
  <c r="A37" i="8" s="1"/>
  <c r="A64" i="8" s="1"/>
  <c r="A91" i="8" s="1"/>
  <c r="A118" i="8" s="1"/>
  <c r="A145" i="8" s="1"/>
  <c r="A172" i="8" s="1"/>
  <c r="A199" i="8" s="1"/>
  <c r="A226" i="8" s="1"/>
  <c r="A253" i="8" s="1"/>
  <c r="A11" i="8"/>
  <c r="A38" i="8" s="1"/>
  <c r="A65" i="8" s="1"/>
  <c r="A92" i="8" s="1"/>
  <c r="A119" i="8" s="1"/>
  <c r="A146" i="8" s="1"/>
  <c r="A173" i="8" s="1"/>
  <c r="A200" i="8" s="1"/>
  <c r="A227" i="8" s="1"/>
  <c r="A254" i="8" s="1"/>
  <c r="A12" i="8"/>
  <c r="A39" i="8" s="1"/>
  <c r="A66" i="8" s="1"/>
  <c r="A93" i="8" s="1"/>
  <c r="A120" i="8" s="1"/>
  <c r="A147" i="8" s="1"/>
  <c r="A174" i="8" s="1"/>
  <c r="A201" i="8" s="1"/>
  <c r="A228" i="8" s="1"/>
  <c r="A255" i="8" s="1"/>
  <c r="A13" i="8"/>
  <c r="A40" i="8" s="1"/>
  <c r="A67" i="8" s="1"/>
  <c r="A94" i="8" s="1"/>
  <c r="A121" i="8" s="1"/>
  <c r="A148" i="8" s="1"/>
  <c r="A175" i="8" s="1"/>
  <c r="A202" i="8" s="1"/>
  <c r="A229" i="8" s="1"/>
  <c r="A256" i="8" s="1"/>
  <c r="A14" i="8"/>
  <c r="A41" i="8" s="1"/>
  <c r="A68" i="8" s="1"/>
  <c r="A95" i="8" s="1"/>
  <c r="A122" i="8" s="1"/>
  <c r="A149" i="8" s="1"/>
  <c r="A176" i="8" s="1"/>
  <c r="A203" i="8" s="1"/>
  <c r="A230" i="8" s="1"/>
  <c r="A257" i="8" s="1"/>
  <c r="A15" i="8"/>
  <c r="A42" i="8" s="1"/>
  <c r="A69" i="8" s="1"/>
  <c r="A96" i="8" s="1"/>
  <c r="A123" i="8" s="1"/>
  <c r="A150" i="8" s="1"/>
  <c r="A177" i="8" s="1"/>
  <c r="A204" i="8" s="1"/>
  <c r="A231" i="8" s="1"/>
  <c r="A258" i="8" s="1"/>
  <c r="A16" i="8"/>
  <c r="A43" i="8"/>
  <c r="A70" i="8" s="1"/>
  <c r="A97" i="8" s="1"/>
  <c r="A124" i="8" s="1"/>
  <c r="A151" i="8" s="1"/>
  <c r="A178" i="8" s="1"/>
  <c r="A205" i="8" s="1"/>
  <c r="A232" i="8" s="1"/>
  <c r="A259" i="8" s="1"/>
  <c r="A17" i="8"/>
  <c r="A44" i="8" s="1"/>
  <c r="A71" i="8" s="1"/>
  <c r="A98" i="8" s="1"/>
  <c r="A125" i="8" s="1"/>
  <c r="A152" i="8" s="1"/>
  <c r="A179" i="8" s="1"/>
  <c r="A206" i="8" s="1"/>
  <c r="A233" i="8" s="1"/>
  <c r="A260" i="8" s="1"/>
  <c r="A18" i="8"/>
  <c r="A45" i="8" s="1"/>
  <c r="A72" i="8" s="1"/>
  <c r="A99" i="8" s="1"/>
  <c r="A126" i="8" s="1"/>
  <c r="A153" i="8" s="1"/>
  <c r="A180" i="8" s="1"/>
  <c r="A207" i="8" s="1"/>
  <c r="A234" i="8" s="1"/>
  <c r="A261" i="8" s="1"/>
  <c r="A19" i="8"/>
  <c r="A46" i="8" s="1"/>
  <c r="A73" i="8" s="1"/>
  <c r="A100" i="8" s="1"/>
  <c r="A127" i="8" s="1"/>
  <c r="A154" i="8" s="1"/>
  <c r="A181" i="8" s="1"/>
  <c r="A208" i="8" s="1"/>
  <c r="A235" i="8" s="1"/>
  <c r="A262" i="8" s="1"/>
  <c r="A20" i="8"/>
  <c r="A47" i="8" s="1"/>
  <c r="A74" i="8" s="1"/>
  <c r="A101" i="8" s="1"/>
  <c r="A128" i="8" s="1"/>
  <c r="A155" i="8" s="1"/>
  <c r="A182" i="8" s="1"/>
  <c r="A209" i="8" s="1"/>
  <c r="A236" i="8" s="1"/>
  <c r="A263" i="8" s="1"/>
  <c r="A21" i="8"/>
  <c r="A48" i="8" s="1"/>
  <c r="A75" i="8" s="1"/>
  <c r="A102" i="8" s="1"/>
  <c r="A129" i="8" s="1"/>
  <c r="A156" i="8" s="1"/>
  <c r="A183" i="8" s="1"/>
  <c r="A210" i="8" s="1"/>
  <c r="A237" i="8" s="1"/>
  <c r="A264" i="8" s="1"/>
  <c r="A22" i="8"/>
  <c r="A49" i="8" s="1"/>
  <c r="A76" i="8" s="1"/>
  <c r="A103" i="8" s="1"/>
  <c r="A130" i="8" s="1"/>
  <c r="A157" i="8" s="1"/>
  <c r="A184" i="8" s="1"/>
  <c r="A211" i="8" s="1"/>
  <c r="A238" i="8" s="1"/>
  <c r="A265" i="8" s="1"/>
  <c r="A23" i="8"/>
  <c r="A50" i="8" s="1"/>
  <c r="A77" i="8" s="1"/>
  <c r="A104" i="8" s="1"/>
  <c r="A131" i="8" s="1"/>
  <c r="A158" i="8" s="1"/>
  <c r="A185" i="8" s="1"/>
  <c r="A212" i="8" s="1"/>
  <c r="A239" i="8" s="1"/>
  <c r="A266" i="8" s="1"/>
  <c r="A24" i="8"/>
  <c r="A51" i="8" s="1"/>
  <c r="A78" i="8" s="1"/>
  <c r="A105" i="8" s="1"/>
  <c r="A132" i="8"/>
  <c r="A159" i="8" s="1"/>
  <c r="A186" i="8" s="1"/>
  <c r="A213" i="8" s="1"/>
  <c r="A240" i="8" s="1"/>
  <c r="A267" i="8" s="1"/>
  <c r="A25" i="8"/>
  <c r="A52" i="8" s="1"/>
  <c r="A79" i="8" s="1"/>
  <c r="A106" i="8" s="1"/>
  <c r="A133" i="8" s="1"/>
  <c r="A160" i="8" s="1"/>
  <c r="A187" i="8" s="1"/>
  <c r="A214" i="8" s="1"/>
  <c r="A241" i="8" s="1"/>
  <c r="A268" i="8" s="1"/>
  <c r="A26" i="8"/>
  <c r="A53" i="8" s="1"/>
  <c r="A80" i="8" s="1"/>
  <c r="A107" i="8" s="1"/>
  <c r="A134" i="8" s="1"/>
  <c r="A161" i="8" s="1"/>
  <c r="A188" i="8" s="1"/>
  <c r="A215" i="8" s="1"/>
  <c r="A242" i="8" s="1"/>
  <c r="A269" i="8" s="1"/>
  <c r="A27" i="8"/>
  <c r="A54" i="8" s="1"/>
  <c r="A81" i="8" s="1"/>
  <c r="A108" i="8" s="1"/>
  <c r="A135" i="8" s="1"/>
  <c r="A162" i="8" s="1"/>
  <c r="A189" i="8" s="1"/>
  <c r="A216" i="8" s="1"/>
  <c r="A243" i="8" s="1"/>
  <c r="A270" i="8" s="1"/>
  <c r="A28" i="8"/>
  <c r="A55" i="8" s="1"/>
  <c r="A82" i="8" s="1"/>
  <c r="A109" i="8" s="1"/>
  <c r="A136" i="8" s="1"/>
  <c r="A163" i="8" s="1"/>
  <c r="A190" i="8" s="1"/>
  <c r="A217" i="8" s="1"/>
  <c r="A244" i="8" s="1"/>
  <c r="A271" i="8" s="1"/>
  <c r="A29" i="8"/>
  <c r="A56" i="8"/>
  <c r="A83" i="8" s="1"/>
  <c r="A110" i="8"/>
  <c r="A137" i="8" s="1"/>
  <c r="A164" i="8" s="1"/>
  <c r="A191" i="8" s="1"/>
  <c r="A218" i="8" s="1"/>
  <c r="A245" i="8" s="1"/>
  <c r="A272" i="8" s="1"/>
  <c r="A30" i="8"/>
  <c r="A57" i="8"/>
  <c r="A84" i="8" s="1"/>
  <c r="A111" i="8" s="1"/>
  <c r="A138" i="8" s="1"/>
  <c r="A165" i="8" s="1"/>
  <c r="A192" i="8" s="1"/>
  <c r="A219" i="8" s="1"/>
  <c r="A246" i="8" s="1"/>
  <c r="A273" i="8" s="1"/>
  <c r="A31" i="8"/>
  <c r="A58" i="8" s="1"/>
  <c r="A85" i="8" s="1"/>
  <c r="A112" i="8" s="1"/>
  <c r="A139" i="8" s="1"/>
  <c r="A166" i="8" s="1"/>
  <c r="A193" i="8" s="1"/>
  <c r="A220" i="8" s="1"/>
  <c r="A247" i="8" s="1"/>
  <c r="A274" i="8" s="1"/>
  <c r="A32" i="8"/>
  <c r="A59" i="8" s="1"/>
  <c r="A86" i="8" s="1"/>
  <c r="A113" i="8" s="1"/>
  <c r="A140" i="8" s="1"/>
  <c r="A167" i="8" s="1"/>
  <c r="A194" i="8" s="1"/>
  <c r="A221" i="8" s="1"/>
  <c r="A248" i="8" s="1"/>
  <c r="A275" i="8" s="1"/>
  <c r="A8" i="8"/>
  <c r="A35" i="8" s="1"/>
  <c r="A62" i="8" s="1"/>
  <c r="A89" i="8" s="1"/>
  <c r="A116" i="8" s="1"/>
  <c r="A143" i="8" s="1"/>
  <c r="A170" i="8" s="1"/>
  <c r="A197" i="8" s="1"/>
  <c r="A224" i="8" s="1"/>
  <c r="A251" i="8" s="1"/>
  <c r="N1" i="14"/>
  <c r="M8" i="14"/>
  <c r="Y43" i="6"/>
  <c r="Y44" i="6"/>
  <c r="X43" i="6"/>
  <c r="X40" i="6"/>
  <c r="X44" i="6"/>
  <c r="Z44" i="6"/>
  <c r="B35" i="10"/>
  <c r="A43" i="10"/>
  <c r="M43" i="10" s="1"/>
  <c r="C41" i="10"/>
  <c r="C42" i="10" s="1"/>
  <c r="N8" i="14"/>
  <c r="O1" i="14"/>
  <c r="Z43" i="6"/>
  <c r="C37" i="8"/>
  <c r="C64" i="8" s="1"/>
  <c r="C91" i="8" s="1"/>
  <c r="C118" i="8" s="1"/>
  <c r="C145" i="8" s="1"/>
  <c r="C172" i="8" s="1"/>
  <c r="C199" i="8" s="1"/>
  <c r="C226" i="8" s="1"/>
  <c r="C253" i="8" s="1"/>
  <c r="O8" i="14"/>
  <c r="P1" i="14"/>
  <c r="C38" i="8"/>
  <c r="C65" i="8"/>
  <c r="C92" i="8" s="1"/>
  <c r="C119" i="8" s="1"/>
  <c r="C146" i="8" s="1"/>
  <c r="C173" i="8" s="1"/>
  <c r="C200" i="8" s="1"/>
  <c r="C227" i="8" s="1"/>
  <c r="C254" i="8" s="1"/>
  <c r="Z5" i="6"/>
  <c r="X5" i="6" s="1"/>
  <c r="C21" i="1"/>
  <c r="C22" i="1" s="1"/>
  <c r="F33" i="1"/>
  <c r="F41" i="1" s="1"/>
  <c r="D59" i="1"/>
  <c r="D55" i="1"/>
  <c r="D56" i="1"/>
  <c r="D58" i="1" s="1"/>
  <c r="B97" i="2"/>
  <c r="A55" i="1" s="1"/>
  <c r="B99" i="2"/>
  <c r="A56" i="1" s="1"/>
  <c r="B87" i="2"/>
  <c r="F69" i="2"/>
  <c r="F70" i="2"/>
  <c r="F71" i="2"/>
  <c r="F72" i="2"/>
  <c r="F73" i="2"/>
  <c r="F74" i="2"/>
  <c r="F75" i="2"/>
  <c r="F76" i="2"/>
  <c r="D61" i="2"/>
  <c r="D72" i="2" s="1"/>
  <c r="D92" i="2" s="1"/>
  <c r="D60" i="2"/>
  <c r="D71" i="2" s="1"/>
  <c r="D91" i="2" s="1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J12" i="6"/>
  <c r="AK12" i="6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AI8" i="6"/>
  <c r="AJ8" i="6" s="1"/>
  <c r="G16" i="2" s="1"/>
  <c r="AI9" i="6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AI7" i="6"/>
  <c r="AJ7" i="6" s="1"/>
  <c r="AE6" i="6"/>
  <c r="AF6" i="6"/>
  <c r="AE5" i="6"/>
  <c r="AF5" i="6"/>
  <c r="W40" i="6"/>
  <c r="W44" i="6"/>
  <c r="W39" i="6"/>
  <c r="W43" i="6"/>
  <c r="Q15" i="6"/>
  <c r="E31" i="2"/>
  <c r="E27" i="2"/>
  <c r="A5" i="6"/>
  <c r="W5" i="6"/>
  <c r="E23" i="2"/>
  <c r="E21" i="2"/>
  <c r="E16" i="2"/>
  <c r="E13" i="2"/>
  <c r="E10" i="2"/>
  <c r="F15" i="2"/>
  <c r="E8" i="2"/>
  <c r="G8" i="2"/>
  <c r="D8" i="2"/>
  <c r="A34" i="8"/>
  <c r="A61" i="8"/>
  <c r="A88" i="8" s="1"/>
  <c r="A115" i="8"/>
  <c r="A142" i="8" s="1"/>
  <c r="A169" i="8" s="1"/>
  <c r="A196" i="8" s="1"/>
  <c r="A223" i="8" s="1"/>
  <c r="A250" i="8" s="1"/>
  <c r="C35" i="8"/>
  <c r="C62" i="8" s="1"/>
  <c r="C89" i="8" s="1"/>
  <c r="C116" i="8" s="1"/>
  <c r="E62" i="8"/>
  <c r="F62" i="8" s="1"/>
  <c r="A8" i="5"/>
  <c r="E1" i="8"/>
  <c r="D225" i="8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198" i="8"/>
  <c r="D199" i="8" s="1"/>
  <c r="D200" i="8" s="1"/>
  <c r="D201" i="8" s="1"/>
  <c r="D202" i="8" s="1"/>
  <c r="D203" i="8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171" i="8"/>
  <c r="D172" i="8" s="1"/>
  <c r="D173" i="8" s="1"/>
  <c r="D174" i="8" s="1"/>
  <c r="D175" i="8"/>
  <c r="D176" i="8" s="1"/>
  <c r="D177" i="8" s="1"/>
  <c r="D178" i="8" s="1"/>
  <c r="D179" i="8" s="1"/>
  <c r="D180" i="8" s="1"/>
  <c r="D181" i="8" s="1"/>
  <c r="D182" i="8" s="1"/>
  <c r="D183" i="8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44" i="8"/>
  <c r="D145" i="8"/>
  <c r="D146" i="8" s="1"/>
  <c r="D147" i="8" s="1"/>
  <c r="D148" i="8" s="1"/>
  <c r="D149" i="8" s="1"/>
  <c r="D150" i="8" s="1"/>
  <c r="D151" i="8" s="1"/>
  <c r="D152" i="8" s="1"/>
  <c r="D153" i="8" s="1"/>
  <c r="D154" i="8" s="1"/>
  <c r="D155" i="8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17" i="8"/>
  <c r="D118" i="8" s="1"/>
  <c r="D119" i="8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90" i="8"/>
  <c r="D91" i="8"/>
  <c r="D92" i="8" s="1"/>
  <c r="D93" i="8" s="1"/>
  <c r="D94" i="8" s="1"/>
  <c r="D95" i="8" s="1"/>
  <c r="D96" i="8" s="1"/>
  <c r="D97" i="8" s="1"/>
  <c r="D98" i="8" s="1"/>
  <c r="D99" i="8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63" i="8"/>
  <c r="D64" i="8" s="1"/>
  <c r="D65" i="8" s="1"/>
  <c r="D66" i="8" s="1"/>
  <c r="D67" i="8" s="1"/>
  <c r="D68" i="8" s="1"/>
  <c r="D69" i="8" s="1"/>
  <c r="D70" i="8" s="1"/>
  <c r="D71" i="8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B61" i="8"/>
  <c r="B88" i="8" s="1"/>
  <c r="B115" i="8" s="1"/>
  <c r="B169" i="8" s="1"/>
  <c r="B196" i="8" s="1"/>
  <c r="B223" i="8" s="1"/>
  <c r="B250" i="8" s="1"/>
  <c r="E6" i="8"/>
  <c r="F5" i="8"/>
  <c r="F6" i="8" s="1"/>
  <c r="E4" i="8"/>
  <c r="D6" i="7"/>
  <c r="D7" i="7" s="1"/>
  <c r="D8" i="7" s="1"/>
  <c r="AJ14" i="6"/>
  <c r="AJ5" i="6"/>
  <c r="Q2" i="6"/>
  <c r="E99" i="2"/>
  <c r="E97" i="2"/>
  <c r="E98" i="2" s="1"/>
  <c r="E88" i="2"/>
  <c r="E46" i="1" s="1"/>
  <c r="D79" i="2"/>
  <c r="D82" i="2" s="1"/>
  <c r="D98" i="2" s="1"/>
  <c r="B98" i="2" s="1"/>
  <c r="F68" i="2"/>
  <c r="F67" i="2"/>
  <c r="D65" i="2"/>
  <c r="D64" i="2"/>
  <c r="D75" i="2" s="1"/>
  <c r="D95" i="2" s="1"/>
  <c r="D63" i="2"/>
  <c r="D74" i="2" s="1"/>
  <c r="D94" i="2" s="1"/>
  <c r="D58" i="2"/>
  <c r="D69" i="2" s="1"/>
  <c r="D89" i="2" s="1"/>
  <c r="D62" i="2"/>
  <c r="D73" i="2" s="1"/>
  <c r="D93" i="2" s="1"/>
  <c r="D59" i="2"/>
  <c r="D57" i="2"/>
  <c r="D68" i="2" s="1"/>
  <c r="D88" i="2" s="1"/>
  <c r="D46" i="1" s="1"/>
  <c r="E55" i="2"/>
  <c r="E56" i="2" s="1"/>
  <c r="E52" i="2"/>
  <c r="E53" i="2" s="1"/>
  <c r="E50" i="2"/>
  <c r="E49" i="2"/>
  <c r="E48" i="2"/>
  <c r="E45" i="2"/>
  <c r="E42" i="2"/>
  <c r="E43" i="2" s="1"/>
  <c r="E33" i="2"/>
  <c r="E34" i="2" s="1"/>
  <c r="E38" i="2" s="1"/>
  <c r="F6" i="2"/>
  <c r="H2" i="2"/>
  <c r="F1" i="8" s="1"/>
  <c r="H1" i="2"/>
  <c r="F1" i="2"/>
  <c r="F60" i="1"/>
  <c r="A60" i="1"/>
  <c r="A59" i="1"/>
  <c r="E45" i="1"/>
  <c r="D45" i="1"/>
  <c r="E41" i="1"/>
  <c r="E38" i="1"/>
  <c r="E37" i="1"/>
  <c r="E31" i="1"/>
  <c r="E30" i="1"/>
  <c r="E26" i="1"/>
  <c r="E25" i="1"/>
  <c r="C7" i="1"/>
  <c r="C8" i="1" s="1"/>
  <c r="G6" i="1"/>
  <c r="H5" i="1"/>
  <c r="G5" i="1"/>
  <c r="F59" i="1"/>
  <c r="D70" i="2"/>
  <c r="D90" i="2" s="1"/>
  <c r="D76" i="2"/>
  <c r="D96" i="2" s="1"/>
  <c r="I2" i="2"/>
  <c r="J2" i="2" s="1"/>
  <c r="P8" i="14"/>
  <c r="Q1" i="14"/>
  <c r="G58" i="2"/>
  <c r="X8" i="6"/>
  <c r="X7" i="6"/>
  <c r="X29" i="6"/>
  <c r="X21" i="6"/>
  <c r="X17" i="6"/>
  <c r="X16" i="6"/>
  <c r="X24" i="6"/>
  <c r="X14" i="6"/>
  <c r="X25" i="6"/>
  <c r="AK14" i="6"/>
  <c r="AL14" i="6" s="1"/>
  <c r="G79" i="2"/>
  <c r="C39" i="8"/>
  <c r="C66" i="8" s="1"/>
  <c r="C93" i="8" s="1"/>
  <c r="C120" i="8" s="1"/>
  <c r="C36" i="8"/>
  <c r="C63" i="8"/>
  <c r="C90" i="8" s="1"/>
  <c r="C117" i="8" s="1"/>
  <c r="C144" i="8" s="1"/>
  <c r="C171" i="8" s="1"/>
  <c r="C198" i="8" s="1"/>
  <c r="C225" i="8" s="1"/>
  <c r="C252" i="8" s="1"/>
  <c r="R1" i="14"/>
  <c r="Q8" i="14"/>
  <c r="C40" i="8"/>
  <c r="C67" i="8" s="1"/>
  <c r="C94" i="8" s="1"/>
  <c r="C121" i="8" s="1"/>
  <c r="C148" i="8" s="1"/>
  <c r="C175" i="8" s="1"/>
  <c r="C202" i="8" s="1"/>
  <c r="C229" i="8" s="1"/>
  <c r="C256" i="8" s="1"/>
  <c r="S1" i="14"/>
  <c r="R8" i="14"/>
  <c r="C41" i="8"/>
  <c r="C68" i="8"/>
  <c r="C95" i="8" s="1"/>
  <c r="C122" i="8" s="1"/>
  <c r="C149" i="8" s="1"/>
  <c r="C176" i="8" s="1"/>
  <c r="C203" i="8" s="1"/>
  <c r="C230" i="8" s="1"/>
  <c r="C257" i="8" s="1"/>
  <c r="S8" i="14"/>
  <c r="T1" i="14"/>
  <c r="C42" i="8"/>
  <c r="C69" i="8" s="1"/>
  <c r="C96" i="8" s="1"/>
  <c r="C123" i="8" s="1"/>
  <c r="C150" i="8" s="1"/>
  <c r="C177" i="8" s="1"/>
  <c r="C204" i="8" s="1"/>
  <c r="C231" i="8" s="1"/>
  <c r="C258" i="8" s="1"/>
  <c r="T8" i="14"/>
  <c r="U1" i="14"/>
  <c r="C43" i="8"/>
  <c r="C70" i="8"/>
  <c r="C97" i="8" s="1"/>
  <c r="C124" i="8" s="1"/>
  <c r="C151" i="8" s="1"/>
  <c r="C178" i="8" s="1"/>
  <c r="C205" i="8" s="1"/>
  <c r="C232" i="8" s="1"/>
  <c r="C259" i="8" s="1"/>
  <c r="V1" i="14"/>
  <c r="U8" i="14"/>
  <c r="C44" i="8"/>
  <c r="C71" i="8" s="1"/>
  <c r="C98" i="8" s="1"/>
  <c r="C125" i="8" s="1"/>
  <c r="C152" i="8" s="1"/>
  <c r="C179" i="8" s="1"/>
  <c r="C206" i="8" s="1"/>
  <c r="C233" i="8" s="1"/>
  <c r="C260" i="8" s="1"/>
  <c r="V8" i="14"/>
  <c r="W1" i="14"/>
  <c r="C45" i="8"/>
  <c r="C72" i="8"/>
  <c r="C99" i="8" s="1"/>
  <c r="C126" i="8" s="1"/>
  <c r="C153" i="8" s="1"/>
  <c r="C180" i="8" s="1"/>
  <c r="C207" i="8" s="1"/>
  <c r="C234" i="8" s="1"/>
  <c r="C261" i="8" s="1"/>
  <c r="W8" i="14"/>
  <c r="X1" i="14"/>
  <c r="C46" i="8"/>
  <c r="C73" i="8" s="1"/>
  <c r="C100" i="8" s="1"/>
  <c r="C127" i="8" s="1"/>
  <c r="C154" i="8" s="1"/>
  <c r="C181" i="8" s="1"/>
  <c r="C208" i="8" s="1"/>
  <c r="C235" i="8" s="1"/>
  <c r="C262" i="8" s="1"/>
  <c r="X8" i="14"/>
  <c r="Y1" i="14"/>
  <c r="C47" i="8"/>
  <c r="C74" i="8"/>
  <c r="C101" i="8" s="1"/>
  <c r="C128" i="8" s="1"/>
  <c r="C155" i="8" s="1"/>
  <c r="C182" i="8" s="1"/>
  <c r="C209" i="8" s="1"/>
  <c r="C236" i="8" s="1"/>
  <c r="C263" i="8" s="1"/>
  <c r="Z1" i="14"/>
  <c r="Z8" i="14"/>
  <c r="Y8" i="14"/>
  <c r="C48" i="8"/>
  <c r="C75" i="8" s="1"/>
  <c r="C102" i="8" s="1"/>
  <c r="C129" i="8" s="1"/>
  <c r="C156" i="8" s="1"/>
  <c r="C183" i="8" s="1"/>
  <c r="C210" i="8" s="1"/>
  <c r="C237" i="8" s="1"/>
  <c r="C264" i="8" s="1"/>
  <c r="C49" i="8"/>
  <c r="C76" i="8" s="1"/>
  <c r="C103" i="8" s="1"/>
  <c r="C130" i="8" s="1"/>
  <c r="C157" i="8" s="1"/>
  <c r="C184" i="8" s="1"/>
  <c r="C211" i="8" s="1"/>
  <c r="C238" i="8" s="1"/>
  <c r="C265" i="8" s="1"/>
  <c r="C50" i="8"/>
  <c r="C77" i="8" s="1"/>
  <c r="C104" i="8" s="1"/>
  <c r="C131" i="8" s="1"/>
  <c r="C158" i="8" s="1"/>
  <c r="C185" i="8" s="1"/>
  <c r="C212" i="8" s="1"/>
  <c r="C239" i="8" s="1"/>
  <c r="C266" i="8" s="1"/>
  <c r="C51" i="8"/>
  <c r="C78" i="8" s="1"/>
  <c r="C105" i="8" s="1"/>
  <c r="C132" i="8" s="1"/>
  <c r="C159" i="8" s="1"/>
  <c r="C186" i="8" s="1"/>
  <c r="C213" i="8" s="1"/>
  <c r="C240" i="8" s="1"/>
  <c r="C267" i="8" s="1"/>
  <c r="C52" i="8"/>
  <c r="C79" i="8" s="1"/>
  <c r="C106" i="8" s="1"/>
  <c r="C133" i="8" s="1"/>
  <c r="C160" i="8" s="1"/>
  <c r="C187" i="8" s="1"/>
  <c r="C214" i="8" s="1"/>
  <c r="C241" i="8" s="1"/>
  <c r="C268" i="8" s="1"/>
  <c r="C53" i="8"/>
  <c r="C80" i="8" s="1"/>
  <c r="C107" i="8"/>
  <c r="C134" i="8" s="1"/>
  <c r="C161" i="8" s="1"/>
  <c r="C188" i="8" s="1"/>
  <c r="C215" i="8" s="1"/>
  <c r="C242" i="8" s="1"/>
  <c r="C269" i="8" s="1"/>
  <c r="C54" i="8"/>
  <c r="C81" i="8" s="1"/>
  <c r="C108" i="8" s="1"/>
  <c r="C135" i="8" s="1"/>
  <c r="C162" i="8" s="1"/>
  <c r="C189" i="8" s="1"/>
  <c r="C216" i="8" s="1"/>
  <c r="C243" i="8" s="1"/>
  <c r="C270" i="8" s="1"/>
  <c r="C55" i="8"/>
  <c r="C82" i="8"/>
  <c r="C109" i="8" s="1"/>
  <c r="C136" i="8" s="1"/>
  <c r="C163" i="8" s="1"/>
  <c r="C190" i="8" s="1"/>
  <c r="C217" i="8" s="1"/>
  <c r="C244" i="8" s="1"/>
  <c r="C271" i="8" s="1"/>
  <c r="C56" i="8"/>
  <c r="C83" i="8" s="1"/>
  <c r="C110" i="8" s="1"/>
  <c r="C137" i="8" s="1"/>
  <c r="C164" i="8" s="1"/>
  <c r="C191" i="8" s="1"/>
  <c r="C218" i="8" s="1"/>
  <c r="C245" i="8" s="1"/>
  <c r="C272" i="8" s="1"/>
  <c r="C57" i="8"/>
  <c r="C84" i="8" s="1"/>
  <c r="C111" i="8"/>
  <c r="C138" i="8" s="1"/>
  <c r="C165" i="8" s="1"/>
  <c r="C192" i="8" s="1"/>
  <c r="C219" i="8" s="1"/>
  <c r="C246" i="8" s="1"/>
  <c r="C273" i="8" s="1"/>
  <c r="C58" i="8"/>
  <c r="C85" i="8" s="1"/>
  <c r="C112" i="8" s="1"/>
  <c r="C139" i="8" s="1"/>
  <c r="C166" i="8" s="1"/>
  <c r="C193" i="8" s="1"/>
  <c r="C220" i="8" s="1"/>
  <c r="C247" i="8" s="1"/>
  <c r="C274" i="8" s="1"/>
  <c r="C59" i="8"/>
  <c r="C86" i="8"/>
  <c r="C113" i="8" s="1"/>
  <c r="C140" i="8" s="1"/>
  <c r="C167" i="8" s="1"/>
  <c r="C194" i="8" s="1"/>
  <c r="C221" i="8" s="1"/>
  <c r="C248" i="8" s="1"/>
  <c r="C275" i="8" s="1"/>
  <c r="F25" i="1"/>
  <c r="F23" i="1"/>
  <c r="F98" i="8"/>
  <c r="G98" i="8" s="1"/>
  <c r="H98" i="8" s="1"/>
  <c r="F97" i="8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F104" i="8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F89" i="8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K6" i="13"/>
  <c r="H6" i="13" s="1"/>
  <c r="K6" i="1"/>
  <c r="H6" i="1" s="1"/>
  <c r="G9" i="13"/>
  <c r="K9" i="13"/>
  <c r="H9" i="13" s="1"/>
  <c r="C10" i="13"/>
  <c r="C22" i="12"/>
  <c r="C23" i="13"/>
  <c r="K8" i="13"/>
  <c r="H8" i="13" s="1"/>
  <c r="H1" i="7"/>
  <c r="E1" i="10" s="1"/>
  <c r="X23" i="6"/>
  <c r="A8" i="2"/>
  <c r="M1" i="7"/>
  <c r="J1" i="10" s="1"/>
  <c r="Y11" i="6"/>
  <c r="G3" i="2"/>
  <c r="N1" i="7"/>
  <c r="K1" i="10" s="1"/>
  <c r="X26" i="6"/>
  <c r="G5" i="8"/>
  <c r="V1" i="7"/>
  <c r="S1" i="10" s="1"/>
  <c r="AC1" i="7"/>
  <c r="Z1" i="10" s="1"/>
  <c r="U50" i="7"/>
  <c r="X1" i="7"/>
  <c r="U1" i="10" s="1"/>
  <c r="F107" i="8"/>
  <c r="E106" i="8"/>
  <c r="E109" i="8"/>
  <c r="E108" i="8"/>
  <c r="E100" i="8"/>
  <c r="F102" i="8"/>
  <c r="G102" i="8" s="1"/>
  <c r="E99" i="8"/>
  <c r="F101" i="8"/>
  <c r="C249" i="8"/>
  <c r="C276" i="8" s="1"/>
  <c r="A9" i="11"/>
  <c r="T9" i="11" s="1"/>
  <c r="Y9" i="6"/>
  <c r="X9" i="6"/>
  <c r="AF50" i="7"/>
  <c r="X15" i="6"/>
  <c r="Y15" i="6"/>
  <c r="Y5" i="6"/>
  <c r="Y22" i="6"/>
  <c r="X6" i="6"/>
  <c r="E45" i="8"/>
  <c r="E47" i="8"/>
  <c r="E128" i="8" s="1"/>
  <c r="E155" i="8" s="1"/>
  <c r="E41" i="8"/>
  <c r="E43" i="8"/>
  <c r="E124" i="8" s="1"/>
  <c r="E151" i="8" s="1"/>
  <c r="E52" i="8"/>
  <c r="E133" i="8" s="1"/>
  <c r="E160" i="8" s="1"/>
  <c r="F25" i="12"/>
  <c r="D6" i="14"/>
  <c r="A8" i="14" s="1"/>
  <c r="Z18" i="8"/>
  <c r="Z9" i="8"/>
  <c r="H24" i="1" s="1"/>
  <c r="Z26" i="8"/>
  <c r="Z17" i="8"/>
  <c r="P24" i="7"/>
  <c r="I24" i="7"/>
  <c r="Z32" i="8"/>
  <c r="Z24" i="8"/>
  <c r="Z20" i="8"/>
  <c r="Z16" i="8"/>
  <c r="F24" i="12"/>
  <c r="Z12" i="8"/>
  <c r="F24" i="1" s="1"/>
  <c r="E6" i="11"/>
  <c r="F23" i="12"/>
  <c r="X23" i="5"/>
  <c r="C11" i="13"/>
  <c r="K10" i="13"/>
  <c r="H10" i="13" s="1"/>
  <c r="G10" i="13"/>
  <c r="C23" i="12"/>
  <c r="C25" i="13"/>
  <c r="C24" i="13"/>
  <c r="K7" i="1"/>
  <c r="H7" i="1" s="1"/>
  <c r="H5" i="8"/>
  <c r="G6" i="8"/>
  <c r="F106" i="8"/>
  <c r="L9" i="11"/>
  <c r="R9" i="11"/>
  <c r="W9" i="11"/>
  <c r="I9" i="11"/>
  <c r="U9" i="11"/>
  <c r="Y9" i="11"/>
  <c r="V9" i="11"/>
  <c r="J9" i="11"/>
  <c r="M9" i="11"/>
  <c r="Q9" i="11"/>
  <c r="X9" i="11"/>
  <c r="P9" i="11"/>
  <c r="S9" i="11"/>
  <c r="O9" i="11"/>
  <c r="A10" i="11"/>
  <c r="A11" i="11" s="1"/>
  <c r="K9" i="11"/>
  <c r="Z9" i="11"/>
  <c r="H9" i="11"/>
  <c r="G9" i="11"/>
  <c r="N9" i="11"/>
  <c r="C24" i="12"/>
  <c r="C27" i="13"/>
  <c r="C26" i="13"/>
  <c r="C12" i="13"/>
  <c r="K11" i="13"/>
  <c r="H11" i="13" s="1"/>
  <c r="G11" i="13"/>
  <c r="G55" i="8"/>
  <c r="G47" i="8"/>
  <c r="G52" i="8"/>
  <c r="G46" i="8"/>
  <c r="G58" i="8"/>
  <c r="I3" i="2"/>
  <c r="G49" i="8"/>
  <c r="G36" i="8"/>
  <c r="I5" i="8"/>
  <c r="H6" i="8"/>
  <c r="H37" i="8" s="1"/>
  <c r="C13" i="13"/>
  <c r="K12" i="13"/>
  <c r="H12" i="13" s="1"/>
  <c r="G12" i="13"/>
  <c r="C26" i="12"/>
  <c r="C28" i="13"/>
  <c r="C25" i="12"/>
  <c r="H46" i="8"/>
  <c r="H57" i="8"/>
  <c r="H35" i="8"/>
  <c r="H43" i="8"/>
  <c r="I6" i="8"/>
  <c r="I57" i="8" s="1"/>
  <c r="J5" i="8"/>
  <c r="K13" i="13"/>
  <c r="H13" i="13" s="1"/>
  <c r="G13" i="13"/>
  <c r="C14" i="13"/>
  <c r="C29" i="13"/>
  <c r="C30" i="13"/>
  <c r="G14" i="13"/>
  <c r="K14" i="13"/>
  <c r="H14" i="13" s="1"/>
  <c r="C15" i="13"/>
  <c r="C31" i="13"/>
  <c r="C33" i="13"/>
  <c r="C34" i="13"/>
  <c r="C35" i="13"/>
  <c r="C36" i="13"/>
  <c r="C37" i="13"/>
  <c r="C38" i="13"/>
  <c r="C40" i="13"/>
  <c r="C41" i="13"/>
  <c r="C43" i="13"/>
  <c r="C45" i="13"/>
  <c r="G15" i="13"/>
  <c r="K15" i="13"/>
  <c r="H15" i="13" s="1"/>
  <c r="C46" i="13"/>
  <c r="C47" i="13"/>
  <c r="C48" i="13"/>
  <c r="C49" i="13"/>
  <c r="C50" i="13"/>
  <c r="C51" i="13"/>
  <c r="C52" i="13"/>
  <c r="C53" i="13"/>
  <c r="C54" i="13"/>
  <c r="C55" i="13"/>
  <c r="C56" i="13"/>
  <c r="I78" i="2" l="1"/>
  <c r="D54" i="13"/>
  <c r="B96" i="14"/>
  <c r="A54" i="13" s="1"/>
  <c r="D106" i="14"/>
  <c r="B90" i="14"/>
  <c r="A48" i="13" s="1"/>
  <c r="D48" i="13"/>
  <c r="D49" i="13"/>
  <c r="B91" i="14"/>
  <c r="A49" i="13" s="1"/>
  <c r="D107" i="14"/>
  <c r="D50" i="13"/>
  <c r="B92" i="14"/>
  <c r="A50" i="13" s="1"/>
  <c r="D108" i="14"/>
  <c r="B93" i="14"/>
  <c r="A51" i="13" s="1"/>
  <c r="D51" i="13"/>
  <c r="D109" i="14"/>
  <c r="D52" i="13"/>
  <c r="D110" i="14"/>
  <c r="B94" i="14"/>
  <c r="A52" i="13" s="1"/>
  <c r="D111" i="14"/>
  <c r="B95" i="14"/>
  <c r="A53" i="13" s="1"/>
  <c r="D53" i="13"/>
  <c r="G9" i="12"/>
  <c r="C10" i="12"/>
  <c r="C28" i="12"/>
  <c r="C27" i="12"/>
  <c r="F59" i="12"/>
  <c r="H47" i="8"/>
  <c r="AB1" i="7"/>
  <c r="Y1" i="10" s="1"/>
  <c r="O20" i="13"/>
  <c r="N21" i="13"/>
  <c r="M22" i="13"/>
  <c r="N20" i="12"/>
  <c r="M21" i="12"/>
  <c r="L22" i="12"/>
  <c r="K21" i="12"/>
  <c r="H20" i="13"/>
  <c r="O21" i="13"/>
  <c r="N22" i="13"/>
  <c r="G20" i="12"/>
  <c r="O20" i="12"/>
  <c r="N21" i="12"/>
  <c r="M22" i="12"/>
  <c r="J20" i="12"/>
  <c r="L21" i="13"/>
  <c r="I20" i="13"/>
  <c r="H21" i="13"/>
  <c r="O22" i="13"/>
  <c r="H20" i="12"/>
  <c r="G21" i="12"/>
  <c r="O21" i="12"/>
  <c r="N22" i="12"/>
  <c r="I21" i="12"/>
  <c r="H22" i="12"/>
  <c r="L20" i="12"/>
  <c r="J20" i="13"/>
  <c r="I21" i="13"/>
  <c r="H22" i="13"/>
  <c r="I20" i="12"/>
  <c r="H21" i="12"/>
  <c r="G22" i="12"/>
  <c r="O22" i="12"/>
  <c r="J22" i="12"/>
  <c r="K20" i="13"/>
  <c r="J21" i="13"/>
  <c r="I22" i="13"/>
  <c r="L20" i="13"/>
  <c r="K21" i="13"/>
  <c r="J22" i="13"/>
  <c r="K20" i="12"/>
  <c r="J21" i="12"/>
  <c r="I22" i="12"/>
  <c r="K22" i="13"/>
  <c r="N20" i="13"/>
  <c r="M21" i="13"/>
  <c r="L22" i="13"/>
  <c r="M20" i="12"/>
  <c r="L21" i="12"/>
  <c r="K22" i="12"/>
  <c r="M20" i="13"/>
  <c r="G22" i="13"/>
  <c r="G21" i="13"/>
  <c r="G20" i="13"/>
  <c r="J29" i="6"/>
  <c r="X28" i="6"/>
  <c r="Y27" i="6"/>
  <c r="H4" i="10"/>
  <c r="H35" i="10" s="1"/>
  <c r="I23" i="1"/>
  <c r="E333" i="2"/>
  <c r="H40" i="8"/>
  <c r="X20" i="6"/>
  <c r="X10" i="6"/>
  <c r="F370" i="2"/>
  <c r="F371" i="2"/>
  <c r="C485" i="2"/>
  <c r="C376" i="2"/>
  <c r="X4" i="10"/>
  <c r="X35" i="10" s="1"/>
  <c r="W18" i="6"/>
  <c r="H44" i="8"/>
  <c r="F460" i="2"/>
  <c r="G460" i="2" s="1"/>
  <c r="H460" i="2" s="1"/>
  <c r="I460" i="2" s="1"/>
  <c r="J460" i="2" s="1"/>
  <c r="K460" i="2" s="1"/>
  <c r="L460" i="2" s="1"/>
  <c r="M460" i="2" s="1"/>
  <c r="N460" i="2" s="1"/>
  <c r="O460" i="2" s="1"/>
  <c r="P460" i="2" s="1"/>
  <c r="Q460" i="2" s="1"/>
  <c r="R460" i="2" s="1"/>
  <c r="S460" i="2" s="1"/>
  <c r="T460" i="2" s="1"/>
  <c r="U460" i="2" s="1"/>
  <c r="V460" i="2" s="1"/>
  <c r="W460" i="2" s="1"/>
  <c r="X460" i="2" s="1"/>
  <c r="Y460" i="2" s="1"/>
  <c r="Z460" i="2" s="1"/>
  <c r="F351" i="2"/>
  <c r="G351" i="2" s="1"/>
  <c r="H351" i="2" s="1"/>
  <c r="I351" i="2" s="1"/>
  <c r="J351" i="2" s="1"/>
  <c r="K351" i="2" s="1"/>
  <c r="L351" i="2" s="1"/>
  <c r="M351" i="2" s="1"/>
  <c r="N351" i="2" s="1"/>
  <c r="O351" i="2" s="1"/>
  <c r="P351" i="2" s="1"/>
  <c r="Q351" i="2" s="1"/>
  <c r="R351" i="2" s="1"/>
  <c r="S351" i="2" s="1"/>
  <c r="T351" i="2" s="1"/>
  <c r="U351" i="2" s="1"/>
  <c r="V351" i="2" s="1"/>
  <c r="W351" i="2" s="1"/>
  <c r="X351" i="2" s="1"/>
  <c r="Y351" i="2" s="1"/>
  <c r="Z351" i="2" s="1"/>
  <c r="F353" i="2"/>
  <c r="G353" i="2" s="1"/>
  <c r="H353" i="2" s="1"/>
  <c r="I353" i="2" s="1"/>
  <c r="J353" i="2" s="1"/>
  <c r="K353" i="2" s="1"/>
  <c r="L353" i="2" s="1"/>
  <c r="M353" i="2" s="1"/>
  <c r="N353" i="2" s="1"/>
  <c r="O353" i="2" s="1"/>
  <c r="P353" i="2" s="1"/>
  <c r="Q353" i="2" s="1"/>
  <c r="R353" i="2" s="1"/>
  <c r="S353" i="2" s="1"/>
  <c r="T353" i="2" s="1"/>
  <c r="U353" i="2" s="1"/>
  <c r="V353" i="2" s="1"/>
  <c r="W353" i="2" s="1"/>
  <c r="X353" i="2" s="1"/>
  <c r="Y353" i="2" s="1"/>
  <c r="Z353" i="2" s="1"/>
  <c r="F462" i="2"/>
  <c r="G462" i="2" s="1"/>
  <c r="H462" i="2" s="1"/>
  <c r="I462" i="2" s="1"/>
  <c r="J462" i="2" s="1"/>
  <c r="K462" i="2" s="1"/>
  <c r="L462" i="2" s="1"/>
  <c r="M462" i="2" s="1"/>
  <c r="N462" i="2" s="1"/>
  <c r="O462" i="2" s="1"/>
  <c r="P462" i="2" s="1"/>
  <c r="Q462" i="2" s="1"/>
  <c r="R462" i="2" s="1"/>
  <c r="S462" i="2" s="1"/>
  <c r="T462" i="2" s="1"/>
  <c r="U462" i="2" s="1"/>
  <c r="V462" i="2" s="1"/>
  <c r="W462" i="2" s="1"/>
  <c r="X462" i="2" s="1"/>
  <c r="Y462" i="2" s="1"/>
  <c r="Z462" i="2" s="1"/>
  <c r="F464" i="2"/>
  <c r="G464" i="2" s="1"/>
  <c r="H464" i="2" s="1"/>
  <c r="I464" i="2" s="1"/>
  <c r="J464" i="2" s="1"/>
  <c r="K464" i="2" s="1"/>
  <c r="L464" i="2" s="1"/>
  <c r="M464" i="2" s="1"/>
  <c r="N464" i="2" s="1"/>
  <c r="O464" i="2" s="1"/>
  <c r="P464" i="2" s="1"/>
  <c r="Q464" i="2" s="1"/>
  <c r="R464" i="2" s="1"/>
  <c r="S464" i="2" s="1"/>
  <c r="T464" i="2" s="1"/>
  <c r="U464" i="2" s="1"/>
  <c r="V464" i="2" s="1"/>
  <c r="W464" i="2" s="1"/>
  <c r="X464" i="2" s="1"/>
  <c r="Y464" i="2" s="1"/>
  <c r="Z464" i="2" s="1"/>
  <c r="F355" i="2"/>
  <c r="G355" i="2" s="1"/>
  <c r="H355" i="2" s="1"/>
  <c r="I355" i="2" s="1"/>
  <c r="J355" i="2" s="1"/>
  <c r="K355" i="2" s="1"/>
  <c r="L355" i="2" s="1"/>
  <c r="M355" i="2" s="1"/>
  <c r="N355" i="2" s="1"/>
  <c r="O355" i="2" s="1"/>
  <c r="P355" i="2" s="1"/>
  <c r="Q355" i="2" s="1"/>
  <c r="R355" i="2" s="1"/>
  <c r="S355" i="2" s="1"/>
  <c r="T355" i="2" s="1"/>
  <c r="U355" i="2" s="1"/>
  <c r="V355" i="2" s="1"/>
  <c r="W355" i="2" s="1"/>
  <c r="X355" i="2" s="1"/>
  <c r="Y355" i="2" s="1"/>
  <c r="Z355" i="2" s="1"/>
  <c r="F357" i="2"/>
  <c r="G357" i="2" s="1"/>
  <c r="H357" i="2" s="1"/>
  <c r="I357" i="2" s="1"/>
  <c r="J357" i="2" s="1"/>
  <c r="K357" i="2" s="1"/>
  <c r="L357" i="2" s="1"/>
  <c r="M357" i="2" s="1"/>
  <c r="N357" i="2" s="1"/>
  <c r="O357" i="2" s="1"/>
  <c r="P357" i="2" s="1"/>
  <c r="Q357" i="2" s="1"/>
  <c r="R357" i="2" s="1"/>
  <c r="S357" i="2" s="1"/>
  <c r="T357" i="2" s="1"/>
  <c r="U357" i="2" s="1"/>
  <c r="V357" i="2" s="1"/>
  <c r="W357" i="2" s="1"/>
  <c r="X357" i="2" s="1"/>
  <c r="Y357" i="2" s="1"/>
  <c r="Z357" i="2" s="1"/>
  <c r="F466" i="2"/>
  <c r="G466" i="2" s="1"/>
  <c r="H466" i="2" s="1"/>
  <c r="I466" i="2" s="1"/>
  <c r="J466" i="2" s="1"/>
  <c r="K466" i="2" s="1"/>
  <c r="L466" i="2" s="1"/>
  <c r="M466" i="2" s="1"/>
  <c r="N466" i="2" s="1"/>
  <c r="O466" i="2" s="1"/>
  <c r="P466" i="2" s="1"/>
  <c r="Q466" i="2" s="1"/>
  <c r="R466" i="2" s="1"/>
  <c r="S466" i="2" s="1"/>
  <c r="T466" i="2" s="1"/>
  <c r="U466" i="2" s="1"/>
  <c r="V466" i="2" s="1"/>
  <c r="W466" i="2" s="1"/>
  <c r="X466" i="2" s="1"/>
  <c r="Y466" i="2" s="1"/>
  <c r="Z466" i="2" s="1"/>
  <c r="F468" i="2"/>
  <c r="G468" i="2" s="1"/>
  <c r="H468" i="2" s="1"/>
  <c r="I468" i="2" s="1"/>
  <c r="J468" i="2" s="1"/>
  <c r="K468" i="2" s="1"/>
  <c r="L468" i="2" s="1"/>
  <c r="M468" i="2" s="1"/>
  <c r="N468" i="2" s="1"/>
  <c r="O468" i="2" s="1"/>
  <c r="P468" i="2" s="1"/>
  <c r="Q468" i="2" s="1"/>
  <c r="R468" i="2" s="1"/>
  <c r="S468" i="2" s="1"/>
  <c r="T468" i="2" s="1"/>
  <c r="U468" i="2" s="1"/>
  <c r="V468" i="2" s="1"/>
  <c r="W468" i="2" s="1"/>
  <c r="X468" i="2" s="1"/>
  <c r="Y468" i="2" s="1"/>
  <c r="Z468" i="2" s="1"/>
  <c r="F359" i="2"/>
  <c r="G359" i="2" s="1"/>
  <c r="H359" i="2" s="1"/>
  <c r="I359" i="2" s="1"/>
  <c r="J359" i="2" s="1"/>
  <c r="K359" i="2" s="1"/>
  <c r="L359" i="2" s="1"/>
  <c r="M359" i="2" s="1"/>
  <c r="N359" i="2" s="1"/>
  <c r="O359" i="2" s="1"/>
  <c r="P359" i="2" s="1"/>
  <c r="Q359" i="2" s="1"/>
  <c r="R359" i="2" s="1"/>
  <c r="S359" i="2" s="1"/>
  <c r="T359" i="2" s="1"/>
  <c r="U359" i="2" s="1"/>
  <c r="V359" i="2" s="1"/>
  <c r="W359" i="2" s="1"/>
  <c r="X359" i="2" s="1"/>
  <c r="Y359" i="2" s="1"/>
  <c r="Z359" i="2" s="1"/>
  <c r="J21" i="6"/>
  <c r="L1" i="7"/>
  <c r="I1" i="10" s="1"/>
  <c r="H53" i="8"/>
  <c r="S1" i="7"/>
  <c r="P1" i="10" s="1"/>
  <c r="I26" i="13"/>
  <c r="H26" i="12"/>
  <c r="J26" i="13"/>
  <c r="I26" i="12"/>
  <c r="J26" i="12"/>
  <c r="K26" i="13"/>
  <c r="M26" i="13"/>
  <c r="O26" i="13"/>
  <c r="L26" i="13"/>
  <c r="K26" i="12"/>
  <c r="N26" i="13"/>
  <c r="M26" i="12"/>
  <c r="H26" i="13"/>
  <c r="G26" i="12"/>
  <c r="O26" i="12"/>
  <c r="L26" i="12"/>
  <c r="N26" i="12"/>
  <c r="Z29" i="8"/>
  <c r="G24" i="13" s="1"/>
  <c r="G23" i="13"/>
  <c r="J23" i="1"/>
  <c r="E442" i="2"/>
  <c r="F23" i="13"/>
  <c r="G7" i="1"/>
  <c r="G78" i="2"/>
  <c r="G80" i="2" s="1"/>
  <c r="G125" i="2"/>
  <c r="AK7" i="6"/>
  <c r="H79" i="11"/>
  <c r="H494" i="2"/>
  <c r="H515" i="2"/>
  <c r="H493" i="2"/>
  <c r="H514" i="2"/>
  <c r="H406" i="2"/>
  <c r="H385" i="2"/>
  <c r="H405" i="2"/>
  <c r="H384" i="2"/>
  <c r="AJ15" i="6"/>
  <c r="AK15" i="6" s="1"/>
  <c r="AL15" i="6" s="1"/>
  <c r="G494" i="2"/>
  <c r="G505" i="2" s="1"/>
  <c r="G515" i="2"/>
  <c r="G518" i="2" s="1"/>
  <c r="G493" i="2"/>
  <c r="G504" i="2" s="1"/>
  <c r="G385" i="2"/>
  <c r="G396" i="2" s="1"/>
  <c r="G406" i="2"/>
  <c r="G409" i="2" s="1"/>
  <c r="G514" i="2"/>
  <c r="G405" i="2"/>
  <c r="G384" i="2"/>
  <c r="G395" i="2" s="1"/>
  <c r="H78" i="2"/>
  <c r="G57" i="14"/>
  <c r="G68" i="14" s="1"/>
  <c r="H57" i="11"/>
  <c r="H58" i="14"/>
  <c r="I515" i="2"/>
  <c r="I494" i="2"/>
  <c r="I493" i="2"/>
  <c r="I406" i="2"/>
  <c r="I514" i="2"/>
  <c r="I385" i="2"/>
  <c r="I384" i="2"/>
  <c r="I405" i="2"/>
  <c r="H79" i="14"/>
  <c r="F444" i="2"/>
  <c r="F335" i="2"/>
  <c r="H444" i="2"/>
  <c r="H335" i="2"/>
  <c r="I49" i="8"/>
  <c r="I44" i="8"/>
  <c r="I50" i="8"/>
  <c r="I46" i="8"/>
  <c r="I52" i="8"/>
  <c r="I58" i="8"/>
  <c r="I38" i="8"/>
  <c r="I48" i="8"/>
  <c r="K3" i="14"/>
  <c r="I55" i="8"/>
  <c r="I40" i="8"/>
  <c r="I35" i="8"/>
  <c r="I39" i="8"/>
  <c r="I37" i="8"/>
  <c r="I41" i="8"/>
  <c r="J6" i="8"/>
  <c r="K5" i="8"/>
  <c r="H55" i="8"/>
  <c r="G43" i="8"/>
  <c r="G44" i="8"/>
  <c r="G45" i="8"/>
  <c r="G57" i="8"/>
  <c r="G50" i="8"/>
  <c r="G56" i="8"/>
  <c r="G54" i="8"/>
  <c r="G35" i="8"/>
  <c r="G116" i="8" s="1"/>
  <c r="I337" i="2" s="1"/>
  <c r="G38" i="8"/>
  <c r="G37" i="8"/>
  <c r="G53" i="8"/>
  <c r="G48" i="8"/>
  <c r="G129" i="8" s="1"/>
  <c r="G156" i="8" s="1"/>
  <c r="G59" i="8"/>
  <c r="G39" i="8"/>
  <c r="G42" i="8"/>
  <c r="G51" i="8"/>
  <c r="G40" i="8"/>
  <c r="G60" i="8"/>
  <c r="I3" i="11"/>
  <c r="G41" i="8"/>
  <c r="I3" i="14"/>
  <c r="I42" i="8"/>
  <c r="I56" i="8"/>
  <c r="J3" i="14"/>
  <c r="F39" i="8"/>
  <c r="F48" i="8"/>
  <c r="F52" i="8"/>
  <c r="F133" i="8" s="1"/>
  <c r="F160" i="8" s="1"/>
  <c r="F47" i="8"/>
  <c r="F50" i="8"/>
  <c r="F131" i="8" s="1"/>
  <c r="F158" i="8" s="1"/>
  <c r="F60" i="8"/>
  <c r="F38" i="8"/>
  <c r="F42" i="8"/>
  <c r="F59" i="8"/>
  <c r="F55" i="8"/>
  <c r="H3" i="2"/>
  <c r="F46" i="8"/>
  <c r="F37" i="8"/>
  <c r="F51" i="8"/>
  <c r="H3" i="11"/>
  <c r="F41" i="8"/>
  <c r="F45" i="8"/>
  <c r="F54" i="8"/>
  <c r="F58" i="8"/>
  <c r="F49" i="8"/>
  <c r="F130" i="8" s="1"/>
  <c r="F40" i="8"/>
  <c r="F43" i="8"/>
  <c r="F124" i="8" s="1"/>
  <c r="F151" i="8" s="1"/>
  <c r="F53" i="8"/>
  <c r="F44" i="8"/>
  <c r="F56" i="8"/>
  <c r="F57" i="8"/>
  <c r="F36" i="8"/>
  <c r="F117" i="8" s="1"/>
  <c r="F35" i="8"/>
  <c r="H3" i="14"/>
  <c r="I54" i="8"/>
  <c r="K3" i="11"/>
  <c r="I36" i="8"/>
  <c r="I60" i="8"/>
  <c r="I51" i="8"/>
  <c r="I53" i="8"/>
  <c r="I45" i="8"/>
  <c r="I59" i="8"/>
  <c r="I47" i="8"/>
  <c r="I43" i="8"/>
  <c r="K3" i="2"/>
  <c r="H54" i="8"/>
  <c r="H45" i="8"/>
  <c r="H50" i="8"/>
  <c r="J3" i="11"/>
  <c r="H41" i="8"/>
  <c r="H51" i="8"/>
  <c r="H52" i="8"/>
  <c r="H36" i="8"/>
  <c r="H48" i="8"/>
  <c r="H59" i="8"/>
  <c r="J3" i="2"/>
  <c r="H56" i="8"/>
  <c r="H49" i="8"/>
  <c r="H60" i="8"/>
  <c r="H58" i="8"/>
  <c r="H38" i="8"/>
  <c r="H39" i="8"/>
  <c r="H42" i="8"/>
  <c r="X18" i="6"/>
  <c r="Y18" i="6"/>
  <c r="E35" i="8"/>
  <c r="E116" i="8" s="1"/>
  <c r="E143" i="8" s="1"/>
  <c r="E55" i="8"/>
  <c r="E51" i="8"/>
  <c r="E132" i="8" s="1"/>
  <c r="E159" i="8" s="1"/>
  <c r="G3" i="14"/>
  <c r="E57" i="8"/>
  <c r="E38" i="8"/>
  <c r="E40" i="8"/>
  <c r="E42" i="8"/>
  <c r="E123" i="8" s="1"/>
  <c r="E59" i="8"/>
  <c r="E46" i="8"/>
  <c r="E127" i="8" s="1"/>
  <c r="E48" i="8"/>
  <c r="E129" i="8" s="1"/>
  <c r="E156" i="8" s="1"/>
  <c r="E50" i="8"/>
  <c r="E131" i="8" s="1"/>
  <c r="G3" i="11"/>
  <c r="E54" i="8"/>
  <c r="E135" i="8" s="1"/>
  <c r="E162" i="8" s="1"/>
  <c r="E36" i="8"/>
  <c r="E37" i="8"/>
  <c r="E39" i="8"/>
  <c r="E56" i="8"/>
  <c r="E58" i="8"/>
  <c r="E44" i="8"/>
  <c r="E125" i="8" s="1"/>
  <c r="E60" i="8"/>
  <c r="E141" i="8" s="1"/>
  <c r="E168" i="8" s="1"/>
  <c r="E53" i="8"/>
  <c r="E49" i="8"/>
  <c r="E130" i="8" s="1"/>
  <c r="E157" i="8" s="1"/>
  <c r="E126" i="8"/>
  <c r="E153" i="8" s="1"/>
  <c r="Q4" i="10"/>
  <c r="Q35" i="10" s="1"/>
  <c r="Q41" i="10" s="1"/>
  <c r="T1" i="7"/>
  <c r="Q1" i="10" s="1"/>
  <c r="M26" i="1"/>
  <c r="K26" i="1"/>
  <c r="N26" i="1"/>
  <c r="O26" i="1"/>
  <c r="L26" i="1"/>
  <c r="Q22" i="5"/>
  <c r="C157" i="2"/>
  <c r="C158" i="2"/>
  <c r="W25" i="6"/>
  <c r="F261" i="2" s="1"/>
  <c r="J25" i="6"/>
  <c r="W17" i="6"/>
  <c r="C484" i="2" s="1"/>
  <c r="J17" i="6"/>
  <c r="J5" i="6"/>
  <c r="F242" i="2"/>
  <c r="G242" i="2" s="1"/>
  <c r="H242" i="2" s="1"/>
  <c r="I242" i="2" s="1"/>
  <c r="J242" i="2" s="1"/>
  <c r="K242" i="2" s="1"/>
  <c r="L242" i="2" s="1"/>
  <c r="M242" i="2" s="1"/>
  <c r="N242" i="2" s="1"/>
  <c r="O242" i="2" s="1"/>
  <c r="P242" i="2" s="1"/>
  <c r="Q242" i="2" s="1"/>
  <c r="R242" i="2" s="1"/>
  <c r="S242" i="2" s="1"/>
  <c r="T242" i="2" s="1"/>
  <c r="U242" i="2" s="1"/>
  <c r="V242" i="2" s="1"/>
  <c r="W242" i="2" s="1"/>
  <c r="X242" i="2" s="1"/>
  <c r="Y242" i="2" s="1"/>
  <c r="Z242" i="2" s="1"/>
  <c r="F244" i="2"/>
  <c r="G244" i="2" s="1"/>
  <c r="H244" i="2" s="1"/>
  <c r="I244" i="2" s="1"/>
  <c r="J244" i="2" s="1"/>
  <c r="K244" i="2" s="1"/>
  <c r="L244" i="2" s="1"/>
  <c r="M244" i="2" s="1"/>
  <c r="N244" i="2" s="1"/>
  <c r="O244" i="2" s="1"/>
  <c r="P244" i="2" s="1"/>
  <c r="Q244" i="2" s="1"/>
  <c r="R244" i="2" s="1"/>
  <c r="S244" i="2" s="1"/>
  <c r="T244" i="2" s="1"/>
  <c r="U244" i="2" s="1"/>
  <c r="V244" i="2" s="1"/>
  <c r="W244" i="2" s="1"/>
  <c r="X244" i="2" s="1"/>
  <c r="Y244" i="2" s="1"/>
  <c r="Z244" i="2" s="1"/>
  <c r="F246" i="2"/>
  <c r="G246" i="2" s="1"/>
  <c r="H246" i="2" s="1"/>
  <c r="I246" i="2" s="1"/>
  <c r="J246" i="2" s="1"/>
  <c r="K246" i="2" s="1"/>
  <c r="L246" i="2" s="1"/>
  <c r="M246" i="2" s="1"/>
  <c r="N246" i="2" s="1"/>
  <c r="O246" i="2" s="1"/>
  <c r="P246" i="2" s="1"/>
  <c r="Q246" i="2" s="1"/>
  <c r="R246" i="2" s="1"/>
  <c r="S246" i="2" s="1"/>
  <c r="T246" i="2" s="1"/>
  <c r="U246" i="2" s="1"/>
  <c r="V246" i="2" s="1"/>
  <c r="W246" i="2" s="1"/>
  <c r="X246" i="2" s="1"/>
  <c r="Y246" i="2" s="1"/>
  <c r="Z246" i="2" s="1"/>
  <c r="F248" i="2"/>
  <c r="G248" i="2" s="1"/>
  <c r="H248" i="2" s="1"/>
  <c r="I248" i="2" s="1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F250" i="2"/>
  <c r="G250" i="2" s="1"/>
  <c r="H250" i="2" s="1"/>
  <c r="I250" i="2" s="1"/>
  <c r="J250" i="2" s="1"/>
  <c r="K250" i="2" s="1"/>
  <c r="L250" i="2" s="1"/>
  <c r="M250" i="2" s="1"/>
  <c r="N250" i="2" s="1"/>
  <c r="O250" i="2" s="1"/>
  <c r="P250" i="2" s="1"/>
  <c r="Q250" i="2" s="1"/>
  <c r="R250" i="2" s="1"/>
  <c r="S250" i="2" s="1"/>
  <c r="T250" i="2" s="1"/>
  <c r="U250" i="2" s="1"/>
  <c r="V250" i="2" s="1"/>
  <c r="W250" i="2" s="1"/>
  <c r="X250" i="2" s="1"/>
  <c r="Y250" i="2" s="1"/>
  <c r="Z250" i="2" s="1"/>
  <c r="F133" i="2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F135" i="2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F137" i="2"/>
  <c r="G137" i="2" s="1"/>
  <c r="H137" i="2" s="1"/>
  <c r="I137" i="2" s="1"/>
  <c r="J137" i="2" s="1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F139" i="2"/>
  <c r="G139" i="2" s="1"/>
  <c r="H139" i="2" s="1"/>
  <c r="I139" i="2" s="1"/>
  <c r="J139" i="2" s="1"/>
  <c r="K139" i="2" s="1"/>
  <c r="L139" i="2" s="1"/>
  <c r="M139" i="2" s="1"/>
  <c r="N139" i="2" s="1"/>
  <c r="O139" i="2" s="1"/>
  <c r="P139" i="2" s="1"/>
  <c r="Q139" i="2" s="1"/>
  <c r="R139" i="2" s="1"/>
  <c r="S139" i="2" s="1"/>
  <c r="T139" i="2" s="1"/>
  <c r="U139" i="2" s="1"/>
  <c r="V139" i="2" s="1"/>
  <c r="W139" i="2" s="1"/>
  <c r="X139" i="2" s="1"/>
  <c r="Y139" i="2" s="1"/>
  <c r="Z139" i="2" s="1"/>
  <c r="F141" i="2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U141" i="2" s="1"/>
  <c r="V141" i="2" s="1"/>
  <c r="W141" i="2" s="1"/>
  <c r="X141" i="2" s="1"/>
  <c r="Y141" i="2" s="1"/>
  <c r="Z141" i="2" s="1"/>
  <c r="Z11" i="8"/>
  <c r="J24" i="1" s="1"/>
  <c r="J8" i="6"/>
  <c r="J7" i="6"/>
  <c r="J23" i="6"/>
  <c r="J15" i="6"/>
  <c r="J6" i="6"/>
  <c r="J30" i="6"/>
  <c r="J22" i="6"/>
  <c r="J14" i="6"/>
  <c r="D4" i="10"/>
  <c r="D35" i="10" s="1"/>
  <c r="O21" i="1"/>
  <c r="N22" i="1"/>
  <c r="O22" i="1"/>
  <c r="K20" i="1"/>
  <c r="L20" i="1"/>
  <c r="K21" i="1"/>
  <c r="M20" i="1"/>
  <c r="L21" i="1"/>
  <c r="K22" i="1"/>
  <c r="N20" i="1"/>
  <c r="M21" i="1"/>
  <c r="L22" i="1"/>
  <c r="O20" i="1"/>
  <c r="N21" i="1"/>
  <c r="M22" i="1"/>
  <c r="G21" i="1"/>
  <c r="J21" i="1"/>
  <c r="H21" i="1"/>
  <c r="G22" i="1"/>
  <c r="J20" i="1"/>
  <c r="G20" i="1"/>
  <c r="I20" i="1"/>
  <c r="I21" i="1"/>
  <c r="I22" i="1"/>
  <c r="J22" i="1"/>
  <c r="H22" i="1"/>
  <c r="H20" i="1"/>
  <c r="J28" i="6"/>
  <c r="J20" i="6"/>
  <c r="J12" i="6"/>
  <c r="J27" i="6"/>
  <c r="J19" i="6"/>
  <c r="J11" i="6"/>
  <c r="F117" i="2"/>
  <c r="F226" i="2"/>
  <c r="H117" i="2"/>
  <c r="H226" i="2"/>
  <c r="G57" i="2"/>
  <c r="G68" i="2" s="1"/>
  <c r="AK8" i="6"/>
  <c r="H16" i="2" s="1"/>
  <c r="G8" i="1"/>
  <c r="K8" i="1"/>
  <c r="H8" i="1" s="1"/>
  <c r="C9" i="1"/>
  <c r="I276" i="2"/>
  <c r="I297" i="2"/>
  <c r="I296" i="2"/>
  <c r="I188" i="2"/>
  <c r="I167" i="2"/>
  <c r="I187" i="2"/>
  <c r="I57" i="11"/>
  <c r="I79" i="11"/>
  <c r="I58" i="14"/>
  <c r="I78" i="14"/>
  <c r="I79" i="2"/>
  <c r="I80" i="2" s="1"/>
  <c r="I57" i="14"/>
  <c r="I79" i="14"/>
  <c r="I58" i="11"/>
  <c r="AM14" i="6"/>
  <c r="AM15" i="6" s="1"/>
  <c r="I58" i="2"/>
  <c r="I78" i="11"/>
  <c r="I80" i="11" s="1"/>
  <c r="H79" i="2"/>
  <c r="G57" i="11"/>
  <c r="G68" i="11" s="1"/>
  <c r="G58" i="14"/>
  <c r="G69" i="14" s="1"/>
  <c r="G79" i="14"/>
  <c r="H57" i="14"/>
  <c r="G234" i="2"/>
  <c r="H78" i="14"/>
  <c r="H80" i="14" s="1"/>
  <c r="C23" i="1"/>
  <c r="C24" i="1" s="1"/>
  <c r="H58" i="2"/>
  <c r="G79" i="11"/>
  <c r="G296" i="2"/>
  <c r="G297" i="2"/>
  <c r="G300" i="2" s="1"/>
  <c r="G276" i="2"/>
  <c r="G287" i="2" s="1"/>
  <c r="G167" i="2"/>
  <c r="G178" i="2" s="1"/>
  <c r="G188" i="2"/>
  <c r="G191" i="2" s="1"/>
  <c r="G187" i="2"/>
  <c r="U19" i="18"/>
  <c r="G78" i="11"/>
  <c r="G80" i="11" s="1"/>
  <c r="G58" i="11"/>
  <c r="G69" i="11" s="1"/>
  <c r="H276" i="2"/>
  <c r="H297" i="2"/>
  <c r="H296" i="2"/>
  <c r="H167" i="2"/>
  <c r="H188" i="2"/>
  <c r="H187" i="2"/>
  <c r="H234" i="2"/>
  <c r="J78" i="11"/>
  <c r="H78" i="11"/>
  <c r="H80" i="11" s="1"/>
  <c r="H58" i="11"/>
  <c r="G78" i="14"/>
  <c r="G80" i="14" s="1"/>
  <c r="E224" i="2"/>
  <c r="Z10" i="8"/>
  <c r="G24" i="1" s="1"/>
  <c r="E115" i="2"/>
  <c r="G69" i="2"/>
  <c r="I8" i="11"/>
  <c r="J1" i="11"/>
  <c r="D107" i="11"/>
  <c r="B91" i="11"/>
  <c r="A49" i="12" s="1"/>
  <c r="D49" i="12"/>
  <c r="D47" i="12"/>
  <c r="D105" i="11"/>
  <c r="B89" i="11"/>
  <c r="A47" i="12" s="1"/>
  <c r="D108" i="11"/>
  <c r="B92" i="11"/>
  <c r="A50" i="12" s="1"/>
  <c r="D50" i="12"/>
  <c r="D51" i="12"/>
  <c r="D109" i="11"/>
  <c r="B93" i="11"/>
  <c r="A51" i="12" s="1"/>
  <c r="B94" i="11"/>
  <c r="A52" i="12" s="1"/>
  <c r="D52" i="12"/>
  <c r="D110" i="11"/>
  <c r="D53" i="12"/>
  <c r="D111" i="11"/>
  <c r="B95" i="11"/>
  <c r="A53" i="12" s="1"/>
  <c r="D54" i="12"/>
  <c r="B96" i="11"/>
  <c r="A54" i="12" s="1"/>
  <c r="D106" i="11"/>
  <c r="B90" i="11"/>
  <c r="A48" i="12" s="1"/>
  <c r="D48" i="12"/>
  <c r="H8" i="11"/>
  <c r="B93" i="2"/>
  <c r="A51" i="1" s="1"/>
  <c r="D51" i="1"/>
  <c r="B89" i="2"/>
  <c r="A47" i="1" s="1"/>
  <c r="D47" i="1"/>
  <c r="D105" i="2"/>
  <c r="D48" i="1"/>
  <c r="D106" i="2"/>
  <c r="B90" i="2"/>
  <c r="A48" i="1" s="1"/>
  <c r="B91" i="2"/>
  <c r="A49" i="1" s="1"/>
  <c r="D49" i="1"/>
  <c r="D107" i="2"/>
  <c r="B94" i="2"/>
  <c r="A52" i="1" s="1"/>
  <c r="D110" i="2"/>
  <c r="D52" i="1"/>
  <c r="H1" i="8"/>
  <c r="K2" i="2"/>
  <c r="AM5" i="6"/>
  <c r="D108" i="2"/>
  <c r="B92" i="2"/>
  <c r="A50" i="1" s="1"/>
  <c r="D50" i="1"/>
  <c r="D53" i="1"/>
  <c r="B95" i="2"/>
  <c r="A53" i="1" s="1"/>
  <c r="D111" i="2"/>
  <c r="D54" i="1"/>
  <c r="B96" i="2"/>
  <c r="A54" i="1" s="1"/>
  <c r="AK5" i="6"/>
  <c r="F4" i="8"/>
  <c r="G1" i="8"/>
  <c r="H8" i="2"/>
  <c r="AL5" i="6"/>
  <c r="D109" i="2"/>
  <c r="I1" i="2"/>
  <c r="F8" i="2"/>
  <c r="Z1" i="7"/>
  <c r="W1" i="10" s="1"/>
  <c r="V44" i="7"/>
  <c r="V45" i="7" s="1"/>
  <c r="AB29" i="6"/>
  <c r="AB21" i="6"/>
  <c r="AB11" i="6"/>
  <c r="AB28" i="6"/>
  <c r="AB20" i="6"/>
  <c r="AB10" i="6"/>
  <c r="AB27" i="6"/>
  <c r="AB18" i="6"/>
  <c r="AB9" i="6"/>
  <c r="AB26" i="6"/>
  <c r="AB17" i="6"/>
  <c r="AB8" i="6"/>
  <c r="F482" i="2" s="1"/>
  <c r="G482" i="2" s="1"/>
  <c r="H482" i="2" s="1"/>
  <c r="I482" i="2" s="1"/>
  <c r="J482" i="2" s="1"/>
  <c r="K482" i="2" s="1"/>
  <c r="L482" i="2" s="1"/>
  <c r="M482" i="2" s="1"/>
  <c r="N482" i="2" s="1"/>
  <c r="O482" i="2" s="1"/>
  <c r="P482" i="2" s="1"/>
  <c r="Q482" i="2" s="1"/>
  <c r="R482" i="2" s="1"/>
  <c r="S482" i="2" s="1"/>
  <c r="T482" i="2" s="1"/>
  <c r="U482" i="2" s="1"/>
  <c r="V482" i="2" s="1"/>
  <c r="W482" i="2" s="1"/>
  <c r="X482" i="2" s="1"/>
  <c r="Y482" i="2" s="1"/>
  <c r="Z482" i="2" s="1"/>
  <c r="AB25" i="6"/>
  <c r="AB16" i="6"/>
  <c r="AB7" i="6"/>
  <c r="AB13" i="6"/>
  <c r="AB24" i="6"/>
  <c r="AB15" i="6"/>
  <c r="AB6" i="6"/>
  <c r="F264" i="2" s="1"/>
  <c r="G264" i="2" s="1"/>
  <c r="H264" i="2" s="1"/>
  <c r="I264" i="2" s="1"/>
  <c r="J264" i="2" s="1"/>
  <c r="K264" i="2" s="1"/>
  <c r="L264" i="2" s="1"/>
  <c r="M264" i="2" s="1"/>
  <c r="N264" i="2" s="1"/>
  <c r="O264" i="2" s="1"/>
  <c r="P264" i="2" s="1"/>
  <c r="Q264" i="2" s="1"/>
  <c r="R264" i="2" s="1"/>
  <c r="S264" i="2" s="1"/>
  <c r="T264" i="2" s="1"/>
  <c r="U264" i="2" s="1"/>
  <c r="V264" i="2" s="1"/>
  <c r="W264" i="2" s="1"/>
  <c r="X264" i="2" s="1"/>
  <c r="Y264" i="2" s="1"/>
  <c r="Z264" i="2" s="1"/>
  <c r="AB23" i="6"/>
  <c r="AB14" i="6"/>
  <c r="AB22" i="6"/>
  <c r="F21" i="1"/>
  <c r="G1" i="7"/>
  <c r="D1" i="10" s="1"/>
  <c r="AB5" i="6"/>
  <c r="F373" i="2" s="1"/>
  <c r="G373" i="2" s="1"/>
  <c r="H373" i="2" s="1"/>
  <c r="I373" i="2" s="1"/>
  <c r="J373" i="2" s="1"/>
  <c r="K373" i="2" s="1"/>
  <c r="L373" i="2" s="1"/>
  <c r="M373" i="2" s="1"/>
  <c r="N373" i="2" s="1"/>
  <c r="O373" i="2" s="1"/>
  <c r="P373" i="2" s="1"/>
  <c r="Q373" i="2" s="1"/>
  <c r="R373" i="2" s="1"/>
  <c r="S373" i="2" s="1"/>
  <c r="T373" i="2" s="1"/>
  <c r="U373" i="2" s="1"/>
  <c r="V373" i="2" s="1"/>
  <c r="W373" i="2" s="1"/>
  <c r="X373" i="2" s="1"/>
  <c r="Y373" i="2" s="1"/>
  <c r="Z373" i="2" s="1"/>
  <c r="G4" i="10"/>
  <c r="G35" i="10" s="1"/>
  <c r="R1" i="7"/>
  <c r="O1" i="10" s="1"/>
  <c r="F116" i="8"/>
  <c r="F143" i="8" s="1"/>
  <c r="G62" i="8"/>
  <c r="H62" i="8" s="1"/>
  <c r="I62" i="8" s="1"/>
  <c r="E134" i="8"/>
  <c r="E161" i="8" s="1"/>
  <c r="E56" i="12"/>
  <c r="C147" i="8"/>
  <c r="C174" i="8" s="1"/>
  <c r="J9" i="6"/>
  <c r="A45" i="13"/>
  <c r="A9" i="14"/>
  <c r="E6" i="14"/>
  <c r="A45" i="12"/>
  <c r="A12" i="11"/>
  <c r="A45" i="1"/>
  <c r="Q1" i="7"/>
  <c r="N1" i="10" s="1"/>
  <c r="D12" i="7"/>
  <c r="AI32" i="7"/>
  <c r="O19" i="7" s="1"/>
  <c r="O21" i="7" s="1"/>
  <c r="O36" i="7" s="1"/>
  <c r="I1" i="7"/>
  <c r="F1" i="10" s="1"/>
  <c r="V4" i="10"/>
  <c r="V35" i="10" s="1"/>
  <c r="G124" i="8"/>
  <c r="H70" i="8"/>
  <c r="G77" i="8"/>
  <c r="E158" i="8"/>
  <c r="F108" i="8"/>
  <c r="G108" i="8" s="1"/>
  <c r="H108" i="8" s="1"/>
  <c r="F99" i="8"/>
  <c r="G99" i="8" s="1"/>
  <c r="H99" i="8" s="1"/>
  <c r="I99" i="8" s="1"/>
  <c r="F132" i="8"/>
  <c r="F159" i="8" s="1"/>
  <c r="G87" i="8"/>
  <c r="F141" i="8"/>
  <c r="G76" i="8"/>
  <c r="F123" i="8"/>
  <c r="F150" i="8" s="1"/>
  <c r="G69" i="8"/>
  <c r="E136" i="8"/>
  <c r="E163" i="8" s="1"/>
  <c r="E110" i="8"/>
  <c r="S30" i="5"/>
  <c r="T29" i="5"/>
  <c r="U29" i="5" s="1"/>
  <c r="U28" i="5"/>
  <c r="F109" i="8" s="1"/>
  <c r="F134" i="8"/>
  <c r="F161" i="8" s="1"/>
  <c r="W29" i="5"/>
  <c r="X28" i="5"/>
  <c r="Y28" i="5" s="1"/>
  <c r="F100" i="8"/>
  <c r="G100" i="8" s="1"/>
  <c r="G127" i="8" s="1"/>
  <c r="G154" i="8" s="1"/>
  <c r="Y20" i="5"/>
  <c r="W14" i="5"/>
  <c r="X14" i="5" s="1"/>
  <c r="Y14" i="5" s="1"/>
  <c r="X13" i="5"/>
  <c r="Y13" i="5" s="1"/>
  <c r="G74" i="8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F128" i="8"/>
  <c r="F155" i="8" s="1"/>
  <c r="G72" i="8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F125" i="8"/>
  <c r="F152" i="8" s="1"/>
  <c r="G71" i="8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E84" i="14"/>
  <c r="E85" i="14" s="1"/>
  <c r="E56" i="14"/>
  <c r="E67" i="14" s="1"/>
  <c r="G101" i="8"/>
  <c r="E65" i="8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E117" i="8"/>
  <c r="E64" i="8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G107" i="8"/>
  <c r="E55" i="1"/>
  <c r="G105" i="8"/>
  <c r="G106" i="8"/>
  <c r="I98" i="8"/>
  <c r="H102" i="8"/>
  <c r="F129" i="8"/>
  <c r="E152" i="8"/>
  <c r="E46" i="13"/>
  <c r="E89" i="2"/>
  <c r="E47" i="1" s="1"/>
  <c r="E92" i="8"/>
  <c r="E91" i="8"/>
  <c r="G90" i="8"/>
  <c r="E56" i="11"/>
  <c r="E57" i="11" s="1"/>
  <c r="E58" i="11" s="1"/>
  <c r="E59" i="11" s="1"/>
  <c r="E70" i="11" s="1"/>
  <c r="E78" i="11"/>
  <c r="E81" i="11" s="1"/>
  <c r="E98" i="14"/>
  <c r="E78" i="2"/>
  <c r="E81" i="2" s="1"/>
  <c r="E103" i="14"/>
  <c r="E104" i="14" s="1"/>
  <c r="E105" i="14" s="1"/>
  <c r="E106" i="14" s="1"/>
  <c r="E107" i="14" s="1"/>
  <c r="E108" i="14" s="1"/>
  <c r="E109" i="14" s="1"/>
  <c r="E110" i="14" s="1"/>
  <c r="E111" i="14" s="1"/>
  <c r="E89" i="11"/>
  <c r="E47" i="12" s="1"/>
  <c r="O24" i="7"/>
  <c r="G43" i="7"/>
  <c r="A9" i="2"/>
  <c r="C143" i="8"/>
  <c r="C170" i="8" s="1"/>
  <c r="H10" i="11"/>
  <c r="I10" i="11"/>
  <c r="G10" i="11"/>
  <c r="E47" i="13"/>
  <c r="E90" i="14"/>
  <c r="AB16" i="11"/>
  <c r="C87" i="1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E84" i="2"/>
  <c r="E85" i="2" s="1"/>
  <c r="N43" i="10"/>
  <c r="O43" i="10"/>
  <c r="P43" i="10"/>
  <c r="Q43" i="10"/>
  <c r="L43" i="10"/>
  <c r="E56" i="1"/>
  <c r="E103" i="2"/>
  <c r="E104" i="2" s="1"/>
  <c r="E105" i="2" s="1"/>
  <c r="E106" i="2" s="1"/>
  <c r="E107" i="2" s="1"/>
  <c r="E108" i="2" s="1"/>
  <c r="E109" i="2" s="1"/>
  <c r="E110" i="2" s="1"/>
  <c r="E111" i="2" s="1"/>
  <c r="W1" i="7"/>
  <c r="T1" i="10" s="1"/>
  <c r="T4" i="10"/>
  <c r="T35" i="10" s="1"/>
  <c r="F21" i="13"/>
  <c r="F21" i="12"/>
  <c r="L4" i="10"/>
  <c r="L35" i="10" s="1"/>
  <c r="L41" i="10" s="1"/>
  <c r="F20" i="13"/>
  <c r="F22" i="12"/>
  <c r="F22" i="1"/>
  <c r="O1" i="7"/>
  <c r="L1" i="10" s="1"/>
  <c r="F20" i="12"/>
  <c r="F22" i="13"/>
  <c r="E98" i="11"/>
  <c r="E55" i="12"/>
  <c r="E79" i="14"/>
  <c r="E82" i="14" s="1"/>
  <c r="E81" i="14"/>
  <c r="D46" i="12"/>
  <c r="B88" i="11"/>
  <c r="A46" i="12" s="1"/>
  <c r="D104" i="11"/>
  <c r="E57" i="2"/>
  <c r="E67" i="2"/>
  <c r="D104" i="2"/>
  <c r="B88" i="2"/>
  <c r="M41" i="10"/>
  <c r="B88" i="14"/>
  <c r="D46" i="13"/>
  <c r="P41" i="10"/>
  <c r="AB4" i="10"/>
  <c r="AB35" i="10" s="1"/>
  <c r="H69" i="14" l="1"/>
  <c r="K7" i="12"/>
  <c r="H7" i="12" s="1"/>
  <c r="K8" i="12"/>
  <c r="H8" i="12" s="1"/>
  <c r="K6" i="12"/>
  <c r="H6" i="12" s="1"/>
  <c r="C29" i="12"/>
  <c r="K10" i="12"/>
  <c r="H10" i="12" s="1"/>
  <c r="C11" i="12"/>
  <c r="G10" i="12"/>
  <c r="K9" i="12"/>
  <c r="H9" i="12" s="1"/>
  <c r="G337" i="2"/>
  <c r="F480" i="2"/>
  <c r="F156" i="2"/>
  <c r="G156" i="2" s="1"/>
  <c r="H156" i="2" s="1"/>
  <c r="I156" i="2" s="1"/>
  <c r="J156" i="2" s="1"/>
  <c r="K156" i="2" s="1"/>
  <c r="L156" i="2" s="1"/>
  <c r="M156" i="2" s="1"/>
  <c r="N156" i="2" s="1"/>
  <c r="O156" i="2" s="1"/>
  <c r="P156" i="2" s="1"/>
  <c r="Q156" i="2" s="1"/>
  <c r="R156" i="2" s="1"/>
  <c r="S156" i="2" s="1"/>
  <c r="T156" i="2" s="1"/>
  <c r="U156" i="2" s="1"/>
  <c r="V156" i="2" s="1"/>
  <c r="W156" i="2" s="1"/>
  <c r="X156" i="2" s="1"/>
  <c r="Y156" i="2" s="1"/>
  <c r="Z156" i="2" s="1"/>
  <c r="H337" i="2"/>
  <c r="C375" i="2"/>
  <c r="G375" i="2" s="1"/>
  <c r="F479" i="2"/>
  <c r="H116" i="8"/>
  <c r="F144" i="2"/>
  <c r="G144" i="2" s="1"/>
  <c r="H144" i="2" s="1"/>
  <c r="I144" i="2" s="1"/>
  <c r="C360" i="2"/>
  <c r="C469" i="2"/>
  <c r="F471" i="2"/>
  <c r="G471" i="2" s="1"/>
  <c r="H471" i="2" s="1"/>
  <c r="I471" i="2" s="1"/>
  <c r="J471" i="2" s="1"/>
  <c r="K471" i="2" s="1"/>
  <c r="L471" i="2" s="1"/>
  <c r="M471" i="2" s="1"/>
  <c r="N471" i="2" s="1"/>
  <c r="O471" i="2" s="1"/>
  <c r="P471" i="2" s="1"/>
  <c r="Q471" i="2" s="1"/>
  <c r="R471" i="2" s="1"/>
  <c r="S471" i="2" s="1"/>
  <c r="T471" i="2" s="1"/>
  <c r="U471" i="2" s="1"/>
  <c r="V471" i="2" s="1"/>
  <c r="W471" i="2" s="1"/>
  <c r="X471" i="2" s="1"/>
  <c r="Y471" i="2" s="1"/>
  <c r="Z471" i="2" s="1"/>
  <c r="E471" i="2"/>
  <c r="F362" i="2"/>
  <c r="G362" i="2" s="1"/>
  <c r="H362" i="2" s="1"/>
  <c r="I362" i="2" s="1"/>
  <c r="J362" i="2" s="1"/>
  <c r="K362" i="2" s="1"/>
  <c r="L362" i="2" s="1"/>
  <c r="M362" i="2" s="1"/>
  <c r="N362" i="2" s="1"/>
  <c r="O362" i="2" s="1"/>
  <c r="P362" i="2" s="1"/>
  <c r="Q362" i="2" s="1"/>
  <c r="R362" i="2" s="1"/>
  <c r="S362" i="2" s="1"/>
  <c r="T362" i="2" s="1"/>
  <c r="U362" i="2" s="1"/>
  <c r="V362" i="2" s="1"/>
  <c r="W362" i="2" s="1"/>
  <c r="X362" i="2" s="1"/>
  <c r="Y362" i="2" s="1"/>
  <c r="Z362" i="2" s="1"/>
  <c r="E362" i="2"/>
  <c r="F366" i="2"/>
  <c r="G366" i="2" s="1"/>
  <c r="H366" i="2" s="1"/>
  <c r="I366" i="2" s="1"/>
  <c r="J366" i="2" s="1"/>
  <c r="K366" i="2" s="1"/>
  <c r="L366" i="2" s="1"/>
  <c r="M366" i="2" s="1"/>
  <c r="N366" i="2" s="1"/>
  <c r="O366" i="2" s="1"/>
  <c r="P366" i="2" s="1"/>
  <c r="Q366" i="2" s="1"/>
  <c r="R366" i="2" s="1"/>
  <c r="S366" i="2" s="1"/>
  <c r="T366" i="2" s="1"/>
  <c r="U366" i="2" s="1"/>
  <c r="V366" i="2" s="1"/>
  <c r="W366" i="2" s="1"/>
  <c r="X366" i="2" s="1"/>
  <c r="Y366" i="2" s="1"/>
  <c r="Z366" i="2" s="1"/>
  <c r="F475" i="2"/>
  <c r="G475" i="2" s="1"/>
  <c r="H475" i="2" s="1"/>
  <c r="I475" i="2" s="1"/>
  <c r="J475" i="2" s="1"/>
  <c r="K475" i="2" s="1"/>
  <c r="L475" i="2" s="1"/>
  <c r="M475" i="2" s="1"/>
  <c r="N475" i="2" s="1"/>
  <c r="O475" i="2" s="1"/>
  <c r="P475" i="2" s="1"/>
  <c r="Q475" i="2" s="1"/>
  <c r="R475" i="2" s="1"/>
  <c r="S475" i="2" s="1"/>
  <c r="T475" i="2" s="1"/>
  <c r="U475" i="2" s="1"/>
  <c r="V475" i="2" s="1"/>
  <c r="W475" i="2" s="1"/>
  <c r="X475" i="2" s="1"/>
  <c r="Y475" i="2" s="1"/>
  <c r="Z475" i="2" s="1"/>
  <c r="F153" i="2"/>
  <c r="F374" i="2"/>
  <c r="G374" i="2" s="1"/>
  <c r="H374" i="2" s="1"/>
  <c r="I374" i="2" s="1"/>
  <c r="J374" i="2" s="1"/>
  <c r="K374" i="2" s="1"/>
  <c r="L374" i="2" s="1"/>
  <c r="M374" i="2" s="1"/>
  <c r="N374" i="2" s="1"/>
  <c r="O374" i="2" s="1"/>
  <c r="P374" i="2" s="1"/>
  <c r="Q374" i="2" s="1"/>
  <c r="R374" i="2" s="1"/>
  <c r="S374" i="2" s="1"/>
  <c r="T374" i="2" s="1"/>
  <c r="U374" i="2" s="1"/>
  <c r="V374" i="2" s="1"/>
  <c r="W374" i="2" s="1"/>
  <c r="X374" i="2" s="1"/>
  <c r="Y374" i="2" s="1"/>
  <c r="Z374" i="2" s="1"/>
  <c r="H27" i="13"/>
  <c r="G27" i="12"/>
  <c r="O27" i="12"/>
  <c r="I27" i="13"/>
  <c r="H27" i="12"/>
  <c r="I27" i="12"/>
  <c r="L27" i="13"/>
  <c r="J27" i="13"/>
  <c r="N27" i="13"/>
  <c r="K27" i="13"/>
  <c r="J27" i="12"/>
  <c r="M27" i="13"/>
  <c r="L27" i="12"/>
  <c r="M27" i="12"/>
  <c r="O27" i="13"/>
  <c r="N27" i="12"/>
  <c r="K27" i="12"/>
  <c r="G27" i="13"/>
  <c r="F152" i="2"/>
  <c r="G484" i="2"/>
  <c r="N41" i="10"/>
  <c r="F155" i="2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 s="1"/>
  <c r="X155" i="2" s="1"/>
  <c r="Y155" i="2" s="1"/>
  <c r="Z155" i="2" s="1"/>
  <c r="F265" i="2"/>
  <c r="G265" i="2" s="1"/>
  <c r="H265" i="2" s="1"/>
  <c r="I265" i="2" s="1"/>
  <c r="J265" i="2" s="1"/>
  <c r="K265" i="2" s="1"/>
  <c r="L265" i="2" s="1"/>
  <c r="M265" i="2" s="1"/>
  <c r="N265" i="2" s="1"/>
  <c r="O265" i="2" s="1"/>
  <c r="P265" i="2" s="1"/>
  <c r="Q265" i="2" s="1"/>
  <c r="R265" i="2" s="1"/>
  <c r="S265" i="2" s="1"/>
  <c r="T265" i="2" s="1"/>
  <c r="U265" i="2" s="1"/>
  <c r="V265" i="2" s="1"/>
  <c r="W265" i="2" s="1"/>
  <c r="X265" i="2" s="1"/>
  <c r="Y265" i="2" s="1"/>
  <c r="Z265" i="2" s="1"/>
  <c r="F262" i="2"/>
  <c r="AB452" i="2"/>
  <c r="C523" i="2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F483" i="2"/>
  <c r="G483" i="2" s="1"/>
  <c r="H483" i="2" s="1"/>
  <c r="I483" i="2" s="1"/>
  <c r="J483" i="2" s="1"/>
  <c r="K483" i="2" s="1"/>
  <c r="L483" i="2" s="1"/>
  <c r="M483" i="2" s="1"/>
  <c r="N483" i="2" s="1"/>
  <c r="O483" i="2" s="1"/>
  <c r="P483" i="2" s="1"/>
  <c r="Q483" i="2" s="1"/>
  <c r="R483" i="2" s="1"/>
  <c r="S483" i="2" s="1"/>
  <c r="T483" i="2" s="1"/>
  <c r="U483" i="2" s="1"/>
  <c r="V483" i="2" s="1"/>
  <c r="W483" i="2" s="1"/>
  <c r="X483" i="2" s="1"/>
  <c r="Y483" i="2" s="1"/>
  <c r="Z483" i="2" s="1"/>
  <c r="C414" i="2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AB343" i="2"/>
  <c r="H80" i="2"/>
  <c r="H68" i="14"/>
  <c r="I68" i="14" s="1"/>
  <c r="I516" i="2"/>
  <c r="H516" i="2"/>
  <c r="H395" i="2"/>
  <c r="I395" i="2" s="1"/>
  <c r="G407" i="2"/>
  <c r="G408" i="2"/>
  <c r="H69" i="11"/>
  <c r="I69" i="11" s="1"/>
  <c r="J515" i="2"/>
  <c r="J493" i="2"/>
  <c r="J494" i="2"/>
  <c r="J385" i="2"/>
  <c r="J514" i="2"/>
  <c r="J406" i="2"/>
  <c r="J405" i="2"/>
  <c r="J384" i="2"/>
  <c r="G516" i="2"/>
  <c r="G517" i="2"/>
  <c r="H409" i="2"/>
  <c r="I409" i="2" s="1"/>
  <c r="I69" i="14"/>
  <c r="H68" i="11"/>
  <c r="I68" i="11" s="1"/>
  <c r="H396" i="2"/>
  <c r="I396" i="2" s="1"/>
  <c r="J396" i="2" s="1"/>
  <c r="H504" i="2"/>
  <c r="I504" i="2" s="1"/>
  <c r="I407" i="2"/>
  <c r="H518" i="2"/>
  <c r="I518" i="2" s="1"/>
  <c r="J518" i="2" s="1"/>
  <c r="H407" i="2"/>
  <c r="H125" i="2"/>
  <c r="H166" i="2" s="1"/>
  <c r="AL7" i="6"/>
  <c r="C25" i="1"/>
  <c r="H505" i="2"/>
  <c r="I505" i="2" s="1"/>
  <c r="J505" i="2" s="1"/>
  <c r="I226" i="2"/>
  <c r="I444" i="2"/>
  <c r="I335" i="2"/>
  <c r="H484" i="2"/>
  <c r="G157" i="2"/>
  <c r="O41" i="10"/>
  <c r="E154" i="8"/>
  <c r="L3" i="11"/>
  <c r="J36" i="8"/>
  <c r="J46" i="8"/>
  <c r="J53" i="8"/>
  <c r="L3" i="2"/>
  <c r="J38" i="8"/>
  <c r="J58" i="8"/>
  <c r="J35" i="8"/>
  <c r="J60" i="8"/>
  <c r="J55" i="8"/>
  <c r="J54" i="8"/>
  <c r="J47" i="8"/>
  <c r="J48" i="8"/>
  <c r="J37" i="8"/>
  <c r="J41" i="8"/>
  <c r="J44" i="8"/>
  <c r="J59" i="8"/>
  <c r="J43" i="8"/>
  <c r="J39" i="8"/>
  <c r="J52" i="8"/>
  <c r="J50" i="8"/>
  <c r="J51" i="8"/>
  <c r="J40" i="8"/>
  <c r="J56" i="8"/>
  <c r="J49" i="8"/>
  <c r="J42" i="8"/>
  <c r="L3" i="14"/>
  <c r="J45" i="8"/>
  <c r="J57" i="8"/>
  <c r="C251" i="2"/>
  <c r="F253" i="2"/>
  <c r="G253" i="2" s="1"/>
  <c r="H253" i="2" s="1"/>
  <c r="I253" i="2" s="1"/>
  <c r="J253" i="2" s="1"/>
  <c r="K253" i="2" s="1"/>
  <c r="L253" i="2" s="1"/>
  <c r="M253" i="2" s="1"/>
  <c r="N253" i="2" s="1"/>
  <c r="O253" i="2" s="1"/>
  <c r="P253" i="2" s="1"/>
  <c r="Q253" i="2" s="1"/>
  <c r="R253" i="2" s="1"/>
  <c r="S253" i="2" s="1"/>
  <c r="T253" i="2" s="1"/>
  <c r="U253" i="2" s="1"/>
  <c r="V253" i="2" s="1"/>
  <c r="W253" i="2" s="1"/>
  <c r="X253" i="2" s="1"/>
  <c r="Y253" i="2" s="1"/>
  <c r="Z253" i="2" s="1"/>
  <c r="E253" i="2"/>
  <c r="C142" i="2"/>
  <c r="E144" i="2"/>
  <c r="C267" i="2"/>
  <c r="H157" i="2"/>
  <c r="G125" i="8"/>
  <c r="G152" i="8" s="1"/>
  <c r="H125" i="8"/>
  <c r="H152" i="8" s="1"/>
  <c r="L27" i="1"/>
  <c r="M27" i="1"/>
  <c r="O27" i="1"/>
  <c r="N27" i="1"/>
  <c r="K27" i="1"/>
  <c r="C266" i="2"/>
  <c r="K6" i="8"/>
  <c r="L5" i="8"/>
  <c r="H287" i="2"/>
  <c r="I287" i="2" s="1"/>
  <c r="H178" i="2"/>
  <c r="I178" i="2" s="1"/>
  <c r="H69" i="2"/>
  <c r="I69" i="2" s="1"/>
  <c r="I298" i="2"/>
  <c r="H189" i="2"/>
  <c r="C26" i="1"/>
  <c r="H300" i="2"/>
  <c r="I300" i="2" s="1"/>
  <c r="H275" i="2"/>
  <c r="H238" i="2"/>
  <c r="G298" i="2"/>
  <c r="G299" i="2"/>
  <c r="H299" i="2" s="1"/>
  <c r="I299" i="2" s="1"/>
  <c r="G166" i="2"/>
  <c r="G177" i="2" s="1"/>
  <c r="G129" i="2"/>
  <c r="I80" i="14"/>
  <c r="G275" i="2"/>
  <c r="G286" i="2" s="1"/>
  <c r="G238" i="2"/>
  <c r="J53" i="18"/>
  <c r="U25" i="18"/>
  <c r="U21" i="18"/>
  <c r="V21" i="18" s="1"/>
  <c r="I53" i="18"/>
  <c r="T25" i="18"/>
  <c r="T21" i="18"/>
  <c r="U26" i="18"/>
  <c r="H53" i="18"/>
  <c r="U24" i="18"/>
  <c r="O53" i="18"/>
  <c r="G53" i="18"/>
  <c r="T24" i="18"/>
  <c r="N53" i="18"/>
  <c r="F53" i="18"/>
  <c r="U23" i="18"/>
  <c r="U22" i="18"/>
  <c r="M53" i="18"/>
  <c r="E53" i="18"/>
  <c r="T23" i="18"/>
  <c r="K53" i="18"/>
  <c r="T26" i="18"/>
  <c r="T22" i="18"/>
  <c r="L53" i="18"/>
  <c r="K9" i="1"/>
  <c r="H9" i="1" s="1"/>
  <c r="G9" i="1"/>
  <c r="C10" i="1"/>
  <c r="G189" i="2"/>
  <c r="G190" i="2"/>
  <c r="H190" i="2" s="1"/>
  <c r="I190" i="2" s="1"/>
  <c r="J276" i="2"/>
  <c r="J296" i="2"/>
  <c r="J297" i="2"/>
  <c r="J188" i="2"/>
  <c r="J167" i="2"/>
  <c r="J187" i="2"/>
  <c r="J79" i="11"/>
  <c r="J80" i="11" s="1"/>
  <c r="J57" i="14"/>
  <c r="J78" i="2"/>
  <c r="J79" i="14"/>
  <c r="J58" i="14"/>
  <c r="J69" i="14" s="1"/>
  <c r="J57" i="11"/>
  <c r="J79" i="2"/>
  <c r="J78" i="14"/>
  <c r="AN14" i="6"/>
  <c r="J58" i="11"/>
  <c r="J69" i="11" s="1"/>
  <c r="J58" i="2"/>
  <c r="AL8" i="6"/>
  <c r="I16" i="2" s="1"/>
  <c r="H298" i="2"/>
  <c r="H191" i="2"/>
  <c r="I191" i="2" s="1"/>
  <c r="J191" i="2" s="1"/>
  <c r="I189" i="2"/>
  <c r="AB50" i="7"/>
  <c r="E191" i="8" s="1"/>
  <c r="AA50" i="7"/>
  <c r="E190" i="8" s="1"/>
  <c r="F190" i="8" s="1"/>
  <c r="AC50" i="7"/>
  <c r="E192" i="8" s="1"/>
  <c r="F192" i="8" s="1"/>
  <c r="G192" i="8" s="1"/>
  <c r="H192" i="8" s="1"/>
  <c r="AE50" i="7"/>
  <c r="E194" i="8" s="1"/>
  <c r="F194" i="8" s="1"/>
  <c r="V50" i="7"/>
  <c r="E185" i="8" s="1"/>
  <c r="F185" i="8" s="1"/>
  <c r="V37" i="7"/>
  <c r="X50" i="7"/>
  <c r="E187" i="8" s="1"/>
  <c r="F187" i="8" s="1"/>
  <c r="Z50" i="7"/>
  <c r="E189" i="8" s="1"/>
  <c r="F189" i="8" s="1"/>
  <c r="Y50" i="7"/>
  <c r="E188" i="8" s="1"/>
  <c r="F188" i="8" s="1"/>
  <c r="AD50" i="7"/>
  <c r="E193" i="8" s="1"/>
  <c r="F193" i="8" s="1"/>
  <c r="W50" i="7"/>
  <c r="E186" i="8" s="1"/>
  <c r="E213" i="8" s="1"/>
  <c r="E267" i="8" s="1"/>
  <c r="F135" i="8"/>
  <c r="F162" i="8" s="1"/>
  <c r="G135" i="8"/>
  <c r="G162" i="8" s="1"/>
  <c r="F126" i="8"/>
  <c r="F153" i="8" s="1"/>
  <c r="E144" i="8"/>
  <c r="G228" i="2"/>
  <c r="F144" i="8"/>
  <c r="H228" i="2"/>
  <c r="C196" i="2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305" i="2"/>
  <c r="C306" i="2" s="1"/>
  <c r="K1" i="11"/>
  <c r="J8" i="11"/>
  <c r="I117" i="2"/>
  <c r="I157" i="2" s="1"/>
  <c r="J1" i="2"/>
  <c r="I8" i="2"/>
  <c r="G4" i="8"/>
  <c r="L2" i="2"/>
  <c r="AN5" i="6"/>
  <c r="I1" i="8"/>
  <c r="Q32" i="7"/>
  <c r="Q42" i="7" s="1"/>
  <c r="O32" i="7"/>
  <c r="O42" i="7" s="1"/>
  <c r="H42" i="7"/>
  <c r="G19" i="7"/>
  <c r="G36" i="7" s="1"/>
  <c r="I42" i="7"/>
  <c r="J36" i="7"/>
  <c r="J38" i="7" s="1"/>
  <c r="P19" i="7"/>
  <c r="P21" i="7" s="1"/>
  <c r="P36" i="7" s="1"/>
  <c r="G126" i="8"/>
  <c r="G153" i="8" s="1"/>
  <c r="H126" i="8"/>
  <c r="H153" i="8" s="1"/>
  <c r="E68" i="11"/>
  <c r="E90" i="2"/>
  <c r="E48" i="1" s="1"/>
  <c r="C201" i="8"/>
  <c r="AB16" i="14"/>
  <c r="C87" i="14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Y9" i="14"/>
  <c r="S9" i="14"/>
  <c r="U9" i="14"/>
  <c r="W9" i="14"/>
  <c r="Z9" i="14"/>
  <c r="H9" i="14"/>
  <c r="O9" i="14"/>
  <c r="G9" i="14"/>
  <c r="Q9" i="14"/>
  <c r="V9" i="14"/>
  <c r="P9" i="14"/>
  <c r="M9" i="14"/>
  <c r="K9" i="14"/>
  <c r="A10" i="14"/>
  <c r="J9" i="14"/>
  <c r="T9" i="14"/>
  <c r="L9" i="14"/>
  <c r="N9" i="14"/>
  <c r="X9" i="14"/>
  <c r="I9" i="14"/>
  <c r="R9" i="14"/>
  <c r="A13" i="11"/>
  <c r="Q19" i="7"/>
  <c r="Q21" i="7" s="1"/>
  <c r="Q36" i="7" s="1"/>
  <c r="Q38" i="7" s="1"/>
  <c r="G32" i="7"/>
  <c r="K42" i="7"/>
  <c r="J42" i="7"/>
  <c r="D13" i="7"/>
  <c r="D14" i="7" s="1"/>
  <c r="P32" i="7"/>
  <c r="P42" i="7" s="1"/>
  <c r="H21" i="7"/>
  <c r="H36" i="7" s="1"/>
  <c r="H38" i="7" s="1"/>
  <c r="H44" i="7" s="1"/>
  <c r="E217" i="8"/>
  <c r="E271" i="8" s="1"/>
  <c r="J62" i="8"/>
  <c r="I116" i="8"/>
  <c r="H77" i="8"/>
  <c r="G131" i="8"/>
  <c r="G143" i="8"/>
  <c r="H124" i="8"/>
  <c r="I70" i="8"/>
  <c r="G151" i="8"/>
  <c r="F168" i="8"/>
  <c r="H87" i="8"/>
  <c r="G141" i="8"/>
  <c r="G168" i="8" s="1"/>
  <c r="F157" i="8"/>
  <c r="G130" i="8"/>
  <c r="G157" i="8" s="1"/>
  <c r="H76" i="8"/>
  <c r="E79" i="11"/>
  <c r="E82" i="11" s="1"/>
  <c r="E150" i="8"/>
  <c r="H69" i="8"/>
  <c r="G123" i="8"/>
  <c r="G150" i="8" s="1"/>
  <c r="G109" i="8"/>
  <c r="F136" i="8"/>
  <c r="F163" i="8" s="1"/>
  <c r="T30" i="5"/>
  <c r="S31" i="5"/>
  <c r="E67" i="11"/>
  <c r="E137" i="8"/>
  <c r="E164" i="8" s="1"/>
  <c r="F110" i="8"/>
  <c r="E111" i="8"/>
  <c r="W30" i="5"/>
  <c r="X29" i="5"/>
  <c r="Y29" i="5" s="1"/>
  <c r="H100" i="8"/>
  <c r="H127" i="8" s="1"/>
  <c r="H154" i="8" s="1"/>
  <c r="F127" i="8"/>
  <c r="F154" i="8" s="1"/>
  <c r="E57" i="14"/>
  <c r="E58" i="14" s="1"/>
  <c r="E69" i="14" s="1"/>
  <c r="G128" i="8"/>
  <c r="G155" i="8" s="1"/>
  <c r="H101" i="8"/>
  <c r="I101" i="8" s="1"/>
  <c r="E66" i="8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G132" i="8"/>
  <c r="H105" i="8"/>
  <c r="H107" i="8"/>
  <c r="G134" i="8"/>
  <c r="I108" i="8"/>
  <c r="H135" i="8"/>
  <c r="H106" i="8"/>
  <c r="G133" i="8"/>
  <c r="F156" i="8"/>
  <c r="H129" i="8"/>
  <c r="H156" i="8" s="1"/>
  <c r="I102" i="8"/>
  <c r="J99" i="8"/>
  <c r="I126" i="8"/>
  <c r="I125" i="8"/>
  <c r="I152" i="8" s="1"/>
  <c r="J98" i="8"/>
  <c r="E60" i="11"/>
  <c r="E71" i="11" s="1"/>
  <c r="E79" i="2"/>
  <c r="E82" i="2" s="1"/>
  <c r="E118" i="8"/>
  <c r="F91" i="8"/>
  <c r="E93" i="8"/>
  <c r="F92" i="8"/>
  <c r="E119" i="8"/>
  <c r="E90" i="11"/>
  <c r="E48" i="12" s="1"/>
  <c r="G117" i="8"/>
  <c r="I228" i="2" s="1"/>
  <c r="H90" i="8"/>
  <c r="E69" i="11"/>
  <c r="O38" i="7"/>
  <c r="E91" i="14"/>
  <c r="E48" i="13"/>
  <c r="C197" i="8"/>
  <c r="P9" i="2"/>
  <c r="J9" i="2"/>
  <c r="L9" i="2"/>
  <c r="Y9" i="2"/>
  <c r="V9" i="2"/>
  <c r="R9" i="2"/>
  <c r="U9" i="2"/>
  <c r="Q9" i="2"/>
  <c r="W9" i="2"/>
  <c r="I9" i="2"/>
  <c r="O9" i="2"/>
  <c r="S9" i="2"/>
  <c r="M9" i="2"/>
  <c r="H9" i="2"/>
  <c r="A10" i="2"/>
  <c r="X9" i="2"/>
  <c r="K9" i="2"/>
  <c r="T9" i="2"/>
  <c r="G9" i="2"/>
  <c r="Z9" i="2"/>
  <c r="N9" i="2"/>
  <c r="F191" i="8"/>
  <c r="E68" i="2"/>
  <c r="E58" i="2"/>
  <c r="A46" i="1"/>
  <c r="A46" i="13"/>
  <c r="G11" i="12" l="1"/>
  <c r="C12" i="12"/>
  <c r="K11" i="12"/>
  <c r="H11" i="12" s="1"/>
  <c r="C30" i="12"/>
  <c r="J516" i="2"/>
  <c r="H363" i="2"/>
  <c r="I367" i="2"/>
  <c r="H367" i="2"/>
  <c r="I143" i="8"/>
  <c r="K337" i="2"/>
  <c r="H375" i="2"/>
  <c r="O28" i="13"/>
  <c r="M30" i="13"/>
  <c r="N28" i="12"/>
  <c r="L30" i="12"/>
  <c r="K30" i="13"/>
  <c r="H28" i="13"/>
  <c r="N30" i="13"/>
  <c r="G28" i="12"/>
  <c r="O28" i="12"/>
  <c r="M30" i="12"/>
  <c r="H28" i="12"/>
  <c r="I30" i="13"/>
  <c r="I28" i="13"/>
  <c r="O30" i="13"/>
  <c r="N30" i="12"/>
  <c r="J28" i="13"/>
  <c r="H30" i="13"/>
  <c r="I28" i="12"/>
  <c r="G30" i="12"/>
  <c r="O30" i="12"/>
  <c r="K28" i="13"/>
  <c r="M28" i="13"/>
  <c r="L28" i="13"/>
  <c r="J30" i="13"/>
  <c r="K28" i="12"/>
  <c r="I30" i="12"/>
  <c r="N28" i="13"/>
  <c r="L30" i="13"/>
  <c r="M28" i="12"/>
  <c r="K30" i="12"/>
  <c r="J28" i="12"/>
  <c r="H30" i="12"/>
  <c r="L28" i="12"/>
  <c r="J30" i="12"/>
  <c r="F27" i="13"/>
  <c r="H143" i="8"/>
  <c r="J337" i="2"/>
  <c r="I363" i="2"/>
  <c r="E472" i="2"/>
  <c r="E475" i="2"/>
  <c r="E146" i="8"/>
  <c r="G446" i="2"/>
  <c r="E363" i="2"/>
  <c r="E366" i="2"/>
  <c r="G367" i="2"/>
  <c r="G363" i="2"/>
  <c r="J68" i="11"/>
  <c r="H129" i="2"/>
  <c r="J504" i="2"/>
  <c r="J80" i="14"/>
  <c r="J178" i="2"/>
  <c r="J395" i="2"/>
  <c r="J409" i="2"/>
  <c r="I125" i="2"/>
  <c r="AM7" i="6"/>
  <c r="I234" i="2"/>
  <c r="K493" i="2"/>
  <c r="K515" i="2"/>
  <c r="K518" i="2" s="1"/>
  <c r="K494" i="2"/>
  <c r="K505" i="2" s="1"/>
  <c r="K514" i="2"/>
  <c r="K385" i="2"/>
  <c r="K396" i="2" s="1"/>
  <c r="K406" i="2"/>
  <c r="K405" i="2"/>
  <c r="K384" i="2"/>
  <c r="H517" i="2"/>
  <c r="J407" i="2"/>
  <c r="H408" i="2"/>
  <c r="I375" i="2"/>
  <c r="J226" i="2"/>
  <c r="J266" i="2" s="1"/>
  <c r="J444" i="2"/>
  <c r="J335" i="2"/>
  <c r="I484" i="2"/>
  <c r="J68" i="14"/>
  <c r="J189" i="2"/>
  <c r="H266" i="2"/>
  <c r="J69" i="2"/>
  <c r="J287" i="2"/>
  <c r="I266" i="2"/>
  <c r="M3" i="11"/>
  <c r="K58" i="8"/>
  <c r="K51" i="8"/>
  <c r="K54" i="8"/>
  <c r="K57" i="8"/>
  <c r="K35" i="8"/>
  <c r="K39" i="8"/>
  <c r="K37" i="8"/>
  <c r="M3" i="14"/>
  <c r="K60" i="8"/>
  <c r="K36" i="8"/>
  <c r="K53" i="8"/>
  <c r="K47" i="8"/>
  <c r="K38" i="8"/>
  <c r="K49" i="8"/>
  <c r="K44" i="8"/>
  <c r="K55" i="8"/>
  <c r="K50" i="8"/>
  <c r="K41" i="8"/>
  <c r="K46" i="8"/>
  <c r="K43" i="8"/>
  <c r="M3" i="2"/>
  <c r="K52" i="8"/>
  <c r="K42" i="8"/>
  <c r="K40" i="8"/>
  <c r="K48" i="8"/>
  <c r="K56" i="8"/>
  <c r="K59" i="8"/>
  <c r="K45" i="8"/>
  <c r="G266" i="2"/>
  <c r="K28" i="1"/>
  <c r="L28" i="1"/>
  <c r="N28" i="1"/>
  <c r="L30" i="1"/>
  <c r="N30" i="1"/>
  <c r="M28" i="1"/>
  <c r="K30" i="1"/>
  <c r="O28" i="1"/>
  <c r="M30" i="1"/>
  <c r="O30" i="1"/>
  <c r="E148" i="2"/>
  <c r="E145" i="2"/>
  <c r="E257" i="2"/>
  <c r="E254" i="2"/>
  <c r="M5" i="8"/>
  <c r="L6" i="8"/>
  <c r="H177" i="2"/>
  <c r="H286" i="2"/>
  <c r="J299" i="2"/>
  <c r="K10" i="1"/>
  <c r="H10" i="1" s="1"/>
  <c r="G10" i="1"/>
  <c r="C11" i="1"/>
  <c r="K276" i="2"/>
  <c r="K297" i="2"/>
  <c r="K296" i="2"/>
  <c r="K167" i="2"/>
  <c r="K188" i="2"/>
  <c r="K191" i="2" s="1"/>
  <c r="K187" i="2"/>
  <c r="AO14" i="6"/>
  <c r="K57" i="14"/>
  <c r="K79" i="2"/>
  <c r="K79" i="14"/>
  <c r="K58" i="14"/>
  <c r="K69" i="14" s="1"/>
  <c r="K57" i="11"/>
  <c r="K58" i="2"/>
  <c r="K78" i="11"/>
  <c r="K78" i="14"/>
  <c r="K58" i="11"/>
  <c r="K69" i="11" s="1"/>
  <c r="K79" i="11"/>
  <c r="K78" i="2"/>
  <c r="J80" i="2"/>
  <c r="J300" i="2"/>
  <c r="C27" i="1"/>
  <c r="J190" i="2"/>
  <c r="I57" i="2"/>
  <c r="AM8" i="6"/>
  <c r="J16" i="2" s="1"/>
  <c r="AN15" i="6"/>
  <c r="H57" i="2"/>
  <c r="H68" i="2" s="1"/>
  <c r="J298" i="2"/>
  <c r="E218" i="8"/>
  <c r="E272" i="8" s="1"/>
  <c r="E212" i="8"/>
  <c r="E266" i="8" s="1"/>
  <c r="E216" i="8"/>
  <c r="E270" i="8" s="1"/>
  <c r="F186" i="8"/>
  <c r="G186" i="8" s="1"/>
  <c r="E214" i="8"/>
  <c r="E268" i="8" s="1"/>
  <c r="G254" i="2"/>
  <c r="E145" i="8"/>
  <c r="G119" i="2"/>
  <c r="G145" i="2" s="1"/>
  <c r="I254" i="2"/>
  <c r="C307" i="2"/>
  <c r="H254" i="2"/>
  <c r="L1" i="11"/>
  <c r="K8" i="11"/>
  <c r="J117" i="2"/>
  <c r="J157" i="2" s="1"/>
  <c r="K1" i="2"/>
  <c r="J8" i="2"/>
  <c r="H4" i="8"/>
  <c r="J1" i="8"/>
  <c r="M2" i="2"/>
  <c r="AO5" i="6"/>
  <c r="J144" i="2"/>
  <c r="I21" i="7"/>
  <c r="I36" i="7" s="1"/>
  <c r="I38" i="7" s="1"/>
  <c r="I44" i="7" s="1"/>
  <c r="I45" i="7" s="1"/>
  <c r="E91" i="2"/>
  <c r="E49" i="1" s="1"/>
  <c r="P38" i="7"/>
  <c r="P44" i="7" s="1"/>
  <c r="J44" i="7"/>
  <c r="J45" i="7" s="1"/>
  <c r="K21" i="7"/>
  <c r="K36" i="7" s="1"/>
  <c r="K38" i="7" s="1"/>
  <c r="K44" i="7" s="1"/>
  <c r="K45" i="7" s="1"/>
  <c r="F20" i="1"/>
  <c r="E61" i="11"/>
  <c r="E72" i="11" s="1"/>
  <c r="E215" i="8"/>
  <c r="E269" i="8" s="1"/>
  <c r="C228" i="8"/>
  <c r="C255" i="8" s="1"/>
  <c r="A11" i="14"/>
  <c r="G11" i="14" s="1"/>
  <c r="G10" i="14"/>
  <c r="H10" i="14"/>
  <c r="A14" i="11"/>
  <c r="N38" i="10"/>
  <c r="Q44" i="7"/>
  <c r="D15" i="7"/>
  <c r="D16" i="7" s="1"/>
  <c r="O38" i="10"/>
  <c r="G42" i="7"/>
  <c r="G38" i="7"/>
  <c r="J70" i="8"/>
  <c r="I124" i="8"/>
  <c r="H151" i="8"/>
  <c r="J10" i="11"/>
  <c r="G158" i="8"/>
  <c r="I10" i="14"/>
  <c r="I77" i="8"/>
  <c r="H131" i="8"/>
  <c r="J116" i="8"/>
  <c r="L337" i="2" s="1"/>
  <c r="L363" i="2" s="1"/>
  <c r="K62" i="8"/>
  <c r="I87" i="8"/>
  <c r="H141" i="8"/>
  <c r="I76" i="8"/>
  <c r="H130" i="8"/>
  <c r="I69" i="8"/>
  <c r="H123" i="8"/>
  <c r="H150" i="8" s="1"/>
  <c r="E59" i="14"/>
  <c r="E60" i="14" s="1"/>
  <c r="E61" i="14" s="1"/>
  <c r="E72" i="14" s="1"/>
  <c r="E138" i="8"/>
  <c r="E165" i="8" s="1"/>
  <c r="E219" i="8" s="1"/>
  <c r="E273" i="8" s="1"/>
  <c r="S32" i="5"/>
  <c r="T32" i="5" s="1"/>
  <c r="T31" i="5"/>
  <c r="U31" i="5" s="1"/>
  <c r="U30" i="5"/>
  <c r="F111" i="8" s="1"/>
  <c r="F137" i="8"/>
  <c r="F164" i="8" s="1"/>
  <c r="F218" i="8" s="1"/>
  <c r="F272" i="8" s="1"/>
  <c r="G110" i="8"/>
  <c r="X30" i="5"/>
  <c r="Y30" i="5" s="1"/>
  <c r="W31" i="5"/>
  <c r="E113" i="8"/>
  <c r="E112" i="8"/>
  <c r="G136" i="8"/>
  <c r="G163" i="8" s="1"/>
  <c r="H109" i="8"/>
  <c r="I100" i="8"/>
  <c r="I127" i="8" s="1"/>
  <c r="I154" i="8" s="1"/>
  <c r="H128" i="8"/>
  <c r="H155" i="8" s="1"/>
  <c r="E68" i="14"/>
  <c r="E68" i="8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E67" i="8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H162" i="8"/>
  <c r="J108" i="8"/>
  <c r="I135" i="8"/>
  <c r="I162" i="8" s="1"/>
  <c r="G161" i="8"/>
  <c r="H133" i="8"/>
  <c r="H160" i="8" s="1"/>
  <c r="I106" i="8"/>
  <c r="I107" i="8"/>
  <c r="H134" i="8"/>
  <c r="H161" i="8" s="1"/>
  <c r="I105" i="8"/>
  <c r="H132" i="8"/>
  <c r="H159" i="8" s="1"/>
  <c r="G159" i="8"/>
  <c r="G160" i="8"/>
  <c r="I129" i="8"/>
  <c r="J102" i="8"/>
  <c r="K98" i="8"/>
  <c r="J125" i="8"/>
  <c r="J152" i="8" s="1"/>
  <c r="J101" i="8"/>
  <c r="I128" i="8"/>
  <c r="I155" i="8" s="1"/>
  <c r="I153" i="8"/>
  <c r="K99" i="8"/>
  <c r="J126" i="8"/>
  <c r="J153" i="8" s="1"/>
  <c r="E91" i="11"/>
  <c r="E49" i="12" s="1"/>
  <c r="F119" i="8"/>
  <c r="G92" i="8"/>
  <c r="F93" i="8"/>
  <c r="E120" i="8"/>
  <c r="E147" i="8" s="1"/>
  <c r="E95" i="8"/>
  <c r="E94" i="8"/>
  <c r="F118" i="8"/>
  <c r="G91" i="8"/>
  <c r="I90" i="8"/>
  <c r="H117" i="8"/>
  <c r="G144" i="8"/>
  <c r="L38" i="10"/>
  <c r="O44" i="7"/>
  <c r="H45" i="7"/>
  <c r="A11" i="2"/>
  <c r="C224" i="8"/>
  <c r="C251" i="8" s="1"/>
  <c r="E49" i="13"/>
  <c r="E92" i="14"/>
  <c r="F213" i="8"/>
  <c r="F267" i="8" s="1"/>
  <c r="G191" i="8"/>
  <c r="F215" i="8"/>
  <c r="F269" i="8" s="1"/>
  <c r="G188" i="8"/>
  <c r="G187" i="8"/>
  <c r="F214" i="8"/>
  <c r="F268" i="8" s="1"/>
  <c r="G194" i="8"/>
  <c r="F217" i="8"/>
  <c r="F271" i="8" s="1"/>
  <c r="G190" i="8"/>
  <c r="F30" i="13"/>
  <c r="F216" i="8"/>
  <c r="F270" i="8" s="1"/>
  <c r="G189" i="8"/>
  <c r="G185" i="8"/>
  <c r="F212" i="8"/>
  <c r="G193" i="8"/>
  <c r="E59" i="2"/>
  <c r="E69" i="2"/>
  <c r="I192" i="8"/>
  <c r="C31" i="12" l="1"/>
  <c r="C13" i="12"/>
  <c r="G12" i="12"/>
  <c r="K12" i="12"/>
  <c r="H12" i="12" s="1"/>
  <c r="K68" i="11"/>
  <c r="K189" i="2"/>
  <c r="K516" i="2"/>
  <c r="K395" i="2"/>
  <c r="L367" i="2"/>
  <c r="K363" i="2"/>
  <c r="K367" i="2"/>
  <c r="G476" i="2"/>
  <c r="G472" i="2"/>
  <c r="E364" i="2"/>
  <c r="E368" i="2" s="1"/>
  <c r="F364" i="2"/>
  <c r="G364" i="2" s="1"/>
  <c r="E367" i="2"/>
  <c r="E476" i="2"/>
  <c r="E473" i="2"/>
  <c r="E477" i="2" s="1"/>
  <c r="F473" i="2"/>
  <c r="G473" i="2" s="1"/>
  <c r="J367" i="2"/>
  <c r="J363" i="2"/>
  <c r="F146" i="8"/>
  <c r="H446" i="2"/>
  <c r="N29" i="13"/>
  <c r="L31" i="13"/>
  <c r="M29" i="12"/>
  <c r="K31" i="12"/>
  <c r="O29" i="13"/>
  <c r="M31" i="13"/>
  <c r="N29" i="12"/>
  <c r="L31" i="12"/>
  <c r="G29" i="12"/>
  <c r="O29" i="12"/>
  <c r="M31" i="12"/>
  <c r="H29" i="13"/>
  <c r="N31" i="13"/>
  <c r="N31" i="12"/>
  <c r="J29" i="13"/>
  <c r="L29" i="13"/>
  <c r="I29" i="13"/>
  <c r="O31" i="13"/>
  <c r="H29" i="12"/>
  <c r="H31" i="13"/>
  <c r="J31" i="13"/>
  <c r="K29" i="13"/>
  <c r="I31" i="13"/>
  <c r="J29" i="12"/>
  <c r="H31" i="12"/>
  <c r="K29" i="12"/>
  <c r="I31" i="12"/>
  <c r="M29" i="13"/>
  <c r="K31" i="13"/>
  <c r="L29" i="12"/>
  <c r="J31" i="12"/>
  <c r="I29" i="12"/>
  <c r="G31" i="12"/>
  <c r="O31" i="12"/>
  <c r="G31" i="13"/>
  <c r="G30" i="13"/>
  <c r="K504" i="2"/>
  <c r="K68" i="14"/>
  <c r="K178" i="2"/>
  <c r="AO15" i="6"/>
  <c r="K407" i="2"/>
  <c r="I517" i="2"/>
  <c r="L493" i="2"/>
  <c r="L494" i="2"/>
  <c r="L505" i="2" s="1"/>
  <c r="L515" i="2"/>
  <c r="L518" i="2" s="1"/>
  <c r="L514" i="2"/>
  <c r="L385" i="2"/>
  <c r="L396" i="2" s="1"/>
  <c r="L406" i="2"/>
  <c r="L384" i="2"/>
  <c r="L405" i="2"/>
  <c r="I275" i="2"/>
  <c r="I286" i="2" s="1"/>
  <c r="I238" i="2"/>
  <c r="J125" i="2"/>
  <c r="J234" i="2"/>
  <c r="AN7" i="6"/>
  <c r="I408" i="2"/>
  <c r="I166" i="2"/>
  <c r="I177" i="2" s="1"/>
  <c r="I129" i="2"/>
  <c r="K409" i="2"/>
  <c r="K69" i="2"/>
  <c r="K226" i="2"/>
  <c r="K266" i="2" s="1"/>
  <c r="K444" i="2"/>
  <c r="K335" i="2"/>
  <c r="J375" i="2"/>
  <c r="J484" i="2"/>
  <c r="K287" i="2"/>
  <c r="E62" i="11"/>
  <c r="E73" i="11" s="1"/>
  <c r="K298" i="2"/>
  <c r="N5" i="8"/>
  <c r="M6" i="8"/>
  <c r="E258" i="2"/>
  <c r="E255" i="2"/>
  <c r="E259" i="2" s="1"/>
  <c r="F255" i="2"/>
  <c r="G255" i="2" s="1"/>
  <c r="E149" i="2"/>
  <c r="E146" i="2"/>
  <c r="E150" i="2" s="1"/>
  <c r="F146" i="2"/>
  <c r="G146" i="2" s="1"/>
  <c r="M31" i="1"/>
  <c r="N31" i="1"/>
  <c r="O31" i="1"/>
  <c r="K29" i="1"/>
  <c r="K31" i="1"/>
  <c r="N29" i="1"/>
  <c r="L31" i="1"/>
  <c r="O29" i="1"/>
  <c r="L29" i="1"/>
  <c r="M29" i="1"/>
  <c r="L36" i="8"/>
  <c r="L39" i="8"/>
  <c r="L42" i="8"/>
  <c r="L37" i="8"/>
  <c r="L44" i="8"/>
  <c r="L47" i="8"/>
  <c r="L50" i="8"/>
  <c r="L45" i="8"/>
  <c r="L48" i="8"/>
  <c r="L43" i="8"/>
  <c r="L46" i="8"/>
  <c r="L53" i="8"/>
  <c r="L59" i="8"/>
  <c r="L51" i="8"/>
  <c r="N3" i="2"/>
  <c r="L41" i="8"/>
  <c r="N3" i="14"/>
  <c r="L49" i="8"/>
  <c r="L55" i="8"/>
  <c r="L40" i="8"/>
  <c r="L35" i="8"/>
  <c r="L56" i="8"/>
  <c r="N3" i="11"/>
  <c r="L52" i="8"/>
  <c r="L58" i="8"/>
  <c r="L60" i="8"/>
  <c r="L38" i="8"/>
  <c r="L57" i="8"/>
  <c r="L54" i="8"/>
  <c r="K80" i="2"/>
  <c r="K190" i="2"/>
  <c r="I68" i="2"/>
  <c r="C28" i="1"/>
  <c r="K80" i="14"/>
  <c r="L297" i="2"/>
  <c r="L276" i="2"/>
  <c r="L296" i="2"/>
  <c r="L188" i="2"/>
  <c r="L191" i="2" s="1"/>
  <c r="L167" i="2"/>
  <c r="L187" i="2"/>
  <c r="L58" i="2"/>
  <c r="L57" i="14"/>
  <c r="L79" i="14"/>
  <c r="L58" i="14"/>
  <c r="L69" i="14" s="1"/>
  <c r="L78" i="14"/>
  <c r="L57" i="11"/>
  <c r="AP14" i="6"/>
  <c r="L78" i="2"/>
  <c r="L58" i="11"/>
  <c r="L69" i="11" s="1"/>
  <c r="L79" i="2"/>
  <c r="L79" i="11"/>
  <c r="L78" i="11"/>
  <c r="L80" i="11" s="1"/>
  <c r="AN8" i="6"/>
  <c r="K16" i="2" s="1"/>
  <c r="K80" i="11"/>
  <c r="K299" i="2"/>
  <c r="C29" i="1"/>
  <c r="C30" i="1" s="1"/>
  <c r="K300" i="2"/>
  <c r="G11" i="1"/>
  <c r="C12" i="1"/>
  <c r="K11" i="1"/>
  <c r="H11" i="1" s="1"/>
  <c r="K50" i="7"/>
  <c r="E174" i="8" s="1"/>
  <c r="F174" i="8" s="1"/>
  <c r="G174" i="8" s="1"/>
  <c r="H174" i="8" s="1"/>
  <c r="I50" i="7"/>
  <c r="E172" i="8" s="1"/>
  <c r="G27" i="1" s="1"/>
  <c r="G44" i="7"/>
  <c r="L50" i="7"/>
  <c r="E175" i="8" s="1"/>
  <c r="F175" i="8" s="1"/>
  <c r="G175" i="8" s="1"/>
  <c r="H175" i="8" s="1"/>
  <c r="J50" i="7"/>
  <c r="E173" i="8" s="1"/>
  <c r="J37" i="7"/>
  <c r="H50" i="7"/>
  <c r="E171" i="8" s="1"/>
  <c r="H27" i="1" s="1"/>
  <c r="M50" i="7"/>
  <c r="E176" i="8" s="1"/>
  <c r="F176" i="8" s="1"/>
  <c r="G176" i="8" s="1"/>
  <c r="H176" i="8" s="1"/>
  <c r="F145" i="8"/>
  <c r="H119" i="2"/>
  <c r="H145" i="2" s="1"/>
  <c r="C308" i="2"/>
  <c r="C309" i="2" s="1"/>
  <c r="H144" i="8"/>
  <c r="J228" i="2"/>
  <c r="L8" i="11"/>
  <c r="M1" i="11"/>
  <c r="K1" i="8"/>
  <c r="N2" i="2"/>
  <c r="AP5" i="6"/>
  <c r="K117" i="2"/>
  <c r="K157" i="2" s="1"/>
  <c r="I4" i="8"/>
  <c r="L1" i="2"/>
  <c r="K8" i="2"/>
  <c r="E92" i="2"/>
  <c r="E50" i="1" s="1"/>
  <c r="M38" i="10"/>
  <c r="I37" i="7"/>
  <c r="K144" i="2"/>
  <c r="P38" i="10"/>
  <c r="G10" i="2"/>
  <c r="E71" i="14"/>
  <c r="E62" i="14"/>
  <c r="E73" i="14" s="1"/>
  <c r="A12" i="14"/>
  <c r="A15" i="11"/>
  <c r="D17" i="7"/>
  <c r="D19" i="7" s="1"/>
  <c r="Q38" i="10"/>
  <c r="D18" i="7"/>
  <c r="N37" i="10"/>
  <c r="N40" i="10" s="1"/>
  <c r="N42" i="10" s="1"/>
  <c r="N44" i="10" s="1"/>
  <c r="N47" i="10" s="1"/>
  <c r="Q45" i="7"/>
  <c r="K37" i="7"/>
  <c r="O37" i="10"/>
  <c r="O40" i="10" s="1"/>
  <c r="O42" i="10" s="1"/>
  <c r="O44" i="10" s="1"/>
  <c r="O47" i="10" s="1"/>
  <c r="J77" i="8"/>
  <c r="I131" i="8"/>
  <c r="L62" i="8"/>
  <c r="K116" i="8"/>
  <c r="M337" i="2" s="1"/>
  <c r="M363" i="2" s="1"/>
  <c r="J143" i="8"/>
  <c r="J100" i="8"/>
  <c r="K100" i="8" s="1"/>
  <c r="I151" i="8"/>
  <c r="K10" i="11"/>
  <c r="H158" i="8"/>
  <c r="J10" i="14"/>
  <c r="K70" i="8"/>
  <c r="J124" i="8"/>
  <c r="E92" i="11"/>
  <c r="E50" i="12" s="1"/>
  <c r="H168" i="8"/>
  <c r="I141" i="8"/>
  <c r="I168" i="8" s="1"/>
  <c r="J87" i="8"/>
  <c r="E70" i="14"/>
  <c r="H157" i="8"/>
  <c r="I130" i="8"/>
  <c r="I157" i="8" s="1"/>
  <c r="J76" i="8"/>
  <c r="I123" i="8"/>
  <c r="I150" i="8" s="1"/>
  <c r="J69" i="8"/>
  <c r="F138" i="8"/>
  <c r="F165" i="8" s="1"/>
  <c r="F219" i="8" s="1"/>
  <c r="F273" i="8" s="1"/>
  <c r="G111" i="8"/>
  <c r="H110" i="8"/>
  <c r="G137" i="8"/>
  <c r="G164" i="8" s="1"/>
  <c r="G218" i="8" s="1"/>
  <c r="G272" i="8" s="1"/>
  <c r="I109" i="8"/>
  <c r="H136" i="8"/>
  <c r="H163" i="8" s="1"/>
  <c r="E139" i="8"/>
  <c r="E166" i="8" s="1"/>
  <c r="E220" i="8" s="1"/>
  <c r="E274" i="8" s="1"/>
  <c r="F112" i="8"/>
  <c r="U32" i="5"/>
  <c r="F113" i="8" s="1"/>
  <c r="E140" i="8"/>
  <c r="E167" i="8" s="1"/>
  <c r="E221" i="8" s="1"/>
  <c r="E275" i="8" s="1"/>
  <c r="W32" i="5"/>
  <c r="X32" i="5" s="1"/>
  <c r="Y32" i="5" s="1"/>
  <c r="X31" i="5"/>
  <c r="Y31" i="5" s="1"/>
  <c r="I134" i="8"/>
  <c r="I161" i="8" s="1"/>
  <c r="J107" i="8"/>
  <c r="I133" i="8"/>
  <c r="J106" i="8"/>
  <c r="K108" i="8"/>
  <c r="J135" i="8"/>
  <c r="I132" i="8"/>
  <c r="I159" i="8" s="1"/>
  <c r="J105" i="8"/>
  <c r="K126" i="8"/>
  <c r="K153" i="8" s="1"/>
  <c r="L99" i="8"/>
  <c r="L98" i="8"/>
  <c r="K125" i="8"/>
  <c r="J129" i="8"/>
  <c r="J156" i="8" s="1"/>
  <c r="K102" i="8"/>
  <c r="I156" i="8"/>
  <c r="K101" i="8"/>
  <c r="J128" i="8"/>
  <c r="J155" i="8" s="1"/>
  <c r="F94" i="8"/>
  <c r="E121" i="8"/>
  <c r="E148" i="8" s="1"/>
  <c r="F95" i="8"/>
  <c r="E122" i="8"/>
  <c r="E149" i="8" s="1"/>
  <c r="H91" i="8"/>
  <c r="G118" i="8"/>
  <c r="G93" i="8"/>
  <c r="F120" i="8"/>
  <c r="G119" i="8"/>
  <c r="H92" i="8"/>
  <c r="J90" i="8"/>
  <c r="I117" i="8"/>
  <c r="M37" i="10"/>
  <c r="M40" i="10" s="1"/>
  <c r="M42" i="10" s="1"/>
  <c r="M44" i="10" s="1"/>
  <c r="M47" i="10" s="1"/>
  <c r="P45" i="7"/>
  <c r="L37" i="10"/>
  <c r="L40" i="10" s="1"/>
  <c r="L42" i="10" s="1"/>
  <c r="L44" i="10" s="1"/>
  <c r="L47" i="10" s="1"/>
  <c r="O45" i="7"/>
  <c r="H37" i="7"/>
  <c r="A12" i="2"/>
  <c r="E50" i="13"/>
  <c r="E93" i="14"/>
  <c r="H191" i="8"/>
  <c r="H193" i="8"/>
  <c r="H194" i="8"/>
  <c r="H189" i="8"/>
  <c r="G216" i="8"/>
  <c r="G270" i="8" s="1"/>
  <c r="F266" i="8"/>
  <c r="H11" i="14"/>
  <c r="H185" i="8"/>
  <c r="G212" i="8"/>
  <c r="F31" i="13"/>
  <c r="G214" i="8"/>
  <c r="G268" i="8" s="1"/>
  <c r="H187" i="8"/>
  <c r="H190" i="8"/>
  <c r="G217" i="8"/>
  <c r="G271" i="8" s="1"/>
  <c r="H188" i="8"/>
  <c r="G215" i="8"/>
  <c r="G269" i="8" s="1"/>
  <c r="H186" i="8"/>
  <c r="G213" i="8"/>
  <c r="G267" i="8" s="1"/>
  <c r="E60" i="2"/>
  <c r="E70" i="2"/>
  <c r="J192" i="8"/>
  <c r="L178" i="2" l="1"/>
  <c r="L68" i="11"/>
  <c r="L395" i="2"/>
  <c r="E63" i="11"/>
  <c r="K13" i="12"/>
  <c r="H13" i="12" s="1"/>
  <c r="C14" i="12"/>
  <c r="G13" i="12"/>
  <c r="C33" i="12"/>
  <c r="L69" i="2"/>
  <c r="L504" i="2"/>
  <c r="L516" i="2"/>
  <c r="G146" i="8"/>
  <c r="I446" i="2"/>
  <c r="H472" i="2"/>
  <c r="H476" i="2"/>
  <c r="G470" i="2"/>
  <c r="G477" i="2"/>
  <c r="G474" i="2" s="1"/>
  <c r="H473" i="2"/>
  <c r="L68" i="14"/>
  <c r="G361" i="2"/>
  <c r="G368" i="2"/>
  <c r="G365" i="2" s="1"/>
  <c r="H364" i="2"/>
  <c r="M367" i="2"/>
  <c r="G12" i="14"/>
  <c r="G13" i="14" s="1"/>
  <c r="H12" i="14"/>
  <c r="H105" i="14" s="1"/>
  <c r="L300" i="2"/>
  <c r="L409" i="2"/>
  <c r="L80" i="14"/>
  <c r="J129" i="2"/>
  <c r="J166" i="2"/>
  <c r="J177" i="2" s="1"/>
  <c r="J517" i="2"/>
  <c r="J275" i="2"/>
  <c r="J286" i="2" s="1"/>
  <c r="J238" i="2"/>
  <c r="L287" i="2"/>
  <c r="J408" i="2"/>
  <c r="M493" i="2"/>
  <c r="M494" i="2"/>
  <c r="M505" i="2" s="1"/>
  <c r="M515" i="2"/>
  <c r="M518" i="2" s="1"/>
  <c r="M514" i="2"/>
  <c r="M516" i="2" s="1"/>
  <c r="M385" i="2"/>
  <c r="M396" i="2" s="1"/>
  <c r="M406" i="2"/>
  <c r="M384" i="2"/>
  <c r="M405" i="2"/>
  <c r="K125" i="2"/>
  <c r="K234" i="2"/>
  <c r="AO7" i="6"/>
  <c r="L407" i="2"/>
  <c r="L226" i="2"/>
  <c r="L266" i="2" s="1"/>
  <c r="L444" i="2"/>
  <c r="L335" i="2"/>
  <c r="K484" i="2"/>
  <c r="K375" i="2"/>
  <c r="H255" i="2"/>
  <c r="G259" i="2"/>
  <c r="F173" i="8"/>
  <c r="F200" i="8" s="1"/>
  <c r="J27" i="1"/>
  <c r="L190" i="2"/>
  <c r="G150" i="2"/>
  <c r="H146" i="2"/>
  <c r="H143" i="2" s="1"/>
  <c r="M37" i="8"/>
  <c r="O3" i="11"/>
  <c r="M56" i="8"/>
  <c r="O3" i="2"/>
  <c r="M42" i="8"/>
  <c r="M49" i="8"/>
  <c r="M53" i="8"/>
  <c r="M38" i="8"/>
  <c r="M59" i="8"/>
  <c r="M58" i="8"/>
  <c r="M36" i="8"/>
  <c r="M47" i="8"/>
  <c r="M46" i="8"/>
  <c r="M52" i="8"/>
  <c r="O3" i="14"/>
  <c r="M60" i="8"/>
  <c r="M57" i="8"/>
  <c r="M44" i="8"/>
  <c r="M55" i="8"/>
  <c r="M35" i="8"/>
  <c r="M54" i="8"/>
  <c r="M43" i="8"/>
  <c r="M48" i="8"/>
  <c r="M45" i="8"/>
  <c r="M50" i="8"/>
  <c r="M41" i="8"/>
  <c r="M39" i="8"/>
  <c r="M51" i="8"/>
  <c r="M40" i="8"/>
  <c r="N6" i="8"/>
  <c r="O5" i="8"/>
  <c r="G252" i="2"/>
  <c r="G143" i="2"/>
  <c r="L298" i="2"/>
  <c r="L299" i="2"/>
  <c r="M297" i="2"/>
  <c r="M276" i="2"/>
  <c r="M287" i="2" s="1"/>
  <c r="M296" i="2"/>
  <c r="M188" i="2"/>
  <c r="M191" i="2" s="1"/>
  <c r="M167" i="2"/>
  <c r="M178" i="2" s="1"/>
  <c r="M187" i="2"/>
  <c r="M57" i="14"/>
  <c r="AQ14" i="6"/>
  <c r="M79" i="14"/>
  <c r="M58" i="14"/>
  <c r="M69" i="14" s="1"/>
  <c r="M57" i="11"/>
  <c r="M68" i="11" s="1"/>
  <c r="M58" i="2"/>
  <c r="M69" i="2" s="1"/>
  <c r="M58" i="11"/>
  <c r="M69" i="11" s="1"/>
  <c r="M79" i="11"/>
  <c r="M78" i="14"/>
  <c r="M79" i="2"/>
  <c r="M78" i="11"/>
  <c r="M80" i="11" s="1"/>
  <c r="M78" i="2"/>
  <c r="AP15" i="6"/>
  <c r="C13" i="1"/>
  <c r="K12" i="1"/>
  <c r="H12" i="1" s="1"/>
  <c r="G12" i="1"/>
  <c r="C31" i="1"/>
  <c r="K57" i="2"/>
  <c r="AO8" i="6"/>
  <c r="L16" i="2" s="1"/>
  <c r="L80" i="2"/>
  <c r="J57" i="2"/>
  <c r="J68" i="2" s="1"/>
  <c r="L189" i="2"/>
  <c r="E198" i="8"/>
  <c r="H30" i="1" s="1"/>
  <c r="E203" i="8"/>
  <c r="E257" i="8" s="1"/>
  <c r="F171" i="8"/>
  <c r="F198" i="8" s="1"/>
  <c r="O50" i="7"/>
  <c r="E178" i="8" s="1"/>
  <c r="F178" i="8" s="1"/>
  <c r="P50" i="7"/>
  <c r="E179" i="8" s="1"/>
  <c r="E206" i="8" s="1"/>
  <c r="R50" i="7"/>
  <c r="E181" i="8" s="1"/>
  <c r="E13" i="10"/>
  <c r="G45" i="7"/>
  <c r="E202" i="8"/>
  <c r="E256" i="8" s="1"/>
  <c r="E200" i="8"/>
  <c r="G447" i="2" s="1"/>
  <c r="Q50" i="7"/>
  <c r="E180" i="8" s="1"/>
  <c r="J127" i="8"/>
  <c r="J154" i="8" s="1"/>
  <c r="E252" i="8"/>
  <c r="H31" i="1" s="1"/>
  <c r="E63" i="14"/>
  <c r="E64" i="14" s="1"/>
  <c r="J254" i="2"/>
  <c r="C310" i="2"/>
  <c r="G145" i="8"/>
  <c r="I119" i="2"/>
  <c r="I145" i="2" s="1"/>
  <c r="I144" i="8"/>
  <c r="K228" i="2"/>
  <c r="M8" i="11"/>
  <c r="N1" i="11"/>
  <c r="L117" i="2"/>
  <c r="L157" i="2" s="1"/>
  <c r="J4" i="8"/>
  <c r="M1" i="2"/>
  <c r="L8" i="2"/>
  <c r="L1" i="8"/>
  <c r="O2" i="2"/>
  <c r="AQ5" i="6"/>
  <c r="E93" i="2"/>
  <c r="E51" i="1" s="1"/>
  <c r="L144" i="2"/>
  <c r="F172" i="8"/>
  <c r="E199" i="8"/>
  <c r="G30" i="1" s="1"/>
  <c r="P37" i="10"/>
  <c r="P40" i="10" s="1"/>
  <c r="P42" i="10" s="1"/>
  <c r="P44" i="10" s="1"/>
  <c r="P47" i="10" s="1"/>
  <c r="F147" i="8"/>
  <c r="F201" i="8" s="1"/>
  <c r="F255" i="8" s="1"/>
  <c r="H10" i="2"/>
  <c r="A13" i="14"/>
  <c r="E93" i="11"/>
  <c r="E51" i="12" s="1"/>
  <c r="A16" i="11"/>
  <c r="F27" i="1"/>
  <c r="Q37" i="10"/>
  <c r="Q40" i="10" s="1"/>
  <c r="Q42" i="10" s="1"/>
  <c r="Q44" i="10" s="1"/>
  <c r="Q47" i="10" s="1"/>
  <c r="F27" i="12"/>
  <c r="D21" i="7"/>
  <c r="E201" i="8"/>
  <c r="E255" i="8" s="1"/>
  <c r="Q37" i="7"/>
  <c r="K143" i="8"/>
  <c r="L70" i="8"/>
  <c r="K124" i="8"/>
  <c r="M62" i="8"/>
  <c r="L116" i="8"/>
  <c r="N337" i="2" s="1"/>
  <c r="N367" i="2" s="1"/>
  <c r="I158" i="8"/>
  <c r="K10" i="14"/>
  <c r="J151" i="8"/>
  <c r="L10" i="11"/>
  <c r="J131" i="8"/>
  <c r="K77" i="8"/>
  <c r="J141" i="8"/>
  <c r="K87" i="8"/>
  <c r="K76" i="8"/>
  <c r="J130" i="8"/>
  <c r="J123" i="8"/>
  <c r="J150" i="8" s="1"/>
  <c r="K69" i="8"/>
  <c r="F140" i="8"/>
  <c r="F167" i="8" s="1"/>
  <c r="F221" i="8" s="1"/>
  <c r="F275" i="8" s="1"/>
  <c r="G113" i="8"/>
  <c r="G112" i="8"/>
  <c r="F139" i="8"/>
  <c r="F166" i="8" s="1"/>
  <c r="F220" i="8" s="1"/>
  <c r="F274" i="8" s="1"/>
  <c r="I136" i="8"/>
  <c r="I163" i="8" s="1"/>
  <c r="J109" i="8"/>
  <c r="I110" i="8"/>
  <c r="H137" i="8"/>
  <c r="H164" i="8" s="1"/>
  <c r="H218" i="8" s="1"/>
  <c r="H272" i="8" s="1"/>
  <c r="G138" i="8"/>
  <c r="G165" i="8" s="1"/>
  <c r="G219" i="8" s="1"/>
  <c r="G273" i="8" s="1"/>
  <c r="H111" i="8"/>
  <c r="K135" i="8"/>
  <c r="K162" i="8" s="1"/>
  <c r="L108" i="8"/>
  <c r="J132" i="8"/>
  <c r="J159" i="8" s="1"/>
  <c r="K105" i="8"/>
  <c r="J133" i="8"/>
  <c r="J160" i="8" s="1"/>
  <c r="K106" i="8"/>
  <c r="I160" i="8"/>
  <c r="K107" i="8"/>
  <c r="J134" i="8"/>
  <c r="J162" i="8"/>
  <c r="L100" i="8"/>
  <c r="K127" i="8"/>
  <c r="K154" i="8" s="1"/>
  <c r="K152" i="8"/>
  <c r="L125" i="8"/>
  <c r="L152" i="8" s="1"/>
  <c r="M98" i="8"/>
  <c r="K128" i="8"/>
  <c r="L101" i="8"/>
  <c r="L126" i="8"/>
  <c r="L153" i="8" s="1"/>
  <c r="M99" i="8"/>
  <c r="L102" i="8"/>
  <c r="K129" i="8"/>
  <c r="G120" i="8"/>
  <c r="H93" i="8"/>
  <c r="H118" i="8"/>
  <c r="I91" i="8"/>
  <c r="G95" i="8"/>
  <c r="F122" i="8"/>
  <c r="F149" i="8" s="1"/>
  <c r="F203" i="8" s="1"/>
  <c r="F257" i="8" s="1"/>
  <c r="I92" i="8"/>
  <c r="H119" i="8"/>
  <c r="G94" i="8"/>
  <c r="F121" i="8"/>
  <c r="F148" i="8" s="1"/>
  <c r="F202" i="8" s="1"/>
  <c r="F256" i="8" s="1"/>
  <c r="K90" i="8"/>
  <c r="J117" i="8"/>
  <c r="L228" i="2" s="1"/>
  <c r="P37" i="7"/>
  <c r="O37" i="7"/>
  <c r="E94" i="14"/>
  <c r="E51" i="13"/>
  <c r="A13" i="2"/>
  <c r="I174" i="8"/>
  <c r="I193" i="8"/>
  <c r="I189" i="8"/>
  <c r="H216" i="8"/>
  <c r="H270" i="8" s="1"/>
  <c r="I191" i="8"/>
  <c r="I188" i="8"/>
  <c r="H215" i="8"/>
  <c r="H269" i="8" s="1"/>
  <c r="I176" i="8"/>
  <c r="H214" i="8"/>
  <c r="H268" i="8" s="1"/>
  <c r="I187" i="8"/>
  <c r="H217" i="8"/>
  <c r="H271" i="8" s="1"/>
  <c r="I190" i="8"/>
  <c r="I194" i="8"/>
  <c r="G266" i="8"/>
  <c r="I12" i="14" s="1"/>
  <c r="I11" i="14"/>
  <c r="E64" i="11"/>
  <c r="E74" i="11"/>
  <c r="I175" i="8"/>
  <c r="H213" i="8"/>
  <c r="H267" i="8" s="1"/>
  <c r="I186" i="8"/>
  <c r="H212" i="8"/>
  <c r="I185" i="8"/>
  <c r="E71" i="2"/>
  <c r="E61" i="2"/>
  <c r="K192" i="8"/>
  <c r="G469" i="2" l="1"/>
  <c r="M395" i="2"/>
  <c r="G360" i="2"/>
  <c r="M504" i="2"/>
  <c r="G14" i="12"/>
  <c r="K14" i="12"/>
  <c r="H14" i="12" s="1"/>
  <c r="C15" i="12"/>
  <c r="C34" i="12"/>
  <c r="C36" i="12"/>
  <c r="C37" i="12" s="1"/>
  <c r="C35" i="12"/>
  <c r="G104" i="14"/>
  <c r="M300" i="2"/>
  <c r="F254" i="8"/>
  <c r="H448" i="2" s="1"/>
  <c r="H447" i="2"/>
  <c r="H470" i="2"/>
  <c r="H477" i="2"/>
  <c r="H474" i="2" s="1"/>
  <c r="I473" i="2"/>
  <c r="N363" i="2"/>
  <c r="G105" i="14"/>
  <c r="G479" i="2"/>
  <c r="G481" i="2"/>
  <c r="G500" i="2" s="1"/>
  <c r="G511" i="2" s="1"/>
  <c r="G480" i="2"/>
  <c r="G461" i="2"/>
  <c r="G459" i="2" s="1"/>
  <c r="G465" i="2"/>
  <c r="G463" i="2" s="1"/>
  <c r="G467" i="2"/>
  <c r="G173" i="8"/>
  <c r="M68" i="14"/>
  <c r="G498" i="2"/>
  <c r="G509" i="2" s="1"/>
  <c r="H13" i="14"/>
  <c r="H361" i="2"/>
  <c r="I364" i="2"/>
  <c r="H368" i="2"/>
  <c r="H365" i="2" s="1"/>
  <c r="H360" i="2" s="1"/>
  <c r="I472" i="2"/>
  <c r="I476" i="2"/>
  <c r="E74" i="14"/>
  <c r="H146" i="8"/>
  <c r="J446" i="2"/>
  <c r="G229" i="2"/>
  <c r="G261" i="2" s="1"/>
  <c r="G389" i="2"/>
  <c r="G400" i="2" s="1"/>
  <c r="H104" i="14"/>
  <c r="M409" i="2"/>
  <c r="M407" i="2"/>
  <c r="K517" i="2"/>
  <c r="L125" i="2"/>
  <c r="AP7" i="6"/>
  <c r="L234" i="2"/>
  <c r="K408" i="2"/>
  <c r="N494" i="2"/>
  <c r="N505" i="2" s="1"/>
  <c r="N515" i="2"/>
  <c r="N518" i="2" s="1"/>
  <c r="N493" i="2"/>
  <c r="N385" i="2"/>
  <c r="N396" i="2" s="1"/>
  <c r="N514" i="2"/>
  <c r="N406" i="2"/>
  <c r="N405" i="2"/>
  <c r="N384" i="2"/>
  <c r="N395" i="2" s="1"/>
  <c r="K275" i="2"/>
  <c r="K286" i="2" s="1"/>
  <c r="K238" i="2"/>
  <c r="M299" i="2"/>
  <c r="K166" i="2"/>
  <c r="K177" i="2" s="1"/>
  <c r="K129" i="2"/>
  <c r="M226" i="2"/>
  <c r="M266" i="2" s="1"/>
  <c r="M444" i="2"/>
  <c r="M335" i="2"/>
  <c r="L375" i="2"/>
  <c r="L484" i="2"/>
  <c r="P5" i="8"/>
  <c r="O6" i="8"/>
  <c r="H150" i="2"/>
  <c r="I146" i="2"/>
  <c r="I143" i="2" s="1"/>
  <c r="N42" i="8"/>
  <c r="N45" i="8"/>
  <c r="N50" i="8"/>
  <c r="N47" i="8"/>
  <c r="N37" i="8"/>
  <c r="N40" i="8"/>
  <c r="N56" i="8"/>
  <c r="N51" i="8"/>
  <c r="N54" i="8"/>
  <c r="N43" i="8"/>
  <c r="N60" i="8"/>
  <c r="N38" i="8"/>
  <c r="N41" i="8"/>
  <c r="N36" i="8"/>
  <c r="N55" i="8"/>
  <c r="N49" i="8"/>
  <c r="N39" i="8"/>
  <c r="P3" i="11"/>
  <c r="P3" i="14"/>
  <c r="N59" i="8"/>
  <c r="N52" i="8"/>
  <c r="N48" i="8"/>
  <c r="N46" i="8"/>
  <c r="N44" i="8"/>
  <c r="N58" i="8"/>
  <c r="N57" i="8"/>
  <c r="N35" i="8"/>
  <c r="N53" i="8"/>
  <c r="P3" i="2"/>
  <c r="G171" i="8"/>
  <c r="E254" i="8"/>
  <c r="J30" i="1"/>
  <c r="I255" i="2"/>
  <c r="H259" i="2"/>
  <c r="H252" i="2"/>
  <c r="H251" i="2" s="1"/>
  <c r="H280" i="2" s="1"/>
  <c r="M189" i="2"/>
  <c r="M80" i="2"/>
  <c r="N276" i="2"/>
  <c r="N287" i="2" s="1"/>
  <c r="N297" i="2"/>
  <c r="N300" i="2" s="1"/>
  <c r="N296" i="2"/>
  <c r="N167" i="2"/>
  <c r="N178" i="2" s="1"/>
  <c r="N188" i="2"/>
  <c r="N191" i="2" s="1"/>
  <c r="N187" i="2"/>
  <c r="N79" i="14"/>
  <c r="N58" i="14"/>
  <c r="N69" i="14" s="1"/>
  <c r="N57" i="11"/>
  <c r="N68" i="11" s="1"/>
  <c r="N58" i="11"/>
  <c r="N69" i="11" s="1"/>
  <c r="N78" i="14"/>
  <c r="N79" i="11"/>
  <c r="N79" i="2"/>
  <c r="N57" i="14"/>
  <c r="AR14" i="6"/>
  <c r="N58" i="2"/>
  <c r="N69" i="2" s="1"/>
  <c r="N78" i="11"/>
  <c r="N78" i="2"/>
  <c r="C34" i="1"/>
  <c r="C35" i="1" s="1"/>
  <c r="C33" i="1"/>
  <c r="K68" i="2"/>
  <c r="M80" i="14"/>
  <c r="K13" i="1"/>
  <c r="H13" i="1" s="1"/>
  <c r="G13" i="1"/>
  <c r="C14" i="1"/>
  <c r="M190" i="2"/>
  <c r="AP8" i="6"/>
  <c r="M16" i="2" s="1"/>
  <c r="AQ15" i="6"/>
  <c r="M298" i="2"/>
  <c r="M7" i="6"/>
  <c r="F148" i="2" s="1"/>
  <c r="G148" i="2" s="1"/>
  <c r="G149" i="2" s="1"/>
  <c r="G147" i="2" s="1"/>
  <c r="G142" i="2" s="1"/>
  <c r="F179" i="8"/>
  <c r="G179" i="8" s="1"/>
  <c r="E14" i="10"/>
  <c r="M6" i="6"/>
  <c r="F257" i="2" s="1"/>
  <c r="G257" i="2" s="1"/>
  <c r="S50" i="7"/>
  <c r="E182" i="8" s="1"/>
  <c r="T50" i="7"/>
  <c r="E183" i="8" s="1"/>
  <c r="G50" i="7"/>
  <c r="D9" i="10"/>
  <c r="G37" i="7"/>
  <c r="G230" i="2"/>
  <c r="H145" i="8"/>
  <c r="J119" i="2"/>
  <c r="J145" i="2" s="1"/>
  <c r="F252" i="8"/>
  <c r="H230" i="2" s="1"/>
  <c r="H229" i="2"/>
  <c r="C311" i="2"/>
  <c r="C312" i="2" s="1"/>
  <c r="C313" i="2" s="1"/>
  <c r="C314" i="2" s="1"/>
  <c r="K254" i="2"/>
  <c r="L254" i="2"/>
  <c r="N8" i="11"/>
  <c r="O1" i="11"/>
  <c r="M117" i="2"/>
  <c r="M157" i="2" s="1"/>
  <c r="M8" i="2"/>
  <c r="K4" i="8"/>
  <c r="N1" i="2"/>
  <c r="P2" i="2"/>
  <c r="AR5" i="6"/>
  <c r="M1" i="8"/>
  <c r="E94" i="2"/>
  <c r="E52" i="1" s="1"/>
  <c r="E205" i="8"/>
  <c r="L45" i="10" s="1"/>
  <c r="L46" i="10" s="1"/>
  <c r="G172" i="8"/>
  <c r="F199" i="8"/>
  <c r="E253" i="8"/>
  <c r="G31" i="1" s="1"/>
  <c r="G120" i="2"/>
  <c r="M144" i="2"/>
  <c r="G147" i="8"/>
  <c r="G201" i="8" s="1"/>
  <c r="G255" i="8" s="1"/>
  <c r="I10" i="2"/>
  <c r="E94" i="11"/>
  <c r="E95" i="11" s="1"/>
  <c r="A14" i="14"/>
  <c r="A17" i="11"/>
  <c r="F43" i="12"/>
  <c r="F30" i="1"/>
  <c r="G11" i="2"/>
  <c r="F180" i="8"/>
  <c r="E207" i="8"/>
  <c r="G198" i="8"/>
  <c r="H171" i="8"/>
  <c r="F205" i="8"/>
  <c r="G178" i="8"/>
  <c r="F181" i="8"/>
  <c r="E208" i="8"/>
  <c r="F206" i="8"/>
  <c r="F260" i="8" s="1"/>
  <c r="E260" i="8"/>
  <c r="M45" i="10"/>
  <c r="M46" i="10" s="1"/>
  <c r="D22" i="7"/>
  <c r="K151" i="8"/>
  <c r="M10" i="11"/>
  <c r="M70" i="8"/>
  <c r="L124" i="8"/>
  <c r="K131" i="8"/>
  <c r="L77" i="8"/>
  <c r="J158" i="8"/>
  <c r="L10" i="14"/>
  <c r="L143" i="8"/>
  <c r="M116" i="8"/>
  <c r="O337" i="2" s="1"/>
  <c r="O363" i="2" s="1"/>
  <c r="N62" i="8"/>
  <c r="K141" i="8"/>
  <c r="K168" i="8" s="1"/>
  <c r="L87" i="8"/>
  <c r="J168" i="8"/>
  <c r="J157" i="8"/>
  <c r="K130" i="8"/>
  <c r="K157" i="8" s="1"/>
  <c r="L76" i="8"/>
  <c r="L69" i="8"/>
  <c r="K123" i="8"/>
  <c r="I137" i="8"/>
  <c r="I164" i="8" s="1"/>
  <c r="I218" i="8" s="1"/>
  <c r="I272" i="8" s="1"/>
  <c r="J110" i="8"/>
  <c r="K109" i="8"/>
  <c r="J136" i="8"/>
  <c r="J163" i="8" s="1"/>
  <c r="H112" i="8"/>
  <c r="G139" i="8"/>
  <c r="G166" i="8" s="1"/>
  <c r="G220" i="8" s="1"/>
  <c r="G274" i="8" s="1"/>
  <c r="I111" i="8"/>
  <c r="H138" i="8"/>
  <c r="H165" i="8" s="1"/>
  <c r="H219" i="8" s="1"/>
  <c r="H273" i="8" s="1"/>
  <c r="H113" i="8"/>
  <c r="G140" i="8"/>
  <c r="G167" i="8" s="1"/>
  <c r="G221" i="8" s="1"/>
  <c r="G275" i="8" s="1"/>
  <c r="L105" i="8"/>
  <c r="K132" i="8"/>
  <c r="K159" i="8" s="1"/>
  <c r="K133" i="8"/>
  <c r="L106" i="8"/>
  <c r="J161" i="8"/>
  <c r="M108" i="8"/>
  <c r="L135" i="8"/>
  <c r="L107" i="8"/>
  <c r="K134" i="8"/>
  <c r="K161" i="8" s="1"/>
  <c r="K155" i="8"/>
  <c r="M125" i="8"/>
  <c r="M152" i="8" s="1"/>
  <c r="N98" i="8"/>
  <c r="K156" i="8"/>
  <c r="M102" i="8"/>
  <c r="L129" i="8"/>
  <c r="L156" i="8" s="1"/>
  <c r="L127" i="8"/>
  <c r="L154" i="8" s="1"/>
  <c r="M100" i="8"/>
  <c r="M126" i="8"/>
  <c r="M153" i="8" s="1"/>
  <c r="N99" i="8"/>
  <c r="M101" i="8"/>
  <c r="L128" i="8"/>
  <c r="L155" i="8" s="1"/>
  <c r="I119" i="8"/>
  <c r="J92" i="8"/>
  <c r="H95" i="8"/>
  <c r="G122" i="8"/>
  <c r="G149" i="8" s="1"/>
  <c r="G203" i="8" s="1"/>
  <c r="G257" i="8" s="1"/>
  <c r="I118" i="8"/>
  <c r="J91" i="8"/>
  <c r="H120" i="8"/>
  <c r="I93" i="8"/>
  <c r="H94" i="8"/>
  <c r="G121" i="8"/>
  <c r="G148" i="8" s="1"/>
  <c r="G202" i="8" s="1"/>
  <c r="G256" i="8" s="1"/>
  <c r="J144" i="8"/>
  <c r="L90" i="8"/>
  <c r="K117" i="8"/>
  <c r="E95" i="14"/>
  <c r="E52" i="13"/>
  <c r="A14" i="2"/>
  <c r="J175" i="8"/>
  <c r="J194" i="8"/>
  <c r="J176" i="8"/>
  <c r="J193" i="8"/>
  <c r="J185" i="8"/>
  <c r="I212" i="8"/>
  <c r="I213" i="8"/>
  <c r="I267" i="8" s="1"/>
  <c r="J186" i="8"/>
  <c r="J191" i="8"/>
  <c r="J11" i="14"/>
  <c r="H266" i="8"/>
  <c r="J12" i="14" s="1"/>
  <c r="J105" i="14" s="1"/>
  <c r="J189" i="8"/>
  <c r="I216" i="8"/>
  <c r="I270" i="8" s="1"/>
  <c r="J174" i="8"/>
  <c r="J190" i="8"/>
  <c r="I217" i="8"/>
  <c r="I271" i="8" s="1"/>
  <c r="E75" i="11"/>
  <c r="E65" i="11"/>
  <c r="E76" i="11" s="1"/>
  <c r="I214" i="8"/>
  <c r="I268" i="8" s="1"/>
  <c r="J187" i="8"/>
  <c r="J188" i="8"/>
  <c r="I215" i="8"/>
  <c r="I269" i="8" s="1"/>
  <c r="G88" i="14"/>
  <c r="G89" i="14"/>
  <c r="I105" i="14"/>
  <c r="I13" i="14"/>
  <c r="I104" i="14"/>
  <c r="E75" i="14"/>
  <c r="E65" i="14"/>
  <c r="E76" i="14" s="1"/>
  <c r="E72" i="2"/>
  <c r="E62" i="2"/>
  <c r="L192" i="8"/>
  <c r="H469" i="2" l="1"/>
  <c r="I470" i="2"/>
  <c r="N504" i="2"/>
  <c r="D16" i="10"/>
  <c r="D12" i="10"/>
  <c r="C38" i="12"/>
  <c r="C43" i="12" s="1"/>
  <c r="C45" i="12" s="1"/>
  <c r="C46" i="12" s="1"/>
  <c r="C47" i="12" s="1"/>
  <c r="C48" i="12" s="1"/>
  <c r="C49" i="12" s="1"/>
  <c r="C50" i="12" s="1"/>
  <c r="C51" i="12" s="1"/>
  <c r="C52" i="12" s="1"/>
  <c r="G15" i="12"/>
  <c r="K15" i="12"/>
  <c r="H15" i="12" s="1"/>
  <c r="C40" i="12"/>
  <c r="C41" i="12" s="1"/>
  <c r="N68" i="14"/>
  <c r="N409" i="2"/>
  <c r="G263" i="2"/>
  <c r="G262" i="2"/>
  <c r="G249" i="2"/>
  <c r="G279" i="2" s="1"/>
  <c r="G290" i="2" s="1"/>
  <c r="G247" i="2"/>
  <c r="G245" i="2" s="1"/>
  <c r="G325" i="2" s="1"/>
  <c r="G243" i="2"/>
  <c r="G241" i="2" s="1"/>
  <c r="G277" i="2" s="1"/>
  <c r="G288" i="2" s="1"/>
  <c r="G11" i="11"/>
  <c r="G44" i="11" s="1"/>
  <c r="J476" i="2"/>
  <c r="J472" i="2"/>
  <c r="G495" i="2"/>
  <c r="G506" i="2" s="1"/>
  <c r="F30" i="12"/>
  <c r="H389" i="2"/>
  <c r="H400" i="2" s="1"/>
  <c r="G496" i="2"/>
  <c r="G507" i="2" s="1"/>
  <c r="J31" i="1"/>
  <c r="G448" i="2"/>
  <c r="G542" i="2" s="1"/>
  <c r="I361" i="2"/>
  <c r="I368" i="2"/>
  <c r="I365" i="2" s="1"/>
  <c r="J364" i="2"/>
  <c r="I477" i="2"/>
  <c r="I474" i="2" s="1"/>
  <c r="I469" i="2" s="1"/>
  <c r="J473" i="2"/>
  <c r="G478" i="2"/>
  <c r="H545" i="2"/>
  <c r="H498" i="2"/>
  <c r="H509" i="2" s="1"/>
  <c r="H480" i="2"/>
  <c r="H481" i="2"/>
  <c r="H479" i="2"/>
  <c r="H461" i="2"/>
  <c r="H459" i="2" s="1"/>
  <c r="H465" i="2"/>
  <c r="H463" i="2" s="1"/>
  <c r="H467" i="2"/>
  <c r="O367" i="2"/>
  <c r="H541" i="2"/>
  <c r="H540" i="2"/>
  <c r="H173" i="8"/>
  <c r="I173" i="8" s="1"/>
  <c r="J173" i="8" s="1"/>
  <c r="G200" i="8"/>
  <c r="I146" i="8"/>
  <c r="K446" i="2"/>
  <c r="H88" i="14"/>
  <c r="H89" i="14"/>
  <c r="G497" i="2"/>
  <c r="G508" i="2" s="1"/>
  <c r="N516" i="2"/>
  <c r="L517" i="2"/>
  <c r="N80" i="14"/>
  <c r="N407" i="2"/>
  <c r="L408" i="2"/>
  <c r="L275" i="2"/>
  <c r="L286" i="2" s="1"/>
  <c r="L238" i="2"/>
  <c r="M125" i="2"/>
  <c r="M234" i="2"/>
  <c r="AQ7" i="6"/>
  <c r="L166" i="2"/>
  <c r="L177" i="2" s="1"/>
  <c r="L129" i="2"/>
  <c r="O494" i="2"/>
  <c r="O505" i="2" s="1"/>
  <c r="O515" i="2"/>
  <c r="O518" i="2" s="1"/>
  <c r="O493" i="2"/>
  <c r="O504" i="2" s="1"/>
  <c r="O406" i="2"/>
  <c r="O514" i="2"/>
  <c r="O385" i="2"/>
  <c r="O396" i="2" s="1"/>
  <c r="O405" i="2"/>
  <c r="O384" i="2"/>
  <c r="O395" i="2" s="1"/>
  <c r="AR15" i="6"/>
  <c r="N226" i="2"/>
  <c r="N266" i="2" s="1"/>
  <c r="N444" i="2"/>
  <c r="N335" i="2"/>
  <c r="M484" i="2"/>
  <c r="M375" i="2"/>
  <c r="N189" i="2"/>
  <c r="N298" i="2"/>
  <c r="N190" i="2"/>
  <c r="I259" i="2"/>
  <c r="J255" i="2"/>
  <c r="I252" i="2"/>
  <c r="I150" i="2"/>
  <c r="J146" i="2"/>
  <c r="J143" i="2" s="1"/>
  <c r="O47" i="8"/>
  <c r="O37" i="8"/>
  <c r="O57" i="8"/>
  <c r="O56" i="8"/>
  <c r="O42" i="8"/>
  <c r="Q3" i="14"/>
  <c r="O40" i="8"/>
  <c r="O55" i="8"/>
  <c r="O59" i="8"/>
  <c r="O52" i="8"/>
  <c r="O44" i="8"/>
  <c r="O43" i="8"/>
  <c r="O46" i="8"/>
  <c r="O45" i="8"/>
  <c r="O39" i="8"/>
  <c r="O36" i="8"/>
  <c r="Q3" i="11"/>
  <c r="O48" i="8"/>
  <c r="O60" i="8"/>
  <c r="O41" i="8"/>
  <c r="O49" i="8"/>
  <c r="O54" i="8"/>
  <c r="O38" i="8"/>
  <c r="O53" i="8"/>
  <c r="O58" i="8"/>
  <c r="O50" i="8"/>
  <c r="O35" i="8"/>
  <c r="Q3" i="2"/>
  <c r="O51" i="8"/>
  <c r="Q5" i="8"/>
  <c r="P6" i="8"/>
  <c r="N80" i="2"/>
  <c r="C36" i="1"/>
  <c r="C37" i="1" s="1"/>
  <c r="C38" i="1" s="1"/>
  <c r="C40" i="1" s="1"/>
  <c r="C41" i="1" s="1"/>
  <c r="C43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N299" i="2"/>
  <c r="N80" i="11"/>
  <c r="M57" i="2"/>
  <c r="AQ8" i="6"/>
  <c r="N16" i="2" s="1"/>
  <c r="L57" i="2"/>
  <c r="L68" i="2" s="1"/>
  <c r="O297" i="2"/>
  <c r="O300" i="2" s="1"/>
  <c r="O296" i="2"/>
  <c r="O276" i="2"/>
  <c r="O287" i="2" s="1"/>
  <c r="O167" i="2"/>
  <c r="O178" i="2" s="1"/>
  <c r="O188" i="2"/>
  <c r="O191" i="2" s="1"/>
  <c r="O187" i="2"/>
  <c r="O57" i="14"/>
  <c r="O78" i="14"/>
  <c r="O58" i="11"/>
  <c r="O69" i="11" s="1"/>
  <c r="O79" i="11"/>
  <c r="O58" i="2"/>
  <c r="O69" i="2" s="1"/>
  <c r="O78" i="2"/>
  <c r="O79" i="14"/>
  <c r="O58" i="14"/>
  <c r="O69" i="14" s="1"/>
  <c r="O57" i="11"/>
  <c r="O68" i="11" s="1"/>
  <c r="O79" i="2"/>
  <c r="AS14" i="6"/>
  <c r="O78" i="11"/>
  <c r="O80" i="11" s="1"/>
  <c r="C15" i="1"/>
  <c r="G14" i="1"/>
  <c r="K14" i="1"/>
  <c r="H14" i="1" s="1"/>
  <c r="H148" i="2"/>
  <c r="I148" i="2" s="1"/>
  <c r="E170" i="8"/>
  <c r="I27" i="1" s="1"/>
  <c r="H257" i="2"/>
  <c r="G258" i="2"/>
  <c r="G256" i="2" s="1"/>
  <c r="G251" i="2" s="1"/>
  <c r="G280" i="2" s="1"/>
  <c r="G291" i="2" s="1"/>
  <c r="H291" i="2" s="1"/>
  <c r="E259" i="8"/>
  <c r="G323" i="2"/>
  <c r="G231" i="2"/>
  <c r="H231" i="2" s="1"/>
  <c r="G322" i="2"/>
  <c r="G329" i="2"/>
  <c r="G282" i="2"/>
  <c r="G293" i="2" s="1"/>
  <c r="G260" i="2"/>
  <c r="K144" i="8"/>
  <c r="M228" i="2"/>
  <c r="I145" i="8"/>
  <c r="K119" i="2"/>
  <c r="K145" i="2" s="1"/>
  <c r="C315" i="2"/>
  <c r="H243" i="2"/>
  <c r="H241" i="2" s="1"/>
  <c r="H247" i="2"/>
  <c r="H245" i="2" s="1"/>
  <c r="H249" i="2"/>
  <c r="H261" i="2"/>
  <c r="H262" i="2"/>
  <c r="H263" i="2"/>
  <c r="G252" i="8"/>
  <c r="I230" i="2" s="1"/>
  <c r="I229" i="2"/>
  <c r="H323" i="2"/>
  <c r="H322" i="2"/>
  <c r="H327" i="2"/>
  <c r="O8" i="11"/>
  <c r="P1" i="11"/>
  <c r="Q2" i="2"/>
  <c r="N1" i="8"/>
  <c r="AS5" i="6"/>
  <c r="N117" i="2"/>
  <c r="N157" i="2" s="1"/>
  <c r="O1" i="2"/>
  <c r="N8" i="2"/>
  <c r="L4" i="8"/>
  <c r="E95" i="2"/>
  <c r="E96" i="2" s="1"/>
  <c r="E54" i="1" s="1"/>
  <c r="G134" i="2"/>
  <c r="G132" i="2" s="1"/>
  <c r="G138" i="2"/>
  <c r="G136" i="2" s="1"/>
  <c r="G140" i="2"/>
  <c r="G152" i="2"/>
  <c r="G153" i="2"/>
  <c r="G154" i="2"/>
  <c r="G121" i="2"/>
  <c r="G218" i="2" s="1"/>
  <c r="F253" i="8"/>
  <c r="H121" i="2" s="1"/>
  <c r="H120" i="2"/>
  <c r="N144" i="2"/>
  <c r="H172" i="8"/>
  <c r="G199" i="8"/>
  <c r="G171" i="2"/>
  <c r="G182" i="2" s="1"/>
  <c r="E52" i="12"/>
  <c r="H147" i="8"/>
  <c r="H201" i="8" s="1"/>
  <c r="H255" i="8" s="1"/>
  <c r="J10" i="2"/>
  <c r="A15" i="14"/>
  <c r="A18" i="11"/>
  <c r="G12" i="2"/>
  <c r="F31" i="1"/>
  <c r="E210" i="8"/>
  <c r="F183" i="8"/>
  <c r="H179" i="8"/>
  <c r="G206" i="8"/>
  <c r="G260" i="8" s="1"/>
  <c r="H11" i="2"/>
  <c r="F208" i="8"/>
  <c r="F262" i="8" s="1"/>
  <c r="G181" i="8"/>
  <c r="F31" i="12"/>
  <c r="G12" i="11"/>
  <c r="E262" i="8"/>
  <c r="O45" i="10"/>
  <c r="O46" i="10" s="1"/>
  <c r="H178" i="8"/>
  <c r="G205" i="8"/>
  <c r="E261" i="8"/>
  <c r="N45" i="10"/>
  <c r="N46" i="10" s="1"/>
  <c r="H11" i="11"/>
  <c r="F259" i="8"/>
  <c r="H12" i="11" s="1"/>
  <c r="G180" i="8"/>
  <c r="F207" i="8"/>
  <c r="F261" i="8" s="1"/>
  <c r="I171" i="8"/>
  <c r="H198" i="8"/>
  <c r="D23" i="7"/>
  <c r="M143" i="8"/>
  <c r="L151" i="8"/>
  <c r="N10" i="11"/>
  <c r="M124" i="8"/>
  <c r="N70" i="8"/>
  <c r="M77" i="8"/>
  <c r="L131" i="8"/>
  <c r="O62" i="8"/>
  <c r="N116" i="8"/>
  <c r="P337" i="2" s="1"/>
  <c r="P367" i="2" s="1"/>
  <c r="K158" i="8"/>
  <c r="M10" i="14"/>
  <c r="M87" i="8"/>
  <c r="L141" i="8"/>
  <c r="L168" i="8" s="1"/>
  <c r="M76" i="8"/>
  <c r="L130" i="8"/>
  <c r="L157" i="8" s="1"/>
  <c r="K150" i="8"/>
  <c r="M69" i="8"/>
  <c r="L123" i="8"/>
  <c r="L150" i="8" s="1"/>
  <c r="I138" i="8"/>
  <c r="I165" i="8" s="1"/>
  <c r="I219" i="8" s="1"/>
  <c r="I273" i="8" s="1"/>
  <c r="J111" i="8"/>
  <c r="I112" i="8"/>
  <c r="H139" i="8"/>
  <c r="H166" i="8" s="1"/>
  <c r="H220" i="8" s="1"/>
  <c r="H274" i="8" s="1"/>
  <c r="L109" i="8"/>
  <c r="K136" i="8"/>
  <c r="K163" i="8" s="1"/>
  <c r="K110" i="8"/>
  <c r="J137" i="8"/>
  <c r="J164" i="8" s="1"/>
  <c r="J218" i="8" s="1"/>
  <c r="J272" i="8" s="1"/>
  <c r="H140" i="8"/>
  <c r="H167" i="8" s="1"/>
  <c r="H221" i="8" s="1"/>
  <c r="H275" i="8" s="1"/>
  <c r="I113" i="8"/>
  <c r="L133" i="8"/>
  <c r="L160" i="8" s="1"/>
  <c r="M106" i="8"/>
  <c r="K160" i="8"/>
  <c r="L162" i="8"/>
  <c r="M135" i="8"/>
  <c r="M162" i="8" s="1"/>
  <c r="N108" i="8"/>
  <c r="M107" i="8"/>
  <c r="L134" i="8"/>
  <c r="L161" i="8" s="1"/>
  <c r="M105" i="8"/>
  <c r="L132" i="8"/>
  <c r="L159" i="8" s="1"/>
  <c r="N102" i="8"/>
  <c r="M129" i="8"/>
  <c r="N101" i="8"/>
  <c r="M128" i="8"/>
  <c r="N126" i="8"/>
  <c r="N153" i="8" s="1"/>
  <c r="O99" i="8"/>
  <c r="O98" i="8"/>
  <c r="N125" i="8"/>
  <c r="N152" i="8" s="1"/>
  <c r="N100" i="8"/>
  <c r="M127" i="8"/>
  <c r="M154" i="8" s="1"/>
  <c r="I120" i="8"/>
  <c r="J93" i="8"/>
  <c r="K91" i="8"/>
  <c r="J118" i="8"/>
  <c r="H122" i="8"/>
  <c r="H149" i="8" s="1"/>
  <c r="H203" i="8" s="1"/>
  <c r="H257" i="8" s="1"/>
  <c r="I95" i="8"/>
  <c r="K92" i="8"/>
  <c r="J119" i="8"/>
  <c r="H121" i="8"/>
  <c r="H148" i="8" s="1"/>
  <c r="H202" i="8" s="1"/>
  <c r="H256" i="8" s="1"/>
  <c r="I94" i="8"/>
  <c r="L117" i="8"/>
  <c r="N228" i="2" s="1"/>
  <c r="M90" i="8"/>
  <c r="J13" i="14"/>
  <c r="J104" i="14"/>
  <c r="E53" i="13"/>
  <c r="E96" i="14"/>
  <c r="E54" i="13" s="1"/>
  <c r="A15" i="2"/>
  <c r="J215" i="8"/>
  <c r="J269" i="8" s="1"/>
  <c r="K188" i="8"/>
  <c r="K173" i="8"/>
  <c r="K190" i="8"/>
  <c r="J217" i="8"/>
  <c r="J271" i="8" s="1"/>
  <c r="K11" i="14"/>
  <c r="I266" i="8"/>
  <c r="K12" i="14" s="1"/>
  <c r="K194" i="8"/>
  <c r="K191" i="8"/>
  <c r="K185" i="8"/>
  <c r="J212" i="8"/>
  <c r="K175" i="8"/>
  <c r="K176" i="8"/>
  <c r="K174" i="8"/>
  <c r="I89" i="14"/>
  <c r="I88" i="14"/>
  <c r="K187" i="8"/>
  <c r="J214" i="8"/>
  <c r="J268" i="8" s="1"/>
  <c r="K189" i="8"/>
  <c r="J216" i="8"/>
  <c r="J270" i="8" s="1"/>
  <c r="J213" i="8"/>
  <c r="J267" i="8" s="1"/>
  <c r="K186" i="8"/>
  <c r="K193" i="8"/>
  <c r="M192" i="8"/>
  <c r="E63" i="2"/>
  <c r="E73" i="2"/>
  <c r="E53" i="12"/>
  <c r="E96" i="11"/>
  <c r="E54" i="12" s="1"/>
  <c r="G326" i="2" l="1"/>
  <c r="I360" i="2"/>
  <c r="I389" i="2" s="1"/>
  <c r="I400" i="2" s="1"/>
  <c r="O68" i="14"/>
  <c r="C53" i="12"/>
  <c r="C54" i="12" s="1"/>
  <c r="C55" i="12" s="1"/>
  <c r="C56" i="12" s="1"/>
  <c r="G278" i="2"/>
  <c r="G289" i="2" s="1"/>
  <c r="G324" i="2"/>
  <c r="O409" i="2"/>
  <c r="P363" i="2"/>
  <c r="G43" i="11"/>
  <c r="G45" i="11"/>
  <c r="G64" i="11" s="1"/>
  <c r="G75" i="11" s="1"/>
  <c r="G544" i="2"/>
  <c r="G543" i="2"/>
  <c r="K472" i="2"/>
  <c r="K476" i="2"/>
  <c r="I200" i="8"/>
  <c r="H544" i="2"/>
  <c r="H497" i="2"/>
  <c r="H508" i="2" s="1"/>
  <c r="J361" i="2"/>
  <c r="J368" i="2"/>
  <c r="J365" i="2" s="1"/>
  <c r="J360" i="2" s="1"/>
  <c r="K364" i="2"/>
  <c r="H543" i="2"/>
  <c r="H496" i="2"/>
  <c r="H507" i="2" s="1"/>
  <c r="G546" i="2"/>
  <c r="G499" i="2"/>
  <c r="G510" i="2" s="1"/>
  <c r="H542" i="2"/>
  <c r="H495" i="2"/>
  <c r="H506" i="2" s="1"/>
  <c r="G485" i="2"/>
  <c r="J146" i="8"/>
  <c r="J200" i="8" s="1"/>
  <c r="L446" i="2"/>
  <c r="G254" i="8"/>
  <c r="I448" i="2" s="1"/>
  <c r="I545" i="2" s="1"/>
  <c r="I447" i="2"/>
  <c r="H478" i="2"/>
  <c r="H485" i="2" s="1"/>
  <c r="H200" i="8"/>
  <c r="H547" i="2"/>
  <c r="H500" i="2"/>
  <c r="H511" i="2" s="1"/>
  <c r="J470" i="2"/>
  <c r="J477" i="2"/>
  <c r="J474" i="2" s="1"/>
  <c r="J469" i="2" s="1"/>
  <c r="K473" i="2"/>
  <c r="G547" i="2"/>
  <c r="G541" i="2"/>
  <c r="G449" i="2"/>
  <c r="G540" i="2"/>
  <c r="G545" i="2"/>
  <c r="I498" i="2"/>
  <c r="I509" i="2" s="1"/>
  <c r="M275" i="2"/>
  <c r="M286" i="2" s="1"/>
  <c r="M238" i="2"/>
  <c r="N125" i="2"/>
  <c r="AR7" i="6"/>
  <c r="N234" i="2"/>
  <c r="M408" i="2"/>
  <c r="M129" i="2"/>
  <c r="M166" i="2"/>
  <c r="M177" i="2" s="1"/>
  <c r="AS15" i="6"/>
  <c r="P494" i="2"/>
  <c r="P505" i="2" s="1"/>
  <c r="P515" i="2"/>
  <c r="P518" i="2" s="1"/>
  <c r="P493" i="2"/>
  <c r="P504" i="2" s="1"/>
  <c r="P514" i="2"/>
  <c r="P406" i="2"/>
  <c r="P385" i="2"/>
  <c r="P396" i="2" s="1"/>
  <c r="P384" i="2"/>
  <c r="P395" i="2" s="1"/>
  <c r="P405" i="2"/>
  <c r="O407" i="2"/>
  <c r="M517" i="2"/>
  <c r="O516" i="2"/>
  <c r="O80" i="2"/>
  <c r="H149" i="2"/>
  <c r="H147" i="2" s="1"/>
  <c r="H142" i="2" s="1"/>
  <c r="H171" i="2" s="1"/>
  <c r="H182" i="2" s="1"/>
  <c r="N375" i="2"/>
  <c r="O226" i="2"/>
  <c r="O266" i="2" s="1"/>
  <c r="O444" i="2"/>
  <c r="O335" i="2"/>
  <c r="N484" i="2"/>
  <c r="R5" i="8"/>
  <c r="Q6" i="8"/>
  <c r="J150" i="2"/>
  <c r="K146" i="2"/>
  <c r="K143" i="2" s="1"/>
  <c r="P58" i="8"/>
  <c r="P54" i="8"/>
  <c r="P35" i="8"/>
  <c r="P42" i="8"/>
  <c r="P45" i="8"/>
  <c r="P40" i="8"/>
  <c r="P38" i="8"/>
  <c r="R3" i="2"/>
  <c r="P39" i="8"/>
  <c r="P48" i="8"/>
  <c r="P46" i="8"/>
  <c r="P53" i="8"/>
  <c r="P37" i="8"/>
  <c r="P43" i="8"/>
  <c r="P41" i="8"/>
  <c r="P52" i="8"/>
  <c r="P36" i="8"/>
  <c r="R3" i="14"/>
  <c r="P44" i="8"/>
  <c r="P60" i="8"/>
  <c r="P50" i="8"/>
  <c r="P57" i="8"/>
  <c r="P59" i="8"/>
  <c r="P47" i="8"/>
  <c r="P56" i="8"/>
  <c r="P55" i="8"/>
  <c r="P49" i="8"/>
  <c r="P51" i="8"/>
  <c r="R3" i="11"/>
  <c r="J259" i="2"/>
  <c r="K255" i="2"/>
  <c r="J252" i="2"/>
  <c r="J251" i="2" s="1"/>
  <c r="J280" i="2" s="1"/>
  <c r="O189" i="2"/>
  <c r="M68" i="2"/>
  <c r="O298" i="2"/>
  <c r="N57" i="2"/>
  <c r="AR8" i="6"/>
  <c r="O16" i="2" s="1"/>
  <c r="P297" i="2"/>
  <c r="P300" i="2" s="1"/>
  <c r="P276" i="2"/>
  <c r="P287" i="2" s="1"/>
  <c r="P296" i="2"/>
  <c r="P167" i="2"/>
  <c r="P178" i="2" s="1"/>
  <c r="P188" i="2"/>
  <c r="P191" i="2" s="1"/>
  <c r="P187" i="2"/>
  <c r="P58" i="11"/>
  <c r="P69" i="11" s="1"/>
  <c r="AT14" i="6"/>
  <c r="P79" i="14"/>
  <c r="P58" i="14"/>
  <c r="P69" i="14" s="1"/>
  <c r="P78" i="14"/>
  <c r="P78" i="11"/>
  <c r="P79" i="11"/>
  <c r="P79" i="2"/>
  <c r="P78" i="2"/>
  <c r="P57" i="14"/>
  <c r="P68" i="14" s="1"/>
  <c r="P57" i="11"/>
  <c r="P68" i="11" s="1"/>
  <c r="P58" i="2"/>
  <c r="P69" i="2" s="1"/>
  <c r="K15" i="1"/>
  <c r="H15" i="1" s="1"/>
  <c r="G15" i="1"/>
  <c r="O80" i="14"/>
  <c r="O190" i="2"/>
  <c r="P190" i="2" s="1"/>
  <c r="O299" i="2"/>
  <c r="G267" i="2"/>
  <c r="G268" i="2" s="1"/>
  <c r="G283" i="2" s="1"/>
  <c r="G294" i="2" s="1"/>
  <c r="G314" i="2" s="1"/>
  <c r="I257" i="2"/>
  <c r="H258" i="2"/>
  <c r="H256" i="2" s="1"/>
  <c r="G327" i="2"/>
  <c r="F170" i="8"/>
  <c r="E197" i="8"/>
  <c r="G338" i="2" s="1"/>
  <c r="G313" i="2"/>
  <c r="G308" i="2"/>
  <c r="G309" i="2"/>
  <c r="H260" i="2"/>
  <c r="H281" i="2" s="1"/>
  <c r="G310" i="2"/>
  <c r="G328" i="2"/>
  <c r="G281" i="2"/>
  <c r="G292" i="2" s="1"/>
  <c r="G312" i="2" s="1"/>
  <c r="G307" i="2"/>
  <c r="G306" i="2"/>
  <c r="G316" i="2"/>
  <c r="G315" i="2"/>
  <c r="G311" i="2"/>
  <c r="J145" i="8"/>
  <c r="L119" i="2"/>
  <c r="L145" i="2" s="1"/>
  <c r="H282" i="2"/>
  <c r="H293" i="2" s="1"/>
  <c r="H329" i="2"/>
  <c r="C316" i="2"/>
  <c r="H279" i="2"/>
  <c r="H290" i="2" s="1"/>
  <c r="H310" i="2" s="1"/>
  <c r="H326" i="2"/>
  <c r="N254" i="2"/>
  <c r="I231" i="2"/>
  <c r="H306" i="2"/>
  <c r="H307" i="2"/>
  <c r="H316" i="2"/>
  <c r="H315" i="2"/>
  <c r="H311" i="2"/>
  <c r="H278" i="2"/>
  <c r="H289" i="2" s="1"/>
  <c r="H325" i="2"/>
  <c r="M254" i="2"/>
  <c r="H252" i="8"/>
  <c r="J230" i="2" s="1"/>
  <c r="J229" i="2"/>
  <c r="H277" i="2"/>
  <c r="H288" i="2" s="1"/>
  <c r="H324" i="2"/>
  <c r="I243" i="2"/>
  <c r="I241" i="2" s="1"/>
  <c r="I247" i="2"/>
  <c r="I245" i="2" s="1"/>
  <c r="I249" i="2"/>
  <c r="I261" i="2"/>
  <c r="I262" i="2"/>
  <c r="I263" i="2"/>
  <c r="I323" i="2"/>
  <c r="I322" i="2"/>
  <c r="P8" i="11"/>
  <c r="Q1" i="11"/>
  <c r="G151" i="2"/>
  <c r="G219" i="2" s="1"/>
  <c r="O117" i="2"/>
  <c r="O157" i="2" s="1"/>
  <c r="M4" i="8"/>
  <c r="P1" i="2"/>
  <c r="O8" i="2"/>
  <c r="R2" i="2"/>
  <c r="AT5" i="6"/>
  <c r="O1" i="8"/>
  <c r="E53" i="1"/>
  <c r="O144" i="2"/>
  <c r="G253" i="8"/>
  <c r="I121" i="2" s="1"/>
  <c r="I120" i="2"/>
  <c r="G220" i="2"/>
  <c r="G173" i="2"/>
  <c r="G184" i="2" s="1"/>
  <c r="I172" i="8"/>
  <c r="H199" i="8"/>
  <c r="G217" i="2"/>
  <c r="G170" i="2"/>
  <c r="G181" i="2" s="1"/>
  <c r="H134" i="2"/>
  <c r="H132" i="2" s="1"/>
  <c r="H138" i="2"/>
  <c r="H136" i="2" s="1"/>
  <c r="H140" i="2"/>
  <c r="H152" i="2"/>
  <c r="H153" i="2"/>
  <c r="H154" i="2"/>
  <c r="G169" i="2"/>
  <c r="G180" i="2" s="1"/>
  <c r="G216" i="2"/>
  <c r="H213" i="2"/>
  <c r="H214" i="2"/>
  <c r="G215" i="2"/>
  <c r="G168" i="2"/>
  <c r="G179" i="2" s="1"/>
  <c r="G213" i="2"/>
  <c r="G214" i="2"/>
  <c r="G122" i="2"/>
  <c r="G202" i="2" s="1"/>
  <c r="J148" i="2"/>
  <c r="I149" i="2"/>
  <c r="I147" i="2" s="1"/>
  <c r="I142" i="2" s="1"/>
  <c r="E222" i="8"/>
  <c r="E276" i="8" s="1"/>
  <c r="F195" i="8"/>
  <c r="E204" i="8"/>
  <c r="E258" i="8" s="1"/>
  <c r="F177" i="8"/>
  <c r="F184" i="8"/>
  <c r="E211" i="8"/>
  <c r="E265" i="8" s="1"/>
  <c r="F182" i="8"/>
  <c r="E209" i="8"/>
  <c r="I147" i="8"/>
  <c r="I201" i="8" s="1"/>
  <c r="I255" i="8" s="1"/>
  <c r="K10" i="2"/>
  <c r="A16" i="14"/>
  <c r="A19" i="11"/>
  <c r="H45" i="11"/>
  <c r="H43" i="11"/>
  <c r="H44" i="11"/>
  <c r="I11" i="2"/>
  <c r="J171" i="8"/>
  <c r="I198" i="8"/>
  <c r="I11" i="11"/>
  <c r="G259" i="8"/>
  <c r="I12" i="11" s="1"/>
  <c r="I179" i="8"/>
  <c r="H206" i="8"/>
  <c r="H260" i="8" s="1"/>
  <c r="H181" i="8"/>
  <c r="G208" i="8"/>
  <c r="G262" i="8" s="1"/>
  <c r="G42" i="11"/>
  <c r="H205" i="8"/>
  <c r="I178" i="8"/>
  <c r="G183" i="8"/>
  <c r="F210" i="8"/>
  <c r="F264" i="8" s="1"/>
  <c r="Q45" i="10"/>
  <c r="Q46" i="10" s="1"/>
  <c r="E264" i="8"/>
  <c r="D24" i="7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G207" i="8"/>
  <c r="G261" i="8" s="1"/>
  <c r="H180" i="8"/>
  <c r="H105" i="11"/>
  <c r="H104" i="11"/>
  <c r="H103" i="11" s="1"/>
  <c r="H13" i="11"/>
  <c r="G111" i="11"/>
  <c r="G13" i="11"/>
  <c r="G104" i="11"/>
  <c r="G103" i="11" s="1"/>
  <c r="G105" i="11"/>
  <c r="G13" i="2"/>
  <c r="G105" i="2"/>
  <c r="G104" i="2"/>
  <c r="N143" i="8"/>
  <c r="O70" i="8"/>
  <c r="N124" i="8"/>
  <c r="P62" i="8"/>
  <c r="O116" i="8"/>
  <c r="Q337" i="2" s="1"/>
  <c r="Q363" i="2" s="1"/>
  <c r="M151" i="8"/>
  <c r="O10" i="11"/>
  <c r="L158" i="8"/>
  <c r="N10" i="14"/>
  <c r="M131" i="8"/>
  <c r="N77" i="8"/>
  <c r="N87" i="8"/>
  <c r="M141" i="8"/>
  <c r="M168" i="8" s="1"/>
  <c r="N76" i="8"/>
  <c r="M130" i="8"/>
  <c r="M123" i="8"/>
  <c r="M150" i="8" s="1"/>
  <c r="N69" i="8"/>
  <c r="L110" i="8"/>
  <c r="K137" i="8"/>
  <c r="K164" i="8" s="1"/>
  <c r="K218" i="8" s="1"/>
  <c r="K272" i="8" s="1"/>
  <c r="M109" i="8"/>
  <c r="L136" i="8"/>
  <c r="L163" i="8" s="1"/>
  <c r="J112" i="8"/>
  <c r="I139" i="8"/>
  <c r="I166" i="8" s="1"/>
  <c r="I220" i="8" s="1"/>
  <c r="I274" i="8" s="1"/>
  <c r="J113" i="8"/>
  <c r="I140" i="8"/>
  <c r="I167" i="8" s="1"/>
  <c r="I221" i="8" s="1"/>
  <c r="I275" i="8" s="1"/>
  <c r="K111" i="8"/>
  <c r="J138" i="8"/>
  <c r="J165" i="8" s="1"/>
  <c r="J219" i="8" s="1"/>
  <c r="J273" i="8" s="1"/>
  <c r="M132" i="8"/>
  <c r="M159" i="8" s="1"/>
  <c r="N105" i="8"/>
  <c r="N106" i="8"/>
  <c r="M133" i="8"/>
  <c r="N107" i="8"/>
  <c r="M134" i="8"/>
  <c r="M161" i="8" s="1"/>
  <c r="O108" i="8"/>
  <c r="N135" i="8"/>
  <c r="P99" i="8"/>
  <c r="O126" i="8"/>
  <c r="O153" i="8" s="1"/>
  <c r="P98" i="8"/>
  <c r="O125" i="8"/>
  <c r="O152" i="8" s="1"/>
  <c r="M155" i="8"/>
  <c r="N128" i="8"/>
  <c r="N155" i="8" s="1"/>
  <c r="O101" i="8"/>
  <c r="M156" i="8"/>
  <c r="N127" i="8"/>
  <c r="N154" i="8" s="1"/>
  <c r="O100" i="8"/>
  <c r="N129" i="8"/>
  <c r="N156" i="8" s="1"/>
  <c r="O102" i="8"/>
  <c r="I122" i="8"/>
  <c r="I149" i="8" s="1"/>
  <c r="I203" i="8" s="1"/>
  <c r="I257" i="8" s="1"/>
  <c r="J95" i="8"/>
  <c r="J88" i="14"/>
  <c r="L91" i="8"/>
  <c r="K118" i="8"/>
  <c r="L92" i="8"/>
  <c r="K119" i="8"/>
  <c r="I121" i="8"/>
  <c r="I148" i="8" s="1"/>
  <c r="I202" i="8" s="1"/>
  <c r="I256" i="8" s="1"/>
  <c r="J94" i="8"/>
  <c r="J120" i="8"/>
  <c r="K93" i="8"/>
  <c r="N90" i="8"/>
  <c r="M117" i="8"/>
  <c r="L144" i="8"/>
  <c r="J89" i="14"/>
  <c r="A16" i="2"/>
  <c r="K104" i="14"/>
  <c r="K13" i="14"/>
  <c r="K105" i="14"/>
  <c r="K215" i="8"/>
  <c r="K269" i="8" s="1"/>
  <c r="L188" i="8"/>
  <c r="L194" i="8"/>
  <c r="L191" i="8"/>
  <c r="L193" i="8"/>
  <c r="L189" i="8"/>
  <c r="K216" i="8"/>
  <c r="K270" i="8" s="1"/>
  <c r="L175" i="8"/>
  <c r="L185" i="8"/>
  <c r="K212" i="8"/>
  <c r="K214" i="8"/>
  <c r="K268" i="8" s="1"/>
  <c r="L187" i="8"/>
  <c r="L174" i="8"/>
  <c r="L190" i="8"/>
  <c r="K217" i="8"/>
  <c r="K271" i="8" s="1"/>
  <c r="L186" i="8"/>
  <c r="K213" i="8"/>
  <c r="K267" i="8" s="1"/>
  <c r="L176" i="8"/>
  <c r="L173" i="8"/>
  <c r="J266" i="8"/>
  <c r="L12" i="14" s="1"/>
  <c r="L104" i="14" s="1"/>
  <c r="L11" i="14"/>
  <c r="E64" i="2"/>
  <c r="E74" i="2"/>
  <c r="N192" i="8"/>
  <c r="G539" i="2" l="1"/>
  <c r="G527" i="2"/>
  <c r="H449" i="2"/>
  <c r="G321" i="2"/>
  <c r="P409" i="2"/>
  <c r="P407" i="2"/>
  <c r="Q367" i="2"/>
  <c r="H528" i="2"/>
  <c r="H486" i="2"/>
  <c r="H501" i="2" s="1"/>
  <c r="J498" i="2"/>
  <c r="J509" i="2" s="1"/>
  <c r="H527" i="2"/>
  <c r="I254" i="8"/>
  <c r="K448" i="2" s="1"/>
  <c r="K447" i="2"/>
  <c r="I541" i="2"/>
  <c r="I449" i="2"/>
  <c r="I540" i="2"/>
  <c r="G486" i="2"/>
  <c r="G501" i="2" s="1"/>
  <c r="G512" i="2" s="1"/>
  <c r="G532" i="2" s="1"/>
  <c r="H526" i="2"/>
  <c r="H254" i="8"/>
  <c r="J448" i="2" s="1"/>
  <c r="J447" i="2"/>
  <c r="I481" i="2"/>
  <c r="I480" i="2"/>
  <c r="I479" i="2"/>
  <c r="I461" i="2"/>
  <c r="I459" i="2" s="1"/>
  <c r="I465" i="2"/>
  <c r="I463" i="2" s="1"/>
  <c r="I467" i="2"/>
  <c r="K146" i="8"/>
  <c r="K200" i="8" s="1"/>
  <c r="M446" i="2"/>
  <c r="G534" i="2"/>
  <c r="G525" i="2"/>
  <c r="G524" i="2"/>
  <c r="G533" i="2"/>
  <c r="G529" i="2"/>
  <c r="G531" i="2"/>
  <c r="G526" i="2"/>
  <c r="K368" i="2"/>
  <c r="K365" i="2" s="1"/>
  <c r="L364" i="2"/>
  <c r="K361" i="2"/>
  <c r="G371" i="2"/>
  <c r="G372" i="2"/>
  <c r="G370" i="2"/>
  <c r="G352" i="2"/>
  <c r="G350" i="2" s="1"/>
  <c r="G356" i="2"/>
  <c r="G354" i="2" s="1"/>
  <c r="G358" i="2"/>
  <c r="G530" i="2"/>
  <c r="J389" i="2"/>
  <c r="J400" i="2" s="1"/>
  <c r="G528" i="2"/>
  <c r="H531" i="2"/>
  <c r="H546" i="2"/>
  <c r="H539" i="2" s="1"/>
  <c r="H499" i="2"/>
  <c r="H510" i="2" s="1"/>
  <c r="L472" i="2"/>
  <c r="L476" i="2"/>
  <c r="K470" i="2"/>
  <c r="L473" i="2"/>
  <c r="K477" i="2"/>
  <c r="K474" i="2" s="1"/>
  <c r="K469" i="2" s="1"/>
  <c r="J254" i="8"/>
  <c r="L448" i="2" s="1"/>
  <c r="L447" i="2"/>
  <c r="H218" i="2"/>
  <c r="O125" i="2"/>
  <c r="AS7" i="6"/>
  <c r="O234" i="2"/>
  <c r="N517" i="2"/>
  <c r="N166" i="2"/>
  <c r="N177" i="2" s="1"/>
  <c r="N129" i="2"/>
  <c r="N275" i="2"/>
  <c r="N286" i="2" s="1"/>
  <c r="N238" i="2"/>
  <c r="P516" i="2"/>
  <c r="N408" i="2"/>
  <c r="Q515" i="2"/>
  <c r="Q518" i="2" s="1"/>
  <c r="Q493" i="2"/>
  <c r="Q504" i="2" s="1"/>
  <c r="Q494" i="2"/>
  <c r="Q505" i="2" s="1"/>
  <c r="Q406" i="2"/>
  <c r="Q409" i="2" s="1"/>
  <c r="Q514" i="2"/>
  <c r="Q385" i="2"/>
  <c r="Q396" i="2" s="1"/>
  <c r="Q384" i="2"/>
  <c r="Q395" i="2" s="1"/>
  <c r="Q405" i="2"/>
  <c r="P299" i="2"/>
  <c r="P226" i="2"/>
  <c r="P266" i="2" s="1"/>
  <c r="P444" i="2"/>
  <c r="P335" i="2"/>
  <c r="O375" i="2"/>
  <c r="O484" i="2"/>
  <c r="E251" i="8"/>
  <c r="I30" i="1"/>
  <c r="K150" i="2"/>
  <c r="L146" i="2"/>
  <c r="K259" i="2"/>
  <c r="L255" i="2"/>
  <c r="K252" i="2"/>
  <c r="Q51" i="8"/>
  <c r="S3" i="11"/>
  <c r="Q57" i="8"/>
  <c r="Q44" i="8"/>
  <c r="Q46" i="8"/>
  <c r="S3" i="2"/>
  <c r="S3" i="14"/>
  <c r="Q58" i="8"/>
  <c r="Q37" i="8"/>
  <c r="Q40" i="8"/>
  <c r="Q47" i="8"/>
  <c r="Q36" i="8"/>
  <c r="Q42" i="8"/>
  <c r="Q48" i="8"/>
  <c r="Q59" i="8"/>
  <c r="Q53" i="8"/>
  <c r="Q35" i="8"/>
  <c r="Q60" i="8"/>
  <c r="Q38" i="8"/>
  <c r="Q54" i="8"/>
  <c r="Q52" i="8"/>
  <c r="Q50" i="8"/>
  <c r="Q39" i="8"/>
  <c r="Q56" i="8"/>
  <c r="Q43" i="8"/>
  <c r="Q41" i="8"/>
  <c r="Q45" i="8"/>
  <c r="Q55" i="8"/>
  <c r="Q49" i="8"/>
  <c r="R6" i="8"/>
  <c r="S5" i="8"/>
  <c r="P80" i="2"/>
  <c r="P189" i="2"/>
  <c r="H267" i="2"/>
  <c r="H268" i="2" s="1"/>
  <c r="H283" i="2" s="1"/>
  <c r="H294" i="2" s="1"/>
  <c r="Q276" i="2"/>
  <c r="Q287" i="2" s="1"/>
  <c r="Q296" i="2"/>
  <c r="Q297" i="2"/>
  <c r="Q300" i="2" s="1"/>
  <c r="Q188" i="2"/>
  <c r="Q191" i="2" s="1"/>
  <c r="Q167" i="2"/>
  <c r="Q178" i="2" s="1"/>
  <c r="Q187" i="2"/>
  <c r="Q190" i="2" s="1"/>
  <c r="Q79" i="2"/>
  <c r="Q79" i="11"/>
  <c r="Q58" i="2"/>
  <c r="Q69" i="2" s="1"/>
  <c r="Q78" i="2"/>
  <c r="Q58" i="14"/>
  <c r="Q69" i="14" s="1"/>
  <c r="Q78" i="14"/>
  <c r="AU14" i="6"/>
  <c r="Q57" i="14"/>
  <c r="Q68" i="14" s="1"/>
  <c r="Q79" i="14"/>
  <c r="Q57" i="11"/>
  <c r="Q68" i="11" s="1"/>
  <c r="Q58" i="11"/>
  <c r="Q69" i="11" s="1"/>
  <c r="Q57" i="2"/>
  <c r="Q78" i="11"/>
  <c r="AS8" i="6"/>
  <c r="P16" i="2" s="1"/>
  <c r="P80" i="11"/>
  <c r="N68" i="2"/>
  <c r="P80" i="14"/>
  <c r="P298" i="2"/>
  <c r="AT15" i="6"/>
  <c r="G233" i="2"/>
  <c r="G330" i="2" s="1"/>
  <c r="G170" i="8"/>
  <c r="F197" i="8"/>
  <c r="J257" i="2"/>
  <c r="I258" i="2"/>
  <c r="I256" i="2" s="1"/>
  <c r="I251" i="2" s="1"/>
  <c r="H328" i="2"/>
  <c r="H321" i="2" s="1"/>
  <c r="H292" i="2"/>
  <c r="H312" i="2" s="1"/>
  <c r="H122" i="2"/>
  <c r="H202" i="2" s="1"/>
  <c r="G158" i="2"/>
  <c r="G159" i="2" s="1"/>
  <c r="G174" i="2" s="1"/>
  <c r="G185" i="2" s="1"/>
  <c r="G205" i="2" s="1"/>
  <c r="G172" i="2"/>
  <c r="G183" i="2" s="1"/>
  <c r="G203" i="2" s="1"/>
  <c r="I260" i="2"/>
  <c r="I281" i="2" s="1"/>
  <c r="M144" i="8"/>
  <c r="O228" i="2"/>
  <c r="K145" i="8"/>
  <c r="M119" i="2"/>
  <c r="M145" i="2" s="1"/>
  <c r="I252" i="8"/>
  <c r="K230" i="2" s="1"/>
  <c r="K229" i="2"/>
  <c r="J243" i="2"/>
  <c r="J241" i="2" s="1"/>
  <c r="J247" i="2"/>
  <c r="J245" i="2" s="1"/>
  <c r="J249" i="2"/>
  <c r="J261" i="2"/>
  <c r="J262" i="2"/>
  <c r="J263" i="2"/>
  <c r="J323" i="2"/>
  <c r="J322" i="2"/>
  <c r="J327" i="2"/>
  <c r="I279" i="2"/>
  <c r="I290" i="2" s="1"/>
  <c r="I310" i="2" s="1"/>
  <c r="I326" i="2"/>
  <c r="I325" i="2"/>
  <c r="I278" i="2"/>
  <c r="I289" i="2" s="1"/>
  <c r="J231" i="2"/>
  <c r="I307" i="2"/>
  <c r="I306" i="2"/>
  <c r="I316" i="2"/>
  <c r="I315" i="2"/>
  <c r="C317" i="2"/>
  <c r="I324" i="2"/>
  <c r="I277" i="2"/>
  <c r="I288" i="2" s="1"/>
  <c r="H309" i="2"/>
  <c r="H313" i="2"/>
  <c r="I282" i="2"/>
  <c r="I293" i="2" s="1"/>
  <c r="I329" i="2"/>
  <c r="H308" i="2"/>
  <c r="G201" i="2"/>
  <c r="Q8" i="11"/>
  <c r="R1" i="11"/>
  <c r="P117" i="2"/>
  <c r="P157" i="2" s="1"/>
  <c r="P8" i="2"/>
  <c r="N4" i="8"/>
  <c r="Q1" i="2"/>
  <c r="S2" i="2"/>
  <c r="AU5" i="6"/>
  <c r="P1" i="8"/>
  <c r="H151" i="2"/>
  <c r="H158" i="2" s="1"/>
  <c r="H216" i="2"/>
  <c r="H169" i="2"/>
  <c r="H180" i="2" s="1"/>
  <c r="I134" i="2"/>
  <c r="I132" i="2" s="1"/>
  <c r="I138" i="2"/>
  <c r="I136" i="2" s="1"/>
  <c r="I140" i="2"/>
  <c r="I152" i="2"/>
  <c r="I153" i="2"/>
  <c r="I154" i="2"/>
  <c r="H217" i="2"/>
  <c r="H170" i="2"/>
  <c r="H181" i="2" s="1"/>
  <c r="G212" i="2"/>
  <c r="H215" i="2"/>
  <c r="H168" i="2"/>
  <c r="H179" i="2" s="1"/>
  <c r="I213" i="2"/>
  <c r="I214" i="2"/>
  <c r="I171" i="2"/>
  <c r="I182" i="2" s="1"/>
  <c r="I218" i="2"/>
  <c r="G200" i="2"/>
  <c r="K148" i="2"/>
  <c r="J149" i="2"/>
  <c r="J147" i="2" s="1"/>
  <c r="J142" i="2" s="1"/>
  <c r="H220" i="2"/>
  <c r="H173" i="2"/>
  <c r="H184" i="2" s="1"/>
  <c r="H253" i="8"/>
  <c r="J121" i="2" s="1"/>
  <c r="J120" i="2"/>
  <c r="G198" i="2"/>
  <c r="G197" i="2"/>
  <c r="G207" i="2"/>
  <c r="G206" i="2"/>
  <c r="G199" i="2"/>
  <c r="J172" i="8"/>
  <c r="I199" i="8"/>
  <c r="P144" i="2"/>
  <c r="G204" i="2"/>
  <c r="F209" i="8"/>
  <c r="F263" i="8" s="1"/>
  <c r="G182" i="8"/>
  <c r="E263" i="8"/>
  <c r="P45" i="10"/>
  <c r="P46" i="10" s="1"/>
  <c r="F211" i="8"/>
  <c r="F265" i="8" s="1"/>
  <c r="G184" i="8"/>
  <c r="F204" i="8"/>
  <c r="F258" i="8" s="1"/>
  <c r="G177" i="8"/>
  <c r="G195" i="8"/>
  <c r="F222" i="8"/>
  <c r="F276" i="8" s="1"/>
  <c r="J147" i="8"/>
  <c r="J201" i="8" s="1"/>
  <c r="J255" i="8" s="1"/>
  <c r="L10" i="2"/>
  <c r="G95" i="11"/>
  <c r="A17" i="14"/>
  <c r="A20" i="11"/>
  <c r="I45" i="11"/>
  <c r="I43" i="11"/>
  <c r="I44" i="11"/>
  <c r="G89" i="11"/>
  <c r="G88" i="11"/>
  <c r="G110" i="11"/>
  <c r="G63" i="11"/>
  <c r="G74" i="11" s="1"/>
  <c r="G94" i="11" s="1"/>
  <c r="J179" i="8"/>
  <c r="I206" i="8"/>
  <c r="I260" i="8" s="1"/>
  <c r="J11" i="2"/>
  <c r="G210" i="8"/>
  <c r="G264" i="8" s="1"/>
  <c r="H183" i="8"/>
  <c r="H89" i="11"/>
  <c r="H88" i="11"/>
  <c r="H207" i="8"/>
  <c r="H261" i="8" s="1"/>
  <c r="I180" i="8"/>
  <c r="H111" i="11"/>
  <c r="H64" i="11"/>
  <c r="H75" i="11" s="1"/>
  <c r="H95" i="11" s="1"/>
  <c r="G89" i="2"/>
  <c r="G88" i="2"/>
  <c r="H208" i="8"/>
  <c r="H262" i="8" s="1"/>
  <c r="I181" i="8"/>
  <c r="I105" i="11"/>
  <c r="I104" i="11"/>
  <c r="I103" i="11" s="1"/>
  <c r="I13" i="11"/>
  <c r="J178" i="8"/>
  <c r="I205" i="8"/>
  <c r="H259" i="8"/>
  <c r="J12" i="11" s="1"/>
  <c r="J11" i="11"/>
  <c r="J198" i="8"/>
  <c r="K171" i="8"/>
  <c r="H42" i="11"/>
  <c r="N131" i="8"/>
  <c r="O77" i="8"/>
  <c r="Q62" i="8"/>
  <c r="P116" i="8"/>
  <c r="R337" i="2" s="1"/>
  <c r="R367" i="2" s="1"/>
  <c r="M158" i="8"/>
  <c r="O10" i="14"/>
  <c r="O143" i="8"/>
  <c r="N151" i="8"/>
  <c r="P10" i="11"/>
  <c r="P70" i="8"/>
  <c r="O124" i="8"/>
  <c r="O87" i="8"/>
  <c r="N141" i="8"/>
  <c r="N168" i="8" s="1"/>
  <c r="O76" i="8"/>
  <c r="N130" i="8"/>
  <c r="N157" i="8" s="1"/>
  <c r="M157" i="8"/>
  <c r="O69" i="8"/>
  <c r="N123" i="8"/>
  <c r="N150" i="8" s="1"/>
  <c r="J140" i="8"/>
  <c r="J167" i="8" s="1"/>
  <c r="J221" i="8" s="1"/>
  <c r="J275" i="8" s="1"/>
  <c r="K113" i="8"/>
  <c r="K112" i="8"/>
  <c r="J139" i="8"/>
  <c r="J166" i="8" s="1"/>
  <c r="J220" i="8" s="1"/>
  <c r="J274" i="8" s="1"/>
  <c r="N109" i="8"/>
  <c r="M136" i="8"/>
  <c r="M163" i="8" s="1"/>
  <c r="L111" i="8"/>
  <c r="K138" i="8"/>
  <c r="K165" i="8" s="1"/>
  <c r="K219" i="8" s="1"/>
  <c r="K273" i="8" s="1"/>
  <c r="M110" i="8"/>
  <c r="L137" i="8"/>
  <c r="L164" i="8" s="1"/>
  <c r="L218" i="8" s="1"/>
  <c r="L272" i="8" s="1"/>
  <c r="O107" i="8"/>
  <c r="N134" i="8"/>
  <c r="N161" i="8" s="1"/>
  <c r="O106" i="8"/>
  <c r="N133" i="8"/>
  <c r="N160" i="8" s="1"/>
  <c r="M160" i="8"/>
  <c r="N162" i="8"/>
  <c r="O105" i="8"/>
  <c r="N132" i="8"/>
  <c r="N159" i="8" s="1"/>
  <c r="P108" i="8"/>
  <c r="O135" i="8"/>
  <c r="O162" i="8" s="1"/>
  <c r="O129" i="8"/>
  <c r="P102" i="8"/>
  <c r="P125" i="8"/>
  <c r="P152" i="8" s="1"/>
  <c r="Q98" i="8"/>
  <c r="O128" i="8"/>
  <c r="O155" i="8" s="1"/>
  <c r="P101" i="8"/>
  <c r="O127" i="8"/>
  <c r="O154" i="8" s="1"/>
  <c r="P100" i="8"/>
  <c r="Q99" i="8"/>
  <c r="P126" i="8"/>
  <c r="P153" i="8" s="1"/>
  <c r="M92" i="8"/>
  <c r="L119" i="8"/>
  <c r="L118" i="8"/>
  <c r="M91" i="8"/>
  <c r="L93" i="8"/>
  <c r="K120" i="8"/>
  <c r="K95" i="8"/>
  <c r="J122" i="8"/>
  <c r="J149" i="8" s="1"/>
  <c r="J203" i="8" s="1"/>
  <c r="J257" i="8" s="1"/>
  <c r="J121" i="8"/>
  <c r="J148" i="8" s="1"/>
  <c r="J202" i="8" s="1"/>
  <c r="J256" i="8" s="1"/>
  <c r="K94" i="8"/>
  <c r="N117" i="8"/>
  <c r="O90" i="8"/>
  <c r="L105" i="14"/>
  <c r="L13" i="14"/>
  <c r="L89" i="14" s="1"/>
  <c r="A17" i="2"/>
  <c r="M176" i="8"/>
  <c r="M193" i="8"/>
  <c r="M194" i="8"/>
  <c r="K88" i="14"/>
  <c r="K89" i="14"/>
  <c r="L214" i="8"/>
  <c r="L268" i="8" s="1"/>
  <c r="M187" i="8"/>
  <c r="L213" i="8"/>
  <c r="L267" i="8" s="1"/>
  <c r="M186" i="8"/>
  <c r="M174" i="8"/>
  <c r="K266" i="8"/>
  <c r="M12" i="14" s="1"/>
  <c r="M11" i="14"/>
  <c r="M185" i="8"/>
  <c r="L212" i="8"/>
  <c r="M175" i="8"/>
  <c r="M190" i="8"/>
  <c r="L217" i="8"/>
  <c r="L271" i="8" s="1"/>
  <c r="M191" i="8"/>
  <c r="L215" i="8"/>
  <c r="L269" i="8" s="1"/>
  <c r="M188" i="8"/>
  <c r="M173" i="8"/>
  <c r="M189" i="8"/>
  <c r="L216" i="8"/>
  <c r="L270" i="8" s="1"/>
  <c r="E75" i="2"/>
  <c r="E65" i="2"/>
  <c r="E76" i="2" s="1"/>
  <c r="O192" i="8"/>
  <c r="L470" i="2" l="1"/>
  <c r="G369" i="2"/>
  <c r="H534" i="2"/>
  <c r="H529" i="2"/>
  <c r="H524" i="2"/>
  <c r="H525" i="2"/>
  <c r="H533" i="2"/>
  <c r="K360" i="2"/>
  <c r="K389" i="2" s="1"/>
  <c r="K400" i="2" s="1"/>
  <c r="H451" i="2"/>
  <c r="H492" i="2" s="1"/>
  <c r="H502" i="2" s="1"/>
  <c r="R363" i="2"/>
  <c r="F251" i="8"/>
  <c r="H338" i="2"/>
  <c r="L480" i="2"/>
  <c r="L479" i="2"/>
  <c r="L478" i="2" s="1"/>
  <c r="L481" i="2"/>
  <c r="L500" i="2" s="1"/>
  <c r="L461" i="2"/>
  <c r="L459" i="2" s="1"/>
  <c r="L465" i="2"/>
  <c r="L463" i="2" s="1"/>
  <c r="L467" i="2"/>
  <c r="K254" i="8"/>
  <c r="M448" i="2" s="1"/>
  <c r="M447" i="2"/>
  <c r="I547" i="2"/>
  <c r="I500" i="2"/>
  <c r="I511" i="2" s="1"/>
  <c r="L540" i="2"/>
  <c r="L541" i="2"/>
  <c r="H530" i="2"/>
  <c r="J479" i="2"/>
  <c r="J480" i="2"/>
  <c r="J481" i="2"/>
  <c r="J461" i="2"/>
  <c r="J459" i="2" s="1"/>
  <c r="J465" i="2"/>
  <c r="J463" i="2" s="1"/>
  <c r="J467" i="2"/>
  <c r="I524" i="2"/>
  <c r="I525" i="2"/>
  <c r="I534" i="2"/>
  <c r="I533" i="2"/>
  <c r="K545" i="2"/>
  <c r="K498" i="2"/>
  <c r="K509" i="2" s="1"/>
  <c r="L361" i="2"/>
  <c r="M364" i="2"/>
  <c r="L368" i="2"/>
  <c r="L365" i="2" s="1"/>
  <c r="J449" i="2"/>
  <c r="J529" i="2" s="1"/>
  <c r="J541" i="2"/>
  <c r="J540" i="2"/>
  <c r="M472" i="2"/>
  <c r="M476" i="2"/>
  <c r="L477" i="2"/>
  <c r="L474" i="2" s="1"/>
  <c r="L469" i="2" s="1"/>
  <c r="M473" i="2"/>
  <c r="G388" i="2"/>
  <c r="G399" i="2" s="1"/>
  <c r="I544" i="2"/>
  <c r="I497" i="2"/>
  <c r="I508" i="2" s="1"/>
  <c r="J545" i="2"/>
  <c r="G391" i="2"/>
  <c r="G402" i="2" s="1"/>
  <c r="L146" i="8"/>
  <c r="L200" i="8" s="1"/>
  <c r="N446" i="2"/>
  <c r="I31" i="1"/>
  <c r="G339" i="2"/>
  <c r="G438" i="2" s="1"/>
  <c r="G387" i="2"/>
  <c r="G398" i="2" s="1"/>
  <c r="I543" i="2"/>
  <c r="I496" i="2"/>
  <c r="I507" i="2" s="1"/>
  <c r="K480" i="2"/>
  <c r="K479" i="2"/>
  <c r="K481" i="2"/>
  <c r="K461" i="2"/>
  <c r="K459" i="2" s="1"/>
  <c r="K465" i="2"/>
  <c r="K463" i="2" s="1"/>
  <c r="K467" i="2"/>
  <c r="G376" i="2"/>
  <c r="G386" i="2"/>
  <c r="G397" i="2" s="1"/>
  <c r="I542" i="2"/>
  <c r="I495" i="2"/>
  <c r="I506" i="2" s="1"/>
  <c r="K540" i="2"/>
  <c r="K541" i="2"/>
  <c r="H512" i="2"/>
  <c r="H532" i="2" s="1"/>
  <c r="G390" i="2"/>
  <c r="G401" i="2" s="1"/>
  <c r="I478" i="2"/>
  <c r="I485" i="2" s="1"/>
  <c r="G451" i="2"/>
  <c r="I529" i="2"/>
  <c r="Q299" i="2"/>
  <c r="Q80" i="11"/>
  <c r="Q516" i="2"/>
  <c r="AU15" i="6"/>
  <c r="R515" i="2"/>
  <c r="R518" i="2" s="1"/>
  <c r="R493" i="2"/>
  <c r="R504" i="2" s="1"/>
  <c r="R494" i="2"/>
  <c r="R505" i="2" s="1"/>
  <c r="R514" i="2"/>
  <c r="R385" i="2"/>
  <c r="R396" i="2" s="1"/>
  <c r="R406" i="2"/>
  <c r="R409" i="2" s="1"/>
  <c r="R384" i="2"/>
  <c r="R395" i="2" s="1"/>
  <c r="R405" i="2"/>
  <c r="Q80" i="14"/>
  <c r="O517" i="2"/>
  <c r="O275" i="2"/>
  <c r="O286" i="2" s="1"/>
  <c r="O238" i="2"/>
  <c r="P125" i="2"/>
  <c r="AT7" i="6"/>
  <c r="P234" i="2"/>
  <c r="O166" i="2"/>
  <c r="O177" i="2" s="1"/>
  <c r="O129" i="2"/>
  <c r="Q407" i="2"/>
  <c r="O408" i="2"/>
  <c r="P484" i="2"/>
  <c r="P375" i="2"/>
  <c r="Q226" i="2"/>
  <c r="Q266" i="2" s="1"/>
  <c r="Q444" i="2"/>
  <c r="Q335" i="2"/>
  <c r="Q80" i="2"/>
  <c r="I122" i="2"/>
  <c r="J122" i="2" s="1"/>
  <c r="M146" i="2"/>
  <c r="L150" i="2"/>
  <c r="R52" i="8"/>
  <c r="R47" i="8"/>
  <c r="R36" i="8"/>
  <c r="R50" i="8"/>
  <c r="T3" i="14"/>
  <c r="R41" i="8"/>
  <c r="R60" i="8"/>
  <c r="R43" i="8"/>
  <c r="R42" i="8"/>
  <c r="R53" i="8"/>
  <c r="R51" i="8"/>
  <c r="R59" i="8"/>
  <c r="R39" i="8"/>
  <c r="R45" i="8"/>
  <c r="R44" i="8"/>
  <c r="R58" i="8"/>
  <c r="R35" i="8"/>
  <c r="T3" i="11"/>
  <c r="R46" i="8"/>
  <c r="R40" i="8"/>
  <c r="T3" i="2"/>
  <c r="R37" i="8"/>
  <c r="R49" i="8"/>
  <c r="R55" i="8"/>
  <c r="R54" i="8"/>
  <c r="R38" i="8"/>
  <c r="R57" i="8"/>
  <c r="R48" i="8"/>
  <c r="R56" i="8"/>
  <c r="M255" i="2"/>
  <c r="L259" i="2"/>
  <c r="L252" i="2"/>
  <c r="L143" i="2"/>
  <c r="S6" i="8"/>
  <c r="T5" i="8"/>
  <c r="G274" i="2"/>
  <c r="G285" i="2" s="1"/>
  <c r="G305" i="2" s="1"/>
  <c r="G273" i="2"/>
  <c r="G302" i="2" s="1"/>
  <c r="G303" i="2" s="1"/>
  <c r="G317" i="2" s="1"/>
  <c r="Q298" i="2"/>
  <c r="AV15" i="6"/>
  <c r="P57" i="2"/>
  <c r="AT8" i="6"/>
  <c r="AU8" i="6" s="1"/>
  <c r="AV8" i="6" s="1"/>
  <c r="AW8" i="6" s="1"/>
  <c r="AX8" i="6" s="1"/>
  <c r="AY8" i="6" s="1"/>
  <c r="AZ8" i="6" s="1"/>
  <c r="BA8" i="6" s="1"/>
  <c r="BB8" i="6" s="1"/>
  <c r="BC8" i="6" s="1"/>
  <c r="Q189" i="2"/>
  <c r="O57" i="2"/>
  <c r="O68" i="2" s="1"/>
  <c r="AB16" i="2"/>
  <c r="R276" i="2"/>
  <c r="R287" i="2" s="1"/>
  <c r="R296" i="2"/>
  <c r="R297" i="2"/>
  <c r="R300" i="2" s="1"/>
  <c r="R188" i="2"/>
  <c r="R191" i="2" s="1"/>
  <c r="R167" i="2"/>
  <c r="R178" i="2" s="1"/>
  <c r="R187" i="2"/>
  <c r="R78" i="14"/>
  <c r="R79" i="11"/>
  <c r="R58" i="2"/>
  <c r="R69" i="2" s="1"/>
  <c r="R58" i="11"/>
  <c r="R69" i="11" s="1"/>
  <c r="R57" i="14"/>
  <c r="R68" i="14" s="1"/>
  <c r="R79" i="14"/>
  <c r="R58" i="14"/>
  <c r="R69" i="14" s="1"/>
  <c r="R57" i="11"/>
  <c r="R68" i="11" s="1"/>
  <c r="R79" i="2"/>
  <c r="R57" i="2"/>
  <c r="AV14" i="6"/>
  <c r="R78" i="11"/>
  <c r="R78" i="2"/>
  <c r="H197" i="2"/>
  <c r="H201" i="2"/>
  <c r="H206" i="2"/>
  <c r="H207" i="2"/>
  <c r="H198" i="2"/>
  <c r="I267" i="2"/>
  <c r="I268" i="2" s="1"/>
  <c r="I283" i="2" s="1"/>
  <c r="I294" i="2" s="1"/>
  <c r="I280" i="2"/>
  <c r="I291" i="2" s="1"/>
  <c r="I327" i="2"/>
  <c r="K257" i="2"/>
  <c r="J258" i="2"/>
  <c r="J256" i="2" s="1"/>
  <c r="H170" i="8"/>
  <c r="G197" i="8"/>
  <c r="I292" i="2"/>
  <c r="I312" i="2" s="1"/>
  <c r="I328" i="2"/>
  <c r="H219" i="2"/>
  <c r="H212" i="2" s="1"/>
  <c r="I308" i="2"/>
  <c r="H314" i="2"/>
  <c r="J252" i="8"/>
  <c r="L230" i="2" s="1"/>
  <c r="L229" i="2"/>
  <c r="J329" i="2"/>
  <c r="J282" i="2"/>
  <c r="J293" i="2" s="1"/>
  <c r="K243" i="2"/>
  <c r="K241" i="2" s="1"/>
  <c r="K247" i="2"/>
  <c r="K245" i="2" s="1"/>
  <c r="K261" i="2"/>
  <c r="K249" i="2"/>
  <c r="K262" i="2"/>
  <c r="K263" i="2"/>
  <c r="J260" i="2"/>
  <c r="J267" i="2" s="1"/>
  <c r="K323" i="2"/>
  <c r="K322" i="2"/>
  <c r="K231" i="2"/>
  <c r="I313" i="2"/>
  <c r="N144" i="8"/>
  <c r="P228" i="2"/>
  <c r="L145" i="8"/>
  <c r="N119" i="2"/>
  <c r="N145" i="2" s="1"/>
  <c r="I309" i="2"/>
  <c r="J279" i="2"/>
  <c r="J290" i="2" s="1"/>
  <c r="J310" i="2" s="1"/>
  <c r="J326" i="2"/>
  <c r="J306" i="2"/>
  <c r="J307" i="2"/>
  <c r="J316" i="2"/>
  <c r="J315" i="2"/>
  <c r="J325" i="2"/>
  <c r="J278" i="2"/>
  <c r="J289" i="2" s="1"/>
  <c r="O254" i="2"/>
  <c r="H233" i="2"/>
  <c r="J324" i="2"/>
  <c r="J277" i="2"/>
  <c r="J288" i="2" s="1"/>
  <c r="S1" i="11"/>
  <c r="R8" i="11"/>
  <c r="I151" i="2"/>
  <c r="I172" i="2" s="1"/>
  <c r="H172" i="2"/>
  <c r="H183" i="2" s="1"/>
  <c r="H203" i="2" s="1"/>
  <c r="AV5" i="6"/>
  <c r="T2" i="2"/>
  <c r="Q1" i="8"/>
  <c r="Q117" i="2"/>
  <c r="Q157" i="2" s="1"/>
  <c r="R1" i="2"/>
  <c r="Q8" i="2"/>
  <c r="O4" i="8"/>
  <c r="G124" i="2"/>
  <c r="G165" i="2" s="1"/>
  <c r="H199" i="2"/>
  <c r="H204" i="2"/>
  <c r="Q144" i="2"/>
  <c r="I217" i="2"/>
  <c r="I170" i="2"/>
  <c r="I181" i="2" s="1"/>
  <c r="I253" i="8"/>
  <c r="K121" i="2" s="1"/>
  <c r="K120" i="2"/>
  <c r="J218" i="2"/>
  <c r="J171" i="2"/>
  <c r="J182" i="2" s="1"/>
  <c r="I216" i="2"/>
  <c r="I169" i="2"/>
  <c r="I180" i="2" s="1"/>
  <c r="I220" i="2"/>
  <c r="I173" i="2"/>
  <c r="I184" i="2" s="1"/>
  <c r="K172" i="8"/>
  <c r="J199" i="8"/>
  <c r="L148" i="2"/>
  <c r="K149" i="2"/>
  <c r="K147" i="2" s="1"/>
  <c r="K142" i="2" s="1"/>
  <c r="I215" i="2"/>
  <c r="I168" i="2"/>
  <c r="I179" i="2" s="1"/>
  <c r="J134" i="2"/>
  <c r="J132" i="2" s="1"/>
  <c r="J138" i="2"/>
  <c r="J136" i="2" s="1"/>
  <c r="J140" i="2"/>
  <c r="J152" i="2"/>
  <c r="J153" i="2"/>
  <c r="J154" i="2"/>
  <c r="H159" i="2"/>
  <c r="H174" i="2" s="1"/>
  <c r="H185" i="2" s="1"/>
  <c r="H205" i="2" s="1"/>
  <c r="J214" i="2"/>
  <c r="J213" i="2"/>
  <c r="H200" i="2"/>
  <c r="G204" i="8"/>
  <c r="G258" i="8" s="1"/>
  <c r="H177" i="8"/>
  <c r="H184" i="8"/>
  <c r="G211" i="8"/>
  <c r="G265" i="8" s="1"/>
  <c r="G209" i="8"/>
  <c r="G263" i="8" s="1"/>
  <c r="H182" i="8"/>
  <c r="H195" i="8"/>
  <c r="G222" i="8"/>
  <c r="G276" i="8" s="1"/>
  <c r="K147" i="8"/>
  <c r="K201" i="8" s="1"/>
  <c r="K255" i="8" s="1"/>
  <c r="M10" i="2"/>
  <c r="A18" i="14"/>
  <c r="A21" i="11"/>
  <c r="I183" i="8"/>
  <c r="H210" i="8"/>
  <c r="H264" i="8" s="1"/>
  <c r="J45" i="11"/>
  <c r="J43" i="11"/>
  <c r="J44" i="11"/>
  <c r="J105" i="11"/>
  <c r="J13" i="11"/>
  <c r="J104" i="11"/>
  <c r="J103" i="11" s="1"/>
  <c r="I88" i="11"/>
  <c r="I89" i="11"/>
  <c r="I207" i="8"/>
  <c r="I261" i="8" s="1"/>
  <c r="J180" i="8"/>
  <c r="K11" i="2"/>
  <c r="I42" i="11"/>
  <c r="I111" i="11"/>
  <c r="I64" i="11"/>
  <c r="I75" i="11" s="1"/>
  <c r="I95" i="11" s="1"/>
  <c r="H110" i="11"/>
  <c r="H63" i="11"/>
  <c r="H74" i="11" s="1"/>
  <c r="H94" i="11" s="1"/>
  <c r="I259" i="8"/>
  <c r="K12" i="11" s="1"/>
  <c r="K11" i="11"/>
  <c r="L171" i="8"/>
  <c r="K198" i="8"/>
  <c r="J205" i="8"/>
  <c r="K178" i="8"/>
  <c r="I208" i="8"/>
  <c r="I262" i="8" s="1"/>
  <c r="J181" i="8"/>
  <c r="J206" i="8"/>
  <c r="J260" i="8" s="1"/>
  <c r="K179" i="8"/>
  <c r="O151" i="8"/>
  <c r="Q10" i="11"/>
  <c r="P124" i="8"/>
  <c r="Q70" i="8"/>
  <c r="P143" i="8"/>
  <c r="R62" i="8"/>
  <c r="Q116" i="8"/>
  <c r="S337" i="2" s="1"/>
  <c r="S363" i="2" s="1"/>
  <c r="P77" i="8"/>
  <c r="O131" i="8"/>
  <c r="N158" i="8"/>
  <c r="P10" i="14"/>
  <c r="P87" i="8"/>
  <c r="O141" i="8"/>
  <c r="O168" i="8" s="1"/>
  <c r="P76" i="8"/>
  <c r="O130" i="8"/>
  <c r="O157" i="8" s="1"/>
  <c r="O123" i="8"/>
  <c r="O150" i="8" s="1"/>
  <c r="P69" i="8"/>
  <c r="O109" i="8"/>
  <c r="N136" i="8"/>
  <c r="N163" i="8" s="1"/>
  <c r="M111" i="8"/>
  <c r="L138" i="8"/>
  <c r="L165" i="8" s="1"/>
  <c r="L219" i="8" s="1"/>
  <c r="L273" i="8" s="1"/>
  <c r="L112" i="8"/>
  <c r="K139" i="8"/>
  <c r="K166" i="8" s="1"/>
  <c r="K220" i="8" s="1"/>
  <c r="K274" i="8" s="1"/>
  <c r="K140" i="8"/>
  <c r="K167" i="8" s="1"/>
  <c r="K221" i="8" s="1"/>
  <c r="K275" i="8" s="1"/>
  <c r="L113" i="8"/>
  <c r="N110" i="8"/>
  <c r="M137" i="8"/>
  <c r="M164" i="8" s="1"/>
  <c r="M218" i="8" s="1"/>
  <c r="M272" i="8" s="1"/>
  <c r="P107" i="8"/>
  <c r="O134" i="8"/>
  <c r="O161" i="8" s="1"/>
  <c r="Q108" i="8"/>
  <c r="P135" i="8"/>
  <c r="P162" i="8" s="1"/>
  <c r="O132" i="8"/>
  <c r="O159" i="8" s="1"/>
  <c r="P105" i="8"/>
  <c r="P106" i="8"/>
  <c r="O133" i="8"/>
  <c r="O160" i="8" s="1"/>
  <c r="P127" i="8"/>
  <c r="P154" i="8" s="1"/>
  <c r="Q100" i="8"/>
  <c r="Q101" i="8"/>
  <c r="P128" i="8"/>
  <c r="P155" i="8" s="1"/>
  <c r="R98" i="8"/>
  <c r="Q125" i="8"/>
  <c r="Q152" i="8" s="1"/>
  <c r="P129" i="8"/>
  <c r="P156" i="8" s="1"/>
  <c r="Q102" i="8"/>
  <c r="R99" i="8"/>
  <c r="Q126" i="8"/>
  <c r="Q153" i="8" s="1"/>
  <c r="O156" i="8"/>
  <c r="K122" i="8"/>
  <c r="K149" i="8" s="1"/>
  <c r="K203" i="8" s="1"/>
  <c r="K257" i="8" s="1"/>
  <c r="L95" i="8"/>
  <c r="N92" i="8"/>
  <c r="M119" i="8"/>
  <c r="L120" i="8"/>
  <c r="M93" i="8"/>
  <c r="M118" i="8"/>
  <c r="N91" i="8"/>
  <c r="L94" i="8"/>
  <c r="K121" i="8"/>
  <c r="K148" i="8" s="1"/>
  <c r="K202" i="8" s="1"/>
  <c r="K256" i="8" s="1"/>
  <c r="O117" i="8"/>
  <c r="P90" i="8"/>
  <c r="L88" i="14"/>
  <c r="A18" i="2"/>
  <c r="N175" i="8"/>
  <c r="M213" i="8"/>
  <c r="M267" i="8" s="1"/>
  <c r="N186" i="8"/>
  <c r="M217" i="8"/>
  <c r="M271" i="8" s="1"/>
  <c r="N190" i="8"/>
  <c r="N11" i="14"/>
  <c r="L266" i="8"/>
  <c r="N12" i="14" s="1"/>
  <c r="M214" i="8"/>
  <c r="M268" i="8" s="1"/>
  <c r="N187" i="8"/>
  <c r="M104" i="14"/>
  <c r="M13" i="14"/>
  <c r="M105" i="14"/>
  <c r="N193" i="8"/>
  <c r="M212" i="8"/>
  <c r="N185" i="8"/>
  <c r="M215" i="8"/>
  <c r="M269" i="8" s="1"/>
  <c r="N188" i="8"/>
  <c r="N173" i="8"/>
  <c r="N194" i="8"/>
  <c r="N176" i="8"/>
  <c r="N191" i="8"/>
  <c r="N189" i="8"/>
  <c r="M216" i="8"/>
  <c r="N174" i="8"/>
  <c r="P192" i="8"/>
  <c r="R407" i="2" l="1"/>
  <c r="H548" i="2"/>
  <c r="H491" i="2"/>
  <c r="H520" i="2" s="1"/>
  <c r="K449" i="2"/>
  <c r="L449" i="2" s="1"/>
  <c r="L360" i="2"/>
  <c r="K478" i="2"/>
  <c r="G434" i="2"/>
  <c r="G437" i="2"/>
  <c r="G435" i="2"/>
  <c r="J478" i="2"/>
  <c r="K529" i="2"/>
  <c r="I486" i="2"/>
  <c r="I501" i="2" s="1"/>
  <c r="I512" i="2" s="1"/>
  <c r="I532" i="2" s="1"/>
  <c r="H370" i="2"/>
  <c r="H372" i="2"/>
  <c r="H371" i="2"/>
  <c r="H352" i="2"/>
  <c r="H350" i="2" s="1"/>
  <c r="H356" i="2"/>
  <c r="H354" i="2" s="1"/>
  <c r="H358" i="2"/>
  <c r="M146" i="8"/>
  <c r="M200" i="8" s="1"/>
  <c r="O446" i="2"/>
  <c r="I527" i="2"/>
  <c r="L389" i="2"/>
  <c r="L400" i="2" s="1"/>
  <c r="G251" i="8"/>
  <c r="I338" i="2"/>
  <c r="G433" i="2"/>
  <c r="M470" i="2"/>
  <c r="M477" i="2"/>
  <c r="M474" i="2" s="1"/>
  <c r="M469" i="2" s="1"/>
  <c r="N473" i="2"/>
  <c r="M361" i="2"/>
  <c r="M368" i="2"/>
  <c r="M365" i="2" s="1"/>
  <c r="M360" i="2" s="1"/>
  <c r="N364" i="2"/>
  <c r="L547" i="2"/>
  <c r="L542" i="2"/>
  <c r="L495" i="2"/>
  <c r="L485" i="2"/>
  <c r="K543" i="2"/>
  <c r="K496" i="2"/>
  <c r="I528" i="2"/>
  <c r="I531" i="2"/>
  <c r="L546" i="2"/>
  <c r="L499" i="2"/>
  <c r="H12" i="2"/>
  <c r="H339" i="2"/>
  <c r="J546" i="2"/>
  <c r="J499" i="2"/>
  <c r="G491" i="2"/>
  <c r="G520" i="2" s="1"/>
  <c r="G521" i="2" s="1"/>
  <c r="G535" i="2" s="1"/>
  <c r="G492" i="2"/>
  <c r="G548" i="2"/>
  <c r="K542" i="2"/>
  <c r="K495" i="2"/>
  <c r="K485" i="2"/>
  <c r="G340" i="2"/>
  <c r="G421" i="2" s="1"/>
  <c r="G432" i="2"/>
  <c r="G431" i="2"/>
  <c r="G436" i="2"/>
  <c r="I546" i="2"/>
  <c r="I539" i="2" s="1"/>
  <c r="I499" i="2"/>
  <c r="I510" i="2" s="1"/>
  <c r="I526" i="2"/>
  <c r="K547" i="2"/>
  <c r="K500" i="2"/>
  <c r="J544" i="2"/>
  <c r="J497" i="2"/>
  <c r="J508" i="2" s="1"/>
  <c r="M480" i="2"/>
  <c r="M481" i="2"/>
  <c r="M479" i="2"/>
  <c r="M461" i="2"/>
  <c r="M459" i="2" s="1"/>
  <c r="M465" i="2"/>
  <c r="M463" i="2" s="1"/>
  <c r="M467" i="2"/>
  <c r="K525" i="2"/>
  <c r="K534" i="2"/>
  <c r="K524" i="2"/>
  <c r="K533" i="2"/>
  <c r="K544" i="2"/>
  <c r="K497" i="2"/>
  <c r="K546" i="2"/>
  <c r="K499" i="2"/>
  <c r="N472" i="2"/>
  <c r="N476" i="2"/>
  <c r="J543" i="2"/>
  <c r="J496" i="2"/>
  <c r="J507" i="2" s="1"/>
  <c r="L524" i="2"/>
  <c r="L525" i="2"/>
  <c r="L534" i="2"/>
  <c r="L533" i="2"/>
  <c r="M540" i="2"/>
  <c r="M449" i="2"/>
  <c r="M541" i="2"/>
  <c r="S367" i="2"/>
  <c r="L254" i="8"/>
  <c r="N448" i="2" s="1"/>
  <c r="N447" i="2"/>
  <c r="J524" i="2"/>
  <c r="J525" i="2"/>
  <c r="J534" i="2"/>
  <c r="J533" i="2"/>
  <c r="J542" i="2"/>
  <c r="J495" i="2"/>
  <c r="J506" i="2" s="1"/>
  <c r="J485" i="2"/>
  <c r="L544" i="2"/>
  <c r="L497" i="2"/>
  <c r="L545" i="2"/>
  <c r="L498" i="2"/>
  <c r="L509" i="2" s="1"/>
  <c r="L529" i="2" s="1"/>
  <c r="G377" i="2"/>
  <c r="G392" i="2" s="1"/>
  <c r="G403" i="2" s="1"/>
  <c r="J547" i="2"/>
  <c r="J500" i="2"/>
  <c r="J511" i="2" s="1"/>
  <c r="J531" i="2" s="1"/>
  <c r="L543" i="2"/>
  <c r="L496" i="2"/>
  <c r="R80" i="11"/>
  <c r="R516" i="2"/>
  <c r="P166" i="2"/>
  <c r="P177" i="2" s="1"/>
  <c r="P129" i="2"/>
  <c r="P408" i="2"/>
  <c r="S493" i="2"/>
  <c r="S504" i="2" s="1"/>
  <c r="S515" i="2"/>
  <c r="S518" i="2" s="1"/>
  <c r="S494" i="2"/>
  <c r="S505" i="2" s="1"/>
  <c r="S384" i="2"/>
  <c r="S395" i="2" s="1"/>
  <c r="S514" i="2"/>
  <c r="S385" i="2"/>
  <c r="S396" i="2" s="1"/>
  <c r="S406" i="2"/>
  <c r="S409" i="2" s="1"/>
  <c r="S405" i="2"/>
  <c r="P517" i="2"/>
  <c r="I206" i="2"/>
  <c r="I198" i="2"/>
  <c r="I197" i="2"/>
  <c r="P238" i="2"/>
  <c r="P275" i="2"/>
  <c r="P286" i="2" s="1"/>
  <c r="Q125" i="2"/>
  <c r="Q234" i="2"/>
  <c r="AU7" i="6"/>
  <c r="I207" i="2"/>
  <c r="I202" i="2"/>
  <c r="I201" i="2"/>
  <c r="Q375" i="2"/>
  <c r="Q484" i="2"/>
  <c r="R226" i="2"/>
  <c r="R266" i="2" s="1"/>
  <c r="R444" i="2"/>
  <c r="R335" i="2"/>
  <c r="P68" i="2"/>
  <c r="Q68" i="2" s="1"/>
  <c r="S58" i="8"/>
  <c r="S41" i="8"/>
  <c r="U3" i="14"/>
  <c r="S40" i="8"/>
  <c r="S36" i="8"/>
  <c r="S55" i="8"/>
  <c r="S45" i="8"/>
  <c r="U3" i="11"/>
  <c r="S51" i="8"/>
  <c r="S48" i="8"/>
  <c r="S38" i="8"/>
  <c r="S42" i="8"/>
  <c r="S57" i="8"/>
  <c r="U3" i="2"/>
  <c r="S46" i="8"/>
  <c r="S56" i="8"/>
  <c r="S50" i="8"/>
  <c r="S44" i="8"/>
  <c r="S35" i="8"/>
  <c r="S49" i="8"/>
  <c r="S53" i="8"/>
  <c r="S54" i="8"/>
  <c r="S43" i="8"/>
  <c r="S39" i="8"/>
  <c r="S37" i="8"/>
  <c r="S47" i="8"/>
  <c r="S60" i="8"/>
  <c r="S52" i="8"/>
  <c r="S59" i="8"/>
  <c r="M150" i="2"/>
  <c r="N146" i="2"/>
  <c r="N143" i="2" s="1"/>
  <c r="U5" i="8"/>
  <c r="T6" i="8"/>
  <c r="M259" i="2"/>
  <c r="N255" i="2"/>
  <c r="M252" i="2"/>
  <c r="M251" i="2" s="1"/>
  <c r="M280" i="2" s="1"/>
  <c r="M143" i="2"/>
  <c r="G319" i="2"/>
  <c r="R80" i="2"/>
  <c r="R68" i="2"/>
  <c r="G284" i="2"/>
  <c r="S69" i="11"/>
  <c r="S276" i="2"/>
  <c r="S287" i="2" s="1"/>
  <c r="S297" i="2"/>
  <c r="S300" i="2" s="1"/>
  <c r="S275" i="2"/>
  <c r="S296" i="2"/>
  <c r="S167" i="2"/>
  <c r="S178" i="2" s="1"/>
  <c r="S166" i="2"/>
  <c r="S188" i="2"/>
  <c r="S191" i="2" s="1"/>
  <c r="S187" i="2"/>
  <c r="S79" i="2"/>
  <c r="S58" i="11"/>
  <c r="S58" i="2"/>
  <c r="S69" i="2" s="1"/>
  <c r="S57" i="14"/>
  <c r="S68" i="14" s="1"/>
  <c r="S78" i="11"/>
  <c r="S80" i="11" s="1"/>
  <c r="S57" i="2"/>
  <c r="S79" i="14"/>
  <c r="S58" i="14"/>
  <c r="S69" i="14" s="1"/>
  <c r="S57" i="11"/>
  <c r="S68" i="11" s="1"/>
  <c r="S78" i="14"/>
  <c r="S79" i="11"/>
  <c r="AW14" i="6"/>
  <c r="S78" i="2"/>
  <c r="R298" i="2"/>
  <c r="R80" i="14"/>
  <c r="R299" i="2"/>
  <c r="R189" i="2"/>
  <c r="R190" i="2"/>
  <c r="I321" i="2"/>
  <c r="K260" i="2"/>
  <c r="K281" i="2" s="1"/>
  <c r="L257" i="2"/>
  <c r="K258" i="2"/>
  <c r="K256" i="2" s="1"/>
  <c r="K251" i="2" s="1"/>
  <c r="J291" i="2"/>
  <c r="J311" i="2" s="1"/>
  <c r="I311" i="2"/>
  <c r="H197" i="8"/>
  <c r="I170" i="8"/>
  <c r="I219" i="2"/>
  <c r="I212" i="2" s="1"/>
  <c r="I314" i="2"/>
  <c r="J309" i="2"/>
  <c r="J308" i="2"/>
  <c r="K252" i="8"/>
  <c r="M230" i="2" s="1"/>
  <c r="M229" i="2"/>
  <c r="H273" i="2"/>
  <c r="H302" i="2" s="1"/>
  <c r="H303" i="2" s="1"/>
  <c r="H317" i="2" s="1"/>
  <c r="H274" i="2"/>
  <c r="P254" i="2"/>
  <c r="K278" i="2"/>
  <c r="K289" i="2" s="1"/>
  <c r="K325" i="2"/>
  <c r="K277" i="2"/>
  <c r="K288" i="2" s="1"/>
  <c r="K324" i="2"/>
  <c r="I233" i="2"/>
  <c r="J328" i="2"/>
  <c r="J321" i="2" s="1"/>
  <c r="J281" i="2"/>
  <c r="J292" i="2" s="1"/>
  <c r="O144" i="8"/>
  <c r="Q228" i="2"/>
  <c r="I158" i="2"/>
  <c r="I159" i="2" s="1"/>
  <c r="I174" i="2" s="1"/>
  <c r="I185" i="2" s="1"/>
  <c r="I205" i="2" s="1"/>
  <c r="K282" i="2"/>
  <c r="K293" i="2" s="1"/>
  <c r="K329" i="2"/>
  <c r="J268" i="2"/>
  <c r="J283" i="2" s="1"/>
  <c r="J294" i="2" s="1"/>
  <c r="J313" i="2"/>
  <c r="L243" i="2"/>
  <c r="L241" i="2" s="1"/>
  <c r="L247" i="2"/>
  <c r="L245" i="2" s="1"/>
  <c r="L261" i="2"/>
  <c r="L249" i="2"/>
  <c r="L262" i="2"/>
  <c r="L263" i="2"/>
  <c r="M145" i="8"/>
  <c r="O119" i="2"/>
  <c r="O145" i="2" s="1"/>
  <c r="K279" i="2"/>
  <c r="K290" i="2" s="1"/>
  <c r="K310" i="2" s="1"/>
  <c r="K326" i="2"/>
  <c r="L323" i="2"/>
  <c r="L322" i="2"/>
  <c r="L231" i="2"/>
  <c r="K307" i="2"/>
  <c r="K306" i="2"/>
  <c r="K316" i="2"/>
  <c r="K315" i="2"/>
  <c r="H330" i="2"/>
  <c r="I183" i="2"/>
  <c r="I203" i="2" s="1"/>
  <c r="T1" i="11"/>
  <c r="S8" i="11"/>
  <c r="R117" i="2"/>
  <c r="R157" i="2" s="1"/>
  <c r="P4" i="8"/>
  <c r="S1" i="2"/>
  <c r="R8" i="2"/>
  <c r="J202" i="2"/>
  <c r="R1" i="8"/>
  <c r="AW5" i="6"/>
  <c r="U2" i="2"/>
  <c r="G164" i="2"/>
  <c r="G193" i="2" s="1"/>
  <c r="G194" i="2" s="1"/>
  <c r="G208" i="2" s="1"/>
  <c r="G221" i="2"/>
  <c r="H124" i="2"/>
  <c r="H221" i="2" s="1"/>
  <c r="I199" i="2"/>
  <c r="I204" i="2"/>
  <c r="J217" i="2"/>
  <c r="J170" i="2"/>
  <c r="J181" i="2" s="1"/>
  <c r="J201" i="2" s="1"/>
  <c r="M148" i="2"/>
  <c r="L149" i="2"/>
  <c r="L147" i="2" s="1"/>
  <c r="L142" i="2" s="1"/>
  <c r="G175" i="2"/>
  <c r="G176" i="2"/>
  <c r="J216" i="2"/>
  <c r="J169" i="2"/>
  <c r="J180" i="2" s="1"/>
  <c r="J253" i="8"/>
  <c r="L121" i="2" s="1"/>
  <c r="L120" i="2"/>
  <c r="K134" i="2"/>
  <c r="K132" i="2" s="1"/>
  <c r="K138" i="2"/>
  <c r="K136" i="2" s="1"/>
  <c r="K140" i="2"/>
  <c r="K152" i="2"/>
  <c r="K153" i="2"/>
  <c r="K154" i="2"/>
  <c r="K218" i="2"/>
  <c r="K171" i="2"/>
  <c r="K182" i="2" s="1"/>
  <c r="J168" i="2"/>
  <c r="J179" i="2" s="1"/>
  <c r="J215" i="2"/>
  <c r="L172" i="8"/>
  <c r="K199" i="8"/>
  <c r="K213" i="2"/>
  <c r="K214" i="2"/>
  <c r="K122" i="2"/>
  <c r="J198" i="2"/>
  <c r="J197" i="2"/>
  <c r="J207" i="2"/>
  <c r="J206" i="2"/>
  <c r="R144" i="2"/>
  <c r="J151" i="2"/>
  <c r="I200" i="2"/>
  <c r="J173" i="2"/>
  <c r="J184" i="2" s="1"/>
  <c r="J220" i="2"/>
  <c r="I182" i="8"/>
  <c r="H209" i="8"/>
  <c r="H263" i="8" s="1"/>
  <c r="I184" i="8"/>
  <c r="H211" i="8"/>
  <c r="H265" i="8" s="1"/>
  <c r="I177" i="8"/>
  <c r="H204" i="8"/>
  <c r="H258" i="8" s="1"/>
  <c r="I195" i="8"/>
  <c r="H222" i="8"/>
  <c r="H276" i="8" s="1"/>
  <c r="L147" i="8"/>
  <c r="L201" i="8" s="1"/>
  <c r="L255" i="8" s="1"/>
  <c r="N10" i="2"/>
  <c r="J42" i="11"/>
  <c r="J110" i="11" s="1"/>
  <c r="A19" i="14"/>
  <c r="A22" i="11"/>
  <c r="J208" i="8"/>
  <c r="J262" i="8" s="1"/>
  <c r="K181" i="8"/>
  <c r="K43" i="11"/>
  <c r="K45" i="11"/>
  <c r="K44" i="11"/>
  <c r="K105" i="11"/>
  <c r="K104" i="11"/>
  <c r="K103" i="11" s="1"/>
  <c r="K13" i="11"/>
  <c r="J89" i="11"/>
  <c r="J88" i="11"/>
  <c r="K205" i="8"/>
  <c r="L178" i="8"/>
  <c r="J64" i="11"/>
  <c r="J75" i="11" s="1"/>
  <c r="J95" i="11" s="1"/>
  <c r="J111" i="11"/>
  <c r="L11" i="11"/>
  <c r="J259" i="8"/>
  <c r="L12" i="11" s="1"/>
  <c r="J183" i="8"/>
  <c r="I210" i="8"/>
  <c r="I264" i="8" s="1"/>
  <c r="J207" i="8"/>
  <c r="J261" i="8" s="1"/>
  <c r="K180" i="8"/>
  <c r="L198" i="8"/>
  <c r="M171" i="8"/>
  <c r="L11" i="2"/>
  <c r="L179" i="8"/>
  <c r="K206" i="8"/>
  <c r="K260" i="8" s="1"/>
  <c r="I63" i="11"/>
  <c r="I74" i="11" s="1"/>
  <c r="I94" i="11" s="1"/>
  <c r="I110" i="11"/>
  <c r="R70" i="8"/>
  <c r="Q124" i="8"/>
  <c r="Q77" i="8"/>
  <c r="P131" i="8"/>
  <c r="P151" i="8"/>
  <c r="R10" i="11"/>
  <c r="Q143" i="8"/>
  <c r="S62" i="8"/>
  <c r="R116" i="8"/>
  <c r="T337" i="2" s="1"/>
  <c r="T363" i="2" s="1"/>
  <c r="O158" i="8"/>
  <c r="Q10" i="14"/>
  <c r="P141" i="8"/>
  <c r="P168" i="8" s="1"/>
  <c r="Q87" i="8"/>
  <c r="P130" i="8"/>
  <c r="P157" i="8" s="1"/>
  <c r="Q76" i="8"/>
  <c r="P123" i="8"/>
  <c r="P150" i="8" s="1"/>
  <c r="Q69" i="8"/>
  <c r="N137" i="8"/>
  <c r="N164" i="8" s="1"/>
  <c r="N218" i="8" s="1"/>
  <c r="N272" i="8" s="1"/>
  <c r="O110" i="8"/>
  <c r="L140" i="8"/>
  <c r="L167" i="8" s="1"/>
  <c r="L221" i="8" s="1"/>
  <c r="L275" i="8" s="1"/>
  <c r="M113" i="8"/>
  <c r="P109" i="8"/>
  <c r="O136" i="8"/>
  <c r="O163" i="8" s="1"/>
  <c r="M112" i="8"/>
  <c r="L139" i="8"/>
  <c r="L166" i="8" s="1"/>
  <c r="L220" i="8" s="1"/>
  <c r="L274" i="8" s="1"/>
  <c r="N111" i="8"/>
  <c r="M138" i="8"/>
  <c r="M165" i="8" s="1"/>
  <c r="M219" i="8" s="1"/>
  <c r="M273" i="8" s="1"/>
  <c r="P132" i="8"/>
  <c r="P159" i="8" s="1"/>
  <c r="Q105" i="8"/>
  <c r="R108" i="8"/>
  <c r="Q135" i="8"/>
  <c r="Q162" i="8" s="1"/>
  <c r="Q107" i="8"/>
  <c r="P134" i="8"/>
  <c r="P161" i="8" s="1"/>
  <c r="Q106" i="8"/>
  <c r="P133" i="8"/>
  <c r="P160" i="8" s="1"/>
  <c r="R100" i="8"/>
  <c r="Q127" i="8"/>
  <c r="Q154" i="8" s="1"/>
  <c r="Q129" i="8"/>
  <c r="Q156" i="8" s="1"/>
  <c r="R102" i="8"/>
  <c r="R125" i="8"/>
  <c r="R152" i="8" s="1"/>
  <c r="S98" i="8"/>
  <c r="R101" i="8"/>
  <c r="Q128" i="8"/>
  <c r="Q155" i="8" s="1"/>
  <c r="R126" i="8"/>
  <c r="R153" i="8" s="1"/>
  <c r="S99" i="8"/>
  <c r="M94" i="8"/>
  <c r="L121" i="8"/>
  <c r="L148" i="8" s="1"/>
  <c r="L202" i="8" s="1"/>
  <c r="L256" i="8" s="1"/>
  <c r="O91" i="8"/>
  <c r="N118" i="8"/>
  <c r="M120" i="8"/>
  <c r="N93" i="8"/>
  <c r="O92" i="8"/>
  <c r="N119" i="8"/>
  <c r="M95" i="8"/>
  <c r="L122" i="8"/>
  <c r="L149" i="8" s="1"/>
  <c r="L203" i="8" s="1"/>
  <c r="L257" i="8" s="1"/>
  <c r="Q90" i="8"/>
  <c r="P117" i="8"/>
  <c r="A19" i="2"/>
  <c r="O189" i="8"/>
  <c r="N216" i="8"/>
  <c r="N270" i="8" s="1"/>
  <c r="O194" i="8"/>
  <c r="N13" i="14"/>
  <c r="N105" i="14"/>
  <c r="N104" i="14"/>
  <c r="O186" i="8"/>
  <c r="N213" i="8"/>
  <c r="N267" i="8" s="1"/>
  <c r="N217" i="8"/>
  <c r="N271" i="8" s="1"/>
  <c r="O190" i="8"/>
  <c r="O185" i="8"/>
  <c r="N212" i="8"/>
  <c r="N215" i="8"/>
  <c r="N269" i="8" s="1"/>
  <c r="O188" i="8"/>
  <c r="M266" i="8"/>
  <c r="O12" i="14" s="1"/>
  <c r="O11" i="14"/>
  <c r="M89" i="14"/>
  <c r="M88" i="14"/>
  <c r="O191" i="8"/>
  <c r="O176" i="8"/>
  <c r="O173" i="8"/>
  <c r="O175" i="8"/>
  <c r="O174" i="8"/>
  <c r="M270" i="8"/>
  <c r="O193" i="8"/>
  <c r="O187" i="8"/>
  <c r="N214" i="8"/>
  <c r="N268" i="8" s="1"/>
  <c r="Q192" i="8"/>
  <c r="K539" i="2" l="1"/>
  <c r="L539" i="2"/>
  <c r="J539" i="2"/>
  <c r="S516" i="2"/>
  <c r="M478" i="2"/>
  <c r="G430" i="2"/>
  <c r="S407" i="2"/>
  <c r="G419" i="2"/>
  <c r="G423" i="2"/>
  <c r="G417" i="2"/>
  <c r="I451" i="2"/>
  <c r="I491" i="2" s="1"/>
  <c r="I520" i="2" s="1"/>
  <c r="J528" i="2"/>
  <c r="K508" i="2"/>
  <c r="K506" i="2"/>
  <c r="K526" i="2" s="1"/>
  <c r="J526" i="2"/>
  <c r="H251" i="8"/>
  <c r="J338" i="2"/>
  <c r="N477" i="2"/>
  <c r="N474" i="2" s="1"/>
  <c r="O473" i="2"/>
  <c r="M544" i="2"/>
  <c r="M497" i="2"/>
  <c r="L486" i="2"/>
  <c r="L501" i="2" s="1"/>
  <c r="M545" i="2"/>
  <c r="M498" i="2"/>
  <c r="M509" i="2" s="1"/>
  <c r="M529" i="2" s="1"/>
  <c r="I370" i="2"/>
  <c r="I372" i="2"/>
  <c r="I371" i="2"/>
  <c r="I352" i="2"/>
  <c r="I350" i="2" s="1"/>
  <c r="I356" i="2"/>
  <c r="I354" i="2" s="1"/>
  <c r="I358" i="2"/>
  <c r="H521" i="2"/>
  <c r="H369" i="2"/>
  <c r="H104" i="2"/>
  <c r="H105" i="2"/>
  <c r="H13" i="2"/>
  <c r="M543" i="2"/>
  <c r="M496" i="2"/>
  <c r="K511" i="2"/>
  <c r="I12" i="2"/>
  <c r="I339" i="2"/>
  <c r="O476" i="2"/>
  <c r="O472" i="2"/>
  <c r="N470" i="2"/>
  <c r="G502" i="2"/>
  <c r="G503" i="2"/>
  <c r="H438" i="2"/>
  <c r="H391" i="2"/>
  <c r="H402" i="2" s="1"/>
  <c r="M542" i="2"/>
  <c r="M495" i="2"/>
  <c r="M485" i="2"/>
  <c r="G416" i="2"/>
  <c r="G425" i="2"/>
  <c r="G415" i="2"/>
  <c r="G424" i="2"/>
  <c r="G420" i="2"/>
  <c r="M254" i="8"/>
  <c r="O448" i="2" s="1"/>
  <c r="O447" i="2"/>
  <c r="I492" i="2"/>
  <c r="I502" i="2" s="1"/>
  <c r="I548" i="2"/>
  <c r="J527" i="2"/>
  <c r="K507" i="2"/>
  <c r="K527" i="2" s="1"/>
  <c r="M546" i="2"/>
  <c r="M499" i="2"/>
  <c r="K486" i="2"/>
  <c r="K501" i="2" s="1"/>
  <c r="H435" i="2"/>
  <c r="H388" i="2"/>
  <c r="H399" i="2" s="1"/>
  <c r="A20" i="14"/>
  <c r="A21" i="14" s="1"/>
  <c r="A22" i="14" s="1"/>
  <c r="A23" i="14" s="1"/>
  <c r="A24" i="14" s="1"/>
  <c r="A25" i="14" s="1"/>
  <c r="J486" i="2"/>
  <c r="J501" i="2" s="1"/>
  <c r="J512" i="2" s="1"/>
  <c r="J532" i="2" s="1"/>
  <c r="M547" i="2"/>
  <c r="M500" i="2"/>
  <c r="N361" i="2"/>
  <c r="N368" i="2"/>
  <c r="N365" i="2" s="1"/>
  <c r="O364" i="2"/>
  <c r="T367" i="2"/>
  <c r="H434" i="2"/>
  <c r="H387" i="2"/>
  <c r="H398" i="2" s="1"/>
  <c r="G342" i="2"/>
  <c r="G439" i="2" s="1"/>
  <c r="N481" i="2"/>
  <c r="N479" i="2"/>
  <c r="N480" i="2"/>
  <c r="N461" i="2"/>
  <c r="N459" i="2" s="1"/>
  <c r="N465" i="2"/>
  <c r="N463" i="2" s="1"/>
  <c r="N467" i="2"/>
  <c r="J510" i="2"/>
  <c r="I530" i="2"/>
  <c r="G418" i="2"/>
  <c r="M389" i="2"/>
  <c r="M400" i="2" s="1"/>
  <c r="G422" i="2"/>
  <c r="H433" i="2"/>
  <c r="H386" i="2"/>
  <c r="H397" i="2" s="1"/>
  <c r="H376" i="2"/>
  <c r="N146" i="8"/>
  <c r="N200" i="8" s="1"/>
  <c r="P446" i="2"/>
  <c r="N541" i="2"/>
  <c r="N540" i="2"/>
  <c r="N449" i="2"/>
  <c r="M525" i="2"/>
  <c r="M524" i="2"/>
  <c r="M534" i="2"/>
  <c r="M533" i="2"/>
  <c r="H431" i="2"/>
  <c r="H432" i="2"/>
  <c r="H340" i="2"/>
  <c r="H436" i="2"/>
  <c r="S299" i="2"/>
  <c r="R125" i="2"/>
  <c r="AV7" i="6"/>
  <c r="AW7" i="6" s="1"/>
  <c r="AX7" i="6" s="1"/>
  <c r="AY7" i="6" s="1"/>
  <c r="AZ7" i="6" s="1"/>
  <c r="BA7" i="6" s="1"/>
  <c r="BB7" i="6" s="1"/>
  <c r="BC7" i="6" s="1"/>
  <c r="R234" i="2"/>
  <c r="AB234" i="2" s="1"/>
  <c r="Q166" i="2"/>
  <c r="Q177" i="2" s="1"/>
  <c r="Q129" i="2"/>
  <c r="Q408" i="2"/>
  <c r="Q517" i="2"/>
  <c r="T493" i="2"/>
  <c r="T504" i="2" s="1"/>
  <c r="T494" i="2"/>
  <c r="T505" i="2" s="1"/>
  <c r="T515" i="2"/>
  <c r="T518" i="2" s="1"/>
  <c r="T385" i="2"/>
  <c r="T396" i="2" s="1"/>
  <c r="T406" i="2"/>
  <c r="T409" i="2" s="1"/>
  <c r="T514" i="2"/>
  <c r="T384" i="2"/>
  <c r="T395" i="2" s="1"/>
  <c r="T405" i="2"/>
  <c r="Q275" i="2"/>
  <c r="Q286" i="2" s="1"/>
  <c r="Q238" i="2"/>
  <c r="S68" i="2"/>
  <c r="S226" i="2"/>
  <c r="S266" i="2" s="1"/>
  <c r="S444" i="2"/>
  <c r="S335" i="2"/>
  <c r="R375" i="2"/>
  <c r="R484" i="2"/>
  <c r="O255" i="2"/>
  <c r="N259" i="2"/>
  <c r="N252" i="2"/>
  <c r="N251" i="2" s="1"/>
  <c r="N280" i="2" s="1"/>
  <c r="T57" i="8"/>
  <c r="T44" i="8"/>
  <c r="T54" i="8"/>
  <c r="T46" i="8"/>
  <c r="T35" i="8"/>
  <c r="T38" i="8"/>
  <c r="T49" i="8"/>
  <c r="T58" i="8"/>
  <c r="T60" i="8"/>
  <c r="V3" i="14"/>
  <c r="T40" i="8"/>
  <c r="T53" i="8"/>
  <c r="T47" i="8"/>
  <c r="T41" i="8"/>
  <c r="T43" i="8"/>
  <c r="T50" i="8"/>
  <c r="T42" i="8"/>
  <c r="T48" i="8"/>
  <c r="T37" i="8"/>
  <c r="V3" i="2"/>
  <c r="T52" i="8"/>
  <c r="T45" i="8"/>
  <c r="T39" i="8"/>
  <c r="T56" i="8"/>
  <c r="T36" i="8"/>
  <c r="T59" i="8"/>
  <c r="T55" i="8"/>
  <c r="V3" i="11"/>
  <c r="T51" i="8"/>
  <c r="I330" i="2"/>
  <c r="U6" i="8"/>
  <c r="V5" i="8"/>
  <c r="N150" i="2"/>
  <c r="O146" i="2"/>
  <c r="S189" i="2"/>
  <c r="S298" i="2"/>
  <c r="S190" i="2"/>
  <c r="K328" i="2"/>
  <c r="K267" i="2"/>
  <c r="K268" i="2" s="1"/>
  <c r="K283" i="2" s="1"/>
  <c r="K294" i="2" s="1"/>
  <c r="S80" i="2"/>
  <c r="T297" i="2"/>
  <c r="T300" i="2" s="1"/>
  <c r="T275" i="2"/>
  <c r="T276" i="2"/>
  <c r="T287" i="2" s="1"/>
  <c r="T296" i="2"/>
  <c r="T166" i="2"/>
  <c r="T188" i="2"/>
  <c r="T191" i="2" s="1"/>
  <c r="T167" i="2"/>
  <c r="T178" i="2" s="1"/>
  <c r="T187" i="2"/>
  <c r="T57" i="14"/>
  <c r="T68" i="14" s="1"/>
  <c r="T58" i="2"/>
  <c r="T69" i="2" s="1"/>
  <c r="T79" i="11"/>
  <c r="T79" i="14"/>
  <c r="T58" i="14"/>
  <c r="T69" i="14" s="1"/>
  <c r="T78" i="14"/>
  <c r="T57" i="11"/>
  <c r="T68" i="11" s="1"/>
  <c r="T57" i="2"/>
  <c r="T68" i="2" s="1"/>
  <c r="T58" i="11"/>
  <c r="T69" i="11" s="1"/>
  <c r="AX14" i="6"/>
  <c r="T78" i="2"/>
  <c r="T79" i="2"/>
  <c r="T78" i="11"/>
  <c r="AW15" i="6"/>
  <c r="S80" i="14"/>
  <c r="J170" i="8"/>
  <c r="I197" i="8"/>
  <c r="K280" i="2"/>
  <c r="K291" i="2" s="1"/>
  <c r="K327" i="2"/>
  <c r="M257" i="2"/>
  <c r="L258" i="2"/>
  <c r="L256" i="2" s="1"/>
  <c r="L251" i="2" s="1"/>
  <c r="J233" i="2"/>
  <c r="J274" i="2" s="1"/>
  <c r="J284" i="2" s="1"/>
  <c r="K309" i="2"/>
  <c r="J314" i="2"/>
  <c r="K313" i="2"/>
  <c r="M243" i="2"/>
  <c r="M241" i="2" s="1"/>
  <c r="M261" i="2"/>
  <c r="M247" i="2"/>
  <c r="M245" i="2" s="1"/>
  <c r="M262" i="2"/>
  <c r="M249" i="2"/>
  <c r="M263" i="2"/>
  <c r="J312" i="2"/>
  <c r="K292" i="2"/>
  <c r="M322" i="2"/>
  <c r="M323" i="2"/>
  <c r="M327" i="2"/>
  <c r="L279" i="2"/>
  <c r="L290" i="2" s="1"/>
  <c r="L310" i="2" s="1"/>
  <c r="L326" i="2"/>
  <c r="P144" i="8"/>
  <c r="R228" i="2"/>
  <c r="N145" i="8"/>
  <c r="P119" i="2"/>
  <c r="P145" i="2" s="1"/>
  <c r="L252" i="8"/>
  <c r="N230" i="2" s="1"/>
  <c r="N229" i="2"/>
  <c r="L260" i="2"/>
  <c r="K308" i="2"/>
  <c r="L278" i="2"/>
  <c r="L289" i="2" s="1"/>
  <c r="L325" i="2"/>
  <c r="I273" i="2"/>
  <c r="I302" i="2" s="1"/>
  <c r="I303" i="2" s="1"/>
  <c r="I274" i="2"/>
  <c r="I284" i="2" s="1"/>
  <c r="L277" i="2"/>
  <c r="L288" i="2" s="1"/>
  <c r="L324" i="2"/>
  <c r="H284" i="2"/>
  <c r="H285" i="2"/>
  <c r="M231" i="2"/>
  <c r="L306" i="2"/>
  <c r="L307" i="2"/>
  <c r="L316" i="2"/>
  <c r="L315" i="2"/>
  <c r="L329" i="2"/>
  <c r="L282" i="2"/>
  <c r="L293" i="2" s="1"/>
  <c r="Q254" i="2"/>
  <c r="T8" i="11"/>
  <c r="U1" i="11"/>
  <c r="S117" i="2"/>
  <c r="S157" i="2" s="1"/>
  <c r="Q4" i="8"/>
  <c r="S8" i="2"/>
  <c r="T1" i="2"/>
  <c r="AX5" i="6"/>
  <c r="S1" i="8"/>
  <c r="V2" i="2"/>
  <c r="H164" i="2"/>
  <c r="H193" i="2" s="1"/>
  <c r="H194" i="2" s="1"/>
  <c r="H208" i="2" s="1"/>
  <c r="H165" i="2"/>
  <c r="H175" i="2" s="1"/>
  <c r="J199" i="2"/>
  <c r="J204" i="2"/>
  <c r="L214" i="2"/>
  <c r="L213" i="2"/>
  <c r="L122" i="2"/>
  <c r="K173" i="2"/>
  <c r="K184" i="2" s="1"/>
  <c r="K220" i="2"/>
  <c r="N148" i="2"/>
  <c r="M149" i="2"/>
  <c r="M147" i="2" s="1"/>
  <c r="M142" i="2" s="1"/>
  <c r="J200" i="2"/>
  <c r="J172" i="2"/>
  <c r="J183" i="2" s="1"/>
  <c r="J219" i="2"/>
  <c r="J212" i="2" s="1"/>
  <c r="K253" i="8"/>
  <c r="M121" i="2" s="1"/>
  <c r="M120" i="2"/>
  <c r="L171" i="2"/>
  <c r="L182" i="2" s="1"/>
  <c r="L218" i="2"/>
  <c r="M172" i="8"/>
  <c r="L199" i="8"/>
  <c r="K151" i="2"/>
  <c r="K158" i="2" s="1"/>
  <c r="J158" i="2"/>
  <c r="K217" i="2"/>
  <c r="K170" i="2"/>
  <c r="K181" i="2" s="1"/>
  <c r="K201" i="2" s="1"/>
  <c r="K169" i="2"/>
  <c r="K180" i="2" s="1"/>
  <c r="K216" i="2"/>
  <c r="J63" i="11"/>
  <c r="J74" i="11" s="1"/>
  <c r="J94" i="11" s="1"/>
  <c r="S144" i="2"/>
  <c r="K168" i="2"/>
  <c r="K179" i="2" s="1"/>
  <c r="K215" i="2"/>
  <c r="G196" i="2"/>
  <c r="G210" i="2" s="1"/>
  <c r="I124" i="2"/>
  <c r="I221" i="2" s="1"/>
  <c r="K197" i="2"/>
  <c r="K198" i="2"/>
  <c r="K207" i="2"/>
  <c r="K206" i="2"/>
  <c r="K202" i="2"/>
  <c r="L134" i="2"/>
  <c r="L132" i="2" s="1"/>
  <c r="L138" i="2"/>
  <c r="L136" i="2" s="1"/>
  <c r="L152" i="2"/>
  <c r="L153" i="2"/>
  <c r="L140" i="2"/>
  <c r="L154" i="2"/>
  <c r="J195" i="8"/>
  <c r="I222" i="8"/>
  <c r="I276" i="8" s="1"/>
  <c r="J177" i="8"/>
  <c r="I204" i="8"/>
  <c r="I258" i="8" s="1"/>
  <c r="I211" i="8"/>
  <c r="I265" i="8" s="1"/>
  <c r="J184" i="8"/>
  <c r="I209" i="8"/>
  <c r="I263" i="8" s="1"/>
  <c r="J182" i="8"/>
  <c r="M147" i="8"/>
  <c r="M201" i="8" s="1"/>
  <c r="M255" i="8" s="1"/>
  <c r="O10" i="2"/>
  <c r="A23" i="11"/>
  <c r="A24" i="11" s="1"/>
  <c r="M11" i="2"/>
  <c r="L13" i="11"/>
  <c r="L104" i="11"/>
  <c r="L103" i="11" s="1"/>
  <c r="L105" i="11"/>
  <c r="K89" i="11"/>
  <c r="K88" i="11"/>
  <c r="M198" i="8"/>
  <c r="N171" i="8"/>
  <c r="L43" i="11"/>
  <c r="L44" i="11"/>
  <c r="L45" i="11"/>
  <c r="M178" i="8"/>
  <c r="L205" i="8"/>
  <c r="K64" i="11"/>
  <c r="K75" i="11" s="1"/>
  <c r="K95" i="11" s="1"/>
  <c r="K111" i="11"/>
  <c r="K183" i="8"/>
  <c r="J210" i="8"/>
  <c r="J264" i="8" s="1"/>
  <c r="K259" i="8"/>
  <c r="M12" i="11" s="1"/>
  <c r="M11" i="11"/>
  <c r="L206" i="8"/>
  <c r="L260" i="8" s="1"/>
  <c r="M179" i="8"/>
  <c r="K42" i="11"/>
  <c r="K208" i="8"/>
  <c r="K262" i="8" s="1"/>
  <c r="L181" i="8"/>
  <c r="L180" i="8"/>
  <c r="K207" i="8"/>
  <c r="K261" i="8" s="1"/>
  <c r="P158" i="8"/>
  <c r="R10" i="14"/>
  <c r="T62" i="8"/>
  <c r="S116" i="8"/>
  <c r="U337" i="2" s="1"/>
  <c r="U367" i="2" s="1"/>
  <c r="Q151" i="8"/>
  <c r="S10" i="11"/>
  <c r="R143" i="8"/>
  <c r="R77" i="8"/>
  <c r="Q131" i="8"/>
  <c r="S70" i="8"/>
  <c r="R124" i="8"/>
  <c r="R87" i="8"/>
  <c r="Q141" i="8"/>
  <c r="Q168" i="8" s="1"/>
  <c r="Q130" i="8"/>
  <c r="Q157" i="8" s="1"/>
  <c r="R76" i="8"/>
  <c r="R69" i="8"/>
  <c r="Q123" i="8"/>
  <c r="Q150" i="8" s="1"/>
  <c r="O111" i="8"/>
  <c r="N138" i="8"/>
  <c r="N165" i="8" s="1"/>
  <c r="N219" i="8" s="1"/>
  <c r="N273" i="8" s="1"/>
  <c r="P110" i="8"/>
  <c r="O137" i="8"/>
  <c r="O164" i="8" s="1"/>
  <c r="N112" i="8"/>
  <c r="M139" i="8"/>
  <c r="M166" i="8" s="1"/>
  <c r="M220" i="8" s="1"/>
  <c r="M274" i="8" s="1"/>
  <c r="N113" i="8"/>
  <c r="M140" i="8"/>
  <c r="M167" i="8" s="1"/>
  <c r="M221" i="8" s="1"/>
  <c r="M275" i="8" s="1"/>
  <c r="P136" i="8"/>
  <c r="P163" i="8" s="1"/>
  <c r="Q109" i="8"/>
  <c r="Q133" i="8"/>
  <c r="Q160" i="8" s="1"/>
  <c r="R106" i="8"/>
  <c r="R135" i="8"/>
  <c r="R162" i="8" s="1"/>
  <c r="S108" i="8"/>
  <c r="Q132" i="8"/>
  <c r="Q159" i="8" s="1"/>
  <c r="R105" i="8"/>
  <c r="R107" i="8"/>
  <c r="Q134" i="8"/>
  <c r="Q161" i="8" s="1"/>
  <c r="S125" i="8"/>
  <c r="S152" i="8" s="1"/>
  <c r="T98" i="8"/>
  <c r="S126" i="8"/>
  <c r="S153" i="8" s="1"/>
  <c r="T99" i="8"/>
  <c r="R129" i="8"/>
  <c r="R156" i="8" s="1"/>
  <c r="S102" i="8"/>
  <c r="S101" i="8"/>
  <c r="R128" i="8"/>
  <c r="R155" i="8" s="1"/>
  <c r="S100" i="8"/>
  <c r="R127" i="8"/>
  <c r="R154" i="8" s="1"/>
  <c r="M121" i="8"/>
  <c r="M148" i="8" s="1"/>
  <c r="M202" i="8" s="1"/>
  <c r="M256" i="8" s="1"/>
  <c r="N94" i="8"/>
  <c r="N120" i="8"/>
  <c r="O93" i="8"/>
  <c r="O118" i="8"/>
  <c r="P91" i="8"/>
  <c r="P92" i="8"/>
  <c r="O119" i="8"/>
  <c r="M122" i="8"/>
  <c r="M149" i="8" s="1"/>
  <c r="M203" i="8" s="1"/>
  <c r="M257" i="8" s="1"/>
  <c r="N95" i="8"/>
  <c r="R90" i="8"/>
  <c r="Q117" i="8"/>
  <c r="A20" i="2"/>
  <c r="O214" i="8"/>
  <c r="O268" i="8" s="1"/>
  <c r="P187" i="8"/>
  <c r="P11" i="14"/>
  <c r="N266" i="8"/>
  <c r="P12" i="14" s="1"/>
  <c r="P186" i="8"/>
  <c r="O213" i="8"/>
  <c r="O267" i="8" s="1"/>
  <c r="P194" i="8"/>
  <c r="O218" i="8"/>
  <c r="O272" i="8" s="1"/>
  <c r="P191" i="8"/>
  <c r="P185" i="8"/>
  <c r="O212" i="8"/>
  <c r="P176" i="8"/>
  <c r="P193" i="8"/>
  <c r="P174" i="8"/>
  <c r="P173" i="8"/>
  <c r="P188" i="8"/>
  <c r="O215" i="8"/>
  <c r="O269" i="8" s="1"/>
  <c r="P189" i="8"/>
  <c r="O216" i="8"/>
  <c r="P190" i="8"/>
  <c r="O217" i="8"/>
  <c r="O271" i="8" s="1"/>
  <c r="P175" i="8"/>
  <c r="N88" i="14"/>
  <c r="N89" i="14"/>
  <c r="O104" i="14"/>
  <c r="O105" i="14"/>
  <c r="O13" i="14"/>
  <c r="R192" i="8"/>
  <c r="N469" i="2" l="1"/>
  <c r="N360" i="2"/>
  <c r="M539" i="2"/>
  <c r="F24" i="14"/>
  <c r="G24" i="14" s="1"/>
  <c r="H24" i="14" s="1"/>
  <c r="T299" i="2"/>
  <c r="J451" i="2"/>
  <c r="J548" i="2" s="1"/>
  <c r="L506" i="2"/>
  <c r="L526" i="2" s="1"/>
  <c r="K512" i="2"/>
  <c r="K532" i="2" s="1"/>
  <c r="N525" i="2"/>
  <c r="N524" i="2"/>
  <c r="N534" i="2"/>
  <c r="N533" i="2"/>
  <c r="O361" i="2"/>
  <c r="O368" i="2"/>
  <c r="O365" i="2" s="1"/>
  <c r="O360" i="2" s="1"/>
  <c r="P364" i="2"/>
  <c r="N545" i="2"/>
  <c r="N498" i="2"/>
  <c r="N509" i="2" s="1"/>
  <c r="N529" i="2" s="1"/>
  <c r="O146" i="8"/>
  <c r="O200" i="8" s="1"/>
  <c r="Q446" i="2"/>
  <c r="N543" i="2"/>
  <c r="N496" i="2"/>
  <c r="U363" i="2"/>
  <c r="I435" i="2"/>
  <c r="I388" i="2"/>
  <c r="I399" i="2" s="1"/>
  <c r="L451" i="2"/>
  <c r="O477" i="2"/>
  <c r="O474" i="2" s="1"/>
  <c r="P473" i="2"/>
  <c r="I251" i="8"/>
  <c r="K338" i="2"/>
  <c r="H425" i="2"/>
  <c r="H416" i="2"/>
  <c r="H415" i="2"/>
  <c r="H424" i="2"/>
  <c r="H420" i="2"/>
  <c r="N389" i="2"/>
  <c r="N400" i="2" s="1"/>
  <c r="H419" i="2"/>
  <c r="I104" i="2"/>
  <c r="I13" i="2"/>
  <c r="I105" i="2"/>
  <c r="I433" i="2"/>
  <c r="I386" i="2"/>
  <c r="I397" i="2" s="1"/>
  <c r="J371" i="2"/>
  <c r="J372" i="2"/>
  <c r="J370" i="2"/>
  <c r="J352" i="2"/>
  <c r="J350" i="2" s="1"/>
  <c r="J356" i="2"/>
  <c r="J354" i="2" s="1"/>
  <c r="J358" i="2"/>
  <c r="H422" i="2"/>
  <c r="N478" i="2"/>
  <c r="N485" i="2" s="1"/>
  <c r="G523" i="2"/>
  <c r="G537" i="2" s="1"/>
  <c r="H503" i="2"/>
  <c r="H88" i="2"/>
  <c r="H89" i="2"/>
  <c r="J12" i="2"/>
  <c r="J339" i="2"/>
  <c r="N542" i="2"/>
  <c r="N495" i="2"/>
  <c r="I434" i="2"/>
  <c r="I387" i="2"/>
  <c r="I398" i="2" s="1"/>
  <c r="P472" i="2"/>
  <c r="P476" i="2"/>
  <c r="N547" i="2"/>
  <c r="N500" i="2"/>
  <c r="K451" i="2"/>
  <c r="K531" i="2"/>
  <c r="L511" i="2"/>
  <c r="L531" i="2" s="1"/>
  <c r="I438" i="2"/>
  <c r="I391" i="2"/>
  <c r="I402" i="2" s="1"/>
  <c r="I340" i="2"/>
  <c r="I431" i="2"/>
  <c r="I432" i="2"/>
  <c r="I436" i="2"/>
  <c r="N254" i="8"/>
  <c r="P448" i="2" s="1"/>
  <c r="P447" i="2"/>
  <c r="G382" i="2"/>
  <c r="G411" i="2" s="1"/>
  <c r="G412" i="2" s="1"/>
  <c r="G426" i="2" s="1"/>
  <c r="G383" i="2"/>
  <c r="O480" i="2"/>
  <c r="O479" i="2"/>
  <c r="O481" i="2"/>
  <c r="O461" i="2"/>
  <c r="O459" i="2" s="1"/>
  <c r="O465" i="2"/>
  <c r="O463" i="2" s="1"/>
  <c r="O467" i="2"/>
  <c r="M486" i="2"/>
  <c r="M501" i="2" s="1"/>
  <c r="I369" i="2"/>
  <c r="I376" i="2" s="1"/>
  <c r="H377" i="2"/>
  <c r="H392" i="2" s="1"/>
  <c r="H403" i="2" s="1"/>
  <c r="H423" i="2" s="1"/>
  <c r="K510" i="2"/>
  <c r="J530" i="2"/>
  <c r="H418" i="2"/>
  <c r="J492" i="2"/>
  <c r="J502" i="2" s="1"/>
  <c r="J491" i="2"/>
  <c r="J520" i="2" s="1"/>
  <c r="O541" i="2"/>
  <c r="O540" i="2"/>
  <c r="O449" i="2"/>
  <c r="M506" i="2"/>
  <c r="M526" i="2" s="1"/>
  <c r="H437" i="2"/>
  <c r="H430" i="2" s="1"/>
  <c r="H390" i="2"/>
  <c r="H401" i="2" s="1"/>
  <c r="L507" i="2"/>
  <c r="L527" i="2" s="1"/>
  <c r="K528" i="2"/>
  <c r="L508" i="2"/>
  <c r="H417" i="2"/>
  <c r="N544" i="2"/>
  <c r="N497" i="2"/>
  <c r="O470" i="2"/>
  <c r="H535" i="2"/>
  <c r="I521" i="2"/>
  <c r="I535" i="2" s="1"/>
  <c r="T516" i="2"/>
  <c r="T407" i="2"/>
  <c r="U493" i="2"/>
  <c r="U504" i="2" s="1"/>
  <c r="U494" i="2"/>
  <c r="U505" i="2" s="1"/>
  <c r="U515" i="2"/>
  <c r="U518" i="2" s="1"/>
  <c r="U514" i="2"/>
  <c r="U385" i="2"/>
  <c r="U396" i="2" s="1"/>
  <c r="U406" i="2"/>
  <c r="U409" i="2" s="1"/>
  <c r="U384" i="2"/>
  <c r="U395" i="2" s="1"/>
  <c r="U405" i="2"/>
  <c r="R517" i="2"/>
  <c r="R408" i="2"/>
  <c r="R275" i="2"/>
  <c r="R286" i="2" s="1"/>
  <c r="S286" i="2" s="1"/>
  <c r="T286" i="2" s="1"/>
  <c r="R238" i="2"/>
  <c r="AA238" i="2"/>
  <c r="T80" i="14"/>
  <c r="T80" i="11"/>
  <c r="R129" i="2"/>
  <c r="AA129" i="2"/>
  <c r="AB125" i="2"/>
  <c r="R166" i="2"/>
  <c r="R177" i="2" s="1"/>
  <c r="S177" i="2" s="1"/>
  <c r="T177" i="2" s="1"/>
  <c r="S375" i="2"/>
  <c r="S484" i="2"/>
  <c r="T226" i="2"/>
  <c r="T266" i="2" s="1"/>
  <c r="T444" i="2"/>
  <c r="T335" i="2"/>
  <c r="O150" i="2"/>
  <c r="P146" i="2"/>
  <c r="P143" i="2" s="1"/>
  <c r="V6" i="8"/>
  <c r="W5" i="8"/>
  <c r="O143" i="2"/>
  <c r="U37" i="8"/>
  <c r="U59" i="8"/>
  <c r="U41" i="8"/>
  <c r="U53" i="8"/>
  <c r="U52" i="8"/>
  <c r="U54" i="8"/>
  <c r="U51" i="8"/>
  <c r="U40" i="8"/>
  <c r="U38" i="8"/>
  <c r="U58" i="8"/>
  <c r="U50" i="8"/>
  <c r="U35" i="8"/>
  <c r="U42" i="8"/>
  <c r="U47" i="8"/>
  <c r="W3" i="14"/>
  <c r="U60" i="8"/>
  <c r="U57" i="8"/>
  <c r="U45" i="8"/>
  <c r="U56" i="8"/>
  <c r="U44" i="8"/>
  <c r="U39" i="8"/>
  <c r="U46" i="8"/>
  <c r="U43" i="8"/>
  <c r="U48" i="8"/>
  <c r="W3" i="2"/>
  <c r="U36" i="8"/>
  <c r="W3" i="11"/>
  <c r="U49" i="8"/>
  <c r="U55" i="8"/>
  <c r="P255" i="2"/>
  <c r="O259" i="2"/>
  <c r="O252" i="2"/>
  <c r="K321" i="2"/>
  <c r="T80" i="2"/>
  <c r="T189" i="2"/>
  <c r="L267" i="2"/>
  <c r="L268" i="2" s="1"/>
  <c r="L283" i="2" s="1"/>
  <c r="L294" i="2" s="1"/>
  <c r="U297" i="2"/>
  <c r="U300" i="2" s="1"/>
  <c r="U296" i="2"/>
  <c r="U276" i="2"/>
  <c r="U287" i="2" s="1"/>
  <c r="U275" i="2"/>
  <c r="U166" i="2"/>
  <c r="U188" i="2"/>
  <c r="U191" i="2" s="1"/>
  <c r="U167" i="2"/>
  <c r="U178" i="2" s="1"/>
  <c r="U187" i="2"/>
  <c r="U57" i="14"/>
  <c r="U68" i="14" s="1"/>
  <c r="U57" i="2"/>
  <c r="U68" i="2" s="1"/>
  <c r="U79" i="14"/>
  <c r="U58" i="14"/>
  <c r="U69" i="14" s="1"/>
  <c r="U57" i="11"/>
  <c r="U68" i="11" s="1"/>
  <c r="U58" i="2"/>
  <c r="U69" i="2" s="1"/>
  <c r="U78" i="14"/>
  <c r="U58" i="11"/>
  <c r="U69" i="11" s="1"/>
  <c r="U79" i="11"/>
  <c r="AY14" i="6"/>
  <c r="U79" i="2"/>
  <c r="U78" i="11"/>
  <c r="U78" i="2"/>
  <c r="AX15" i="6"/>
  <c r="T298" i="2"/>
  <c r="T190" i="2"/>
  <c r="J273" i="2"/>
  <c r="J302" i="2" s="1"/>
  <c r="J303" i="2" s="1"/>
  <c r="J330" i="2"/>
  <c r="L280" i="2"/>
  <c r="L291" i="2" s="1"/>
  <c r="L327" i="2"/>
  <c r="K311" i="2"/>
  <c r="N257" i="2"/>
  <c r="M258" i="2"/>
  <c r="M256" i="2" s="1"/>
  <c r="J197" i="8"/>
  <c r="K170" i="8"/>
  <c r="Q144" i="8"/>
  <c r="S228" i="2"/>
  <c r="L308" i="2"/>
  <c r="L313" i="2"/>
  <c r="K314" i="2"/>
  <c r="L309" i="2"/>
  <c r="R254" i="2"/>
  <c r="M277" i="2"/>
  <c r="M288" i="2" s="1"/>
  <c r="M324" i="2"/>
  <c r="M252" i="8"/>
  <c r="O230" i="2" s="1"/>
  <c r="O229" i="2"/>
  <c r="N231" i="2"/>
  <c r="M307" i="2"/>
  <c r="M306" i="2"/>
  <c r="M316" i="2"/>
  <c r="M315" i="2"/>
  <c r="H305" i="2"/>
  <c r="H319" i="2" s="1"/>
  <c r="I285" i="2"/>
  <c r="L281" i="2"/>
  <c r="L292" i="2" s="1"/>
  <c r="L328" i="2"/>
  <c r="M329" i="2"/>
  <c r="M282" i="2"/>
  <c r="M293" i="2" s="1"/>
  <c r="N243" i="2"/>
  <c r="N241" i="2" s="1"/>
  <c r="N261" i="2"/>
  <c r="N262" i="2"/>
  <c r="N247" i="2"/>
  <c r="N245" i="2" s="1"/>
  <c r="N249" i="2"/>
  <c r="N263" i="2"/>
  <c r="M279" i="2"/>
  <c r="M290" i="2" s="1"/>
  <c r="M310" i="2" s="1"/>
  <c r="M326" i="2"/>
  <c r="O145" i="8"/>
  <c r="Q119" i="2"/>
  <c r="Q145" i="2" s="1"/>
  <c r="I317" i="2"/>
  <c r="N322" i="2"/>
  <c r="N323" i="2"/>
  <c r="N327" i="2"/>
  <c r="M325" i="2"/>
  <c r="M278" i="2"/>
  <c r="M289" i="2" s="1"/>
  <c r="K233" i="2"/>
  <c r="K312" i="2"/>
  <c r="M260" i="2"/>
  <c r="H176" i="2"/>
  <c r="H196" i="2" s="1"/>
  <c r="H210" i="2" s="1"/>
  <c r="U8" i="11"/>
  <c r="V1" i="11"/>
  <c r="L151" i="2"/>
  <c r="L158" i="2" s="1"/>
  <c r="AY5" i="6"/>
  <c r="W2" i="2"/>
  <c r="T1" i="8"/>
  <c r="T117" i="2"/>
  <c r="T157" i="2" s="1"/>
  <c r="R4" i="8"/>
  <c r="T8" i="2"/>
  <c r="U1" i="2"/>
  <c r="K199" i="2"/>
  <c r="K200" i="2"/>
  <c r="L216" i="2"/>
  <c r="L169" i="2"/>
  <c r="L180" i="2" s="1"/>
  <c r="L253" i="8"/>
  <c r="N121" i="2" s="1"/>
  <c r="N120" i="2"/>
  <c r="J203" i="2"/>
  <c r="L168" i="2"/>
  <c r="L179" i="2" s="1"/>
  <c r="L215" i="2"/>
  <c r="N172" i="8"/>
  <c r="M199" i="8"/>
  <c r="L197" i="2"/>
  <c r="L198" i="2"/>
  <c r="L207" i="2"/>
  <c r="L206" i="2"/>
  <c r="M218" i="2"/>
  <c r="M171" i="2"/>
  <c r="M182" i="2" s="1"/>
  <c r="L220" i="2"/>
  <c r="L173" i="2"/>
  <c r="L184" i="2" s="1"/>
  <c r="L202" i="2"/>
  <c r="O148" i="2"/>
  <c r="N149" i="2"/>
  <c r="N147" i="2" s="1"/>
  <c r="N142" i="2" s="1"/>
  <c r="K204" i="2"/>
  <c r="K159" i="2"/>
  <c r="K174" i="2" s="1"/>
  <c r="L217" i="2"/>
  <c r="L170" i="2"/>
  <c r="L181" i="2" s="1"/>
  <c r="L201" i="2" s="1"/>
  <c r="J159" i="2"/>
  <c r="J174" i="2" s="1"/>
  <c r="J185" i="2" s="1"/>
  <c r="J205" i="2" s="1"/>
  <c r="M134" i="2"/>
  <c r="M132" i="2" s="1"/>
  <c r="M138" i="2"/>
  <c r="M136" i="2" s="1"/>
  <c r="M152" i="2"/>
  <c r="M153" i="2"/>
  <c r="M140" i="2"/>
  <c r="M154" i="2"/>
  <c r="T144" i="2"/>
  <c r="M214" i="2"/>
  <c r="M213" i="2"/>
  <c r="M122" i="2"/>
  <c r="I164" i="2"/>
  <c r="I193" i="2" s="1"/>
  <c r="I194" i="2" s="1"/>
  <c r="I208" i="2" s="1"/>
  <c r="I165" i="2"/>
  <c r="I175" i="2" s="1"/>
  <c r="K172" i="2"/>
  <c r="K183" i="2" s="1"/>
  <c r="K219" i="2"/>
  <c r="K212" i="2" s="1"/>
  <c r="K182" i="8"/>
  <c r="J209" i="8"/>
  <c r="J263" i="8" s="1"/>
  <c r="K184" i="8"/>
  <c r="J211" i="8"/>
  <c r="J265" i="8" s="1"/>
  <c r="K177" i="8"/>
  <c r="J204" i="8"/>
  <c r="J258" i="8" s="1"/>
  <c r="K195" i="8"/>
  <c r="J222" i="8"/>
  <c r="J276" i="8" s="1"/>
  <c r="N147" i="8"/>
  <c r="N201" i="8" s="1"/>
  <c r="N255" i="8" s="1"/>
  <c r="P10" i="2"/>
  <c r="L42" i="11"/>
  <c r="L63" i="11" s="1"/>
  <c r="A26" i="14"/>
  <c r="A25" i="11"/>
  <c r="F24" i="11"/>
  <c r="G24" i="11" s="1"/>
  <c r="M43" i="11"/>
  <c r="M45" i="11"/>
  <c r="M44" i="11"/>
  <c r="L259" i="8"/>
  <c r="N12" i="11" s="1"/>
  <c r="N11" i="11"/>
  <c r="N198" i="8"/>
  <c r="O171" i="8"/>
  <c r="N11" i="2"/>
  <c r="L111" i="11"/>
  <c r="L64" i="11"/>
  <c r="L75" i="11" s="1"/>
  <c r="L95" i="11" s="1"/>
  <c r="L208" i="8"/>
  <c r="L262" i="8" s="1"/>
  <c r="M181" i="8"/>
  <c r="K210" i="8"/>
  <c r="K264" i="8" s="1"/>
  <c r="L183" i="8"/>
  <c r="K110" i="11"/>
  <c r="K63" i="11"/>
  <c r="K74" i="11" s="1"/>
  <c r="N178" i="8"/>
  <c r="M205" i="8"/>
  <c r="L207" i="8"/>
  <c r="L261" i="8" s="1"/>
  <c r="M180" i="8"/>
  <c r="M105" i="11"/>
  <c r="M13" i="11"/>
  <c r="M104" i="11"/>
  <c r="M103" i="11" s="1"/>
  <c r="N179" i="8"/>
  <c r="M206" i="8"/>
  <c r="M260" i="8" s="1"/>
  <c r="L88" i="11"/>
  <c r="L89" i="11"/>
  <c r="T70" i="8"/>
  <c r="S124" i="8"/>
  <c r="Q158" i="8"/>
  <c r="S10" i="14"/>
  <c r="S143" i="8"/>
  <c r="S77" i="8"/>
  <c r="R131" i="8"/>
  <c r="T116" i="8"/>
  <c r="V337" i="2" s="1"/>
  <c r="V367" i="2" s="1"/>
  <c r="U62" i="8"/>
  <c r="R151" i="8"/>
  <c r="T10" i="11"/>
  <c r="R141" i="8"/>
  <c r="R168" i="8" s="1"/>
  <c r="S87" i="8"/>
  <c r="S76" i="8"/>
  <c r="R130" i="8"/>
  <c r="R157" i="8" s="1"/>
  <c r="S69" i="8"/>
  <c r="R123" i="8"/>
  <c r="R150" i="8" s="1"/>
  <c r="R109" i="8"/>
  <c r="Q136" i="8"/>
  <c r="Q163" i="8" s="1"/>
  <c r="P111" i="8"/>
  <c r="O138" i="8"/>
  <c r="O165" i="8" s="1"/>
  <c r="O219" i="8" s="1"/>
  <c r="O273" i="8" s="1"/>
  <c r="O113" i="8"/>
  <c r="N140" i="8"/>
  <c r="N167" i="8" s="1"/>
  <c r="N221" i="8" s="1"/>
  <c r="N275" i="8" s="1"/>
  <c r="O112" i="8"/>
  <c r="N139" i="8"/>
  <c r="N166" i="8" s="1"/>
  <c r="N220" i="8" s="1"/>
  <c r="N274" i="8" s="1"/>
  <c r="P137" i="8"/>
  <c r="P164" i="8" s="1"/>
  <c r="P218" i="8" s="1"/>
  <c r="P272" i="8" s="1"/>
  <c r="Q110" i="8"/>
  <c r="R132" i="8"/>
  <c r="R159" i="8" s="1"/>
  <c r="S105" i="8"/>
  <c r="T108" i="8"/>
  <c r="S135" i="8"/>
  <c r="S162" i="8" s="1"/>
  <c r="S106" i="8"/>
  <c r="R133" i="8"/>
  <c r="R160" i="8" s="1"/>
  <c r="S107" i="8"/>
  <c r="R134" i="8"/>
  <c r="R161" i="8" s="1"/>
  <c r="T101" i="8"/>
  <c r="S128" i="8"/>
  <c r="S155" i="8" s="1"/>
  <c r="T102" i="8"/>
  <c r="S129" i="8"/>
  <c r="S156" i="8" s="1"/>
  <c r="U99" i="8"/>
  <c r="T126" i="8"/>
  <c r="T153" i="8" s="1"/>
  <c r="T125" i="8"/>
  <c r="T152" i="8" s="1"/>
  <c r="U98" i="8"/>
  <c r="S127" i="8"/>
  <c r="S154" i="8" s="1"/>
  <c r="T100" i="8"/>
  <c r="P119" i="8"/>
  <c r="Q92" i="8"/>
  <c r="Q91" i="8"/>
  <c r="P118" i="8"/>
  <c r="O120" i="8"/>
  <c r="P93" i="8"/>
  <c r="O95" i="8"/>
  <c r="N122" i="8"/>
  <c r="N149" i="8" s="1"/>
  <c r="N203" i="8" s="1"/>
  <c r="N257" i="8" s="1"/>
  <c r="O94" i="8"/>
  <c r="N121" i="8"/>
  <c r="N148" i="8" s="1"/>
  <c r="N202" i="8" s="1"/>
  <c r="N256" i="8" s="1"/>
  <c r="S90" i="8"/>
  <c r="R117" i="8"/>
  <c r="A21" i="2"/>
  <c r="A22" i="2" s="1"/>
  <c r="A23" i="2" s="1"/>
  <c r="A24" i="2" s="1"/>
  <c r="Q176" i="8"/>
  <c r="Q188" i="8"/>
  <c r="P215" i="8"/>
  <c r="P269" i="8" s="1"/>
  <c r="Q173" i="8"/>
  <c r="O266" i="8"/>
  <c r="Q12" i="14" s="1"/>
  <c r="Q11" i="14"/>
  <c r="Q186" i="8"/>
  <c r="P213" i="8"/>
  <c r="P267" i="8" s="1"/>
  <c r="Q175" i="8"/>
  <c r="Q174" i="8"/>
  <c r="P212" i="8"/>
  <c r="Q185" i="8"/>
  <c r="Q191" i="8"/>
  <c r="Q190" i="8"/>
  <c r="P217" i="8"/>
  <c r="P271" i="8" s="1"/>
  <c r="O270" i="8"/>
  <c r="Q193" i="8"/>
  <c r="P104" i="14"/>
  <c r="P105" i="14"/>
  <c r="P13" i="14"/>
  <c r="P214" i="8"/>
  <c r="P268" i="8" s="1"/>
  <c r="Q187" i="8"/>
  <c r="Q189" i="8"/>
  <c r="P216" i="8"/>
  <c r="P270" i="8" s="1"/>
  <c r="Q194" i="8"/>
  <c r="O88" i="14"/>
  <c r="O89" i="14"/>
  <c r="S192" i="8"/>
  <c r="O469" i="2" l="1"/>
  <c r="G25" i="14"/>
  <c r="U299" i="2"/>
  <c r="U190" i="2"/>
  <c r="L512" i="2"/>
  <c r="L532" i="2" s="1"/>
  <c r="V363" i="2"/>
  <c r="J369" i="2"/>
  <c r="J437" i="2" s="1"/>
  <c r="M451" i="2"/>
  <c r="M491" i="2" s="1"/>
  <c r="M520" i="2" s="1"/>
  <c r="M511" i="2"/>
  <c r="M531" i="2" s="1"/>
  <c r="O478" i="2"/>
  <c r="I422" i="2"/>
  <c r="I417" i="2"/>
  <c r="O534" i="2"/>
  <c r="O525" i="2"/>
  <c r="O524" i="2"/>
  <c r="O533" i="2"/>
  <c r="I418" i="2"/>
  <c r="J432" i="2"/>
  <c r="J340" i="2"/>
  <c r="J431" i="2"/>
  <c r="J436" i="2"/>
  <c r="K371" i="2"/>
  <c r="K372" i="2"/>
  <c r="K370" i="2"/>
  <c r="K352" i="2"/>
  <c r="K350" i="2" s="1"/>
  <c r="K356" i="2"/>
  <c r="K354" i="2" s="1"/>
  <c r="K358" i="2"/>
  <c r="P361" i="2"/>
  <c r="Q364" i="2"/>
  <c r="P368" i="2"/>
  <c r="P365" i="2" s="1"/>
  <c r="P360" i="2" s="1"/>
  <c r="I415" i="2"/>
  <c r="I416" i="2"/>
  <c r="I425" i="2"/>
  <c r="I424" i="2"/>
  <c r="I420" i="2"/>
  <c r="P146" i="8"/>
  <c r="P200" i="8" s="1"/>
  <c r="R446" i="2"/>
  <c r="O544" i="2"/>
  <c r="O497" i="2"/>
  <c r="P480" i="2"/>
  <c r="P481" i="2"/>
  <c r="P479" i="2"/>
  <c r="P461" i="2"/>
  <c r="P459" i="2" s="1"/>
  <c r="P465" i="2"/>
  <c r="P463" i="2" s="1"/>
  <c r="P467" i="2"/>
  <c r="J105" i="2"/>
  <c r="J13" i="2"/>
  <c r="J104" i="2"/>
  <c r="J435" i="2"/>
  <c r="J388" i="2"/>
  <c r="J399" i="2" s="1"/>
  <c r="K12" i="2"/>
  <c r="K339" i="2"/>
  <c r="O389" i="2"/>
  <c r="O400" i="2" s="1"/>
  <c r="G394" i="2"/>
  <c r="G393" i="2"/>
  <c r="I377" i="2"/>
  <c r="I392" i="2" s="1"/>
  <c r="I403" i="2" s="1"/>
  <c r="I423" i="2" s="1"/>
  <c r="M508" i="2"/>
  <c r="M528" i="2" s="1"/>
  <c r="L528" i="2"/>
  <c r="K530" i="2"/>
  <c r="L510" i="2"/>
  <c r="O543" i="2"/>
  <c r="O496" i="2"/>
  <c r="P541" i="2"/>
  <c r="P540" i="2"/>
  <c r="P449" i="2"/>
  <c r="J434" i="2"/>
  <c r="J387" i="2"/>
  <c r="J398" i="2" s="1"/>
  <c r="P470" i="2"/>
  <c r="Q473" i="2"/>
  <c r="P477" i="2"/>
  <c r="P474" i="2" s="1"/>
  <c r="P469" i="2" s="1"/>
  <c r="H342" i="2"/>
  <c r="O542" i="2"/>
  <c r="O495" i="2"/>
  <c r="O485" i="2"/>
  <c r="J433" i="2"/>
  <c r="J386" i="2"/>
  <c r="J397" i="2" s="1"/>
  <c r="I89" i="2"/>
  <c r="I88" i="2"/>
  <c r="O545" i="2"/>
  <c r="O498" i="2"/>
  <c r="O509" i="2" s="1"/>
  <c r="O529" i="2" s="1"/>
  <c r="J251" i="8"/>
  <c r="L338" i="2"/>
  <c r="O547" i="2"/>
  <c r="O500" i="2"/>
  <c r="K491" i="2"/>
  <c r="K520" i="2" s="1"/>
  <c r="K492" i="2"/>
  <c r="K502" i="2" s="1"/>
  <c r="K548" i="2"/>
  <c r="H523" i="2"/>
  <c r="H537" i="2" s="1"/>
  <c r="I503" i="2"/>
  <c r="L492" i="2"/>
  <c r="L502" i="2" s="1"/>
  <c r="L491" i="2"/>
  <c r="L520" i="2" s="1"/>
  <c r="L548" i="2"/>
  <c r="Q472" i="2"/>
  <c r="Q476" i="2"/>
  <c r="H421" i="2"/>
  <c r="J521" i="2"/>
  <c r="I437" i="2"/>
  <c r="I430" i="2" s="1"/>
  <c r="I390" i="2"/>
  <c r="I401" i="2" s="1"/>
  <c r="O546" i="2"/>
  <c r="O499" i="2"/>
  <c r="N486" i="2"/>
  <c r="N501" i="2" s="1"/>
  <c r="J438" i="2"/>
  <c r="J391" i="2"/>
  <c r="J402" i="2" s="1"/>
  <c r="O254" i="8"/>
  <c r="Q448" i="2" s="1"/>
  <c r="Q447" i="2"/>
  <c r="M507" i="2"/>
  <c r="M527" i="2" s="1"/>
  <c r="N506" i="2"/>
  <c r="N526" i="2" s="1"/>
  <c r="N546" i="2"/>
  <c r="N539" i="2" s="1"/>
  <c r="N499" i="2"/>
  <c r="I419" i="2"/>
  <c r="A26" i="11"/>
  <c r="F26" i="11" s="1"/>
  <c r="G26" i="11" s="1"/>
  <c r="H26" i="11" s="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Y26" i="11" s="1"/>
  <c r="Z26" i="11" s="1"/>
  <c r="U516" i="2"/>
  <c r="U177" i="2"/>
  <c r="S408" i="2"/>
  <c r="S517" i="2"/>
  <c r="V494" i="2"/>
  <c r="V505" i="2" s="1"/>
  <c r="V493" i="2"/>
  <c r="V504" i="2" s="1"/>
  <c r="V515" i="2"/>
  <c r="V518" i="2" s="1"/>
  <c r="V385" i="2"/>
  <c r="V396" i="2" s="1"/>
  <c r="V514" i="2"/>
  <c r="V406" i="2"/>
  <c r="V409" i="2" s="1"/>
  <c r="V384" i="2"/>
  <c r="V395" i="2" s="1"/>
  <c r="V405" i="2"/>
  <c r="U80" i="11"/>
  <c r="U407" i="2"/>
  <c r="T375" i="2"/>
  <c r="U226" i="2"/>
  <c r="U266" i="2" s="1"/>
  <c r="U444" i="2"/>
  <c r="U335" i="2"/>
  <c r="T484" i="2"/>
  <c r="U80" i="2"/>
  <c r="Q255" i="2"/>
  <c r="P259" i="2"/>
  <c r="P252" i="2"/>
  <c r="P251" i="2" s="1"/>
  <c r="P280" i="2" s="1"/>
  <c r="K330" i="2"/>
  <c r="X5" i="8"/>
  <c r="X6" i="8" s="1"/>
  <c r="W6" i="8"/>
  <c r="V56" i="8"/>
  <c r="V58" i="8"/>
  <c r="V41" i="8"/>
  <c r="V36" i="8"/>
  <c r="V35" i="8"/>
  <c r="X3" i="14"/>
  <c r="V40" i="8"/>
  <c r="X3" i="11"/>
  <c r="V51" i="8"/>
  <c r="V46" i="8"/>
  <c r="V50" i="8"/>
  <c r="V47" i="8"/>
  <c r="V54" i="8"/>
  <c r="V57" i="8"/>
  <c r="V44" i="8"/>
  <c r="V53" i="8"/>
  <c r="V60" i="8"/>
  <c r="V48" i="8"/>
  <c r="X3" i="2"/>
  <c r="V43" i="8"/>
  <c r="V59" i="8"/>
  <c r="V39" i="8"/>
  <c r="V38" i="8"/>
  <c r="V52" i="8"/>
  <c r="V42" i="8"/>
  <c r="V49" i="8"/>
  <c r="V37" i="8"/>
  <c r="V45" i="8"/>
  <c r="V55" i="8"/>
  <c r="P150" i="2"/>
  <c r="Q146" i="2"/>
  <c r="Q143" i="2" s="1"/>
  <c r="U286" i="2"/>
  <c r="U298" i="2"/>
  <c r="U189" i="2"/>
  <c r="L321" i="2"/>
  <c r="V275" i="2"/>
  <c r="V276" i="2"/>
  <c r="V287" i="2" s="1"/>
  <c r="V297" i="2"/>
  <c r="V300" i="2" s="1"/>
  <c r="V296" i="2"/>
  <c r="V167" i="2"/>
  <c r="V178" i="2" s="1"/>
  <c r="V188" i="2"/>
  <c r="V191" i="2" s="1"/>
  <c r="V166" i="2"/>
  <c r="V187" i="2"/>
  <c r="V190" i="2" s="1"/>
  <c r="V79" i="14"/>
  <c r="V58" i="14"/>
  <c r="V69" i="14" s="1"/>
  <c r="V57" i="11"/>
  <c r="V68" i="11" s="1"/>
  <c r="V58" i="11"/>
  <c r="V69" i="11" s="1"/>
  <c r="V79" i="2"/>
  <c r="V58" i="2"/>
  <c r="V69" i="2" s="1"/>
  <c r="V57" i="2"/>
  <c r="V68" i="2" s="1"/>
  <c r="V79" i="11"/>
  <c r="AZ14" i="6"/>
  <c r="V78" i="14"/>
  <c r="V57" i="14"/>
  <c r="V68" i="14" s="1"/>
  <c r="V78" i="11"/>
  <c r="V80" i="11" s="1"/>
  <c r="V78" i="2"/>
  <c r="U80" i="14"/>
  <c r="AY15" i="6"/>
  <c r="O257" i="2"/>
  <c r="N258" i="2"/>
  <c r="N256" i="2" s="1"/>
  <c r="K197" i="8"/>
  <c r="L170" i="8"/>
  <c r="M291" i="2"/>
  <c r="L311" i="2"/>
  <c r="R144" i="8"/>
  <c r="T228" i="2"/>
  <c r="S254" i="2"/>
  <c r="N260" i="2"/>
  <c r="N328" i="2" s="1"/>
  <c r="M313" i="2"/>
  <c r="M308" i="2"/>
  <c r="M309" i="2"/>
  <c r="L314" i="2"/>
  <c r="M328" i="2"/>
  <c r="M321" i="2" s="1"/>
  <c r="M281" i="2"/>
  <c r="M292" i="2" s="1"/>
  <c r="N329" i="2"/>
  <c r="N282" i="2"/>
  <c r="N293" i="2" s="1"/>
  <c r="L312" i="2"/>
  <c r="J317" i="2"/>
  <c r="N279" i="2"/>
  <c r="N290" i="2" s="1"/>
  <c r="N310" i="2" s="1"/>
  <c r="N326" i="2"/>
  <c r="K274" i="2"/>
  <c r="K284" i="2" s="1"/>
  <c r="K273" i="2"/>
  <c r="K302" i="2" s="1"/>
  <c r="K303" i="2" s="1"/>
  <c r="N325" i="2"/>
  <c r="N278" i="2"/>
  <c r="N289" i="2" s="1"/>
  <c r="M267" i="2"/>
  <c r="N252" i="8"/>
  <c r="P230" i="2" s="1"/>
  <c r="P229" i="2"/>
  <c r="O231" i="2"/>
  <c r="N306" i="2"/>
  <c r="N307" i="2"/>
  <c r="N316" i="2"/>
  <c r="N315" i="2"/>
  <c r="I305" i="2"/>
  <c r="I319" i="2" s="1"/>
  <c r="J285" i="2"/>
  <c r="O243" i="2"/>
  <c r="O241" i="2" s="1"/>
  <c r="O261" i="2"/>
  <c r="O262" i="2"/>
  <c r="O247" i="2"/>
  <c r="O245" i="2" s="1"/>
  <c r="O249" i="2"/>
  <c r="O263" i="2"/>
  <c r="N277" i="2"/>
  <c r="N288" i="2" s="1"/>
  <c r="N324" i="2"/>
  <c r="O323" i="2"/>
  <c r="O322" i="2"/>
  <c r="P145" i="8"/>
  <c r="R119" i="2"/>
  <c r="R145" i="2" s="1"/>
  <c r="L233" i="2"/>
  <c r="J124" i="2"/>
  <c r="J221" i="2" s="1"/>
  <c r="L110" i="11"/>
  <c r="V8" i="11"/>
  <c r="W1" i="11"/>
  <c r="L172" i="2"/>
  <c r="L183" i="2" s="1"/>
  <c r="L219" i="2"/>
  <c r="L212" i="2" s="1"/>
  <c r="U117" i="2"/>
  <c r="U157" i="2" s="1"/>
  <c r="S4" i="8"/>
  <c r="U8" i="2"/>
  <c r="V1" i="2"/>
  <c r="U1" i="8"/>
  <c r="X2" i="2"/>
  <c r="AZ5" i="6"/>
  <c r="K185" i="2"/>
  <c r="K205" i="2" s="1"/>
  <c r="M202" i="2"/>
  <c r="I176" i="2"/>
  <c r="I196" i="2" s="1"/>
  <c r="I210" i="2" s="1"/>
  <c r="M151" i="2"/>
  <c r="M219" i="2" s="1"/>
  <c r="L199" i="2"/>
  <c r="L200" i="2"/>
  <c r="K203" i="2"/>
  <c r="N214" i="2"/>
  <c r="N213" i="2"/>
  <c r="N122" i="2"/>
  <c r="M215" i="2"/>
  <c r="M168" i="2"/>
  <c r="M179" i="2" s="1"/>
  <c r="L204" i="2"/>
  <c r="L159" i="2"/>
  <c r="L174" i="2" s="1"/>
  <c r="N218" i="2"/>
  <c r="N171" i="2"/>
  <c r="N182" i="2" s="1"/>
  <c r="P148" i="2"/>
  <c r="O149" i="2"/>
  <c r="O147" i="2" s="1"/>
  <c r="O142" i="2" s="1"/>
  <c r="M216" i="2"/>
  <c r="M169" i="2"/>
  <c r="M180" i="2" s="1"/>
  <c r="M197" i="2"/>
  <c r="M198" i="2"/>
  <c r="M207" i="2"/>
  <c r="M206" i="2"/>
  <c r="M220" i="2"/>
  <c r="M173" i="2"/>
  <c r="M184" i="2" s="1"/>
  <c r="M217" i="2"/>
  <c r="M170" i="2"/>
  <c r="M181" i="2" s="1"/>
  <c r="M201" i="2" s="1"/>
  <c r="M253" i="8"/>
  <c r="O121" i="2" s="1"/>
  <c r="O120" i="2"/>
  <c r="K124" i="2"/>
  <c r="O172" i="8"/>
  <c r="N199" i="8"/>
  <c r="U144" i="2"/>
  <c r="N134" i="2"/>
  <c r="N132" i="2" s="1"/>
  <c r="N152" i="2"/>
  <c r="N153" i="2"/>
  <c r="N138" i="2"/>
  <c r="N136" i="2" s="1"/>
  <c r="N140" i="2"/>
  <c r="N154" i="2"/>
  <c r="L195" i="8"/>
  <c r="K222" i="8"/>
  <c r="K276" i="8" s="1"/>
  <c r="K204" i="8"/>
  <c r="K258" i="8" s="1"/>
  <c r="L177" i="8"/>
  <c r="L184" i="8"/>
  <c r="K211" i="8"/>
  <c r="K265" i="8" s="1"/>
  <c r="L182" i="8"/>
  <c r="K209" i="8"/>
  <c r="K263" i="8" s="1"/>
  <c r="O147" i="8"/>
  <c r="O201" i="8" s="1"/>
  <c r="O255" i="8" s="1"/>
  <c r="Q10" i="2"/>
  <c r="I24" i="14"/>
  <c r="H25" i="14"/>
  <c r="A27" i="14"/>
  <c r="A28" i="14" s="1"/>
  <c r="F26" i="14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M42" i="11"/>
  <c r="M63" i="11" s="1"/>
  <c r="H24" i="11"/>
  <c r="G25" i="11"/>
  <c r="A27" i="11"/>
  <c r="A28" i="11" s="1"/>
  <c r="M207" i="8"/>
  <c r="M261" i="8" s="1"/>
  <c r="N180" i="8"/>
  <c r="M111" i="11"/>
  <c r="M64" i="11"/>
  <c r="M75" i="11" s="1"/>
  <c r="M95" i="11" s="1"/>
  <c r="M259" i="8"/>
  <c r="O12" i="11" s="1"/>
  <c r="O11" i="11"/>
  <c r="M183" i="8"/>
  <c r="L210" i="8"/>
  <c r="L264" i="8" s="1"/>
  <c r="P171" i="8"/>
  <c r="O198" i="8"/>
  <c r="M89" i="11"/>
  <c r="M88" i="11"/>
  <c r="N205" i="8"/>
  <c r="O178" i="8"/>
  <c r="K94" i="11"/>
  <c r="L74" i="11"/>
  <c r="L94" i="11" s="1"/>
  <c r="N181" i="8"/>
  <c r="M208" i="8"/>
  <c r="M262" i="8" s="1"/>
  <c r="O11" i="2"/>
  <c r="N43" i="11"/>
  <c r="N45" i="11"/>
  <c r="N44" i="11"/>
  <c r="N104" i="11"/>
  <c r="N103" i="11" s="1"/>
  <c r="N105" i="11"/>
  <c r="N13" i="11"/>
  <c r="N206" i="8"/>
  <c r="N260" i="8" s="1"/>
  <c r="O179" i="8"/>
  <c r="R158" i="8"/>
  <c r="T10" i="14"/>
  <c r="T77" i="8"/>
  <c r="S131" i="8"/>
  <c r="U116" i="8"/>
  <c r="W337" i="2" s="1"/>
  <c r="W367" i="2" s="1"/>
  <c r="V62" i="8"/>
  <c r="S151" i="8"/>
  <c r="U10" i="11"/>
  <c r="T143" i="8"/>
  <c r="T124" i="8"/>
  <c r="U70" i="8"/>
  <c r="S141" i="8"/>
  <c r="S168" i="8" s="1"/>
  <c r="T87" i="8"/>
  <c r="S130" i="8"/>
  <c r="S157" i="8" s="1"/>
  <c r="T76" i="8"/>
  <c r="T69" i="8"/>
  <c r="S123" i="8"/>
  <c r="S150" i="8" s="1"/>
  <c r="S109" i="8"/>
  <c r="R136" i="8"/>
  <c r="R163" i="8" s="1"/>
  <c r="P112" i="8"/>
  <c r="O139" i="8"/>
  <c r="O166" i="8" s="1"/>
  <c r="O220" i="8" s="1"/>
  <c r="O274" i="8" s="1"/>
  <c r="O140" i="8"/>
  <c r="O167" i="8" s="1"/>
  <c r="O221" i="8" s="1"/>
  <c r="O275" i="8" s="1"/>
  <c r="P113" i="8"/>
  <c r="Q111" i="8"/>
  <c r="P138" i="8"/>
  <c r="P165" i="8" s="1"/>
  <c r="P219" i="8" s="1"/>
  <c r="P273" i="8" s="1"/>
  <c r="R110" i="8"/>
  <c r="Q137" i="8"/>
  <c r="Q164" i="8" s="1"/>
  <c r="Q218" i="8" s="1"/>
  <c r="Q272" i="8" s="1"/>
  <c r="T107" i="8"/>
  <c r="S134" i="8"/>
  <c r="S161" i="8" s="1"/>
  <c r="T106" i="8"/>
  <c r="S133" i="8"/>
  <c r="S160" i="8" s="1"/>
  <c r="U108" i="8"/>
  <c r="T135" i="8"/>
  <c r="T162" i="8" s="1"/>
  <c r="T105" i="8"/>
  <c r="S132" i="8"/>
  <c r="S159" i="8" s="1"/>
  <c r="U125" i="8"/>
  <c r="U152" i="8" s="1"/>
  <c r="V98" i="8"/>
  <c r="V99" i="8"/>
  <c r="U126" i="8"/>
  <c r="U153" i="8" s="1"/>
  <c r="U102" i="8"/>
  <c r="T129" i="8"/>
  <c r="T156" i="8" s="1"/>
  <c r="U100" i="8"/>
  <c r="T127" i="8"/>
  <c r="T154" i="8" s="1"/>
  <c r="T128" i="8"/>
  <c r="T155" i="8" s="1"/>
  <c r="U101" i="8"/>
  <c r="O122" i="8"/>
  <c r="O149" i="8" s="1"/>
  <c r="O203" i="8" s="1"/>
  <c r="O257" i="8" s="1"/>
  <c r="P95" i="8"/>
  <c r="O121" i="8"/>
  <c r="O148" i="8" s="1"/>
  <c r="O202" i="8" s="1"/>
  <c r="O256" i="8" s="1"/>
  <c r="P94" i="8"/>
  <c r="Q93" i="8"/>
  <c r="P120" i="8"/>
  <c r="Q118" i="8"/>
  <c r="R91" i="8"/>
  <c r="Q119" i="8"/>
  <c r="R92" i="8"/>
  <c r="T90" i="8"/>
  <c r="S117" i="8"/>
  <c r="A25" i="2"/>
  <c r="A26" i="2" s="1"/>
  <c r="F24" i="2"/>
  <c r="G24" i="2" s="1"/>
  <c r="R193" i="8"/>
  <c r="Q213" i="8"/>
  <c r="Q267" i="8" s="1"/>
  <c r="R186" i="8"/>
  <c r="R174" i="8"/>
  <c r="Q105" i="14"/>
  <c r="Q104" i="14"/>
  <c r="Q13" i="14"/>
  <c r="P89" i="14"/>
  <c r="P88" i="14"/>
  <c r="R194" i="8"/>
  <c r="R189" i="8"/>
  <c r="Q216" i="8"/>
  <c r="R191" i="8"/>
  <c r="R173" i="8"/>
  <c r="R190" i="8"/>
  <c r="Q217" i="8"/>
  <c r="Q271" i="8" s="1"/>
  <c r="R187" i="8"/>
  <c r="Q214" i="8"/>
  <c r="Q268" i="8" s="1"/>
  <c r="R175" i="8"/>
  <c r="Q212" i="8"/>
  <c r="R185" i="8"/>
  <c r="Q215" i="8"/>
  <c r="Q269" i="8" s="1"/>
  <c r="R188" i="8"/>
  <c r="R11" i="14"/>
  <c r="P266" i="8"/>
  <c r="R12" i="14" s="1"/>
  <c r="R176" i="8"/>
  <c r="T192" i="8"/>
  <c r="O539" i="2" l="1"/>
  <c r="J376" i="2"/>
  <c r="N511" i="2"/>
  <c r="N531" i="2" s="1"/>
  <c r="M512" i="2"/>
  <c r="M532" i="2" s="1"/>
  <c r="M548" i="2"/>
  <c r="V80" i="2"/>
  <c r="J390" i="2"/>
  <c r="J401" i="2" s="1"/>
  <c r="M492" i="2"/>
  <c r="M502" i="2" s="1"/>
  <c r="V177" i="2"/>
  <c r="J430" i="2"/>
  <c r="J418" i="2"/>
  <c r="J422" i="2"/>
  <c r="J419" i="2"/>
  <c r="P478" i="2"/>
  <c r="P546" i="2" s="1"/>
  <c r="N451" i="2"/>
  <c r="N548" i="2" s="1"/>
  <c r="I342" i="2"/>
  <c r="I383" i="2" s="1"/>
  <c r="I393" i="2" s="1"/>
  <c r="J417" i="2"/>
  <c r="K369" i="2"/>
  <c r="K437" i="2" s="1"/>
  <c r="I421" i="2"/>
  <c r="H383" i="2"/>
  <c r="H393" i="2" s="1"/>
  <c r="H382" i="2"/>
  <c r="H411" i="2" s="1"/>
  <c r="H412" i="2" s="1"/>
  <c r="H426" i="2" s="1"/>
  <c r="H439" i="2"/>
  <c r="K432" i="2"/>
  <c r="K340" i="2"/>
  <c r="K431" i="2"/>
  <c r="K436" i="2"/>
  <c r="P543" i="2"/>
  <c r="P496" i="2"/>
  <c r="R472" i="2"/>
  <c r="R476" i="2"/>
  <c r="K433" i="2"/>
  <c r="K386" i="2"/>
  <c r="K397" i="2" s="1"/>
  <c r="K376" i="2"/>
  <c r="W363" i="2"/>
  <c r="Q479" i="2"/>
  <c r="Q481" i="2"/>
  <c r="Q480" i="2"/>
  <c r="Q461" i="2"/>
  <c r="Q459" i="2" s="1"/>
  <c r="Q465" i="2"/>
  <c r="Q463" i="2" s="1"/>
  <c r="Q467" i="2"/>
  <c r="Q146" i="8"/>
  <c r="Q200" i="8" s="1"/>
  <c r="S446" i="2"/>
  <c r="Q541" i="2"/>
  <c r="Q449" i="2"/>
  <c r="Q540" i="2"/>
  <c r="O511" i="2"/>
  <c r="O531" i="2" s="1"/>
  <c r="J377" i="2"/>
  <c r="J392" i="2" s="1"/>
  <c r="J403" i="2" s="1"/>
  <c r="J423" i="2" s="1"/>
  <c r="Q470" i="2"/>
  <c r="R473" i="2"/>
  <c r="Q477" i="2"/>
  <c r="Q474" i="2" s="1"/>
  <c r="K438" i="2"/>
  <c r="K391" i="2"/>
  <c r="K402" i="2" s="1"/>
  <c r="J535" i="2"/>
  <c r="K521" i="2"/>
  <c r="K535" i="2" s="1"/>
  <c r="L530" i="2"/>
  <c r="M510" i="2"/>
  <c r="M530" i="2" s="1"/>
  <c r="P547" i="2"/>
  <c r="P500" i="2"/>
  <c r="P389" i="2"/>
  <c r="P400" i="2" s="1"/>
  <c r="L372" i="2"/>
  <c r="L370" i="2"/>
  <c r="L371" i="2"/>
  <c r="L352" i="2"/>
  <c r="L350" i="2" s="1"/>
  <c r="L356" i="2"/>
  <c r="L354" i="2" s="1"/>
  <c r="L358" i="2"/>
  <c r="G414" i="2"/>
  <c r="G428" i="2" s="1"/>
  <c r="R364" i="2"/>
  <c r="Q368" i="2"/>
  <c r="Q365" i="2" s="1"/>
  <c r="Q361" i="2"/>
  <c r="P545" i="2"/>
  <c r="P498" i="2"/>
  <c r="P509" i="2" s="1"/>
  <c r="P529" i="2" s="1"/>
  <c r="P542" i="2"/>
  <c r="P495" i="2"/>
  <c r="K390" i="2"/>
  <c r="I523" i="2"/>
  <c r="I537" i="2" s="1"/>
  <c r="J503" i="2"/>
  <c r="L12" i="2"/>
  <c r="L339" i="2"/>
  <c r="O486" i="2"/>
  <c r="O501" i="2" s="1"/>
  <c r="J89" i="2"/>
  <c r="J88" i="2"/>
  <c r="K13" i="2"/>
  <c r="K105" i="2"/>
  <c r="K104" i="2"/>
  <c r="P254" i="8"/>
  <c r="R448" i="2" s="1"/>
  <c r="R447" i="2"/>
  <c r="K251" i="8"/>
  <c r="M338" i="2"/>
  <c r="O506" i="2"/>
  <c r="P524" i="2"/>
  <c r="P534" i="2"/>
  <c r="P525" i="2"/>
  <c r="P533" i="2"/>
  <c r="K435" i="2"/>
  <c r="K388" i="2"/>
  <c r="K399" i="2" s="1"/>
  <c r="J415" i="2"/>
  <c r="J425" i="2"/>
  <c r="J416" i="2"/>
  <c r="J424" i="2"/>
  <c r="J420" i="2"/>
  <c r="N508" i="2"/>
  <c r="N528" i="2" s="1"/>
  <c r="N507" i="2"/>
  <c r="N527" i="2" s="1"/>
  <c r="P544" i="2"/>
  <c r="P497" i="2"/>
  <c r="K434" i="2"/>
  <c r="K387" i="2"/>
  <c r="K398" i="2" s="1"/>
  <c r="V407" i="2"/>
  <c r="T408" i="2"/>
  <c r="W494" i="2"/>
  <c r="W505" i="2" s="1"/>
  <c r="W515" i="2"/>
  <c r="W518" i="2" s="1"/>
  <c r="W493" i="2"/>
  <c r="W504" i="2" s="1"/>
  <c r="W406" i="2"/>
  <c r="W409" i="2" s="1"/>
  <c r="W384" i="2"/>
  <c r="W395" i="2" s="1"/>
  <c r="W514" i="2"/>
  <c r="W385" i="2"/>
  <c r="W396" i="2" s="1"/>
  <c r="W405" i="2"/>
  <c r="T517" i="2"/>
  <c r="AZ15" i="6"/>
  <c r="V516" i="2"/>
  <c r="V226" i="2"/>
  <c r="V266" i="2" s="1"/>
  <c r="V444" i="2"/>
  <c r="V335" i="2"/>
  <c r="U375" i="2"/>
  <c r="U484" i="2"/>
  <c r="Q150" i="2"/>
  <c r="R146" i="2"/>
  <c r="R143" i="2" s="1"/>
  <c r="X49" i="8"/>
  <c r="X48" i="8"/>
  <c r="X52" i="8"/>
  <c r="X55" i="8"/>
  <c r="X36" i="8"/>
  <c r="Z3" i="11"/>
  <c r="X38" i="8"/>
  <c r="X58" i="8"/>
  <c r="X57" i="8"/>
  <c r="X56" i="8"/>
  <c r="X43" i="8"/>
  <c r="X54" i="8"/>
  <c r="X60" i="8"/>
  <c r="X47" i="8"/>
  <c r="X45" i="8"/>
  <c r="X46" i="8"/>
  <c r="X35" i="8"/>
  <c r="X41" i="8"/>
  <c r="Z3" i="2"/>
  <c r="X42" i="8"/>
  <c r="X59" i="8"/>
  <c r="X50" i="8"/>
  <c r="X51" i="8"/>
  <c r="X40" i="8"/>
  <c r="X53" i="8"/>
  <c r="X37" i="8"/>
  <c r="X44" i="8"/>
  <c r="Z3" i="14"/>
  <c r="X39" i="8"/>
  <c r="W52" i="8"/>
  <c r="W48" i="8"/>
  <c r="W35" i="8"/>
  <c r="W55" i="8"/>
  <c r="W54" i="8"/>
  <c r="W50" i="8"/>
  <c r="W39" i="8"/>
  <c r="W58" i="8"/>
  <c r="W38" i="8"/>
  <c r="W57" i="8"/>
  <c r="W40" i="8"/>
  <c r="W59" i="8"/>
  <c r="W45" i="8"/>
  <c r="Y3" i="11"/>
  <c r="W51" i="8"/>
  <c r="W49" i="8"/>
  <c r="W42" i="8"/>
  <c r="Y3" i="14"/>
  <c r="W53" i="8"/>
  <c r="W46" i="8"/>
  <c r="W60" i="8"/>
  <c r="W37" i="8"/>
  <c r="W56" i="8"/>
  <c r="W41" i="8"/>
  <c r="Y3" i="2"/>
  <c r="W47" i="8"/>
  <c r="W36" i="8"/>
  <c r="W44" i="8"/>
  <c r="W43" i="8"/>
  <c r="V286" i="2"/>
  <c r="Q259" i="2"/>
  <c r="R255" i="2"/>
  <c r="Q252" i="2"/>
  <c r="Q251" i="2" s="1"/>
  <c r="Q280" i="2" s="1"/>
  <c r="V298" i="2"/>
  <c r="V299" i="2"/>
  <c r="V80" i="14"/>
  <c r="W296" i="2"/>
  <c r="W275" i="2"/>
  <c r="W297" i="2"/>
  <c r="W300" i="2" s="1"/>
  <c r="W276" i="2"/>
  <c r="W287" i="2" s="1"/>
  <c r="W167" i="2"/>
  <c r="W178" i="2" s="1"/>
  <c r="W188" i="2"/>
  <c r="W191" i="2" s="1"/>
  <c r="W166" i="2"/>
  <c r="W177" i="2" s="1"/>
  <c r="W187" i="2"/>
  <c r="W78" i="2"/>
  <c r="W58" i="11"/>
  <c r="W69" i="11" s="1"/>
  <c r="W78" i="14"/>
  <c r="W79" i="11"/>
  <c r="W58" i="2"/>
  <c r="W69" i="2" s="1"/>
  <c r="W79" i="14"/>
  <c r="W58" i="14"/>
  <c r="W69" i="14" s="1"/>
  <c r="W57" i="11"/>
  <c r="W68" i="11" s="1"/>
  <c r="W79" i="2"/>
  <c r="W80" i="2" s="1"/>
  <c r="BA14" i="6"/>
  <c r="W57" i="14"/>
  <c r="W68" i="14" s="1"/>
  <c r="W57" i="2"/>
  <c r="W68" i="2" s="1"/>
  <c r="W78" i="11"/>
  <c r="V189" i="2"/>
  <c r="N267" i="2"/>
  <c r="N268" i="2" s="1"/>
  <c r="N283" i="2" s="1"/>
  <c r="N281" i="2"/>
  <c r="N292" i="2" s="1"/>
  <c r="N291" i="2"/>
  <c r="N311" i="2" s="1"/>
  <c r="M311" i="2"/>
  <c r="M170" i="8"/>
  <c r="L197" i="8"/>
  <c r="P257" i="2"/>
  <c r="O258" i="2"/>
  <c r="O256" i="2" s="1"/>
  <c r="O251" i="2" s="1"/>
  <c r="S144" i="8"/>
  <c r="U228" i="2"/>
  <c r="T254" i="2"/>
  <c r="Q145" i="8"/>
  <c r="S119" i="2"/>
  <c r="S145" i="2" s="1"/>
  <c r="N202" i="2"/>
  <c r="J164" i="2"/>
  <c r="J193" i="2" s="1"/>
  <c r="J194" i="2" s="1"/>
  <c r="J208" i="2" s="1"/>
  <c r="J165" i="2"/>
  <c r="J175" i="2" s="1"/>
  <c r="N308" i="2"/>
  <c r="K317" i="2"/>
  <c r="N313" i="2"/>
  <c r="O252" i="8"/>
  <c r="Q230" i="2" s="1"/>
  <c r="Q229" i="2"/>
  <c r="L330" i="2"/>
  <c r="L274" i="2"/>
  <c r="L284" i="2" s="1"/>
  <c r="L273" i="2"/>
  <c r="L302" i="2" s="1"/>
  <c r="L303" i="2" s="1"/>
  <c r="O324" i="2"/>
  <c r="O277" i="2"/>
  <c r="O288" i="2" s="1"/>
  <c r="M312" i="2"/>
  <c r="J305" i="2"/>
  <c r="J319" i="2" s="1"/>
  <c r="K285" i="2"/>
  <c r="P231" i="2"/>
  <c r="O307" i="2"/>
  <c r="O306" i="2"/>
  <c r="O316" i="2"/>
  <c r="O315" i="2"/>
  <c r="N309" i="2"/>
  <c r="O282" i="2"/>
  <c r="O293" i="2" s="1"/>
  <c r="O329" i="2"/>
  <c r="P261" i="2"/>
  <c r="P243" i="2"/>
  <c r="P241" i="2" s="1"/>
  <c r="P262" i="2"/>
  <c r="P247" i="2"/>
  <c r="P245" i="2" s="1"/>
  <c r="P249" i="2"/>
  <c r="P263" i="2"/>
  <c r="O326" i="2"/>
  <c r="O279" i="2"/>
  <c r="O290" i="2" s="1"/>
  <c r="O310" i="2" s="1"/>
  <c r="P323" i="2"/>
  <c r="P322" i="2"/>
  <c r="P327" i="2"/>
  <c r="N321" i="2"/>
  <c r="O325" i="2"/>
  <c r="O278" i="2"/>
  <c r="O289" i="2" s="1"/>
  <c r="M268" i="2"/>
  <c r="M283" i="2" s="1"/>
  <c r="M294" i="2" s="1"/>
  <c r="O260" i="2"/>
  <c r="W8" i="11"/>
  <c r="X1" i="11"/>
  <c r="M158" i="2"/>
  <c r="M159" i="2" s="1"/>
  <c r="M174" i="2" s="1"/>
  <c r="M172" i="2"/>
  <c r="M183" i="2" s="1"/>
  <c r="L185" i="2"/>
  <c r="L205" i="2" s="1"/>
  <c r="Y2" i="2"/>
  <c r="BA5" i="6"/>
  <c r="V1" i="8"/>
  <c r="V117" i="2"/>
  <c r="V157" i="2" s="1"/>
  <c r="V8" i="2"/>
  <c r="T4" i="8"/>
  <c r="W1" i="2"/>
  <c r="N151" i="2"/>
  <c r="N219" i="2" s="1"/>
  <c r="M212" i="2"/>
  <c r="L124" i="2"/>
  <c r="L221" i="2" s="1"/>
  <c r="M204" i="2"/>
  <c r="M199" i="2"/>
  <c r="N253" i="8"/>
  <c r="P121" i="2" s="1"/>
  <c r="P120" i="2"/>
  <c r="L203" i="2"/>
  <c r="K165" i="2"/>
  <c r="K175" i="2" s="1"/>
  <c r="K164" i="2"/>
  <c r="K193" i="2" s="1"/>
  <c r="K221" i="2"/>
  <c r="O218" i="2"/>
  <c r="O171" i="2"/>
  <c r="O182" i="2" s="1"/>
  <c r="N220" i="2"/>
  <c r="N173" i="2"/>
  <c r="N184" i="2" s="1"/>
  <c r="O152" i="2"/>
  <c r="O134" i="2"/>
  <c r="O132" i="2" s="1"/>
  <c r="O153" i="2"/>
  <c r="O138" i="2"/>
  <c r="O136" i="2" s="1"/>
  <c r="O140" i="2"/>
  <c r="O154" i="2"/>
  <c r="M200" i="2"/>
  <c r="P149" i="2"/>
  <c r="P147" i="2" s="1"/>
  <c r="P142" i="2" s="1"/>
  <c r="Q148" i="2"/>
  <c r="N217" i="2"/>
  <c r="N170" i="2"/>
  <c r="N181" i="2" s="1"/>
  <c r="N201" i="2" s="1"/>
  <c r="O214" i="2"/>
  <c r="O213" i="2"/>
  <c r="O122" i="2"/>
  <c r="N215" i="2"/>
  <c r="N168" i="2"/>
  <c r="N179" i="2" s="1"/>
  <c r="P172" i="8"/>
  <c r="O199" i="8"/>
  <c r="N169" i="2"/>
  <c r="N180" i="2" s="1"/>
  <c r="N216" i="2"/>
  <c r="N197" i="2"/>
  <c r="N198" i="2"/>
  <c r="N207" i="2"/>
  <c r="N206" i="2"/>
  <c r="V144" i="2"/>
  <c r="M182" i="8"/>
  <c r="L209" i="8"/>
  <c r="L263" i="8" s="1"/>
  <c r="L211" i="8"/>
  <c r="L265" i="8" s="1"/>
  <c r="M184" i="8"/>
  <c r="L204" i="8"/>
  <c r="L258" i="8" s="1"/>
  <c r="M177" i="8"/>
  <c r="L222" i="8"/>
  <c r="L276" i="8" s="1"/>
  <c r="M195" i="8"/>
  <c r="P147" i="8"/>
  <c r="P201" i="8" s="1"/>
  <c r="P255" i="8" s="1"/>
  <c r="R10" i="2"/>
  <c r="M110" i="11"/>
  <c r="A29" i="14"/>
  <c r="A30" i="14" s="1"/>
  <c r="F28" i="14"/>
  <c r="G28" i="14" s="1"/>
  <c r="G23" i="14"/>
  <c r="H23" i="14"/>
  <c r="J24" i="14"/>
  <c r="I25" i="14"/>
  <c r="I23" i="14" s="1"/>
  <c r="F28" i="11"/>
  <c r="G28" i="11" s="1"/>
  <c r="A29" i="11"/>
  <c r="A30" i="11" s="1"/>
  <c r="G23" i="11"/>
  <c r="I24" i="11"/>
  <c r="H25" i="11"/>
  <c r="H23" i="11" s="1"/>
  <c r="P179" i="8"/>
  <c r="O206" i="8"/>
  <c r="O260" i="8" s="1"/>
  <c r="O205" i="8"/>
  <c r="P178" i="8"/>
  <c r="O45" i="11"/>
  <c r="O44" i="11"/>
  <c r="O43" i="11"/>
  <c r="O181" i="8"/>
  <c r="N208" i="8"/>
  <c r="N262" i="8" s="1"/>
  <c r="N259" i="8"/>
  <c r="P12" i="11" s="1"/>
  <c r="P11" i="11"/>
  <c r="M74" i="11"/>
  <c r="M94" i="11" s="1"/>
  <c r="P11" i="2"/>
  <c r="N42" i="11"/>
  <c r="O13" i="11"/>
  <c r="O104" i="11"/>
  <c r="O103" i="11" s="1"/>
  <c r="O105" i="11"/>
  <c r="N89" i="11"/>
  <c r="N88" i="11"/>
  <c r="Q171" i="8"/>
  <c r="P198" i="8"/>
  <c r="N111" i="11"/>
  <c r="N64" i="11"/>
  <c r="N75" i="11" s="1"/>
  <c r="N95" i="11" s="1"/>
  <c r="N207" i="8"/>
  <c r="N261" i="8" s="1"/>
  <c r="O180" i="8"/>
  <c r="M210" i="8"/>
  <c r="M264" i="8" s="1"/>
  <c r="N183" i="8"/>
  <c r="U124" i="8"/>
  <c r="V70" i="8"/>
  <c r="S158" i="8"/>
  <c r="U10" i="14"/>
  <c r="T131" i="8"/>
  <c r="U77" i="8"/>
  <c r="W62" i="8"/>
  <c r="V116" i="8"/>
  <c r="X337" i="2" s="1"/>
  <c r="X363" i="2" s="1"/>
  <c r="T151" i="8"/>
  <c r="V10" i="11"/>
  <c r="U143" i="8"/>
  <c r="U87" i="8"/>
  <c r="T141" i="8"/>
  <c r="T168" i="8" s="1"/>
  <c r="U76" i="8"/>
  <c r="T130" i="8"/>
  <c r="T157" i="8" s="1"/>
  <c r="U69" i="8"/>
  <c r="T123" i="8"/>
  <c r="T150" i="8" s="1"/>
  <c r="S110" i="8"/>
  <c r="R137" i="8"/>
  <c r="R164" i="8" s="1"/>
  <c r="R218" i="8" s="1"/>
  <c r="R272" i="8" s="1"/>
  <c r="S136" i="8"/>
  <c r="S163" i="8" s="1"/>
  <c r="T109" i="8"/>
  <c r="R111" i="8"/>
  <c r="Q138" i="8"/>
  <c r="Q165" i="8" s="1"/>
  <c r="Q219" i="8" s="1"/>
  <c r="Q273" i="8" s="1"/>
  <c r="Q113" i="8"/>
  <c r="P140" i="8"/>
  <c r="P167" i="8" s="1"/>
  <c r="P221" i="8" s="1"/>
  <c r="P275" i="8" s="1"/>
  <c r="Q112" i="8"/>
  <c r="P139" i="8"/>
  <c r="P166" i="8" s="1"/>
  <c r="P220" i="8" s="1"/>
  <c r="P274" i="8" s="1"/>
  <c r="U105" i="8"/>
  <c r="T132" i="8"/>
  <c r="T159" i="8" s="1"/>
  <c r="U135" i="8"/>
  <c r="U162" i="8" s="1"/>
  <c r="V108" i="8"/>
  <c r="T133" i="8"/>
  <c r="T160" i="8" s="1"/>
  <c r="U106" i="8"/>
  <c r="U107" i="8"/>
  <c r="T134" i="8"/>
  <c r="T161" i="8" s="1"/>
  <c r="U127" i="8"/>
  <c r="U154" i="8" s="1"/>
  <c r="V100" i="8"/>
  <c r="V102" i="8"/>
  <c r="U129" i="8"/>
  <c r="U156" i="8" s="1"/>
  <c r="V126" i="8"/>
  <c r="V153" i="8" s="1"/>
  <c r="W99" i="8"/>
  <c r="U128" i="8"/>
  <c r="U155" i="8" s="1"/>
  <c r="V101" i="8"/>
  <c r="V125" i="8"/>
  <c r="V152" i="8" s="1"/>
  <c r="W98" i="8"/>
  <c r="S92" i="8"/>
  <c r="R119" i="8"/>
  <c r="Q95" i="8"/>
  <c r="P122" i="8"/>
  <c r="P149" i="8" s="1"/>
  <c r="P203" i="8" s="1"/>
  <c r="P257" i="8" s="1"/>
  <c r="S91" i="8"/>
  <c r="R118" i="8"/>
  <c r="R93" i="8"/>
  <c r="Q120" i="8"/>
  <c r="P121" i="8"/>
  <c r="P148" i="8" s="1"/>
  <c r="P202" i="8" s="1"/>
  <c r="P256" i="8" s="1"/>
  <c r="Q94" i="8"/>
  <c r="U90" i="8"/>
  <c r="T117" i="8"/>
  <c r="H24" i="2"/>
  <c r="G25" i="2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27" i="2"/>
  <c r="A28" i="2" s="1"/>
  <c r="Q266" i="8"/>
  <c r="S12" i="14" s="1"/>
  <c r="S11" i="14"/>
  <c r="Q89" i="14"/>
  <c r="Q88" i="14"/>
  <c r="S175" i="8"/>
  <c r="Q270" i="8"/>
  <c r="S173" i="8"/>
  <c r="S189" i="8"/>
  <c r="R216" i="8"/>
  <c r="R270" i="8" s="1"/>
  <c r="R104" i="14"/>
  <c r="R13" i="14"/>
  <c r="R105" i="14"/>
  <c r="S188" i="8"/>
  <c r="R215" i="8"/>
  <c r="R269" i="8" s="1"/>
  <c r="S194" i="8"/>
  <c r="R213" i="8"/>
  <c r="R267" i="8" s="1"/>
  <c r="S186" i="8"/>
  <c r="S176" i="8"/>
  <c r="R214" i="8"/>
  <c r="S187" i="8"/>
  <c r="S190" i="8"/>
  <c r="R217" i="8"/>
  <c r="R271" i="8" s="1"/>
  <c r="S191" i="8"/>
  <c r="S174" i="8"/>
  <c r="S185" i="8"/>
  <c r="R212" i="8"/>
  <c r="S193" i="8"/>
  <c r="U192" i="8"/>
  <c r="Q469" i="2" l="1"/>
  <c r="P485" i="2"/>
  <c r="P499" i="2"/>
  <c r="P539" i="2"/>
  <c r="N492" i="2"/>
  <c r="N502" i="2" s="1"/>
  <c r="K419" i="2"/>
  <c r="K417" i="2"/>
  <c r="Q360" i="2"/>
  <c r="Q389" i="2" s="1"/>
  <c r="Q400" i="2" s="1"/>
  <c r="N512" i="2"/>
  <c r="N532" i="2" s="1"/>
  <c r="K422" i="2"/>
  <c r="N491" i="2"/>
  <c r="N520" i="2" s="1"/>
  <c r="I439" i="2"/>
  <c r="I382" i="2"/>
  <c r="I411" i="2" s="1"/>
  <c r="I412" i="2" s="1"/>
  <c r="I426" i="2" s="1"/>
  <c r="K430" i="2"/>
  <c r="Q478" i="2"/>
  <c r="Q499" i="2" s="1"/>
  <c r="O451" i="2"/>
  <c r="O491" i="2" s="1"/>
  <c r="O520" i="2" s="1"/>
  <c r="H394" i="2"/>
  <c r="H414" i="2" s="1"/>
  <c r="H428" i="2" s="1"/>
  <c r="O507" i="2"/>
  <c r="O527" i="2" s="1"/>
  <c r="L521" i="2"/>
  <c r="L535" i="2" s="1"/>
  <c r="J342" i="2"/>
  <c r="J382" i="2" s="1"/>
  <c r="J411" i="2" s="1"/>
  <c r="P511" i="2"/>
  <c r="P531" i="2" s="1"/>
  <c r="L251" i="8"/>
  <c r="N338" i="2"/>
  <c r="M371" i="2"/>
  <c r="M370" i="2"/>
  <c r="M372" i="2"/>
  <c r="M352" i="2"/>
  <c r="M350" i="2" s="1"/>
  <c r="M356" i="2"/>
  <c r="M354" i="2" s="1"/>
  <c r="M358" i="2"/>
  <c r="R470" i="2"/>
  <c r="R477" i="2"/>
  <c r="R474" i="2" s="1"/>
  <c r="R469" i="2" s="1"/>
  <c r="S473" i="2"/>
  <c r="Q546" i="2"/>
  <c r="M12" i="2"/>
  <c r="M339" i="2"/>
  <c r="L435" i="2"/>
  <c r="L388" i="2"/>
  <c r="L399" i="2" s="1"/>
  <c r="S476" i="2"/>
  <c r="S472" i="2"/>
  <c r="Q547" i="2"/>
  <c r="Q500" i="2"/>
  <c r="R146" i="8"/>
  <c r="R200" i="8" s="1"/>
  <c r="T446" i="2"/>
  <c r="R481" i="2"/>
  <c r="R479" i="2"/>
  <c r="R480" i="2"/>
  <c r="R461" i="2"/>
  <c r="R459" i="2" s="1"/>
  <c r="R465" i="2"/>
  <c r="R463" i="2" s="1"/>
  <c r="R467" i="2"/>
  <c r="L434" i="2"/>
  <c r="L387" i="2"/>
  <c r="L398" i="2" s="1"/>
  <c r="Q254" i="8"/>
  <c r="S448" i="2" s="1"/>
  <c r="S447" i="2"/>
  <c r="X367" i="2"/>
  <c r="K418" i="2"/>
  <c r="R449" i="2"/>
  <c r="R540" i="2"/>
  <c r="R541" i="2"/>
  <c r="L433" i="2"/>
  <c r="L386" i="2"/>
  <c r="L397" i="2" s="1"/>
  <c r="K377" i="2"/>
  <c r="K392" i="2" s="1"/>
  <c r="K403" i="2" s="1"/>
  <c r="K423" i="2" s="1"/>
  <c r="L431" i="2"/>
  <c r="L340" i="2"/>
  <c r="L432" i="2"/>
  <c r="L436" i="2"/>
  <c r="L369" i="2"/>
  <c r="L376" i="2" s="1"/>
  <c r="Q544" i="2"/>
  <c r="Q497" i="2"/>
  <c r="K416" i="2"/>
  <c r="K415" i="2"/>
  <c r="K425" i="2"/>
  <c r="K424" i="2"/>
  <c r="K420" i="2"/>
  <c r="K88" i="2"/>
  <c r="K89" i="2"/>
  <c r="L105" i="2"/>
  <c r="L13" i="2"/>
  <c r="L104" i="2"/>
  <c r="R361" i="2"/>
  <c r="R368" i="2"/>
  <c r="R365" i="2" s="1"/>
  <c r="S364" i="2"/>
  <c r="L438" i="2"/>
  <c r="L391" i="2"/>
  <c r="L402" i="2" s="1"/>
  <c r="Q525" i="2"/>
  <c r="Q524" i="2"/>
  <c r="Q534" i="2"/>
  <c r="Q533" i="2"/>
  <c r="Q543" i="2"/>
  <c r="Q496" i="2"/>
  <c r="J421" i="2"/>
  <c r="K401" i="2"/>
  <c r="P506" i="2"/>
  <c r="P526" i="2" s="1"/>
  <c r="O526" i="2"/>
  <c r="O508" i="2"/>
  <c r="O528" i="2" s="1"/>
  <c r="J523" i="2"/>
  <c r="J537" i="2" s="1"/>
  <c r="K503" i="2"/>
  <c r="P486" i="2"/>
  <c r="P501" i="2" s="1"/>
  <c r="N510" i="2"/>
  <c r="Q545" i="2"/>
  <c r="Q498" i="2"/>
  <c r="Q509" i="2" s="1"/>
  <c r="Q529" i="2" s="1"/>
  <c r="Q542" i="2"/>
  <c r="Q495" i="2"/>
  <c r="Q485" i="2"/>
  <c r="W407" i="2"/>
  <c r="BA15" i="6"/>
  <c r="W516" i="2"/>
  <c r="X494" i="2"/>
  <c r="X505" i="2" s="1"/>
  <c r="X515" i="2"/>
  <c r="X518" i="2" s="1"/>
  <c r="X493" i="2"/>
  <c r="X504" i="2" s="1"/>
  <c r="X406" i="2"/>
  <c r="X409" i="2" s="1"/>
  <c r="X514" i="2"/>
  <c r="X384" i="2"/>
  <c r="X395" i="2" s="1"/>
  <c r="X385" i="2"/>
  <c r="X396" i="2" s="1"/>
  <c r="X405" i="2"/>
  <c r="U517" i="2"/>
  <c r="U408" i="2"/>
  <c r="W80" i="11"/>
  <c r="W226" i="2"/>
  <c r="W266" i="2" s="1"/>
  <c r="W444" i="2"/>
  <c r="W335" i="2"/>
  <c r="W286" i="2"/>
  <c r="V375" i="2"/>
  <c r="W189" i="2"/>
  <c r="V484" i="2"/>
  <c r="R150" i="2"/>
  <c r="S146" i="2"/>
  <c r="R259" i="2"/>
  <c r="S255" i="2"/>
  <c r="R252" i="2"/>
  <c r="R251" i="2" s="1"/>
  <c r="R280" i="2" s="1"/>
  <c r="W299" i="2"/>
  <c r="O267" i="2"/>
  <c r="O268" i="2" s="1"/>
  <c r="O283" i="2" s="1"/>
  <c r="W80" i="14"/>
  <c r="X275" i="2"/>
  <c r="X276" i="2"/>
  <c r="X287" i="2" s="1"/>
  <c r="X297" i="2"/>
  <c r="X300" i="2" s="1"/>
  <c r="X296" i="2"/>
  <c r="X167" i="2"/>
  <c r="X178" i="2" s="1"/>
  <c r="X188" i="2"/>
  <c r="X191" i="2" s="1"/>
  <c r="X166" i="2"/>
  <c r="X177" i="2" s="1"/>
  <c r="X187" i="2"/>
  <c r="X78" i="14"/>
  <c r="X58" i="11"/>
  <c r="X69" i="11" s="1"/>
  <c r="X79" i="2"/>
  <c r="X57" i="11"/>
  <c r="X68" i="11" s="1"/>
  <c r="X79" i="11"/>
  <c r="X78" i="2"/>
  <c r="X57" i="2"/>
  <c r="X68" i="2" s="1"/>
  <c r="BB14" i="6"/>
  <c r="X57" i="14"/>
  <c r="X68" i="14" s="1"/>
  <c r="X58" i="2"/>
  <c r="X69" i="2" s="1"/>
  <c r="X79" i="14"/>
  <c r="X58" i="14"/>
  <c r="X69" i="14" s="1"/>
  <c r="X78" i="11"/>
  <c r="X80" i="11" s="1"/>
  <c r="W190" i="2"/>
  <c r="W298" i="2"/>
  <c r="P260" i="2"/>
  <c r="P281" i="2" s="1"/>
  <c r="M185" i="2"/>
  <c r="M205" i="2" s="1"/>
  <c r="J176" i="2"/>
  <c r="J196" i="2" s="1"/>
  <c r="J210" i="2" s="1"/>
  <c r="N170" i="8"/>
  <c r="M197" i="8"/>
  <c r="O280" i="2"/>
  <c r="O291" i="2" s="1"/>
  <c r="O327" i="2"/>
  <c r="Q257" i="2"/>
  <c r="P258" i="2"/>
  <c r="P256" i="2" s="1"/>
  <c r="N233" i="2"/>
  <c r="N330" i="2" s="1"/>
  <c r="M233" i="2"/>
  <c r="M330" i="2" s="1"/>
  <c r="T144" i="8"/>
  <c r="V228" i="2"/>
  <c r="K194" i="2"/>
  <c r="K208" i="2" s="1"/>
  <c r="U254" i="2"/>
  <c r="R145" i="8"/>
  <c r="T119" i="2"/>
  <c r="T145" i="2" s="1"/>
  <c r="L317" i="2"/>
  <c r="O308" i="2"/>
  <c r="O309" i="2"/>
  <c r="O313" i="2"/>
  <c r="Q261" i="2"/>
  <c r="Q262" i="2"/>
  <c r="Q243" i="2"/>
  <c r="Q241" i="2" s="1"/>
  <c r="Q247" i="2"/>
  <c r="Q245" i="2" s="1"/>
  <c r="Q249" i="2"/>
  <c r="Q263" i="2"/>
  <c r="P329" i="2"/>
  <c r="P282" i="2"/>
  <c r="P293" i="2" s="1"/>
  <c r="Q323" i="2"/>
  <c r="Q322" i="2"/>
  <c r="Q327" i="2"/>
  <c r="P279" i="2"/>
  <c r="P290" i="2" s="1"/>
  <c r="P310" i="2" s="1"/>
  <c r="P326" i="2"/>
  <c r="P325" i="2"/>
  <c r="P278" i="2"/>
  <c r="P289" i="2" s="1"/>
  <c r="Q231" i="2"/>
  <c r="P306" i="2"/>
  <c r="P307" i="2"/>
  <c r="P316" i="2"/>
  <c r="P315" i="2"/>
  <c r="L285" i="2"/>
  <c r="K305" i="2"/>
  <c r="K319" i="2" s="1"/>
  <c r="P252" i="8"/>
  <c r="R230" i="2" s="1"/>
  <c r="R229" i="2"/>
  <c r="O328" i="2"/>
  <c r="O281" i="2"/>
  <c r="O292" i="2" s="1"/>
  <c r="P277" i="2"/>
  <c r="P288" i="2" s="1"/>
  <c r="P324" i="2"/>
  <c r="M314" i="2"/>
  <c r="N294" i="2"/>
  <c r="N312" i="2"/>
  <c r="L164" i="2"/>
  <c r="L193" i="2" s="1"/>
  <c r="O151" i="2"/>
  <c r="O219" i="2" s="1"/>
  <c r="X8" i="11"/>
  <c r="Y1" i="11"/>
  <c r="L165" i="2"/>
  <c r="L175" i="2" s="1"/>
  <c r="W117" i="2"/>
  <c r="W157" i="2" s="1"/>
  <c r="U4" i="8"/>
  <c r="X1" i="2"/>
  <c r="W8" i="2"/>
  <c r="N158" i="2"/>
  <c r="N159" i="2" s="1"/>
  <c r="N174" i="2" s="1"/>
  <c r="N172" i="2"/>
  <c r="N183" i="2" s="1"/>
  <c r="M124" i="2"/>
  <c r="M165" i="2" s="1"/>
  <c r="M175" i="2" s="1"/>
  <c r="Z2" i="2"/>
  <c r="BB5" i="6"/>
  <c r="W1" i="8"/>
  <c r="N199" i="2"/>
  <c r="N204" i="2"/>
  <c r="O197" i="2"/>
  <c r="O198" i="2"/>
  <c r="O207" i="2"/>
  <c r="O206" i="2"/>
  <c r="O215" i="2"/>
  <c r="O168" i="2"/>
  <c r="O179" i="2" s="1"/>
  <c r="W144" i="2"/>
  <c r="N200" i="2"/>
  <c r="P152" i="2"/>
  <c r="P134" i="2"/>
  <c r="P132" i="2" s="1"/>
  <c r="P153" i="2"/>
  <c r="P138" i="2"/>
  <c r="P136" i="2" s="1"/>
  <c r="P140" i="2"/>
  <c r="P154" i="2"/>
  <c r="M203" i="2"/>
  <c r="P213" i="2"/>
  <c r="P214" i="2"/>
  <c r="P122" i="2"/>
  <c r="Q120" i="2"/>
  <c r="O253" i="8"/>
  <c r="Q121" i="2" s="1"/>
  <c r="N212" i="2"/>
  <c r="Q172" i="8"/>
  <c r="P199" i="8"/>
  <c r="O173" i="2"/>
  <c r="O184" i="2" s="1"/>
  <c r="O220" i="2"/>
  <c r="O202" i="2"/>
  <c r="R148" i="2"/>
  <c r="Q149" i="2"/>
  <c r="Q147" i="2" s="1"/>
  <c r="Q142" i="2" s="1"/>
  <c r="O217" i="2"/>
  <c r="O170" i="2"/>
  <c r="O181" i="2" s="1"/>
  <c r="O201" i="2" s="1"/>
  <c r="P171" i="2"/>
  <c r="P182" i="2" s="1"/>
  <c r="P218" i="2"/>
  <c r="O216" i="2"/>
  <c r="O169" i="2"/>
  <c r="O180" i="2" s="1"/>
  <c r="N195" i="8"/>
  <c r="M222" i="8"/>
  <c r="M276" i="8" s="1"/>
  <c r="M204" i="8"/>
  <c r="M258" i="8" s="1"/>
  <c r="N177" i="8"/>
  <c r="N184" i="8"/>
  <c r="M211" i="8"/>
  <c r="M265" i="8" s="1"/>
  <c r="M209" i="8"/>
  <c r="M263" i="8" s="1"/>
  <c r="N182" i="8"/>
  <c r="Q147" i="8"/>
  <c r="Q201" i="8" s="1"/>
  <c r="Q255" i="8" s="1"/>
  <c r="S10" i="2"/>
  <c r="I106" i="14"/>
  <c r="I59" i="14"/>
  <c r="K24" i="14"/>
  <c r="J25" i="14"/>
  <c r="J23" i="14" s="1"/>
  <c r="H59" i="14"/>
  <c r="H106" i="14"/>
  <c r="G59" i="14"/>
  <c r="G70" i="14" s="1"/>
  <c r="G90" i="14" s="1"/>
  <c r="G106" i="14"/>
  <c r="H28" i="14"/>
  <c r="G29" i="14"/>
  <c r="A31" i="14"/>
  <c r="A32" i="14" s="1"/>
  <c r="F30" i="14"/>
  <c r="G30" i="14" s="1"/>
  <c r="H30" i="14" s="1"/>
  <c r="I30" i="14" s="1"/>
  <c r="J30" i="14" s="1"/>
  <c r="K30" i="14" s="1"/>
  <c r="L30" i="14" s="1"/>
  <c r="M30" i="14" s="1"/>
  <c r="N30" i="14" s="1"/>
  <c r="O30" i="14" s="1"/>
  <c r="P30" i="14" s="1"/>
  <c r="Q30" i="14" s="1"/>
  <c r="R30" i="14" s="1"/>
  <c r="S30" i="14" s="1"/>
  <c r="T30" i="14" s="1"/>
  <c r="U30" i="14" s="1"/>
  <c r="V30" i="14" s="1"/>
  <c r="W30" i="14" s="1"/>
  <c r="X30" i="14" s="1"/>
  <c r="Y30" i="14" s="1"/>
  <c r="Z30" i="14" s="1"/>
  <c r="H59" i="11"/>
  <c r="H106" i="11"/>
  <c r="J24" i="11"/>
  <c r="I25" i="11"/>
  <c r="I23" i="11" s="1"/>
  <c r="G106" i="11"/>
  <c r="G59" i="11"/>
  <c r="G70" i="11" s="1"/>
  <c r="G90" i="11" s="1"/>
  <c r="O42" i="11"/>
  <c r="O110" i="11" s="1"/>
  <c r="F30" i="1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31" i="11"/>
  <c r="A32" i="11" s="1"/>
  <c r="H28" i="11"/>
  <c r="G29" i="11"/>
  <c r="N63" i="11"/>
  <c r="N74" i="11" s="1"/>
  <c r="N94" i="11" s="1"/>
  <c r="N110" i="11"/>
  <c r="O208" i="8"/>
  <c r="O262" i="8" s="1"/>
  <c r="P181" i="8"/>
  <c r="O183" i="8"/>
  <c r="N210" i="8"/>
  <c r="N264" i="8" s="1"/>
  <c r="Q11" i="11"/>
  <c r="O259" i="8"/>
  <c r="Q12" i="11" s="1"/>
  <c r="O88" i="11"/>
  <c r="O89" i="11"/>
  <c r="Q11" i="2"/>
  <c r="Q178" i="8"/>
  <c r="P205" i="8"/>
  <c r="P45" i="11"/>
  <c r="P44" i="11"/>
  <c r="P43" i="11"/>
  <c r="P13" i="11"/>
  <c r="P104" i="11"/>
  <c r="P103" i="11" s="1"/>
  <c r="P105" i="11"/>
  <c r="O207" i="8"/>
  <c r="O261" i="8" s="1"/>
  <c r="P180" i="8"/>
  <c r="Q198" i="8"/>
  <c r="R171" i="8"/>
  <c r="O64" i="11"/>
  <c r="O75" i="11" s="1"/>
  <c r="O95" i="11" s="1"/>
  <c r="O111" i="11"/>
  <c r="P206" i="8"/>
  <c r="P260" i="8" s="1"/>
  <c r="Q179" i="8"/>
  <c r="U131" i="8"/>
  <c r="V77" i="8"/>
  <c r="T158" i="8"/>
  <c r="V10" i="14"/>
  <c r="V143" i="8"/>
  <c r="W70" i="8"/>
  <c r="V124" i="8"/>
  <c r="X62" i="8"/>
  <c r="X116" i="8" s="1"/>
  <c r="Z337" i="2" s="1"/>
  <c r="Z363" i="2" s="1"/>
  <c r="W116" i="8"/>
  <c r="Y337" i="2" s="1"/>
  <c r="Y363" i="2" s="1"/>
  <c r="U151" i="8"/>
  <c r="W10" i="11"/>
  <c r="V87" i="8"/>
  <c r="U141" i="8"/>
  <c r="U168" i="8" s="1"/>
  <c r="V76" i="8"/>
  <c r="U130" i="8"/>
  <c r="U157" i="8" s="1"/>
  <c r="V69" i="8"/>
  <c r="U123" i="8"/>
  <c r="U150" i="8" s="1"/>
  <c r="T110" i="8"/>
  <c r="S137" i="8"/>
  <c r="S164" i="8" s="1"/>
  <c r="S218" i="8" s="1"/>
  <c r="S272" i="8" s="1"/>
  <c r="R113" i="8"/>
  <c r="Q140" i="8"/>
  <c r="Q167" i="8" s="1"/>
  <c r="Q221" i="8" s="1"/>
  <c r="Q275" i="8" s="1"/>
  <c r="Q139" i="8"/>
  <c r="Q166" i="8" s="1"/>
  <c r="Q220" i="8" s="1"/>
  <c r="Q274" i="8" s="1"/>
  <c r="R112" i="8"/>
  <c r="U109" i="8"/>
  <c r="T136" i="8"/>
  <c r="T163" i="8" s="1"/>
  <c r="S111" i="8"/>
  <c r="R138" i="8"/>
  <c r="R165" i="8" s="1"/>
  <c r="R219" i="8" s="1"/>
  <c r="R273" i="8" s="1"/>
  <c r="V106" i="8"/>
  <c r="U133" i="8"/>
  <c r="U160" i="8" s="1"/>
  <c r="W108" i="8"/>
  <c r="V135" i="8"/>
  <c r="V162" i="8" s="1"/>
  <c r="V107" i="8"/>
  <c r="U134" i="8"/>
  <c r="U161" i="8" s="1"/>
  <c r="U132" i="8"/>
  <c r="U159" i="8" s="1"/>
  <c r="V105" i="8"/>
  <c r="X98" i="8"/>
  <c r="X125" i="8" s="1"/>
  <c r="W125" i="8"/>
  <c r="W152" i="8" s="1"/>
  <c r="V128" i="8"/>
  <c r="V155" i="8" s="1"/>
  <c r="W101" i="8"/>
  <c r="X99" i="8"/>
  <c r="X126" i="8" s="1"/>
  <c r="W126" i="8"/>
  <c r="W153" i="8" s="1"/>
  <c r="W102" i="8"/>
  <c r="V129" i="8"/>
  <c r="V156" i="8" s="1"/>
  <c r="W100" i="8"/>
  <c r="V127" i="8"/>
  <c r="V154" i="8" s="1"/>
  <c r="R120" i="8"/>
  <c r="S93" i="8"/>
  <c r="T92" i="8"/>
  <c r="S119" i="8"/>
  <c r="T91" i="8"/>
  <c r="S118" i="8"/>
  <c r="R95" i="8"/>
  <c r="Q122" i="8"/>
  <c r="Q149" i="8" s="1"/>
  <c r="Q203" i="8" s="1"/>
  <c r="Q257" i="8" s="1"/>
  <c r="R94" i="8"/>
  <c r="Q121" i="8"/>
  <c r="Q148" i="8" s="1"/>
  <c r="Q202" i="8" s="1"/>
  <c r="Q256" i="8" s="1"/>
  <c r="U117" i="8"/>
  <c r="V90" i="8"/>
  <c r="F28" i="2"/>
  <c r="G28" i="2" s="1"/>
  <c r="A29" i="2"/>
  <c r="A30" i="2" s="1"/>
  <c r="G23" i="2"/>
  <c r="I24" i="2"/>
  <c r="H25" i="2"/>
  <c r="H23" i="2" s="1"/>
  <c r="T185" i="8"/>
  <c r="S212" i="8"/>
  <c r="S43" i="14"/>
  <c r="S45" i="14"/>
  <c r="S44" i="14"/>
  <c r="S105" i="14"/>
  <c r="S104" i="14"/>
  <c r="S103" i="14" s="1"/>
  <c r="S13" i="14"/>
  <c r="T176" i="8"/>
  <c r="S215" i="8"/>
  <c r="S269" i="8" s="1"/>
  <c r="T188" i="8"/>
  <c r="T191" i="8"/>
  <c r="T186" i="8"/>
  <c r="S213" i="8"/>
  <c r="S267" i="8" s="1"/>
  <c r="T175" i="8"/>
  <c r="T194" i="8"/>
  <c r="T174" i="8"/>
  <c r="S217" i="8"/>
  <c r="S271" i="8" s="1"/>
  <c r="T190" i="8"/>
  <c r="T189" i="8"/>
  <c r="S216" i="8"/>
  <c r="S270" i="8" s="1"/>
  <c r="T187" i="8"/>
  <c r="S214" i="8"/>
  <c r="S268" i="8" s="1"/>
  <c r="T193" i="8"/>
  <c r="R266" i="8"/>
  <c r="T12" i="14" s="1"/>
  <c r="T11" i="14"/>
  <c r="R268" i="8"/>
  <c r="R88" i="14"/>
  <c r="R89" i="14"/>
  <c r="T173" i="8"/>
  <c r="V192" i="8"/>
  <c r="R360" i="2" l="1"/>
  <c r="Q539" i="2"/>
  <c r="M521" i="2"/>
  <c r="M535" i="2" s="1"/>
  <c r="O512" i="2"/>
  <c r="O532" i="2" s="1"/>
  <c r="S470" i="2"/>
  <c r="I394" i="2"/>
  <c r="I414" i="2" s="1"/>
  <c r="I428" i="2" s="1"/>
  <c r="O548" i="2"/>
  <c r="O492" i="2"/>
  <c r="O502" i="2" s="1"/>
  <c r="R478" i="2"/>
  <c r="R546" i="2" s="1"/>
  <c r="P507" i="2"/>
  <c r="P527" i="2" s="1"/>
  <c r="J383" i="2"/>
  <c r="J393" i="2" s="1"/>
  <c r="J439" i="2"/>
  <c r="Q511" i="2"/>
  <c r="Q531" i="2" s="1"/>
  <c r="J412" i="2"/>
  <c r="J426" i="2" s="1"/>
  <c r="Q506" i="2"/>
  <c r="Q526" i="2" s="1"/>
  <c r="P451" i="2"/>
  <c r="P548" i="2" s="1"/>
  <c r="P508" i="2"/>
  <c r="P528" i="2" s="1"/>
  <c r="M369" i="2"/>
  <c r="M376" i="2" s="1"/>
  <c r="L377" i="2"/>
  <c r="L392" i="2" s="1"/>
  <c r="L403" i="2" s="1"/>
  <c r="L423" i="2" s="1"/>
  <c r="L89" i="2"/>
  <c r="L88" i="2"/>
  <c r="Z367" i="2"/>
  <c r="M434" i="2"/>
  <c r="M387" i="2"/>
  <c r="M398" i="2" s="1"/>
  <c r="R524" i="2"/>
  <c r="R534" i="2"/>
  <c r="R525" i="2"/>
  <c r="R533" i="2"/>
  <c r="M433" i="2"/>
  <c r="M386" i="2"/>
  <c r="M397" i="2" s="1"/>
  <c r="M251" i="8"/>
  <c r="O338" i="2"/>
  <c r="Q486" i="2"/>
  <c r="Q501" i="2" s="1"/>
  <c r="K421" i="2"/>
  <c r="L422" i="2"/>
  <c r="L417" i="2"/>
  <c r="R547" i="2"/>
  <c r="R500" i="2"/>
  <c r="R511" i="2" s="1"/>
  <c r="R531" i="2" s="1"/>
  <c r="L419" i="2"/>
  <c r="M438" i="2"/>
  <c r="M391" i="2"/>
  <c r="M402" i="2" s="1"/>
  <c r="S146" i="8"/>
  <c r="S200" i="8" s="1"/>
  <c r="U446" i="2"/>
  <c r="L415" i="2"/>
  <c r="L425" i="2"/>
  <c r="L416" i="2"/>
  <c r="L424" i="2"/>
  <c r="L420" i="2"/>
  <c r="L418" i="2"/>
  <c r="T476" i="2"/>
  <c r="T472" i="2"/>
  <c r="Q507" i="2"/>
  <c r="Q527" i="2" s="1"/>
  <c r="S361" i="2"/>
  <c r="T364" i="2"/>
  <c r="S368" i="2"/>
  <c r="S365" i="2" s="1"/>
  <c r="N521" i="2"/>
  <c r="N535" i="2" s="1"/>
  <c r="R254" i="8"/>
  <c r="T448" i="2" s="1"/>
  <c r="T447" i="2"/>
  <c r="M431" i="2"/>
  <c r="M432" i="2"/>
  <c r="M340" i="2"/>
  <c r="M436" i="2"/>
  <c r="S477" i="2"/>
  <c r="S474" i="2" s="1"/>
  <c r="S469" i="2" s="1"/>
  <c r="T473" i="2"/>
  <c r="L503" i="2"/>
  <c r="K523" i="2"/>
  <c r="K537" i="2" s="1"/>
  <c r="R389" i="2"/>
  <c r="R400" i="2" s="1"/>
  <c r="S481" i="2"/>
  <c r="S480" i="2"/>
  <c r="S479" i="2"/>
  <c r="S461" i="2"/>
  <c r="S459" i="2" s="1"/>
  <c r="S465" i="2"/>
  <c r="S463" i="2" s="1"/>
  <c r="S467" i="2"/>
  <c r="R544" i="2"/>
  <c r="R497" i="2"/>
  <c r="M13" i="2"/>
  <c r="M105" i="2"/>
  <c r="M104" i="2"/>
  <c r="R545" i="2"/>
  <c r="R498" i="2"/>
  <c r="R509" i="2" s="1"/>
  <c r="R529" i="2" s="1"/>
  <c r="N372" i="2"/>
  <c r="N371" i="2"/>
  <c r="N370" i="2"/>
  <c r="N352" i="2"/>
  <c r="N350" i="2" s="1"/>
  <c r="N356" i="2"/>
  <c r="N354" i="2" s="1"/>
  <c r="N358" i="2"/>
  <c r="L437" i="2"/>
  <c r="L430" i="2" s="1"/>
  <c r="L390" i="2"/>
  <c r="L401" i="2" s="1"/>
  <c r="S540" i="2"/>
  <c r="S539" i="2" s="1"/>
  <c r="S449" i="2"/>
  <c r="S541" i="2"/>
  <c r="R543" i="2"/>
  <c r="R496" i="2"/>
  <c r="Y367" i="2"/>
  <c r="N12" i="2"/>
  <c r="N339" i="2"/>
  <c r="N530" i="2"/>
  <c r="O510" i="2"/>
  <c r="K342" i="2"/>
  <c r="R542" i="2"/>
  <c r="R495" i="2"/>
  <c r="M435" i="2"/>
  <c r="M388" i="2"/>
  <c r="M399" i="2" s="1"/>
  <c r="P267" i="2"/>
  <c r="P268" i="2" s="1"/>
  <c r="P283" i="2" s="1"/>
  <c r="P328" i="2"/>
  <c r="P321" i="2" s="1"/>
  <c r="X516" i="2"/>
  <c r="X80" i="14"/>
  <c r="Y515" i="2"/>
  <c r="Y518" i="2" s="1"/>
  <c r="Y493" i="2"/>
  <c r="Y504" i="2" s="1"/>
  <c r="Y494" i="2"/>
  <c r="Y505" i="2" s="1"/>
  <c r="Y406" i="2"/>
  <c r="Y409" i="2" s="1"/>
  <c r="Y385" i="2"/>
  <c r="Y396" i="2" s="1"/>
  <c r="Y384" i="2"/>
  <c r="Y395" i="2" s="1"/>
  <c r="Y514" i="2"/>
  <c r="Y405" i="2"/>
  <c r="V408" i="2"/>
  <c r="V517" i="2"/>
  <c r="X407" i="2"/>
  <c r="X226" i="2"/>
  <c r="X266" i="2" s="1"/>
  <c r="X444" i="2"/>
  <c r="X335" i="2"/>
  <c r="W375" i="2"/>
  <c r="X286" i="2"/>
  <c r="W484" i="2"/>
  <c r="X299" i="2"/>
  <c r="S259" i="2"/>
  <c r="T255" i="2"/>
  <c r="S252" i="2"/>
  <c r="S150" i="2"/>
  <c r="T146" i="2"/>
  <c r="T143" i="2" s="1"/>
  <c r="S143" i="2"/>
  <c r="O321" i="2"/>
  <c r="X190" i="2"/>
  <c r="X80" i="2"/>
  <c r="X298" i="2"/>
  <c r="X189" i="2"/>
  <c r="N185" i="2"/>
  <c r="N205" i="2" s="1"/>
  <c r="Y276" i="2"/>
  <c r="Y287" i="2" s="1"/>
  <c r="Y297" i="2"/>
  <c r="Y300" i="2" s="1"/>
  <c r="Y275" i="2"/>
  <c r="Y296" i="2"/>
  <c r="Y299" i="2" s="1"/>
  <c r="Y188" i="2"/>
  <c r="Y191" i="2" s="1"/>
  <c r="Y166" i="2"/>
  <c r="Y177" i="2" s="1"/>
  <c r="Y167" i="2"/>
  <c r="Y178" i="2" s="1"/>
  <c r="Y187" i="2"/>
  <c r="Y58" i="2"/>
  <c r="Y69" i="2" s="1"/>
  <c r="Y79" i="2"/>
  <c r="Y79" i="11"/>
  <c r="Y78" i="2"/>
  <c r="Y57" i="11"/>
  <c r="Y68" i="11" s="1"/>
  <c r="Y57" i="14"/>
  <c r="Y68" i="14" s="1"/>
  <c r="Y79" i="14"/>
  <c r="Y58" i="14"/>
  <c r="Y69" i="14" s="1"/>
  <c r="Y78" i="14"/>
  <c r="Y58" i="11"/>
  <c r="Y69" i="11" s="1"/>
  <c r="Y57" i="2"/>
  <c r="Y68" i="2" s="1"/>
  <c r="BC14" i="6"/>
  <c r="Y78" i="11"/>
  <c r="BB15" i="6"/>
  <c r="K176" i="2"/>
  <c r="L176" i="2" s="1"/>
  <c r="M273" i="2"/>
  <c r="M302" i="2" s="1"/>
  <c r="M303" i="2" s="1"/>
  <c r="M317" i="2" s="1"/>
  <c r="M274" i="2"/>
  <c r="M284" i="2" s="1"/>
  <c r="N274" i="2"/>
  <c r="N284" i="2" s="1"/>
  <c r="N273" i="2"/>
  <c r="N302" i="2" s="1"/>
  <c r="N197" i="8"/>
  <c r="O170" i="8"/>
  <c r="R257" i="2"/>
  <c r="Q258" i="2"/>
  <c r="Q256" i="2" s="1"/>
  <c r="P291" i="2"/>
  <c r="O311" i="2"/>
  <c r="L194" i="2"/>
  <c r="L208" i="2" s="1"/>
  <c r="V254" i="2"/>
  <c r="U144" i="8"/>
  <c r="W228" i="2"/>
  <c r="Q252" i="8"/>
  <c r="S230" i="2" s="1"/>
  <c r="S229" i="2"/>
  <c r="S145" i="8"/>
  <c r="U119" i="2"/>
  <c r="U145" i="2" s="1"/>
  <c r="O233" i="2"/>
  <c r="P308" i="2"/>
  <c r="R323" i="2"/>
  <c r="R322" i="2"/>
  <c r="R327" i="2"/>
  <c r="Q329" i="2"/>
  <c r="Q282" i="2"/>
  <c r="Q293" i="2" s="1"/>
  <c r="Q279" i="2"/>
  <c r="Q290" i="2" s="1"/>
  <c r="Q310" i="2" s="1"/>
  <c r="Q326" i="2"/>
  <c r="P313" i="2"/>
  <c r="O158" i="2"/>
  <c r="O159" i="2" s="1"/>
  <c r="O174" i="2" s="1"/>
  <c r="L305" i="2"/>
  <c r="L319" i="2" s="1"/>
  <c r="Q325" i="2"/>
  <c r="Q278" i="2"/>
  <c r="Q289" i="2" s="1"/>
  <c r="P309" i="2"/>
  <c r="O172" i="2"/>
  <c r="O183" i="2" s="1"/>
  <c r="P292" i="2"/>
  <c r="O312" i="2"/>
  <c r="Q277" i="2"/>
  <c r="Q288" i="2" s="1"/>
  <c r="Q324" i="2"/>
  <c r="R231" i="2"/>
  <c r="Q307" i="2"/>
  <c r="Q306" i="2"/>
  <c r="Q316" i="2"/>
  <c r="Q315" i="2"/>
  <c r="N314" i="2"/>
  <c r="O294" i="2"/>
  <c r="Q260" i="2"/>
  <c r="R261" i="2"/>
  <c r="R262" i="2"/>
  <c r="R243" i="2"/>
  <c r="R241" i="2" s="1"/>
  <c r="R247" i="2"/>
  <c r="R245" i="2" s="1"/>
  <c r="R249" i="2"/>
  <c r="R263" i="2"/>
  <c r="Y8" i="11"/>
  <c r="Z1" i="11"/>
  <c r="Z8" i="11" s="1"/>
  <c r="M221" i="2"/>
  <c r="X117" i="2"/>
  <c r="X157" i="2" s="1"/>
  <c r="X8" i="2"/>
  <c r="Y1" i="2"/>
  <c r="V4" i="8"/>
  <c r="M164" i="2"/>
  <c r="M193" i="2" s="1"/>
  <c r="BC5" i="6"/>
  <c r="X1" i="8"/>
  <c r="P202" i="2"/>
  <c r="O199" i="2"/>
  <c r="O204" i="2"/>
  <c r="O200" i="2"/>
  <c r="O212" i="2"/>
  <c r="Q214" i="2"/>
  <c r="Q213" i="2"/>
  <c r="Q122" i="2"/>
  <c r="N203" i="2"/>
  <c r="O63" i="11"/>
  <c r="O74" i="11" s="1"/>
  <c r="O94" i="11" s="1"/>
  <c r="Q152" i="2"/>
  <c r="Q153" i="2"/>
  <c r="Q134" i="2"/>
  <c r="Q132" i="2" s="1"/>
  <c r="Q138" i="2"/>
  <c r="Q136" i="2" s="1"/>
  <c r="Q140" i="2"/>
  <c r="Q154" i="2"/>
  <c r="P220" i="2"/>
  <c r="P173" i="2"/>
  <c r="P184" i="2" s="1"/>
  <c r="Q171" i="2"/>
  <c r="Q182" i="2" s="1"/>
  <c r="Q218" i="2"/>
  <c r="P253" i="8"/>
  <c r="R121" i="2" s="1"/>
  <c r="R120" i="2"/>
  <c r="P217" i="2"/>
  <c r="P170" i="2"/>
  <c r="P181" i="2" s="1"/>
  <c r="X144" i="2"/>
  <c r="S148" i="2"/>
  <c r="R149" i="2"/>
  <c r="R147" i="2" s="1"/>
  <c r="R142" i="2" s="1"/>
  <c r="R172" i="8"/>
  <c r="Q199" i="8"/>
  <c r="P216" i="2"/>
  <c r="P169" i="2"/>
  <c r="P180" i="2" s="1"/>
  <c r="N124" i="2"/>
  <c r="N221" i="2" s="1"/>
  <c r="P198" i="2"/>
  <c r="P197" i="2"/>
  <c r="P207" i="2"/>
  <c r="P206" i="2"/>
  <c r="P151" i="2"/>
  <c r="P215" i="2"/>
  <c r="P168" i="2"/>
  <c r="P179" i="2" s="1"/>
  <c r="N209" i="8"/>
  <c r="N263" i="8" s="1"/>
  <c r="O182" i="8"/>
  <c r="N211" i="8"/>
  <c r="N265" i="8" s="1"/>
  <c r="O184" i="8"/>
  <c r="O177" i="8"/>
  <c r="N204" i="8"/>
  <c r="N258" i="8" s="1"/>
  <c r="N222" i="8"/>
  <c r="N276" i="8" s="1"/>
  <c r="O195" i="8"/>
  <c r="R147" i="8"/>
  <c r="R201" i="8" s="1"/>
  <c r="R255" i="8" s="1"/>
  <c r="T10" i="2"/>
  <c r="H70" i="14"/>
  <c r="H90" i="14" s="1"/>
  <c r="A33" i="14"/>
  <c r="F32" i="14"/>
  <c r="G32" i="14" s="1"/>
  <c r="G27" i="14"/>
  <c r="I28" i="14"/>
  <c r="H29" i="14"/>
  <c r="H27" i="14" s="1"/>
  <c r="J106" i="14"/>
  <c r="J59" i="14"/>
  <c r="L24" i="14"/>
  <c r="K25" i="14"/>
  <c r="K23" i="14" s="1"/>
  <c r="G27" i="11"/>
  <c r="I106" i="11"/>
  <c r="I59" i="11"/>
  <c r="I28" i="11"/>
  <c r="H29" i="11"/>
  <c r="H27" i="11" s="1"/>
  <c r="K24" i="11"/>
  <c r="J25" i="11"/>
  <c r="J23" i="11" s="1"/>
  <c r="A33" i="11"/>
  <c r="F32" i="11"/>
  <c r="G32" i="11" s="1"/>
  <c r="H70" i="11"/>
  <c r="H90" i="11" s="1"/>
  <c r="Q43" i="2"/>
  <c r="Q45" i="2"/>
  <c r="Q44" i="2"/>
  <c r="R11" i="2"/>
  <c r="Q104" i="11"/>
  <c r="Q103" i="11" s="1"/>
  <c r="Q13" i="11"/>
  <c r="Q105" i="11"/>
  <c r="P42" i="11"/>
  <c r="Q181" i="8"/>
  <c r="P208" i="8"/>
  <c r="P262" i="8" s="1"/>
  <c r="Q45" i="11"/>
  <c r="Q44" i="11"/>
  <c r="Q43" i="11"/>
  <c r="P64" i="11"/>
  <c r="P75" i="11" s="1"/>
  <c r="P95" i="11" s="1"/>
  <c r="P111" i="11"/>
  <c r="P183" i="8"/>
  <c r="O210" i="8"/>
  <c r="O264" i="8" s="1"/>
  <c r="Q206" i="8"/>
  <c r="Q260" i="8" s="1"/>
  <c r="R179" i="8"/>
  <c r="Q180" i="8"/>
  <c r="P207" i="8"/>
  <c r="P261" i="8" s="1"/>
  <c r="P88" i="11"/>
  <c r="P89" i="11"/>
  <c r="P259" i="8"/>
  <c r="R12" i="11" s="1"/>
  <c r="R11" i="11"/>
  <c r="R198" i="8"/>
  <c r="S171" i="8"/>
  <c r="R178" i="8"/>
  <c r="Q205" i="8"/>
  <c r="W143" i="8"/>
  <c r="X143" i="8"/>
  <c r="Z116" i="8"/>
  <c r="I26" i="1" s="1"/>
  <c r="V151" i="8"/>
  <c r="X10" i="11"/>
  <c r="X70" i="8"/>
  <c r="X124" i="8" s="1"/>
  <c r="W124" i="8"/>
  <c r="V131" i="8"/>
  <c r="W77" i="8"/>
  <c r="U158" i="8"/>
  <c r="W10" i="14"/>
  <c r="W87" i="8"/>
  <c r="V141" i="8"/>
  <c r="V168" i="8" s="1"/>
  <c r="W76" i="8"/>
  <c r="V130" i="8"/>
  <c r="V157" i="8" s="1"/>
  <c r="V123" i="8"/>
  <c r="V150" i="8" s="1"/>
  <c r="W69" i="8"/>
  <c r="T111" i="8"/>
  <c r="S138" i="8"/>
  <c r="S165" i="8" s="1"/>
  <c r="S219" i="8" s="1"/>
  <c r="S273" i="8" s="1"/>
  <c r="T137" i="8"/>
  <c r="T164" i="8" s="1"/>
  <c r="T218" i="8" s="1"/>
  <c r="T272" i="8" s="1"/>
  <c r="U110" i="8"/>
  <c r="U136" i="8"/>
  <c r="V109" i="8"/>
  <c r="S112" i="8"/>
  <c r="R139" i="8"/>
  <c r="R166" i="8" s="1"/>
  <c r="R220" i="8" s="1"/>
  <c r="R274" i="8" s="1"/>
  <c r="R140" i="8"/>
  <c r="R167" i="8" s="1"/>
  <c r="R221" i="8" s="1"/>
  <c r="R275" i="8" s="1"/>
  <c r="S113" i="8"/>
  <c r="W107" i="8"/>
  <c r="V134" i="8"/>
  <c r="V161" i="8" s="1"/>
  <c r="V132" i="8"/>
  <c r="V159" i="8" s="1"/>
  <c r="W105" i="8"/>
  <c r="W135" i="8"/>
  <c r="W162" i="8" s="1"/>
  <c r="X108" i="8"/>
  <c r="X135" i="8" s="1"/>
  <c r="W106" i="8"/>
  <c r="V133" i="8"/>
  <c r="V160" i="8" s="1"/>
  <c r="X102" i="8"/>
  <c r="X129" i="8" s="1"/>
  <c r="W129" i="8"/>
  <c r="W156" i="8" s="1"/>
  <c r="X101" i="8"/>
  <c r="X128" i="8" s="1"/>
  <c r="W128" i="8"/>
  <c r="W155" i="8" s="1"/>
  <c r="X153" i="8"/>
  <c r="Z126" i="8"/>
  <c r="W127" i="8"/>
  <c r="W154" i="8" s="1"/>
  <c r="X100" i="8"/>
  <c r="X127" i="8" s="1"/>
  <c r="X152" i="8"/>
  <c r="Z125" i="8"/>
  <c r="S95" i="8"/>
  <c r="R122" i="8"/>
  <c r="R149" i="8" s="1"/>
  <c r="R203" i="8" s="1"/>
  <c r="R257" i="8" s="1"/>
  <c r="U91" i="8"/>
  <c r="T118" i="8"/>
  <c r="U92" i="8"/>
  <c r="T119" i="8"/>
  <c r="V446" i="2" s="1"/>
  <c r="T93" i="8"/>
  <c r="S120" i="8"/>
  <c r="R121" i="8"/>
  <c r="S94" i="8"/>
  <c r="W90" i="8"/>
  <c r="V117" i="8"/>
  <c r="S42" i="14"/>
  <c r="F30" i="2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31" i="2"/>
  <c r="A32" i="2" s="1"/>
  <c r="H28" i="2"/>
  <c r="G29" i="2"/>
  <c r="H106" i="2"/>
  <c r="H59" i="2"/>
  <c r="J24" i="2"/>
  <c r="I25" i="2"/>
  <c r="I23" i="2" s="1"/>
  <c r="G59" i="2"/>
  <c r="G70" i="2" s="1"/>
  <c r="G90" i="2" s="1"/>
  <c r="G106" i="2"/>
  <c r="T214" i="8"/>
  <c r="U187" i="8"/>
  <c r="U191" i="8"/>
  <c r="S89" i="14"/>
  <c r="S88" i="14"/>
  <c r="U186" i="8"/>
  <c r="T213" i="8"/>
  <c r="T267" i="8" s="1"/>
  <c r="U175" i="8"/>
  <c r="T43" i="14"/>
  <c r="T45" i="14"/>
  <c r="T44" i="14"/>
  <c r="T105" i="14"/>
  <c r="T13" i="14"/>
  <c r="T104" i="14"/>
  <c r="T103" i="14" s="1"/>
  <c r="T217" i="8"/>
  <c r="T271" i="8" s="1"/>
  <c r="U190" i="8"/>
  <c r="U173" i="8"/>
  <c r="U194" i="8"/>
  <c r="U188" i="8"/>
  <c r="T215" i="8"/>
  <c r="T269" i="8" s="1"/>
  <c r="U189" i="8"/>
  <c r="T216" i="8"/>
  <c r="T270" i="8" s="1"/>
  <c r="U176" i="8"/>
  <c r="S266" i="8"/>
  <c r="U12" i="14" s="1"/>
  <c r="U11" i="14"/>
  <c r="U193" i="8"/>
  <c r="S111" i="14"/>
  <c r="S64" i="14"/>
  <c r="U174" i="8"/>
  <c r="T212" i="8"/>
  <c r="U185" i="8"/>
  <c r="W192" i="8"/>
  <c r="R485" i="2" l="1"/>
  <c r="R539" i="2"/>
  <c r="R499" i="2"/>
  <c r="S360" i="2"/>
  <c r="P492" i="2"/>
  <c r="P502" i="2" s="1"/>
  <c r="P512" i="2"/>
  <c r="P532" i="2" s="1"/>
  <c r="J394" i="2"/>
  <c r="J414" i="2" s="1"/>
  <c r="J428" i="2" s="1"/>
  <c r="R506" i="2"/>
  <c r="R526" i="2" s="1"/>
  <c r="P491" i="2"/>
  <c r="P520" i="2" s="1"/>
  <c r="Q508" i="2"/>
  <c r="Q528" i="2" s="1"/>
  <c r="M390" i="2"/>
  <c r="M401" i="2" s="1"/>
  <c r="M421" i="2" s="1"/>
  <c r="M437" i="2"/>
  <c r="M430" i="2" s="1"/>
  <c r="L342" i="2"/>
  <c r="L439" i="2" s="1"/>
  <c r="N369" i="2"/>
  <c r="N437" i="2" s="1"/>
  <c r="O521" i="2"/>
  <c r="O535" i="2" s="1"/>
  <c r="K196" i="2"/>
  <c r="K210" i="2" s="1"/>
  <c r="Q451" i="2"/>
  <c r="Q548" i="2" s="1"/>
  <c r="L421" i="2"/>
  <c r="S545" i="2"/>
  <c r="S498" i="2"/>
  <c r="S509" i="2" s="1"/>
  <c r="S529" i="2" s="1"/>
  <c r="O370" i="2"/>
  <c r="O371" i="2"/>
  <c r="O372" i="2"/>
  <c r="O352" i="2"/>
  <c r="O350" i="2" s="1"/>
  <c r="O356" i="2"/>
  <c r="O354" i="2" s="1"/>
  <c r="O358" i="2"/>
  <c r="N251" i="8"/>
  <c r="P338" i="2"/>
  <c r="O530" i="2"/>
  <c r="P510" i="2"/>
  <c r="S524" i="2"/>
  <c r="S534" i="2"/>
  <c r="S525" i="2"/>
  <c r="S533" i="2"/>
  <c r="M416" i="2"/>
  <c r="M415" i="2"/>
  <c r="M425" i="2"/>
  <c r="M424" i="2"/>
  <c r="M420" i="2"/>
  <c r="U472" i="2"/>
  <c r="U476" i="2"/>
  <c r="O12" i="2"/>
  <c r="O339" i="2"/>
  <c r="S547" i="2"/>
  <c r="S500" i="2"/>
  <c r="S511" i="2" s="1"/>
  <c r="S531" i="2" s="1"/>
  <c r="M419" i="2"/>
  <c r="S254" i="8"/>
  <c r="U448" i="2" s="1"/>
  <c r="U447" i="2"/>
  <c r="M377" i="2"/>
  <c r="M392" i="2" s="1"/>
  <c r="M403" i="2" s="1"/>
  <c r="M423" i="2" s="1"/>
  <c r="N433" i="2"/>
  <c r="N386" i="2"/>
  <c r="N397" i="2" s="1"/>
  <c r="N376" i="2"/>
  <c r="M89" i="2"/>
  <c r="M88" i="2"/>
  <c r="T361" i="2"/>
  <c r="U364" i="2"/>
  <c r="T368" i="2"/>
  <c r="T365" i="2" s="1"/>
  <c r="N431" i="2"/>
  <c r="N432" i="2"/>
  <c r="N340" i="2"/>
  <c r="N436" i="2"/>
  <c r="N438" i="2"/>
  <c r="N391" i="2"/>
  <c r="N402" i="2" s="1"/>
  <c r="S544" i="2"/>
  <c r="S497" i="2"/>
  <c r="M422" i="2"/>
  <c r="M417" i="2"/>
  <c r="R486" i="2"/>
  <c r="R501" i="2" s="1"/>
  <c r="N105" i="2"/>
  <c r="N13" i="2"/>
  <c r="N104" i="2"/>
  <c r="S543" i="2"/>
  <c r="S496" i="2"/>
  <c r="T481" i="2"/>
  <c r="T480" i="2"/>
  <c r="T479" i="2"/>
  <c r="T461" i="2"/>
  <c r="T459" i="2" s="1"/>
  <c r="T465" i="2"/>
  <c r="T463" i="2" s="1"/>
  <c r="T467" i="2"/>
  <c r="S542" i="2"/>
  <c r="S495" i="2"/>
  <c r="L523" i="2"/>
  <c r="L537" i="2" s="1"/>
  <c r="M503" i="2"/>
  <c r="T540" i="2"/>
  <c r="T539" i="2" s="1"/>
  <c r="T449" i="2"/>
  <c r="T541" i="2"/>
  <c r="V472" i="2"/>
  <c r="V476" i="2"/>
  <c r="R507" i="2"/>
  <c r="N435" i="2"/>
  <c r="N388" i="2"/>
  <c r="N399" i="2" s="1"/>
  <c r="S478" i="2"/>
  <c r="T470" i="2"/>
  <c r="U473" i="2"/>
  <c r="T477" i="2"/>
  <c r="T474" i="2" s="1"/>
  <c r="T469" i="2" s="1"/>
  <c r="K383" i="2"/>
  <c r="K393" i="2" s="1"/>
  <c r="K382" i="2"/>
  <c r="K411" i="2" s="1"/>
  <c r="K412" i="2" s="1"/>
  <c r="K426" i="2" s="1"/>
  <c r="K439" i="2"/>
  <c r="N434" i="2"/>
  <c r="N387" i="2"/>
  <c r="N398" i="2" s="1"/>
  <c r="S389" i="2"/>
  <c r="S400" i="2" s="1"/>
  <c r="M418" i="2"/>
  <c r="O330" i="2"/>
  <c r="Y407" i="2"/>
  <c r="Y516" i="2"/>
  <c r="Y189" i="2"/>
  <c r="W408" i="2"/>
  <c r="Y80" i="11"/>
  <c r="Z515" i="2"/>
  <c r="Z518" i="2" s="1"/>
  <c r="Z493" i="2"/>
  <c r="Z504" i="2" s="1"/>
  <c r="Z494" i="2"/>
  <c r="Z505" i="2" s="1"/>
  <c r="Z514" i="2"/>
  <c r="Z384" i="2"/>
  <c r="Z395" i="2" s="1"/>
  <c r="Z385" i="2"/>
  <c r="Z396" i="2" s="1"/>
  <c r="Z406" i="2"/>
  <c r="Z409" i="2" s="1"/>
  <c r="Z405" i="2"/>
  <c r="W517" i="2"/>
  <c r="X484" i="2"/>
  <c r="X375" i="2"/>
  <c r="Y226" i="2"/>
  <c r="Y266" i="2" s="1"/>
  <c r="Y444" i="2"/>
  <c r="Y335" i="2"/>
  <c r="Y286" i="2"/>
  <c r="O185" i="2"/>
  <c r="O205" i="2" s="1"/>
  <c r="U146" i="2"/>
  <c r="U143" i="2" s="1"/>
  <c r="T150" i="2"/>
  <c r="T259" i="2"/>
  <c r="U255" i="2"/>
  <c r="T252" i="2"/>
  <c r="Y80" i="2"/>
  <c r="Y298" i="2"/>
  <c r="Z276" i="2"/>
  <c r="Z287" i="2" s="1"/>
  <c r="Z275" i="2"/>
  <c r="Z297" i="2"/>
  <c r="Z300" i="2" s="1"/>
  <c r="Z296" i="2"/>
  <c r="Z188" i="2"/>
  <c r="Z191" i="2" s="1"/>
  <c r="Z167" i="2"/>
  <c r="Z178" i="2" s="1"/>
  <c r="Z166" i="2"/>
  <c r="Z177" i="2" s="1"/>
  <c r="Z187" i="2"/>
  <c r="Z79" i="11"/>
  <c r="Z79" i="2"/>
  <c r="Z78" i="14"/>
  <c r="Z58" i="2"/>
  <c r="Z69" i="2" s="1"/>
  <c r="Z57" i="14"/>
  <c r="Z68" i="14" s="1"/>
  <c r="Z57" i="2"/>
  <c r="Z68" i="2" s="1"/>
  <c r="Z58" i="11"/>
  <c r="Z69" i="11" s="1"/>
  <c r="Z79" i="14"/>
  <c r="Z58" i="14"/>
  <c r="Z69" i="14" s="1"/>
  <c r="Z57" i="11"/>
  <c r="Z68" i="11" s="1"/>
  <c r="Z78" i="11"/>
  <c r="Z78" i="2"/>
  <c r="M285" i="2"/>
  <c r="N285" i="2" s="1"/>
  <c r="BC15" i="6"/>
  <c r="Y190" i="2"/>
  <c r="Y80" i="14"/>
  <c r="N303" i="2"/>
  <c r="O273" i="2"/>
  <c r="O302" i="2" s="1"/>
  <c r="M194" i="2"/>
  <c r="M208" i="2" s="1"/>
  <c r="O274" i="2"/>
  <c r="O284" i="2" s="1"/>
  <c r="S257" i="2"/>
  <c r="R258" i="2"/>
  <c r="R256" i="2" s="1"/>
  <c r="O197" i="8"/>
  <c r="P170" i="8"/>
  <c r="Q291" i="2"/>
  <c r="P311" i="2"/>
  <c r="S263" i="2"/>
  <c r="S262" i="2"/>
  <c r="S261" i="2"/>
  <c r="S243" i="2"/>
  <c r="S241" i="2" s="1"/>
  <c r="S247" i="2"/>
  <c r="S245" i="2" s="1"/>
  <c r="S249" i="2"/>
  <c r="V144" i="8"/>
  <c r="X228" i="2"/>
  <c r="S322" i="2"/>
  <c r="S321" i="2" s="1"/>
  <c r="S323" i="2"/>
  <c r="S231" i="2"/>
  <c r="W254" i="2"/>
  <c r="R252" i="8"/>
  <c r="T230" i="2" s="1"/>
  <c r="T229" i="2"/>
  <c r="T145" i="8"/>
  <c r="V119" i="2"/>
  <c r="V145" i="2" s="1"/>
  <c r="Q308" i="2"/>
  <c r="P312" i="2"/>
  <c r="P233" i="2"/>
  <c r="R282" i="2"/>
  <c r="R293" i="2" s="1"/>
  <c r="R329" i="2"/>
  <c r="Q328" i="2"/>
  <c r="Q321" i="2" s="1"/>
  <c r="Q281" i="2"/>
  <c r="Q292" i="2" s="1"/>
  <c r="R326" i="2"/>
  <c r="R279" i="2"/>
  <c r="R290" i="2" s="1"/>
  <c r="O314" i="2"/>
  <c r="P294" i="2"/>
  <c r="R325" i="2"/>
  <c r="R278" i="2"/>
  <c r="R289" i="2" s="1"/>
  <c r="R307" i="2"/>
  <c r="AC307" i="2" s="1" a="1"/>
  <c r="AC307" i="2" s="1"/>
  <c r="R306" i="2"/>
  <c r="AC306" i="2" s="1" a="1"/>
  <c r="AC306" i="2" s="1"/>
  <c r="R316" i="2"/>
  <c r="AC316" i="2" s="1" a="1"/>
  <c r="AC316" i="2" s="1"/>
  <c r="R315" i="2"/>
  <c r="AC315" i="2" s="1" a="1"/>
  <c r="AC315" i="2" s="1"/>
  <c r="Q309" i="2"/>
  <c r="R324" i="2"/>
  <c r="R277" i="2"/>
  <c r="R288" i="2" s="1"/>
  <c r="Q267" i="2"/>
  <c r="Q313" i="2"/>
  <c r="R260" i="2"/>
  <c r="R267" i="2" s="1"/>
  <c r="N317" i="2"/>
  <c r="Q151" i="2"/>
  <c r="Q172" i="2" s="1"/>
  <c r="Q202" i="2"/>
  <c r="Y117" i="2"/>
  <c r="Y157" i="2" s="1"/>
  <c r="Y8" i="2"/>
  <c r="W4" i="8"/>
  <c r="Z1" i="2"/>
  <c r="O124" i="2"/>
  <c r="O165" i="2" s="1"/>
  <c r="O175" i="2" s="1"/>
  <c r="P199" i="2"/>
  <c r="P204" i="2"/>
  <c r="M176" i="2"/>
  <c r="L196" i="2"/>
  <c r="L210" i="2" s="1"/>
  <c r="P219" i="2"/>
  <c r="P212" i="2" s="1"/>
  <c r="P172" i="2"/>
  <c r="P183" i="2" s="1"/>
  <c r="Y144" i="2"/>
  <c r="P200" i="2"/>
  <c r="O203" i="2"/>
  <c r="Q253" i="8"/>
  <c r="S121" i="2" s="1"/>
  <c r="S120" i="2"/>
  <c r="P201" i="2"/>
  <c r="Q173" i="2"/>
  <c r="Q184" i="2" s="1"/>
  <c r="Q220" i="2"/>
  <c r="P158" i="2"/>
  <c r="S172" i="8"/>
  <c r="R199" i="8"/>
  <c r="Q217" i="2"/>
  <c r="Q170" i="2"/>
  <c r="Q181" i="2" s="1"/>
  <c r="Q197" i="2"/>
  <c r="Q198" i="2"/>
  <c r="Q207" i="2"/>
  <c r="Q206" i="2"/>
  <c r="R171" i="2"/>
  <c r="R182" i="2" s="1"/>
  <c r="R218" i="2"/>
  <c r="R152" i="2"/>
  <c r="R153" i="2"/>
  <c r="R134" i="2"/>
  <c r="R132" i="2" s="1"/>
  <c r="R138" i="2"/>
  <c r="R136" i="2" s="1"/>
  <c r="R140" i="2"/>
  <c r="R154" i="2"/>
  <c r="Q169" i="2"/>
  <c r="Q180" i="2" s="1"/>
  <c r="Q216" i="2"/>
  <c r="N165" i="2"/>
  <c r="N175" i="2" s="1"/>
  <c r="N164" i="2"/>
  <c r="N193" i="2" s="1"/>
  <c r="T148" i="2"/>
  <c r="S149" i="2"/>
  <c r="S147" i="2" s="1"/>
  <c r="S142" i="2" s="1"/>
  <c r="R213" i="2"/>
  <c r="R214" i="2"/>
  <c r="R122" i="2"/>
  <c r="Q168" i="2"/>
  <c r="Q179" i="2" s="1"/>
  <c r="Q215" i="2"/>
  <c r="O204" i="8"/>
  <c r="O258" i="8" s="1"/>
  <c r="P177" i="8"/>
  <c r="O211" i="8"/>
  <c r="O265" i="8" s="1"/>
  <c r="P184" i="8"/>
  <c r="P195" i="8"/>
  <c r="O222" i="8"/>
  <c r="O276" i="8" s="1"/>
  <c r="P182" i="8"/>
  <c r="O209" i="8"/>
  <c r="O263" i="8" s="1"/>
  <c r="S147" i="8"/>
  <c r="S201" i="8" s="1"/>
  <c r="S255" i="8" s="1"/>
  <c r="U10" i="2"/>
  <c r="Q42" i="11"/>
  <c r="Q63" i="11" s="1"/>
  <c r="I70" i="14"/>
  <c r="I90" i="14" s="1"/>
  <c r="H60" i="14"/>
  <c r="H107" i="14"/>
  <c r="M24" i="14"/>
  <c r="L25" i="14"/>
  <c r="L23" i="14" s="1"/>
  <c r="J28" i="14"/>
  <c r="I29" i="14"/>
  <c r="I27" i="14" s="1"/>
  <c r="K59" i="14"/>
  <c r="K106" i="14"/>
  <c r="G60" i="14"/>
  <c r="G71" i="14" s="1"/>
  <c r="G91" i="14" s="1"/>
  <c r="G107" i="14"/>
  <c r="H32" i="14"/>
  <c r="G31" i="14"/>
  <c r="C33" i="14"/>
  <c r="A34" i="14"/>
  <c r="A35" i="14" s="1"/>
  <c r="J106" i="11"/>
  <c r="J59" i="11"/>
  <c r="L24" i="11"/>
  <c r="K25" i="11"/>
  <c r="K23" i="11" s="1"/>
  <c r="H107" i="11"/>
  <c r="H60" i="11"/>
  <c r="J28" i="11"/>
  <c r="I29" i="11"/>
  <c r="I27" i="11" s="1"/>
  <c r="I70" i="11"/>
  <c r="I90" i="11" s="1"/>
  <c r="H32" i="11"/>
  <c r="G31" i="11"/>
  <c r="A34" i="11"/>
  <c r="A35" i="11" s="1"/>
  <c r="C33" i="11"/>
  <c r="G60" i="11"/>
  <c r="G71" i="11" s="1"/>
  <c r="G91" i="11" s="1"/>
  <c r="G107" i="11"/>
  <c r="R105" i="11"/>
  <c r="R104" i="11"/>
  <c r="R103" i="11" s="1"/>
  <c r="R13" i="11"/>
  <c r="P210" i="8"/>
  <c r="P264" i="8" s="1"/>
  <c r="Q183" i="8"/>
  <c r="P63" i="11"/>
  <c r="P74" i="11" s="1"/>
  <c r="P94" i="11" s="1"/>
  <c r="P110" i="11"/>
  <c r="S11" i="11"/>
  <c r="Q259" i="8"/>
  <c r="S12" i="11" s="1"/>
  <c r="S11" i="2"/>
  <c r="S178" i="8"/>
  <c r="R205" i="8"/>
  <c r="Q207" i="8"/>
  <c r="Q261" i="8" s="1"/>
  <c r="R180" i="8"/>
  <c r="Q64" i="2"/>
  <c r="Q208" i="8"/>
  <c r="Q262" i="8" s="1"/>
  <c r="R181" i="8"/>
  <c r="R206" i="8"/>
  <c r="R260" i="8" s="1"/>
  <c r="S179" i="8"/>
  <c r="Q64" i="11"/>
  <c r="Q75" i="11" s="1"/>
  <c r="Q95" i="11" s="1"/>
  <c r="Q111" i="11"/>
  <c r="Q88" i="11"/>
  <c r="Q89" i="11"/>
  <c r="Q42" i="2"/>
  <c r="T171" i="8"/>
  <c r="S198" i="8"/>
  <c r="R44" i="11"/>
  <c r="R43" i="11"/>
  <c r="R45" i="11"/>
  <c r="R45" i="2"/>
  <c r="R43" i="2"/>
  <c r="R44" i="2"/>
  <c r="X77" i="8"/>
  <c r="X131" i="8" s="1"/>
  <c r="W131" i="8"/>
  <c r="V158" i="8"/>
  <c r="X10" i="14"/>
  <c r="W151" i="8"/>
  <c r="Y10" i="11"/>
  <c r="X151" i="8"/>
  <c r="Z10" i="11"/>
  <c r="Z124" i="8"/>
  <c r="F26" i="12" s="1"/>
  <c r="X87" i="8"/>
  <c r="X141" i="8" s="1"/>
  <c r="W141" i="8"/>
  <c r="W168" i="8" s="1"/>
  <c r="X76" i="8"/>
  <c r="X130" i="8" s="1"/>
  <c r="W130" i="8"/>
  <c r="W157" i="8" s="1"/>
  <c r="W123" i="8"/>
  <c r="W150" i="8" s="1"/>
  <c r="X69" i="8"/>
  <c r="X123" i="8" s="1"/>
  <c r="U111" i="8"/>
  <c r="T138" i="8"/>
  <c r="T165" i="8" s="1"/>
  <c r="T219" i="8" s="1"/>
  <c r="T273" i="8" s="1"/>
  <c r="T112" i="8"/>
  <c r="S139" i="8"/>
  <c r="S166" i="8" s="1"/>
  <c r="S220" i="8" s="1"/>
  <c r="S274" i="8" s="1"/>
  <c r="W109" i="8"/>
  <c r="V136" i="8"/>
  <c r="V163" i="8" s="1"/>
  <c r="U163" i="8"/>
  <c r="U217" i="8" s="1"/>
  <c r="U271" i="8" s="1"/>
  <c r="U137" i="8"/>
  <c r="V110" i="8"/>
  <c r="T113" i="8"/>
  <c r="S140" i="8"/>
  <c r="S167" i="8" s="1"/>
  <c r="S221" i="8" s="1"/>
  <c r="S275" i="8" s="1"/>
  <c r="X106" i="8"/>
  <c r="X133" i="8" s="1"/>
  <c r="W133" i="8"/>
  <c r="W160" i="8" s="1"/>
  <c r="X162" i="8"/>
  <c r="Z135" i="8"/>
  <c r="X107" i="8"/>
  <c r="X134" i="8" s="1"/>
  <c r="W134" i="8"/>
  <c r="W161" i="8" s="1"/>
  <c r="W132" i="8"/>
  <c r="W159" i="8" s="1"/>
  <c r="X105" i="8"/>
  <c r="X132" i="8" s="1"/>
  <c r="X154" i="8"/>
  <c r="Z127" i="8"/>
  <c r="X155" i="8"/>
  <c r="Z128" i="8"/>
  <c r="X156" i="8"/>
  <c r="Z129" i="8"/>
  <c r="U93" i="8"/>
  <c r="T120" i="8"/>
  <c r="T146" i="8"/>
  <c r="T200" i="8" s="1"/>
  <c r="V92" i="8"/>
  <c r="U119" i="8"/>
  <c r="V91" i="8"/>
  <c r="U118" i="8"/>
  <c r="T94" i="8"/>
  <c r="S121" i="8"/>
  <c r="S148" i="8" s="1"/>
  <c r="S202" i="8" s="1"/>
  <c r="S256" i="8" s="1"/>
  <c r="R148" i="8"/>
  <c r="R202" i="8" s="1"/>
  <c r="R256" i="8" s="1"/>
  <c r="S122" i="8"/>
  <c r="S149" i="8" s="1"/>
  <c r="S203" i="8" s="1"/>
  <c r="S257" i="8" s="1"/>
  <c r="T95" i="8"/>
  <c r="W117" i="8"/>
  <c r="X90" i="8"/>
  <c r="X117" i="8" s="1"/>
  <c r="Z228" i="2" s="1"/>
  <c r="S63" i="14"/>
  <c r="S110" i="14"/>
  <c r="T42" i="14"/>
  <c r="T110" i="14" s="1"/>
  <c r="H70" i="2"/>
  <c r="G27" i="2"/>
  <c r="I28" i="2"/>
  <c r="H29" i="2"/>
  <c r="H27" i="2" s="1"/>
  <c r="F32" i="2"/>
  <c r="G32" i="2" s="1"/>
  <c r="A33" i="2"/>
  <c r="I106" i="2"/>
  <c r="I59" i="2"/>
  <c r="K24" i="2"/>
  <c r="J25" i="2"/>
  <c r="J23" i="2" s="1"/>
  <c r="V194" i="8"/>
  <c r="U13" i="14"/>
  <c r="U104" i="14"/>
  <c r="U103" i="14" s="1"/>
  <c r="U105" i="14"/>
  <c r="V193" i="8"/>
  <c r="V185" i="8"/>
  <c r="U212" i="8"/>
  <c r="V187" i="8"/>
  <c r="U214" i="8"/>
  <c r="U268" i="8" s="1"/>
  <c r="U44" i="14"/>
  <c r="U45" i="14"/>
  <c r="U43" i="14"/>
  <c r="V11" i="14"/>
  <c r="T266" i="8"/>
  <c r="V12" i="14" s="1"/>
  <c r="V175" i="8"/>
  <c r="T268" i="8"/>
  <c r="T88" i="14"/>
  <c r="T89" i="14"/>
  <c r="V186" i="8"/>
  <c r="U213" i="8"/>
  <c r="U267" i="8" s="1"/>
  <c r="T64" i="14"/>
  <c r="T111" i="14"/>
  <c r="V174" i="8"/>
  <c r="V176" i="8"/>
  <c r="U216" i="8"/>
  <c r="U270" i="8" s="1"/>
  <c r="V189" i="8"/>
  <c r="V173" i="8"/>
  <c r="V190" i="8"/>
  <c r="V188" i="8"/>
  <c r="U215" i="8"/>
  <c r="U269" i="8" s="1"/>
  <c r="V191" i="8"/>
  <c r="X192" i="8"/>
  <c r="S506" i="2" l="1"/>
  <c r="S526" i="2" s="1"/>
  <c r="Q491" i="2"/>
  <c r="Q520" i="2" s="1"/>
  <c r="T360" i="2"/>
  <c r="R508" i="2"/>
  <c r="R528" i="2" s="1"/>
  <c r="Q512" i="2"/>
  <c r="Q532" i="2" s="1"/>
  <c r="Q492" i="2"/>
  <c r="Q502" i="2" s="1"/>
  <c r="L382" i="2"/>
  <c r="L411" i="2" s="1"/>
  <c r="L412" i="2" s="1"/>
  <c r="L383" i="2"/>
  <c r="L393" i="2" s="1"/>
  <c r="N430" i="2"/>
  <c r="P521" i="2"/>
  <c r="P535" i="2" s="1"/>
  <c r="N390" i="2"/>
  <c r="Z516" i="2"/>
  <c r="N401" i="2"/>
  <c r="N421" i="2" s="1"/>
  <c r="N419" i="2"/>
  <c r="N422" i="2"/>
  <c r="T545" i="2"/>
  <c r="T498" i="2"/>
  <c r="T509" i="2" s="1"/>
  <c r="T529" i="2" s="1"/>
  <c r="T544" i="2"/>
  <c r="T497" i="2"/>
  <c r="T389" i="2"/>
  <c r="T400" i="2" s="1"/>
  <c r="M342" i="2"/>
  <c r="O433" i="2"/>
  <c r="O386" i="2"/>
  <c r="O397" i="2" s="1"/>
  <c r="U477" i="2"/>
  <c r="U474" i="2" s="1"/>
  <c r="V473" i="2"/>
  <c r="V470" i="2" s="1"/>
  <c r="T543" i="2"/>
  <c r="T496" i="2"/>
  <c r="N89" i="2"/>
  <c r="N88" i="2"/>
  <c r="U361" i="2"/>
  <c r="V364" i="2"/>
  <c r="U368" i="2"/>
  <c r="U365" i="2" s="1"/>
  <c r="O431" i="2"/>
  <c r="O432" i="2"/>
  <c r="O340" i="2"/>
  <c r="O436" i="2"/>
  <c r="O438" i="2"/>
  <c r="O391" i="2"/>
  <c r="O402" i="2" s="1"/>
  <c r="T542" i="2"/>
  <c r="T495" i="2"/>
  <c r="T506" i="2" s="1"/>
  <c r="T526" i="2" s="1"/>
  <c r="U480" i="2"/>
  <c r="U479" i="2"/>
  <c r="U481" i="2"/>
  <c r="U461" i="2"/>
  <c r="U459" i="2" s="1"/>
  <c r="U465" i="2"/>
  <c r="U463" i="2" s="1"/>
  <c r="U467" i="2"/>
  <c r="O104" i="2"/>
  <c r="O13" i="2"/>
  <c r="O105" i="2"/>
  <c r="P530" i="2"/>
  <c r="Q510" i="2"/>
  <c r="O251" i="8"/>
  <c r="Q338" i="2"/>
  <c r="S546" i="2"/>
  <c r="S499" i="2"/>
  <c r="T524" i="2"/>
  <c r="T525" i="2"/>
  <c r="T534" i="2"/>
  <c r="T533" i="2"/>
  <c r="T478" i="2"/>
  <c r="T485" i="2" s="1"/>
  <c r="R451" i="2"/>
  <c r="U540" i="2"/>
  <c r="U539" i="2" s="1"/>
  <c r="U541" i="2"/>
  <c r="U449" i="2"/>
  <c r="O369" i="2"/>
  <c r="N416" i="2"/>
  <c r="N415" i="2"/>
  <c r="N425" i="2"/>
  <c r="N424" i="2"/>
  <c r="N420" i="2"/>
  <c r="U470" i="2"/>
  <c r="P372" i="2"/>
  <c r="P371" i="2"/>
  <c r="P370" i="2"/>
  <c r="P352" i="2"/>
  <c r="P350" i="2" s="1"/>
  <c r="P356" i="2"/>
  <c r="P354" i="2" s="1"/>
  <c r="P358" i="2"/>
  <c r="M523" i="2"/>
  <c r="M537" i="2" s="1"/>
  <c r="N503" i="2"/>
  <c r="T547" i="2"/>
  <c r="T500" i="2"/>
  <c r="T511" i="2" s="1"/>
  <c r="T531" i="2" s="1"/>
  <c r="N377" i="2"/>
  <c r="N392" i="2" s="1"/>
  <c r="N403" i="2" s="1"/>
  <c r="N423" i="2" s="1"/>
  <c r="P12" i="2"/>
  <c r="P339" i="2"/>
  <c r="U146" i="8"/>
  <c r="U200" i="8" s="1"/>
  <c r="W446" i="2"/>
  <c r="T254" i="8"/>
  <c r="V448" i="2" s="1"/>
  <c r="V447" i="2"/>
  <c r="N418" i="2"/>
  <c r="S507" i="2"/>
  <c r="S527" i="2" s="1"/>
  <c r="R527" i="2"/>
  <c r="N417" i="2"/>
  <c r="O435" i="2"/>
  <c r="O388" i="2"/>
  <c r="O399" i="2" s="1"/>
  <c r="S485" i="2"/>
  <c r="K394" i="2"/>
  <c r="O434" i="2"/>
  <c r="O387" i="2"/>
  <c r="O398" i="2" s="1"/>
  <c r="O418" i="2" s="1"/>
  <c r="Z407" i="2"/>
  <c r="Z80" i="11"/>
  <c r="X408" i="2"/>
  <c r="X517" i="2"/>
  <c r="Z190" i="2"/>
  <c r="Z286" i="2"/>
  <c r="Z226" i="2"/>
  <c r="Z266" i="2" s="1"/>
  <c r="Z444" i="2"/>
  <c r="Z335" i="2"/>
  <c r="Y484" i="2"/>
  <c r="Y375" i="2"/>
  <c r="V255" i="2"/>
  <c r="U259" i="2"/>
  <c r="U252" i="2"/>
  <c r="V146" i="2"/>
  <c r="V143" i="2" s="1"/>
  <c r="U150" i="2"/>
  <c r="Z80" i="2"/>
  <c r="Z298" i="2"/>
  <c r="Q158" i="2"/>
  <c r="Q159" i="2" s="1"/>
  <c r="Q174" i="2" s="1"/>
  <c r="O303" i="2"/>
  <c r="O317" i="2" s="1"/>
  <c r="M305" i="2"/>
  <c r="M319" i="2" s="1"/>
  <c r="N194" i="2"/>
  <c r="N208" i="2" s="1"/>
  <c r="Z80" i="14"/>
  <c r="Z189" i="2"/>
  <c r="Z299" i="2"/>
  <c r="Q219" i="2"/>
  <c r="Q212" i="2" s="1"/>
  <c r="R291" i="2"/>
  <c r="Q311" i="2"/>
  <c r="S260" i="2"/>
  <c r="S281" i="2" s="1"/>
  <c r="Q170" i="8"/>
  <c r="P197" i="8"/>
  <c r="T257" i="2"/>
  <c r="S258" i="2"/>
  <c r="S256" i="2" s="1"/>
  <c r="S251" i="2" s="1"/>
  <c r="Z254" i="2"/>
  <c r="T322" i="2"/>
  <c r="T321" i="2" s="1"/>
  <c r="T231" i="2"/>
  <c r="T323" i="2"/>
  <c r="S326" i="2"/>
  <c r="S279" i="2"/>
  <c r="S278" i="2"/>
  <c r="S289" i="2" s="1"/>
  <c r="S325" i="2"/>
  <c r="T263" i="2"/>
  <c r="T262" i="2"/>
  <c r="T261" i="2"/>
  <c r="T243" i="2"/>
  <c r="T241" i="2" s="1"/>
  <c r="T247" i="2"/>
  <c r="T245" i="2" s="1"/>
  <c r="T249" i="2"/>
  <c r="S252" i="8"/>
  <c r="U230" i="2" s="1"/>
  <c r="U229" i="2"/>
  <c r="S277" i="2"/>
  <c r="S288" i="2" s="1"/>
  <c r="S324" i="2"/>
  <c r="S306" i="2"/>
  <c r="S307" i="2"/>
  <c r="S316" i="2"/>
  <c r="S315" i="2"/>
  <c r="X254" i="2"/>
  <c r="W144" i="8"/>
  <c r="Y228" i="2"/>
  <c r="S329" i="2"/>
  <c r="S282" i="2"/>
  <c r="S293" i="2" s="1"/>
  <c r="U145" i="8"/>
  <c r="W119" i="2"/>
  <c r="W145" i="2" s="1"/>
  <c r="R308" i="2"/>
  <c r="R313" i="2"/>
  <c r="R309" i="2"/>
  <c r="AC309" i="2" s="1" a="1"/>
  <c r="AC309" i="2" s="1"/>
  <c r="P314" i="2"/>
  <c r="Q268" i="2"/>
  <c r="Q283" i="2" s="1"/>
  <c r="Q294" i="2" s="1"/>
  <c r="P273" i="2"/>
  <c r="P302" i="2" s="1"/>
  <c r="P274" i="2"/>
  <c r="P284" i="2" s="1"/>
  <c r="R310" i="2"/>
  <c r="AC310" i="2" s="1" a="1"/>
  <c r="AC310" i="2" s="1"/>
  <c r="S290" i="2"/>
  <c r="O285" i="2"/>
  <c r="N305" i="2"/>
  <c r="N319" i="2" s="1"/>
  <c r="Q312" i="2"/>
  <c r="R268" i="2"/>
  <c r="R283" i="2" s="1"/>
  <c r="P330" i="2"/>
  <c r="R328" i="2"/>
  <c r="R321" i="2" s="1"/>
  <c r="R281" i="2"/>
  <c r="R292" i="2" s="1"/>
  <c r="Q110" i="11"/>
  <c r="Z117" i="2"/>
  <c r="Z157" i="2" s="1"/>
  <c r="X4" i="8"/>
  <c r="Z8" i="2"/>
  <c r="O221" i="2"/>
  <c r="O164" i="2"/>
  <c r="O193" i="2" s="1"/>
  <c r="Q200" i="2"/>
  <c r="Q201" i="2"/>
  <c r="Q199" i="2"/>
  <c r="Q183" i="2"/>
  <c r="P203" i="2"/>
  <c r="R151" i="2"/>
  <c r="R158" i="2" s="1"/>
  <c r="M196" i="2"/>
  <c r="M210" i="2" s="1"/>
  <c r="N176" i="2"/>
  <c r="R253" i="8"/>
  <c r="T121" i="2" s="1"/>
  <c r="T120" i="2"/>
  <c r="S154" i="2"/>
  <c r="S153" i="2"/>
  <c r="S152" i="2"/>
  <c r="S134" i="2"/>
  <c r="S132" i="2" s="1"/>
  <c r="S138" i="2"/>
  <c r="S136" i="2" s="1"/>
  <c r="S140" i="2"/>
  <c r="R198" i="2"/>
  <c r="R197" i="2"/>
  <c r="R207" i="2"/>
  <c r="AC207" i="2" s="1" a="1"/>
  <c r="AC207" i="2" s="1"/>
  <c r="R206" i="2"/>
  <c r="R202" i="2"/>
  <c r="AC202" i="2" s="1" a="1"/>
  <c r="AC202" i="2" s="1"/>
  <c r="T172" i="8"/>
  <c r="S199" i="8"/>
  <c r="S122" i="2"/>
  <c r="S213" i="2"/>
  <c r="S212" i="2" s="1"/>
  <c r="S214" i="2"/>
  <c r="R173" i="2"/>
  <c r="R184" i="2" s="1"/>
  <c r="R220" i="2"/>
  <c r="P159" i="2"/>
  <c r="P174" i="2" s="1"/>
  <c r="P185" i="2" s="1"/>
  <c r="P205" i="2" s="1"/>
  <c r="Q204" i="2"/>
  <c r="R217" i="2"/>
  <c r="R170" i="2"/>
  <c r="R181" i="2" s="1"/>
  <c r="R201" i="2" s="1"/>
  <c r="Z144" i="2"/>
  <c r="S218" i="2"/>
  <c r="S171" i="2"/>
  <c r="S182" i="2" s="1"/>
  <c r="R216" i="2"/>
  <c r="R169" i="2"/>
  <c r="R180" i="2" s="1"/>
  <c r="T149" i="2"/>
  <c r="T147" i="2" s="1"/>
  <c r="T142" i="2" s="1"/>
  <c r="U148" i="2"/>
  <c r="R215" i="2"/>
  <c r="R168" i="2"/>
  <c r="R179" i="2" s="1"/>
  <c r="P222" i="8"/>
  <c r="P276" i="8" s="1"/>
  <c r="Q195" i="8"/>
  <c r="Q184" i="8"/>
  <c r="P211" i="8"/>
  <c r="P265" i="8" s="1"/>
  <c r="Q177" i="8"/>
  <c r="P204" i="8"/>
  <c r="P258" i="8" s="1"/>
  <c r="Q182" i="8"/>
  <c r="P209" i="8"/>
  <c r="P263" i="8" s="1"/>
  <c r="T147" i="8"/>
  <c r="T201" i="8" s="1"/>
  <c r="T255" i="8" s="1"/>
  <c r="V10" i="2"/>
  <c r="J70" i="14"/>
  <c r="J90" i="14" s="1"/>
  <c r="R42" i="2"/>
  <c r="H71" i="14"/>
  <c r="H91" i="14" s="1"/>
  <c r="G61" i="14"/>
  <c r="G72" i="14" s="1"/>
  <c r="G92" i="14" s="1"/>
  <c r="G108" i="14"/>
  <c r="I32" i="14"/>
  <c r="H31" i="14"/>
  <c r="I107" i="14"/>
  <c r="I60" i="14"/>
  <c r="K28" i="14"/>
  <c r="J29" i="14"/>
  <c r="J27" i="14" s="1"/>
  <c r="L106" i="14"/>
  <c r="L59" i="14"/>
  <c r="N24" i="14"/>
  <c r="M25" i="14"/>
  <c r="M23" i="14" s="1"/>
  <c r="A36" i="14"/>
  <c r="A37" i="14" s="1"/>
  <c r="A38" i="14" s="1"/>
  <c r="A39" i="14" s="1"/>
  <c r="F35" i="14"/>
  <c r="G35" i="14" s="1"/>
  <c r="E35" i="14"/>
  <c r="H71" i="11"/>
  <c r="H91" i="11" s="1"/>
  <c r="A36" i="11"/>
  <c r="A37" i="11" s="1"/>
  <c r="A38" i="11" s="1"/>
  <c r="A39" i="11" s="1"/>
  <c r="F35" i="11"/>
  <c r="G35" i="11" s="1"/>
  <c r="E35" i="11"/>
  <c r="G108" i="11"/>
  <c r="G61" i="11"/>
  <c r="G72" i="11" s="1"/>
  <c r="G92" i="11" s="1"/>
  <c r="K59" i="11"/>
  <c r="K106" i="11"/>
  <c r="R42" i="11"/>
  <c r="R63" i="11" s="1"/>
  <c r="I32" i="11"/>
  <c r="H31" i="11"/>
  <c r="M24" i="11"/>
  <c r="L25" i="11"/>
  <c r="L23" i="11" s="1"/>
  <c r="I107" i="11"/>
  <c r="I60" i="11"/>
  <c r="J70" i="11"/>
  <c r="J90" i="11" s="1"/>
  <c r="K28" i="11"/>
  <c r="J29" i="11"/>
  <c r="J27" i="11" s="1"/>
  <c r="S45" i="11"/>
  <c r="S43" i="11"/>
  <c r="S44" i="11"/>
  <c r="R64" i="2"/>
  <c r="R259" i="8"/>
  <c r="T12" i="11" s="1"/>
  <c r="T11" i="11"/>
  <c r="S105" i="11"/>
  <c r="S13" i="11"/>
  <c r="S104" i="11"/>
  <c r="S103" i="11" s="1"/>
  <c r="T198" i="8"/>
  <c r="U171" i="8"/>
  <c r="T11" i="2"/>
  <c r="R111" i="11"/>
  <c r="R64" i="11"/>
  <c r="R75" i="11" s="1"/>
  <c r="R95" i="11" s="1"/>
  <c r="T179" i="8"/>
  <c r="S206" i="8"/>
  <c r="S260" i="8" s="1"/>
  <c r="R89" i="11"/>
  <c r="R88" i="11"/>
  <c r="S44" i="2"/>
  <c r="S43" i="2"/>
  <c r="S45" i="2"/>
  <c r="Q63" i="2"/>
  <c r="T178" i="8"/>
  <c r="S205" i="8"/>
  <c r="Q210" i="8"/>
  <c r="Q264" i="8" s="1"/>
  <c r="R183" i="8"/>
  <c r="R208" i="8"/>
  <c r="R262" i="8" s="1"/>
  <c r="S181" i="8"/>
  <c r="S180" i="8"/>
  <c r="R207" i="8"/>
  <c r="R261" i="8" s="1"/>
  <c r="Q74" i="11"/>
  <c r="Q94" i="11" s="1"/>
  <c r="W158" i="8"/>
  <c r="Y10" i="14"/>
  <c r="X158" i="8"/>
  <c r="Z10" i="14"/>
  <c r="Z131" i="8"/>
  <c r="F26" i="13" s="1"/>
  <c r="X168" i="8"/>
  <c r="Z141" i="8"/>
  <c r="X157" i="8"/>
  <c r="Z130" i="8"/>
  <c r="X150" i="8"/>
  <c r="Z123" i="8"/>
  <c r="W136" i="8"/>
  <c r="X109" i="8"/>
  <c r="X136" i="8" s="1"/>
  <c r="X163" i="8" s="1"/>
  <c r="U113" i="8"/>
  <c r="T140" i="8"/>
  <c r="T167" i="8" s="1"/>
  <c r="T221" i="8" s="1"/>
  <c r="T275" i="8" s="1"/>
  <c r="T139" i="8"/>
  <c r="T166" i="8" s="1"/>
  <c r="T220" i="8" s="1"/>
  <c r="T274" i="8" s="1"/>
  <c r="U112" i="8"/>
  <c r="W110" i="8"/>
  <c r="V137" i="8"/>
  <c r="V164" i="8" s="1"/>
  <c r="U164" i="8"/>
  <c r="U218" i="8" s="1"/>
  <c r="U272" i="8" s="1"/>
  <c r="V111" i="8"/>
  <c r="U138" i="8"/>
  <c r="U165" i="8" s="1"/>
  <c r="U219" i="8" s="1"/>
  <c r="U273" i="8" s="1"/>
  <c r="X161" i="8"/>
  <c r="Z134" i="8"/>
  <c r="X159" i="8"/>
  <c r="Z132" i="8"/>
  <c r="X160" i="8"/>
  <c r="Z133" i="8"/>
  <c r="W91" i="8"/>
  <c r="V118" i="8"/>
  <c r="U95" i="8"/>
  <c r="T122" i="8"/>
  <c r="V119" i="8"/>
  <c r="X446" i="2" s="1"/>
  <c r="W92" i="8"/>
  <c r="T121" i="8"/>
  <c r="U94" i="8"/>
  <c r="V93" i="8"/>
  <c r="U120" i="8"/>
  <c r="X144" i="8"/>
  <c r="Z117" i="8"/>
  <c r="H26" i="1" s="1"/>
  <c r="T63" i="14"/>
  <c r="G60" i="2"/>
  <c r="G71" i="2" s="1"/>
  <c r="G91" i="2" s="1"/>
  <c r="G107" i="2"/>
  <c r="A34" i="2"/>
  <c r="A35" i="2" s="1"/>
  <c r="C33" i="2"/>
  <c r="H32" i="2"/>
  <c r="G31" i="2"/>
  <c r="H60" i="2"/>
  <c r="H107" i="2"/>
  <c r="J106" i="2"/>
  <c r="J59" i="2"/>
  <c r="J28" i="2"/>
  <c r="I29" i="2"/>
  <c r="I27" i="2" s="1"/>
  <c r="L24" i="2"/>
  <c r="K25" i="2"/>
  <c r="K23" i="2" s="1"/>
  <c r="I70" i="2"/>
  <c r="I90" i="2" s="1"/>
  <c r="H90" i="2"/>
  <c r="W191" i="8"/>
  <c r="V218" i="8"/>
  <c r="V272" i="8" s="1"/>
  <c r="W176" i="8"/>
  <c r="U64" i="14"/>
  <c r="U111" i="14"/>
  <c r="W188" i="8"/>
  <c r="V215" i="8"/>
  <c r="V269" i="8" s="1"/>
  <c r="W190" i="8"/>
  <c r="V217" i="8"/>
  <c r="V271" i="8" s="1"/>
  <c r="V105" i="14"/>
  <c r="V104" i="14"/>
  <c r="V103" i="14" s="1"/>
  <c r="V13" i="14"/>
  <c r="U266" i="8"/>
  <c r="W12" i="14" s="1"/>
  <c r="W11" i="14"/>
  <c r="W173" i="8"/>
  <c r="W186" i="8"/>
  <c r="V213" i="8"/>
  <c r="V44" i="14"/>
  <c r="V45" i="14"/>
  <c r="V43" i="14"/>
  <c r="V214" i="8"/>
  <c r="W187" i="8"/>
  <c r="V212" i="8"/>
  <c r="W185" i="8"/>
  <c r="U42" i="14"/>
  <c r="W194" i="8"/>
  <c r="W193" i="8"/>
  <c r="U88" i="14"/>
  <c r="U89" i="14"/>
  <c r="W189" i="8"/>
  <c r="V216" i="8"/>
  <c r="V270" i="8" s="1"/>
  <c r="W174" i="8"/>
  <c r="W175" i="8"/>
  <c r="U469" i="2" l="1"/>
  <c r="S508" i="2"/>
  <c r="S528" i="2" s="1"/>
  <c r="Q521" i="2"/>
  <c r="T508" i="2"/>
  <c r="T528" i="2" s="1"/>
  <c r="U360" i="2"/>
  <c r="R512" i="2"/>
  <c r="R532" i="2" s="1"/>
  <c r="O419" i="2"/>
  <c r="T486" i="2"/>
  <c r="T501" i="2" s="1"/>
  <c r="S486" i="2"/>
  <c r="S501" i="2" s="1"/>
  <c r="N342" i="2"/>
  <c r="P433" i="2"/>
  <c r="P386" i="2"/>
  <c r="P397" i="2" s="1"/>
  <c r="Q535" i="2"/>
  <c r="U478" i="2"/>
  <c r="X472" i="2"/>
  <c r="X476" i="2"/>
  <c r="P251" i="8"/>
  <c r="R338" i="2"/>
  <c r="P369" i="2"/>
  <c r="P376" i="2" s="1"/>
  <c r="O415" i="2"/>
  <c r="O416" i="2"/>
  <c r="O425" i="2"/>
  <c r="O424" i="2"/>
  <c r="O420" i="2"/>
  <c r="T507" i="2"/>
  <c r="T527" i="2" s="1"/>
  <c r="M439" i="2"/>
  <c r="M383" i="2"/>
  <c r="M393" i="2" s="1"/>
  <c r="M382" i="2"/>
  <c r="M411" i="2" s="1"/>
  <c r="M412" i="2" s="1"/>
  <c r="M426" i="2" s="1"/>
  <c r="V480" i="2"/>
  <c r="V481" i="2"/>
  <c r="V479" i="2"/>
  <c r="V461" i="2"/>
  <c r="V459" i="2" s="1"/>
  <c r="V465" i="2"/>
  <c r="V463" i="2" s="1"/>
  <c r="V467" i="2"/>
  <c r="R548" i="2"/>
  <c r="R491" i="2"/>
  <c r="R520" i="2" s="1"/>
  <c r="R521" i="2" s="1"/>
  <c r="R535" i="2" s="1"/>
  <c r="R492" i="2"/>
  <c r="R502" i="2" s="1"/>
  <c r="O88" i="2"/>
  <c r="O89" i="2"/>
  <c r="V540" i="2"/>
  <c r="V539" i="2" s="1"/>
  <c r="V449" i="2"/>
  <c r="V541" i="2"/>
  <c r="P438" i="2"/>
  <c r="P391" i="2"/>
  <c r="P402" i="2" s="1"/>
  <c r="T546" i="2"/>
  <c r="T499" i="2"/>
  <c r="Q370" i="2"/>
  <c r="Q371" i="2"/>
  <c r="Q372" i="2"/>
  <c r="Q352" i="2"/>
  <c r="Q350" i="2" s="1"/>
  <c r="Q356" i="2"/>
  <c r="Q354" i="2" s="1"/>
  <c r="Q358" i="2"/>
  <c r="W476" i="2"/>
  <c r="W472" i="2"/>
  <c r="N523" i="2"/>
  <c r="N537" i="2" s="1"/>
  <c r="O503" i="2"/>
  <c r="L426" i="2"/>
  <c r="Q12" i="2"/>
  <c r="Q339" i="2"/>
  <c r="U544" i="2"/>
  <c r="U497" i="2"/>
  <c r="U508" i="2" s="1"/>
  <c r="U528" i="2" s="1"/>
  <c r="U389" i="2"/>
  <c r="U400" i="2" s="1"/>
  <c r="W473" i="2"/>
  <c r="V477" i="2"/>
  <c r="V474" i="2" s="1"/>
  <c r="V469" i="2" s="1"/>
  <c r="U254" i="8"/>
  <c r="W448" i="2" s="1"/>
  <c r="W447" i="2"/>
  <c r="Q530" i="2"/>
  <c r="R510" i="2"/>
  <c r="R530" i="2" s="1"/>
  <c r="U543" i="2"/>
  <c r="U496" i="2"/>
  <c r="V361" i="2"/>
  <c r="V368" i="2"/>
  <c r="V365" i="2" s="1"/>
  <c r="W364" i="2"/>
  <c r="U545" i="2"/>
  <c r="U498" i="2"/>
  <c r="U509" i="2" s="1"/>
  <c r="U529" i="2" s="1"/>
  <c r="P431" i="2"/>
  <c r="P340" i="2"/>
  <c r="P432" i="2"/>
  <c r="P436" i="2"/>
  <c r="P435" i="2"/>
  <c r="P388" i="2"/>
  <c r="P399" i="2" s="1"/>
  <c r="O437" i="2"/>
  <c r="O430" i="2" s="1"/>
  <c r="O390" i="2"/>
  <c r="O401" i="2" s="1"/>
  <c r="O421" i="2" s="1"/>
  <c r="U542" i="2"/>
  <c r="U495" i="2"/>
  <c r="U506" i="2" s="1"/>
  <c r="U526" i="2" s="1"/>
  <c r="U485" i="2"/>
  <c r="O422" i="2"/>
  <c r="O376" i="2"/>
  <c r="K414" i="2"/>
  <c r="K428" i="2" s="1"/>
  <c r="L394" i="2"/>
  <c r="P13" i="2"/>
  <c r="P105" i="2"/>
  <c r="P104" i="2"/>
  <c r="P434" i="2"/>
  <c r="P387" i="2"/>
  <c r="P398" i="2" s="1"/>
  <c r="U524" i="2"/>
  <c r="U525" i="2"/>
  <c r="U534" i="2"/>
  <c r="U533" i="2"/>
  <c r="U547" i="2"/>
  <c r="U500" i="2"/>
  <c r="U511" i="2" s="1"/>
  <c r="U531" i="2" s="1"/>
  <c r="O417" i="2"/>
  <c r="P303" i="2"/>
  <c r="P317" i="2" s="1"/>
  <c r="Y517" i="2"/>
  <c r="Y408" i="2"/>
  <c r="Z375" i="2"/>
  <c r="Z484" i="2"/>
  <c r="V150" i="2"/>
  <c r="W146" i="2"/>
  <c r="W143" i="2" s="1"/>
  <c r="W255" i="2"/>
  <c r="V259" i="2"/>
  <c r="V252" i="2"/>
  <c r="V251" i="2" s="1"/>
  <c r="V280" i="2" s="1"/>
  <c r="O194" i="2"/>
  <c r="O208" i="2" s="1"/>
  <c r="S267" i="2"/>
  <c r="S268" i="2" s="1"/>
  <c r="S283" i="2" s="1"/>
  <c r="S328" i="2"/>
  <c r="R170" i="8"/>
  <c r="Q197" i="8"/>
  <c r="S280" i="2"/>
  <c r="S291" i="2" s="1"/>
  <c r="S327" i="2"/>
  <c r="U257" i="2"/>
  <c r="T258" i="2"/>
  <c r="T256" i="2" s="1"/>
  <c r="T251" i="2" s="1"/>
  <c r="R311" i="2"/>
  <c r="T260" i="2"/>
  <c r="T328" i="2" s="1"/>
  <c r="T329" i="2"/>
  <c r="T282" i="2"/>
  <c r="T293" i="2" s="1"/>
  <c r="U262" i="2"/>
  <c r="U263" i="2"/>
  <c r="U261" i="2"/>
  <c r="U243" i="2"/>
  <c r="U241" i="2" s="1"/>
  <c r="U247" i="2"/>
  <c r="U245" i="2" s="1"/>
  <c r="U249" i="2"/>
  <c r="T306" i="2"/>
  <c r="T307" i="2"/>
  <c r="T316" i="2"/>
  <c r="T315" i="2"/>
  <c r="U323" i="2"/>
  <c r="U231" i="2"/>
  <c r="U322" i="2"/>
  <c r="U321" i="2" s="1"/>
  <c r="Y254" i="2"/>
  <c r="T279" i="2"/>
  <c r="T290" i="2" s="1"/>
  <c r="T326" i="2"/>
  <c r="T324" i="2"/>
  <c r="T277" i="2"/>
  <c r="T288" i="2" s="1"/>
  <c r="T252" i="8"/>
  <c r="V230" i="2" s="1"/>
  <c r="V229" i="2"/>
  <c r="T278" i="2"/>
  <c r="T289" i="2" s="1"/>
  <c r="T325" i="2"/>
  <c r="V145" i="8"/>
  <c r="X119" i="2"/>
  <c r="X145" i="2" s="1"/>
  <c r="R233" i="2"/>
  <c r="R273" i="2" s="1"/>
  <c r="R302" i="2" s="1"/>
  <c r="Q233" i="2"/>
  <c r="Q274" i="2" s="1"/>
  <c r="Q284" i="2" s="1"/>
  <c r="Q314" i="2"/>
  <c r="R294" i="2"/>
  <c r="S309" i="2"/>
  <c r="S292" i="2"/>
  <c r="R312" i="2"/>
  <c r="S313" i="2"/>
  <c r="P285" i="2"/>
  <c r="O305" i="2"/>
  <c r="O319" i="2" s="1"/>
  <c r="S308" i="2"/>
  <c r="S310" i="2"/>
  <c r="R110" i="11"/>
  <c r="S202" i="2"/>
  <c r="R200" i="2"/>
  <c r="AC200" i="2" s="1" a="1"/>
  <c r="AC200" i="2" s="1"/>
  <c r="R199" i="2"/>
  <c r="R204" i="2"/>
  <c r="R159" i="2"/>
  <c r="R174" i="2" s="1"/>
  <c r="S220" i="2"/>
  <c r="S173" i="2"/>
  <c r="S184" i="2" s="1"/>
  <c r="Q203" i="2"/>
  <c r="S198" i="2"/>
  <c r="S197" i="2"/>
  <c r="S207" i="2"/>
  <c r="S206" i="2"/>
  <c r="T213" i="2"/>
  <c r="T212" i="2" s="1"/>
  <c r="T122" i="2"/>
  <c r="T214" i="2"/>
  <c r="V148" i="2"/>
  <c r="U149" i="2"/>
  <c r="U147" i="2" s="1"/>
  <c r="U142" i="2" s="1"/>
  <c r="Q124" i="2"/>
  <c r="U120" i="2"/>
  <c r="S253" i="8"/>
  <c r="U121" i="2" s="1"/>
  <c r="S170" i="2"/>
  <c r="S181" i="2" s="1"/>
  <c r="S201" i="2" s="1"/>
  <c r="S217" i="2"/>
  <c r="N196" i="2"/>
  <c r="N210" i="2" s="1"/>
  <c r="O176" i="2"/>
  <c r="K70" i="14"/>
  <c r="K90" i="14" s="1"/>
  <c r="T218" i="2"/>
  <c r="T171" i="2"/>
  <c r="T182" i="2" s="1"/>
  <c r="Q185" i="2"/>
  <c r="Q205" i="2" s="1"/>
  <c r="P124" i="2"/>
  <c r="U172" i="8"/>
  <c r="T199" i="8"/>
  <c r="S216" i="2"/>
  <c r="S169" i="2"/>
  <c r="S180" i="2" s="1"/>
  <c r="T154" i="2"/>
  <c r="T152" i="2"/>
  <c r="T153" i="2"/>
  <c r="T134" i="2"/>
  <c r="T132" i="2" s="1"/>
  <c r="T138" i="2"/>
  <c r="T136" i="2" s="1"/>
  <c r="T140" i="2"/>
  <c r="S168" i="2"/>
  <c r="S179" i="2" s="1"/>
  <c r="S215" i="2"/>
  <c r="S151" i="2"/>
  <c r="S158" i="2" s="1"/>
  <c r="R172" i="2"/>
  <c r="R183" i="2" s="1"/>
  <c r="R219" i="2"/>
  <c r="R212" i="2" s="1"/>
  <c r="R63" i="2"/>
  <c r="R182" i="8"/>
  <c r="Q209" i="8"/>
  <c r="Q263" i="8" s="1"/>
  <c r="Q204" i="8"/>
  <c r="Q258" i="8" s="1"/>
  <c r="R177" i="8"/>
  <c r="Q211" i="8"/>
  <c r="Q265" i="8" s="1"/>
  <c r="R184" i="8"/>
  <c r="R195" i="8"/>
  <c r="Q222" i="8"/>
  <c r="Q276" i="8" s="1"/>
  <c r="U147" i="8"/>
  <c r="U201" i="8" s="1"/>
  <c r="U255" i="8" s="1"/>
  <c r="W10" i="2"/>
  <c r="I71" i="11"/>
  <c r="I91" i="11" s="1"/>
  <c r="I71" i="14"/>
  <c r="I91" i="14" s="1"/>
  <c r="S42" i="2"/>
  <c r="S63" i="2" s="1"/>
  <c r="A40" i="14"/>
  <c r="A41" i="14" s="1"/>
  <c r="A42" i="14" s="1"/>
  <c r="A43" i="14" s="1"/>
  <c r="F39" i="14"/>
  <c r="G39" i="14" s="1"/>
  <c r="M59" i="14"/>
  <c r="M106" i="14"/>
  <c r="O24" i="14"/>
  <c r="N25" i="14"/>
  <c r="N23" i="14" s="1"/>
  <c r="H108" i="14"/>
  <c r="H61" i="14"/>
  <c r="H72" i="14" s="1"/>
  <c r="H92" i="14" s="1"/>
  <c r="J32" i="14"/>
  <c r="I31" i="14"/>
  <c r="E36" i="14"/>
  <c r="E39" i="14"/>
  <c r="J107" i="14"/>
  <c r="J60" i="14"/>
  <c r="H35" i="14"/>
  <c r="G36" i="14"/>
  <c r="L28" i="14"/>
  <c r="K29" i="14"/>
  <c r="K27" i="14" s="1"/>
  <c r="K70" i="11"/>
  <c r="K90" i="11" s="1"/>
  <c r="L59" i="11"/>
  <c r="L106" i="11"/>
  <c r="J107" i="11"/>
  <c r="J60" i="11"/>
  <c r="N24" i="11"/>
  <c r="M25" i="11"/>
  <c r="M23" i="11" s="1"/>
  <c r="L28" i="11"/>
  <c r="K29" i="11"/>
  <c r="K27" i="11" s="1"/>
  <c r="H108" i="11"/>
  <c r="H61" i="11"/>
  <c r="H72" i="11" s="1"/>
  <c r="H92" i="11" s="1"/>
  <c r="E36" i="11"/>
  <c r="E39" i="11"/>
  <c r="H35" i="11"/>
  <c r="G36" i="11"/>
  <c r="J32" i="11"/>
  <c r="I31" i="11"/>
  <c r="A40" i="11"/>
  <c r="A41" i="11" s="1"/>
  <c r="A42" i="11" s="1"/>
  <c r="A43" i="11" s="1"/>
  <c r="F39" i="11"/>
  <c r="G39" i="11" s="1"/>
  <c r="S207" i="8"/>
  <c r="S261" i="8" s="1"/>
  <c r="T180" i="8"/>
  <c r="U11" i="2"/>
  <c r="V171" i="8"/>
  <c r="U198" i="8"/>
  <c r="S89" i="11"/>
  <c r="S88" i="11"/>
  <c r="S208" i="8"/>
  <c r="S262" i="8" s="1"/>
  <c r="T181" i="8"/>
  <c r="U11" i="11"/>
  <c r="S259" i="8"/>
  <c r="U12" i="11" s="1"/>
  <c r="T105" i="11"/>
  <c r="T104" i="11"/>
  <c r="T103" i="11" s="1"/>
  <c r="T13" i="11"/>
  <c r="T45" i="11"/>
  <c r="T43" i="11"/>
  <c r="T44" i="11"/>
  <c r="T45" i="2"/>
  <c r="T44" i="2"/>
  <c r="T43" i="2"/>
  <c r="S42" i="11"/>
  <c r="T205" i="8"/>
  <c r="U178" i="8"/>
  <c r="S64" i="2"/>
  <c r="R74" i="11"/>
  <c r="R94" i="11" s="1"/>
  <c r="S183" i="8"/>
  <c r="R210" i="8"/>
  <c r="R264" i="8" s="1"/>
  <c r="T206" i="8"/>
  <c r="T260" i="8" s="1"/>
  <c r="U179" i="8"/>
  <c r="S64" i="11"/>
  <c r="S75" i="11" s="1"/>
  <c r="S95" i="11" s="1"/>
  <c r="S111" i="11"/>
  <c r="X110" i="8"/>
  <c r="X137" i="8" s="1"/>
  <c r="X164" i="8" s="1"/>
  <c r="W137" i="8"/>
  <c r="W164" i="8" s="1"/>
  <c r="W218" i="8" s="1"/>
  <c r="V112" i="8"/>
  <c r="U139" i="8"/>
  <c r="U166" i="8" s="1"/>
  <c r="U220" i="8" s="1"/>
  <c r="U274" i="8" s="1"/>
  <c r="V138" i="8"/>
  <c r="V165" i="8" s="1"/>
  <c r="V219" i="8" s="1"/>
  <c r="V273" i="8" s="1"/>
  <c r="W111" i="8"/>
  <c r="U140" i="8"/>
  <c r="U167" i="8" s="1"/>
  <c r="U221" i="8" s="1"/>
  <c r="U275" i="8" s="1"/>
  <c r="V113" i="8"/>
  <c r="W163" i="8"/>
  <c r="W217" i="8" s="1"/>
  <c r="Z136" i="8"/>
  <c r="T148" i="8"/>
  <c r="T202" i="8" s="1"/>
  <c r="T256" i="8" s="1"/>
  <c r="V94" i="8"/>
  <c r="U121" i="8"/>
  <c r="U148" i="8" s="1"/>
  <c r="U202" i="8" s="1"/>
  <c r="U256" i="8" s="1"/>
  <c r="X92" i="8"/>
  <c r="X119" i="8" s="1"/>
  <c r="W119" i="8"/>
  <c r="V146" i="8"/>
  <c r="V200" i="8" s="1"/>
  <c r="T149" i="8"/>
  <c r="T203" i="8" s="1"/>
  <c r="T257" i="8" s="1"/>
  <c r="V95" i="8"/>
  <c r="U122" i="8"/>
  <c r="U149" i="8" s="1"/>
  <c r="U203" i="8" s="1"/>
  <c r="U257" i="8" s="1"/>
  <c r="W93" i="8"/>
  <c r="V120" i="8"/>
  <c r="X10" i="2" s="1"/>
  <c r="X91" i="8"/>
  <c r="X118" i="8" s="1"/>
  <c r="W118" i="8"/>
  <c r="Y119" i="2" s="1"/>
  <c r="Y145" i="2" s="1"/>
  <c r="V42" i="14"/>
  <c r="J70" i="2"/>
  <c r="J90" i="2" s="1"/>
  <c r="K28" i="2"/>
  <c r="J29" i="2"/>
  <c r="J27" i="2" s="1"/>
  <c r="I32" i="2"/>
  <c r="H31" i="2"/>
  <c r="K106" i="2"/>
  <c r="K59" i="2"/>
  <c r="M24" i="2"/>
  <c r="L25" i="2"/>
  <c r="L23" i="2" s="1"/>
  <c r="E35" i="2"/>
  <c r="A36" i="2"/>
  <c r="A37" i="2" s="1"/>
  <c r="A38" i="2" s="1"/>
  <c r="A39" i="2" s="1"/>
  <c r="F35" i="2"/>
  <c r="G35" i="2" s="1"/>
  <c r="H71" i="2"/>
  <c r="H91" i="2" s="1"/>
  <c r="I60" i="2"/>
  <c r="I107" i="2"/>
  <c r="G108" i="2"/>
  <c r="G61" i="2"/>
  <c r="G72" i="2" s="1"/>
  <c r="W216" i="8"/>
  <c r="W270" i="8" s="1"/>
  <c r="X189" i="8"/>
  <c r="X216" i="8" s="1"/>
  <c r="W212" i="8"/>
  <c r="X185" i="8"/>
  <c r="X212" i="8" s="1"/>
  <c r="X188" i="8"/>
  <c r="X215" i="8" s="1"/>
  <c r="X269" i="8" s="1"/>
  <c r="W215" i="8"/>
  <c r="X176" i="8"/>
  <c r="X174" i="8"/>
  <c r="X11" i="14"/>
  <c r="V266" i="8"/>
  <c r="X12" i="14" s="1"/>
  <c r="X187" i="8"/>
  <c r="X214" i="8" s="1"/>
  <c r="X268" i="8" s="1"/>
  <c r="W214" i="8"/>
  <c r="W268" i="8" s="1"/>
  <c r="X173" i="8"/>
  <c r="V111" i="14"/>
  <c r="V64" i="14"/>
  <c r="V268" i="8"/>
  <c r="X191" i="8"/>
  <c r="X194" i="8"/>
  <c r="W44" i="14"/>
  <c r="W43" i="14"/>
  <c r="W45" i="14"/>
  <c r="X175" i="8"/>
  <c r="X193" i="8"/>
  <c r="U110" i="14"/>
  <c r="U63" i="14"/>
  <c r="V267" i="8"/>
  <c r="W13" i="14"/>
  <c r="W104" i="14"/>
  <c r="W103" i="14" s="1"/>
  <c r="W105" i="14"/>
  <c r="X190" i="8"/>
  <c r="X217" i="8" s="1"/>
  <c r="X271" i="8" s="1"/>
  <c r="W213" i="8"/>
  <c r="W267" i="8" s="1"/>
  <c r="X186" i="8"/>
  <c r="X213" i="8" s="1"/>
  <c r="X267" i="8" s="1"/>
  <c r="V88" i="14"/>
  <c r="V89" i="14"/>
  <c r="V360" i="2" l="1"/>
  <c r="S512" i="2"/>
  <c r="S532" i="2" s="1"/>
  <c r="U507" i="2"/>
  <c r="U527" i="2" s="1"/>
  <c r="W470" i="2"/>
  <c r="P419" i="2"/>
  <c r="S451" i="2"/>
  <c r="S492" i="2" s="1"/>
  <c r="S502" i="2" s="1"/>
  <c r="P418" i="2"/>
  <c r="T451" i="2"/>
  <c r="T492" i="2" s="1"/>
  <c r="T502" i="2" s="1"/>
  <c r="V478" i="2"/>
  <c r="V485" i="2" s="1"/>
  <c r="Q369" i="2"/>
  <c r="Q437" i="2" s="1"/>
  <c r="V542" i="2"/>
  <c r="V495" i="2"/>
  <c r="V506" i="2" s="1"/>
  <c r="R371" i="2"/>
  <c r="R372" i="2"/>
  <c r="R370" i="2"/>
  <c r="R352" i="2"/>
  <c r="R350" i="2" s="1"/>
  <c r="R356" i="2"/>
  <c r="R354" i="2" s="1"/>
  <c r="R358" i="2"/>
  <c r="P377" i="2"/>
  <c r="P392" i="2" s="1"/>
  <c r="V254" i="8"/>
  <c r="X448" i="2" s="1"/>
  <c r="X447" i="2"/>
  <c r="R12" i="2"/>
  <c r="R339" i="2"/>
  <c r="P417" i="2"/>
  <c r="W146" i="8"/>
  <c r="W200" i="8" s="1"/>
  <c r="Y446" i="2"/>
  <c r="W479" i="2"/>
  <c r="W481" i="2"/>
  <c r="W480" i="2"/>
  <c r="W461" i="2"/>
  <c r="W459" i="2" s="1"/>
  <c r="W465" i="2"/>
  <c r="W463" i="2" s="1"/>
  <c r="W467" i="2"/>
  <c r="Q431" i="2"/>
  <c r="Q432" i="2"/>
  <c r="Q340" i="2"/>
  <c r="Q436" i="2"/>
  <c r="V547" i="2"/>
  <c r="V500" i="2"/>
  <c r="V511" i="2" s="1"/>
  <c r="V531" i="2" s="1"/>
  <c r="O377" i="2"/>
  <c r="O392" i="2" s="1"/>
  <c r="O403" i="2" s="1"/>
  <c r="O423" i="2" s="1"/>
  <c r="W361" i="2"/>
  <c r="X364" i="2"/>
  <c r="W368" i="2"/>
  <c r="W365" i="2" s="1"/>
  <c r="W540" i="2"/>
  <c r="W539" i="2" s="1"/>
  <c r="W541" i="2"/>
  <c r="W449" i="2"/>
  <c r="Q111" i="2"/>
  <c r="Q105" i="2"/>
  <c r="Q13" i="2"/>
  <c r="Q110" i="2"/>
  <c r="Q104" i="2"/>
  <c r="Q103" i="2" s="1"/>
  <c r="Q435" i="2"/>
  <c r="Q388" i="2"/>
  <c r="Q399" i="2" s="1"/>
  <c r="P422" i="2"/>
  <c r="N382" i="2"/>
  <c r="N411" i="2" s="1"/>
  <c r="N412" i="2" s="1"/>
  <c r="N426" i="2" s="1"/>
  <c r="N383" i="2"/>
  <c r="N393" i="2" s="1"/>
  <c r="N439" i="2"/>
  <c r="M394" i="2"/>
  <c r="L414" i="2"/>
  <c r="L428" i="2" s="1"/>
  <c r="V389" i="2"/>
  <c r="V400" i="2" s="1"/>
  <c r="V545" i="2"/>
  <c r="V498" i="2"/>
  <c r="V509" i="2" s="1"/>
  <c r="V529" i="2" s="1"/>
  <c r="Q434" i="2"/>
  <c r="Q387" i="2"/>
  <c r="Q398" i="2" s="1"/>
  <c r="S491" i="2"/>
  <c r="S520" i="2" s="1"/>
  <c r="S521" i="2" s="1"/>
  <c r="S535" i="2" s="1"/>
  <c r="S548" i="2"/>
  <c r="U486" i="2"/>
  <c r="U501" i="2" s="1"/>
  <c r="X473" i="2"/>
  <c r="W477" i="2"/>
  <c r="W474" i="2" s="1"/>
  <c r="W469" i="2" s="1"/>
  <c r="Q433" i="2"/>
  <c r="Q386" i="2"/>
  <c r="Q397" i="2" s="1"/>
  <c r="S510" i="2"/>
  <c r="S530" i="2" s="1"/>
  <c r="U546" i="2"/>
  <c r="U499" i="2"/>
  <c r="X146" i="8"/>
  <c r="Z446" i="2"/>
  <c r="P415" i="2"/>
  <c r="P416" i="2"/>
  <c r="P425" i="2"/>
  <c r="P424" i="2"/>
  <c r="P420" i="2"/>
  <c r="P503" i="2"/>
  <c r="O523" i="2"/>
  <c r="O537" i="2" s="1"/>
  <c r="Q438" i="2"/>
  <c r="Q391" i="2"/>
  <c r="Q402" i="2" s="1"/>
  <c r="V525" i="2"/>
  <c r="V524" i="2"/>
  <c r="V534" i="2"/>
  <c r="V533" i="2"/>
  <c r="V544" i="2"/>
  <c r="V497" i="2"/>
  <c r="V508" i="2" s="1"/>
  <c r="V528" i="2" s="1"/>
  <c r="P437" i="2"/>
  <c r="P430" i="2" s="1"/>
  <c r="P390" i="2"/>
  <c r="P401" i="2" s="1"/>
  <c r="P421" i="2" s="1"/>
  <c r="X218" i="8"/>
  <c r="X272" i="8" s="1"/>
  <c r="Q251" i="8"/>
  <c r="S338" i="2"/>
  <c r="P89" i="2"/>
  <c r="P88" i="2"/>
  <c r="V543" i="2"/>
  <c r="V496" i="2"/>
  <c r="V507" i="2" s="1"/>
  <c r="V527" i="2" s="1"/>
  <c r="T512" i="2"/>
  <c r="T532" i="2" s="1"/>
  <c r="Z408" i="2"/>
  <c r="Z517" i="2"/>
  <c r="W259" i="2"/>
  <c r="X255" i="2"/>
  <c r="W252" i="2"/>
  <c r="W150" i="2"/>
  <c r="X146" i="2"/>
  <c r="U260" i="2"/>
  <c r="U328" i="2" s="1"/>
  <c r="T267" i="2"/>
  <c r="T268" i="2" s="1"/>
  <c r="T283" i="2" s="1"/>
  <c r="T281" i="2"/>
  <c r="T292" i="2" s="1"/>
  <c r="V257" i="2"/>
  <c r="U258" i="2"/>
  <c r="U256" i="2" s="1"/>
  <c r="U251" i="2" s="1"/>
  <c r="S311" i="2"/>
  <c r="R197" i="8"/>
  <c r="S170" i="8"/>
  <c r="T280" i="2"/>
  <c r="T291" i="2" s="1"/>
  <c r="T327" i="2"/>
  <c r="J71" i="14"/>
  <c r="J91" i="14" s="1"/>
  <c r="Q330" i="2"/>
  <c r="Q273" i="2"/>
  <c r="Q302" i="2" s="1"/>
  <c r="Q303" i="2" s="1"/>
  <c r="Q317" i="2" s="1"/>
  <c r="R274" i="2"/>
  <c r="R284" i="2" s="1"/>
  <c r="V323" i="2"/>
  <c r="V322" i="2"/>
  <c r="V321" i="2" s="1"/>
  <c r="V231" i="2"/>
  <c r="V327" i="2"/>
  <c r="U326" i="2"/>
  <c r="U279" i="2"/>
  <c r="U290" i="2" s="1"/>
  <c r="U306" i="2"/>
  <c r="U307" i="2"/>
  <c r="U316" i="2"/>
  <c r="U315" i="2"/>
  <c r="U282" i="2"/>
  <c r="U293" i="2" s="1"/>
  <c r="U329" i="2"/>
  <c r="U252" i="8"/>
  <c r="W230" i="2" s="1"/>
  <c r="W229" i="2"/>
  <c r="L70" i="14"/>
  <c r="L90" i="14" s="1"/>
  <c r="R330" i="2"/>
  <c r="U325" i="2"/>
  <c r="U278" i="2"/>
  <c r="U289" i="2" s="1"/>
  <c r="U324" i="2"/>
  <c r="U277" i="2"/>
  <c r="U288" i="2" s="1"/>
  <c r="V263" i="2"/>
  <c r="V262" i="2"/>
  <c r="V261" i="2"/>
  <c r="V243" i="2"/>
  <c r="V241" i="2" s="1"/>
  <c r="V247" i="2"/>
  <c r="V245" i="2" s="1"/>
  <c r="V249" i="2"/>
  <c r="S233" i="2"/>
  <c r="X145" i="8"/>
  <c r="Z119" i="2"/>
  <c r="Z145" i="2" s="1"/>
  <c r="T310" i="2"/>
  <c r="T313" i="2"/>
  <c r="S294" i="2"/>
  <c r="R314" i="2"/>
  <c r="AC314" i="2" s="1" a="1"/>
  <c r="AC314" i="2" s="1"/>
  <c r="T308" i="2"/>
  <c r="S312" i="2"/>
  <c r="T309" i="2"/>
  <c r="P305" i="2"/>
  <c r="P319" i="2" s="1"/>
  <c r="Q285" i="2"/>
  <c r="R124" i="2"/>
  <c r="R221" i="2" s="1"/>
  <c r="R185" i="2"/>
  <c r="R205" i="2" s="1"/>
  <c r="AC205" i="2" s="1" a="1"/>
  <c r="AC205" i="2" s="1"/>
  <c r="T151" i="2"/>
  <c r="T158" i="2" s="1"/>
  <c r="R203" i="2"/>
  <c r="AC203" i="2" s="1" a="1"/>
  <c r="AC203" i="2" s="1"/>
  <c r="S200" i="2"/>
  <c r="S199" i="2"/>
  <c r="U153" i="2"/>
  <c r="U154" i="2"/>
  <c r="U152" i="2"/>
  <c r="U134" i="2"/>
  <c r="U132" i="2" s="1"/>
  <c r="U138" i="2"/>
  <c r="U136" i="2" s="1"/>
  <c r="U140" i="2"/>
  <c r="S219" i="2"/>
  <c r="S172" i="2"/>
  <c r="S183" i="2" s="1"/>
  <c r="U171" i="2"/>
  <c r="U182" i="2" s="1"/>
  <c r="U218" i="2"/>
  <c r="S204" i="2"/>
  <c r="T202" i="2"/>
  <c r="S159" i="2"/>
  <c r="S174" i="2" s="1"/>
  <c r="T220" i="2"/>
  <c r="T173" i="2"/>
  <c r="T184" i="2" s="1"/>
  <c r="Q164" i="2"/>
  <c r="Q193" i="2" s="1"/>
  <c r="Q165" i="2"/>
  <c r="Q175" i="2" s="1"/>
  <c r="O196" i="2"/>
  <c r="O210" i="2" s="1"/>
  <c r="W148" i="2"/>
  <c r="V149" i="2"/>
  <c r="V147" i="2" s="1"/>
  <c r="V142" i="2" s="1"/>
  <c r="Q221" i="2"/>
  <c r="T217" i="2"/>
  <c r="T170" i="2"/>
  <c r="T181" i="2" s="1"/>
  <c r="T201" i="2" s="1"/>
  <c r="T253" i="8"/>
  <c r="V121" i="2" s="1"/>
  <c r="V120" i="2"/>
  <c r="T216" i="2"/>
  <c r="T169" i="2"/>
  <c r="T180" i="2" s="1"/>
  <c r="V172" i="8"/>
  <c r="U199" i="8"/>
  <c r="T198" i="2"/>
  <c r="T197" i="2"/>
  <c r="T207" i="2"/>
  <c r="T206" i="2"/>
  <c r="T215" i="2"/>
  <c r="T168" i="2"/>
  <c r="T179" i="2" s="1"/>
  <c r="P164" i="2"/>
  <c r="P193" i="2" s="1"/>
  <c r="P194" i="2" s="1"/>
  <c r="P208" i="2" s="1"/>
  <c r="P165" i="2"/>
  <c r="P175" i="2" s="1"/>
  <c r="P221" i="2"/>
  <c r="U213" i="2"/>
  <c r="U212" i="2" s="1"/>
  <c r="U214" i="2"/>
  <c r="U122" i="2"/>
  <c r="S195" i="8"/>
  <c r="R222" i="8"/>
  <c r="R276" i="8" s="1"/>
  <c r="S184" i="8"/>
  <c r="R211" i="8"/>
  <c r="R265" i="8" s="1"/>
  <c r="S177" i="8"/>
  <c r="R204" i="8"/>
  <c r="R258" i="8" s="1"/>
  <c r="S182" i="8"/>
  <c r="R209" i="8"/>
  <c r="R263" i="8" s="1"/>
  <c r="J71" i="11"/>
  <c r="J91" i="11" s="1"/>
  <c r="L70" i="11"/>
  <c r="L90" i="11" s="1"/>
  <c r="N59" i="14"/>
  <c r="N106" i="14"/>
  <c r="K60" i="14"/>
  <c r="K107" i="14"/>
  <c r="E40" i="14"/>
  <c r="F37" i="14"/>
  <c r="G37" i="14" s="1"/>
  <c r="G34" i="14" s="1"/>
  <c r="E37" i="14"/>
  <c r="E41" i="14" s="1"/>
  <c r="P24" i="14"/>
  <c r="O25" i="14"/>
  <c r="O23" i="14" s="1"/>
  <c r="M28" i="14"/>
  <c r="L29" i="14"/>
  <c r="L27" i="14" s="1"/>
  <c r="I108" i="14"/>
  <c r="I61" i="14"/>
  <c r="I72" i="14" s="1"/>
  <c r="I92" i="14" s="1"/>
  <c r="I35" i="14"/>
  <c r="H36" i="14"/>
  <c r="K32" i="14"/>
  <c r="J31" i="14"/>
  <c r="H39" i="14"/>
  <c r="G40" i="14"/>
  <c r="A44" i="14"/>
  <c r="F43" i="14"/>
  <c r="O24" i="11"/>
  <c r="N25" i="11"/>
  <c r="N23" i="11" s="1"/>
  <c r="E40" i="11"/>
  <c r="E37" i="11"/>
  <c r="E41" i="11" s="1"/>
  <c r="F37" i="11"/>
  <c r="G37" i="11" s="1"/>
  <c r="H39" i="11"/>
  <c r="G40" i="11"/>
  <c r="F43" i="11"/>
  <c r="A44" i="11"/>
  <c r="T42" i="11"/>
  <c r="T63" i="11" s="1"/>
  <c r="I108" i="11"/>
  <c r="I61" i="11"/>
  <c r="I72" i="11" s="1"/>
  <c r="I92" i="11" s="1"/>
  <c r="K32" i="11"/>
  <c r="J31" i="11"/>
  <c r="K107" i="11"/>
  <c r="K60" i="11"/>
  <c r="M28" i="11"/>
  <c r="L29" i="11"/>
  <c r="L27" i="11" s="1"/>
  <c r="I35" i="11"/>
  <c r="H36" i="11"/>
  <c r="M59" i="11"/>
  <c r="M106" i="11"/>
  <c r="T42" i="2"/>
  <c r="T183" i="8"/>
  <c r="S210" i="8"/>
  <c r="S264" i="8" s="1"/>
  <c r="V178" i="8"/>
  <c r="U205" i="8"/>
  <c r="T64" i="2"/>
  <c r="T259" i="8"/>
  <c r="V12" i="11" s="1"/>
  <c r="V11" i="11"/>
  <c r="T64" i="11"/>
  <c r="T75" i="11" s="1"/>
  <c r="T95" i="11" s="1"/>
  <c r="T111" i="11"/>
  <c r="U105" i="11"/>
  <c r="U13" i="11"/>
  <c r="U104" i="11"/>
  <c r="U103" i="11" s="1"/>
  <c r="U44" i="2"/>
  <c r="U45" i="2"/>
  <c r="U43" i="2"/>
  <c r="S63" i="11"/>
  <c r="S74" i="11" s="1"/>
  <c r="S110" i="11"/>
  <c r="U45" i="11"/>
  <c r="U44" i="11"/>
  <c r="U43" i="11"/>
  <c r="T207" i="8"/>
  <c r="T261" i="8" s="1"/>
  <c r="U180" i="8"/>
  <c r="U206" i="8"/>
  <c r="U260" i="8" s="1"/>
  <c r="V179" i="8"/>
  <c r="T208" i="8"/>
  <c r="T262" i="8" s="1"/>
  <c r="U181" i="8"/>
  <c r="V11" i="2"/>
  <c r="T89" i="11"/>
  <c r="T88" i="11"/>
  <c r="W171" i="8"/>
  <c r="V198" i="8"/>
  <c r="Z137" i="8"/>
  <c r="G26" i="13" s="1"/>
  <c r="W138" i="8"/>
  <c r="W165" i="8" s="1"/>
  <c r="W219" i="8" s="1"/>
  <c r="X111" i="8"/>
  <c r="X138" i="8" s="1"/>
  <c r="X165" i="8" s="1"/>
  <c r="X219" i="8" s="1"/>
  <c r="X273" i="8" s="1"/>
  <c r="W112" i="8"/>
  <c r="V139" i="8"/>
  <c r="V166" i="8" s="1"/>
  <c r="V220" i="8" s="1"/>
  <c r="V274" i="8" s="1"/>
  <c r="W113" i="8"/>
  <c r="V140" i="8"/>
  <c r="V167" i="8" s="1"/>
  <c r="V221" i="8" s="1"/>
  <c r="V275" i="8" s="1"/>
  <c r="X200" i="8"/>
  <c r="Z119" i="8"/>
  <c r="J26" i="1" s="1"/>
  <c r="W145" i="8"/>
  <c r="Z118" i="8"/>
  <c r="G26" i="1" s="1"/>
  <c r="V147" i="8"/>
  <c r="V201" i="8" s="1"/>
  <c r="V255" i="8" s="1"/>
  <c r="X93" i="8"/>
  <c r="X120" i="8" s="1"/>
  <c r="W120" i="8"/>
  <c r="W95" i="8"/>
  <c r="V122" i="8"/>
  <c r="W94" i="8"/>
  <c r="V121" i="8"/>
  <c r="K70" i="2"/>
  <c r="K90" i="2" s="1"/>
  <c r="V63" i="14"/>
  <c r="V110" i="14"/>
  <c r="I71" i="2"/>
  <c r="I91" i="2" s="1"/>
  <c r="Z268" i="8"/>
  <c r="Z267" i="8"/>
  <c r="L106" i="2"/>
  <c r="L59" i="2"/>
  <c r="N24" i="2"/>
  <c r="M25" i="2"/>
  <c r="M23" i="2" s="1"/>
  <c r="H61" i="2"/>
  <c r="H72" i="2" s="1"/>
  <c r="H92" i="2" s="1"/>
  <c r="H108" i="2"/>
  <c r="J32" i="2"/>
  <c r="I31" i="2"/>
  <c r="J107" i="2"/>
  <c r="J60" i="2"/>
  <c r="L28" i="2"/>
  <c r="K29" i="2"/>
  <c r="K27" i="2" s="1"/>
  <c r="H35" i="2"/>
  <c r="G36" i="2"/>
  <c r="A40" i="2"/>
  <c r="A41" i="2" s="1"/>
  <c r="A42" i="2" s="1"/>
  <c r="A43" i="2" s="1"/>
  <c r="F39" i="2"/>
  <c r="G39" i="2" s="1"/>
  <c r="G92" i="2"/>
  <c r="E39" i="2"/>
  <c r="E36" i="2"/>
  <c r="W42" i="14"/>
  <c r="W269" i="8"/>
  <c r="Z269" i="8" s="1"/>
  <c r="Z215" i="8"/>
  <c r="W111" i="14"/>
  <c r="W64" i="14"/>
  <c r="W89" i="14"/>
  <c r="W88" i="14"/>
  <c r="Z214" i="8"/>
  <c r="X104" i="14"/>
  <c r="X103" i="14" s="1"/>
  <c r="X105" i="14"/>
  <c r="X13" i="14"/>
  <c r="X270" i="8"/>
  <c r="Z270" i="8" s="1"/>
  <c r="Z216" i="8"/>
  <c r="Z213" i="8"/>
  <c r="X43" i="14"/>
  <c r="X45" i="14"/>
  <c r="X44" i="14"/>
  <c r="W271" i="8"/>
  <c r="Z271" i="8" s="1"/>
  <c r="Z217" i="8"/>
  <c r="Z11" i="14"/>
  <c r="X266" i="8"/>
  <c r="Z12" i="14" s="1"/>
  <c r="Z104" i="14" s="1"/>
  <c r="Z103" i="14" s="1"/>
  <c r="W272" i="8"/>
  <c r="Z272" i="8" s="1"/>
  <c r="G29" i="13" s="1"/>
  <c r="Z218" i="8"/>
  <c r="G28" i="13" s="1"/>
  <c r="Z212" i="8"/>
  <c r="F28" i="13" s="1"/>
  <c r="W266" i="8"/>
  <c r="Y11" i="14"/>
  <c r="W360" i="2" l="1"/>
  <c r="T548" i="2"/>
  <c r="T491" i="2"/>
  <c r="T520" i="2" s="1"/>
  <c r="V499" i="2"/>
  <c r="Q430" i="2"/>
  <c r="Q422" i="2"/>
  <c r="Q376" i="2"/>
  <c r="Q377" i="2" s="1"/>
  <c r="Q392" i="2" s="1"/>
  <c r="T219" i="2"/>
  <c r="V546" i="2"/>
  <c r="P342" i="2"/>
  <c r="P439" i="2" s="1"/>
  <c r="Q390" i="2"/>
  <c r="Q401" i="2" s="1"/>
  <c r="Q421" i="2" s="1"/>
  <c r="Q418" i="2"/>
  <c r="U512" i="2"/>
  <c r="U532" i="2" s="1"/>
  <c r="Q417" i="2"/>
  <c r="U451" i="2"/>
  <c r="U491" i="2" s="1"/>
  <c r="U520" i="2" s="1"/>
  <c r="Q419" i="2"/>
  <c r="G43" i="14"/>
  <c r="H43" i="14"/>
  <c r="I43" i="14"/>
  <c r="J43" i="14"/>
  <c r="K43" i="14"/>
  <c r="L43" i="14"/>
  <c r="M43" i="14"/>
  <c r="N43" i="14"/>
  <c r="O43" i="14"/>
  <c r="P43" i="14"/>
  <c r="Q43" i="14"/>
  <c r="R43" i="14"/>
  <c r="P523" i="2"/>
  <c r="P537" i="2" s="1"/>
  <c r="Q503" i="2"/>
  <c r="Z476" i="2"/>
  <c r="Z472" i="2"/>
  <c r="W545" i="2"/>
  <c r="W498" i="2"/>
  <c r="W509" i="2" s="1"/>
  <c r="W529" i="2" s="1"/>
  <c r="Q89" i="2"/>
  <c r="Q88" i="2"/>
  <c r="W254" i="8"/>
  <c r="Y448" i="2" s="1"/>
  <c r="Y447" i="2"/>
  <c r="X540" i="2"/>
  <c r="X539" i="2" s="1"/>
  <c r="X541" i="2"/>
  <c r="X449" i="2"/>
  <c r="R438" i="2"/>
  <c r="R391" i="2"/>
  <c r="R402" i="2" s="1"/>
  <c r="X470" i="2"/>
  <c r="X477" i="2"/>
  <c r="X474" i="2" s="1"/>
  <c r="X469" i="2" s="1"/>
  <c r="Y473" i="2"/>
  <c r="O342" i="2"/>
  <c r="W544" i="2"/>
  <c r="W497" i="2"/>
  <c r="W508" i="2" s="1"/>
  <c r="W528" i="2" s="1"/>
  <c r="W543" i="2"/>
  <c r="W496" i="2"/>
  <c r="W507" i="2" s="1"/>
  <c r="W527" i="2" s="1"/>
  <c r="R431" i="2"/>
  <c r="R340" i="2"/>
  <c r="R432" i="2"/>
  <c r="R436" i="2"/>
  <c r="V486" i="2"/>
  <c r="V501" i="2" s="1"/>
  <c r="V512" i="2" s="1"/>
  <c r="V532" i="2" s="1"/>
  <c r="T521" i="2"/>
  <c r="W524" i="2"/>
  <c r="W525" i="2"/>
  <c r="W534" i="2"/>
  <c r="W533" i="2"/>
  <c r="W542" i="2"/>
  <c r="W495" i="2"/>
  <c r="W506" i="2" s="1"/>
  <c r="W526" i="2" s="1"/>
  <c r="R111" i="2"/>
  <c r="R13" i="2"/>
  <c r="R104" i="2"/>
  <c r="R103" i="2" s="1"/>
  <c r="R110" i="2"/>
  <c r="R105" i="2"/>
  <c r="P403" i="2"/>
  <c r="P423" i="2" s="1"/>
  <c r="V526" i="2"/>
  <c r="R435" i="2"/>
  <c r="R388" i="2"/>
  <c r="R399" i="2" s="1"/>
  <c r="S371" i="2"/>
  <c r="S372" i="2"/>
  <c r="S370" i="2"/>
  <c r="S352" i="2"/>
  <c r="S350" i="2" s="1"/>
  <c r="S356" i="2"/>
  <c r="S354" i="2" s="1"/>
  <c r="S358" i="2"/>
  <c r="W547" i="2"/>
  <c r="W500" i="2"/>
  <c r="W511" i="2" s="1"/>
  <c r="W531" i="2" s="1"/>
  <c r="R434" i="2"/>
  <c r="R387" i="2"/>
  <c r="R398" i="2" s="1"/>
  <c r="X254" i="8"/>
  <c r="Z447" i="2"/>
  <c r="S12" i="2"/>
  <c r="S339" i="2"/>
  <c r="W389" i="2"/>
  <c r="W400" i="2" s="1"/>
  <c r="Q425" i="2"/>
  <c r="Q415" i="2"/>
  <c r="Q416" i="2"/>
  <c r="Q424" i="2"/>
  <c r="Q420" i="2"/>
  <c r="W478" i="2"/>
  <c r="T510" i="2"/>
  <c r="T530" i="2" s="1"/>
  <c r="R433" i="2"/>
  <c r="R386" i="2"/>
  <c r="R397" i="2" s="1"/>
  <c r="R417" i="2" s="1"/>
  <c r="R251" i="8"/>
  <c r="T338" i="2"/>
  <c r="M414" i="2"/>
  <c r="M428" i="2" s="1"/>
  <c r="N394" i="2"/>
  <c r="X368" i="2"/>
  <c r="X365" i="2" s="1"/>
  <c r="Y364" i="2"/>
  <c r="X361" i="2"/>
  <c r="Y472" i="2"/>
  <c r="Y476" i="2"/>
  <c r="X480" i="2"/>
  <c r="X481" i="2"/>
  <c r="X479" i="2"/>
  <c r="X461" i="2"/>
  <c r="X459" i="2" s="1"/>
  <c r="X465" i="2"/>
  <c r="X463" i="2" s="1"/>
  <c r="X467" i="2"/>
  <c r="R369" i="2"/>
  <c r="R376" i="2" s="1"/>
  <c r="U281" i="2"/>
  <c r="U267" i="2"/>
  <c r="U268" i="2" s="1"/>
  <c r="U283" i="2" s="1"/>
  <c r="X150" i="2"/>
  <c r="Y146" i="2"/>
  <c r="X143" i="2"/>
  <c r="Y255" i="2"/>
  <c r="X259" i="2"/>
  <c r="X252" i="2"/>
  <c r="K71" i="14"/>
  <c r="K91" i="14" s="1"/>
  <c r="T311" i="2"/>
  <c r="U280" i="2"/>
  <c r="U291" i="2" s="1"/>
  <c r="U327" i="2"/>
  <c r="S197" i="8"/>
  <c r="T170" i="8"/>
  <c r="W257" i="2"/>
  <c r="V258" i="2"/>
  <c r="V256" i="2" s="1"/>
  <c r="M70" i="14"/>
  <c r="M90" i="14" s="1"/>
  <c r="R303" i="2"/>
  <c r="R317" i="2" s="1"/>
  <c r="AC317" i="2" s="1" a="1"/>
  <c r="AC317" i="2" s="1"/>
  <c r="T172" i="2"/>
  <c r="T183" i="2" s="1"/>
  <c r="V260" i="2"/>
  <c r="V267" i="2" s="1"/>
  <c r="T233" i="2"/>
  <c r="V329" i="2"/>
  <c r="V282" i="2"/>
  <c r="V293" i="2" s="1"/>
  <c r="S330" i="2"/>
  <c r="S273" i="2"/>
  <c r="S302" i="2" s="1"/>
  <c r="S274" i="2"/>
  <c r="S284" i="2" s="1"/>
  <c r="V326" i="2"/>
  <c r="V279" i="2"/>
  <c r="V290" i="2" s="1"/>
  <c r="V306" i="2"/>
  <c r="V307" i="2"/>
  <c r="V316" i="2"/>
  <c r="V315" i="2"/>
  <c r="V252" i="8"/>
  <c r="X230" i="2" s="1"/>
  <c r="X229" i="2"/>
  <c r="V278" i="2"/>
  <c r="V289" i="2" s="1"/>
  <c r="V325" i="2"/>
  <c r="W262" i="2"/>
  <c r="W261" i="2"/>
  <c r="W263" i="2"/>
  <c r="W243" i="2"/>
  <c r="W241" i="2" s="1"/>
  <c r="W247" i="2"/>
  <c r="W245" i="2" s="1"/>
  <c r="W249" i="2"/>
  <c r="V324" i="2"/>
  <c r="V277" i="2"/>
  <c r="V288" i="2" s="1"/>
  <c r="W231" i="2"/>
  <c r="W322" i="2"/>
  <c r="W321" i="2" s="1"/>
  <c r="W323" i="2"/>
  <c r="U313" i="2"/>
  <c r="U292" i="2"/>
  <c r="T312" i="2"/>
  <c r="U310" i="2"/>
  <c r="U308" i="2"/>
  <c r="Q305" i="2"/>
  <c r="Q319" i="2" s="1"/>
  <c r="R285" i="2"/>
  <c r="S314" i="2"/>
  <c r="T294" i="2"/>
  <c r="S185" i="2"/>
  <c r="S205" i="2" s="1"/>
  <c r="U309" i="2"/>
  <c r="R165" i="2"/>
  <c r="R175" i="2" s="1"/>
  <c r="R164" i="2"/>
  <c r="R193" i="2" s="1"/>
  <c r="K71" i="11"/>
  <c r="K91" i="11" s="1"/>
  <c r="P176" i="2"/>
  <c r="P196" i="2" s="1"/>
  <c r="P210" i="2" s="1"/>
  <c r="S124" i="2"/>
  <c r="S164" i="2" s="1"/>
  <c r="S193" i="2" s="1"/>
  <c r="T200" i="2"/>
  <c r="T199" i="2"/>
  <c r="S203" i="2"/>
  <c r="T204" i="2"/>
  <c r="V213" i="2"/>
  <c r="V212" i="2" s="1"/>
  <c r="V214" i="2"/>
  <c r="V122" i="2"/>
  <c r="Q194" i="2"/>
  <c r="Q208" i="2" s="1"/>
  <c r="V152" i="2"/>
  <c r="V153" i="2"/>
  <c r="V154" i="2"/>
  <c r="V134" i="2"/>
  <c r="V132" i="2" s="1"/>
  <c r="V138" i="2"/>
  <c r="V136" i="2" s="1"/>
  <c r="V140" i="2"/>
  <c r="U220" i="2"/>
  <c r="U173" i="2"/>
  <c r="U184" i="2" s="1"/>
  <c r="T159" i="2"/>
  <c r="T174" i="2" s="1"/>
  <c r="U253" i="8"/>
  <c r="W121" i="2" s="1"/>
  <c r="W120" i="2"/>
  <c r="U217" i="2"/>
  <c r="U170" i="2"/>
  <c r="U181" i="2" s="1"/>
  <c r="U201" i="2" s="1"/>
  <c r="U198" i="2"/>
  <c r="U197" i="2"/>
  <c r="U207" i="2"/>
  <c r="U206" i="2"/>
  <c r="W172" i="8"/>
  <c r="X172" i="8" s="1"/>
  <c r="X199" i="8" s="1"/>
  <c r="V199" i="8"/>
  <c r="V171" i="2"/>
  <c r="V182" i="2" s="1"/>
  <c r="V218" i="2"/>
  <c r="U169" i="2"/>
  <c r="U180" i="2" s="1"/>
  <c r="U216" i="2"/>
  <c r="U42" i="11"/>
  <c r="U63" i="11" s="1"/>
  <c r="W149" i="2"/>
  <c r="W147" i="2" s="1"/>
  <c r="W142" i="2" s="1"/>
  <c r="X148" i="2"/>
  <c r="U215" i="2"/>
  <c r="U168" i="2"/>
  <c r="U179" i="2" s="1"/>
  <c r="U202" i="2"/>
  <c r="U151" i="2"/>
  <c r="T177" i="8"/>
  <c r="S204" i="8"/>
  <c r="S258" i="8" s="1"/>
  <c r="S209" i="8"/>
  <c r="S263" i="8" s="1"/>
  <c r="T182" i="8"/>
  <c r="T184" i="8"/>
  <c r="S211" i="8"/>
  <c r="S265" i="8" s="1"/>
  <c r="S222" i="8"/>
  <c r="S276" i="8" s="1"/>
  <c r="T195" i="8"/>
  <c r="W147" i="8"/>
  <c r="W201" i="8" s="1"/>
  <c r="W255" i="8" s="1"/>
  <c r="Y10" i="2"/>
  <c r="X147" i="8"/>
  <c r="X201" i="8" s="1"/>
  <c r="X255" i="8" s="1"/>
  <c r="Z10" i="2"/>
  <c r="Z138" i="8"/>
  <c r="Z200" i="8"/>
  <c r="J28" i="1" s="1"/>
  <c r="T110" i="11"/>
  <c r="M70" i="11"/>
  <c r="M90" i="11" s="1"/>
  <c r="L70" i="2"/>
  <c r="L90" i="2" s="1"/>
  <c r="U42" i="2"/>
  <c r="G41" i="14"/>
  <c r="G38" i="14" s="1"/>
  <c r="G33" i="14" s="1"/>
  <c r="H37" i="14"/>
  <c r="H34" i="14" s="1"/>
  <c r="I39" i="14"/>
  <c r="H40" i="14"/>
  <c r="J108" i="14"/>
  <c r="J61" i="14"/>
  <c r="J72" i="14" s="1"/>
  <c r="J92" i="14" s="1"/>
  <c r="L107" i="14"/>
  <c r="L60" i="14"/>
  <c r="L32" i="14"/>
  <c r="K31" i="14"/>
  <c r="N28" i="14"/>
  <c r="M29" i="14"/>
  <c r="M27" i="14" s="1"/>
  <c r="J35" i="14"/>
  <c r="I36" i="14"/>
  <c r="O59" i="14"/>
  <c r="O106" i="14"/>
  <c r="Q24" i="14"/>
  <c r="P25" i="14"/>
  <c r="P23" i="14" s="1"/>
  <c r="A45" i="14"/>
  <c r="A46" i="14" s="1"/>
  <c r="F44" i="14"/>
  <c r="J35" i="11"/>
  <c r="I36" i="11"/>
  <c r="J108" i="11"/>
  <c r="J61" i="11"/>
  <c r="J72" i="11" s="1"/>
  <c r="J92" i="11" s="1"/>
  <c r="L32" i="11"/>
  <c r="K31" i="11"/>
  <c r="I39" i="11"/>
  <c r="H40" i="11"/>
  <c r="L60" i="11"/>
  <c r="L107" i="11"/>
  <c r="H37" i="11"/>
  <c r="G41" i="11"/>
  <c r="G38" i="11" s="1"/>
  <c r="G33" i="11" s="1"/>
  <c r="N28" i="11"/>
  <c r="M29" i="11"/>
  <c r="M27" i="11" s="1"/>
  <c r="G34" i="11"/>
  <c r="N59" i="11"/>
  <c r="N106" i="11"/>
  <c r="A45" i="11"/>
  <c r="A46" i="11" s="1"/>
  <c r="F44" i="11"/>
  <c r="P24" i="11"/>
  <c r="O25" i="11"/>
  <c r="O23" i="11" s="1"/>
  <c r="W198" i="8"/>
  <c r="Y229" i="2" s="1"/>
  <c r="X171" i="8"/>
  <c r="X198" i="8" s="1"/>
  <c r="V44" i="11"/>
  <c r="V45" i="11"/>
  <c r="V43" i="11"/>
  <c r="W11" i="11"/>
  <c r="U259" i="8"/>
  <c r="W12" i="11" s="1"/>
  <c r="U88" i="11"/>
  <c r="U89" i="11"/>
  <c r="W178" i="8"/>
  <c r="V205" i="8"/>
  <c r="V45" i="2"/>
  <c r="V43" i="2"/>
  <c r="V44" i="2"/>
  <c r="U64" i="11"/>
  <c r="U75" i="11" s="1"/>
  <c r="U95" i="11" s="1"/>
  <c r="U111" i="11"/>
  <c r="U183" i="8"/>
  <c r="T210" i="8"/>
  <c r="V181" i="8"/>
  <c r="U208" i="8"/>
  <c r="W179" i="8"/>
  <c r="V206" i="8"/>
  <c r="V105" i="11"/>
  <c r="V104" i="11"/>
  <c r="V103" i="11" s="1"/>
  <c r="V13" i="11"/>
  <c r="W11" i="2"/>
  <c r="U64" i="2"/>
  <c r="T74" i="11"/>
  <c r="S94" i="11"/>
  <c r="U207" i="8"/>
  <c r="V180" i="8"/>
  <c r="T63" i="2"/>
  <c r="X112" i="8"/>
  <c r="X139" i="8" s="1"/>
  <c r="X166" i="8" s="1"/>
  <c r="X220" i="8" s="1"/>
  <c r="X274" i="8" s="1"/>
  <c r="W139" i="8"/>
  <c r="W166" i="8" s="1"/>
  <c r="W220" i="8" s="1"/>
  <c r="X113" i="8"/>
  <c r="X140" i="8" s="1"/>
  <c r="X167" i="8" s="1"/>
  <c r="X221" i="8" s="1"/>
  <c r="X275" i="8" s="1"/>
  <c r="W140" i="8"/>
  <c r="W273" i="8"/>
  <c r="Z273" i="8" s="1"/>
  <c r="Z219" i="8"/>
  <c r="V148" i="8"/>
  <c r="V202" i="8" s="1"/>
  <c r="Z120" i="8"/>
  <c r="F26" i="1" s="1"/>
  <c r="W121" i="8"/>
  <c r="W148" i="8" s="1"/>
  <c r="W202" i="8" s="1"/>
  <c r="W256" i="8" s="1"/>
  <c r="X94" i="8"/>
  <c r="X121" i="8" s="1"/>
  <c r="X148" i="8" s="1"/>
  <c r="X202" i="8" s="1"/>
  <c r="X256" i="8" s="1"/>
  <c r="V149" i="8"/>
  <c r="V203" i="8" s="1"/>
  <c r="W122" i="8"/>
  <c r="W149" i="8" s="1"/>
  <c r="W203" i="8" s="1"/>
  <c r="W257" i="8" s="1"/>
  <c r="X95" i="8"/>
  <c r="X122" i="8" s="1"/>
  <c r="X149" i="8" s="1"/>
  <c r="X203" i="8" s="1"/>
  <c r="X257" i="8" s="1"/>
  <c r="J71" i="2"/>
  <c r="J91" i="2" s="1"/>
  <c r="F37" i="2"/>
  <c r="G37" i="2" s="1"/>
  <c r="G34" i="2" s="1"/>
  <c r="E40" i="2"/>
  <c r="E37" i="2"/>
  <c r="E41" i="2" s="1"/>
  <c r="I35" i="2"/>
  <c r="H36" i="2"/>
  <c r="M59" i="2"/>
  <c r="M106" i="2"/>
  <c r="O24" i="2"/>
  <c r="N25" i="2"/>
  <c r="N23" i="2" s="1"/>
  <c r="X42" i="14"/>
  <c r="K60" i="2"/>
  <c r="K107" i="2"/>
  <c r="H39" i="2"/>
  <c r="G40" i="2"/>
  <c r="M28" i="2"/>
  <c r="L29" i="2"/>
  <c r="L27" i="2" s="1"/>
  <c r="I61" i="2"/>
  <c r="I72" i="2" s="1"/>
  <c r="I92" i="2" s="1"/>
  <c r="I108" i="2"/>
  <c r="A44" i="2"/>
  <c r="F43" i="2"/>
  <c r="K32" i="2"/>
  <c r="J31" i="2"/>
  <c r="Y12" i="14"/>
  <c r="Z266" i="8"/>
  <c r="F29" i="13" s="1"/>
  <c r="X111" i="14"/>
  <c r="X64" i="14"/>
  <c r="Z43" i="14"/>
  <c r="Z45" i="14"/>
  <c r="Z44" i="14"/>
  <c r="Z105" i="14"/>
  <c r="Z13" i="14"/>
  <c r="Z89" i="14" s="1"/>
  <c r="Y44" i="14"/>
  <c r="Y45" i="14"/>
  <c r="Y43" i="14"/>
  <c r="X89" i="14"/>
  <c r="X88" i="14"/>
  <c r="W110" i="14"/>
  <c r="W63" i="14"/>
  <c r="X360" i="2" l="1"/>
  <c r="U548" i="2"/>
  <c r="Y470" i="2"/>
  <c r="U492" i="2"/>
  <c r="U502" i="2" s="1"/>
  <c r="R418" i="2"/>
  <c r="P382" i="2"/>
  <c r="P411" i="2" s="1"/>
  <c r="P383" i="2"/>
  <c r="P393" i="2" s="1"/>
  <c r="R419" i="2"/>
  <c r="Q403" i="2"/>
  <c r="Q423" i="2" s="1"/>
  <c r="Q342" i="2"/>
  <c r="Q382" i="2" s="1"/>
  <c r="Q411" i="2" s="1"/>
  <c r="R377" i="2"/>
  <c r="R392" i="2" s="1"/>
  <c r="G44" i="14"/>
  <c r="H44" i="14"/>
  <c r="I44" i="14"/>
  <c r="J44" i="14"/>
  <c r="J42" i="14" s="1"/>
  <c r="K44" i="14"/>
  <c r="K42" i="14" s="1"/>
  <c r="L44" i="14"/>
  <c r="L42" i="14" s="1"/>
  <c r="M44" i="14"/>
  <c r="M42" i="14" s="1"/>
  <c r="N44" i="14"/>
  <c r="N42" i="14" s="1"/>
  <c r="O44" i="14"/>
  <c r="P44" i="14"/>
  <c r="Q44" i="14"/>
  <c r="Q42" i="14" s="1"/>
  <c r="R44" i="14"/>
  <c r="R42" i="14" s="1"/>
  <c r="T372" i="2"/>
  <c r="T370" i="2"/>
  <c r="T371" i="2"/>
  <c r="T352" i="2"/>
  <c r="T350" i="2" s="1"/>
  <c r="T356" i="2"/>
  <c r="T354" i="2" s="1"/>
  <c r="T358" i="2"/>
  <c r="O382" i="2"/>
  <c r="O411" i="2" s="1"/>
  <c r="O412" i="2" s="1"/>
  <c r="O426" i="2" s="1"/>
  <c r="O383" i="2"/>
  <c r="O393" i="2" s="1"/>
  <c r="O439" i="2"/>
  <c r="X544" i="2"/>
  <c r="X497" i="2"/>
  <c r="X508" i="2" s="1"/>
  <c r="X528" i="2" s="1"/>
  <c r="Z254" i="8"/>
  <c r="J29" i="1" s="1"/>
  <c r="Z448" i="2"/>
  <c r="X545" i="2"/>
  <c r="X498" i="2"/>
  <c r="X509" i="2" s="1"/>
  <c r="X529" i="2" s="1"/>
  <c r="Y541" i="2"/>
  <c r="Y449" i="2"/>
  <c r="Y540" i="2"/>
  <c r="Y539" i="2" s="1"/>
  <c r="Q523" i="2"/>
  <c r="Q537" i="2" s="1"/>
  <c r="R503" i="2"/>
  <c r="Y477" i="2"/>
  <c r="Y474" i="2" s="1"/>
  <c r="Y469" i="2" s="1"/>
  <c r="Z473" i="2"/>
  <c r="Z477" i="2" s="1"/>
  <c r="Z474" i="2" s="1"/>
  <c r="X543" i="2"/>
  <c r="X496" i="2"/>
  <c r="X507" i="2" s="1"/>
  <c r="X527" i="2" s="1"/>
  <c r="Y368" i="2"/>
  <c r="Y365" i="2" s="1"/>
  <c r="Z364" i="2"/>
  <c r="Y361" i="2"/>
  <c r="S435" i="2"/>
  <c r="S388" i="2"/>
  <c r="S399" i="2" s="1"/>
  <c r="R437" i="2"/>
  <c r="R430" i="2" s="1"/>
  <c r="R390" i="2"/>
  <c r="R401" i="2" s="1"/>
  <c r="R421" i="2" s="1"/>
  <c r="X542" i="2"/>
  <c r="X495" i="2"/>
  <c r="X506" i="2" s="1"/>
  <c r="X526" i="2" s="1"/>
  <c r="X389" i="2"/>
  <c r="X400" i="2" s="1"/>
  <c r="S434" i="2"/>
  <c r="S387" i="2"/>
  <c r="S398" i="2" s="1"/>
  <c r="R88" i="2"/>
  <c r="R89" i="2"/>
  <c r="U510" i="2"/>
  <c r="R422" i="2"/>
  <c r="Z481" i="2"/>
  <c r="Z500" i="2" s="1"/>
  <c r="Z479" i="2"/>
  <c r="Z480" i="2"/>
  <c r="Z467" i="2"/>
  <c r="Z465" i="2"/>
  <c r="Z463" i="2" s="1"/>
  <c r="Z461" i="2"/>
  <c r="Z459" i="2" s="1"/>
  <c r="X478" i="2"/>
  <c r="N414" i="2"/>
  <c r="N428" i="2" s="1"/>
  <c r="S433" i="2"/>
  <c r="S386" i="2"/>
  <c r="S397" i="2" s="1"/>
  <c r="T535" i="2"/>
  <c r="U521" i="2"/>
  <c r="R416" i="2"/>
  <c r="R415" i="2"/>
  <c r="R425" i="2"/>
  <c r="R424" i="2"/>
  <c r="R420" i="2"/>
  <c r="I42" i="14"/>
  <c r="Y480" i="2"/>
  <c r="Y481" i="2"/>
  <c r="Y479" i="2"/>
  <c r="Y461" i="2"/>
  <c r="Y459" i="2" s="1"/>
  <c r="Y465" i="2"/>
  <c r="Y463" i="2" s="1"/>
  <c r="Y467" i="2"/>
  <c r="S251" i="8"/>
  <c r="U338" i="2"/>
  <c r="X547" i="2"/>
  <c r="X500" i="2"/>
  <c r="X511" i="2" s="1"/>
  <c r="X531" i="2" s="1"/>
  <c r="W546" i="2"/>
  <c r="W499" i="2"/>
  <c r="S431" i="2"/>
  <c r="S430" i="2" s="1"/>
  <c r="S432" i="2"/>
  <c r="S340" i="2"/>
  <c r="S436" i="2"/>
  <c r="S369" i="2"/>
  <c r="W485" i="2"/>
  <c r="X525" i="2"/>
  <c r="X524" i="2"/>
  <c r="X534" i="2"/>
  <c r="X533" i="2"/>
  <c r="P42" i="14"/>
  <c r="H42" i="14"/>
  <c r="T12" i="2"/>
  <c r="T339" i="2"/>
  <c r="S111" i="2"/>
  <c r="S110" i="2"/>
  <c r="S105" i="2"/>
  <c r="S13" i="2"/>
  <c r="S104" i="2"/>
  <c r="S103" i="2" s="1"/>
  <c r="S438" i="2"/>
  <c r="S391" i="2"/>
  <c r="S402" i="2" s="1"/>
  <c r="V451" i="2"/>
  <c r="O42" i="14"/>
  <c r="G42" i="14"/>
  <c r="L71" i="14"/>
  <c r="L91" i="14" s="1"/>
  <c r="Y259" i="2"/>
  <c r="Z255" i="2"/>
  <c r="Y252" i="2"/>
  <c r="Y251" i="2" s="1"/>
  <c r="Y280" i="2" s="1"/>
  <c r="Y150" i="2"/>
  <c r="Z146" i="2"/>
  <c r="Y143" i="2"/>
  <c r="Z139" i="8"/>
  <c r="S303" i="2"/>
  <c r="S317" i="2" s="1"/>
  <c r="N70" i="14"/>
  <c r="N90" i="14" s="1"/>
  <c r="V291" i="2"/>
  <c r="V311" i="2" s="1"/>
  <c r="U311" i="2"/>
  <c r="X257" i="2"/>
  <c r="W258" i="2"/>
  <c r="W256" i="2" s="1"/>
  <c r="W251" i="2" s="1"/>
  <c r="L71" i="11"/>
  <c r="L91" i="11" s="1"/>
  <c r="U170" i="8"/>
  <c r="T197" i="8"/>
  <c r="W260" i="2"/>
  <c r="W328" i="2" s="1"/>
  <c r="U233" i="2"/>
  <c r="U274" i="2" s="1"/>
  <c r="U284" i="2" s="1"/>
  <c r="W324" i="2"/>
  <c r="W277" i="2"/>
  <c r="W288" i="2" s="1"/>
  <c r="W306" i="2"/>
  <c r="W307" i="2"/>
  <c r="W316" i="2"/>
  <c r="W315" i="2"/>
  <c r="X252" i="8"/>
  <c r="Z230" i="2" s="1"/>
  <c r="Z229" i="2"/>
  <c r="W282" i="2"/>
  <c r="W293" i="2" s="1"/>
  <c r="W329" i="2"/>
  <c r="W326" i="2"/>
  <c r="W279" i="2"/>
  <c r="W290" i="2" s="1"/>
  <c r="X261" i="2"/>
  <c r="X262" i="2"/>
  <c r="X263" i="2"/>
  <c r="X243" i="2"/>
  <c r="X241" i="2" s="1"/>
  <c r="X247" i="2"/>
  <c r="X245" i="2" s="1"/>
  <c r="X249" i="2"/>
  <c r="T274" i="2"/>
  <c r="T284" i="2" s="1"/>
  <c r="T273" i="2"/>
  <c r="T302" i="2" s="1"/>
  <c r="T330" i="2"/>
  <c r="Y262" i="2"/>
  <c r="Y261" i="2"/>
  <c r="Y263" i="2"/>
  <c r="Y243" i="2"/>
  <c r="Y241" i="2" s="1"/>
  <c r="Y247" i="2"/>
  <c r="Y245" i="2" s="1"/>
  <c r="Y249" i="2"/>
  <c r="V268" i="2"/>
  <c r="V283" i="2" s="1"/>
  <c r="W325" i="2"/>
  <c r="W278" i="2"/>
  <c r="W289" i="2" s="1"/>
  <c r="X323" i="2"/>
  <c r="X231" i="2"/>
  <c r="X322" i="2"/>
  <c r="X321" i="2" s="1"/>
  <c r="V328" i="2"/>
  <c r="V281" i="2"/>
  <c r="V292" i="2" s="1"/>
  <c r="S221" i="2"/>
  <c r="S165" i="2"/>
  <c r="S175" i="2" s="1"/>
  <c r="T185" i="2"/>
  <c r="T205" i="2" s="1"/>
  <c r="T314" i="2"/>
  <c r="U294" i="2"/>
  <c r="V310" i="2"/>
  <c r="R305" i="2"/>
  <c r="R319" i="2" s="1"/>
  <c r="S285" i="2"/>
  <c r="U312" i="2"/>
  <c r="V309" i="2"/>
  <c r="V313" i="2"/>
  <c r="Q176" i="2"/>
  <c r="R176" i="2" s="1"/>
  <c r="V308" i="2"/>
  <c r="V202" i="2"/>
  <c r="R194" i="2"/>
  <c r="R208" i="2" s="1"/>
  <c r="AC208" i="2" s="1" a="1"/>
  <c r="AC208" i="2" s="1"/>
  <c r="U200" i="2"/>
  <c r="U199" i="2"/>
  <c r="U204" i="2"/>
  <c r="V215" i="2"/>
  <c r="V168" i="2"/>
  <c r="V179" i="2" s="1"/>
  <c r="W199" i="8"/>
  <c r="V173" i="2"/>
  <c r="V184" i="2" s="1"/>
  <c r="V220" i="2"/>
  <c r="W218" i="2"/>
  <c r="W171" i="2"/>
  <c r="W182" i="2" s="1"/>
  <c r="V151" i="2"/>
  <c r="V158" i="2" s="1"/>
  <c r="T203" i="2"/>
  <c r="U172" i="2"/>
  <c r="U183" i="2" s="1"/>
  <c r="U219" i="2"/>
  <c r="V253" i="8"/>
  <c r="X120" i="2"/>
  <c r="W154" i="2"/>
  <c r="W152" i="2"/>
  <c r="W153" i="2"/>
  <c r="W134" i="2"/>
  <c r="W132" i="2" s="1"/>
  <c r="W138" i="2"/>
  <c r="W136" i="2" s="1"/>
  <c r="W140" i="2"/>
  <c r="Y148" i="2"/>
  <c r="X149" i="2"/>
  <c r="X147" i="2" s="1"/>
  <c r="X142" i="2" s="1"/>
  <c r="X253" i="8"/>
  <c r="Z121" i="2" s="1"/>
  <c r="Z120" i="2"/>
  <c r="W213" i="2"/>
  <c r="W212" i="2" s="1"/>
  <c r="W214" i="2"/>
  <c r="W122" i="2"/>
  <c r="V198" i="2"/>
  <c r="V197" i="2"/>
  <c r="V207" i="2"/>
  <c r="V206" i="2"/>
  <c r="U110" i="11"/>
  <c r="T124" i="2"/>
  <c r="V217" i="2"/>
  <c r="V170" i="2"/>
  <c r="V181" i="2" s="1"/>
  <c r="V201" i="2" s="1"/>
  <c r="U158" i="2"/>
  <c r="V169" i="2"/>
  <c r="V180" i="2" s="1"/>
  <c r="V216" i="2"/>
  <c r="T222" i="8"/>
  <c r="T276" i="8" s="1"/>
  <c r="U195" i="8"/>
  <c r="U184" i="8"/>
  <c r="T211" i="8"/>
  <c r="T265" i="8" s="1"/>
  <c r="U182" i="8"/>
  <c r="T209" i="8"/>
  <c r="T263" i="8" s="1"/>
  <c r="T204" i="8"/>
  <c r="T258" i="8" s="1"/>
  <c r="U177" i="8"/>
  <c r="Z201" i="8"/>
  <c r="Z255" i="8"/>
  <c r="U261" i="8"/>
  <c r="T264" i="8"/>
  <c r="U262" i="8"/>
  <c r="M70" i="2"/>
  <c r="M90" i="2" s="1"/>
  <c r="G43" i="2"/>
  <c r="H43" i="2"/>
  <c r="I43" i="2"/>
  <c r="J43" i="2"/>
  <c r="K43" i="2"/>
  <c r="L43" i="2"/>
  <c r="M43" i="2"/>
  <c r="N43" i="2"/>
  <c r="O43" i="2"/>
  <c r="P43" i="2"/>
  <c r="U63" i="2"/>
  <c r="N70" i="11"/>
  <c r="N90" i="11" s="1"/>
  <c r="V42" i="2"/>
  <c r="G62" i="14"/>
  <c r="G73" i="14" s="1"/>
  <c r="G109" i="14"/>
  <c r="F46" i="14"/>
  <c r="G46" i="14" s="1"/>
  <c r="A47" i="14"/>
  <c r="P106" i="14"/>
  <c r="P59" i="14"/>
  <c r="M107" i="14"/>
  <c r="M60" i="14"/>
  <c r="R24" i="14"/>
  <c r="Q25" i="14"/>
  <c r="Q23" i="14" s="1"/>
  <c r="O28" i="14"/>
  <c r="N29" i="14"/>
  <c r="N27" i="14" s="1"/>
  <c r="K61" i="14"/>
  <c r="K72" i="14" s="1"/>
  <c r="K92" i="14" s="1"/>
  <c r="K108" i="14"/>
  <c r="M32" i="14"/>
  <c r="L31" i="14"/>
  <c r="J39" i="14"/>
  <c r="I40" i="14"/>
  <c r="H41" i="14"/>
  <c r="H38" i="14" s="1"/>
  <c r="H33" i="14" s="1"/>
  <c r="I37" i="14"/>
  <c r="I34" i="14" s="1"/>
  <c r="K35" i="14"/>
  <c r="J36" i="14"/>
  <c r="G62" i="11"/>
  <c r="G73" i="11" s="1"/>
  <c r="G93" i="11" s="1"/>
  <c r="G109" i="11"/>
  <c r="M32" i="11"/>
  <c r="L31" i="11"/>
  <c r="A47" i="1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X46" i="11" s="1"/>
  <c r="Y46" i="11" s="1"/>
  <c r="Z46" i="11" s="1"/>
  <c r="I37" i="11"/>
  <c r="H41" i="11"/>
  <c r="H38" i="11" s="1"/>
  <c r="H33" i="11" s="1"/>
  <c r="H34" i="11"/>
  <c r="O106" i="11"/>
  <c r="O59" i="11"/>
  <c r="M60" i="11"/>
  <c r="M107" i="11"/>
  <c r="J39" i="11"/>
  <c r="I40" i="11"/>
  <c r="V42" i="11"/>
  <c r="V110" i="11" s="1"/>
  <c r="Q24" i="11"/>
  <c r="P25" i="11"/>
  <c r="P23" i="11" s="1"/>
  <c r="O28" i="11"/>
  <c r="N29" i="11"/>
  <c r="N27" i="11" s="1"/>
  <c r="K61" i="11"/>
  <c r="K72" i="11" s="1"/>
  <c r="K92" i="11" s="1"/>
  <c r="K108" i="11"/>
  <c r="K35" i="11"/>
  <c r="J36" i="11"/>
  <c r="W104" i="11"/>
  <c r="W103" i="11" s="1"/>
  <c r="W105" i="11"/>
  <c r="W13" i="11"/>
  <c r="W43" i="2"/>
  <c r="W45" i="2"/>
  <c r="W44" i="2"/>
  <c r="W180" i="8"/>
  <c r="V207" i="8"/>
  <c r="V261" i="8" s="1"/>
  <c r="V88" i="11"/>
  <c r="V89" i="11"/>
  <c r="X11" i="11"/>
  <c r="V259" i="8"/>
  <c r="X12" i="11" s="1"/>
  <c r="W45" i="11"/>
  <c r="W43" i="11"/>
  <c r="W44" i="11"/>
  <c r="V111" i="11"/>
  <c r="V64" i="11"/>
  <c r="V75" i="11" s="1"/>
  <c r="V95" i="11" s="1"/>
  <c r="V183" i="8"/>
  <c r="U210" i="8"/>
  <c r="U264" i="8" s="1"/>
  <c r="X178" i="8"/>
  <c r="X205" i="8" s="1"/>
  <c r="W205" i="8"/>
  <c r="V260" i="8"/>
  <c r="W252" i="8"/>
  <c r="Z198" i="8"/>
  <c r="H28" i="1" s="1"/>
  <c r="U74" i="11"/>
  <c r="U94" i="11" s="1"/>
  <c r="T94" i="11"/>
  <c r="W206" i="8"/>
  <c r="W260" i="8" s="1"/>
  <c r="X179" i="8"/>
  <c r="X206" i="8" s="1"/>
  <c r="X260" i="8" s="1"/>
  <c r="V208" i="8"/>
  <c r="V262" i="8" s="1"/>
  <c r="W181" i="8"/>
  <c r="V64" i="2"/>
  <c r="X11" i="2"/>
  <c r="K71" i="2"/>
  <c r="K91" i="2" s="1"/>
  <c r="W167" i="8"/>
  <c r="W221" i="8" s="1"/>
  <c r="Z140" i="8"/>
  <c r="W274" i="8"/>
  <c r="Z274" i="8" s="1"/>
  <c r="Z220" i="8"/>
  <c r="Z122" i="8"/>
  <c r="V257" i="8"/>
  <c r="Z257" i="8" s="1"/>
  <c r="Z203" i="8"/>
  <c r="Z121" i="8"/>
  <c r="V256" i="8"/>
  <c r="Z256" i="8" s="1"/>
  <c r="Z202" i="8"/>
  <c r="X110" i="14"/>
  <c r="X63" i="14"/>
  <c r="A45" i="2"/>
  <c r="A46" i="2" s="1"/>
  <c r="F44" i="2"/>
  <c r="J35" i="2"/>
  <c r="I36" i="2"/>
  <c r="L107" i="2"/>
  <c r="L60" i="2"/>
  <c r="Z88" i="14"/>
  <c r="J61" i="2"/>
  <c r="J72" i="2" s="1"/>
  <c r="J92" i="2" s="1"/>
  <c r="J108" i="2"/>
  <c r="N28" i="2"/>
  <c r="M29" i="2"/>
  <c r="M27" i="2" s="1"/>
  <c r="N106" i="2"/>
  <c r="N59" i="2"/>
  <c r="Y42" i="14"/>
  <c r="L32" i="2"/>
  <c r="K31" i="2"/>
  <c r="P24" i="2"/>
  <c r="O25" i="2"/>
  <c r="O23" i="2" s="1"/>
  <c r="I39" i="2"/>
  <c r="H40" i="2"/>
  <c r="H37" i="2"/>
  <c r="G41" i="2"/>
  <c r="G38" i="2" s="1"/>
  <c r="G33" i="2" s="1"/>
  <c r="Z42" i="14"/>
  <c r="Z64" i="14"/>
  <c r="Z111" i="14"/>
  <c r="Y111" i="14"/>
  <c r="Y64" i="14"/>
  <c r="Y105" i="14"/>
  <c r="Y104" i="14"/>
  <c r="Y103" i="14" s="1"/>
  <c r="Y13" i="14"/>
  <c r="Y360" i="2" l="1"/>
  <c r="S422" i="2"/>
  <c r="R403" i="2"/>
  <c r="R423" i="2" s="1"/>
  <c r="Q439" i="2"/>
  <c r="Q383" i="2"/>
  <c r="Q393" i="2" s="1"/>
  <c r="S418" i="2"/>
  <c r="R342" i="2"/>
  <c r="R439" i="2" s="1"/>
  <c r="O394" i="2"/>
  <c r="P394" i="2" s="1"/>
  <c r="Y478" i="2"/>
  <c r="Z478" i="2"/>
  <c r="Z546" i="2" s="1"/>
  <c r="T369" i="2"/>
  <c r="T376" i="2" s="1"/>
  <c r="K63" i="14"/>
  <c r="K110" i="14"/>
  <c r="T251" i="8"/>
  <c r="V338" i="2"/>
  <c r="T432" i="2"/>
  <c r="T340" i="2"/>
  <c r="T431" i="2"/>
  <c r="T430" i="2" s="1"/>
  <c r="T436" i="2"/>
  <c r="Y546" i="2"/>
  <c r="Y499" i="2"/>
  <c r="Y389" i="2"/>
  <c r="Y400" i="2" s="1"/>
  <c r="L63" i="14"/>
  <c r="L110" i="14"/>
  <c r="Z547" i="2"/>
  <c r="Z540" i="2"/>
  <c r="Z539" i="2" s="1"/>
  <c r="Z449" i="2"/>
  <c r="Z541" i="2"/>
  <c r="T111" i="2"/>
  <c r="T13" i="2"/>
  <c r="T104" i="2"/>
  <c r="T103" i="2" s="1"/>
  <c r="T105" i="2"/>
  <c r="T110" i="2"/>
  <c r="W486" i="2"/>
  <c r="W501" i="2" s="1"/>
  <c r="W512" i="2" s="1"/>
  <c r="W532" i="2" s="1"/>
  <c r="Y547" i="2"/>
  <c r="Y500" i="2"/>
  <c r="Y511" i="2" s="1"/>
  <c r="X546" i="2"/>
  <c r="X499" i="2"/>
  <c r="R523" i="2"/>
  <c r="R537" i="2" s="1"/>
  <c r="S503" i="2"/>
  <c r="H63" i="14"/>
  <c r="H110" i="14"/>
  <c r="S437" i="2"/>
  <c r="S390" i="2"/>
  <c r="S401" i="2" s="1"/>
  <c r="S421" i="2" s="1"/>
  <c r="U535" i="2"/>
  <c r="J63" i="14"/>
  <c r="J110" i="14"/>
  <c r="T435" i="2"/>
  <c r="T388" i="2"/>
  <c r="T399" i="2" s="1"/>
  <c r="V491" i="2"/>
  <c r="V520" i="2" s="1"/>
  <c r="V521" i="2" s="1"/>
  <c r="V535" i="2" s="1"/>
  <c r="V492" i="2"/>
  <c r="V502" i="2" s="1"/>
  <c r="V548" i="2"/>
  <c r="Y542" i="2"/>
  <c r="Y495" i="2"/>
  <c r="Y506" i="2" s="1"/>
  <c r="Y526" i="2" s="1"/>
  <c r="Y485" i="2"/>
  <c r="Z499" i="2"/>
  <c r="S88" i="2"/>
  <c r="S89" i="2"/>
  <c r="P63" i="14"/>
  <c r="P110" i="14"/>
  <c r="U371" i="2"/>
  <c r="U370" i="2"/>
  <c r="U372" i="2"/>
  <c r="U352" i="2"/>
  <c r="U350" i="2" s="1"/>
  <c r="U356" i="2"/>
  <c r="U354" i="2" s="1"/>
  <c r="U358" i="2"/>
  <c r="I110" i="14"/>
  <c r="I63" i="14"/>
  <c r="M63" i="14"/>
  <c r="M110" i="14"/>
  <c r="R63" i="14"/>
  <c r="R110" i="14"/>
  <c r="T434" i="2"/>
  <c r="T387" i="2"/>
  <c r="T398" i="2" s="1"/>
  <c r="H46" i="14"/>
  <c r="M71" i="14"/>
  <c r="M91" i="14" s="1"/>
  <c r="S416" i="2"/>
  <c r="S415" i="2"/>
  <c r="S425" i="2"/>
  <c r="S424" i="2"/>
  <c r="S420" i="2"/>
  <c r="U12" i="2"/>
  <c r="U339" i="2"/>
  <c r="Q110" i="14"/>
  <c r="Q63" i="14"/>
  <c r="S376" i="2"/>
  <c r="Z542" i="2"/>
  <c r="Z495" i="2"/>
  <c r="S419" i="2"/>
  <c r="Y545" i="2"/>
  <c r="Y498" i="2"/>
  <c r="Y509" i="2" s="1"/>
  <c r="Y529" i="2" s="1"/>
  <c r="Y524" i="2"/>
  <c r="Y525" i="2"/>
  <c r="Y534" i="2"/>
  <c r="Y533" i="2"/>
  <c r="N63" i="14"/>
  <c r="N110" i="14"/>
  <c r="T433" i="2"/>
  <c r="T386" i="2"/>
  <c r="T397" i="2" s="1"/>
  <c r="T417" i="2" s="1"/>
  <c r="Z368" i="2"/>
  <c r="Z365" i="2" s="1"/>
  <c r="Z361" i="2"/>
  <c r="T438" i="2"/>
  <c r="T391" i="2"/>
  <c r="T402" i="2" s="1"/>
  <c r="G63" i="14"/>
  <c r="G74" i="14" s="1"/>
  <c r="G94" i="14" s="1"/>
  <c r="G110" i="14"/>
  <c r="Y544" i="2"/>
  <c r="Y497" i="2"/>
  <c r="Y508" i="2" s="1"/>
  <c r="Y528" i="2" s="1"/>
  <c r="S417" i="2"/>
  <c r="Z543" i="2"/>
  <c r="Z496" i="2"/>
  <c r="U530" i="2"/>
  <c r="V510" i="2"/>
  <c r="V530" i="2" s="1"/>
  <c r="X485" i="2"/>
  <c r="P412" i="2"/>
  <c r="P426" i="2" s="1"/>
  <c r="Z470" i="2"/>
  <c r="Z469" i="2" s="1"/>
  <c r="O63" i="14"/>
  <c r="O110" i="14"/>
  <c r="Y543" i="2"/>
  <c r="Y496" i="2"/>
  <c r="Y507" i="2" s="1"/>
  <c r="Y527" i="2" s="1"/>
  <c r="Z544" i="2"/>
  <c r="Z497" i="2"/>
  <c r="Z150" i="2"/>
  <c r="Z143" i="2"/>
  <c r="Z142" i="2" s="1"/>
  <c r="Z171" i="2" s="1"/>
  <c r="Z259" i="2"/>
  <c r="Z252" i="2"/>
  <c r="Z251" i="2" s="1"/>
  <c r="Z280" i="2" s="1"/>
  <c r="T303" i="2"/>
  <c r="T317" i="2" s="1"/>
  <c r="M71" i="11"/>
  <c r="M91" i="11" s="1"/>
  <c r="V233" i="2"/>
  <c r="V273" i="2" s="1"/>
  <c r="V302" i="2" s="1"/>
  <c r="O70" i="14"/>
  <c r="O90" i="14" s="1"/>
  <c r="U273" i="2"/>
  <c r="U302" i="2" s="1"/>
  <c r="W281" i="2"/>
  <c r="W292" i="2" s="1"/>
  <c r="U197" i="8"/>
  <c r="V170" i="8"/>
  <c r="W280" i="2"/>
  <c r="W291" i="2" s="1"/>
  <c r="W311" i="2" s="1"/>
  <c r="W327" i="2"/>
  <c r="Y257" i="2"/>
  <c r="X258" i="2"/>
  <c r="X256" i="2" s="1"/>
  <c r="X251" i="2" s="1"/>
  <c r="U330" i="2"/>
  <c r="W267" i="2"/>
  <c r="W268" i="2" s="1"/>
  <c r="W283" i="2" s="1"/>
  <c r="X278" i="2"/>
  <c r="X289" i="2" s="1"/>
  <c r="X325" i="2"/>
  <c r="Y278" i="2"/>
  <c r="X279" i="2"/>
  <c r="X290" i="2" s="1"/>
  <c r="X326" i="2"/>
  <c r="Y260" i="2"/>
  <c r="Y267" i="2" s="1"/>
  <c r="X329" i="2"/>
  <c r="X282" i="2"/>
  <c r="X293" i="2" s="1"/>
  <c r="X324" i="2"/>
  <c r="X277" i="2"/>
  <c r="X288" i="2" s="1"/>
  <c r="Z263" i="2"/>
  <c r="Z262" i="2"/>
  <c r="Z261" i="2"/>
  <c r="Z243" i="2"/>
  <c r="Z241" i="2" s="1"/>
  <c r="Z247" i="2"/>
  <c r="Z245" i="2" s="1"/>
  <c r="Z249" i="2"/>
  <c r="X260" i="2"/>
  <c r="Z322" i="2"/>
  <c r="Z321" i="2" s="1"/>
  <c r="Z323" i="2"/>
  <c r="Z231" i="2"/>
  <c r="Y277" i="2"/>
  <c r="Y282" i="2"/>
  <c r="X306" i="2"/>
  <c r="X307" i="2"/>
  <c r="X316" i="2"/>
  <c r="X315" i="2"/>
  <c r="Z252" i="8"/>
  <c r="H29" i="1" s="1"/>
  <c r="Y230" i="2"/>
  <c r="Y329" i="2" s="1"/>
  <c r="Y279" i="2"/>
  <c r="W313" i="2"/>
  <c r="W310" i="2"/>
  <c r="Q196" i="2"/>
  <c r="Q210" i="2" s="1"/>
  <c r="W309" i="2"/>
  <c r="U314" i="2"/>
  <c r="V294" i="2"/>
  <c r="V312" i="2"/>
  <c r="W308" i="2"/>
  <c r="T285" i="2"/>
  <c r="S305" i="2"/>
  <c r="S319" i="2" s="1"/>
  <c r="N70" i="2"/>
  <c r="N90" i="2" s="1"/>
  <c r="S194" i="2"/>
  <c r="S208" i="2" s="1"/>
  <c r="U203" i="2"/>
  <c r="V200" i="2"/>
  <c r="V204" i="2"/>
  <c r="V199" i="2"/>
  <c r="W198" i="2"/>
  <c r="W197" i="2"/>
  <c r="W207" i="2"/>
  <c r="W206" i="2"/>
  <c r="X153" i="2"/>
  <c r="X154" i="2"/>
  <c r="X152" i="2"/>
  <c r="X134" i="2"/>
  <c r="X132" i="2" s="1"/>
  <c r="X138" i="2"/>
  <c r="X136" i="2" s="1"/>
  <c r="X140" i="2"/>
  <c r="R196" i="2"/>
  <c r="R210" i="2" s="1"/>
  <c r="S176" i="2"/>
  <c r="X121" i="2"/>
  <c r="Z152" i="2"/>
  <c r="Z154" i="2"/>
  <c r="Z153" i="2"/>
  <c r="Z134" i="2"/>
  <c r="Z132" i="2" s="1"/>
  <c r="Z138" i="2"/>
  <c r="Z136" i="2" s="1"/>
  <c r="Z140" i="2"/>
  <c r="W169" i="2"/>
  <c r="W180" i="2" s="1"/>
  <c r="W216" i="2"/>
  <c r="W253" i="8"/>
  <c r="Y121" i="2" s="1"/>
  <c r="Y120" i="2"/>
  <c r="Z199" i="8"/>
  <c r="G28" i="1" s="1"/>
  <c r="Z214" i="2"/>
  <c r="Z213" i="2"/>
  <c r="Z212" i="2" s="1"/>
  <c r="Z122" i="2"/>
  <c r="W215" i="2"/>
  <c r="W168" i="2"/>
  <c r="W179" i="2" s="1"/>
  <c r="X171" i="2"/>
  <c r="X182" i="2" s="1"/>
  <c r="V159" i="2"/>
  <c r="V174" i="2" s="1"/>
  <c r="T164" i="2"/>
  <c r="T193" i="2" s="1"/>
  <c r="T165" i="2"/>
  <c r="T175" i="2" s="1"/>
  <c r="T221" i="2"/>
  <c r="W170" i="2"/>
  <c r="W181" i="2" s="1"/>
  <c r="W201" i="2" s="1"/>
  <c r="W217" i="2"/>
  <c r="Z148" i="2"/>
  <c r="Z149" i="2" s="1"/>
  <c r="Y149" i="2"/>
  <c r="Y147" i="2" s="1"/>
  <c r="Y142" i="2" s="1"/>
  <c r="W151" i="2"/>
  <c r="W158" i="2" s="1"/>
  <c r="V219" i="2"/>
  <c r="V172" i="2"/>
  <c r="V183" i="2" s="1"/>
  <c r="U159" i="2"/>
  <c r="U174" i="2" s="1"/>
  <c r="U185" i="2" s="1"/>
  <c r="U205" i="2" s="1"/>
  <c r="W220" i="2"/>
  <c r="W173" i="2"/>
  <c r="W184" i="2" s="1"/>
  <c r="W202" i="2"/>
  <c r="U204" i="8"/>
  <c r="U258" i="8" s="1"/>
  <c r="V177" i="8"/>
  <c r="U209" i="8"/>
  <c r="V182" i="8"/>
  <c r="U211" i="8"/>
  <c r="U265" i="8" s="1"/>
  <c r="V184" i="8"/>
  <c r="V195" i="8"/>
  <c r="U222" i="8"/>
  <c r="U276" i="8" s="1"/>
  <c r="V63" i="2"/>
  <c r="W42" i="11"/>
  <c r="W110" i="11" s="1"/>
  <c r="V63" i="11"/>
  <c r="V74" i="11" s="1"/>
  <c r="V94" i="11" s="1"/>
  <c r="G44" i="2"/>
  <c r="G42" i="2" s="1"/>
  <c r="H44" i="2"/>
  <c r="H42" i="2" s="1"/>
  <c r="I44" i="2"/>
  <c r="I42" i="2" s="1"/>
  <c r="J44" i="2"/>
  <c r="J42" i="2" s="1"/>
  <c r="K44" i="2"/>
  <c r="K42" i="2" s="1"/>
  <c r="L44" i="2"/>
  <c r="L42" i="2" s="1"/>
  <c r="M44" i="2"/>
  <c r="M42" i="2" s="1"/>
  <c r="N44" i="2"/>
  <c r="N42" i="2" s="1"/>
  <c r="O44" i="2"/>
  <c r="O42" i="2" s="1"/>
  <c r="P44" i="2"/>
  <c r="P42" i="2" s="1"/>
  <c r="O70" i="11"/>
  <c r="O90" i="11" s="1"/>
  <c r="W42" i="2"/>
  <c r="H62" i="14"/>
  <c r="H73" i="14" s="1"/>
  <c r="H109" i="14"/>
  <c r="N60" i="14"/>
  <c r="N71" i="14" s="1"/>
  <c r="N91" i="14" s="1"/>
  <c r="N107" i="14"/>
  <c r="K39" i="14"/>
  <c r="J40" i="14"/>
  <c r="P28" i="14"/>
  <c r="O29" i="14"/>
  <c r="O27" i="14" s="1"/>
  <c r="L108" i="14"/>
  <c r="L61" i="14"/>
  <c r="L72" i="14" s="1"/>
  <c r="L92" i="14" s="1"/>
  <c r="Q106" i="14"/>
  <c r="Q59" i="14"/>
  <c r="F47" i="14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48" i="14"/>
  <c r="S24" i="14"/>
  <c r="R25" i="14"/>
  <c r="R23" i="14" s="1"/>
  <c r="L35" i="14"/>
  <c r="K36" i="14"/>
  <c r="N32" i="14"/>
  <c r="M31" i="14"/>
  <c r="J37" i="14"/>
  <c r="I41" i="14"/>
  <c r="I38" i="14" s="1"/>
  <c r="I33" i="14" s="1"/>
  <c r="G93" i="14"/>
  <c r="N60" i="11"/>
  <c r="N107" i="11"/>
  <c r="I34" i="11"/>
  <c r="I41" i="11"/>
  <c r="I38" i="11" s="1"/>
  <c r="I33" i="11" s="1"/>
  <c r="J37" i="11"/>
  <c r="P28" i="11"/>
  <c r="O29" i="11"/>
  <c r="O27" i="11" s="1"/>
  <c r="A48" i="11"/>
  <c r="F47" i="11"/>
  <c r="G47" i="11" s="1"/>
  <c r="H47" i="11" s="1"/>
  <c r="I47" i="11" s="1"/>
  <c r="J47" i="11" s="1"/>
  <c r="K47" i="11" s="1"/>
  <c r="L47" i="11" s="1"/>
  <c r="M47" i="11" s="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X47" i="11" s="1"/>
  <c r="Y47" i="11" s="1"/>
  <c r="Z47" i="11" s="1"/>
  <c r="P106" i="11"/>
  <c r="P59" i="11"/>
  <c r="L108" i="11"/>
  <c r="L61" i="11"/>
  <c r="L72" i="11" s="1"/>
  <c r="L92" i="11" s="1"/>
  <c r="R24" i="11"/>
  <c r="Q25" i="11"/>
  <c r="Q23" i="11" s="1"/>
  <c r="N32" i="11"/>
  <c r="M31" i="11"/>
  <c r="L35" i="11"/>
  <c r="K36" i="11"/>
  <c r="K39" i="11"/>
  <c r="J40" i="11"/>
  <c r="H62" i="11"/>
  <c r="H73" i="11" s="1"/>
  <c r="H93" i="11" s="1"/>
  <c r="H109" i="11"/>
  <c r="W64" i="2"/>
  <c r="Z206" i="8"/>
  <c r="W183" i="8"/>
  <c r="V210" i="8"/>
  <c r="V264" i="8" s="1"/>
  <c r="W208" i="8"/>
  <c r="W262" i="8" s="1"/>
  <c r="X181" i="8"/>
  <c r="X208" i="8" s="1"/>
  <c r="X262" i="8" s="1"/>
  <c r="X44" i="2"/>
  <c r="X45" i="2"/>
  <c r="X43" i="2"/>
  <c r="Y11" i="11"/>
  <c r="W259" i="8"/>
  <c r="W64" i="11"/>
  <c r="W75" i="11" s="1"/>
  <c r="W95" i="11" s="1"/>
  <c r="W111" i="11"/>
  <c r="Y11" i="2"/>
  <c r="W89" i="11"/>
  <c r="W88" i="11"/>
  <c r="X12" i="2"/>
  <c r="Z11" i="11"/>
  <c r="X259" i="8"/>
  <c r="Z12" i="11" s="1"/>
  <c r="Z205" i="8"/>
  <c r="F28" i="12" s="1"/>
  <c r="Z11" i="2"/>
  <c r="Z260" i="8"/>
  <c r="X105" i="11"/>
  <c r="X104" i="11"/>
  <c r="X103" i="11" s="1"/>
  <c r="X13" i="11"/>
  <c r="W207" i="8"/>
  <c r="W261" i="8" s="1"/>
  <c r="X180" i="8"/>
  <c r="X207" i="8" s="1"/>
  <c r="X261" i="8" s="1"/>
  <c r="X45" i="11"/>
  <c r="X44" i="11"/>
  <c r="X43" i="11"/>
  <c r="L71" i="2"/>
  <c r="L91" i="2" s="1"/>
  <c r="W275" i="8"/>
  <c r="Z275" i="8" s="1"/>
  <c r="Z221" i="8"/>
  <c r="Y110" i="14"/>
  <c r="Y63" i="14"/>
  <c r="G62" i="2"/>
  <c r="G73" i="2" s="1"/>
  <c r="G109" i="2"/>
  <c r="K108" i="2"/>
  <c r="K61" i="2"/>
  <c r="K72" i="2" s="1"/>
  <c r="K92" i="2" s="1"/>
  <c r="M32" i="2"/>
  <c r="L31" i="2"/>
  <c r="H41" i="2"/>
  <c r="H38" i="2" s="1"/>
  <c r="I37" i="2"/>
  <c r="I34" i="2" s="1"/>
  <c r="K35" i="2"/>
  <c r="J36" i="2"/>
  <c r="J39" i="2"/>
  <c r="I40" i="2"/>
  <c r="H34" i="2"/>
  <c r="O106" i="2"/>
  <c r="O59" i="2"/>
  <c r="Q24" i="2"/>
  <c r="P25" i="2"/>
  <c r="P23" i="2" s="1"/>
  <c r="M60" i="2"/>
  <c r="M107" i="2"/>
  <c r="F46" i="2"/>
  <c r="G46" i="2" s="1"/>
  <c r="A47" i="2"/>
  <c r="O28" i="2"/>
  <c r="N29" i="2"/>
  <c r="N27" i="2" s="1"/>
  <c r="Z63" i="14"/>
  <c r="Z110" i="14"/>
  <c r="Y88" i="14"/>
  <c r="AC88" i="14" s="1" a="1"/>
  <c r="AC88" i="14" s="1"/>
  <c r="Y89" i="14"/>
  <c r="AC89" i="14" s="1" a="1"/>
  <c r="AC89" i="14" s="1"/>
  <c r="Z545" i="2" l="1"/>
  <c r="Z498" i="2"/>
  <c r="Z485" i="2"/>
  <c r="R383" i="2"/>
  <c r="R393" i="2" s="1"/>
  <c r="Z360" i="2"/>
  <c r="R382" i="2"/>
  <c r="R411" i="2" s="1"/>
  <c r="T390" i="2"/>
  <c r="T401" i="2" s="1"/>
  <c r="T421" i="2" s="1"/>
  <c r="T437" i="2"/>
  <c r="Z218" i="2"/>
  <c r="O414" i="2"/>
  <c r="O428" i="2" s="1"/>
  <c r="T419" i="2"/>
  <c r="T422" i="2"/>
  <c r="Z507" i="2"/>
  <c r="Z527" i="2" s="1"/>
  <c r="AC527" i="2" s="1" a="1"/>
  <c r="AC527" i="2" s="1"/>
  <c r="Z508" i="2"/>
  <c r="Z528" i="2" s="1"/>
  <c r="AC528" i="2" s="1" a="1"/>
  <c r="AC528" i="2" s="1"/>
  <c r="U111" i="2"/>
  <c r="U105" i="2"/>
  <c r="U13" i="2"/>
  <c r="U110" i="2"/>
  <c r="U104" i="2"/>
  <c r="U103" i="2" s="1"/>
  <c r="Z511" i="2"/>
  <c r="Z531" i="2" s="1"/>
  <c r="Y531" i="2"/>
  <c r="Z486" i="2"/>
  <c r="Z501" i="2" s="1"/>
  <c r="T418" i="2"/>
  <c r="U438" i="2"/>
  <c r="U391" i="2"/>
  <c r="U402" i="2" s="1"/>
  <c r="H74" i="14"/>
  <c r="H94" i="14" s="1"/>
  <c r="T415" i="2"/>
  <c r="T425" i="2"/>
  <c r="T416" i="2"/>
  <c r="T424" i="2"/>
  <c r="T420" i="2"/>
  <c r="I46" i="14"/>
  <c r="H45" i="14"/>
  <c r="U433" i="2"/>
  <c r="U386" i="2"/>
  <c r="U397" i="2" s="1"/>
  <c r="Z389" i="2"/>
  <c r="Z400" i="2" s="1"/>
  <c r="Z506" i="2"/>
  <c r="Z526" i="2" s="1"/>
  <c r="AC526" i="2" s="1" a="1"/>
  <c r="AC526" i="2" s="1"/>
  <c r="U369" i="2"/>
  <c r="U376" i="2" s="1"/>
  <c r="Y486" i="2"/>
  <c r="Y501" i="2" s="1"/>
  <c r="W451" i="2"/>
  <c r="Q412" i="2"/>
  <c r="W510" i="2"/>
  <c r="W530" i="2" s="1"/>
  <c r="V371" i="2"/>
  <c r="V372" i="2"/>
  <c r="V370" i="2"/>
  <c r="V352" i="2"/>
  <c r="V350" i="2" s="1"/>
  <c r="V356" i="2"/>
  <c r="V354" i="2" s="1"/>
  <c r="V358" i="2"/>
  <c r="X486" i="2"/>
  <c r="X501" i="2" s="1"/>
  <c r="X512" i="2" s="1"/>
  <c r="X532" i="2" s="1"/>
  <c r="S377" i="2"/>
  <c r="S392" i="2" s="1"/>
  <c r="S403" i="2" s="1"/>
  <c r="S423" i="2" s="1"/>
  <c r="Z509" i="2"/>
  <c r="Z529" i="2" s="1"/>
  <c r="AC529" i="2" s="1" a="1"/>
  <c r="AC529" i="2" s="1"/>
  <c r="S523" i="2"/>
  <c r="S537" i="2" s="1"/>
  <c r="T503" i="2"/>
  <c r="Z524" i="2"/>
  <c r="AC524" i="2" s="1" a="1"/>
  <c r="AC524" i="2" s="1"/>
  <c r="Z525" i="2"/>
  <c r="AC525" i="2" s="1" a="1"/>
  <c r="AC525" i="2" s="1"/>
  <c r="Z534" i="2"/>
  <c r="AC534" i="2" s="1" a="1"/>
  <c r="AC534" i="2" s="1"/>
  <c r="Z533" i="2"/>
  <c r="AC533" i="2" s="1" a="1"/>
  <c r="AC533" i="2" s="1"/>
  <c r="P414" i="2"/>
  <c r="P428" i="2" s="1"/>
  <c r="Q394" i="2"/>
  <c r="V12" i="2"/>
  <c r="V339" i="2"/>
  <c r="U251" i="8"/>
  <c r="W338" i="2"/>
  <c r="T377" i="2"/>
  <c r="T392" i="2" s="1"/>
  <c r="U435" i="2"/>
  <c r="U388" i="2"/>
  <c r="U399" i="2" s="1"/>
  <c r="U431" i="2"/>
  <c r="U430" i="2" s="1"/>
  <c r="U432" i="2"/>
  <c r="U340" i="2"/>
  <c r="U436" i="2"/>
  <c r="G45" i="14"/>
  <c r="U434" i="2"/>
  <c r="U387" i="2"/>
  <c r="U398" i="2" s="1"/>
  <c r="T88" i="2"/>
  <c r="T89" i="2"/>
  <c r="N71" i="11"/>
  <c r="N91" i="11" s="1"/>
  <c r="Z147" i="2"/>
  <c r="Z327" i="2"/>
  <c r="U303" i="2"/>
  <c r="U317" i="2" s="1"/>
  <c r="V330" i="2"/>
  <c r="X267" i="2"/>
  <c r="X268" i="2" s="1"/>
  <c r="X283" i="2" s="1"/>
  <c r="Z260" i="2"/>
  <c r="Z328" i="2" s="1"/>
  <c r="O70" i="2"/>
  <c r="O90" i="2" s="1"/>
  <c r="V274" i="2"/>
  <c r="V284" i="2" s="1"/>
  <c r="P70" i="14"/>
  <c r="P90" i="14" s="1"/>
  <c r="Z257" i="2"/>
  <c r="Z258" i="2" s="1"/>
  <c r="Z256" i="2" s="1"/>
  <c r="Y258" i="2"/>
  <c r="Y256" i="2" s="1"/>
  <c r="V197" i="8"/>
  <c r="X338" i="2" s="1"/>
  <c r="W170" i="8"/>
  <c r="X280" i="2"/>
  <c r="X291" i="2" s="1"/>
  <c r="X327" i="2"/>
  <c r="W233" i="2"/>
  <c r="W273" i="2" s="1"/>
  <c r="W302" i="2" s="1"/>
  <c r="Y324" i="2"/>
  <c r="Y268" i="2"/>
  <c r="Y283" i="2" s="1"/>
  <c r="Z324" i="2"/>
  <c r="Z277" i="2"/>
  <c r="Z282" i="2"/>
  <c r="Z329" i="2"/>
  <c r="Y328" i="2"/>
  <c r="Y281" i="2"/>
  <c r="Z306" i="2"/>
  <c r="Z307" i="2"/>
  <c r="Z316" i="2"/>
  <c r="Z315" i="2"/>
  <c r="T194" i="2"/>
  <c r="T208" i="2" s="1"/>
  <c r="Y325" i="2"/>
  <c r="Y326" i="2"/>
  <c r="Z279" i="2"/>
  <c r="Z326" i="2"/>
  <c r="Y323" i="2"/>
  <c r="Y231" i="2"/>
  <c r="Y322" i="2"/>
  <c r="Y321" i="2" s="1"/>
  <c r="Y327" i="2"/>
  <c r="X328" i="2"/>
  <c r="X281" i="2"/>
  <c r="X292" i="2" s="1"/>
  <c r="Z325" i="2"/>
  <c r="Z278" i="2"/>
  <c r="U285" i="2"/>
  <c r="T305" i="2"/>
  <c r="T319" i="2" s="1"/>
  <c r="X308" i="2"/>
  <c r="Y288" i="2"/>
  <c r="Y289" i="2"/>
  <c r="X309" i="2"/>
  <c r="X310" i="2"/>
  <c r="Y290" i="2"/>
  <c r="W312" i="2"/>
  <c r="V314" i="2"/>
  <c r="W294" i="2"/>
  <c r="X313" i="2"/>
  <c r="Y293" i="2"/>
  <c r="W63" i="11"/>
  <c r="W74" i="11" s="1"/>
  <c r="W94" i="11" s="1"/>
  <c r="V124" i="2"/>
  <c r="V164" i="2" s="1"/>
  <c r="V193" i="2" s="1"/>
  <c r="U124" i="2"/>
  <c r="U165" i="2" s="1"/>
  <c r="U175" i="2" s="1"/>
  <c r="V185" i="2"/>
  <c r="V205" i="2" s="1"/>
  <c r="Z151" i="2"/>
  <c r="Z219" i="2" s="1"/>
  <c r="Z253" i="8"/>
  <c r="G29" i="1" s="1"/>
  <c r="W204" i="2"/>
  <c r="W199" i="2"/>
  <c r="V203" i="2"/>
  <c r="W200" i="2"/>
  <c r="Y122" i="2"/>
  <c r="Y214" i="2"/>
  <c r="Y213" i="2"/>
  <c r="Y212" i="2" s="1"/>
  <c r="X151" i="2"/>
  <c r="Y171" i="2"/>
  <c r="Y182" i="2" s="1"/>
  <c r="Y218" i="2"/>
  <c r="X213" i="2"/>
  <c r="X212" i="2" s="1"/>
  <c r="X122" i="2"/>
  <c r="X214" i="2"/>
  <c r="X220" i="2"/>
  <c r="X173" i="2"/>
  <c r="X184" i="2" s="1"/>
  <c r="Z198" i="2"/>
  <c r="Z197" i="2"/>
  <c r="Z207" i="2"/>
  <c r="Z206" i="2"/>
  <c r="Z217" i="2"/>
  <c r="Z170" i="2"/>
  <c r="S196" i="2"/>
  <c r="S210" i="2" s="1"/>
  <c r="T176" i="2"/>
  <c r="X218" i="2"/>
  <c r="Z216" i="2"/>
  <c r="Z169" i="2"/>
  <c r="Y153" i="2"/>
  <c r="Y154" i="2"/>
  <c r="Y152" i="2"/>
  <c r="Y134" i="2"/>
  <c r="Y132" i="2" s="1"/>
  <c r="Y138" i="2"/>
  <c r="Y136" i="2" s="1"/>
  <c r="Y140" i="2"/>
  <c r="Z220" i="2"/>
  <c r="Z173" i="2"/>
  <c r="X215" i="2"/>
  <c r="X168" i="2"/>
  <c r="X179" i="2" s="1"/>
  <c r="W219" i="2"/>
  <c r="W172" i="2"/>
  <c r="W183" i="2" s="1"/>
  <c r="Z215" i="2"/>
  <c r="Z168" i="2"/>
  <c r="X217" i="2"/>
  <c r="X170" i="2"/>
  <c r="X181" i="2" s="1"/>
  <c r="W159" i="2"/>
  <c r="W174" i="2" s="1"/>
  <c r="X216" i="2"/>
  <c r="X169" i="2"/>
  <c r="X180" i="2" s="1"/>
  <c r="V211" i="8"/>
  <c r="V265" i="8" s="1"/>
  <c r="W184" i="8"/>
  <c r="V209" i="8"/>
  <c r="V263" i="8" s="1"/>
  <c r="W182" i="8"/>
  <c r="U263" i="8"/>
  <c r="V204" i="8"/>
  <c r="W177" i="8"/>
  <c r="V222" i="8"/>
  <c r="W195" i="8"/>
  <c r="H33" i="2"/>
  <c r="H109" i="2" s="1"/>
  <c r="Z262" i="8"/>
  <c r="Z207" i="8"/>
  <c r="Z261" i="8"/>
  <c r="Z208" i="8"/>
  <c r="L110" i="2"/>
  <c r="L63" i="2"/>
  <c r="J110" i="2"/>
  <c r="J63" i="2"/>
  <c r="I63" i="2"/>
  <c r="I110" i="2"/>
  <c r="H110" i="2"/>
  <c r="H63" i="2"/>
  <c r="O110" i="2"/>
  <c r="O63" i="2"/>
  <c r="G110" i="2"/>
  <c r="G63" i="2"/>
  <c r="G74" i="2" s="1"/>
  <c r="G94" i="2" s="1"/>
  <c r="K63" i="2"/>
  <c r="K110" i="2"/>
  <c r="P63" i="2"/>
  <c r="P110" i="2"/>
  <c r="N110" i="2"/>
  <c r="N63" i="2"/>
  <c r="M110" i="2"/>
  <c r="M63" i="2"/>
  <c r="H46" i="2"/>
  <c r="P70" i="11"/>
  <c r="P90" i="11" s="1"/>
  <c r="W63" i="2"/>
  <c r="H93" i="14"/>
  <c r="I62" i="14"/>
  <c r="I73" i="14" s="1"/>
  <c r="I109" i="14"/>
  <c r="L39" i="14"/>
  <c r="K40" i="14"/>
  <c r="J41" i="14"/>
  <c r="J38" i="14" s="1"/>
  <c r="K37" i="14"/>
  <c r="K34" i="14" s="1"/>
  <c r="M35" i="14"/>
  <c r="L36" i="14"/>
  <c r="J34" i="14"/>
  <c r="R59" i="14"/>
  <c r="R106" i="14"/>
  <c r="M108" i="14"/>
  <c r="M61" i="14"/>
  <c r="M72" i="14" s="1"/>
  <c r="M92" i="14" s="1"/>
  <c r="T24" i="14"/>
  <c r="S25" i="14"/>
  <c r="S23" i="14" s="1"/>
  <c r="O32" i="14"/>
  <c r="N31" i="14"/>
  <c r="A49" i="14"/>
  <c r="C48" i="14"/>
  <c r="O107" i="14"/>
  <c r="O60" i="14"/>
  <c r="O71" i="14" s="1"/>
  <c r="O91" i="14" s="1"/>
  <c r="Q28" i="14"/>
  <c r="P29" i="14"/>
  <c r="P27" i="14" s="1"/>
  <c r="O60" i="11"/>
  <c r="O107" i="11"/>
  <c r="Q28" i="11"/>
  <c r="P29" i="11"/>
  <c r="P27" i="11" s="1"/>
  <c r="M35" i="11"/>
  <c r="L36" i="11"/>
  <c r="J41" i="11"/>
  <c r="J38" i="11" s="1"/>
  <c r="J33" i="11" s="1"/>
  <c r="K37" i="11"/>
  <c r="M61" i="11"/>
  <c r="M72" i="11" s="1"/>
  <c r="M92" i="11" s="1"/>
  <c r="M108" i="11"/>
  <c r="I62" i="11"/>
  <c r="I73" i="11" s="1"/>
  <c r="I93" i="11" s="1"/>
  <c r="I109" i="11"/>
  <c r="O32" i="11"/>
  <c r="N31" i="11"/>
  <c r="Q59" i="11"/>
  <c r="Q106" i="11"/>
  <c r="L39" i="11"/>
  <c r="K40" i="11"/>
  <c r="S24" i="11"/>
  <c r="R25" i="11"/>
  <c r="R23" i="11" s="1"/>
  <c r="J34" i="11"/>
  <c r="A49" i="11"/>
  <c r="C48" i="11"/>
  <c r="X42" i="2"/>
  <c r="X110" i="2" s="1"/>
  <c r="Z105" i="11"/>
  <c r="Z13" i="11"/>
  <c r="Z104" i="11"/>
  <c r="Z103" i="11" s="1"/>
  <c r="Y12" i="11"/>
  <c r="Z259" i="8"/>
  <c r="F29" i="12" s="1"/>
  <c r="X183" i="8"/>
  <c r="X210" i="8" s="1"/>
  <c r="X264" i="8" s="1"/>
  <c r="W210" i="8"/>
  <c r="W264" i="8" s="1"/>
  <c r="X111" i="11"/>
  <c r="X64" i="11"/>
  <c r="X75" i="11" s="1"/>
  <c r="X95" i="11" s="1"/>
  <c r="X105" i="2"/>
  <c r="X13" i="2"/>
  <c r="X104" i="2"/>
  <c r="X103" i="2" s="1"/>
  <c r="X111" i="2"/>
  <c r="X64" i="2"/>
  <c r="Z45" i="2"/>
  <c r="Z44" i="2"/>
  <c r="Z43" i="2"/>
  <c r="Z43" i="11"/>
  <c r="Z44" i="11"/>
  <c r="Z45" i="11"/>
  <c r="Y45" i="2"/>
  <c r="Y44" i="2"/>
  <c r="Y43" i="2"/>
  <c r="Y45" i="11"/>
  <c r="Y43" i="11"/>
  <c r="Y44" i="11"/>
  <c r="X89" i="11"/>
  <c r="X88" i="11"/>
  <c r="X42" i="11"/>
  <c r="M71" i="2"/>
  <c r="M91" i="2" s="1"/>
  <c r="L61" i="2"/>
  <c r="L72" i="2" s="1"/>
  <c r="L92" i="2" s="1"/>
  <c r="L108" i="2"/>
  <c r="K39" i="2"/>
  <c r="J40" i="2"/>
  <c r="N32" i="2"/>
  <c r="M31" i="2"/>
  <c r="P59" i="2"/>
  <c r="P106" i="2"/>
  <c r="N107" i="2"/>
  <c r="N60" i="2"/>
  <c r="R24" i="2"/>
  <c r="Q25" i="2"/>
  <c r="Q23" i="2" s="1"/>
  <c r="L35" i="2"/>
  <c r="K36" i="2"/>
  <c r="P28" i="2"/>
  <c r="O29" i="2"/>
  <c r="O27" i="2" s="1"/>
  <c r="A48" i="2"/>
  <c r="F47" i="2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J37" i="2"/>
  <c r="J34" i="2" s="1"/>
  <c r="I41" i="2"/>
  <c r="I38" i="2" s="1"/>
  <c r="I33" i="2" s="1"/>
  <c r="G93" i="2"/>
  <c r="X510" i="2" l="1"/>
  <c r="X530" i="2" s="1"/>
  <c r="J33" i="14"/>
  <c r="T403" i="2"/>
  <c r="T423" i="2" s="1"/>
  <c r="AC531" i="2" a="1"/>
  <c r="AC531" i="2" s="1"/>
  <c r="T342" i="2"/>
  <c r="T439" i="2" s="1"/>
  <c r="U418" i="2"/>
  <c r="Y451" i="2"/>
  <c r="Y492" i="2" s="1"/>
  <c r="Y502" i="2" s="1"/>
  <c r="X451" i="2"/>
  <c r="X492" i="2" s="1"/>
  <c r="X502" i="2" s="1"/>
  <c r="O71" i="11"/>
  <c r="O91" i="11" s="1"/>
  <c r="Y512" i="2"/>
  <c r="Y532" i="2" s="1"/>
  <c r="I74" i="14"/>
  <c r="I94" i="14" s="1"/>
  <c r="Y510" i="2"/>
  <c r="U377" i="2"/>
  <c r="U392" i="2" s="1"/>
  <c r="U403" i="2" s="1"/>
  <c r="U423" i="2" s="1"/>
  <c r="X370" i="2"/>
  <c r="X372" i="2"/>
  <c r="X371" i="2"/>
  <c r="X352" i="2"/>
  <c r="X350" i="2" s="1"/>
  <c r="X356" i="2"/>
  <c r="X354" i="2" s="1"/>
  <c r="X358" i="2"/>
  <c r="U416" i="2"/>
  <c r="U415" i="2"/>
  <c r="U425" i="2"/>
  <c r="U424" i="2"/>
  <c r="U420" i="2"/>
  <c r="V111" i="2"/>
  <c r="V13" i="2"/>
  <c r="V110" i="2"/>
  <c r="V104" i="2"/>
  <c r="V103" i="2" s="1"/>
  <c r="V105" i="2"/>
  <c r="V435" i="2"/>
  <c r="V388" i="2"/>
  <c r="V399" i="2" s="1"/>
  <c r="W491" i="2"/>
  <c r="W520" i="2" s="1"/>
  <c r="W521" i="2" s="1"/>
  <c r="W492" i="2"/>
  <c r="W502" i="2" s="1"/>
  <c r="W548" i="2"/>
  <c r="V434" i="2"/>
  <c r="V387" i="2"/>
  <c r="V398" i="2" s="1"/>
  <c r="V433" i="2"/>
  <c r="V386" i="2"/>
  <c r="V397" i="2" s="1"/>
  <c r="Z451" i="2"/>
  <c r="U88" i="2"/>
  <c r="U89" i="2"/>
  <c r="R394" i="2"/>
  <c r="Q414" i="2"/>
  <c r="V369" i="2"/>
  <c r="V376" i="2" s="1"/>
  <c r="U437" i="2"/>
  <c r="U390" i="2"/>
  <c r="U401" i="2" s="1"/>
  <c r="U421" i="2" s="1"/>
  <c r="U417" i="2"/>
  <c r="U419" i="2"/>
  <c r="S342" i="2"/>
  <c r="V438" i="2"/>
  <c r="V391" i="2"/>
  <c r="V402" i="2" s="1"/>
  <c r="W370" i="2"/>
  <c r="W372" i="2"/>
  <c r="W371" i="2"/>
  <c r="W352" i="2"/>
  <c r="W350" i="2" s="1"/>
  <c r="W356" i="2"/>
  <c r="W354" i="2" s="1"/>
  <c r="W358" i="2"/>
  <c r="H64" i="14"/>
  <c r="H111" i="14"/>
  <c r="H103" i="14" s="1"/>
  <c r="G64" i="14"/>
  <c r="G75" i="14" s="1"/>
  <c r="G95" i="14" s="1"/>
  <c r="G111" i="14"/>
  <c r="G103" i="14" s="1"/>
  <c r="W12" i="2"/>
  <c r="W339" i="2"/>
  <c r="J46" i="14"/>
  <c r="I45" i="14"/>
  <c r="U422" i="2"/>
  <c r="V340" i="2"/>
  <c r="V431" i="2"/>
  <c r="V430" i="2" s="1"/>
  <c r="V432" i="2"/>
  <c r="V436" i="2"/>
  <c r="T523" i="2"/>
  <c r="T537" i="2" s="1"/>
  <c r="U503" i="2"/>
  <c r="R412" i="2"/>
  <c r="Q426" i="2"/>
  <c r="V303" i="2"/>
  <c r="W303" i="2" s="1"/>
  <c r="H62" i="2"/>
  <c r="H73" i="2" s="1"/>
  <c r="H93" i="2" s="1"/>
  <c r="P70" i="2"/>
  <c r="Z267" i="2"/>
  <c r="Z268" i="2" s="1"/>
  <c r="Z283" i="2" s="1"/>
  <c r="Z281" i="2"/>
  <c r="Q70" i="14"/>
  <c r="Q90" i="14" s="1"/>
  <c r="Z172" i="2"/>
  <c r="Z158" i="2"/>
  <c r="Z159" i="2" s="1"/>
  <c r="Z174" i="2" s="1"/>
  <c r="X63" i="2"/>
  <c r="W330" i="2"/>
  <c r="W274" i="2"/>
  <c r="W284" i="2" s="1"/>
  <c r="Z264" i="8"/>
  <c r="X233" i="2"/>
  <c r="X274" i="2" s="1"/>
  <c r="X284" i="2" s="1"/>
  <c r="X170" i="8"/>
  <c r="X197" i="8" s="1"/>
  <c r="W197" i="8"/>
  <c r="V251" i="8"/>
  <c r="X339" i="2" s="1"/>
  <c r="Y291" i="2"/>
  <c r="Z291" i="2" s="1"/>
  <c r="Z311" i="2" s="1"/>
  <c r="X311" i="2"/>
  <c r="Y233" i="2"/>
  <c r="Y330" i="2" s="1"/>
  <c r="Y307" i="2"/>
  <c r="Y306" i="2"/>
  <c r="Y316" i="2"/>
  <c r="Y315" i="2"/>
  <c r="V221" i="2"/>
  <c r="Y313" i="2"/>
  <c r="AC313" i="2" s="1" a="1"/>
  <c r="AC313" i="2" s="1"/>
  <c r="Z293" i="2"/>
  <c r="Z313" i="2" s="1"/>
  <c r="W314" i="2"/>
  <c r="X294" i="2"/>
  <c r="Y309" i="2"/>
  <c r="Z289" i="2"/>
  <c r="Z309" i="2" s="1"/>
  <c r="Y308" i="2"/>
  <c r="AC308" i="2" s="1" a="1"/>
  <c r="AC308" i="2" s="1"/>
  <c r="Z288" i="2"/>
  <c r="Z308" i="2" s="1"/>
  <c r="X312" i="2"/>
  <c r="Y292" i="2"/>
  <c r="Z290" i="2"/>
  <c r="Z310" i="2" s="1"/>
  <c r="Y310" i="2"/>
  <c r="V285" i="2"/>
  <c r="U305" i="2"/>
  <c r="U319" i="2" s="1"/>
  <c r="V165" i="2"/>
  <c r="V175" i="2" s="1"/>
  <c r="U164" i="2"/>
  <c r="U193" i="2" s="1"/>
  <c r="U194" i="2" s="1"/>
  <c r="U208" i="2" s="1"/>
  <c r="U221" i="2"/>
  <c r="Q70" i="11"/>
  <c r="Q90" i="11" s="1"/>
  <c r="Y151" i="2"/>
  <c r="Y219" i="2" s="1"/>
  <c r="W185" i="2"/>
  <c r="W205" i="2" s="1"/>
  <c r="X200" i="2"/>
  <c r="W203" i="2"/>
  <c r="X199" i="2"/>
  <c r="X204" i="2"/>
  <c r="Y217" i="2"/>
  <c r="Y170" i="2"/>
  <c r="Y181" i="2" s="1"/>
  <c r="X219" i="2"/>
  <c r="X172" i="2"/>
  <c r="X183" i="2" s="1"/>
  <c r="Y216" i="2"/>
  <c r="Y169" i="2"/>
  <c r="Y180" i="2" s="1"/>
  <c r="Y202" i="2"/>
  <c r="Z182" i="2"/>
  <c r="Z202" i="2" s="1"/>
  <c r="W124" i="2"/>
  <c r="Y168" i="2"/>
  <c r="Y179" i="2" s="1"/>
  <c r="Y215" i="2"/>
  <c r="X158" i="2"/>
  <c r="X201" i="2"/>
  <c r="Y220" i="2"/>
  <c r="Y173" i="2"/>
  <c r="Y184" i="2" s="1"/>
  <c r="X198" i="2"/>
  <c r="X197" i="2"/>
  <c r="X207" i="2"/>
  <c r="X206" i="2"/>
  <c r="T196" i="2"/>
  <c r="T210" i="2" s="1"/>
  <c r="U176" i="2"/>
  <c r="X202" i="2"/>
  <c r="Y198" i="2"/>
  <c r="AC198" i="2" s="1" a="1"/>
  <c r="AC198" i="2" s="1"/>
  <c r="Y197" i="2"/>
  <c r="AC197" i="2" s="1" a="1"/>
  <c r="AC197" i="2" s="1"/>
  <c r="Y207" i="2"/>
  <c r="Y206" i="2"/>
  <c r="AC206" i="2" s="1" a="1"/>
  <c r="AC206" i="2" s="1"/>
  <c r="V258" i="8"/>
  <c r="W209" i="8"/>
  <c r="X182" i="8"/>
  <c r="X209" i="8" s="1"/>
  <c r="X263" i="8" s="1"/>
  <c r="X195" i="8"/>
  <c r="X222" i="8" s="1"/>
  <c r="X276" i="8" s="1"/>
  <c r="W222" i="8"/>
  <c r="W276" i="8" s="1"/>
  <c r="V276" i="8"/>
  <c r="X184" i="8"/>
  <c r="X211" i="8" s="1"/>
  <c r="X265" i="8" s="1"/>
  <c r="W211" i="8"/>
  <c r="X177" i="8"/>
  <c r="X204" i="8" s="1"/>
  <c r="X258" i="8" s="1"/>
  <c r="W204" i="8"/>
  <c r="W258" i="8" s="1"/>
  <c r="H74" i="2"/>
  <c r="H94" i="2" s="1"/>
  <c r="Z210" i="8"/>
  <c r="I46" i="2"/>
  <c r="H45" i="2"/>
  <c r="G45" i="2"/>
  <c r="Z42" i="11"/>
  <c r="Z63" i="11" s="1"/>
  <c r="Y42" i="2"/>
  <c r="I93" i="14"/>
  <c r="S59" i="14"/>
  <c r="S106" i="14"/>
  <c r="M39" i="14"/>
  <c r="L40" i="14"/>
  <c r="A50" i="14"/>
  <c r="C49" i="14"/>
  <c r="N61" i="14"/>
  <c r="N72" i="14" s="1"/>
  <c r="N92" i="14" s="1"/>
  <c r="N108" i="14"/>
  <c r="N35" i="14"/>
  <c r="M36" i="14"/>
  <c r="P60" i="14"/>
  <c r="P71" i="14" s="1"/>
  <c r="P91" i="14" s="1"/>
  <c r="P107" i="14"/>
  <c r="P32" i="14"/>
  <c r="O31" i="14"/>
  <c r="K41" i="14"/>
  <c r="K38" i="14" s="1"/>
  <c r="K33" i="14" s="1"/>
  <c r="L37" i="14"/>
  <c r="L34" i="14" s="1"/>
  <c r="U24" i="14"/>
  <c r="T25" i="14"/>
  <c r="T23" i="14" s="1"/>
  <c r="R28" i="14"/>
  <c r="Q29" i="14"/>
  <c r="Q27" i="14" s="1"/>
  <c r="J62" i="14"/>
  <c r="J73" i="14" s="1"/>
  <c r="J109" i="14"/>
  <c r="M39" i="11"/>
  <c r="L40" i="11"/>
  <c r="A50" i="11"/>
  <c r="A51" i="11" s="1"/>
  <c r="A52" i="11" s="1"/>
  <c r="A53" i="11" s="1"/>
  <c r="C49" i="11"/>
  <c r="P60" i="11"/>
  <c r="P71" i="11" s="1"/>
  <c r="P91" i="11" s="1"/>
  <c r="P107" i="11"/>
  <c r="R28" i="11"/>
  <c r="Q29" i="11"/>
  <c r="Q27" i="11" s="1"/>
  <c r="N108" i="11"/>
  <c r="N61" i="11"/>
  <c r="N72" i="11" s="1"/>
  <c r="N92" i="11" s="1"/>
  <c r="L37" i="11"/>
  <c r="L34" i="11" s="1"/>
  <c r="K41" i="11"/>
  <c r="K38" i="11" s="1"/>
  <c r="K33" i="11" s="1"/>
  <c r="K34" i="11"/>
  <c r="R59" i="11"/>
  <c r="R106" i="11"/>
  <c r="P32" i="11"/>
  <c r="O31" i="11"/>
  <c r="J62" i="11"/>
  <c r="J73" i="11" s="1"/>
  <c r="J93" i="11" s="1"/>
  <c r="J109" i="11"/>
  <c r="T24" i="11"/>
  <c r="S25" i="11"/>
  <c r="S23" i="11" s="1"/>
  <c r="N35" i="11"/>
  <c r="M36" i="11"/>
  <c r="N71" i="2"/>
  <c r="N91" i="2" s="1"/>
  <c r="Y42" i="11"/>
  <c r="Y105" i="11"/>
  <c r="Y104" i="11"/>
  <c r="Y103" i="11" s="1"/>
  <c r="Y13" i="11"/>
  <c r="X63" i="11"/>
  <c r="X74" i="11" s="1"/>
  <c r="X110" i="11"/>
  <c r="Z64" i="2"/>
  <c r="Y111" i="11"/>
  <c r="Y64" i="11"/>
  <c r="Y75" i="11" s="1"/>
  <c r="X89" i="2"/>
  <c r="X88" i="2"/>
  <c r="Y64" i="2"/>
  <c r="Z64" i="11"/>
  <c r="Z111" i="11"/>
  <c r="Z88" i="11"/>
  <c r="Z89" i="11"/>
  <c r="Z42" i="2"/>
  <c r="I62" i="2"/>
  <c r="I109" i="2"/>
  <c r="K37" i="2"/>
  <c r="J41" i="2"/>
  <c r="J38" i="2" s="1"/>
  <c r="J33" i="2" s="1"/>
  <c r="O60" i="2"/>
  <c r="O107" i="2"/>
  <c r="O32" i="2"/>
  <c r="N31" i="2"/>
  <c r="Q28" i="2"/>
  <c r="P29" i="2"/>
  <c r="P27" i="2" s="1"/>
  <c r="L39" i="2"/>
  <c r="K40" i="2"/>
  <c r="M35" i="2"/>
  <c r="L36" i="2"/>
  <c r="P90" i="2"/>
  <c r="A49" i="2"/>
  <c r="C48" i="2"/>
  <c r="Q106" i="2"/>
  <c r="Q59" i="2"/>
  <c r="Q70" i="2" s="1"/>
  <c r="Q90" i="2" s="1"/>
  <c r="S24" i="2"/>
  <c r="R25" i="2"/>
  <c r="R23" i="2" s="1"/>
  <c r="M61" i="2"/>
  <c r="M72" i="2" s="1"/>
  <c r="M92" i="2" s="1"/>
  <c r="M108" i="2"/>
  <c r="T383" i="2" l="1"/>
  <c r="T393" i="2" s="1"/>
  <c r="T382" i="2"/>
  <c r="T411" i="2" s="1"/>
  <c r="X491" i="2"/>
  <c r="X520" i="2" s="1"/>
  <c r="X548" i="2"/>
  <c r="I73" i="2"/>
  <c r="I93" i="2" s="1"/>
  <c r="Y548" i="2"/>
  <c r="Y491" i="2"/>
  <c r="Y520" i="2" s="1"/>
  <c r="Z512" i="2"/>
  <c r="Z532" i="2" s="1"/>
  <c r="AC532" i="2" s="1" a="1"/>
  <c r="AC532" i="2" s="1"/>
  <c r="J74" i="14"/>
  <c r="U342" i="2"/>
  <c r="U439" i="2" s="1"/>
  <c r="Y530" i="2"/>
  <c r="Z510" i="2"/>
  <c r="Z530" i="2" s="1"/>
  <c r="AC530" i="2" s="1" a="1"/>
  <c r="AC530" i="2" s="1"/>
  <c r="W251" i="8"/>
  <c r="Y338" i="2"/>
  <c r="V416" i="2"/>
  <c r="V415" i="2"/>
  <c r="V425" i="2"/>
  <c r="V424" i="2"/>
  <c r="V420" i="2"/>
  <c r="W432" i="2"/>
  <c r="W340" i="2"/>
  <c r="W431" i="2"/>
  <c r="W430" i="2" s="1"/>
  <c r="W436" i="2"/>
  <c r="W434" i="2"/>
  <c r="W387" i="2"/>
  <c r="W398" i="2" s="1"/>
  <c r="V377" i="2"/>
  <c r="V392" i="2" s="1"/>
  <c r="V403" i="2" s="1"/>
  <c r="V423" i="2" s="1"/>
  <c r="X435" i="2"/>
  <c r="X388" i="2"/>
  <c r="X251" i="8"/>
  <c r="Z338" i="2"/>
  <c r="W111" i="2"/>
  <c r="W104" i="2"/>
  <c r="W103" i="2" s="1"/>
  <c r="W13" i="2"/>
  <c r="W110" i="2"/>
  <c r="W105" i="2"/>
  <c r="W433" i="2"/>
  <c r="W386" i="2"/>
  <c r="W397" i="2" s="1"/>
  <c r="W417" i="2" s="1"/>
  <c r="W376" i="2"/>
  <c r="V417" i="2"/>
  <c r="V88" i="2"/>
  <c r="V89" i="2"/>
  <c r="X434" i="2"/>
  <c r="X387" i="2"/>
  <c r="R426" i="2"/>
  <c r="I64" i="14"/>
  <c r="I111" i="14"/>
  <c r="I103" i="14" s="1"/>
  <c r="X433" i="2"/>
  <c r="X386" i="2"/>
  <c r="V317" i="2"/>
  <c r="U523" i="2"/>
  <c r="U537" i="2" s="1"/>
  <c r="V503" i="2"/>
  <c r="K46" i="14"/>
  <c r="J45" i="14"/>
  <c r="W438" i="2"/>
  <c r="W391" i="2"/>
  <c r="W402" i="2" s="1"/>
  <c r="Q428" i="2"/>
  <c r="W535" i="2"/>
  <c r="X521" i="2"/>
  <c r="X535" i="2" s="1"/>
  <c r="W369" i="2"/>
  <c r="R414" i="2"/>
  <c r="R428" i="2" s="1"/>
  <c r="J94" i="14"/>
  <c r="K74" i="14"/>
  <c r="V419" i="2"/>
  <c r="X438" i="2"/>
  <c r="X391" i="2"/>
  <c r="V422" i="2"/>
  <c r="V437" i="2"/>
  <c r="V390" i="2"/>
  <c r="V401" i="2" s="1"/>
  <c r="V421" i="2" s="1"/>
  <c r="X369" i="2"/>
  <c r="H75" i="14"/>
  <c r="H95" i="14" s="1"/>
  <c r="V418" i="2"/>
  <c r="X432" i="2"/>
  <c r="X431" i="2"/>
  <c r="X430" i="2" s="1"/>
  <c r="X340" i="2"/>
  <c r="X436" i="2"/>
  <c r="W435" i="2"/>
  <c r="W388" i="2"/>
  <c r="W399" i="2" s="1"/>
  <c r="S439" i="2"/>
  <c r="S382" i="2"/>
  <c r="S411" i="2" s="1"/>
  <c r="S412" i="2" s="1"/>
  <c r="S383" i="2"/>
  <c r="S393" i="2" s="1"/>
  <c r="Z548" i="2"/>
  <c r="Z492" i="2"/>
  <c r="Z502" i="2" s="1"/>
  <c r="C442" i="2" s="1"/>
  <c r="Z491" i="2"/>
  <c r="Z520" i="2" s="1"/>
  <c r="R70" i="14"/>
  <c r="R90" i="14" s="1"/>
  <c r="R70" i="11"/>
  <c r="R90" i="11" s="1"/>
  <c r="Y274" i="2"/>
  <c r="Y284" i="2" s="1"/>
  <c r="Y273" i="2"/>
  <c r="Y302" i="2" s="1"/>
  <c r="X330" i="2"/>
  <c r="X273" i="2"/>
  <c r="X302" i="2" s="1"/>
  <c r="X303" i="2" s="1"/>
  <c r="Y311" i="2"/>
  <c r="AC311" i="2" s="1" a="1"/>
  <c r="AC311" i="2" s="1"/>
  <c r="Z197" i="8"/>
  <c r="Y172" i="2"/>
  <c r="Y183" i="2" s="1"/>
  <c r="Z251" i="8"/>
  <c r="Y158" i="2"/>
  <c r="Y159" i="2" s="1"/>
  <c r="Y174" i="2" s="1"/>
  <c r="Z233" i="2"/>
  <c r="V305" i="2"/>
  <c r="W285" i="2"/>
  <c r="X314" i="2"/>
  <c r="Y294" i="2"/>
  <c r="Y312" i="2"/>
  <c r="AC312" i="2" s="1" a="1"/>
  <c r="AC312" i="2" s="1"/>
  <c r="Z292" i="2"/>
  <c r="Z312" i="2" s="1"/>
  <c r="W317" i="2"/>
  <c r="V194" i="2"/>
  <c r="V208" i="2" s="1"/>
  <c r="Y200" i="2"/>
  <c r="Z180" i="2"/>
  <c r="Z200" i="2" s="1"/>
  <c r="X203" i="2"/>
  <c r="Y204" i="2"/>
  <c r="AC204" i="2" s="1" a="1"/>
  <c r="AC204" i="2" s="1"/>
  <c r="Z184" i="2"/>
  <c r="Z204" i="2" s="1"/>
  <c r="X159" i="2"/>
  <c r="X174" i="2" s="1"/>
  <c r="X185" i="2" s="1"/>
  <c r="X205" i="2" s="1"/>
  <c r="Z179" i="2"/>
  <c r="Z199" i="2" s="1"/>
  <c r="Y199" i="2"/>
  <c r="AC199" i="2" s="1" a="1"/>
  <c r="AC199" i="2" s="1"/>
  <c r="Z124" i="2"/>
  <c r="U196" i="2"/>
  <c r="U210" i="2" s="1"/>
  <c r="V176" i="2"/>
  <c r="Z181" i="2"/>
  <c r="Z201" i="2" s="1"/>
  <c r="Y201" i="2"/>
  <c r="AC201" i="2" s="1" a="1"/>
  <c r="AC201" i="2" s="1"/>
  <c r="Z276" i="8"/>
  <c r="W164" i="2"/>
  <c r="W193" i="2" s="1"/>
  <c r="W165" i="2"/>
  <c r="W175" i="2" s="1"/>
  <c r="W221" i="2"/>
  <c r="W263" i="8"/>
  <c r="Z263" i="8" s="1"/>
  <c r="Z209" i="8"/>
  <c r="W265" i="8"/>
  <c r="Z265" i="8" s="1"/>
  <c r="Z211" i="8"/>
  <c r="Z204" i="8"/>
  <c r="Z222" i="8"/>
  <c r="Z258" i="8"/>
  <c r="I74" i="2"/>
  <c r="Z110" i="11"/>
  <c r="Y63" i="2"/>
  <c r="G111" i="2"/>
  <c r="G103" i="2" s="1"/>
  <c r="G64" i="2"/>
  <c r="G75" i="2" s="1"/>
  <c r="G95" i="2" s="1"/>
  <c r="H64" i="2"/>
  <c r="H111" i="2"/>
  <c r="H103" i="2" s="1"/>
  <c r="J46" i="2"/>
  <c r="I45" i="2"/>
  <c r="O71" i="2"/>
  <c r="O91" i="2" s="1"/>
  <c r="J93" i="14"/>
  <c r="K62" i="14"/>
  <c r="K73" i="14" s="1"/>
  <c r="K109" i="14"/>
  <c r="O108" i="14"/>
  <c r="O61" i="14"/>
  <c r="O72" i="14" s="1"/>
  <c r="O92" i="14" s="1"/>
  <c r="N39" i="14"/>
  <c r="M40" i="14"/>
  <c r="S28" i="14"/>
  <c r="R29" i="14"/>
  <c r="R27" i="14" s="1"/>
  <c r="Q32" i="14"/>
  <c r="P31" i="14"/>
  <c r="Q60" i="14"/>
  <c r="Q71" i="14" s="1"/>
  <c r="Q91" i="14" s="1"/>
  <c r="Q107" i="14"/>
  <c r="A51" i="14"/>
  <c r="T59" i="14"/>
  <c r="T106" i="14"/>
  <c r="V24" i="14"/>
  <c r="U25" i="14"/>
  <c r="U23" i="14" s="1"/>
  <c r="L41" i="14"/>
  <c r="L38" i="14" s="1"/>
  <c r="L33" i="14" s="1"/>
  <c r="M37" i="14"/>
  <c r="M34" i="14" s="1"/>
  <c r="O35" i="14"/>
  <c r="N36" i="14"/>
  <c r="K62" i="11"/>
  <c r="K73" i="11" s="1"/>
  <c r="K93" i="11" s="1"/>
  <c r="K109" i="11"/>
  <c r="O35" i="11"/>
  <c r="N36" i="11"/>
  <c r="L41" i="11"/>
  <c r="L38" i="11" s="1"/>
  <c r="L33" i="11" s="1"/>
  <c r="M37" i="11"/>
  <c r="M34" i="11" s="1"/>
  <c r="Q32" i="11"/>
  <c r="P31" i="11"/>
  <c r="A54" i="1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F53" i="11"/>
  <c r="G48" i="11" s="1"/>
  <c r="O108" i="11"/>
  <c r="O61" i="11"/>
  <c r="O72" i="11" s="1"/>
  <c r="O92" i="11" s="1"/>
  <c r="S106" i="11"/>
  <c r="S59" i="11"/>
  <c r="S70" i="11" s="1"/>
  <c r="S90" i="11" s="1"/>
  <c r="Q107" i="11"/>
  <c r="Q60" i="11"/>
  <c r="Q71" i="11" s="1"/>
  <c r="Q91" i="11" s="1"/>
  <c r="U24" i="11"/>
  <c r="T25" i="11"/>
  <c r="T23" i="11" s="1"/>
  <c r="S28" i="11"/>
  <c r="R29" i="11"/>
  <c r="R27" i="11" s="1"/>
  <c r="N39" i="11"/>
  <c r="M40" i="11"/>
  <c r="Z75" i="11"/>
  <c r="Z95" i="11" s="1"/>
  <c r="Y95" i="11"/>
  <c r="AC88" i="2" a="1"/>
  <c r="AC88" i="2" s="1"/>
  <c r="Y110" i="11"/>
  <c r="Y63" i="11"/>
  <c r="Y74" i="11" s="1"/>
  <c r="AC89" i="2" a="1"/>
  <c r="AC89" i="2" s="1"/>
  <c r="X94" i="11"/>
  <c r="Z63" i="2"/>
  <c r="Y88" i="11"/>
  <c r="AC88" i="11" s="1" a="1"/>
  <c r="AC88" i="11" s="1"/>
  <c r="Y89" i="11"/>
  <c r="AC89" i="11" s="1" a="1"/>
  <c r="AC89" i="11" s="1"/>
  <c r="A50" i="2"/>
  <c r="C49" i="2"/>
  <c r="J62" i="2"/>
  <c r="J109" i="2"/>
  <c r="P60" i="2"/>
  <c r="P107" i="2"/>
  <c r="R59" i="2"/>
  <c r="R70" i="2" s="1"/>
  <c r="R90" i="2" s="1"/>
  <c r="R106" i="2"/>
  <c r="R28" i="2"/>
  <c r="Q29" i="2"/>
  <c r="Q27" i="2" s="1"/>
  <c r="L37" i="2"/>
  <c r="L34" i="2" s="1"/>
  <c r="K41" i="2"/>
  <c r="K38" i="2" s="1"/>
  <c r="T24" i="2"/>
  <c r="S25" i="2"/>
  <c r="S23" i="2" s="1"/>
  <c r="N35" i="2"/>
  <c r="M36" i="2"/>
  <c r="N61" i="2"/>
  <c r="N72" i="2" s="1"/>
  <c r="N108" i="2"/>
  <c r="P32" i="2"/>
  <c r="O31" i="2"/>
  <c r="M39" i="2"/>
  <c r="L40" i="2"/>
  <c r="K34" i="2"/>
  <c r="J73" i="2" l="1"/>
  <c r="U382" i="2"/>
  <c r="U411" i="2" s="1"/>
  <c r="U383" i="2"/>
  <c r="U393" i="2" s="1"/>
  <c r="W419" i="2"/>
  <c r="W422" i="2"/>
  <c r="W418" i="2"/>
  <c r="V342" i="2"/>
  <c r="V382" i="2" s="1"/>
  <c r="V411" i="2" s="1"/>
  <c r="T412" i="2"/>
  <c r="T426" i="2" s="1"/>
  <c r="S426" i="2"/>
  <c r="X416" i="2"/>
  <c r="X415" i="2"/>
  <c r="X425" i="2"/>
  <c r="X424" i="2"/>
  <c r="X420" i="2"/>
  <c r="X397" i="2"/>
  <c r="X417" i="2" s="1"/>
  <c r="M55" i="12"/>
  <c r="I43" i="12"/>
  <c r="O55" i="12"/>
  <c r="J55" i="12"/>
  <c r="N55" i="12"/>
  <c r="N43" i="12"/>
  <c r="L56" i="12"/>
  <c r="L58" i="12" s="1"/>
  <c r="L55" i="12"/>
  <c r="M56" i="12"/>
  <c r="M58" i="12" s="1"/>
  <c r="I55" i="12"/>
  <c r="O43" i="12"/>
  <c r="K43" i="12"/>
  <c r="N49" i="12"/>
  <c r="L43" i="12"/>
  <c r="H56" i="12"/>
  <c r="H58" i="12" s="1"/>
  <c r="G56" i="12"/>
  <c r="G58" i="12" s="1"/>
  <c r="K55" i="12"/>
  <c r="J56" i="12"/>
  <c r="J58" i="12" s="1"/>
  <c r="N56" i="12"/>
  <c r="N58" i="12" s="1"/>
  <c r="H55" i="12"/>
  <c r="K56" i="12"/>
  <c r="K58" i="12" s="1"/>
  <c r="H43" i="12"/>
  <c r="K54" i="12"/>
  <c r="N54" i="12"/>
  <c r="O56" i="12"/>
  <c r="O58" i="12" s="1"/>
  <c r="J47" i="12"/>
  <c r="H45" i="12"/>
  <c r="M43" i="12"/>
  <c r="K50" i="12"/>
  <c r="L54" i="12"/>
  <c r="N52" i="12"/>
  <c r="I46" i="12"/>
  <c r="M54" i="12"/>
  <c r="L49" i="12"/>
  <c r="H52" i="12"/>
  <c r="I47" i="12"/>
  <c r="G48" i="12"/>
  <c r="I51" i="12"/>
  <c r="O45" i="12"/>
  <c r="J43" i="12"/>
  <c r="I56" i="12"/>
  <c r="I58" i="12" s="1"/>
  <c r="J51" i="12"/>
  <c r="G55" i="12"/>
  <c r="G43" i="12"/>
  <c r="M45" i="12"/>
  <c r="K48" i="12"/>
  <c r="K47" i="12"/>
  <c r="J46" i="12"/>
  <c r="J53" i="12"/>
  <c r="I48" i="12"/>
  <c r="H53" i="12"/>
  <c r="I54" i="12"/>
  <c r="I53" i="12"/>
  <c r="K49" i="12"/>
  <c r="K45" i="12"/>
  <c r="K53" i="12"/>
  <c r="H49" i="12"/>
  <c r="O51" i="12"/>
  <c r="M50" i="12"/>
  <c r="G51" i="12"/>
  <c r="L47" i="12"/>
  <c r="L50" i="12"/>
  <c r="H48" i="12"/>
  <c r="J52" i="12"/>
  <c r="N50" i="12"/>
  <c r="M46" i="12"/>
  <c r="G47" i="12"/>
  <c r="O48" i="12"/>
  <c r="M48" i="12"/>
  <c r="I49" i="12"/>
  <c r="O49" i="12"/>
  <c r="N53" i="12"/>
  <c r="K51" i="12"/>
  <c r="G54" i="12"/>
  <c r="I45" i="12"/>
  <c r="I52" i="12"/>
  <c r="O52" i="12"/>
  <c r="J49" i="12"/>
  <c r="H47" i="12"/>
  <c r="K46" i="12"/>
  <c r="J54" i="12"/>
  <c r="N51" i="12"/>
  <c r="L51" i="12"/>
  <c r="M49" i="12"/>
  <c r="N45" i="12"/>
  <c r="I50" i="12"/>
  <c r="G49" i="12"/>
  <c r="H51" i="12"/>
  <c r="L46" i="12"/>
  <c r="G52" i="12"/>
  <c r="J48" i="12"/>
  <c r="O50" i="12"/>
  <c r="N47" i="12"/>
  <c r="G45" i="12"/>
  <c r="N48" i="12"/>
  <c r="J45" i="12"/>
  <c r="H46" i="12"/>
  <c r="L48" i="12"/>
  <c r="N46" i="12"/>
  <c r="M47" i="12"/>
  <c r="O47" i="12"/>
  <c r="K52" i="12"/>
  <c r="O53" i="12"/>
  <c r="G50" i="12"/>
  <c r="J50" i="12"/>
  <c r="L52" i="12"/>
  <c r="H54" i="12"/>
  <c r="G46" i="12"/>
  <c r="M53" i="12"/>
  <c r="L45" i="12"/>
  <c r="M52" i="12"/>
  <c r="L53" i="12"/>
  <c r="H50" i="12"/>
  <c r="G53" i="12"/>
  <c r="M51" i="12"/>
  <c r="O46" i="12"/>
  <c r="O54" i="12"/>
  <c r="V319" i="2"/>
  <c r="S394" i="2"/>
  <c r="J111" i="14"/>
  <c r="J103" i="14" s="1"/>
  <c r="J64" i="14"/>
  <c r="W88" i="2"/>
  <c r="W89" i="2"/>
  <c r="W437" i="2"/>
  <c r="W390" i="2"/>
  <c r="W401" i="2" s="1"/>
  <c r="L46" i="14"/>
  <c r="K45" i="14"/>
  <c r="I75" i="14"/>
  <c r="I95" i="14" s="1"/>
  <c r="X402" i="2"/>
  <c r="X422" i="2" s="1"/>
  <c r="V523" i="2"/>
  <c r="V537" i="2" s="1"/>
  <c r="W503" i="2"/>
  <c r="Y521" i="2"/>
  <c r="W377" i="2"/>
  <c r="W392" i="2" s="1"/>
  <c r="W403" i="2" s="1"/>
  <c r="W423" i="2" s="1"/>
  <c r="Z372" i="2"/>
  <c r="Z371" i="2"/>
  <c r="Z370" i="2"/>
  <c r="Z356" i="2"/>
  <c r="Z354" i="2" s="1"/>
  <c r="Z358" i="2"/>
  <c r="Z352" i="2"/>
  <c r="Z350" i="2" s="1"/>
  <c r="Z12" i="2"/>
  <c r="Z339" i="2"/>
  <c r="Y370" i="2"/>
  <c r="Y371" i="2"/>
  <c r="Y372" i="2"/>
  <c r="Y352" i="2"/>
  <c r="Y350" i="2" s="1"/>
  <c r="Y356" i="2"/>
  <c r="Y354" i="2" s="1"/>
  <c r="Y358" i="2"/>
  <c r="X437" i="2"/>
  <c r="X390" i="2"/>
  <c r="K94" i="14"/>
  <c r="L74" i="14"/>
  <c r="X376" i="2"/>
  <c r="X398" i="2"/>
  <c r="X418" i="2" s="1"/>
  <c r="X399" i="2"/>
  <c r="X419" i="2" s="1"/>
  <c r="W416" i="2"/>
  <c r="W415" i="2"/>
  <c r="W425" i="2"/>
  <c r="W424" i="2"/>
  <c r="W420" i="2"/>
  <c r="Y12" i="2"/>
  <c r="Y339" i="2"/>
  <c r="W194" i="2"/>
  <c r="W208" i="2" s="1"/>
  <c r="G49" i="11"/>
  <c r="G50" i="11" s="1"/>
  <c r="G65" i="11" s="1"/>
  <c r="G76" i="11" s="1"/>
  <c r="G96" i="11" s="1"/>
  <c r="F29" i="1"/>
  <c r="I29" i="1"/>
  <c r="F28" i="1"/>
  <c r="I28" i="1"/>
  <c r="S70" i="14"/>
  <c r="S90" i="14" s="1"/>
  <c r="Z274" i="2"/>
  <c r="Z284" i="2" s="1"/>
  <c r="Z273" i="2"/>
  <c r="Z302" i="2" s="1"/>
  <c r="Z330" i="2"/>
  <c r="Y314" i="2"/>
  <c r="Z294" i="2"/>
  <c r="Z314" i="2" s="1"/>
  <c r="W305" i="2"/>
  <c r="W319" i="2" s="1"/>
  <c r="X285" i="2"/>
  <c r="X317" i="2"/>
  <c r="Y303" i="2"/>
  <c r="H48" i="11"/>
  <c r="Y124" i="2"/>
  <c r="Y164" i="2" s="1"/>
  <c r="Y193" i="2" s="1"/>
  <c r="X124" i="2"/>
  <c r="X165" i="2" s="1"/>
  <c r="X175" i="2" s="1"/>
  <c r="Z164" i="2"/>
  <c r="Z193" i="2" s="1"/>
  <c r="Z165" i="2"/>
  <c r="Z175" i="2" s="1"/>
  <c r="Z221" i="2"/>
  <c r="P71" i="2"/>
  <c r="P91" i="2" s="1"/>
  <c r="Y185" i="2"/>
  <c r="Z183" i="2"/>
  <c r="Z203" i="2" s="1"/>
  <c r="Y203" i="2"/>
  <c r="W176" i="2"/>
  <c r="V196" i="2"/>
  <c r="V210" i="2" s="1"/>
  <c r="H75" i="2"/>
  <c r="H95" i="2" s="1"/>
  <c r="K33" i="2"/>
  <c r="K109" i="2" s="1"/>
  <c r="I94" i="2"/>
  <c r="J74" i="2"/>
  <c r="I64" i="2"/>
  <c r="I111" i="2"/>
  <c r="I103" i="2" s="1"/>
  <c r="K46" i="2"/>
  <c r="J45" i="2"/>
  <c r="K93" i="14"/>
  <c r="R32" i="14"/>
  <c r="Q31" i="14"/>
  <c r="U106" i="14"/>
  <c r="U59" i="14"/>
  <c r="A52" i="14"/>
  <c r="R107" i="14"/>
  <c r="R60" i="14"/>
  <c r="R71" i="14" s="1"/>
  <c r="R91" i="14" s="1"/>
  <c r="W24" i="14"/>
  <c r="V25" i="14"/>
  <c r="V23" i="14" s="1"/>
  <c r="T28" i="14"/>
  <c r="S29" i="14"/>
  <c r="S27" i="14" s="1"/>
  <c r="P35" i="14"/>
  <c r="O36" i="14"/>
  <c r="M41" i="14"/>
  <c r="M38" i="14" s="1"/>
  <c r="M33" i="14" s="1"/>
  <c r="N37" i="14"/>
  <c r="N34" i="14" s="1"/>
  <c r="O39" i="14"/>
  <c r="N40" i="14"/>
  <c r="L62" i="14"/>
  <c r="L73" i="14" s="1"/>
  <c r="L109" i="14"/>
  <c r="P61" i="14"/>
  <c r="P72" i="14" s="1"/>
  <c r="P92" i="14" s="1"/>
  <c r="P108" i="14"/>
  <c r="F46" i="12"/>
  <c r="F47" i="12"/>
  <c r="O39" i="11"/>
  <c r="N40" i="11"/>
  <c r="V24" i="11"/>
  <c r="U25" i="11"/>
  <c r="U23" i="11" s="1"/>
  <c r="P35" i="11"/>
  <c r="O36" i="11"/>
  <c r="I48" i="11"/>
  <c r="I49" i="11" s="1"/>
  <c r="I50" i="11" s="1"/>
  <c r="I65" i="11" s="1"/>
  <c r="V20" i="11"/>
  <c r="T20" i="11"/>
  <c r="F52" i="11"/>
  <c r="G20" i="11"/>
  <c r="U20" i="11"/>
  <c r="S20" i="11"/>
  <c r="L20" i="11"/>
  <c r="F79" i="11"/>
  <c r="F82" i="11" s="1"/>
  <c r="G82" i="11" s="1"/>
  <c r="R20" i="11"/>
  <c r="M20" i="11"/>
  <c r="Z20" i="11"/>
  <c r="AA20" i="11"/>
  <c r="Q20" i="11"/>
  <c r="X20" i="11"/>
  <c r="H20" i="11"/>
  <c r="P20" i="11"/>
  <c r="I20" i="11"/>
  <c r="K20" i="11"/>
  <c r="O20" i="11"/>
  <c r="N20" i="11"/>
  <c r="W20" i="11"/>
  <c r="Y20" i="11"/>
  <c r="J20" i="11"/>
  <c r="R60" i="11"/>
  <c r="R71" i="11" s="1"/>
  <c r="R91" i="11" s="1"/>
  <c r="R107" i="11"/>
  <c r="T28" i="11"/>
  <c r="S29" i="11"/>
  <c r="S27" i="11" s="1"/>
  <c r="P61" i="11"/>
  <c r="P72" i="11" s="1"/>
  <c r="P92" i="11" s="1"/>
  <c r="P108" i="11"/>
  <c r="N37" i="11"/>
  <c r="M41" i="11"/>
  <c r="M38" i="11" s="1"/>
  <c r="M33" i="11" s="1"/>
  <c r="T59" i="11"/>
  <c r="T70" i="11" s="1"/>
  <c r="T90" i="11" s="1"/>
  <c r="T106" i="11"/>
  <c r="R32" i="11"/>
  <c r="Q31" i="11"/>
  <c r="L62" i="11"/>
  <c r="L73" i="11" s="1"/>
  <c r="L93" i="11" s="1"/>
  <c r="L109" i="11"/>
  <c r="Y94" i="11"/>
  <c r="Z74" i="11"/>
  <c r="Z94" i="11" s="1"/>
  <c r="AC95" i="11" a="1"/>
  <c r="AC95" i="11" s="1"/>
  <c r="Q32" i="2"/>
  <c r="P31" i="2"/>
  <c r="N39" i="2"/>
  <c r="M40" i="2"/>
  <c r="Q107" i="2"/>
  <c r="Q60" i="2"/>
  <c r="N92" i="2"/>
  <c r="S28" i="2"/>
  <c r="R29" i="2"/>
  <c r="R27" i="2" s="1"/>
  <c r="O108" i="2"/>
  <c r="O61" i="2"/>
  <c r="O72" i="2" s="1"/>
  <c r="O92" i="2" s="1"/>
  <c r="S59" i="2"/>
  <c r="S70" i="2" s="1"/>
  <c r="S90" i="2" s="1"/>
  <c r="S106" i="2"/>
  <c r="O35" i="2"/>
  <c r="N36" i="2"/>
  <c r="U24" i="2"/>
  <c r="T25" i="2"/>
  <c r="T23" i="2" s="1"/>
  <c r="J93" i="2"/>
  <c r="M37" i="2"/>
  <c r="M34" i="2" s="1"/>
  <c r="L41" i="2"/>
  <c r="L38" i="2" s="1"/>
  <c r="L33" i="2" s="1"/>
  <c r="A51" i="2"/>
  <c r="V439" i="2" l="1"/>
  <c r="V383" i="2"/>
  <c r="V393" i="2" s="1"/>
  <c r="U412" i="2"/>
  <c r="V412" i="2" s="1"/>
  <c r="V426" i="2" s="1"/>
  <c r="W342" i="2"/>
  <c r="W439" i="2" s="1"/>
  <c r="Y434" i="2"/>
  <c r="Y387" i="2"/>
  <c r="Y398" i="2" s="1"/>
  <c r="Y111" i="2"/>
  <c r="Y105" i="2"/>
  <c r="Y110" i="2"/>
  <c r="Y104" i="2"/>
  <c r="Y103" i="2" s="1"/>
  <c r="Y13" i="2"/>
  <c r="Z435" i="2"/>
  <c r="Z388" i="2"/>
  <c r="J75" i="14"/>
  <c r="J95" i="14" s="1"/>
  <c r="Z369" i="2"/>
  <c r="Z376" i="2" s="1"/>
  <c r="S414" i="2"/>
  <c r="T394" i="2"/>
  <c r="K57" i="12"/>
  <c r="O57" i="12"/>
  <c r="L94" i="14"/>
  <c r="M74" i="14"/>
  <c r="Y438" i="2"/>
  <c r="Y391" i="2"/>
  <c r="Y402" i="2" s="1"/>
  <c r="Z433" i="2"/>
  <c r="Z386" i="2"/>
  <c r="Z432" i="2"/>
  <c r="Z431" i="2"/>
  <c r="Z430" i="2" s="1"/>
  <c r="Z340" i="2"/>
  <c r="Z436" i="2"/>
  <c r="L57" i="12"/>
  <c r="G57" i="12"/>
  <c r="N57" i="12"/>
  <c r="M57" i="12"/>
  <c r="I57" i="12"/>
  <c r="H57" i="12"/>
  <c r="Y435" i="2"/>
  <c r="Y388" i="2"/>
  <c r="Y399" i="2" s="1"/>
  <c r="Z111" i="2"/>
  <c r="Z105" i="2"/>
  <c r="Z110" i="2"/>
  <c r="Z13" i="2"/>
  <c r="Z104" i="2"/>
  <c r="Z103" i="2" s="1"/>
  <c r="Z438" i="2"/>
  <c r="Z391" i="2"/>
  <c r="Y340" i="2"/>
  <c r="Y432" i="2"/>
  <c r="Y431" i="2"/>
  <c r="Y430" i="2" s="1"/>
  <c r="Y436" i="2"/>
  <c r="W383" i="2"/>
  <c r="W393" i="2" s="1"/>
  <c r="X377" i="2"/>
  <c r="X392" i="2" s="1"/>
  <c r="X403" i="2" s="1"/>
  <c r="X423" i="2" s="1"/>
  <c r="Y433" i="2"/>
  <c r="Y386" i="2"/>
  <c r="Y397" i="2" s="1"/>
  <c r="Y417" i="2" s="1"/>
  <c r="K64" i="14"/>
  <c r="K75" i="14" s="1"/>
  <c r="K95" i="14" s="1"/>
  <c r="K111" i="14"/>
  <c r="K103" i="14" s="1"/>
  <c r="M46" i="14"/>
  <c r="L45" i="14"/>
  <c r="Z521" i="2"/>
  <c r="Z535" i="2" s="1"/>
  <c r="Y535" i="2"/>
  <c r="X401" i="2"/>
  <c r="X421" i="2" s="1"/>
  <c r="W421" i="2"/>
  <c r="Y369" i="2"/>
  <c r="Y376" i="2" s="1"/>
  <c r="Z434" i="2"/>
  <c r="Z387" i="2"/>
  <c r="X503" i="2"/>
  <c r="W523" i="2"/>
  <c r="W537" i="2" s="1"/>
  <c r="J57" i="12"/>
  <c r="H49" i="11"/>
  <c r="H50" i="11" s="1"/>
  <c r="H65" i="11" s="1"/>
  <c r="H76" i="11" s="1"/>
  <c r="H96" i="11" s="1"/>
  <c r="G15" i="11"/>
  <c r="K62" i="2"/>
  <c r="K73" i="2" s="1"/>
  <c r="K93" i="2" s="1"/>
  <c r="T70" i="14"/>
  <c r="T90" i="14" s="1"/>
  <c r="Y317" i="2"/>
  <c r="Z303" i="2"/>
  <c r="Z317" i="2" s="1"/>
  <c r="X305" i="2"/>
  <c r="X319" i="2" s="1"/>
  <c r="Y285" i="2"/>
  <c r="Y165" i="2"/>
  <c r="Y175" i="2" s="1"/>
  <c r="C115" i="2" s="1"/>
  <c r="Y221" i="2"/>
  <c r="X221" i="2"/>
  <c r="X164" i="2"/>
  <c r="X193" i="2" s="1"/>
  <c r="X194" i="2" s="1"/>
  <c r="X208" i="2" s="1"/>
  <c r="I75" i="2"/>
  <c r="I95" i="2" s="1"/>
  <c r="X176" i="2"/>
  <c r="W196" i="2"/>
  <c r="W210" i="2" s="1"/>
  <c r="Q71" i="2"/>
  <c r="Q91" i="2" s="1"/>
  <c r="Y205" i="2"/>
  <c r="Z185" i="2"/>
  <c r="Z205" i="2" s="1"/>
  <c r="J94" i="2"/>
  <c r="K74" i="2"/>
  <c r="AC94" i="11" a="1"/>
  <c r="AC94" i="11" s="1"/>
  <c r="F52" i="12" s="1"/>
  <c r="J64" i="2"/>
  <c r="J111" i="2"/>
  <c r="J103" i="2" s="1"/>
  <c r="L46" i="2"/>
  <c r="K45" i="2"/>
  <c r="L93" i="14"/>
  <c r="X24" i="14"/>
  <c r="W25" i="14"/>
  <c r="W23" i="14" s="1"/>
  <c r="Q108" i="14"/>
  <c r="Q61" i="14"/>
  <c r="Q72" i="14" s="1"/>
  <c r="Q92" i="14" s="1"/>
  <c r="P39" i="14"/>
  <c r="O40" i="14"/>
  <c r="S32" i="14"/>
  <c r="R31" i="14"/>
  <c r="N41" i="14"/>
  <c r="N38" i="14" s="1"/>
  <c r="N33" i="14" s="1"/>
  <c r="O37" i="14"/>
  <c r="Q35" i="14"/>
  <c r="P36" i="14"/>
  <c r="M62" i="14"/>
  <c r="M73" i="14" s="1"/>
  <c r="M109" i="14"/>
  <c r="S107" i="14"/>
  <c r="S60" i="14"/>
  <c r="S71" i="14" s="1"/>
  <c r="S91" i="14" s="1"/>
  <c r="U28" i="14"/>
  <c r="T29" i="14"/>
  <c r="T27" i="14" s="1"/>
  <c r="A53" i="14"/>
  <c r="V59" i="14"/>
  <c r="V106" i="14"/>
  <c r="F53" i="12"/>
  <c r="I15" i="11"/>
  <c r="U106" i="11"/>
  <c r="U59" i="11"/>
  <c r="U70" i="11" s="1"/>
  <c r="U90" i="11" s="1"/>
  <c r="Q108" i="11"/>
  <c r="Q61" i="11"/>
  <c r="Q72" i="11" s="1"/>
  <c r="Q92" i="11" s="1"/>
  <c r="S32" i="11"/>
  <c r="R31" i="11"/>
  <c r="O37" i="11"/>
  <c r="N41" i="11"/>
  <c r="N38" i="11" s="1"/>
  <c r="N33" i="11" s="1"/>
  <c r="F55" i="11"/>
  <c r="F84" i="11" s="1"/>
  <c r="F85" i="11" s="1"/>
  <c r="F78" i="11"/>
  <c r="W24" i="11"/>
  <c r="V25" i="11"/>
  <c r="V23" i="11" s="1"/>
  <c r="M62" i="11"/>
  <c r="M73" i="11" s="1"/>
  <c r="M93" i="11" s="1"/>
  <c r="M109" i="11"/>
  <c r="Q35" i="11"/>
  <c r="P36" i="11"/>
  <c r="J48" i="11"/>
  <c r="J49" i="11" s="1"/>
  <c r="J50" i="11" s="1"/>
  <c r="J65" i="11" s="1"/>
  <c r="P39" i="11"/>
  <c r="O40" i="11"/>
  <c r="S107" i="11"/>
  <c r="S60" i="11"/>
  <c r="S71" i="11" s="1"/>
  <c r="S91" i="11" s="1"/>
  <c r="U28" i="11"/>
  <c r="T29" i="11"/>
  <c r="T27" i="11" s="1"/>
  <c r="H82" i="11"/>
  <c r="G98" i="11"/>
  <c r="N34" i="11"/>
  <c r="L62" i="2"/>
  <c r="L109" i="2"/>
  <c r="T106" i="2"/>
  <c r="T59" i="2"/>
  <c r="T70" i="2" s="1"/>
  <c r="T90" i="2" s="1"/>
  <c r="V24" i="2"/>
  <c r="U25" i="2"/>
  <c r="U23" i="2" s="1"/>
  <c r="R60" i="2"/>
  <c r="R107" i="2"/>
  <c r="O39" i="2"/>
  <c r="N40" i="2"/>
  <c r="A52" i="2"/>
  <c r="P35" i="2"/>
  <c r="O36" i="2"/>
  <c r="T28" i="2"/>
  <c r="S29" i="2"/>
  <c r="S27" i="2" s="1"/>
  <c r="P61" i="2"/>
  <c r="P72" i="2" s="1"/>
  <c r="P92" i="2" s="1"/>
  <c r="P108" i="2"/>
  <c r="M41" i="2"/>
  <c r="M38" i="2" s="1"/>
  <c r="M33" i="2" s="1"/>
  <c r="N37" i="2"/>
  <c r="R32" i="2"/>
  <c r="Q31" i="2"/>
  <c r="W382" i="2" l="1"/>
  <c r="W411" i="2" s="1"/>
  <c r="U426" i="2"/>
  <c r="Z398" i="2"/>
  <c r="Z418" i="2" s="1"/>
  <c r="W412" i="2"/>
  <c r="W426" i="2" s="1"/>
  <c r="Y437" i="2"/>
  <c r="Y390" i="2"/>
  <c r="Y401" i="2" s="1"/>
  <c r="Y421" i="2" s="1"/>
  <c r="Y89" i="2"/>
  <c r="Y88" i="2"/>
  <c r="Y377" i="2"/>
  <c r="Y392" i="2" s="1"/>
  <c r="Y403" i="2" s="1"/>
  <c r="Y423" i="2" s="1"/>
  <c r="Z88" i="2"/>
  <c r="Z89" i="2"/>
  <c r="Z377" i="2"/>
  <c r="Z392" i="2" s="1"/>
  <c r="Z397" i="2"/>
  <c r="Z417" i="2" s="1"/>
  <c r="AC417" i="2" s="1" a="1"/>
  <c r="AC417" i="2" s="1"/>
  <c r="T414" i="2"/>
  <c r="T428" i="2" s="1"/>
  <c r="U394" i="2"/>
  <c r="AC535" i="2" a="1"/>
  <c r="AC535" i="2" s="1"/>
  <c r="Y416" i="2"/>
  <c r="Y415" i="2"/>
  <c r="Y425" i="2"/>
  <c r="Y424" i="2"/>
  <c r="Y420" i="2"/>
  <c r="S428" i="2"/>
  <c r="X523" i="2"/>
  <c r="X537" i="2" s="1"/>
  <c r="Y503" i="2"/>
  <c r="X342" i="2"/>
  <c r="Y422" i="2"/>
  <c r="Z437" i="2"/>
  <c r="Z390" i="2"/>
  <c r="L111" i="14"/>
  <c r="L103" i="14" s="1"/>
  <c r="L64" i="14"/>
  <c r="L75" i="14" s="1"/>
  <c r="L95" i="14" s="1"/>
  <c r="Y419" i="2"/>
  <c r="Y418" i="2"/>
  <c r="AC418" i="2" s="1" a="1"/>
  <c r="AC418" i="2" s="1"/>
  <c r="L73" i="2"/>
  <c r="L93" i="2" s="1"/>
  <c r="N46" i="14"/>
  <c r="M45" i="14"/>
  <c r="Z402" i="2"/>
  <c r="Z422" i="2" s="1"/>
  <c r="Z416" i="2"/>
  <c r="Z415" i="2"/>
  <c r="Z425" i="2"/>
  <c r="AC425" i="2" s="1" a="1"/>
  <c r="AC425" i="2" s="1"/>
  <c r="Z424" i="2"/>
  <c r="Z420" i="2"/>
  <c r="AC420" i="2" s="1" a="1"/>
  <c r="AC420" i="2" s="1"/>
  <c r="M94" i="14"/>
  <c r="N74" i="14"/>
  <c r="Z399" i="2"/>
  <c r="Z419" i="2" s="1"/>
  <c r="G112" i="11"/>
  <c r="G55" i="11"/>
  <c r="G84" i="11" s="1"/>
  <c r="G85" i="11" s="1"/>
  <c r="G99" i="11" s="1"/>
  <c r="G56" i="11"/>
  <c r="I76" i="11"/>
  <c r="I96" i="11" s="1"/>
  <c r="H15" i="11"/>
  <c r="U70" i="14"/>
  <c r="U90" i="14" s="1"/>
  <c r="J75" i="2"/>
  <c r="J95" i="2" s="1"/>
  <c r="R71" i="2"/>
  <c r="R91" i="2" s="1"/>
  <c r="Y305" i="2"/>
  <c r="Y319" i="2" s="1"/>
  <c r="Z285" i="2"/>
  <c r="Z305" i="2" s="1"/>
  <c r="AC305" i="2" s="1" a="1"/>
  <c r="AC305" i="2" s="1"/>
  <c r="Y194" i="2"/>
  <c r="Y208" i="2" s="1"/>
  <c r="Y176" i="2"/>
  <c r="X196" i="2"/>
  <c r="X210" i="2" s="1"/>
  <c r="L74" i="2"/>
  <c r="K94" i="2"/>
  <c r="K64" i="2"/>
  <c r="K111" i="2"/>
  <c r="K103" i="2" s="1"/>
  <c r="M46" i="2"/>
  <c r="L45" i="2"/>
  <c r="M93" i="14"/>
  <c r="V28" i="14"/>
  <c r="U29" i="14"/>
  <c r="U27" i="14" s="1"/>
  <c r="W59" i="14"/>
  <c r="W106" i="14"/>
  <c r="T60" i="14"/>
  <c r="T71" i="14" s="1"/>
  <c r="T91" i="14" s="1"/>
  <c r="T107" i="14"/>
  <c r="R35" i="14"/>
  <c r="Q36" i="14"/>
  <c r="Q39" i="14"/>
  <c r="P40" i="14"/>
  <c r="Y24" i="14"/>
  <c r="X25" i="14"/>
  <c r="X23" i="14" s="1"/>
  <c r="O41" i="14"/>
  <c r="O38" i="14" s="1"/>
  <c r="P37" i="14"/>
  <c r="P34" i="14" s="1"/>
  <c r="N62" i="14"/>
  <c r="N73" i="14" s="1"/>
  <c r="N93" i="14" s="1"/>
  <c r="N109" i="14"/>
  <c r="O34" i="14"/>
  <c r="R108" i="14"/>
  <c r="R61" i="14"/>
  <c r="R72" i="14" s="1"/>
  <c r="R92" i="14" s="1"/>
  <c r="F53" i="14"/>
  <c r="G48" i="14" s="1"/>
  <c r="A54" i="14"/>
  <c r="T32" i="14"/>
  <c r="S31" i="14"/>
  <c r="V28" i="11"/>
  <c r="U29" i="11"/>
  <c r="U27" i="11" s="1"/>
  <c r="P37" i="11"/>
  <c r="P34" i="11" s="1"/>
  <c r="O41" i="11"/>
  <c r="O38" i="11" s="1"/>
  <c r="O33" i="11" s="1"/>
  <c r="R35" i="11"/>
  <c r="Q36" i="11"/>
  <c r="O34" i="11"/>
  <c r="Q39" i="11"/>
  <c r="P40" i="11"/>
  <c r="F80" i="11"/>
  <c r="F81" i="11"/>
  <c r="G81" i="11" s="1"/>
  <c r="K48" i="11"/>
  <c r="J15" i="11"/>
  <c r="I56" i="11"/>
  <c r="I66" i="11" s="1"/>
  <c r="I55" i="11"/>
  <c r="I84" i="11" s="1"/>
  <c r="I112" i="11"/>
  <c r="X24" i="11"/>
  <c r="W25" i="11"/>
  <c r="W23" i="11" s="1"/>
  <c r="I82" i="11"/>
  <c r="H98" i="11"/>
  <c r="T60" i="11"/>
  <c r="T71" i="11" s="1"/>
  <c r="T91" i="11" s="1"/>
  <c r="T107" i="11"/>
  <c r="N62" i="11"/>
  <c r="N73" i="11" s="1"/>
  <c r="N93" i="11" s="1"/>
  <c r="N109" i="11"/>
  <c r="R108" i="11"/>
  <c r="R61" i="11"/>
  <c r="R72" i="11" s="1"/>
  <c r="R92" i="11" s="1"/>
  <c r="V59" i="11"/>
  <c r="V70" i="11" s="1"/>
  <c r="V90" i="11" s="1"/>
  <c r="V106" i="11"/>
  <c r="T32" i="11"/>
  <c r="S31" i="11"/>
  <c r="M62" i="2"/>
  <c r="M109" i="2"/>
  <c r="Q61" i="2"/>
  <c r="Q72" i="2" s="1"/>
  <c r="Q92" i="2" s="1"/>
  <c r="Q108" i="2"/>
  <c r="A53" i="2"/>
  <c r="U106" i="2"/>
  <c r="U59" i="2"/>
  <c r="U70" i="2" s="1"/>
  <c r="U90" i="2" s="1"/>
  <c r="S32" i="2"/>
  <c r="R31" i="2"/>
  <c r="S107" i="2"/>
  <c r="S60" i="2"/>
  <c r="W24" i="2"/>
  <c r="V25" i="2"/>
  <c r="V23" i="2" s="1"/>
  <c r="O37" i="2"/>
  <c r="N41" i="2"/>
  <c r="N38" i="2" s="1"/>
  <c r="U28" i="2"/>
  <c r="T29" i="2"/>
  <c r="T27" i="2" s="1"/>
  <c r="P39" i="2"/>
  <c r="O40" i="2"/>
  <c r="Q35" i="2"/>
  <c r="P36" i="2"/>
  <c r="N34" i="2"/>
  <c r="M73" i="2" l="1"/>
  <c r="Z401" i="2"/>
  <c r="Z421" i="2" s="1"/>
  <c r="AC421" i="2" s="1" a="1"/>
  <c r="AC421" i="2" s="1"/>
  <c r="Z342" i="2"/>
  <c r="Z382" i="2" s="1"/>
  <c r="Z411" i="2" s="1"/>
  <c r="AC419" i="2" a="1"/>
  <c r="AC419" i="2" s="1"/>
  <c r="AC415" i="2" a="1"/>
  <c r="AC415" i="2" s="1"/>
  <c r="AC416" i="2" a="1"/>
  <c r="AC416" i="2" s="1"/>
  <c r="AC424" i="2" a="1"/>
  <c r="AC424" i="2" s="1"/>
  <c r="AC422" i="2" a="1"/>
  <c r="AC422" i="2" s="1"/>
  <c r="O46" i="14"/>
  <c r="N45" i="14"/>
  <c r="X383" i="2"/>
  <c r="X393" i="2" s="1"/>
  <c r="X382" i="2"/>
  <c r="X411" i="2" s="1"/>
  <c r="X412" i="2" s="1"/>
  <c r="X439" i="2"/>
  <c r="Z383" i="2"/>
  <c r="Z393" i="2" s="1"/>
  <c r="Z503" i="2"/>
  <c r="Z523" i="2" s="1"/>
  <c r="Z537" i="2" s="1"/>
  <c r="Y523" i="2"/>
  <c r="Z403" i="2"/>
  <c r="Z423" i="2" s="1"/>
  <c r="AC423" i="2" s="1" a="1"/>
  <c r="AC423" i="2" s="1"/>
  <c r="O74" i="14"/>
  <c r="N94" i="14"/>
  <c r="M111" i="14"/>
  <c r="M103" i="14" s="1"/>
  <c r="M64" i="14"/>
  <c r="M75" i="14" s="1"/>
  <c r="M95" i="14" s="1"/>
  <c r="U414" i="2"/>
  <c r="U428" i="2" s="1"/>
  <c r="V394" i="2"/>
  <c r="Y342" i="2"/>
  <c r="S71" i="2"/>
  <c r="S91" i="2" s="1"/>
  <c r="O33" i="14"/>
  <c r="O62" i="14" s="1"/>
  <c r="O73" i="14" s="1"/>
  <c r="O93" i="14" s="1"/>
  <c r="G49" i="14"/>
  <c r="G50" i="14" s="1"/>
  <c r="G65" i="14" s="1"/>
  <c r="G76" i="14" s="1"/>
  <c r="G96" i="14" s="1"/>
  <c r="K75" i="2"/>
  <c r="K95" i="2" s="1"/>
  <c r="G67" i="11"/>
  <c r="G66" i="11"/>
  <c r="H112" i="11"/>
  <c r="H56" i="11"/>
  <c r="H66" i="11" s="1"/>
  <c r="H55" i="11"/>
  <c r="H84" i="11" s="1"/>
  <c r="H85" i="11" s="1"/>
  <c r="H99" i="11" s="1"/>
  <c r="L48" i="11"/>
  <c r="M48" i="11" s="1"/>
  <c r="K49" i="11"/>
  <c r="K50" i="11" s="1"/>
  <c r="K65" i="11" s="1"/>
  <c r="J76" i="11"/>
  <c r="J96" i="11" s="1"/>
  <c r="Z194" i="2"/>
  <c r="Z208" i="2" s="1"/>
  <c r="V70" i="14"/>
  <c r="V90" i="14" s="1"/>
  <c r="Z319" i="2"/>
  <c r="C224" i="2" s="1"/>
  <c r="Y196" i="2"/>
  <c r="Z176" i="2"/>
  <c r="Z196" i="2" s="1"/>
  <c r="N33" i="2"/>
  <c r="N62" i="2" s="1"/>
  <c r="N73" i="2" s="1"/>
  <c r="L94" i="2"/>
  <c r="M74" i="2"/>
  <c r="L111" i="2"/>
  <c r="L103" i="2" s="1"/>
  <c r="L64" i="2"/>
  <c r="N46" i="2"/>
  <c r="M45" i="2"/>
  <c r="M20" i="14"/>
  <c r="AA20" i="14"/>
  <c r="U20" i="14"/>
  <c r="H20" i="14"/>
  <c r="Z20" i="14"/>
  <c r="F79" i="14"/>
  <c r="F82" i="14" s="1"/>
  <c r="G82" i="14" s="1"/>
  <c r="O20" i="14"/>
  <c r="T20" i="14"/>
  <c r="K20" i="14"/>
  <c r="N20" i="14"/>
  <c r="W20" i="14"/>
  <c r="Y20" i="14"/>
  <c r="X20" i="14"/>
  <c r="S20" i="14"/>
  <c r="V20" i="14"/>
  <c r="G20" i="14"/>
  <c r="I20" i="14"/>
  <c r="F52" i="14"/>
  <c r="P20" i="14"/>
  <c r="L20" i="14"/>
  <c r="Q20" i="14"/>
  <c r="R20" i="14"/>
  <c r="J20" i="14"/>
  <c r="H48" i="14"/>
  <c r="S35" i="14"/>
  <c r="R36" i="14"/>
  <c r="U107" i="14"/>
  <c r="U60" i="14"/>
  <c r="U71" i="14" s="1"/>
  <c r="U91" i="14" s="1"/>
  <c r="Q37" i="14"/>
  <c r="Q34" i="14" s="1"/>
  <c r="P41" i="14"/>
  <c r="P38" i="14" s="1"/>
  <c r="P33" i="14" s="1"/>
  <c r="W28" i="14"/>
  <c r="V29" i="14"/>
  <c r="V27" i="14" s="1"/>
  <c r="O109" i="14"/>
  <c r="S108" i="14"/>
  <c r="S61" i="14"/>
  <c r="S72" i="14" s="1"/>
  <c r="S92" i="14" s="1"/>
  <c r="X59" i="14"/>
  <c r="X106" i="14"/>
  <c r="U32" i="14"/>
  <c r="T31" i="14"/>
  <c r="Z24" i="14"/>
  <c r="Z25" i="14" s="1"/>
  <c r="Z23" i="14" s="1"/>
  <c r="Y25" i="14"/>
  <c r="Y23" i="14" s="1"/>
  <c r="A55" i="14"/>
  <c r="R39" i="14"/>
  <c r="Q40" i="14"/>
  <c r="J55" i="11"/>
  <c r="J84" i="11" s="1"/>
  <c r="J56" i="11"/>
  <c r="J66" i="11" s="1"/>
  <c r="J112" i="11"/>
  <c r="O62" i="11"/>
  <c r="O73" i="11" s="1"/>
  <c r="O93" i="11" s="1"/>
  <c r="O109" i="11"/>
  <c r="J82" i="11"/>
  <c r="I98" i="11"/>
  <c r="Q37" i="11"/>
  <c r="Q34" i="11" s="1"/>
  <c r="P41" i="11"/>
  <c r="P38" i="11" s="1"/>
  <c r="P33" i="11" s="1"/>
  <c r="W59" i="11"/>
  <c r="W70" i="11" s="1"/>
  <c r="W90" i="11" s="1"/>
  <c r="W106" i="11"/>
  <c r="Y24" i="11"/>
  <c r="X25" i="11"/>
  <c r="X23" i="11" s="1"/>
  <c r="R39" i="11"/>
  <c r="Q40" i="11"/>
  <c r="U60" i="11"/>
  <c r="U71" i="11" s="1"/>
  <c r="U91" i="11" s="1"/>
  <c r="U107" i="11"/>
  <c r="S61" i="11"/>
  <c r="S72" i="11" s="1"/>
  <c r="S92" i="11" s="1"/>
  <c r="S108" i="11"/>
  <c r="W28" i="11"/>
  <c r="V29" i="11"/>
  <c r="V27" i="11" s="1"/>
  <c r="U32" i="11"/>
  <c r="T31" i="11"/>
  <c r="H81" i="11"/>
  <c r="G97" i="11"/>
  <c r="S35" i="11"/>
  <c r="R36" i="11"/>
  <c r="A54" i="2"/>
  <c r="F53" i="2"/>
  <c r="V28" i="2"/>
  <c r="U29" i="2"/>
  <c r="U27" i="2" s="1"/>
  <c r="Q39" i="2"/>
  <c r="P40" i="2"/>
  <c r="M93" i="2"/>
  <c r="R108" i="2"/>
  <c r="R61" i="2"/>
  <c r="R72" i="2" s="1"/>
  <c r="R92" i="2" s="1"/>
  <c r="T107" i="2"/>
  <c r="T60" i="2"/>
  <c r="P37" i="2"/>
  <c r="O41" i="2"/>
  <c r="O38" i="2" s="1"/>
  <c r="T32" i="2"/>
  <c r="S31" i="2"/>
  <c r="R35" i="2"/>
  <c r="Q36" i="2"/>
  <c r="V59" i="2"/>
  <c r="V70" i="2" s="1"/>
  <c r="V90" i="2" s="1"/>
  <c r="V106" i="2"/>
  <c r="O34" i="2"/>
  <c r="X24" i="2"/>
  <c r="W25" i="2"/>
  <c r="W23" i="2" s="1"/>
  <c r="Z439" i="2" l="1"/>
  <c r="K76" i="11"/>
  <c r="K96" i="11" s="1"/>
  <c r="T71" i="2"/>
  <c r="T91" i="2" s="1"/>
  <c r="O94" i="14"/>
  <c r="P74" i="14"/>
  <c r="X426" i="2"/>
  <c r="Y439" i="2"/>
  <c r="Y383" i="2"/>
  <c r="Y393" i="2" s="1"/>
  <c r="C333" i="2" s="1"/>
  <c r="Y382" i="2"/>
  <c r="Y411" i="2" s="1"/>
  <c r="Y412" i="2" s="1"/>
  <c r="V414" i="2"/>
  <c r="W394" i="2"/>
  <c r="AC523" i="2" a="1"/>
  <c r="AC523" i="2" s="1"/>
  <c r="Y537" i="2"/>
  <c r="L75" i="2"/>
  <c r="L95" i="2" s="1"/>
  <c r="N64" i="14"/>
  <c r="N75" i="14" s="1"/>
  <c r="N95" i="14" s="1"/>
  <c r="N111" i="14"/>
  <c r="N103" i="14" s="1"/>
  <c r="P46" i="14"/>
  <c r="O45" i="14"/>
  <c r="I85" i="11"/>
  <c r="I99" i="11" s="1"/>
  <c r="G15" i="14"/>
  <c r="G56" i="14" s="1"/>
  <c r="H49" i="14"/>
  <c r="H50" i="14" s="1"/>
  <c r="H65" i="14" s="1"/>
  <c r="H76" i="14" s="1"/>
  <c r="H96" i="14" s="1"/>
  <c r="K15" i="11"/>
  <c r="K56" i="11" s="1"/>
  <c r="K66" i="11" s="1"/>
  <c r="L49" i="11"/>
  <c r="L50" i="11" s="1"/>
  <c r="L65" i="11" s="1"/>
  <c r="L76" i="11" s="1"/>
  <c r="L96" i="11" s="1"/>
  <c r="M49" i="11"/>
  <c r="M50" i="11" s="1"/>
  <c r="M65" i="11" s="1"/>
  <c r="H67" i="11"/>
  <c r="G87" i="11"/>
  <c r="G101" i="11" s="1"/>
  <c r="I48" i="14"/>
  <c r="N109" i="2"/>
  <c r="Z210" i="2"/>
  <c r="W70" i="14"/>
  <c r="W90" i="14" s="1"/>
  <c r="AC196" i="2" a="1"/>
  <c r="AC196" i="2" s="1"/>
  <c r="Y210" i="2"/>
  <c r="O33" i="2"/>
  <c r="O109" i="2" s="1"/>
  <c r="M94" i="2"/>
  <c r="N74" i="2"/>
  <c r="M111" i="2"/>
  <c r="M103" i="2" s="1"/>
  <c r="M64" i="2"/>
  <c r="O46" i="2"/>
  <c r="N45" i="2"/>
  <c r="J48" i="14"/>
  <c r="V32" i="14"/>
  <c r="U31" i="14"/>
  <c r="A56" i="14"/>
  <c r="F78" i="14"/>
  <c r="F55" i="14"/>
  <c r="F84" i="14" s="1"/>
  <c r="F85" i="14" s="1"/>
  <c r="V60" i="14"/>
  <c r="V71" i="14" s="1"/>
  <c r="V91" i="14" s="1"/>
  <c r="V107" i="14"/>
  <c r="K48" i="14"/>
  <c r="K49" i="14" s="1"/>
  <c r="K50" i="14" s="1"/>
  <c r="K65" i="14" s="1"/>
  <c r="S39" i="14"/>
  <c r="R40" i="14"/>
  <c r="Y106" i="14"/>
  <c r="Y59" i="14"/>
  <c r="X28" i="14"/>
  <c r="W29" i="14"/>
  <c r="W27" i="14" s="1"/>
  <c r="T35" i="14"/>
  <c r="S36" i="14"/>
  <c r="Z59" i="14"/>
  <c r="Z106" i="14"/>
  <c r="P62" i="14"/>
  <c r="P73" i="14" s="1"/>
  <c r="P93" i="14" s="1"/>
  <c r="P109" i="14"/>
  <c r="T108" i="14"/>
  <c r="T61" i="14"/>
  <c r="T72" i="14" s="1"/>
  <c r="T92" i="14" s="1"/>
  <c r="Q41" i="14"/>
  <c r="Q38" i="14" s="1"/>
  <c r="Q33" i="14" s="1"/>
  <c r="R37" i="14"/>
  <c r="R34" i="14" s="1"/>
  <c r="H82" i="14"/>
  <c r="G98" i="14"/>
  <c r="T61" i="11"/>
  <c r="T72" i="11" s="1"/>
  <c r="T92" i="11" s="1"/>
  <c r="T108" i="11"/>
  <c r="X106" i="11"/>
  <c r="X59" i="11"/>
  <c r="X70" i="11" s="1"/>
  <c r="X90" i="11" s="1"/>
  <c r="R37" i="11"/>
  <c r="R34" i="11" s="1"/>
  <c r="Q41" i="11"/>
  <c r="Q38" i="11" s="1"/>
  <c r="Q33" i="11" s="1"/>
  <c r="V32" i="11"/>
  <c r="U31" i="11"/>
  <c r="Z24" i="11"/>
  <c r="Z25" i="11" s="1"/>
  <c r="Z23" i="11" s="1"/>
  <c r="Y25" i="11"/>
  <c r="Y23" i="11" s="1"/>
  <c r="X28" i="11"/>
  <c r="W29" i="11"/>
  <c r="W27" i="11" s="1"/>
  <c r="S39" i="11"/>
  <c r="R40" i="11"/>
  <c r="N48" i="11"/>
  <c r="N49" i="11" s="1"/>
  <c r="N50" i="11" s="1"/>
  <c r="N65" i="11" s="1"/>
  <c r="V107" i="11"/>
  <c r="V60" i="11"/>
  <c r="V71" i="11" s="1"/>
  <c r="V91" i="11" s="1"/>
  <c r="T35" i="11"/>
  <c r="S36" i="11"/>
  <c r="K82" i="11"/>
  <c r="J98" i="11"/>
  <c r="P62" i="11"/>
  <c r="P73" i="11" s="1"/>
  <c r="P93" i="11" s="1"/>
  <c r="P109" i="11"/>
  <c r="I81" i="11"/>
  <c r="H97" i="11"/>
  <c r="J20" i="2"/>
  <c r="U20" i="2"/>
  <c r="Z20" i="2"/>
  <c r="O20" i="2"/>
  <c r="X20" i="2"/>
  <c r="AA20" i="2"/>
  <c r="F79" i="2"/>
  <c r="F82" i="2" s="1"/>
  <c r="G82" i="2" s="1"/>
  <c r="K20" i="2"/>
  <c r="I20" i="2"/>
  <c r="R20" i="2"/>
  <c r="F52" i="2"/>
  <c r="N20" i="2"/>
  <c r="S20" i="2"/>
  <c r="T20" i="2"/>
  <c r="M20" i="2"/>
  <c r="L20" i="2"/>
  <c r="W20" i="2"/>
  <c r="H20" i="2"/>
  <c r="V20" i="2"/>
  <c r="G20" i="2"/>
  <c r="Y20" i="2"/>
  <c r="P20" i="2"/>
  <c r="Q20" i="2"/>
  <c r="G48" i="2"/>
  <c r="G49" i="2" s="1"/>
  <c r="U32" i="2"/>
  <c r="T31" i="2"/>
  <c r="A55" i="2"/>
  <c r="R39" i="2"/>
  <c r="Q40" i="2"/>
  <c r="Y24" i="2"/>
  <c r="X25" i="2"/>
  <c r="X23" i="2" s="1"/>
  <c r="P41" i="2"/>
  <c r="P38" i="2" s="1"/>
  <c r="Q37" i="2"/>
  <c r="Q34" i="2" s="1"/>
  <c r="S35" i="2"/>
  <c r="R36" i="2"/>
  <c r="U60" i="2"/>
  <c r="U71" i="2" s="1"/>
  <c r="U91" i="2" s="1"/>
  <c r="U107" i="2"/>
  <c r="P34" i="2"/>
  <c r="N93" i="2"/>
  <c r="W59" i="2"/>
  <c r="W70" i="2" s="1"/>
  <c r="W90" i="2" s="1"/>
  <c r="W106" i="2"/>
  <c r="S108" i="2"/>
  <c r="S61" i="2"/>
  <c r="S72" i="2" s="1"/>
  <c r="S92" i="2" s="1"/>
  <c r="W28" i="2"/>
  <c r="V29" i="2"/>
  <c r="V27" i="2" s="1"/>
  <c r="J85" i="11" l="1"/>
  <c r="M75" i="2"/>
  <c r="M95" i="2" s="1"/>
  <c r="G55" i="14"/>
  <c r="G84" i="14" s="1"/>
  <c r="G85" i="14" s="1"/>
  <c r="G99" i="14" s="1"/>
  <c r="G112" i="14"/>
  <c r="Y426" i="2"/>
  <c r="Z412" i="2"/>
  <c r="Z426" i="2" s="1"/>
  <c r="P94" i="14"/>
  <c r="Q74" i="14"/>
  <c r="W414" i="2"/>
  <c r="W428" i="2" s="1"/>
  <c r="X394" i="2"/>
  <c r="O64" i="14"/>
  <c r="O75" i="14" s="1"/>
  <c r="O95" i="14" s="1"/>
  <c r="O111" i="14"/>
  <c r="O103" i="14" s="1"/>
  <c r="V428" i="2"/>
  <c r="Q46" i="14"/>
  <c r="P45" i="14"/>
  <c r="K112" i="11"/>
  <c r="K55" i="11"/>
  <c r="K84" i="11" s="1"/>
  <c r="K85" i="11" s="1"/>
  <c r="M76" i="11"/>
  <c r="M96" i="11" s="1"/>
  <c r="J49" i="14"/>
  <c r="J50" i="14" s="1"/>
  <c r="J65" i="14" s="1"/>
  <c r="I49" i="14"/>
  <c r="I50" i="14" s="1"/>
  <c r="I65" i="14" s="1"/>
  <c r="I76" i="14" s="1"/>
  <c r="I96" i="14" s="1"/>
  <c r="G67" i="14"/>
  <c r="G87" i="14" s="1"/>
  <c r="G66" i="14"/>
  <c r="H15" i="14"/>
  <c r="I67" i="11"/>
  <c r="H87" i="11"/>
  <c r="H101" i="11" s="1"/>
  <c r="L15" i="11"/>
  <c r="M15" i="11"/>
  <c r="O62" i="2"/>
  <c r="O73" i="2" s="1"/>
  <c r="O93" i="2" s="1"/>
  <c r="X70" i="14"/>
  <c r="X90" i="14" s="1"/>
  <c r="P33" i="2"/>
  <c r="P62" i="2" s="1"/>
  <c r="N94" i="2"/>
  <c r="O74" i="2"/>
  <c r="N64" i="2"/>
  <c r="N75" i="2" s="1"/>
  <c r="N95" i="2" s="1"/>
  <c r="N111" i="2"/>
  <c r="N103" i="2" s="1"/>
  <c r="P46" i="2"/>
  <c r="O45" i="2"/>
  <c r="Q62" i="14"/>
  <c r="Q73" i="14" s="1"/>
  <c r="Q93" i="14" s="1"/>
  <c r="Q109" i="14"/>
  <c r="T39" i="14"/>
  <c r="S40" i="14"/>
  <c r="F81" i="14"/>
  <c r="G81" i="14" s="1"/>
  <c r="F80" i="14"/>
  <c r="U61" i="14"/>
  <c r="U72" i="14" s="1"/>
  <c r="U92" i="14" s="1"/>
  <c r="U108" i="14"/>
  <c r="S37" i="14"/>
  <c r="R41" i="14"/>
  <c r="R38" i="14" s="1"/>
  <c r="R33" i="14" s="1"/>
  <c r="U35" i="14"/>
  <c r="T36" i="14"/>
  <c r="L48" i="14"/>
  <c r="L49" i="14" s="1"/>
  <c r="L50" i="14" s="1"/>
  <c r="L65" i="14" s="1"/>
  <c r="W32" i="14"/>
  <c r="V31" i="14"/>
  <c r="W107" i="14"/>
  <c r="W60" i="14"/>
  <c r="W71" i="14" s="1"/>
  <c r="W91" i="14" s="1"/>
  <c r="K15" i="14"/>
  <c r="Y28" i="14"/>
  <c r="X29" i="14"/>
  <c r="X27" i="14" s="1"/>
  <c r="I82" i="14"/>
  <c r="H98" i="14"/>
  <c r="A57" i="14"/>
  <c r="U35" i="11"/>
  <c r="T36" i="11"/>
  <c r="N15" i="11"/>
  <c r="Z59" i="11"/>
  <c r="Z106" i="11"/>
  <c r="U108" i="11"/>
  <c r="U61" i="11"/>
  <c r="U72" i="11" s="1"/>
  <c r="U92" i="11" s="1"/>
  <c r="J81" i="11"/>
  <c r="I97" i="11"/>
  <c r="J99" i="11"/>
  <c r="W32" i="11"/>
  <c r="V31" i="11"/>
  <c r="Q62" i="11"/>
  <c r="Q73" i="11" s="1"/>
  <c r="Q93" i="11" s="1"/>
  <c r="Q109" i="11"/>
  <c r="L82" i="11"/>
  <c r="K98" i="11"/>
  <c r="O48" i="11"/>
  <c r="O49" i="11" s="1"/>
  <c r="O50" i="11" s="1"/>
  <c r="O65" i="11" s="1"/>
  <c r="T39" i="11"/>
  <c r="S40" i="11"/>
  <c r="S37" i="11"/>
  <c r="S34" i="11" s="1"/>
  <c r="R41" i="11"/>
  <c r="R38" i="11" s="1"/>
  <c r="R33" i="11" s="1"/>
  <c r="W60" i="11"/>
  <c r="W71" i="11" s="1"/>
  <c r="W91" i="11" s="1"/>
  <c r="W107" i="11"/>
  <c r="Y28" i="11"/>
  <c r="X29" i="11"/>
  <c r="X27" i="11" s="1"/>
  <c r="Y106" i="11"/>
  <c r="Y59" i="11"/>
  <c r="Y70" i="11" s="1"/>
  <c r="H48" i="2"/>
  <c r="I48" i="2"/>
  <c r="I49" i="2" s="1"/>
  <c r="I50" i="2" s="1"/>
  <c r="I65" i="2" s="1"/>
  <c r="T61" i="2"/>
  <c r="T72" i="2" s="1"/>
  <c r="T92" i="2" s="1"/>
  <c r="T108" i="2"/>
  <c r="X106" i="2"/>
  <c r="X59" i="2"/>
  <c r="X70" i="2" s="1"/>
  <c r="X90" i="2" s="1"/>
  <c r="V32" i="2"/>
  <c r="U31" i="2"/>
  <c r="G50" i="2"/>
  <c r="G65" i="2" s="1"/>
  <c r="G76" i="2" s="1"/>
  <c r="G96" i="2" s="1"/>
  <c r="F78" i="2"/>
  <c r="F55" i="2"/>
  <c r="F84" i="2" s="1"/>
  <c r="F85" i="2" s="1"/>
  <c r="Z24" i="2"/>
  <c r="Z25" i="2" s="1"/>
  <c r="Z23" i="2" s="1"/>
  <c r="Y25" i="2"/>
  <c r="Y23" i="2" s="1"/>
  <c r="S39" i="2"/>
  <c r="R40" i="2"/>
  <c r="T35" i="2"/>
  <c r="S36" i="2"/>
  <c r="A56" i="2"/>
  <c r="H82" i="2"/>
  <c r="G98" i="2"/>
  <c r="V60" i="2"/>
  <c r="V71" i="2" s="1"/>
  <c r="V91" i="2" s="1"/>
  <c r="V107" i="2"/>
  <c r="X28" i="2"/>
  <c r="W29" i="2"/>
  <c r="W27" i="2" s="1"/>
  <c r="Q41" i="2"/>
  <c r="Q38" i="2" s="1"/>
  <c r="Q33" i="2" s="1"/>
  <c r="R37" i="2"/>
  <c r="R34" i="2" s="1"/>
  <c r="N76" i="11" l="1"/>
  <c r="N96" i="11" s="1"/>
  <c r="AC426" i="2" a="1"/>
  <c r="AC426" i="2" s="1"/>
  <c r="P64" i="14"/>
  <c r="P75" i="14" s="1"/>
  <c r="P95" i="14" s="1"/>
  <c r="P111" i="14"/>
  <c r="P103" i="14" s="1"/>
  <c r="Q94" i="14"/>
  <c r="R74" i="14"/>
  <c r="R46" i="14"/>
  <c r="Q45" i="14"/>
  <c r="X414" i="2"/>
  <c r="Y394" i="2"/>
  <c r="P73" i="2"/>
  <c r="J76" i="14"/>
  <c r="J96" i="14" s="1"/>
  <c r="J15" i="14"/>
  <c r="J56" i="14" s="1"/>
  <c r="J66" i="14" s="1"/>
  <c r="I15" i="14"/>
  <c r="H55" i="14"/>
  <c r="H84" i="14" s="1"/>
  <c r="H85" i="14" s="1"/>
  <c r="H99" i="14" s="1"/>
  <c r="H56" i="14"/>
  <c r="H66" i="14" s="1"/>
  <c r="H112" i="14"/>
  <c r="P109" i="2"/>
  <c r="M112" i="11"/>
  <c r="M56" i="11"/>
  <c r="M66" i="11" s="1"/>
  <c r="M55" i="11"/>
  <c r="M84" i="11" s="1"/>
  <c r="L56" i="11"/>
  <c r="L66" i="11" s="1"/>
  <c r="L55" i="11"/>
  <c r="L84" i="11" s="1"/>
  <c r="L85" i="11" s="1"/>
  <c r="L112" i="11"/>
  <c r="J67" i="11"/>
  <c r="I87" i="11"/>
  <c r="I101" i="11" s="1"/>
  <c r="Y70" i="14"/>
  <c r="O94" i="2"/>
  <c r="P74" i="2"/>
  <c r="O111" i="2"/>
  <c r="O103" i="2" s="1"/>
  <c r="O64" i="2"/>
  <c r="O75" i="2" s="1"/>
  <c r="O95" i="2" s="1"/>
  <c r="Q46" i="2"/>
  <c r="R46" i="2" s="1"/>
  <c r="S46" i="2" s="1"/>
  <c r="T46" i="2" s="1"/>
  <c r="U46" i="2" s="1"/>
  <c r="V46" i="2" s="1"/>
  <c r="W46" i="2" s="1"/>
  <c r="X46" i="2" s="1"/>
  <c r="Y46" i="2" s="1"/>
  <c r="Z46" i="2" s="1"/>
  <c r="P45" i="2"/>
  <c r="J48" i="2"/>
  <c r="J49" i="2" s="1"/>
  <c r="J50" i="2" s="1"/>
  <c r="J65" i="2" s="1"/>
  <c r="J82" i="14"/>
  <c r="I98" i="14"/>
  <c r="V35" i="14"/>
  <c r="U36" i="14"/>
  <c r="X107" i="14"/>
  <c r="X60" i="14"/>
  <c r="X71" i="14" s="1"/>
  <c r="X91" i="14" s="1"/>
  <c r="R62" i="14"/>
  <c r="R73" i="14" s="1"/>
  <c r="R93" i="14" s="1"/>
  <c r="R109" i="14"/>
  <c r="U39" i="14"/>
  <c r="T40" i="14"/>
  <c r="Z28" i="14"/>
  <c r="Z29" i="14" s="1"/>
  <c r="Z27" i="14" s="1"/>
  <c r="Y29" i="14"/>
  <c r="Y27" i="14" s="1"/>
  <c r="S41" i="14"/>
  <c r="S38" i="14" s="1"/>
  <c r="T37" i="14"/>
  <c r="T34" i="14" s="1"/>
  <c r="S34" i="14"/>
  <c r="A58" i="14"/>
  <c r="X32" i="14"/>
  <c r="W31" i="14"/>
  <c r="L15" i="14"/>
  <c r="K56" i="14"/>
  <c r="K66" i="14" s="1"/>
  <c r="K55" i="14"/>
  <c r="K84" i="14" s="1"/>
  <c r="K112" i="14"/>
  <c r="V108" i="14"/>
  <c r="V61" i="14"/>
  <c r="V72" i="14" s="1"/>
  <c r="V92" i="14" s="1"/>
  <c r="H81" i="14"/>
  <c r="G97" i="14"/>
  <c r="G101" i="14" s="1"/>
  <c r="M48" i="14"/>
  <c r="M49" i="14" s="1"/>
  <c r="M50" i="14" s="1"/>
  <c r="M65" i="14" s="1"/>
  <c r="M82" i="11"/>
  <c r="L98" i="11"/>
  <c r="X60" i="11"/>
  <c r="X71" i="11" s="1"/>
  <c r="X91" i="11" s="1"/>
  <c r="X107" i="11"/>
  <c r="R62" i="11"/>
  <c r="R73" i="11" s="1"/>
  <c r="R93" i="11" s="1"/>
  <c r="R109" i="11"/>
  <c r="K99" i="11"/>
  <c r="Z28" i="11"/>
  <c r="Z29" i="11" s="1"/>
  <c r="Z27" i="11" s="1"/>
  <c r="Y29" i="11"/>
  <c r="Y27" i="11" s="1"/>
  <c r="T37" i="11"/>
  <c r="T34" i="11" s="1"/>
  <c r="S41" i="11"/>
  <c r="S38" i="11" s="1"/>
  <c r="S33" i="11" s="1"/>
  <c r="K81" i="11"/>
  <c r="J97" i="11"/>
  <c r="N112" i="11"/>
  <c r="N56" i="11"/>
  <c r="N66" i="11" s="1"/>
  <c r="N55" i="11"/>
  <c r="N84" i="11" s="1"/>
  <c r="V108" i="11"/>
  <c r="V61" i="11"/>
  <c r="V72" i="11" s="1"/>
  <c r="V92" i="11" s="1"/>
  <c r="V35" i="11"/>
  <c r="U36" i="11"/>
  <c r="Z70" i="11"/>
  <c r="Z90" i="11" s="1"/>
  <c r="Y90" i="11"/>
  <c r="U39" i="11"/>
  <c r="T40" i="11"/>
  <c r="X32" i="11"/>
  <c r="W31" i="11"/>
  <c r="O15" i="11"/>
  <c r="P48" i="11"/>
  <c r="H49" i="2"/>
  <c r="H50" i="2" s="1"/>
  <c r="H65" i="2" s="1"/>
  <c r="H76" i="2" s="1"/>
  <c r="H96" i="2" s="1"/>
  <c r="K48" i="2"/>
  <c r="I15" i="2"/>
  <c r="I56" i="2" s="1"/>
  <c r="I66" i="2" s="1"/>
  <c r="G15" i="2"/>
  <c r="G112" i="2" s="1"/>
  <c r="Q62" i="2"/>
  <c r="Q73" i="2" s="1"/>
  <c r="Q109" i="2"/>
  <c r="U35" i="2"/>
  <c r="T36" i="2"/>
  <c r="W60" i="2"/>
  <c r="W71" i="2" s="1"/>
  <c r="W91" i="2" s="1"/>
  <c r="W107" i="2"/>
  <c r="U108" i="2"/>
  <c r="U61" i="2"/>
  <c r="U72" i="2" s="1"/>
  <c r="U92" i="2" s="1"/>
  <c r="Y28" i="2"/>
  <c r="X29" i="2"/>
  <c r="X27" i="2" s="1"/>
  <c r="T39" i="2"/>
  <c r="S40" i="2"/>
  <c r="F80" i="2"/>
  <c r="F81" i="2"/>
  <c r="G81" i="2" s="1"/>
  <c r="W32" i="2"/>
  <c r="V31" i="2"/>
  <c r="Y59" i="2"/>
  <c r="Y70" i="2" s="1"/>
  <c r="Y106" i="2"/>
  <c r="Z59" i="2"/>
  <c r="Z106" i="2"/>
  <c r="P93" i="2"/>
  <c r="A57" i="2"/>
  <c r="R41" i="2"/>
  <c r="R38" i="2" s="1"/>
  <c r="R33" i="2" s="1"/>
  <c r="S37" i="2"/>
  <c r="I82" i="2"/>
  <c r="H98" i="2"/>
  <c r="O76" i="11" l="1"/>
  <c r="O96" i="11" s="1"/>
  <c r="Q111" i="14"/>
  <c r="Q103" i="14" s="1"/>
  <c r="Q64" i="14"/>
  <c r="Q75" i="14" s="1"/>
  <c r="Q95" i="14" s="1"/>
  <c r="S46" i="14"/>
  <c r="T46" i="14" s="1"/>
  <c r="U46" i="14" s="1"/>
  <c r="V46" i="14" s="1"/>
  <c r="W46" i="14" s="1"/>
  <c r="X46" i="14" s="1"/>
  <c r="Y46" i="14" s="1"/>
  <c r="Z46" i="14" s="1"/>
  <c r="R45" i="14"/>
  <c r="R94" i="14"/>
  <c r="AC94" i="14" s="1" a="1"/>
  <c r="AC94" i="14" s="1"/>
  <c r="S74" i="14"/>
  <c r="Y414" i="2"/>
  <c r="Y428" i="2" s="1"/>
  <c r="Z394" i="2"/>
  <c r="Z414" i="2" s="1"/>
  <c r="Z428" i="2" s="1"/>
  <c r="X428" i="2"/>
  <c r="S33" i="14"/>
  <c r="S62" i="14" s="1"/>
  <c r="S73" i="14" s="1"/>
  <c r="S93" i="14" s="1"/>
  <c r="K76" i="14"/>
  <c r="K96" i="14" s="1"/>
  <c r="J55" i="14"/>
  <c r="J84" i="14" s="1"/>
  <c r="J112" i="14"/>
  <c r="I56" i="14"/>
  <c r="I66" i="14" s="1"/>
  <c r="I55" i="14"/>
  <c r="I84" i="14" s="1"/>
  <c r="I85" i="14" s="1"/>
  <c r="I112" i="14"/>
  <c r="H67" i="14"/>
  <c r="K67" i="11"/>
  <c r="J87" i="11"/>
  <c r="J101" i="11" s="1"/>
  <c r="Q48" i="11"/>
  <c r="P49" i="11"/>
  <c r="P50" i="11" s="1"/>
  <c r="P65" i="11" s="1"/>
  <c r="P76" i="11" s="1"/>
  <c r="P96" i="11" s="1"/>
  <c r="Z70" i="14"/>
  <c r="Z90" i="14" s="1"/>
  <c r="Y90" i="14"/>
  <c r="I55" i="2"/>
  <c r="I84" i="2" s="1"/>
  <c r="I112" i="2"/>
  <c r="P94" i="2"/>
  <c r="AC94" i="2" s="1" a="1"/>
  <c r="AC94" i="2" s="1"/>
  <c r="Q74" i="2"/>
  <c r="J15" i="2"/>
  <c r="J55" i="2" s="1"/>
  <c r="J84" i="2" s="1"/>
  <c r="A58" i="2"/>
  <c r="P64" i="2"/>
  <c r="P75" i="2" s="1"/>
  <c r="P111" i="2"/>
  <c r="P103" i="2" s="1"/>
  <c r="A59" i="14"/>
  <c r="S109" i="14"/>
  <c r="W108" i="14"/>
  <c r="W61" i="14"/>
  <c r="W72" i="14" s="1"/>
  <c r="W92" i="14" s="1"/>
  <c r="M15" i="14"/>
  <c r="N48" i="14"/>
  <c r="N49" i="14" s="1"/>
  <c r="N50" i="14" s="1"/>
  <c r="N65" i="14" s="1"/>
  <c r="I81" i="14"/>
  <c r="H97" i="14"/>
  <c r="Y60" i="14"/>
  <c r="Y71" i="14" s="1"/>
  <c r="Y107" i="14"/>
  <c r="L112" i="14"/>
  <c r="L55" i="14"/>
  <c r="L84" i="14" s="1"/>
  <c r="L56" i="14"/>
  <c r="L66" i="14" s="1"/>
  <c r="Z107" i="14"/>
  <c r="Z60" i="14"/>
  <c r="V39" i="14"/>
  <c r="U40" i="14"/>
  <c r="W35" i="14"/>
  <c r="V36" i="14"/>
  <c r="Y32" i="14"/>
  <c r="X31" i="14"/>
  <c r="K82" i="14"/>
  <c r="J98" i="14"/>
  <c r="U37" i="14"/>
  <c r="U34" i="14" s="1"/>
  <c r="T41" i="14"/>
  <c r="T38" i="14" s="1"/>
  <c r="T33" i="14" s="1"/>
  <c r="AC90" i="11" a="1"/>
  <c r="AC90" i="11" s="1"/>
  <c r="F48" i="12" s="1"/>
  <c r="L81" i="11"/>
  <c r="K97" i="11"/>
  <c r="N82" i="11"/>
  <c r="M98" i="11"/>
  <c r="W108" i="11"/>
  <c r="W61" i="11"/>
  <c r="W72" i="11" s="1"/>
  <c r="W92" i="11" s="1"/>
  <c r="V39" i="11"/>
  <c r="U40" i="11"/>
  <c r="T41" i="11"/>
  <c r="T38" i="11" s="1"/>
  <c r="T33" i="11" s="1"/>
  <c r="U37" i="11"/>
  <c r="U34" i="11" s="1"/>
  <c r="Y60" i="11"/>
  <c r="Y71" i="11" s="1"/>
  <c r="Y107" i="11"/>
  <c r="O55" i="11"/>
  <c r="O84" i="11" s="1"/>
  <c r="O56" i="11"/>
  <c r="O66" i="11" s="1"/>
  <c r="O112" i="11"/>
  <c r="Z60" i="11"/>
  <c r="Z107" i="11"/>
  <c r="W35" i="11"/>
  <c r="V36" i="11"/>
  <c r="Y32" i="11"/>
  <c r="X31" i="11"/>
  <c r="S62" i="11"/>
  <c r="S73" i="11" s="1"/>
  <c r="S93" i="11" s="1"/>
  <c r="S109" i="11"/>
  <c r="M85" i="11"/>
  <c r="M99" i="11" s="1"/>
  <c r="L99" i="11"/>
  <c r="H15" i="2"/>
  <c r="H112" i="2" s="1"/>
  <c r="G55" i="2"/>
  <c r="G84" i="2" s="1"/>
  <c r="G85" i="2" s="1"/>
  <c r="G99" i="2" s="1"/>
  <c r="K49" i="2"/>
  <c r="L48" i="2"/>
  <c r="G56" i="2"/>
  <c r="G67" i="2" s="1"/>
  <c r="I76" i="2"/>
  <c r="I96" i="2" s="1"/>
  <c r="R62" i="2"/>
  <c r="R73" i="2" s="1"/>
  <c r="R109" i="2"/>
  <c r="J82" i="2"/>
  <c r="I98" i="2"/>
  <c r="V108" i="2"/>
  <c r="V61" i="2"/>
  <c r="V72" i="2" s="1"/>
  <c r="V92" i="2" s="1"/>
  <c r="X32" i="2"/>
  <c r="W31" i="2"/>
  <c r="H81" i="2"/>
  <c r="G97" i="2"/>
  <c r="Q93" i="2"/>
  <c r="V35" i="2"/>
  <c r="U36" i="2"/>
  <c r="T37" i="2"/>
  <c r="S41" i="2"/>
  <c r="S38" i="2" s="1"/>
  <c r="U39" i="2"/>
  <c r="T40" i="2"/>
  <c r="S34" i="2"/>
  <c r="Z70" i="2"/>
  <c r="Z90" i="2" s="1"/>
  <c r="Y90" i="2"/>
  <c r="X107" i="2"/>
  <c r="X60" i="2"/>
  <c r="X71" i="2" s="1"/>
  <c r="Z28" i="2"/>
  <c r="Z29" i="2" s="1"/>
  <c r="Z27" i="2" s="1"/>
  <c r="Y29" i="2"/>
  <c r="Y27" i="2" s="1"/>
  <c r="L76" i="14" l="1"/>
  <c r="L96" i="14" s="1"/>
  <c r="S94" i="14"/>
  <c r="T74" i="14"/>
  <c r="R64" i="14"/>
  <c r="R75" i="14" s="1"/>
  <c r="R111" i="14"/>
  <c r="R103" i="14" s="1"/>
  <c r="AC414" i="2" a="1"/>
  <c r="AC414" i="2" s="1"/>
  <c r="I99" i="14"/>
  <c r="J85" i="14"/>
  <c r="K85" i="14" s="1"/>
  <c r="L85" i="14" s="1"/>
  <c r="H87" i="14"/>
  <c r="H101" i="14" s="1"/>
  <c r="I67" i="14"/>
  <c r="R48" i="11"/>
  <c r="Q49" i="11"/>
  <c r="P15" i="11"/>
  <c r="P112" i="11" s="1"/>
  <c r="L67" i="11"/>
  <c r="K87" i="11"/>
  <c r="K101" i="11" s="1"/>
  <c r="AC90" i="14" a="1"/>
  <c r="AC90" i="14" s="1"/>
  <c r="F48" i="13" s="1"/>
  <c r="J112" i="2"/>
  <c r="J56" i="2"/>
  <c r="J66" i="2" s="1"/>
  <c r="S33" i="2"/>
  <c r="S109" i="2" s="1"/>
  <c r="Q94" i="2"/>
  <c r="R74" i="2"/>
  <c r="H56" i="2"/>
  <c r="H66" i="2" s="1"/>
  <c r="P95" i="2"/>
  <c r="AC95" i="2" s="1" a="1"/>
  <c r="AC95" i="2" s="1"/>
  <c r="Q75" i="2"/>
  <c r="A59" i="2"/>
  <c r="H55" i="2"/>
  <c r="H84" i="2" s="1"/>
  <c r="H85" i="2" s="1"/>
  <c r="H99" i="2" s="1"/>
  <c r="T62" i="14"/>
  <c r="T73" i="14" s="1"/>
  <c r="T93" i="14" s="1"/>
  <c r="T109" i="14"/>
  <c r="X108" i="14"/>
  <c r="X61" i="14"/>
  <c r="X72" i="14" s="1"/>
  <c r="X92" i="14" s="1"/>
  <c r="X35" i="14"/>
  <c r="W36" i="14"/>
  <c r="Z32" i="14"/>
  <c r="Z31" i="14" s="1"/>
  <c r="Y31" i="14"/>
  <c r="W39" i="14"/>
  <c r="V40" i="14"/>
  <c r="N15" i="14"/>
  <c r="U41" i="14"/>
  <c r="U38" i="14" s="1"/>
  <c r="U33" i="14" s="1"/>
  <c r="V37" i="14"/>
  <c r="V34" i="14" s="1"/>
  <c r="M112" i="14"/>
  <c r="M55" i="14"/>
  <c r="M84" i="14" s="1"/>
  <c r="M56" i="14"/>
  <c r="M66" i="14" s="1"/>
  <c r="A60" i="14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O48" i="14"/>
  <c r="Z71" i="14"/>
  <c r="Z91" i="14" s="1"/>
  <c r="Y91" i="14"/>
  <c r="L82" i="14"/>
  <c r="K98" i="14"/>
  <c r="J81" i="14"/>
  <c r="I97" i="14"/>
  <c r="N85" i="11"/>
  <c r="N99" i="11" s="1"/>
  <c r="T62" i="11"/>
  <c r="T73" i="11" s="1"/>
  <c r="T93" i="11" s="1"/>
  <c r="T109" i="11"/>
  <c r="W39" i="11"/>
  <c r="V40" i="11"/>
  <c r="M81" i="11"/>
  <c r="L97" i="11"/>
  <c r="Z71" i="11"/>
  <c r="Z91" i="11" s="1"/>
  <c r="Y91" i="11"/>
  <c r="U41" i="11"/>
  <c r="U38" i="11" s="1"/>
  <c r="U33" i="11" s="1"/>
  <c r="V37" i="11"/>
  <c r="V34" i="11" s="1"/>
  <c r="X35" i="11"/>
  <c r="W36" i="11"/>
  <c r="X61" i="11"/>
  <c r="X72" i="11" s="1"/>
  <c r="X92" i="11" s="1"/>
  <c r="X108" i="11"/>
  <c r="O82" i="11"/>
  <c r="N98" i="11"/>
  <c r="Z32" i="11"/>
  <c r="Z31" i="11" s="1"/>
  <c r="Y31" i="11"/>
  <c r="L49" i="2"/>
  <c r="M48" i="2"/>
  <c r="M49" i="2" s="1"/>
  <c r="M50" i="2" s="1"/>
  <c r="M65" i="2" s="1"/>
  <c r="K50" i="2"/>
  <c r="K65" i="2" s="1"/>
  <c r="G66" i="2"/>
  <c r="J76" i="2"/>
  <c r="AC90" i="2" a="1"/>
  <c r="AC90" i="2" s="1"/>
  <c r="Y60" i="2"/>
  <c r="Y71" i="2" s="1"/>
  <c r="Y107" i="2"/>
  <c r="X91" i="2"/>
  <c r="G87" i="2"/>
  <c r="G101" i="2" s="1"/>
  <c r="W61" i="2"/>
  <c r="W72" i="2" s="1"/>
  <c r="W92" i="2" s="1"/>
  <c r="W108" i="2"/>
  <c r="Z107" i="2"/>
  <c r="Z60" i="2"/>
  <c r="V39" i="2"/>
  <c r="U40" i="2"/>
  <c r="Y32" i="2"/>
  <c r="X31" i="2"/>
  <c r="R93" i="2"/>
  <c r="K82" i="2"/>
  <c r="J98" i="2"/>
  <c r="U37" i="2"/>
  <c r="U34" i="2" s="1"/>
  <c r="T41" i="2"/>
  <c r="T38" i="2" s="1"/>
  <c r="T34" i="2"/>
  <c r="W35" i="2"/>
  <c r="V36" i="2"/>
  <c r="I81" i="2"/>
  <c r="H97" i="2"/>
  <c r="M76" i="14" l="1"/>
  <c r="M96" i="14" s="1"/>
  <c r="P56" i="11"/>
  <c r="P66" i="11" s="1"/>
  <c r="K99" i="14"/>
  <c r="J43" i="13"/>
  <c r="G55" i="13"/>
  <c r="H55" i="13"/>
  <c r="M56" i="13"/>
  <c r="M58" i="13" s="1"/>
  <c r="N55" i="13"/>
  <c r="J56" i="13"/>
  <c r="J58" i="13" s="1"/>
  <c r="G43" i="13"/>
  <c r="I43" i="13"/>
  <c r="L56" i="13"/>
  <c r="L58" i="13" s="1"/>
  <c r="O55" i="13"/>
  <c r="M49" i="13"/>
  <c r="K53" i="13"/>
  <c r="H56" i="13"/>
  <c r="H58" i="13" s="1"/>
  <c r="O47" i="13"/>
  <c r="K50" i="13"/>
  <c r="I56" i="13"/>
  <c r="I58" i="13" s="1"/>
  <c r="J52" i="13"/>
  <c r="G56" i="13"/>
  <c r="G58" i="13" s="1"/>
  <c r="I53" i="13"/>
  <c r="K55" i="13"/>
  <c r="H54" i="13"/>
  <c r="K56" i="13"/>
  <c r="K58" i="13" s="1"/>
  <c r="N50" i="13"/>
  <c r="O51" i="13"/>
  <c r="N54" i="13"/>
  <c r="L43" i="13"/>
  <c r="J53" i="13"/>
  <c r="M52" i="13"/>
  <c r="M43" i="13"/>
  <c r="J49" i="13"/>
  <c r="G45" i="13"/>
  <c r="L55" i="13"/>
  <c r="O53" i="13"/>
  <c r="M51" i="13"/>
  <c r="G49" i="13"/>
  <c r="H47" i="13"/>
  <c r="H43" i="13"/>
  <c r="H53" i="13"/>
  <c r="G51" i="13"/>
  <c r="I51" i="13"/>
  <c r="I55" i="13"/>
  <c r="O43" i="13"/>
  <c r="J48" i="13"/>
  <c r="I49" i="13"/>
  <c r="M55" i="13"/>
  <c r="O56" i="13"/>
  <c r="O58" i="13" s="1"/>
  <c r="N53" i="13"/>
  <c r="H50" i="13"/>
  <c r="H51" i="13"/>
  <c r="O48" i="13"/>
  <c r="L53" i="13"/>
  <c r="N49" i="13"/>
  <c r="I47" i="13"/>
  <c r="N52" i="13"/>
  <c r="N47" i="13"/>
  <c r="N51" i="13"/>
  <c r="I50" i="13"/>
  <c r="L50" i="13"/>
  <c r="J54" i="13"/>
  <c r="N56" i="13"/>
  <c r="N58" i="13" s="1"/>
  <c r="K49" i="13"/>
  <c r="G47" i="13"/>
  <c r="J55" i="13"/>
  <c r="O52" i="13"/>
  <c r="K54" i="13"/>
  <c r="L47" i="13"/>
  <c r="J45" i="13"/>
  <c r="M47" i="13"/>
  <c r="J47" i="13"/>
  <c r="I52" i="13"/>
  <c r="O49" i="13"/>
  <c r="I54" i="13"/>
  <c r="G50" i="13"/>
  <c r="J51" i="13"/>
  <c r="I48" i="13"/>
  <c r="H52" i="13"/>
  <c r="K48" i="13"/>
  <c r="G48" i="13"/>
  <c r="G53" i="13"/>
  <c r="N45" i="13"/>
  <c r="K43" i="13"/>
  <c r="I45" i="13"/>
  <c r="L49" i="13"/>
  <c r="N43" i="13"/>
  <c r="K52" i="13"/>
  <c r="O50" i="13"/>
  <c r="J50" i="13"/>
  <c r="L52" i="13"/>
  <c r="L46" i="13"/>
  <c r="L54" i="13"/>
  <c r="M50" i="13"/>
  <c r="M45" i="13"/>
  <c r="G54" i="13"/>
  <c r="M48" i="13"/>
  <c r="N46" i="13"/>
  <c r="N48" i="13"/>
  <c r="H45" i="13"/>
  <c r="G52" i="13"/>
  <c r="L48" i="13"/>
  <c r="G46" i="13"/>
  <c r="M53" i="13"/>
  <c r="O45" i="13"/>
  <c r="L51" i="13"/>
  <c r="M54" i="13"/>
  <c r="H48" i="13"/>
  <c r="H49" i="13"/>
  <c r="K51" i="13"/>
  <c r="O54" i="13"/>
  <c r="L45" i="13"/>
  <c r="K47" i="13"/>
  <c r="K45" i="13"/>
  <c r="K46" i="13"/>
  <c r="I46" i="13"/>
  <c r="H46" i="13"/>
  <c r="M46" i="13"/>
  <c r="O46" i="13"/>
  <c r="J46" i="13"/>
  <c r="F43" i="13"/>
  <c r="R95" i="14"/>
  <c r="AC95" i="14" s="1" a="1"/>
  <c r="AC95" i="14" s="1"/>
  <c r="F53" i="13" s="1"/>
  <c r="S75" i="14"/>
  <c r="J99" i="14"/>
  <c r="T94" i="14"/>
  <c r="U74" i="14"/>
  <c r="I87" i="14"/>
  <c r="I101" i="14" s="1"/>
  <c r="J67" i="14"/>
  <c r="N76" i="14"/>
  <c r="N96" i="14" s="1"/>
  <c r="O49" i="14"/>
  <c r="O50" i="14" s="1"/>
  <c r="O65" i="14" s="1"/>
  <c r="P55" i="11"/>
  <c r="P84" i="11" s="1"/>
  <c r="L87" i="11"/>
  <c r="L101" i="11" s="1"/>
  <c r="M67" i="11"/>
  <c r="Q50" i="11"/>
  <c r="Q65" i="11" s="1"/>
  <c r="Q76" i="11" s="1"/>
  <c r="Q96" i="11" s="1"/>
  <c r="S48" i="11"/>
  <c r="R49" i="11"/>
  <c r="S62" i="2"/>
  <c r="S73" i="2" s="1"/>
  <c r="S93" i="2" s="1"/>
  <c r="O85" i="11"/>
  <c r="T33" i="2"/>
  <c r="T109" i="2" s="1"/>
  <c r="H67" i="2"/>
  <c r="H87" i="2" s="1"/>
  <c r="H101" i="2" s="1"/>
  <c r="AC91" i="14" a="1"/>
  <c r="AC91" i="14" s="1"/>
  <c r="F49" i="13" s="1"/>
  <c r="R94" i="2"/>
  <c r="S74" i="2"/>
  <c r="M15" i="2"/>
  <c r="M55" i="2" s="1"/>
  <c r="M84" i="2" s="1"/>
  <c r="A60" i="2"/>
  <c r="Q95" i="2"/>
  <c r="R75" i="2"/>
  <c r="K15" i="2"/>
  <c r="K56" i="2" s="1"/>
  <c r="K66" i="2" s="1"/>
  <c r="I85" i="2"/>
  <c r="N112" i="14"/>
  <c r="N55" i="14"/>
  <c r="N84" i="14" s="1"/>
  <c r="N56" i="14"/>
  <c r="N66" i="14" s="1"/>
  <c r="F47" i="13"/>
  <c r="F46" i="13"/>
  <c r="F52" i="13"/>
  <c r="X39" i="14"/>
  <c r="W40" i="14"/>
  <c r="Y35" i="14"/>
  <c r="X36" i="14"/>
  <c r="M85" i="14"/>
  <c r="L99" i="14"/>
  <c r="M82" i="14"/>
  <c r="L98" i="14"/>
  <c r="K81" i="14"/>
  <c r="J97" i="14"/>
  <c r="W37" i="14"/>
  <c r="V41" i="14"/>
  <c r="V38" i="14" s="1"/>
  <c r="V33" i="14" s="1"/>
  <c r="Y108" i="14"/>
  <c r="Y61" i="14"/>
  <c r="Y72" i="14" s="1"/>
  <c r="P48" i="14"/>
  <c r="P49" i="14" s="1"/>
  <c r="P50" i="14" s="1"/>
  <c r="P65" i="14" s="1"/>
  <c r="U62" i="14"/>
  <c r="U73" i="14" s="1"/>
  <c r="U93" i="14" s="1"/>
  <c r="U109" i="14"/>
  <c r="Z108" i="14"/>
  <c r="Z61" i="14"/>
  <c r="AC91" i="11" a="1"/>
  <c r="AC91" i="11" s="1"/>
  <c r="Z108" i="11"/>
  <c r="Z61" i="11"/>
  <c r="Y108" i="11"/>
  <c r="Y61" i="11"/>
  <c r="Y72" i="11" s="1"/>
  <c r="U62" i="11"/>
  <c r="U73" i="11" s="1"/>
  <c r="U93" i="11" s="1"/>
  <c r="U109" i="11"/>
  <c r="N81" i="11"/>
  <c r="M97" i="11"/>
  <c r="Y35" i="11"/>
  <c r="X36" i="11"/>
  <c r="X39" i="11"/>
  <c r="W40" i="11"/>
  <c r="V41" i="11"/>
  <c r="V38" i="11" s="1"/>
  <c r="V33" i="11" s="1"/>
  <c r="W37" i="11"/>
  <c r="W34" i="11" s="1"/>
  <c r="P82" i="11"/>
  <c r="O98" i="11"/>
  <c r="N48" i="2"/>
  <c r="L50" i="2"/>
  <c r="L65" i="2" s="1"/>
  <c r="J96" i="2"/>
  <c r="K76" i="2"/>
  <c r="Y91" i="2"/>
  <c r="Z71" i="2"/>
  <c r="Z91" i="2" s="1"/>
  <c r="W39" i="2"/>
  <c r="V40" i="2"/>
  <c r="Z32" i="2"/>
  <c r="Z31" i="2" s="1"/>
  <c r="Y31" i="2"/>
  <c r="J81" i="2"/>
  <c r="I97" i="2"/>
  <c r="U41" i="2"/>
  <c r="U38" i="2" s="1"/>
  <c r="U33" i="2" s="1"/>
  <c r="V37" i="2"/>
  <c r="V34" i="2" s="1"/>
  <c r="X35" i="2"/>
  <c r="W36" i="2"/>
  <c r="L82" i="2"/>
  <c r="K98" i="2"/>
  <c r="X108" i="2"/>
  <c r="X61" i="2"/>
  <c r="X72" i="2" s="1"/>
  <c r="X92" i="2" s="1"/>
  <c r="M57" i="13" l="1"/>
  <c r="J57" i="13"/>
  <c r="H57" i="13"/>
  <c r="O57" i="13"/>
  <c r="I57" i="13"/>
  <c r="P85" i="11"/>
  <c r="P99" i="11" s="1"/>
  <c r="S95" i="14"/>
  <c r="T75" i="14"/>
  <c r="K57" i="13"/>
  <c r="T62" i="2"/>
  <c r="T73" i="2" s="1"/>
  <c r="T93" i="2" s="1"/>
  <c r="N57" i="13"/>
  <c r="G57" i="13"/>
  <c r="U94" i="14"/>
  <c r="V74" i="14"/>
  <c r="L57" i="13"/>
  <c r="O76" i="14"/>
  <c r="O96" i="14" s="1"/>
  <c r="J87" i="14"/>
  <c r="J101" i="14" s="1"/>
  <c r="K67" i="14"/>
  <c r="O15" i="14"/>
  <c r="R50" i="11"/>
  <c r="R65" i="11" s="1"/>
  <c r="R76" i="11" s="1"/>
  <c r="R96" i="11" s="1"/>
  <c r="T48" i="11"/>
  <c r="S49" i="11"/>
  <c r="Q15" i="11"/>
  <c r="M87" i="11"/>
  <c r="M101" i="11" s="1"/>
  <c r="N67" i="11"/>
  <c r="I67" i="2"/>
  <c r="I87" i="2" s="1"/>
  <c r="O99" i="11"/>
  <c r="F49" i="12"/>
  <c r="K55" i="2"/>
  <c r="K84" i="2" s="1"/>
  <c r="M112" i="2"/>
  <c r="M56" i="2"/>
  <c r="M66" i="2" s="1"/>
  <c r="S94" i="2"/>
  <c r="T74" i="2"/>
  <c r="K112" i="2"/>
  <c r="R95" i="2"/>
  <c r="S75" i="2"/>
  <c r="A61" i="2"/>
  <c r="I99" i="2"/>
  <c r="J85" i="2"/>
  <c r="J99" i="2" s="1"/>
  <c r="V62" i="14"/>
  <c r="V73" i="14" s="1"/>
  <c r="V93" i="14" s="1"/>
  <c r="V109" i="14"/>
  <c r="X37" i="14"/>
  <c r="X34" i="14" s="1"/>
  <c r="W41" i="14"/>
  <c r="W38" i="14" s="1"/>
  <c r="Y39" i="14"/>
  <c r="X40" i="14"/>
  <c r="P15" i="14"/>
  <c r="Q48" i="14"/>
  <c r="Q49" i="14" s="1"/>
  <c r="Q50" i="14" s="1"/>
  <c r="Q65" i="14" s="1"/>
  <c r="W34" i="14"/>
  <c r="M99" i="14"/>
  <c r="N85" i="14"/>
  <c r="Z72" i="14"/>
  <c r="Z92" i="14" s="1"/>
  <c r="Y92" i="14"/>
  <c r="L81" i="14"/>
  <c r="K97" i="14"/>
  <c r="N82" i="14"/>
  <c r="M98" i="14"/>
  <c r="Z35" i="14"/>
  <c r="Z36" i="14" s="1"/>
  <c r="Y36" i="14"/>
  <c r="Z72" i="11"/>
  <c r="Z92" i="11" s="1"/>
  <c r="Y92" i="11"/>
  <c r="Z35" i="11"/>
  <c r="Z36" i="11" s="1"/>
  <c r="Y36" i="11"/>
  <c r="V62" i="11"/>
  <c r="V73" i="11" s="1"/>
  <c r="V93" i="11" s="1"/>
  <c r="V109" i="11"/>
  <c r="O81" i="11"/>
  <c r="N97" i="11"/>
  <c r="Q82" i="11"/>
  <c r="P98" i="11"/>
  <c r="W41" i="11"/>
  <c r="W38" i="11" s="1"/>
  <c r="W33" i="11" s="1"/>
  <c r="X37" i="11"/>
  <c r="X34" i="11" s="1"/>
  <c r="Y39" i="11"/>
  <c r="X40" i="11"/>
  <c r="L15" i="2"/>
  <c r="L112" i="2" s="1"/>
  <c r="N49" i="2"/>
  <c r="O48" i="2"/>
  <c r="O49" i="2" s="1"/>
  <c r="K96" i="2"/>
  <c r="L76" i="2"/>
  <c r="AC91" i="2" a="1"/>
  <c r="AC91" i="2" s="1"/>
  <c r="U62" i="2"/>
  <c r="U109" i="2"/>
  <c r="Z108" i="2"/>
  <c r="Z61" i="2"/>
  <c r="X39" i="2"/>
  <c r="W40" i="2"/>
  <c r="Y108" i="2"/>
  <c r="Y61" i="2"/>
  <c r="Y72" i="2" s="1"/>
  <c r="K81" i="2"/>
  <c r="J97" i="2"/>
  <c r="V41" i="2"/>
  <c r="V38" i="2" s="1"/>
  <c r="V33" i="2" s="1"/>
  <c r="W37" i="2"/>
  <c r="W34" i="2" s="1"/>
  <c r="M82" i="2"/>
  <c r="L98" i="2"/>
  <c r="Y35" i="2"/>
  <c r="X36" i="2"/>
  <c r="T95" i="14" l="1"/>
  <c r="U75" i="14"/>
  <c r="V94" i="14"/>
  <c r="W74" i="14"/>
  <c r="U73" i="2"/>
  <c r="U93" i="2" s="1"/>
  <c r="W33" i="14"/>
  <c r="W62" i="14" s="1"/>
  <c r="W73" i="14" s="1"/>
  <c r="W93" i="14" s="1"/>
  <c r="R15" i="11"/>
  <c r="R112" i="11" s="1"/>
  <c r="P76" i="14"/>
  <c r="P96" i="14" s="1"/>
  <c r="O55" i="14"/>
  <c r="O84" i="14" s="1"/>
  <c r="O85" i="14" s="1"/>
  <c r="O99" i="14" s="1"/>
  <c r="O112" i="14"/>
  <c r="O56" i="14"/>
  <c r="O66" i="14" s="1"/>
  <c r="L67" i="14"/>
  <c r="K87" i="14"/>
  <c r="K101" i="14" s="1"/>
  <c r="J67" i="2"/>
  <c r="K67" i="2" s="1"/>
  <c r="N87" i="11"/>
  <c r="N101" i="11" s="1"/>
  <c r="O67" i="11"/>
  <c r="Q55" i="11"/>
  <c r="Q84" i="11" s="1"/>
  <c r="Q85" i="11" s="1"/>
  <c r="Q99" i="11" s="1"/>
  <c r="Q112" i="11"/>
  <c r="Q56" i="11"/>
  <c r="Q66" i="11" s="1"/>
  <c r="S50" i="11"/>
  <c r="S65" i="11" s="1"/>
  <c r="S76" i="11" s="1"/>
  <c r="S96" i="11" s="1"/>
  <c r="U48" i="11"/>
  <c r="T49" i="11"/>
  <c r="AC92" i="11" a="1"/>
  <c r="AC92" i="11" s="1"/>
  <c r="T94" i="2"/>
  <c r="U74" i="2"/>
  <c r="I101" i="2"/>
  <c r="A62" i="2"/>
  <c r="S95" i="2"/>
  <c r="T75" i="2"/>
  <c r="L55" i="2"/>
  <c r="L84" i="2" s="1"/>
  <c r="K85" i="2"/>
  <c r="K99" i="2" s="1"/>
  <c r="L56" i="2"/>
  <c r="L66" i="2" s="1"/>
  <c r="N99" i="14"/>
  <c r="O82" i="14"/>
  <c r="N98" i="14"/>
  <c r="M81" i="14"/>
  <c r="L97" i="14"/>
  <c r="P56" i="14"/>
  <c r="P66" i="14" s="1"/>
  <c r="P112" i="14"/>
  <c r="P55" i="14"/>
  <c r="P84" i="14" s="1"/>
  <c r="Z39" i="14"/>
  <c r="Z40" i="14" s="1"/>
  <c r="Y40" i="14"/>
  <c r="AC92" i="14" a="1"/>
  <c r="AC92" i="14" s="1"/>
  <c r="Q15" i="14"/>
  <c r="R48" i="14"/>
  <c r="R49" i="14" s="1"/>
  <c r="R50" i="14" s="1"/>
  <c r="R65" i="14" s="1"/>
  <c r="X41" i="14"/>
  <c r="X38" i="14" s="1"/>
  <c r="X33" i="14" s="1"/>
  <c r="Y37" i="14"/>
  <c r="P81" i="11"/>
  <c r="O97" i="11"/>
  <c r="Y37" i="11"/>
  <c r="Y34" i="11" s="1"/>
  <c r="X41" i="11"/>
  <c r="X38" i="11" s="1"/>
  <c r="X33" i="11" s="1"/>
  <c r="W62" i="11"/>
  <c r="W73" i="11" s="1"/>
  <c r="W93" i="11" s="1"/>
  <c r="W109" i="11"/>
  <c r="F50" i="12"/>
  <c r="Z39" i="11"/>
  <c r="Z40" i="11" s="1"/>
  <c r="Y40" i="11"/>
  <c r="R82" i="11"/>
  <c r="Q98" i="11"/>
  <c r="O50" i="2"/>
  <c r="O65" i="2" s="1"/>
  <c r="N50" i="2"/>
  <c r="N65" i="2" s="1"/>
  <c r="P48" i="2"/>
  <c r="P49" i="2" s="1"/>
  <c r="P50" i="2" s="1"/>
  <c r="P65" i="2" s="1"/>
  <c r="L96" i="2"/>
  <c r="M76" i="2"/>
  <c r="V62" i="2"/>
  <c r="V109" i="2"/>
  <c r="L81" i="2"/>
  <c r="K97" i="2"/>
  <c r="Y39" i="2"/>
  <c r="X40" i="2"/>
  <c r="N82" i="2"/>
  <c r="M98" i="2"/>
  <c r="X37" i="2"/>
  <c r="X34" i="2" s="1"/>
  <c r="W41" i="2"/>
  <c r="W38" i="2" s="1"/>
  <c r="W33" i="2" s="1"/>
  <c r="Z72" i="2"/>
  <c r="Z92" i="2" s="1"/>
  <c r="Y92" i="2"/>
  <c r="Z35" i="2"/>
  <c r="Z36" i="2" s="1"/>
  <c r="Y36" i="2"/>
  <c r="W109" i="14" l="1"/>
  <c r="J87" i="2"/>
  <c r="J101" i="2" s="1"/>
  <c r="V73" i="2"/>
  <c r="W94" i="14"/>
  <c r="X74" i="14"/>
  <c r="U95" i="14"/>
  <c r="V75" i="14"/>
  <c r="S15" i="11"/>
  <c r="S56" i="11" s="1"/>
  <c r="S66" i="11" s="1"/>
  <c r="R56" i="11"/>
  <c r="R66" i="11" s="1"/>
  <c r="R55" i="11"/>
  <c r="R84" i="11" s="1"/>
  <c r="R85" i="11" s="1"/>
  <c r="R99" i="11" s="1"/>
  <c r="Q76" i="14"/>
  <c r="Q96" i="14" s="1"/>
  <c r="M67" i="14"/>
  <c r="L87" i="14"/>
  <c r="L101" i="14" s="1"/>
  <c r="V48" i="11"/>
  <c r="U49" i="11"/>
  <c r="P67" i="11"/>
  <c r="O87" i="11"/>
  <c r="O101" i="11" s="1"/>
  <c r="T50" i="11"/>
  <c r="T65" i="11" s="1"/>
  <c r="T76" i="11" s="1"/>
  <c r="T96" i="11" s="1"/>
  <c r="V74" i="2"/>
  <c r="U94" i="2"/>
  <c r="T95" i="2"/>
  <c r="U75" i="2"/>
  <c r="A63" i="2"/>
  <c r="L85" i="2"/>
  <c r="Q56" i="14"/>
  <c r="Q66" i="14" s="1"/>
  <c r="Q55" i="14"/>
  <c r="Q84" i="14" s="1"/>
  <c r="Q112" i="14"/>
  <c r="P85" i="14"/>
  <c r="Y41" i="14"/>
  <c r="Y38" i="14" s="1"/>
  <c r="Z37" i="14"/>
  <c r="X62" i="14"/>
  <c r="X73" i="14" s="1"/>
  <c r="X93" i="14" s="1"/>
  <c r="X109" i="14"/>
  <c r="S48" i="14"/>
  <c r="S49" i="14" s="1"/>
  <c r="S50" i="14" s="1"/>
  <c r="S65" i="14" s="1"/>
  <c r="R15" i="14"/>
  <c r="F50" i="13"/>
  <c r="N81" i="14"/>
  <c r="M97" i="14"/>
  <c r="Y34" i="14"/>
  <c r="P82" i="14"/>
  <c r="O98" i="14"/>
  <c r="Q81" i="11"/>
  <c r="P97" i="11"/>
  <c r="S82" i="11"/>
  <c r="R98" i="11"/>
  <c r="X62" i="11"/>
  <c r="X73" i="11" s="1"/>
  <c r="X93" i="11" s="1"/>
  <c r="X109" i="11"/>
  <c r="Y41" i="11"/>
  <c r="Y38" i="11" s="1"/>
  <c r="Y33" i="11" s="1"/>
  <c r="Z37" i="11"/>
  <c r="N15" i="2"/>
  <c r="N55" i="2" s="1"/>
  <c r="N84" i="2" s="1"/>
  <c r="O15" i="2"/>
  <c r="P15" i="2"/>
  <c r="Q48" i="2"/>
  <c r="N76" i="2"/>
  <c r="M96" i="2"/>
  <c r="AC92" i="2" a="1"/>
  <c r="AC92" i="2" s="1"/>
  <c r="V93" i="2"/>
  <c r="O82" i="2"/>
  <c r="N98" i="2"/>
  <c r="Z39" i="2"/>
  <c r="Z40" i="2" s="1"/>
  <c r="Y40" i="2"/>
  <c r="M81" i="2"/>
  <c r="L97" i="2"/>
  <c r="Y37" i="2"/>
  <c r="X41" i="2"/>
  <c r="X38" i="2" s="1"/>
  <c r="X33" i="2" s="1"/>
  <c r="W62" i="2"/>
  <c r="W73" i="2" s="1"/>
  <c r="W109" i="2"/>
  <c r="L67" i="2"/>
  <c r="K87" i="2"/>
  <c r="K101" i="2" s="1"/>
  <c r="S55" i="11" l="1"/>
  <c r="S84" i="11" s="1"/>
  <c r="S85" i="11" s="1"/>
  <c r="S99" i="11" s="1"/>
  <c r="S112" i="11"/>
  <c r="V95" i="14"/>
  <c r="W75" i="14"/>
  <c r="X94" i="14"/>
  <c r="Y74" i="14"/>
  <c r="Y33" i="14"/>
  <c r="Y62" i="14" s="1"/>
  <c r="Y73" i="14" s="1"/>
  <c r="Y93" i="14" s="1"/>
  <c r="R76" i="14"/>
  <c r="R96" i="14" s="1"/>
  <c r="M87" i="14"/>
  <c r="M101" i="14" s="1"/>
  <c r="N67" i="14"/>
  <c r="Q67" i="11"/>
  <c r="P87" i="11"/>
  <c r="P101" i="11" s="1"/>
  <c r="T15" i="11"/>
  <c r="U50" i="11"/>
  <c r="U65" i="11" s="1"/>
  <c r="U76" i="11" s="1"/>
  <c r="U96" i="11" s="1"/>
  <c r="W48" i="11"/>
  <c r="V49" i="11"/>
  <c r="V94" i="2"/>
  <c r="W74" i="2"/>
  <c r="N56" i="2"/>
  <c r="N66" i="2" s="1"/>
  <c r="A64" i="2"/>
  <c r="U95" i="2"/>
  <c r="V75" i="2"/>
  <c r="L99" i="2"/>
  <c r="M85" i="2"/>
  <c r="M99" i="2" s="1"/>
  <c r="N112" i="2"/>
  <c r="Z41" i="14"/>
  <c r="Z38" i="14" s="1"/>
  <c r="Z34" i="14"/>
  <c r="O81" i="14"/>
  <c r="N97" i="14"/>
  <c r="R56" i="14"/>
  <c r="R66" i="14" s="1"/>
  <c r="R55" i="14"/>
  <c r="R84" i="14" s="1"/>
  <c r="R112" i="14"/>
  <c r="Q85" i="14"/>
  <c r="P99" i="14"/>
  <c r="T48" i="14"/>
  <c r="T49" i="14" s="1"/>
  <c r="T50" i="14" s="1"/>
  <c r="T65" i="14" s="1"/>
  <c r="S15" i="14"/>
  <c r="Q82" i="14"/>
  <c r="P98" i="14"/>
  <c r="Z41" i="11"/>
  <c r="Z38" i="11" s="1"/>
  <c r="Z33" i="11" s="1"/>
  <c r="Z34" i="11"/>
  <c r="T82" i="11"/>
  <c r="S98" i="11"/>
  <c r="R81" i="11"/>
  <c r="Q97" i="11"/>
  <c r="Y62" i="11"/>
  <c r="Y73" i="11" s="1"/>
  <c r="Y93" i="11" s="1"/>
  <c r="Y109" i="11"/>
  <c r="Q49" i="2"/>
  <c r="R48" i="2"/>
  <c r="P55" i="2"/>
  <c r="P84" i="2" s="1"/>
  <c r="P56" i="2"/>
  <c r="P66" i="2" s="1"/>
  <c r="P112" i="2"/>
  <c r="O56" i="2"/>
  <c r="O66" i="2" s="1"/>
  <c r="O55" i="2"/>
  <c r="O84" i="2" s="1"/>
  <c r="O112" i="2"/>
  <c r="O76" i="2"/>
  <c r="N96" i="2"/>
  <c r="X62" i="2"/>
  <c r="X73" i="2" s="1"/>
  <c r="X109" i="2"/>
  <c r="Z37" i="2"/>
  <c r="Y41" i="2"/>
  <c r="Y38" i="2" s="1"/>
  <c r="W93" i="2"/>
  <c r="Y34" i="2"/>
  <c r="N81" i="2"/>
  <c r="M97" i="2"/>
  <c r="L87" i="2"/>
  <c r="M67" i="2"/>
  <c r="P82" i="2"/>
  <c r="O98" i="2"/>
  <c r="Y109" i="14" l="1"/>
  <c r="Y94" i="14"/>
  <c r="Z74" i="14"/>
  <c r="Z94" i="14" s="1"/>
  <c r="W95" i="14"/>
  <c r="X75" i="14"/>
  <c r="Z33" i="14"/>
  <c r="Z109" i="14" s="1"/>
  <c r="S76" i="14"/>
  <c r="S96" i="14" s="1"/>
  <c r="O67" i="14"/>
  <c r="N87" i="14"/>
  <c r="N101" i="14" s="1"/>
  <c r="V50" i="11"/>
  <c r="V65" i="11" s="1"/>
  <c r="V76" i="11" s="1"/>
  <c r="V96" i="11" s="1"/>
  <c r="X48" i="11"/>
  <c r="W49" i="11"/>
  <c r="U15" i="11"/>
  <c r="T55" i="11"/>
  <c r="T84" i="11" s="1"/>
  <c r="T85" i="11" s="1"/>
  <c r="T112" i="11"/>
  <c r="T56" i="11"/>
  <c r="T66" i="11" s="1"/>
  <c r="R67" i="11"/>
  <c r="Q87" i="11"/>
  <c r="Q101" i="11" s="1"/>
  <c r="Y33" i="2"/>
  <c r="Y62" i="2" s="1"/>
  <c r="Y73" i="2" s="1"/>
  <c r="X74" i="2"/>
  <c r="W94" i="2"/>
  <c r="L101" i="2"/>
  <c r="V95" i="2"/>
  <c r="W75" i="2"/>
  <c r="S48" i="2"/>
  <c r="S49" i="2" s="1"/>
  <c r="S50" i="2" s="1"/>
  <c r="S65" i="2" s="1"/>
  <c r="R49" i="2"/>
  <c r="R50" i="2" s="1"/>
  <c r="R65" i="2" s="1"/>
  <c r="A65" i="2"/>
  <c r="N85" i="2"/>
  <c r="N99" i="2" s="1"/>
  <c r="P81" i="14"/>
  <c r="O97" i="14"/>
  <c r="R82" i="14"/>
  <c r="Q98" i="14"/>
  <c r="S112" i="14"/>
  <c r="S55" i="14"/>
  <c r="S84" i="14" s="1"/>
  <c r="S56" i="14"/>
  <c r="S66" i="14" s="1"/>
  <c r="Q99" i="14"/>
  <c r="R85" i="14"/>
  <c r="U48" i="14"/>
  <c r="U49" i="14" s="1"/>
  <c r="U50" i="14" s="1"/>
  <c r="U65" i="14" s="1"/>
  <c r="T15" i="14"/>
  <c r="S81" i="11"/>
  <c r="R97" i="11"/>
  <c r="Z62" i="11"/>
  <c r="Z73" i="11" s="1"/>
  <c r="Z93" i="11" s="1"/>
  <c r="AC93" i="11" s="1" a="1"/>
  <c r="AC93" i="11" s="1"/>
  <c r="Z109" i="11"/>
  <c r="U82" i="11"/>
  <c r="T98" i="11"/>
  <c r="Q50" i="2"/>
  <c r="Q65" i="2" s="1"/>
  <c r="O96" i="2"/>
  <c r="P76" i="2"/>
  <c r="Q82" i="2"/>
  <c r="P98" i="2"/>
  <c r="N67" i="2"/>
  <c r="M87" i="2"/>
  <c r="M101" i="2" s="1"/>
  <c r="X93" i="2"/>
  <c r="O81" i="2"/>
  <c r="N97" i="2"/>
  <c r="Z41" i="2"/>
  <c r="Z38" i="2" s="1"/>
  <c r="Z34" i="2"/>
  <c r="Y109" i="2" l="1"/>
  <c r="Z62" i="14"/>
  <c r="Z73" i="14" s="1"/>
  <c r="Z93" i="14" s="1"/>
  <c r="AC93" i="14" s="1" a="1"/>
  <c r="AC93" i="14" s="1"/>
  <c r="X95" i="14"/>
  <c r="Y75" i="14"/>
  <c r="V15" i="11"/>
  <c r="V112" i="11" s="1"/>
  <c r="T76" i="14"/>
  <c r="T96" i="14" s="1"/>
  <c r="P67" i="14"/>
  <c r="O87" i="14"/>
  <c r="O101" i="14" s="1"/>
  <c r="U55" i="11"/>
  <c r="U84" i="11" s="1"/>
  <c r="U85" i="11" s="1"/>
  <c r="U112" i="11"/>
  <c r="U56" i="11"/>
  <c r="U66" i="11" s="1"/>
  <c r="T99" i="11"/>
  <c r="W50" i="11"/>
  <c r="W65" i="11" s="1"/>
  <c r="W76" i="11" s="1"/>
  <c r="W96" i="11" s="1"/>
  <c r="Y48" i="11"/>
  <c r="X49" i="11"/>
  <c r="S67" i="11"/>
  <c r="R87" i="11"/>
  <c r="R101" i="11" s="1"/>
  <c r="Z33" i="2"/>
  <c r="Z62" i="2" s="1"/>
  <c r="Z73" i="2" s="1"/>
  <c r="Z93" i="2" s="1"/>
  <c r="T48" i="2"/>
  <c r="T49" i="2" s="1"/>
  <c r="T50" i="2" s="1"/>
  <c r="T65" i="2" s="1"/>
  <c r="X94" i="2"/>
  <c r="Y74" i="2"/>
  <c r="A66" i="2"/>
  <c r="S15" i="2"/>
  <c r="S56" i="2" s="1"/>
  <c r="S66" i="2" s="1"/>
  <c r="R15" i="2"/>
  <c r="R112" i="2" s="1"/>
  <c r="W95" i="2"/>
  <c r="X75" i="2"/>
  <c r="O85" i="2"/>
  <c r="Q15" i="2"/>
  <c r="Q56" i="2" s="1"/>
  <c r="Q66" i="2" s="1"/>
  <c r="F51" i="13"/>
  <c r="R99" i="14"/>
  <c r="S85" i="14"/>
  <c r="S82" i="14"/>
  <c r="R98" i="14"/>
  <c r="V48" i="14"/>
  <c r="V49" i="14" s="1"/>
  <c r="V50" i="14" s="1"/>
  <c r="V65" i="14" s="1"/>
  <c r="U15" i="14"/>
  <c r="Q81" i="14"/>
  <c r="P97" i="14"/>
  <c r="T56" i="14"/>
  <c r="T66" i="14" s="1"/>
  <c r="T55" i="14"/>
  <c r="T84" i="14" s="1"/>
  <c r="T112" i="14"/>
  <c r="F51" i="12"/>
  <c r="V82" i="11"/>
  <c r="U98" i="11"/>
  <c r="T81" i="11"/>
  <c r="S97" i="11"/>
  <c r="P96" i="2"/>
  <c r="Q76" i="2"/>
  <c r="R82" i="2"/>
  <c r="Q98" i="2"/>
  <c r="O67" i="2"/>
  <c r="N87" i="2"/>
  <c r="N101" i="2" s="1"/>
  <c r="P81" i="2"/>
  <c r="O97" i="2"/>
  <c r="Y93" i="2"/>
  <c r="V56" i="11" l="1"/>
  <c r="V66" i="11" s="1"/>
  <c r="V55" i="11"/>
  <c r="V84" i="11" s="1"/>
  <c r="V85" i="11" s="1"/>
  <c r="V99" i="11" s="1"/>
  <c r="Z75" i="14"/>
  <c r="Z95" i="14" s="1"/>
  <c r="Y95" i="14"/>
  <c r="W15" i="11"/>
  <c r="W112" i="11" s="1"/>
  <c r="U76" i="14"/>
  <c r="U96" i="14" s="1"/>
  <c r="P87" i="14"/>
  <c r="P101" i="14" s="1"/>
  <c r="Q67" i="14"/>
  <c r="U48" i="2"/>
  <c r="V48" i="2" s="1"/>
  <c r="V49" i="2" s="1"/>
  <c r="V50" i="2" s="1"/>
  <c r="V65" i="2" s="1"/>
  <c r="Z109" i="2"/>
  <c r="U99" i="11"/>
  <c r="Z48" i="11"/>
  <c r="Z49" i="11" s="1"/>
  <c r="Z50" i="11" s="1"/>
  <c r="Z65" i="11" s="1"/>
  <c r="Y49" i="11"/>
  <c r="T67" i="11"/>
  <c r="S87" i="11"/>
  <c r="S101" i="11" s="1"/>
  <c r="X50" i="11"/>
  <c r="X65" i="11" s="1"/>
  <c r="X76" i="11" s="1"/>
  <c r="X96" i="11" s="1"/>
  <c r="Q55" i="2"/>
  <c r="Q84" i="2" s="1"/>
  <c r="Q112" i="2"/>
  <c r="R55" i="2"/>
  <c r="R84" i="2" s="1"/>
  <c r="R56" i="2"/>
  <c r="R66" i="2" s="1"/>
  <c r="Y94" i="2"/>
  <c r="Z74" i="2"/>
  <c r="Z94" i="2" s="1"/>
  <c r="S112" i="2"/>
  <c r="X95" i="2"/>
  <c r="Y75" i="2"/>
  <c r="S55" i="2"/>
  <c r="S84" i="2" s="1"/>
  <c r="T15" i="2"/>
  <c r="A67" i="2"/>
  <c r="P85" i="2"/>
  <c r="P99" i="2" s="1"/>
  <c r="O99" i="2"/>
  <c r="T82" i="14"/>
  <c r="S98" i="14"/>
  <c r="S99" i="14"/>
  <c r="T85" i="14"/>
  <c r="R81" i="14"/>
  <c r="Q97" i="14"/>
  <c r="U56" i="14"/>
  <c r="U66" i="14" s="1"/>
  <c r="U112" i="14"/>
  <c r="U55" i="14"/>
  <c r="U84" i="14" s="1"/>
  <c r="W48" i="14"/>
  <c r="W49" i="14" s="1"/>
  <c r="W50" i="14" s="1"/>
  <c r="W65" i="14" s="1"/>
  <c r="V15" i="14"/>
  <c r="W82" i="11"/>
  <c r="V98" i="11"/>
  <c r="U81" i="11"/>
  <c r="T97" i="11"/>
  <c r="Q96" i="2"/>
  <c r="R76" i="2"/>
  <c r="AC93" i="2" a="1"/>
  <c r="AC93" i="2" s="1"/>
  <c r="O87" i="2"/>
  <c r="P67" i="2"/>
  <c r="S82" i="2"/>
  <c r="R98" i="2"/>
  <c r="Q81" i="2"/>
  <c r="P97" i="2"/>
  <c r="U49" i="2" l="1"/>
  <c r="U50" i="2" s="1"/>
  <c r="U65" i="2" s="1"/>
  <c r="W55" i="11"/>
  <c r="W84" i="11" s="1"/>
  <c r="W56" i="11"/>
  <c r="W66" i="11" s="1"/>
  <c r="W48" i="2"/>
  <c r="X48" i="2" s="1"/>
  <c r="Z15" i="11"/>
  <c r="W85" i="11"/>
  <c r="X15" i="11"/>
  <c r="X55" i="11" s="1"/>
  <c r="X84" i="11" s="1"/>
  <c r="V76" i="14"/>
  <c r="V96" i="14" s="1"/>
  <c r="R67" i="14"/>
  <c r="Q87" i="14"/>
  <c r="Q101" i="14" s="1"/>
  <c r="U67" i="11"/>
  <c r="T87" i="11"/>
  <c r="T101" i="11" s="1"/>
  <c r="Y50" i="11"/>
  <c r="Y65" i="11" s="1"/>
  <c r="Y76" i="11" s="1"/>
  <c r="Y96" i="11" s="1"/>
  <c r="V15" i="2"/>
  <c r="O101" i="2"/>
  <c r="T55" i="2"/>
  <c r="T84" i="2" s="1"/>
  <c r="T112" i="2"/>
  <c r="T56" i="2"/>
  <c r="T66" i="2" s="1"/>
  <c r="W49" i="2"/>
  <c r="Z75" i="2"/>
  <c r="Z95" i="2" s="1"/>
  <c r="Y95" i="2"/>
  <c r="A68" i="2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U15" i="2"/>
  <c r="Q85" i="2"/>
  <c r="S81" i="14"/>
  <c r="R97" i="14"/>
  <c r="T99" i="14"/>
  <c r="U85" i="14"/>
  <c r="X48" i="14"/>
  <c r="X49" i="14" s="1"/>
  <c r="X50" i="14" s="1"/>
  <c r="X65" i="14" s="1"/>
  <c r="W15" i="14"/>
  <c r="V55" i="14"/>
  <c r="V84" i="14" s="1"/>
  <c r="V112" i="14"/>
  <c r="V56" i="14"/>
  <c r="V66" i="14" s="1"/>
  <c r="U82" i="14"/>
  <c r="T98" i="14"/>
  <c r="W99" i="11"/>
  <c r="Z56" i="11"/>
  <c r="Z66" i="11" s="1"/>
  <c r="Z55" i="11"/>
  <c r="Z84" i="11" s="1"/>
  <c r="Z112" i="11"/>
  <c r="V81" i="11"/>
  <c r="U97" i="11"/>
  <c r="X82" i="11"/>
  <c r="W98" i="11"/>
  <c r="F51" i="1"/>
  <c r="S76" i="2"/>
  <c r="R96" i="2"/>
  <c r="Q67" i="2"/>
  <c r="P87" i="2"/>
  <c r="P101" i="2" s="1"/>
  <c r="T82" i="2"/>
  <c r="S98" i="2"/>
  <c r="R81" i="2"/>
  <c r="Q97" i="2"/>
  <c r="F53" i="1" l="1"/>
  <c r="F46" i="1"/>
  <c r="F49" i="1"/>
  <c r="F47" i="1"/>
  <c r="F48" i="1"/>
  <c r="F50" i="1"/>
  <c r="X85" i="11"/>
  <c r="X112" i="11"/>
  <c r="X56" i="11"/>
  <c r="X66" i="11" s="1"/>
  <c r="W76" i="14"/>
  <c r="W96" i="14" s="1"/>
  <c r="R87" i="14"/>
  <c r="R101" i="14" s="1"/>
  <c r="S67" i="14"/>
  <c r="Y15" i="11"/>
  <c r="Y56" i="11" s="1"/>
  <c r="Y66" i="11" s="1"/>
  <c r="Z76" i="11"/>
  <c r="Z96" i="11" s="1"/>
  <c r="AC96" i="11" s="1" a="1"/>
  <c r="AC96" i="11" s="1"/>
  <c r="F54" i="12" s="1"/>
  <c r="U87" i="11"/>
  <c r="U101" i="11" s="1"/>
  <c r="V67" i="11"/>
  <c r="I43" i="1"/>
  <c r="I56" i="1"/>
  <c r="I58" i="1" s="1"/>
  <c r="M55" i="1"/>
  <c r="K55" i="1"/>
  <c r="K56" i="1"/>
  <c r="K58" i="1" s="1"/>
  <c r="M56" i="1"/>
  <c r="M58" i="1" s="1"/>
  <c r="O56" i="1"/>
  <c r="O58" i="1" s="1"/>
  <c r="N43" i="1"/>
  <c r="O55" i="1"/>
  <c r="L56" i="1"/>
  <c r="L58" i="1" s="1"/>
  <c r="H43" i="1"/>
  <c r="L43" i="1"/>
  <c r="J43" i="1"/>
  <c r="K43" i="1"/>
  <c r="L55" i="1"/>
  <c r="M43" i="1"/>
  <c r="I47" i="1"/>
  <c r="O43" i="1"/>
  <c r="N56" i="1"/>
  <c r="N58" i="1" s="1"/>
  <c r="J55" i="1"/>
  <c r="N55" i="1"/>
  <c r="I55" i="1"/>
  <c r="J53" i="1"/>
  <c r="J45" i="1"/>
  <c r="I50" i="1"/>
  <c r="K49" i="1"/>
  <c r="I54" i="1"/>
  <c r="O45" i="1"/>
  <c r="G49" i="1"/>
  <c r="I51" i="1"/>
  <c r="M52" i="1"/>
  <c r="L47" i="1"/>
  <c r="N51" i="1"/>
  <c r="J56" i="1"/>
  <c r="J58" i="1" s="1"/>
  <c r="K48" i="1"/>
  <c r="K53" i="1"/>
  <c r="G46" i="1"/>
  <c r="O54" i="1"/>
  <c r="J54" i="1"/>
  <c r="N53" i="1"/>
  <c r="J52" i="1"/>
  <c r="M50" i="1"/>
  <c r="O53" i="1"/>
  <c r="N54" i="1"/>
  <c r="H53" i="1"/>
  <c r="M51" i="1"/>
  <c r="G50" i="1"/>
  <c r="G48" i="1"/>
  <c r="H52" i="1"/>
  <c r="I45" i="1"/>
  <c r="K52" i="1"/>
  <c r="M49" i="1"/>
  <c r="J48" i="1"/>
  <c r="N50" i="1"/>
  <c r="G43" i="1"/>
  <c r="N45" i="1"/>
  <c r="I49" i="1"/>
  <c r="L48" i="1"/>
  <c r="M53" i="1"/>
  <c r="N49" i="1"/>
  <c r="J49" i="1"/>
  <c r="J47" i="1"/>
  <c r="J51" i="1"/>
  <c r="L51" i="1"/>
  <c r="M45" i="1"/>
  <c r="K45" i="1"/>
  <c r="O48" i="1"/>
  <c r="L45" i="1"/>
  <c r="L54" i="1"/>
  <c r="O50" i="1"/>
  <c r="K47" i="1"/>
  <c r="G47" i="1"/>
  <c r="G52" i="1"/>
  <c r="H50" i="1"/>
  <c r="G53" i="1"/>
  <c r="K50" i="1"/>
  <c r="G51" i="1"/>
  <c r="I48" i="1"/>
  <c r="I52" i="1"/>
  <c r="I53" i="1"/>
  <c r="L49" i="1"/>
  <c r="O51" i="1"/>
  <c r="K51" i="1"/>
  <c r="I46" i="1"/>
  <c r="L53" i="1"/>
  <c r="O52" i="1"/>
  <c r="N48" i="1"/>
  <c r="M48" i="1"/>
  <c r="J50" i="1"/>
  <c r="L46" i="1"/>
  <c r="M47" i="1"/>
  <c r="H51" i="1"/>
  <c r="O47" i="1"/>
  <c r="M54" i="1"/>
  <c r="H49" i="1"/>
  <c r="N46" i="1"/>
  <c r="N47" i="1"/>
  <c r="K54" i="1"/>
  <c r="L50" i="1"/>
  <c r="N52" i="1"/>
  <c r="O49" i="1"/>
  <c r="O46" i="1"/>
  <c r="K46" i="1"/>
  <c r="J46" i="1"/>
  <c r="L52" i="1"/>
  <c r="M46" i="1"/>
  <c r="H55" i="1"/>
  <c r="H46" i="1"/>
  <c r="H47" i="1"/>
  <c r="H54" i="1"/>
  <c r="G54" i="1"/>
  <c r="H56" i="1"/>
  <c r="H58" i="1" s="1"/>
  <c r="G56" i="1"/>
  <c r="G58" i="1" s="1"/>
  <c r="G55" i="1"/>
  <c r="H48" i="1"/>
  <c r="H45" i="1"/>
  <c r="G45" i="1"/>
  <c r="F43" i="1"/>
  <c r="V55" i="2"/>
  <c r="V84" i="2" s="1"/>
  <c r="V112" i="2"/>
  <c r="V56" i="2"/>
  <c r="V66" i="2" s="1"/>
  <c r="F52" i="1"/>
  <c r="W50" i="2"/>
  <c r="W65" i="2" s="1"/>
  <c r="U56" i="2"/>
  <c r="U66" i="2" s="1"/>
  <c r="U112" i="2"/>
  <c r="U55" i="2"/>
  <c r="U84" i="2" s="1"/>
  <c r="X49" i="2"/>
  <c r="Y48" i="2"/>
  <c r="R85" i="2"/>
  <c r="Q99" i="2"/>
  <c r="V82" i="14"/>
  <c r="U98" i="14"/>
  <c r="U99" i="14"/>
  <c r="V85" i="14"/>
  <c r="V99" i="14" s="1"/>
  <c r="W112" i="14"/>
  <c r="W56" i="14"/>
  <c r="W66" i="14" s="1"/>
  <c r="W55" i="14"/>
  <c r="W84" i="14" s="1"/>
  <c r="Y48" i="14"/>
  <c r="Y49" i="14" s="1"/>
  <c r="Y50" i="14" s="1"/>
  <c r="Y65" i="14" s="1"/>
  <c r="X15" i="14"/>
  <c r="T81" i="14"/>
  <c r="S97" i="14"/>
  <c r="Y82" i="11"/>
  <c r="X98" i="11"/>
  <c r="W81" i="11"/>
  <c r="V97" i="11"/>
  <c r="X99" i="11"/>
  <c r="S96" i="2"/>
  <c r="T76" i="2"/>
  <c r="U82" i="2"/>
  <c r="T98" i="2"/>
  <c r="Q87" i="2"/>
  <c r="R67" i="2"/>
  <c r="S81" i="2"/>
  <c r="R97" i="2"/>
  <c r="C6" i="11" l="1"/>
  <c r="Y112" i="11"/>
  <c r="Y55" i="11"/>
  <c r="Y84" i="11" s="1"/>
  <c r="Y85" i="11" s="1"/>
  <c r="Z85" i="11" s="1"/>
  <c r="Z99" i="11" s="1"/>
  <c r="X76" i="14"/>
  <c r="X96" i="14" s="1"/>
  <c r="S87" i="14"/>
  <c r="S101" i="14" s="1"/>
  <c r="T67" i="14"/>
  <c r="W67" i="11"/>
  <c r="V87" i="11"/>
  <c r="V101" i="11" s="1"/>
  <c r="K57" i="1"/>
  <c r="M57" i="1"/>
  <c r="J57" i="1"/>
  <c r="N57" i="1"/>
  <c r="O57" i="1"/>
  <c r="G57" i="1"/>
  <c r="H57" i="1"/>
  <c r="I57" i="1"/>
  <c r="L57" i="1"/>
  <c r="W15" i="2"/>
  <c r="W112" i="2" s="1"/>
  <c r="Q101" i="2"/>
  <c r="Y49" i="2"/>
  <c r="Z48" i="2"/>
  <c r="Z49" i="2" s="1"/>
  <c r="X50" i="2"/>
  <c r="X65" i="2" s="1"/>
  <c r="S85" i="2"/>
  <c r="R99" i="2"/>
  <c r="U81" i="14"/>
  <c r="T97" i="14"/>
  <c r="X55" i="14"/>
  <c r="X84" i="14" s="1"/>
  <c r="X112" i="14"/>
  <c r="X56" i="14"/>
  <c r="X66" i="14" s="1"/>
  <c r="Z48" i="14"/>
  <c r="Y15" i="14"/>
  <c r="W85" i="14"/>
  <c r="W82" i="14"/>
  <c r="V98" i="14"/>
  <c r="X81" i="11"/>
  <c r="W97" i="11"/>
  <c r="Z82" i="11"/>
  <c r="Z98" i="11" s="1"/>
  <c r="Y98" i="11"/>
  <c r="U76" i="2"/>
  <c r="T96" i="2"/>
  <c r="V82" i="2"/>
  <c r="U98" i="2"/>
  <c r="T81" i="2"/>
  <c r="S97" i="2"/>
  <c r="R87" i="2"/>
  <c r="S67" i="2"/>
  <c r="Y99" i="11" l="1"/>
  <c r="AC99" i="11" s="1" a="1"/>
  <c r="AC99" i="11" s="1"/>
  <c r="F56" i="12" s="1"/>
  <c r="F58" i="12" s="1"/>
  <c r="Y76" i="14"/>
  <c r="Y96" i="14" s="1"/>
  <c r="Z49" i="14"/>
  <c r="Z50" i="14" s="1"/>
  <c r="Z65" i="14" s="1"/>
  <c r="T87" i="14"/>
  <c r="T101" i="14" s="1"/>
  <c r="U67" i="14"/>
  <c r="W87" i="11"/>
  <c r="W101" i="11" s="1"/>
  <c r="X67" i="11"/>
  <c r="W55" i="2"/>
  <c r="W84" i="2" s="1"/>
  <c r="W56" i="2"/>
  <c r="W66" i="2" s="1"/>
  <c r="R101" i="2"/>
  <c r="X15" i="2"/>
  <c r="X112" i="2" s="1"/>
  <c r="Z50" i="2"/>
  <c r="Z65" i="2" s="1"/>
  <c r="Y50" i="2"/>
  <c r="Y65" i="2" s="1"/>
  <c r="T85" i="2"/>
  <c r="S99" i="2"/>
  <c r="AC98" i="11" a="1"/>
  <c r="AC98" i="11" s="1"/>
  <c r="V81" i="14"/>
  <c r="U97" i="14"/>
  <c r="X82" i="14"/>
  <c r="W98" i="14"/>
  <c r="Y55" i="14"/>
  <c r="Y84" i="14" s="1"/>
  <c r="Y112" i="14"/>
  <c r="Y56" i="14"/>
  <c r="Y66" i="14" s="1"/>
  <c r="W99" i="14"/>
  <c r="X85" i="14"/>
  <c r="Y81" i="11"/>
  <c r="X97" i="11"/>
  <c r="U96" i="2"/>
  <c r="V76" i="2"/>
  <c r="U81" i="2"/>
  <c r="T97" i="2"/>
  <c r="W82" i="2"/>
  <c r="V98" i="2"/>
  <c r="S87" i="2"/>
  <c r="T67" i="2"/>
  <c r="Z76" i="14" l="1"/>
  <c r="Z96" i="14" s="1"/>
  <c r="AC96" i="14" s="1" a="1"/>
  <c r="AC96" i="14" s="1"/>
  <c r="F54" i="13" s="1"/>
  <c r="U87" i="14"/>
  <c r="U101" i="14" s="1"/>
  <c r="V67" i="14"/>
  <c r="Z15" i="14"/>
  <c r="X87" i="11"/>
  <c r="X101" i="11" s="1"/>
  <c r="Y67" i="11"/>
  <c r="S101" i="2"/>
  <c r="X56" i="2"/>
  <c r="X66" i="2" s="1"/>
  <c r="X55" i="2"/>
  <c r="X84" i="2" s="1"/>
  <c r="Z15" i="2"/>
  <c r="Z56" i="2" s="1"/>
  <c r="Z66" i="2" s="1"/>
  <c r="Y15" i="2"/>
  <c r="Y112" i="2" s="1"/>
  <c r="T99" i="2"/>
  <c r="U85" i="2"/>
  <c r="X99" i="14"/>
  <c r="Y85" i="14"/>
  <c r="Y82" i="14"/>
  <c r="X98" i="14"/>
  <c r="W81" i="14"/>
  <c r="V97" i="14"/>
  <c r="Z81" i="11"/>
  <c r="Z97" i="11" s="1"/>
  <c r="Y97" i="11"/>
  <c r="E9" i="12"/>
  <c r="E6" i="12"/>
  <c r="E13" i="12"/>
  <c r="E7" i="12"/>
  <c r="E8" i="12"/>
  <c r="E12" i="12"/>
  <c r="E15" i="12"/>
  <c r="E14" i="12"/>
  <c r="E11" i="12"/>
  <c r="E10" i="12"/>
  <c r="V96" i="2"/>
  <c r="W76" i="2"/>
  <c r="V81" i="2"/>
  <c r="U97" i="2"/>
  <c r="X82" i="2"/>
  <c r="W98" i="2"/>
  <c r="T87" i="2"/>
  <c r="U67" i="2"/>
  <c r="Z56" i="14" l="1"/>
  <c r="Z66" i="14" s="1"/>
  <c r="C6" i="14" s="1"/>
  <c r="Z112" i="14"/>
  <c r="Z55" i="14"/>
  <c r="Z84" i="14" s="1"/>
  <c r="W67" i="14"/>
  <c r="V87" i="14"/>
  <c r="V101" i="14" s="1"/>
  <c r="Z67" i="11"/>
  <c r="Z87" i="11" s="1"/>
  <c r="Z101" i="11" s="1"/>
  <c r="Y87" i="11"/>
  <c r="Y101" i="11" s="1"/>
  <c r="D15" i="12"/>
  <c r="D12" i="12"/>
  <c r="D8" i="12"/>
  <c r="D7" i="12"/>
  <c r="D13" i="12"/>
  <c r="D10" i="12"/>
  <c r="D6" i="12"/>
  <c r="D9" i="12"/>
  <c r="D11" i="12"/>
  <c r="D14" i="12"/>
  <c r="Z55" i="2"/>
  <c r="Z84" i="2" s="1"/>
  <c r="Z112" i="2"/>
  <c r="Y55" i="2"/>
  <c r="Y84" i="2" s="1"/>
  <c r="Y56" i="2"/>
  <c r="Y66" i="2" s="1"/>
  <c r="C6" i="2" s="1"/>
  <c r="T101" i="2"/>
  <c r="U99" i="2"/>
  <c r="V85" i="2"/>
  <c r="Z82" i="14"/>
  <c r="Z98" i="14" s="1"/>
  <c r="Y98" i="14"/>
  <c r="Y99" i="14"/>
  <c r="Z85" i="14"/>
  <c r="Z99" i="14" s="1"/>
  <c r="X81" i="14"/>
  <c r="W97" i="14"/>
  <c r="AC97" i="11" a="1"/>
  <c r="AC97" i="11" s="1"/>
  <c r="F55" i="12" s="1"/>
  <c r="W96" i="2"/>
  <c r="X76" i="2"/>
  <c r="W81" i="2"/>
  <c r="V97" i="2"/>
  <c r="Y82" i="2"/>
  <c r="X98" i="2"/>
  <c r="V67" i="2"/>
  <c r="U87" i="2"/>
  <c r="AC87" i="11" l="1" a="1"/>
  <c r="AC87" i="11" s="1"/>
  <c r="F45" i="12" s="1"/>
  <c r="F57" i="12" s="1"/>
  <c r="W87" i="14"/>
  <c r="W101" i="14" s="1"/>
  <c r="X67" i="14"/>
  <c r="U101" i="2"/>
  <c r="V99" i="2"/>
  <c r="W85" i="2"/>
  <c r="AC98" i="14" a="1"/>
  <c r="AC98" i="14" s="1"/>
  <c r="Y81" i="14"/>
  <c r="X97" i="14"/>
  <c r="AC99" i="14" a="1"/>
  <c r="AC99" i="14" s="1"/>
  <c r="X96" i="2"/>
  <c r="Y76" i="2"/>
  <c r="V87" i="2"/>
  <c r="W67" i="2"/>
  <c r="Z82" i="2"/>
  <c r="Z98" i="2" s="1"/>
  <c r="Y98" i="2"/>
  <c r="X81" i="2"/>
  <c r="W97" i="2"/>
  <c r="Y67" i="14" l="1"/>
  <c r="X87" i="14"/>
  <c r="X101" i="14" s="1"/>
  <c r="V101" i="2"/>
  <c r="W99" i="2"/>
  <c r="X85" i="2"/>
  <c r="F56" i="13"/>
  <c r="F58" i="13" s="1"/>
  <c r="Z81" i="14"/>
  <c r="Z97" i="14" s="1"/>
  <c r="Y97" i="14"/>
  <c r="Y96" i="2"/>
  <c r="Z76" i="2"/>
  <c r="Z96" i="2" s="1"/>
  <c r="AC98" i="2" a="1"/>
  <c r="AC98" i="2" s="1"/>
  <c r="Y81" i="2"/>
  <c r="X97" i="2"/>
  <c r="W87" i="2"/>
  <c r="X67" i="2"/>
  <c r="Z67" i="14" l="1"/>
  <c r="Z87" i="14" s="1"/>
  <c r="Z101" i="14" s="1"/>
  <c r="Y87" i="14"/>
  <c r="AC87" i="14" s="1" a="1"/>
  <c r="AC87" i="14" s="1"/>
  <c r="F45" i="13" s="1"/>
  <c r="W101" i="2"/>
  <c r="Y85" i="2"/>
  <c r="X99" i="2"/>
  <c r="AC97" i="14" a="1"/>
  <c r="AC97" i="14" s="1"/>
  <c r="F55" i="13" s="1"/>
  <c r="E11" i="13"/>
  <c r="D11" i="13" s="1"/>
  <c r="E6" i="13"/>
  <c r="D6" i="13" s="1"/>
  <c r="E8" i="13"/>
  <c r="D8" i="13" s="1"/>
  <c r="E9" i="13"/>
  <c r="D9" i="13" s="1"/>
  <c r="E7" i="13"/>
  <c r="D7" i="13" s="1"/>
  <c r="E10" i="13"/>
  <c r="D10" i="13" s="1"/>
  <c r="E15" i="13"/>
  <c r="D15" i="13" s="1"/>
  <c r="E13" i="13"/>
  <c r="D13" i="13" s="1"/>
  <c r="E14" i="13"/>
  <c r="D14" i="13" s="1"/>
  <c r="E12" i="13"/>
  <c r="D12" i="13" s="1"/>
  <c r="AC96" i="2" a="1"/>
  <c r="AC96" i="2" s="1"/>
  <c r="X87" i="2"/>
  <c r="Y67" i="2"/>
  <c r="Z81" i="2"/>
  <c r="Z97" i="2" s="1"/>
  <c r="Y97" i="2"/>
  <c r="Y101" i="14" l="1"/>
  <c r="F57" i="13"/>
  <c r="X101" i="2"/>
  <c r="Y99" i="2"/>
  <c r="Z85" i="2"/>
  <c r="Z99" i="2" s="1"/>
  <c r="F54" i="1"/>
  <c r="AC97" i="2" a="1"/>
  <c r="AC97" i="2" s="1"/>
  <c r="Z67" i="2"/>
  <c r="Z87" i="2" s="1"/>
  <c r="Y87" i="2"/>
  <c r="Z101" i="2" l="1"/>
  <c r="AC99" i="2" a="1"/>
  <c r="AC99" i="2" s="1"/>
  <c r="F55" i="1"/>
  <c r="AC87" i="2" a="1"/>
  <c r="AC87" i="2" s="1"/>
  <c r="Y101" i="2"/>
  <c r="F56" i="1" l="1"/>
  <c r="F58" i="1" s="1"/>
  <c r="F45" i="1"/>
  <c r="F57" i="1" l="1"/>
  <c r="E12" i="1"/>
  <c r="D12" i="1" s="1"/>
  <c r="E11" i="1"/>
  <c r="D11" i="1" s="1"/>
  <c r="E7" i="1"/>
  <c r="D7" i="1" s="1"/>
  <c r="E10" i="1"/>
  <c r="D10" i="1" s="1"/>
  <c r="E6" i="1"/>
  <c r="D6" i="1" s="1"/>
  <c r="E13" i="1"/>
  <c r="D13" i="1" s="1"/>
  <c r="E14" i="1"/>
  <c r="D14" i="1" s="1"/>
  <c r="E9" i="1"/>
  <c r="D9" i="1" s="1"/>
  <c r="E8" i="1"/>
  <c r="D8" i="1" s="1"/>
  <c r="E15" i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C1" authorId="0" shapeId="0" xr:uid="{8F2B96FD-0920-4E10-8549-5A5AA19BAF2F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Захаров Н.Н., 01.07.2026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Ибрагимова Алена Мухамедовна</author>
  </authors>
  <commentList>
    <comment ref="B30" authorId="0" shapeId="0" xr:uid="{C12D3C95-77BC-4249-95C1-7DDD11D1DDD4}">
      <text>
        <r>
          <rPr>
            <b/>
            <sz val="9"/>
            <color indexed="81"/>
            <rFont val="Tahoma"/>
            <family val="2"/>
            <charset val="204"/>
          </rPr>
          <t>Ибрагимова Алена Мухамедовна:</t>
        </r>
        <r>
          <rPr>
            <sz val="9"/>
            <color indexed="81"/>
            <rFont val="Tahoma"/>
            <family val="2"/>
            <charset val="204"/>
          </rPr>
          <t xml:space="preserve">
Рахманов Р.А., 28.07.2026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C20F71D9-7E91-48FC-A032-4874CD68BFC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5149C246-729B-45BB-AB37-624728B477C2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3C51DAA1-BDD5-4643-B4E0-3EAB445B3073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4C9ED804-E1EA-4473-8373-38D95528C3E7}">
      <text>
        <r>
          <rPr>
            <sz val="10"/>
            <rFont val="Arial"/>
            <family val="2"/>
          </rPr>
          <t>Диапазон по спецификации Epiroc: 229-270 мм (9"-10-5/8"). Указано среднее значение 250 мм.</t>
        </r>
      </text>
    </comment>
    <comment ref="D17" authorId="0" shapeId="0" xr:uid="{D59B0544-BA6D-4DE6-A90D-7836CDCA3DBA}">
      <text>
        <r>
          <rPr>
            <sz val="10"/>
            <rFont val="Arial"/>
            <family val="2"/>
          </rPr>
          <t>Ориентировочная гидравлическая мощность привода вращателя в рабочей точке ~350 кВт (476 л.с.), с учётом одновременной работы гидросистем подачи, компрессора и хода.</t>
        </r>
      </text>
    </comment>
    <comment ref="D18" authorId="0" shapeId="0" xr:uid="{8BADBF2F-6E85-424C-A09B-E0AE85C901CB}">
      <text>
        <r>
          <rPr>
            <sz val="10"/>
            <rFont val="Arial"/>
            <family val="2"/>
          </rPr>
          <t>Регулируемый момент 0-14,600 Нм (0-10,800 фунт-фут) - данные из официальной брошюры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9" authorId="0" shapeId="0" xr:uid="{53DD112A-66D7-49E5-AA6A-D2FB411F9B81}">
      <text>
        <r>
          <rPr>
            <sz val="10"/>
            <rFont val="Arial"/>
            <family val="2"/>
          </rPr>
          <t>Для каждого крупного узла (турбокомпрессор, ДВС, гидромотор/насос, привод подачи, компрессорный блок, вентилятор пылеподавления) указаны ОБА вида затрат: капитальный ремонт (более частый, дешевле — ремонт существующего агрегата) и полная замена (реже, дороже — новый агрегat). За 12-летний горизонт многие позиции повторяются несколько раз согласно ресурсу.</t>
        </r>
      </text>
    </comment>
    <comment ref="B41" authorId="0" shapeId="0" xr:uid="{4D9D5442-AAF6-4C24-BE4F-548C02AC51AD}">
      <text>
        <r>
          <rPr>
            <sz val="10"/>
            <rFont val="Arial"/>
            <family val="2"/>
          </rPr>
          <t>Ремкомплект картриджа турбины (подшипники, уплотнения) — капитальный ремонт без замены корпуса. Интервал короче полной замены (~7 000 м/ч).</t>
        </r>
      </text>
    </comment>
    <comment ref="B42" authorId="0" shapeId="0" xr:uid="{BF60C8FC-57B3-4D2B-B078-147B6131636F}">
      <text>
        <r>
          <rPr>
            <sz val="10"/>
            <rFont val="Arial"/>
            <family val="2"/>
          </rPr>
          <t>Полная замена турбокомпрессора в сборе (новый агрегат) после 1-2 циклов капремонта. Диапазон стоимости для техники класса CAT/Cummins/Komatsu: $2 500-6 500.</t>
        </r>
      </text>
    </comment>
    <comment ref="B43" authorId="0" shapeId="0" xr:uid="{924C3F78-C3DC-45BD-8383-668E8CD24C50}">
      <text>
        <r>
          <rPr>
            <sz val="10"/>
            <rFont val="Arial"/>
            <family val="2"/>
          </rPr>
          <t>QSK19 — рядный 6-цилиндровый двигатель (18.9 л) с системой впрыска MCRS, 6 форсунок (не 12, как у V12 CAT C27).</t>
        </r>
      </text>
    </comment>
    <comment ref="B45" authorId="0" shapeId="0" xr:uid="{1F2AF9A6-F196-494B-AE63-BE1E5A6EC4D5}">
      <text>
        <r>
          <rPr>
            <sz val="10"/>
            <rFont val="Arial"/>
            <family val="2"/>
          </rPr>
          <t>Интервал капремонта увеличен до 21 000 м/ч (Cummins заявляет для QSK19 «наибольший ресурс до капремонта в своём классе» за счёт модульной системы MCRS и усиленного ЦПГ). Количество капремонтов за 12 лет сокращено до 2 (год 3 и год 6, суммарно 42 000 м/ч наработки на капремонтах) — после этого на след. цикле выполняется полная замена двигателя (см. след. строку), т.к. это экономически выгоднее третьего капремонта изношенного блока.</t>
        </r>
      </text>
    </comment>
    <comment ref="B46" authorId="0" shapeId="0" xr:uid="{05B75577-2210-4E8D-AA64-6BE78D0AC17E}">
      <text>
        <r>
          <rPr>
            <sz val="10"/>
            <rFont val="Arial"/>
            <family val="2"/>
          </rPr>
          <t>после 2 капремонтов (год 9) выполняется ПОЛНАЯ ЗАМЕНА двигателя новым/реман агрегатом вместо 3-го капремонта изношенного блока — типовая практика для крупных карьерных дизелей, когда стоимость и риски повторного капремонта приближаются к стоимости нового агрегата. Ориентировочная цена нового/реман QSK19 в сборе (563 кВт) — $100 000-140 000 (оценка по классу двигателя; требует подтверждения прайсом Cummins/Epiroc в конкретном регионе). После замены двигатель эксплуатируется как новый до конца расчётного периода без дополнительного капремонта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14DECA0-B9DC-40BA-8D8A-42BED9AE585C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6C5A32C-C22A-4EA2-A9C8-478E6B5642D8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<sst xmlns="http://schemas.openxmlformats.org/spreadsheetml/2006/main" count="3961" uniqueCount="867">
  <si>
    <t>Технико-экономическая оценка стоимости владения</t>
  </si>
  <si>
    <t>Ранжирование общих аннуитетов - по возрастанию</t>
  </si>
  <si>
    <t>Ранжирование по стоимости самосвала - по возрастанию</t>
  </si>
  <si>
    <t>№</t>
  </si>
  <si>
    <t>Аннуитет, руб/ткм</t>
  </si>
  <si>
    <t>Цена за ед., тыс. руб.</t>
  </si>
  <si>
    <t>Показатель</t>
  </si>
  <si>
    <t>Ед. изм.</t>
  </si>
  <si>
    <t>Комментарий</t>
  </si>
  <si>
    <t>т</t>
  </si>
  <si>
    <t>л.с.</t>
  </si>
  <si>
    <t>Срок эксплуатации</t>
  </si>
  <si>
    <t>лет</t>
  </si>
  <si>
    <t>КТГ (средний за эксплуатацию)</t>
  </si>
  <si>
    <t>коэфф.</t>
  </si>
  <si>
    <t>КТГ (1-й год)</t>
  </si>
  <si>
    <t>КИО (средний за эксплуатацию)</t>
  </si>
  <si>
    <t>Производительность (средняя за эксплуатацию)</t>
  </si>
  <si>
    <t>Производительность (1-й год)</t>
  </si>
  <si>
    <t>заполнить</t>
  </si>
  <si>
    <t>мм</t>
  </si>
  <si>
    <t>тыс. руб.</t>
  </si>
  <si>
    <t>Цена в долларах</t>
  </si>
  <si>
    <t>тыс. долл.</t>
  </si>
  <si>
    <t>Цена в юанях</t>
  </si>
  <si>
    <t>тыс. юаней</t>
  </si>
  <si>
    <t>Цена в рублях</t>
  </si>
  <si>
    <t>Сборка</t>
  </si>
  <si>
    <t>Потребность</t>
  </si>
  <si>
    <t>ед.</t>
  </si>
  <si>
    <t>CAPEX на потребность</t>
  </si>
  <si>
    <t>Среднегодовые затраты на ТО (включая смазочные) и ремонты</t>
  </si>
  <si>
    <t>для ранжирования</t>
  </si>
  <si>
    <t>не удалять</t>
  </si>
  <si>
    <t>*</t>
  </si>
  <si>
    <t>проверки</t>
  </si>
  <si>
    <t>средние на ТО, ТР, ППР</t>
  </si>
  <si>
    <t>аннуитет</t>
  </si>
  <si>
    <t>Расчет аннуитета</t>
  </si>
  <si>
    <t>КТГ</t>
  </si>
  <si>
    <t>%</t>
  </si>
  <si>
    <t>КИО</t>
  </si>
  <si>
    <t>Операционный денежный поток</t>
  </si>
  <si>
    <t>ТО, ТР, ППР</t>
  </si>
  <si>
    <t>ТО (включая смазочные)</t>
  </si>
  <si>
    <t>ТР, ППР</t>
  </si>
  <si>
    <t>трудозатраты</t>
  </si>
  <si>
    <t>% стоимости справочно</t>
  </si>
  <si>
    <t>удельный расход</t>
  </si>
  <si>
    <t>расход за период</t>
  </si>
  <si>
    <t>шт.</t>
  </si>
  <si>
    <t>цена</t>
  </si>
  <si>
    <t>тыс. руб./шт.</t>
  </si>
  <si>
    <t>тыс. руб./т</t>
  </si>
  <si>
    <t>Смазочные</t>
  </si>
  <si>
    <t>Затраты на персонал</t>
  </si>
  <si>
    <t>прочее</t>
  </si>
  <si>
    <t>Транспортный налог</t>
  </si>
  <si>
    <t>мощность двигателя</t>
  </si>
  <si>
    <t>налоговая ставка</t>
  </si>
  <si>
    <t>руб./л.с.</t>
  </si>
  <si>
    <t>Амортизация НУ</t>
  </si>
  <si>
    <t>Налогооблагаемая база (по налогу на прибыль)</t>
  </si>
  <si>
    <t>Налог на прибыль</t>
  </si>
  <si>
    <t>Инвестиционный денежный поток</t>
  </si>
  <si>
    <t>Денежный поток</t>
  </si>
  <si>
    <t>Дисконтированный операционный денежный поток</t>
  </si>
  <si>
    <t>проверка полноты</t>
  </si>
  <si>
    <t>Кумулятивный дисконтированный операционный денежный поток</t>
  </si>
  <si>
    <t>Дисконтированный инвестиционный поток</t>
  </si>
  <si>
    <t>Кумулятивный инвестиционный поток</t>
  </si>
  <si>
    <t>Дисконтированный денежный поток</t>
  </si>
  <si>
    <t>Кумулятивный дисконтированный денежный поток</t>
  </si>
  <si>
    <t>Аннуитет операционный</t>
  </si>
  <si>
    <t>Аннуитет инвестиционный</t>
  </si>
  <si>
    <t>Аннуитет общий</t>
  </si>
  <si>
    <t>Себестоимость (справочно)</t>
  </si>
  <si>
    <t>Производительность по годам эксплуатации</t>
  </si>
  <si>
    <t>Наименование показателя</t>
  </si>
  <si>
    <t>средняя</t>
  </si>
  <si>
    <t>Количество дней в периоде</t>
  </si>
  <si>
    <t>дней</t>
  </si>
  <si>
    <t>Календарный фонд времени</t>
  </si>
  <si>
    <t>час.</t>
  </si>
  <si>
    <t>Время технической готовности</t>
  </si>
  <si>
    <t>Ежесменные регламентные простои (пересменка, обед, личные надобности)</t>
  </si>
  <si>
    <t>мин/см</t>
  </si>
  <si>
    <t>Сменные простои</t>
  </si>
  <si>
    <t>Эффективное время</t>
  </si>
  <si>
    <t>мин</t>
  </si>
  <si>
    <t>количество взрывов</t>
  </si>
  <si>
    <t>Простои в смену</t>
  </si>
  <si>
    <t>взрыв</t>
  </si>
  <si>
    <t>планируемые (взрыв отдельно)</t>
  </si>
  <si>
    <t>регламент</t>
  </si>
  <si>
    <t>минут</t>
  </si>
  <si>
    <t>минут/смена</t>
  </si>
  <si>
    <t>Перегон</t>
  </si>
  <si>
    <t>Заправка</t>
  </si>
  <si>
    <t>обед</t>
  </si>
  <si>
    <t>пересменка</t>
  </si>
  <si>
    <t>личные</t>
  </si>
  <si>
    <t>Топливо - цена</t>
  </si>
  <si>
    <t>Амортизация</t>
  </si>
  <si>
    <t>Макро</t>
  </si>
  <si>
    <t>СЛ 2025</t>
  </si>
  <si>
    <t>мощность, л.с.</t>
  </si>
  <si>
    <t>ставка, руб./л.с.</t>
  </si>
  <si>
    <t>СПИ, мес.</t>
  </si>
  <si>
    <t>%, год</t>
  </si>
  <si>
    <t>Курс валют</t>
  </si>
  <si>
    <t>доллар</t>
  </si>
  <si>
    <t>юань</t>
  </si>
  <si>
    <t>Дисконтирующий фактор</t>
  </si>
  <si>
    <t>НИ</t>
  </si>
  <si>
    <t>https://its.1c.ru/db/taxtrans#content:210:hdoc</t>
  </si>
  <si>
    <t>Закон Иркутской области от 04.07.2007 № 53-оз (ред. от 09.06.2025)</t>
  </si>
  <si>
    <t>Часовая производительность</t>
  </si>
  <si>
    <t>Производительность компрессора</t>
  </si>
  <si>
    <t>м3/мин при бар</t>
  </si>
  <si>
    <t>Усилие подачи</t>
  </si>
  <si>
    <t>кВт</t>
  </si>
  <si>
    <t>Исходные данные:</t>
  </si>
  <si>
    <t>Длина штанги</t>
  </si>
  <si>
    <t>м</t>
  </si>
  <si>
    <t>Глубина бурения в первый заход</t>
  </si>
  <si>
    <t>Глубина бурения второй штангой</t>
  </si>
  <si>
    <t>Итого бурение двумя штангами</t>
  </si>
  <si>
    <t>м/мин</t>
  </si>
  <si>
    <t>Диаметр долота (диапазон от поставщика)</t>
  </si>
  <si>
    <t>Мощность вращателя - в расчете</t>
  </si>
  <si>
    <t>Мощность вращателя - расчетная (через крутящий момент и угловую скорость)</t>
  </si>
  <si>
    <t>Крутящий момент</t>
  </si>
  <si>
    <t>Нм</t>
  </si>
  <si>
    <t>Частота вращения в расчете</t>
  </si>
  <si>
    <t>об/мин</t>
  </si>
  <si>
    <t>рад/сек</t>
  </si>
  <si>
    <t>Частота вращения (максимальная)</t>
  </si>
  <si>
    <t>Мпа</t>
  </si>
  <si>
    <t>час</t>
  </si>
  <si>
    <t>Количество операций свинчивания-развинчивания штанг</t>
  </si>
  <si>
    <t>Доля бурения скважин в два захода</t>
  </si>
  <si>
    <t>Количество пробуренных скважин за смену</t>
  </si>
  <si>
    <t>п.м./час</t>
  </si>
  <si>
    <t>Масса станка</t>
  </si>
  <si>
    <t>ДВС/электродвигатель</t>
  </si>
  <si>
    <t>Скорость подъема</t>
  </si>
  <si>
    <t>Диаметр бурения - в расчете</t>
  </si>
  <si>
    <t>Диаметр заряда</t>
  </si>
  <si>
    <t>коэффициент разбура</t>
  </si>
  <si>
    <t>Мощность вращателя - данные поставщика</t>
  </si>
  <si>
    <t>Предел прочности породы на сжатие</t>
  </si>
  <si>
    <t>Продолжительность смены</t>
  </si>
  <si>
    <t>Средняя глубина скважин</t>
  </si>
  <si>
    <t>Время продувки скважины</t>
  </si>
  <si>
    <t>Время на наращивание става</t>
  </si>
  <si>
    <t>Время на переезд от скважины к скважине</t>
  </si>
  <si>
    <t>Теоретическая производительность при КЗД и КИО = 1</t>
  </si>
  <si>
    <t>Коэффициент использования мощности вращателя в процессе бурения</t>
  </si>
  <si>
    <t>Бурение скважины</t>
  </si>
  <si>
    <t>Наращивание става при бурении</t>
  </si>
  <si>
    <t>Время подъема става после бурения</t>
  </si>
  <si>
    <t>Время на разбор става при бурении</t>
  </si>
  <si>
    <t>План БСЛ на 2027</t>
  </si>
  <si>
    <t>Ожидание зачистки</t>
  </si>
  <si>
    <t>Замена инструмента</t>
  </si>
  <si>
    <t>Линейные работы</t>
  </si>
  <si>
    <t>Заправка водой (май-сентябрь)</t>
  </si>
  <si>
    <t>Часовая производительность (по КИО)</t>
  </si>
  <si>
    <t>п. м /час</t>
  </si>
  <si>
    <t>Производительность на 1 ед. за период по бурению</t>
  </si>
  <si>
    <t>тыс. п. м</t>
  </si>
  <si>
    <t>Выход с 1 п. м взрывных скважин</t>
  </si>
  <si>
    <t>м3/п. м</t>
  </si>
  <si>
    <t>Производительность на 1 ед. за период по взрыванию</t>
  </si>
  <si>
    <t>тыс. м3</t>
  </si>
  <si>
    <t>евро</t>
  </si>
  <si>
    <t>Производительность_бурение</t>
  </si>
  <si>
    <t>Производительность_взрывание</t>
  </si>
  <si>
    <t>Производительность кумулятивная</t>
  </si>
  <si>
    <t>Чистка ходовой</t>
  </si>
  <si>
    <t>Цена в евро</t>
  </si>
  <si>
    <t>тыс. евро</t>
  </si>
  <si>
    <t>Долота</t>
  </si>
  <si>
    <t>Штанги буровые</t>
  </si>
  <si>
    <t>шт./тыс. п. м</t>
  </si>
  <si>
    <t>цена, тыс. руб./шт.</t>
  </si>
  <si>
    <t>Расходники</t>
  </si>
  <si>
    <t>руб./п. м</t>
  </si>
  <si>
    <t>Топливо/Электроэнергия</t>
  </si>
  <si>
    <t xml:space="preserve"> - расчет (1)</t>
  </si>
  <si>
    <t xml:space="preserve"> - поставщик (2)</t>
  </si>
  <si>
    <t>1 - расчет
2 - поставщик</t>
  </si>
  <si>
    <t>Электроэнергия - цена</t>
  </si>
  <si>
    <t>норма (1)</t>
  </si>
  <si>
    <t>норма (2)</t>
  </si>
  <si>
    <t>кВт/час</t>
  </si>
  <si>
    <t>тыс. кВт*ч</t>
  </si>
  <si>
    <t>руб./кВт*ч</t>
  </si>
  <si>
    <t>Персонал</t>
  </si>
  <si>
    <t>станок</t>
  </si>
  <si>
    <t>машинист</t>
  </si>
  <si>
    <t>помощник</t>
  </si>
  <si>
    <t>дизельный</t>
  </si>
  <si>
    <t>электрический</t>
  </si>
  <si>
    <t>штат</t>
  </si>
  <si>
    <t>Буровой станок</t>
  </si>
  <si>
    <t>руб/м3</t>
  </si>
  <si>
    <t>Стоимость станка</t>
  </si>
  <si>
    <t>п. м/час</t>
  </si>
  <si>
    <t>Вес станка</t>
  </si>
  <si>
    <t>Марка станка</t>
  </si>
  <si>
    <t>Прочее, тыс. руб./год</t>
  </si>
  <si>
    <t>ФОТ с отчислениями</t>
  </si>
  <si>
    <t>Прочие затраты</t>
  </si>
  <si>
    <t>Питание</t>
  </si>
  <si>
    <t>ДМС</t>
  </si>
  <si>
    <t>СИЗы и АутсорсСпецодСпецОбувИдрСИЗ (УСО ПЛ)</t>
  </si>
  <si>
    <t>Медосмотры</t>
  </si>
  <si>
    <t>Проезд внутри ГОК</t>
  </si>
  <si>
    <t xml:space="preserve">Проезд к месту работы и обратно </t>
  </si>
  <si>
    <t>ВСХ с учетом проезда от места проживания до места работы</t>
  </si>
  <si>
    <t>ФОТ+отчисления, тыс. руб./год</t>
  </si>
  <si>
    <t>Дизельное топливо</t>
  </si>
  <si>
    <t>Двигатель</t>
  </si>
  <si>
    <t>Мощность двигателя</t>
  </si>
  <si>
    <t>кг/час</t>
  </si>
  <si>
    <t>норма поставщика</t>
  </si>
  <si>
    <t>БС-215</t>
  </si>
  <si>
    <t>Электроэнергия</t>
  </si>
  <si>
    <t>Кол-во скважин, пробуренных за смену</t>
  </si>
  <si>
    <t>Бурение 1 скважины</t>
  </si>
  <si>
    <t>Коэффициент загрузки двигателя (КЗД) в смену</t>
  </si>
  <si>
    <t>Мощность двигателя сумарная</t>
  </si>
  <si>
    <t>Расход электроэнергии</t>
  </si>
  <si>
    <t>КИО станка (1-й год)</t>
  </si>
  <si>
    <t>КИО станка под нагрузкой</t>
  </si>
  <si>
    <t>Удельный расход</t>
  </si>
  <si>
    <t>кВт*ч/п. м</t>
  </si>
  <si>
    <t>кВт*ч/час</t>
  </si>
  <si>
    <t>курс ЦБ на хх.07.2026</t>
  </si>
  <si>
    <t>Экипаж, тыс. руб./год</t>
  </si>
  <si>
    <t>кН</t>
  </si>
  <si>
    <t>Часовая производительность - расчет</t>
  </si>
  <si>
    <t>Фактическая производительность</t>
  </si>
  <si>
    <t>Производительность - в расчет</t>
  </si>
  <si>
    <t>Sunward SWDRT270SM</t>
  </si>
  <si>
    <t>Sunward SWDRT270B</t>
  </si>
  <si>
    <t>Sunward SWDRT250SM</t>
  </si>
  <si>
    <t>HIFO 75D</t>
  </si>
  <si>
    <t>дизельный/электрический</t>
  </si>
  <si>
    <t>YANGZI DR75</t>
  </si>
  <si>
    <t>СБШ-250/270КП</t>
  </si>
  <si>
    <t>HIFO 75Е</t>
  </si>
  <si>
    <t>Sunward SWDRT270E (1)</t>
  </si>
  <si>
    <t>Sunward SWDRT270E (2)</t>
  </si>
  <si>
    <t>НИВА 22.01.00.00.00.00.00.000 (1)</t>
  </si>
  <si>
    <t>НИВА 22.01.00.00.00.00.00.000 (2)</t>
  </si>
  <si>
    <t>**</t>
  </si>
  <si>
    <t>Sunward SWDRT200SM</t>
  </si>
  <si>
    <t>Sunward SWDRT250B</t>
  </si>
  <si>
    <t>ZEGA R8100L (1)</t>
  </si>
  <si>
    <t>ZEGA R8100L (2)</t>
  </si>
  <si>
    <t>Revathi C650D</t>
  </si>
  <si>
    <t>MS1200RB</t>
  </si>
  <si>
    <t>KAMACH KY-250D</t>
  </si>
  <si>
    <t>НИВА 23.01.00.00.00.00.00.000 (1)</t>
  </si>
  <si>
    <t>СБ-55Д-01</t>
  </si>
  <si>
    <t>НИВА 23.01.00.00.00.00.00.000 (2)</t>
  </si>
  <si>
    <t>***</t>
  </si>
  <si>
    <t>мес./год</t>
  </si>
  <si>
    <t>второй год</t>
  </si>
  <si>
    <t>ЕИ норма - заполнить</t>
  </si>
  <si>
    <t>тыс. руб. в год/чел.</t>
  </si>
  <si>
    <t>ФЗП+Рез+Взн тыс. руб. год/чел.</t>
  </si>
  <si>
    <t>YANGZI  DM75</t>
  </si>
  <si>
    <t>Cummins QSK19</t>
  </si>
  <si>
    <t>л/час</t>
  </si>
  <si>
    <t>Скорость спуска</t>
  </si>
  <si>
    <t>кг/п. м</t>
  </si>
  <si>
    <t>не более 85</t>
  </si>
  <si>
    <t>88-92</t>
  </si>
  <si>
    <t>65-70</t>
  </si>
  <si>
    <t>68-85</t>
  </si>
  <si>
    <t>третий год</t>
  </si>
  <si>
    <t xml:space="preserve"> +/- 2/1</t>
  </si>
  <si>
    <t xml:space="preserve"> +/- 3/2</t>
  </si>
  <si>
    <t>руда</t>
  </si>
  <si>
    <t>вскрыша</t>
  </si>
  <si>
    <t>КП 1.0.1</t>
  </si>
  <si>
    <t>доля бурения богатой руды</t>
  </si>
  <si>
    <t>средняя глубина 215 диаметр</t>
  </si>
  <si>
    <t>расстояние между скважинами</t>
  </si>
  <si>
    <t>расстояние между рядами</t>
  </si>
  <si>
    <t>229-270</t>
  </si>
  <si>
    <t>200-270</t>
  </si>
  <si>
    <t>CAT
С27</t>
  </si>
  <si>
    <t>огунвей</t>
  </si>
  <si>
    <t>рудгормаш</t>
  </si>
  <si>
    <t>ЭД</t>
  </si>
  <si>
    <t>250-270</t>
  </si>
  <si>
    <t/>
  </si>
  <si>
    <t>Yangzi DR75 1121</t>
  </si>
  <si>
    <t>СБШ-250 1109</t>
  </si>
  <si>
    <t>БС-215 1120</t>
  </si>
  <si>
    <t>БС-215 1123</t>
  </si>
  <si>
    <t>БС-215 1124</t>
  </si>
  <si>
    <t>БС-215 1125</t>
  </si>
  <si>
    <t>БС-215 1126</t>
  </si>
  <si>
    <t>БС-215 1131</t>
  </si>
  <si>
    <t>DR</t>
  </si>
  <si>
    <t>СБШ</t>
  </si>
  <si>
    <t>БС</t>
  </si>
  <si>
    <t>абм</t>
  </si>
  <si>
    <t>нива завод</t>
  </si>
  <si>
    <t>ттм</t>
  </si>
  <si>
    <t>нипигормаш</t>
  </si>
  <si>
    <t>истк</t>
  </si>
  <si>
    <t>балансировка КП 1.0.1</t>
  </si>
  <si>
    <t>Диаметр бурения (в расчете)</t>
  </si>
  <si>
    <t>Мощность привода вращателя (в расчете)</t>
  </si>
  <si>
    <t>нива красноярск</t>
  </si>
  <si>
    <t>сен.25-фев.26</t>
  </si>
  <si>
    <t>мар-июн.26</t>
  </si>
  <si>
    <t>план 2027</t>
  </si>
  <si>
    <t>июл.25-июн.26</t>
  </si>
  <si>
    <t>Рахманов Р.А., 22.07.2026: приравнять простои</t>
  </si>
  <si>
    <t>ячейки к заполнению поставщиком</t>
  </si>
  <si>
    <t xml:space="preserve">HIFO D75 производство Китай (аналог DM75) </t>
  </si>
  <si>
    <t>Примечания</t>
  </si>
  <si>
    <t>Период</t>
  </si>
  <si>
    <t>Диаметр долота</t>
  </si>
  <si>
    <t>230-300</t>
  </si>
  <si>
    <t>КТГ при нормативной эксплуатации</t>
  </si>
  <si>
    <t>коэф.</t>
  </si>
  <si>
    <t>расчетный</t>
  </si>
  <si>
    <t>простои на ТО</t>
  </si>
  <si>
    <t>часов</t>
  </si>
  <si>
    <t>простои в ремонтах</t>
  </si>
  <si>
    <t>ежесменный осмотр (20 мин/смену)</t>
  </si>
  <si>
    <t>Модель ДВС</t>
  </si>
  <si>
    <t>CAT C27</t>
  </si>
  <si>
    <t>597 кВт</t>
  </si>
  <si>
    <t>10,7</t>
  </si>
  <si>
    <t>Скорость подъема бур.снаряда, м/мин</t>
  </si>
  <si>
    <t>Скорость спуска бур.снаряда, м/мин</t>
  </si>
  <si>
    <t>Для вращательного бурения</t>
  </si>
  <si>
    <t>Мощность привода вращателя, кВт</t>
  </si>
  <si>
    <t>кВт / л.с.</t>
  </si>
  <si>
    <t>Крутящий момент вращателя</t>
  </si>
  <si>
    <t>Частота вращения</t>
  </si>
  <si>
    <t>0-200 об. Мин</t>
  </si>
  <si>
    <t>Затраты на ТО и ремонты</t>
  </si>
  <si>
    <t>тыс./год</t>
  </si>
  <si>
    <t>ТО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</si>
  <si>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</si>
  <si>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</si>
  <si>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</si>
  <si>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</si>
  <si>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Рекомендуемый буровой инструмент</t>
  </si>
  <si>
    <t>долота Shareate  229</t>
  </si>
  <si>
    <t>на 7000 м.ч.</t>
  </si>
  <si>
    <t>цена за ед.</t>
  </si>
  <si>
    <t>Штанги буровые 194 мм</t>
  </si>
  <si>
    <t>адаптер вращатель 194 мм.</t>
  </si>
  <si>
    <t>адаптер долота 194мм.</t>
  </si>
  <si>
    <t>центрирующая втулка 194 мм.</t>
  </si>
  <si>
    <t>Электроэнергия / Дизтопливо</t>
  </si>
  <si>
    <t>лит.ч.</t>
  </si>
  <si>
    <t>110 л.ч.</t>
  </si>
  <si>
    <t>Сроки поставки</t>
  </si>
  <si>
    <t>мес</t>
  </si>
  <si>
    <t>указан в ТКП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</si>
  <si>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</si>
  <si>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</si>
  <si>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</si>
  <si>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</si>
  <si>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</si>
  <si>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</si>
  <si>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</si>
  <si>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</si>
  <si>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</si>
  <si>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</si>
  <si>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</si>
  <si>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</si>
  <si>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</si>
  <si>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</si>
  <si>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</si>
  <si>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цена руб без ндс месяц за 1 человека</t>
  </si>
  <si>
    <t>часов в смене</t>
  </si>
  <si>
    <t>колличество дней</t>
  </si>
  <si>
    <t>цена за 1 час руб. без ндс</t>
  </si>
  <si>
    <t>курс евро</t>
  </si>
  <si>
    <t>всего простоев на ТО, часов</t>
  </si>
  <si>
    <t>ТО-1</t>
  </si>
  <si>
    <t>ТО-2</t>
  </si>
  <si>
    <t>ТО-3</t>
  </si>
  <si>
    <t>ТО-4</t>
  </si>
  <si>
    <t>3-4</t>
  </si>
  <si>
    <t>ТО-5</t>
  </si>
  <si>
    <t>2-3</t>
  </si>
  <si>
    <t>ТО-6</t>
  </si>
  <si>
    <t>1-2</t>
  </si>
  <si>
    <t>Каталожный номер</t>
  </si>
  <si>
    <t>стоимость за ед., $</t>
  </si>
  <si>
    <t>Кол-во</t>
  </si>
  <si>
    <t>€</t>
  </si>
  <si>
    <t>Моторное масло</t>
  </si>
  <si>
    <t>ROCKET 15W40</t>
  </si>
  <si>
    <t>Масляный фильтр двигателя</t>
  </si>
  <si>
    <t>Охлаждающая жидкость</t>
  </si>
  <si>
    <t xml:space="preserve">ROCKET Antifreeze </t>
  </si>
  <si>
    <t>Воздушный фильтр первичный</t>
  </si>
  <si>
    <t>Воздушный фильтр вторичный</t>
  </si>
  <si>
    <t>Фильтр системы охл. ДВС</t>
  </si>
  <si>
    <t>Топливный фильтр первичный</t>
  </si>
  <si>
    <t>Топливный фильтр вторичный</t>
  </si>
  <si>
    <t>Влагоотделитель</t>
  </si>
  <si>
    <t>Консистентная смазка</t>
  </si>
  <si>
    <t>Сапун гидробака</t>
  </si>
  <si>
    <t>Фильтра системы пылеподавления</t>
  </si>
  <si>
    <t>Воздушный фильтр подогревателя</t>
  </si>
  <si>
    <t>Топливный фильтр подогревателя</t>
  </si>
  <si>
    <t>Сапун топливного бака</t>
  </si>
  <si>
    <t>Масляные фильтра компрессора</t>
  </si>
  <si>
    <t>ROCKET</t>
  </si>
  <si>
    <t>Масло для редуктора главного насоса</t>
  </si>
  <si>
    <t>ROCKET 75W90</t>
  </si>
  <si>
    <t>Масло для редуктора вращателя</t>
  </si>
  <si>
    <t>Масло для редуктора привода карусели</t>
  </si>
  <si>
    <t>Компрессорное масло</t>
  </si>
  <si>
    <t>ROCKET ATF</t>
  </si>
  <si>
    <t>Гидравлический фильтр</t>
  </si>
  <si>
    <t>Гидравлический фильтр (обратка)</t>
  </si>
  <si>
    <t>Фильтр кабины</t>
  </si>
  <si>
    <t>Фильтр кондиционера</t>
  </si>
  <si>
    <t>Фильтр вращателя</t>
  </si>
  <si>
    <t>Элемент сепаратора</t>
  </si>
  <si>
    <t>Масло редукторов хода</t>
  </si>
  <si>
    <t>Фильтр системы пылеподавления</t>
  </si>
  <si>
    <t>Уплотнение штанги</t>
  </si>
  <si>
    <t>Гидравлическое масло</t>
  </si>
  <si>
    <t>Расчетный КТГ</t>
  </si>
  <si>
    <t>Ед.изм.</t>
  </si>
  <si>
    <t>Простои в ремонтах</t>
  </si>
  <si>
    <t>EUR/год</t>
  </si>
  <si>
    <t>сервис (трудозатраты)</t>
  </si>
  <si>
    <t>Простои в ремонте (час)</t>
  </si>
  <si>
    <t>Вид ремонта</t>
  </si>
  <si>
    <t>Всего простоев</t>
  </si>
  <si>
    <t>Текущие ремонты</t>
  </si>
  <si>
    <t>ENG (двигатель капремонт)</t>
  </si>
  <si>
    <t>AIREND Seal LP (Компрессор ремкомплект)</t>
  </si>
  <si>
    <t>ROTARYHEAD (Ремкомплект вращателя</t>
  </si>
  <si>
    <t>KIT, SEAL (ремкомплект к цилиндру подачи)</t>
  </si>
  <si>
    <t>SEAL KIT,CYLINDER (ремкомплект к цил.домкрата)</t>
  </si>
  <si>
    <t>KIT, SEAL (ремкомплект к цилиндру п. мачты)</t>
  </si>
  <si>
    <t>SEAL KIT (ремкомплектгидроцилиндр мех.зам.штанг)</t>
  </si>
  <si>
    <t>KIT,SEAL (ремкомплект цилиндра ключа)</t>
  </si>
  <si>
    <t>SEAL KIT (ремкомплект цилиндра мех.зам.штанг)</t>
  </si>
  <si>
    <t>SEAL KIT (ремкомплект к гидроцил.стопор.мачты)</t>
  </si>
  <si>
    <t>SEAL KIT (ремкомплект гидроцил.фартука)</t>
  </si>
  <si>
    <t>Ремонт системы смазки</t>
  </si>
  <si>
    <t>Ремонт системы кондиционировани</t>
  </si>
  <si>
    <t>Чистка радиаторов</t>
  </si>
  <si>
    <t>Инспекция /замена рукавов высокого давления</t>
  </si>
  <si>
    <t>Инспекция металлоконструкций</t>
  </si>
  <si>
    <t>PUMPS</t>
  </si>
  <si>
    <t>PUMP,P7,9A CONT (главный насос)</t>
  </si>
  <si>
    <t>DRIVE SHAFT &amp; BEARING (вал и подшипники)</t>
  </si>
  <si>
    <t>STROKER,9A ELECTROHYD (сервоприв.)</t>
  </si>
  <si>
    <t>PUMP,TRIPLE (лопастной насос)</t>
  </si>
  <si>
    <t>VALVES</t>
  </si>
  <si>
    <t>VALVE,ASSEMBLY,6 SPOOL (сборка расп.клапанов)</t>
  </si>
  <si>
    <t>VALVE,9 SPOOL-INST (сборка расп.клапанов)</t>
  </si>
  <si>
    <t>VALVE,REGEN-HP (клапан)</t>
  </si>
  <si>
    <t>VALVE,DIVERTER (диверторный клапан)</t>
  </si>
  <si>
    <t>VALVE,4-WAY,D03,W/DT (клапан переключ. Бур.-Ход)</t>
  </si>
  <si>
    <t>HOC,HEAT EXCHANGER (секция охлаждения гидравлики)</t>
  </si>
  <si>
    <t>MOTORS:</t>
  </si>
  <si>
    <t>MOTOR,HYDRAULIC (гидромотор вращателя)</t>
  </si>
  <si>
    <t>MOTOR,HYDRAULIC FAN (гидромотор вентилятора)</t>
  </si>
  <si>
    <t>MOTOR,HYD. (гидродвигатель хода)</t>
  </si>
  <si>
    <t>HYD. MOTOR MODIFICATION (привод карусели)</t>
  </si>
  <si>
    <t>MOTOR, HYDRAULIC (мотор привода воздуходувки)</t>
  </si>
  <si>
    <t>CYLINDER:</t>
  </si>
  <si>
    <t>CYLINDER,HYD,FEED (цилиндр подачи)</t>
  </si>
  <si>
    <t>CYLINDER,HYD,JACK (цилиндр домкрата)</t>
  </si>
  <si>
    <t>CYLINDER,HYD,TOWER-RAISE (циндр п.мачты)</t>
  </si>
  <si>
    <t>CYLINDER,HYDRAULIC (гидроцилиндр мех.зам.штанг)</t>
  </si>
  <si>
    <t>CYLINDER,HYD,SPLIT FLG (цилиндр вилоч.ключа)</t>
  </si>
  <si>
    <t>CYLINDER, HYDRAULIC (цилиндр мех.зам.штанг)</t>
  </si>
  <si>
    <t>CYLINDER,HYDRAULIC (гидроцилиндр стопор.мачты)</t>
  </si>
  <si>
    <t>CYLINDER-HYD,DUSTCURTAIN (гидроцил.фартука)</t>
  </si>
  <si>
    <t>MAIN HYDRAULIC DRIVE:</t>
  </si>
  <si>
    <t>DRIVE,PUMP-3 HOLE (редуктор привода насосов)</t>
  </si>
  <si>
    <t>COMPRESSOR</t>
  </si>
  <si>
    <t>AIREND (компрессор)</t>
  </si>
  <si>
    <t>COUPLING (муфта)</t>
  </si>
  <si>
    <t>VALVE,BUTRFLY 8" FOR EAR (клапан)</t>
  </si>
  <si>
    <t>ACTUATOR,HEATER (заслонка)</t>
  </si>
  <si>
    <t>HOSE,BULK,2"ID,BULDOG,GD (шланг пневматический)</t>
  </si>
  <si>
    <t>SILENCER (глушитель)</t>
  </si>
  <si>
    <t>COC,HEAT EXCHANGER (секция охлаждения)</t>
  </si>
  <si>
    <t>ENGINE (CAT C27):</t>
  </si>
  <si>
    <t>ENG (двигатель)</t>
  </si>
  <si>
    <t>STARTER MOTOR 11 KW (стартер)</t>
  </si>
  <si>
    <t>ALTERNATOR 75A (генератор)</t>
  </si>
  <si>
    <t>RADIATOR,HEAT EXCHANGER (секция охлаждения)</t>
  </si>
  <si>
    <t>DRIVE SHAFT (кардан)</t>
  </si>
  <si>
    <t>UNDERCARRIAGE</t>
  </si>
  <si>
    <t>FINAL DRIVE (привод хода)</t>
  </si>
  <si>
    <t>SPROCKET GROUP (звездочка)</t>
  </si>
  <si>
    <t>SPRING KIT,IDLER (натяжная пружина)</t>
  </si>
  <si>
    <t>FRONT IDLER GROUP (ленивец)</t>
  </si>
  <si>
    <t>SEAL GROUP-METAL FACE (доуконовое уплотнение)</t>
  </si>
  <si>
    <t>TRACK ADJUSTMENT GROUP (мех.натяжения гусениц)</t>
  </si>
  <si>
    <t>Accumulator (Recoil Spring)</t>
  </si>
  <si>
    <t>ROLLER GROUP-SFLG (опорный каток)</t>
  </si>
  <si>
    <t>CARRIER ROLLER GROUP (поддерж. Каток)</t>
  </si>
  <si>
    <t>TRACK GROUP (гусеница)</t>
  </si>
  <si>
    <t xml:space="preserve">ROTATION  </t>
  </si>
  <si>
    <t>ROTARYHEAD,HI SPD,LUBE (вращатель)</t>
  </si>
  <si>
    <t>GUIDE,BLOCK-LONG R.H. (направляющая)</t>
  </si>
  <si>
    <t>SHIM (прокладки)</t>
  </si>
  <si>
    <t>GUIDE SLIDE - R.H. (направляющая)</t>
  </si>
  <si>
    <t>SHIM, GUIDE (прокладки)</t>
  </si>
  <si>
    <t>CABLE ASSY-FOR 30' TOWER (трос)</t>
  </si>
  <si>
    <t>SHEAVE W/BUSH-1 ROPE (шкив)</t>
  </si>
  <si>
    <t>DUST COLLECTOR:</t>
  </si>
  <si>
    <t>Wheel, blower (крыльчатка)</t>
  </si>
  <si>
    <t>Hose, Dust Coll-10 (шланг всасывающий)</t>
  </si>
  <si>
    <t>Valve,impulse (клапан импульсный)</t>
  </si>
  <si>
    <t>Valve,solenoid (соленоид)</t>
  </si>
  <si>
    <t>Трудозатраты на ремонты (ч/час)</t>
  </si>
  <si>
    <t>Стоимость чел.часа</t>
  </si>
  <si>
    <t>ч/часов</t>
  </si>
  <si>
    <t>Всего ч/часов</t>
  </si>
  <si>
    <t>Затраты на ремонты ($)</t>
  </si>
  <si>
    <t>Детализация затрат</t>
  </si>
  <si>
    <t>Стоимость за ед., EUR</t>
  </si>
  <si>
    <t>Ресурс до замены / ремонта, м/ч</t>
  </si>
  <si>
    <t>Кол-во МТР</t>
  </si>
  <si>
    <t>Текущие ремонты
(если планируются)</t>
  </si>
  <si>
    <t>HOSE,BULK,2"ID,BULDOG,GD (шланг пневматический 470 дюймов)</t>
  </si>
  <si>
    <t>всего</t>
  </si>
  <si>
    <t>долл</t>
  </si>
  <si>
    <t>данные поставщика от 22.07.2026</t>
  </si>
  <si>
    <t>Майнинг Солюшнс</t>
  </si>
  <si>
    <t>Удельный расход - в расчет</t>
  </si>
  <si>
    <t>заполнить!</t>
  </si>
  <si>
    <t>Учесть срок эксплуатации (в данном примере это 12 лет)</t>
  </si>
  <si>
    <t>250/270</t>
  </si>
  <si>
    <t>597/2100 л.с</t>
  </si>
  <si>
    <t>90 (при частоте вращения 120 об/смин, мощность составит 140квт)</t>
  </si>
  <si>
    <t>13,8 kNm</t>
  </si>
  <si>
    <t>0~150</t>
  </si>
  <si>
    <t>Для пневмоударного бурения</t>
  </si>
  <si>
    <t>м3/мин</t>
  </si>
  <si>
    <t xml:space="preserve">57,7 м3/мин </t>
  </si>
  <si>
    <t>Давление компрессора</t>
  </si>
  <si>
    <t>бар</t>
  </si>
  <si>
    <t>Паспортное потребление воздуха / давление</t>
  </si>
  <si>
    <t>Число ударов пневмоударника</t>
  </si>
  <si>
    <t>уд/мин</t>
  </si>
  <si>
    <t>не предусмотрено</t>
  </si>
  <si>
    <t>Энергия единичного удара</t>
  </si>
  <si>
    <t>Дж</t>
  </si>
  <si>
    <t>Здесь перечень приведен в качестве примера</t>
  </si>
  <si>
    <t>долота</t>
  </si>
  <si>
    <t>другое</t>
  </si>
  <si>
    <t>Пневмоударник</t>
  </si>
  <si>
    <t>Масло для ППУ</t>
  </si>
  <si>
    <t>Коронки</t>
  </si>
  <si>
    <t>Переходники</t>
  </si>
  <si>
    <t>указать ед.изм.</t>
  </si>
  <si>
    <t>2,5кг./м.п.</t>
  </si>
  <si>
    <t>Указать удельный расход и единицы измерения</t>
  </si>
  <si>
    <t>формулы для примера, можно менять под необходимые параметры</t>
  </si>
  <si>
    <t>$</t>
  </si>
  <si>
    <t>фильтр масла ДВС</t>
  </si>
  <si>
    <t>фильтр сепаратор топлива</t>
  </si>
  <si>
    <t>423-8521</t>
  </si>
  <si>
    <t>1R-0755</t>
  </si>
  <si>
    <t>топливный фильтр</t>
  </si>
  <si>
    <t>внешний воздушный фильтр ДВС</t>
  </si>
  <si>
    <t>воздушный фильтр предварительный ДВС</t>
  </si>
  <si>
    <t xml:space="preserve">фильтрующий элемент пилотной линии </t>
  </si>
  <si>
    <t>730401000343</t>
  </si>
  <si>
    <t>внешний воздушный фильтр компрессорной установки</t>
  </si>
  <si>
    <t>масло ДВС</t>
  </si>
  <si>
    <t>100.01.00001</t>
  </si>
  <si>
    <t>масляный фильтр компрессора</t>
  </si>
  <si>
    <t>фильтр воздушный внутренний ДВС</t>
  </si>
  <si>
    <t>фильтр воздушный внутренний (компрессорная установка)</t>
  </si>
  <si>
    <t>пластина скольжения вращателя</t>
  </si>
  <si>
    <t>пластина скольжения боковая</t>
  </si>
  <si>
    <t>фильтр салона внешний</t>
  </si>
  <si>
    <t>возвратный фильтр гидравлики</t>
  </si>
  <si>
    <t>ремень привода кондиционера</t>
  </si>
  <si>
    <t>ремень генератора</t>
  </si>
  <si>
    <t xml:space="preserve">фильтр высокого давления </t>
  </si>
  <si>
    <t xml:space="preserve"> 801I96020600</t>
  </si>
  <si>
    <t>возвратный фильтр гидравлики (RETURN OIL FILTER)</t>
  </si>
  <si>
    <t>фильтр сепаратор ресивера (компрессор)</t>
  </si>
  <si>
    <t>фильтр бункера пылеуловителя</t>
  </si>
  <si>
    <t>730403000380</t>
  </si>
  <si>
    <t>вкладыш опоры штанги</t>
  </si>
  <si>
    <t xml:space="preserve">305080000046.S2 </t>
  </si>
  <si>
    <t>305080000045.S2</t>
  </si>
  <si>
    <t>масло гидравлическое</t>
  </si>
  <si>
    <t>100.01.00005</t>
  </si>
  <si>
    <t>охлаждающая жидкость</t>
  </si>
  <si>
    <t>100.01.00007</t>
  </si>
  <si>
    <t>масло трансмиссионное</t>
  </si>
  <si>
    <t>100.01.00002</t>
  </si>
  <si>
    <t>масло компрессора</t>
  </si>
  <si>
    <t>100.01.00006</t>
  </si>
  <si>
    <t xml:space="preserve"> фиксатор буровой штанги</t>
  </si>
  <si>
    <t>вкладыш гидравлического ключа</t>
  </si>
  <si>
    <t>абразивный рукав</t>
  </si>
  <si>
    <t>$/год</t>
  </si>
  <si>
    <t>ремонт-1</t>
  </si>
  <si>
    <t>ремонт-2</t>
  </si>
  <si>
    <t>ремонт-3</t>
  </si>
  <si>
    <t>Стоимость за ед., $</t>
  </si>
  <si>
    <t>текущий ремонт (рабочее оборудование)</t>
  </si>
  <si>
    <t>ДВС</t>
  </si>
  <si>
    <t>капитальный ремонт двс</t>
  </si>
  <si>
    <t>Силовой модуль</t>
  </si>
  <si>
    <t>Гусеничная лента</t>
  </si>
  <si>
    <t>Ведущая звездочка</t>
  </si>
  <si>
    <t>Болт</t>
  </si>
  <si>
    <t>Бортовой редуктор</t>
  </si>
  <si>
    <t>Направляющее колесо</t>
  </si>
  <si>
    <t>Натяжное устройство</t>
  </si>
  <si>
    <t>Шайба</t>
  </si>
  <si>
    <t>Опорный ролик</t>
  </si>
  <si>
    <t>Гидравлика</t>
  </si>
  <si>
    <t>Редуктор привода насосов</t>
  </si>
  <si>
    <t>Насос</t>
  </si>
  <si>
    <t>Гидроцилиндр горизонтирования</t>
  </si>
  <si>
    <t>Гидроцилиндра подачи</t>
  </si>
  <si>
    <t>Зажимной гидроцилиндр</t>
  </si>
  <si>
    <t>Гидроцилиндр подъема мачты</t>
  </si>
  <si>
    <t>Мачта и система подачи</t>
  </si>
  <si>
    <t>гидромотор вращателя</t>
  </si>
  <si>
    <t>прокладка гидромотора вращателя</t>
  </si>
  <si>
    <t>Ремонт металлоконструкций мачты</t>
  </si>
  <si>
    <t>Компрессор</t>
  </si>
  <si>
    <t>винтовой блок</t>
  </si>
  <si>
    <t>Система пылеподавления</t>
  </si>
  <si>
    <t>Ремонт металлоконструкций(сварка)</t>
  </si>
  <si>
    <t>Стройкомпозит-Н</t>
  </si>
  <si>
    <t>тыс. долл</t>
  </si>
  <si>
    <t>данные поставщика от 23.07.2026</t>
  </si>
  <si>
    <t xml:space="preserve"> 22/07</t>
  </si>
  <si>
    <t xml:space="preserve"> 23/07</t>
  </si>
  <si>
    <t>Производительность буровых станков</t>
  </si>
  <si>
    <t>DR-75_факт</t>
  </si>
  <si>
    <t>БС-215_факт</t>
  </si>
  <si>
    <t>СБШ-250_факт</t>
  </si>
  <si>
    <t>200/250</t>
  </si>
  <si>
    <t>11,8 kNm</t>
  </si>
  <si>
    <t>0~160</t>
  </si>
  <si>
    <t xml:space="preserve">53 м3/мин </t>
  </si>
  <si>
    <t>адаптер вращателя</t>
  </si>
  <si>
    <t>адаптер долото</t>
  </si>
  <si>
    <t>центрирующая втулка</t>
  </si>
  <si>
    <t>кг./м.п.</t>
  </si>
  <si>
    <t>2,2 кг./м.п.</t>
  </si>
  <si>
    <t>см. ТКП</t>
  </si>
  <si>
    <t xml:space="preserve"> 25/07</t>
  </si>
  <si>
    <t>Weichai WP17</t>
  </si>
  <si>
    <t>215-233</t>
  </si>
  <si>
    <t>CAT С15</t>
  </si>
  <si>
    <t>Марка, модель</t>
  </si>
  <si>
    <t>литр/моточас</t>
  </si>
  <si>
    <t>рублей/год</t>
  </si>
  <si>
    <t>стоимость за ед., руб.</t>
  </si>
  <si>
    <t>Руб.</t>
  </si>
  <si>
    <t>фильтр грубой очистки топлива</t>
  </si>
  <si>
    <t>900488933013622366</t>
  </si>
  <si>
    <t xml:space="preserve">фильтр грубой очистки топлива </t>
  </si>
  <si>
    <t>900488933006326206</t>
  </si>
  <si>
    <t xml:space="preserve">фильтр тонкой очистки топлива </t>
  </si>
  <si>
    <t>90048522000080124</t>
  </si>
  <si>
    <t>моторное масло Gazpromneft Diesel Premium 5W-40</t>
  </si>
  <si>
    <t>000193811000050407</t>
  </si>
  <si>
    <t xml:space="preserve">масляный фильтр двигателя </t>
  </si>
  <si>
    <t>90048893706828815</t>
  </si>
  <si>
    <t>смазка DEVON THERMAL GREASE LIXV100 EP2</t>
  </si>
  <si>
    <t>00019410300010001700</t>
  </si>
  <si>
    <t>фильтр масляный компрессора ФМ 302/180</t>
  </si>
  <si>
    <t>90048895800003200600</t>
  </si>
  <si>
    <t xml:space="preserve">фильтр воздухоочистителя </t>
  </si>
  <si>
    <t>90048895600000042</t>
  </si>
  <si>
    <t>90048895600000408</t>
  </si>
  <si>
    <t>фильтр пылеуловителя ФЭВ 265х154-DIN-660-1.0-10.0-23.2</t>
  </si>
  <si>
    <t>90048893800026154</t>
  </si>
  <si>
    <t xml:space="preserve">    фильтроэлемент напорного фильтра HE K85-30.223-AS-FG010-LC-B</t>
  </si>
  <si>
    <t>900488940000223016</t>
  </si>
  <si>
    <t>фильтроэлемент сливного фильтра HE K02-40.390-AS-FG010-VM-B17-B</t>
  </si>
  <si>
    <t>900488940000024036</t>
  </si>
  <si>
    <t>фильтр осушающий вентиляционный SDB-121</t>
  </si>
  <si>
    <t>900444898000022116</t>
  </si>
  <si>
    <t>масло трансмиссионное RENOLIN CLP100 (редуктор вращателя)</t>
  </si>
  <si>
    <t>00019312100000100700</t>
  </si>
  <si>
    <t>масло компрессорное Лукойл Стабио 46 синтетик</t>
  </si>
  <si>
    <t>00019357400000046700</t>
  </si>
  <si>
    <t>масло трансмиссионное RENOLIN CLP100 (редуктор насосной станции)</t>
  </si>
  <si>
    <t>масло трансмиссонное RENOLIN CLP150 (редуктор хода)</t>
  </si>
  <si>
    <t>00019312100002150700</t>
  </si>
  <si>
    <t>филтр LS линии</t>
  </si>
  <si>
    <t>90048826400050020600</t>
  </si>
  <si>
    <t>масло гидравлическоеЛукойл Гейзер СТ 32</t>
  </si>
  <si>
    <t>00019434600000032700</t>
  </si>
  <si>
    <t>масло трансмиссионное RENOLIN CLP150 (лебёдка)</t>
  </si>
  <si>
    <t>прокладка клапанной крышки</t>
  </si>
  <si>
    <t>900489200000400346</t>
  </si>
  <si>
    <t>термостат</t>
  </si>
  <si>
    <t>900564773000160106</t>
  </si>
  <si>
    <t>термостатический клапан компрессора</t>
  </si>
  <si>
    <t>900488745000057000</t>
  </si>
  <si>
    <t>плашка гидроключа D180</t>
  </si>
  <si>
    <t>90048480000000180600</t>
  </si>
  <si>
    <t>сепаратор</t>
  </si>
  <si>
    <t>90048797600061002600</t>
  </si>
  <si>
    <t>ремкомплект КМД</t>
  </si>
  <si>
    <t>900485218000005606</t>
  </si>
  <si>
    <t xml:space="preserve">втулка оси поворота мачты </t>
  </si>
  <si>
    <t>06800000000200200200</t>
  </si>
  <si>
    <t xml:space="preserve">вкладыши направляющих вращателя </t>
  </si>
  <si>
    <t>068000001100011009</t>
  </si>
  <si>
    <t>068000001100095009</t>
  </si>
  <si>
    <t>068000001100097009</t>
  </si>
  <si>
    <t>Руб./год</t>
  </si>
  <si>
    <t>Руб.год</t>
  </si>
  <si>
    <t>текущий ремонт (ходовая часть)</t>
  </si>
  <si>
    <t>текущий ремонт электрооборудования</t>
  </si>
  <si>
    <t>текущий ремонт гидросистемы</t>
  </si>
  <si>
    <t>ДВС кап.рем.</t>
  </si>
  <si>
    <t>форсунка</t>
  </si>
  <si>
    <t>Силовой модуль (телега ходовая) кап.рем</t>
  </si>
  <si>
    <t>Установка насосная кап.рем</t>
  </si>
  <si>
    <t>Силовые гидроагрегаты (насосы, гидромоторы)</t>
  </si>
  <si>
    <t>Мачта и система подачи кап.рем.</t>
  </si>
  <si>
    <t>Вращатель</t>
  </si>
  <si>
    <t>Гидроцилиндры подачи</t>
  </si>
  <si>
    <t>Канат L18600</t>
  </si>
  <si>
    <t>Канат L20840</t>
  </si>
  <si>
    <t>направляющие вращателя</t>
  </si>
  <si>
    <t>Винтовой блок</t>
  </si>
  <si>
    <t>Вентилятор центробежный</t>
  </si>
  <si>
    <t>Стоимость за ед., руб.</t>
  </si>
  <si>
    <t>Вращатель кап. Ремонт</t>
  </si>
  <si>
    <t>данные поставщика от 25.07.2026</t>
  </si>
  <si>
    <t>руб</t>
  </si>
  <si>
    <t>Epiroc DM75</t>
  </si>
  <si>
    <t>Данные по Epiroc DM75</t>
  </si>
  <si>
    <t>Срок эксплуатации 12 лет</t>
  </si>
  <si>
    <t>Источник: Epiroc DM75 Brochure (открытые данные Epiroc)</t>
  </si>
  <si>
    <t>Источник: Epiroc DM75 Brochure</t>
  </si>
  <si>
    <t>350/476</t>
  </si>
  <si>
    <t>н/п</t>
  </si>
  <si>
    <t>Неприменимо</t>
  </si>
  <si>
    <t>долота, USD</t>
  </si>
  <si>
    <t>Штанги буровые, USD</t>
  </si>
  <si>
    <t>Адаптер долота, USD</t>
  </si>
  <si>
    <t>Шпиндельный адаптер, USD</t>
  </si>
  <si>
    <t>другое, USD</t>
  </si>
  <si>
    <t>фильтр</t>
  </si>
  <si>
    <t>EPI-FLT-FUEL-01</t>
  </si>
  <si>
    <t>EPI-FLT-FUEL-02</t>
  </si>
  <si>
    <t>масло</t>
  </si>
  <si>
    <t>EPI-OIL-ENG-15W40</t>
  </si>
  <si>
    <t>EPI-OIL-HYD-46</t>
  </si>
  <si>
    <t>смазка</t>
  </si>
  <si>
    <t>EPI-GRS-EP2-01</t>
  </si>
  <si>
    <t>EPI-GRS-EP2-02</t>
  </si>
  <si>
    <t>ремонт-4</t>
  </si>
  <si>
    <t>ремонт-5</t>
  </si>
  <si>
    <t>уплотнения и сальники (ходовая/гидравлика)</t>
  </si>
  <si>
    <t>электрика, датчики, разъёмы (мелкий ремонт)</t>
  </si>
  <si>
    <t>крепёж, шланги низкого давления, фитинги</t>
  </si>
  <si>
    <t>турбокомпрессор (Holset, одноступенчатый) — капитальный ремонт (ремкомплект)</t>
  </si>
  <si>
    <t>турбокомпрессор (Holset) — полная замена</t>
  </si>
  <si>
    <t>форсунки топливные MCRS (комплект, 6 шт.) — замена</t>
  </si>
  <si>
    <t>вспомогательное оборудование ДВС (стартер, генератор, водяной насос) — замена</t>
  </si>
  <si>
    <t>капитальный ремонт двигателя (переборка блока: ЦПГ, коленвал, вкладыши и т.п.)</t>
  </si>
  <si>
    <t>полная замена двигателя в сборе (новый/реман. агрегат)</t>
  </si>
  <si>
    <t>гидромотор хода — капитальный ремонт (ремкомплект)</t>
  </si>
  <si>
    <t>гидромотор хода — полная замена</t>
  </si>
  <si>
    <t>редуктор хода (планетарный) — замена</t>
  </si>
  <si>
    <t>гусеничная цепь в сборе — полная замена</t>
  </si>
  <si>
    <t>натяжное устройство (ленивец + цилиндр натяжения) — замена комплектом</t>
  </si>
  <si>
    <t>катки опорные и ведущая звездочка — замена комплектом</t>
  </si>
  <si>
    <t>гидронасос главный (аксиально-поршневой) — капитальный ремонт (ремкомплект)</t>
  </si>
  <si>
    <t>гидронасос главный — полная замена</t>
  </si>
  <si>
    <t>гидрораспределитель (секционный клапан) — замена</t>
  </si>
  <si>
    <t>гидроцилиндр подачи/фиксации — замена</t>
  </si>
  <si>
    <t>рукава высокого давления (РВД, комплект) — замена</t>
  </si>
  <si>
    <t>привод подачи (редуктор цепной/реечный) — капитальный ремонт</t>
  </si>
  <si>
    <t>привод подачи — полная замена</t>
  </si>
  <si>
    <t>кассета для штанг (карусель) — замена</t>
  </si>
  <si>
    <t>канаты/цепи подачи мачты — замена</t>
  </si>
  <si>
    <t>гидроцилиндр мачты (подъём/наклон) — замена</t>
  </si>
  <si>
    <t>компрессорный (воздушный) блок — капитальный ремонт (переборка)</t>
  </si>
  <si>
    <t>компрессорный (воздушный) блок — полная замена</t>
  </si>
  <si>
    <t>клапан минимального давления / разгрузочный клапан — замена</t>
  </si>
  <si>
    <t>маслоотделитель / маслоохладитель компрессора — замена</t>
  </si>
  <si>
    <t>регулятор производительности (EARS) — замена</t>
  </si>
  <si>
    <t>вентилятор системы пылеподавления — капитальный ремонт</t>
  </si>
  <si>
    <t>вентилятор системы пылеподавления — полная замена</t>
  </si>
  <si>
    <t>насос орошения (водяной) — замена</t>
  </si>
  <si>
    <t>картриджи фильтров пылеулавливания (комплект) — замена</t>
  </si>
  <si>
    <t>форсунки орошения и рукава — замена</t>
  </si>
  <si>
    <t>данные поставщика от 27.07.2026</t>
  </si>
  <si>
    <t>Огунвей</t>
  </si>
  <si>
    <t>C27</t>
  </si>
  <si>
    <t>0-150</t>
  </si>
  <si>
    <t>/</t>
    <phoneticPr fontId="0" type="noConversion"/>
  </si>
  <si>
    <t>Режим шарошечного долота, без удара</t>
    <phoneticPr fontId="0" type="noConversion"/>
  </si>
  <si>
    <t>Cтабилизатор штанги</t>
    <phoneticPr fontId="0" type="noConversion"/>
  </si>
  <si>
    <t>88Lpm</t>
  </si>
  <si>
    <t>Замена электрических компонентов</t>
    <phoneticPr fontId="0" type="noConversion"/>
  </si>
  <si>
    <t>Регулировка или замена изнашиваемых деталей рабочего оборудования</t>
    <phoneticPr fontId="0" type="noConversion"/>
  </si>
  <si>
    <t>Ремонт и техническое обслуживание системы двигателя</t>
    <phoneticPr fontId="0" type="noConversion"/>
  </si>
  <si>
    <t>Ремонт и техническое обслуживание гидравлической системы</t>
    <phoneticPr fontId="0" type="noConversion"/>
  </si>
  <si>
    <t>Ремонт и техническое обслуживание ходовой части</t>
    <phoneticPr fontId="0" type="noConversion"/>
  </si>
  <si>
    <t>другое (электрические компоненты)</t>
    <phoneticPr fontId="0" type="noConversion"/>
  </si>
  <si>
    <t>другое (силовая система)</t>
    <phoneticPr fontId="0" type="noConversion"/>
  </si>
  <si>
    <t>другое (система воздушного компрессора)</t>
    <phoneticPr fontId="0" type="noConversion"/>
  </si>
  <si>
    <t>турбокомпрессор</t>
  </si>
  <si>
    <t>инжекторы</t>
  </si>
  <si>
    <t>стартер</t>
  </si>
  <si>
    <t>генератор</t>
  </si>
  <si>
    <t>другое (радиатор)</t>
    <phoneticPr fontId="0" type="noConversion"/>
  </si>
  <si>
    <t>другое (комплект воздушного фильтра)</t>
    <phoneticPr fontId="0" type="noConversion"/>
  </si>
  <si>
    <t>моторы хода</t>
  </si>
  <si>
    <t>гусеничная цепь</t>
  </si>
  <si>
    <t>ленивец</t>
  </si>
  <si>
    <t>цилиндры натяжения</t>
  </si>
  <si>
    <t>ведущая звездочка</t>
  </si>
  <si>
    <t>катки</t>
  </si>
  <si>
    <t>главные насосы</t>
  </si>
  <si>
    <t>другое (блок распределительных клапанов)</t>
    <phoneticPr fontId="0" type="noConversion"/>
  </si>
  <si>
    <t>другое (электропропорциональный блок)</t>
    <phoneticPr fontId="0" type="noConversion"/>
  </si>
  <si>
    <t>другое (блок направляющих клапанов)</t>
    <phoneticPr fontId="0" type="noConversion"/>
  </si>
  <si>
    <t>другое (мотор силовой головки)</t>
    <phoneticPr fontId="0" type="noConversion"/>
  </si>
  <si>
    <t>кассета для штанг</t>
  </si>
  <si>
    <t>привод (толкающий гидроцилиндр)</t>
    <phoneticPr fontId="0" type="noConversion"/>
  </si>
  <si>
    <t>другое (цепь)</t>
    <phoneticPr fontId="0" type="noConversion"/>
  </si>
  <si>
    <t>другое (звездочки и комплектующие)</t>
    <phoneticPr fontId="0" type="noConversion"/>
  </si>
  <si>
    <t>другое (другие гидроцилиндры)</t>
    <phoneticPr fontId="0" type="noConversion"/>
  </si>
  <si>
    <t>другое (воздушный компрессор)</t>
    <phoneticPr fontId="0" type="noConversion"/>
  </si>
  <si>
    <t>другое (управляющий клапан)</t>
    <phoneticPr fontId="0" type="noConversion"/>
  </si>
  <si>
    <t>другое  (всасывающий клапан)</t>
    <phoneticPr fontId="0" type="noConversion"/>
  </si>
  <si>
    <t>другое (шаровой кран)</t>
    <phoneticPr fontId="0" type="noConversion"/>
  </si>
  <si>
    <t>другое (высоконапорный воздухопровод)</t>
    <phoneticPr fontId="0" type="noConversion"/>
  </si>
  <si>
    <t>другое (пылеуловитель)</t>
    <phoneticPr fontId="0" type="noConversion"/>
  </si>
  <si>
    <t>другое (рабочее колесо вентилятора)</t>
    <phoneticPr fontId="0" type="noConversion"/>
  </si>
  <si>
    <t>другое(гидромотор вентилятора)</t>
    <phoneticPr fontId="0" type="noConversion"/>
  </si>
  <si>
    <t>другое (пылеотводная труба)</t>
    <phoneticPr fontId="0" type="noConversion"/>
  </si>
  <si>
    <t>другое (фильтрующий элемент)</t>
    <phoneticPr fontId="0" type="noConversion"/>
  </si>
  <si>
    <t>SWDRT270B</t>
  </si>
  <si>
    <t>Копейский машзавод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</si>
</sst>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[$$-409]#,##0"/>
    <numFmt numFmtId="167" formatCode="[$¥-804]#,##0"/>
    <numFmt numFmtId="168" formatCode="#,##0\ &quot;₽&quot;"/>
    <numFmt numFmtId="169" formatCode="_-* #,##0.0\ _₽_-;\-* #,##0.0\ _₽_-;_-* &quot;-&quot;?\ _₽_-;_-@_-"/>
    <numFmt numFmtId="170" formatCode="_-* #,##0.00\ _₽_-;\-* #,##0.00\ _₽_-;_-* &quot;-&quot;??\ _₽_-;_-@_-"/>
    <numFmt numFmtId="171" formatCode="_-* #,##0.000_-;\-* #,##0.000_-;_-* &quot;-&quot;??_-;_-@_-"/>
    <numFmt numFmtId="172" formatCode="_-* #,##0.0_-;\-* #,##0.0_-;_-* &quot;-&quot;??_-;_-@_-"/>
    <numFmt numFmtId="173" formatCode="###,000"/>
    <numFmt numFmtId="174" formatCode="0.000"/>
    <numFmt numFmtId="175" formatCode="#,##0_ ;\-#,##0\ "/>
    <numFmt numFmtId="176" formatCode="0.00_ ;\-0.00\ "/>
    <numFmt numFmtId="177" formatCode="#,##0;[Red]\-#,##0;\-"/>
    <numFmt numFmtId="178" formatCode="0_ ;[Red]\-0\ "/>
    <numFmt numFmtId="179" formatCode="_-* #,##0.00_р_._-;\-* #,##0.00_р_._-;_-* &quot;-&quot;??_р_._-;_-@_-"/>
    <numFmt numFmtId="180" formatCode="_-* #,##0_р_._-;\-* #,##0_р_._-;_-* &quot;-&quot;??_р_._-;_-@_-"/>
    <numFmt numFmtId="181" formatCode="_-[$€-2]\ * #,##0.00_-;\-[$€-2]\ * #,##0.00_-;_-[$€-2]\ * &quot;-&quot;??_-;_-@_-"/>
    <numFmt numFmtId="182" formatCode="_-[$€-2]\ * #,##0_-;\-[$€-2]\ * #,##0_-;_-[$€-2]\ * &quot;-&quot;_-;_-@_-"/>
    <numFmt numFmtId="183" formatCode="#,##0.00;[Red]#,##0.00"/>
    <numFmt numFmtId="184" formatCode="#,##0.0"/>
    <numFmt numFmtId="185" formatCode="0.00_ ;[Red]\-0.00\ "/>
    <numFmt numFmtId="186" formatCode="[$$-409]#,##0.00"/>
    <numFmt numFmtId="187" formatCode="_-* #,##0.00_-;\-* #,##0.00_-;_-* &quot;-&quot;_-;_-@_-"/>
    <numFmt numFmtId="188" formatCode="_-* #,##0.00\ [$₽-419]_-;\-* #,##0.00\ [$₽-419]_-;_-* &quot;-&quot;??\ [$₽-419]_-;_-@_-"/>
    <numFmt numFmtId="189" formatCode="#,##0.00\ &quot;₽&quot;"/>
    <numFmt numFmtId="190" formatCode="_-* #,##0_р_._-;\-* #,##0_р_._-;_-* \-??_р_._-;_-@_-"/>
    <numFmt numFmtId="191" formatCode="_-[$€-2]\ * #,##0_-;\-[$€-2]\ * #,##0_-;_-[$€-2]\ * \-_-;_-@_-"/>
    <numFmt numFmtId="192" formatCode="_-* #,##0_-;\-* #,##0_-;_-* \-??_-;_-@_-"/>
    <numFmt numFmtId="193" formatCode="_-* #,##0_-;\-* #,##0_-;_-* \-_-;_-@_-"/>
    <numFmt numFmtId="194" formatCode="\$#,##0_);[Red]\(\$#,##0\)"/>
  </numFmts>
  <fonts count="6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b/>
      <sz val="11"/>
      <color rgb="FF0000FF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b/>
      <sz val="10"/>
      <color rgb="FFC00000"/>
      <name val="Calibri"/>
      <family val="2"/>
      <scheme val="minor"/>
    </font>
    <font>
      <i/>
      <sz val="10"/>
      <color rgb="FF00B050"/>
      <name val="Calibri"/>
      <family val="2"/>
      <charset val="204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theme="1"/>
      <name val="Arial"/>
      <family val="2"/>
      <charset val="204"/>
    </font>
    <font>
      <sz val="8"/>
      <color rgb="FF1F497D"/>
      <name val="Verdana"/>
      <family val="2"/>
      <charset val="204"/>
    </font>
    <font>
      <sz val="8"/>
      <color rgb="FF000000"/>
      <name val="Verdana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0070C0"/>
      <name val="Calibri"/>
      <family val="2"/>
      <charset val="204"/>
      <scheme val="minor"/>
    </font>
    <font>
      <i/>
      <sz val="10"/>
      <color rgb="FF0070C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name val="Arial Cyr"/>
      <charset val="204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indexed="12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10"/>
      <color rgb="FF0070C0"/>
      <name val="Arial"/>
      <family val="2"/>
      <charset val="204"/>
    </font>
    <font>
      <b/>
      <sz val="10"/>
      <color rgb="FF0070C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B05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color rgb="FF0000FF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EEEF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87182226020086"/>
        <bgColor rgb="FFCCCCFF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6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3" fontId="23" fillId="9" borderId="10" applyNumberFormat="0" applyAlignment="0" applyProtection="0">
      <alignment horizontal="left" vertical="center" indent="1"/>
    </xf>
    <xf numFmtId="173" fontId="24" fillId="0" borderId="11" applyNumberFormat="0" applyProtection="0">
      <alignment horizontal="right" vertical="center"/>
    </xf>
    <xf numFmtId="0" fontId="25" fillId="10" borderId="10" applyNumberFormat="0" applyAlignment="0" applyProtection="0">
      <alignment horizontal="left" vertical="center" indent="1"/>
    </xf>
    <xf numFmtId="0" fontId="6" fillId="0" borderId="0"/>
    <xf numFmtId="0" fontId="36" fillId="0" borderId="0"/>
    <xf numFmtId="0" fontId="43" fillId="0" borderId="0"/>
    <xf numFmtId="0" fontId="45" fillId="0" borderId="0"/>
    <xf numFmtId="179" fontId="36" fillId="0" borderId="0" applyFont="0" applyFill="0" applyBorder="0" applyAlignment="0" applyProtection="0"/>
    <xf numFmtId="0" fontId="44" fillId="0" borderId="0"/>
    <xf numFmtId="0" fontId="36" fillId="0" borderId="0"/>
    <xf numFmtId="44" fontId="45" fillId="0" borderId="0" applyFont="0" applyFill="0" applyBorder="0" applyAlignment="0" applyProtection="0"/>
    <xf numFmtId="0" fontId="44" fillId="0" borderId="0"/>
  </cellStyleXfs>
  <cellXfs count="1284">
    <xf numFmtId="0" fontId="0" fillId="0" borderId="0" xfId="0"/>
    <xf numFmtId="0" fontId="5" fillId="0" borderId="0" xfId="3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7" fillId="0" borderId="2" xfId="1" applyFont="1" applyFill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7" fillId="0" borderId="3" xfId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3"/>
    </xf>
    <xf numFmtId="43" fontId="7" fillId="3" borderId="0" xfId="1" applyFont="1" applyFill="1"/>
    <xf numFmtId="3" fontId="4" fillId="4" borderId="3" xfId="0" applyNumberFormat="1" applyFont="1" applyFill="1" applyBorder="1" applyAlignment="1">
      <alignment horizontal="center" vertical="center"/>
    </xf>
    <xf numFmtId="0" fontId="10" fillId="0" borderId="0" xfId="0" applyFont="1"/>
    <xf numFmtId="43" fontId="4" fillId="0" borderId="3" xfId="1" applyFont="1" applyFill="1" applyBorder="1" applyAlignment="1">
      <alignment vertical="center"/>
    </xf>
    <xf numFmtId="43" fontId="7" fillId="0" borderId="3" xfId="1" applyFont="1" applyFill="1" applyBorder="1" applyAlignment="1">
      <alignment vertical="center"/>
    </xf>
    <xf numFmtId="169" fontId="7" fillId="0" borderId="0" xfId="0" applyNumberFormat="1" applyFont="1"/>
    <xf numFmtId="0" fontId="11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43" fontId="11" fillId="5" borderId="3" xfId="1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70" fontId="12" fillId="0" borderId="4" xfId="0" applyNumberFormat="1" applyFont="1" applyBorder="1" applyAlignment="1">
      <alignment vertical="center"/>
    </xf>
    <xf numFmtId="43" fontId="7" fillId="0" borderId="0" xfId="1" applyFont="1"/>
    <xf numFmtId="164" fontId="7" fillId="0" borderId="0" xfId="1" applyNumberFormat="1" applyFont="1"/>
    <xf numFmtId="0" fontId="12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0" xfId="0" applyFont="1" applyFill="1"/>
    <xf numFmtId="0" fontId="7" fillId="0" borderId="0" xfId="0" applyFont="1" applyAlignment="1">
      <alignment horizontal="center"/>
    </xf>
    <xf numFmtId="164" fontId="12" fillId="5" borderId="0" xfId="1" applyNumberFormat="1" applyFont="1" applyFill="1"/>
    <xf numFmtId="0" fontId="14" fillId="0" borderId="0" xfId="0" applyFont="1" applyAlignment="1">
      <alignment horizontal="right"/>
    </xf>
    <xf numFmtId="0" fontId="14" fillId="0" borderId="0" xfId="0" applyFont="1"/>
    <xf numFmtId="0" fontId="10" fillId="6" borderId="0" xfId="0" applyFont="1" applyFill="1"/>
    <xf numFmtId="0" fontId="9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1" applyNumberFormat="1" applyFont="1" applyBorder="1" applyAlignment="1">
      <alignment vertical="center"/>
    </xf>
    <xf numFmtId="9" fontId="3" fillId="0" borderId="3" xfId="2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164" fontId="9" fillId="0" borderId="3" xfId="1" applyNumberFormat="1" applyFon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164" fontId="15" fillId="0" borderId="3" xfId="1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 wrapText="1"/>
    </xf>
    <xf numFmtId="164" fontId="7" fillId="0" borderId="3" xfId="1" applyNumberFormat="1" applyFont="1" applyBorder="1" applyAlignment="1">
      <alignment vertical="center"/>
    </xf>
    <xf numFmtId="164" fontId="9" fillId="4" borderId="3" xfId="1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center" vertical="center"/>
    </xf>
    <xf numFmtId="164" fontId="7" fillId="4" borderId="3" xfId="1" applyNumberFormat="1" applyFont="1" applyFill="1" applyBorder="1" applyAlignment="1">
      <alignment vertical="center"/>
    </xf>
    <xf numFmtId="164" fontId="7" fillId="4" borderId="3" xfId="1" applyNumberFormat="1" applyFont="1" applyFill="1" applyBorder="1"/>
    <xf numFmtId="0" fontId="16" fillId="0" borderId="3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9" fontId="16" fillId="0" borderId="3" xfId="2" applyFont="1" applyFill="1" applyBorder="1" applyAlignment="1">
      <alignment vertical="center"/>
    </xf>
    <xf numFmtId="164" fontId="9" fillId="0" borderId="3" xfId="1" applyNumberFormat="1" applyFont="1" applyFill="1" applyBorder="1" applyAlignment="1">
      <alignment vertical="center"/>
    </xf>
    <xf numFmtId="171" fontId="7" fillId="4" borderId="3" xfId="1" applyNumberFormat="1" applyFont="1" applyFill="1" applyBorder="1" applyAlignment="1">
      <alignment vertical="center"/>
    </xf>
    <xf numFmtId="171" fontId="7" fillId="0" borderId="3" xfId="1" applyNumberFormat="1" applyFont="1" applyFill="1" applyBorder="1" applyAlignment="1">
      <alignment vertical="center"/>
    </xf>
    <xf numFmtId="164" fontId="7" fillId="0" borderId="3" xfId="1" applyNumberFormat="1" applyFont="1" applyFill="1" applyBorder="1" applyAlignment="1">
      <alignment vertical="center"/>
    </xf>
    <xf numFmtId="172" fontId="7" fillId="0" borderId="3" xfId="1" applyNumberFormat="1" applyFont="1" applyFill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172" fontId="7" fillId="4" borderId="0" xfId="1" applyNumberFormat="1" applyFont="1" applyFill="1"/>
    <xf numFmtId="164" fontId="9" fillId="6" borderId="3" xfId="1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164" fontId="9" fillId="7" borderId="3" xfId="1" applyNumberFormat="1" applyFont="1" applyFill="1" applyBorder="1" applyAlignment="1">
      <alignment vertical="center"/>
    </xf>
    <xf numFmtId="164" fontId="7" fillId="7" borderId="3" xfId="1" applyNumberFormat="1" applyFont="1" applyFill="1" applyBorder="1" applyAlignment="1">
      <alignment vertical="center"/>
    </xf>
    <xf numFmtId="0" fontId="12" fillId="0" borderId="3" xfId="0" applyFont="1" applyBorder="1" applyAlignment="1">
      <alignment horizontal="right" vertical="center" wrapText="1"/>
    </xf>
    <xf numFmtId="164" fontId="12" fillId="7" borderId="3" xfId="1" applyNumberFormat="1" applyFont="1" applyFill="1" applyBorder="1" applyAlignment="1">
      <alignment vertical="center"/>
    </xf>
    <xf numFmtId="164" fontId="12" fillId="0" borderId="3" xfId="1" applyNumberFormat="1" applyFont="1" applyBorder="1" applyAlignment="1">
      <alignment vertical="center"/>
    </xf>
    <xf numFmtId="0" fontId="9" fillId="0" borderId="3" xfId="0" applyFont="1" applyBorder="1" applyAlignment="1">
      <alignment horizontal="right" vertical="center" wrapText="1"/>
    </xf>
    <xf numFmtId="0" fontId="9" fillId="8" borderId="3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horizontal="center" vertical="center"/>
    </xf>
    <xf numFmtId="164" fontId="9" fillId="8" borderId="3" xfId="1" applyNumberFormat="1" applyFont="1" applyFill="1" applyBorder="1" applyAlignment="1">
      <alignment vertical="center"/>
    </xf>
    <xf numFmtId="172" fontId="9" fillId="8" borderId="3" xfId="1" applyNumberFormat="1" applyFont="1" applyFill="1" applyBorder="1" applyAlignment="1">
      <alignment vertical="center"/>
    </xf>
    <xf numFmtId="172" fontId="4" fillId="5" borderId="0" xfId="1" applyNumberFormat="1" applyFont="1" applyFill="1"/>
    <xf numFmtId="0" fontId="17" fillId="0" borderId="3" xfId="0" applyFont="1" applyBorder="1" applyAlignment="1">
      <alignment horizontal="right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172" fontId="17" fillId="0" borderId="3" xfId="1" applyNumberFormat="1" applyFont="1" applyBorder="1" applyAlignment="1">
      <alignment vertical="center"/>
    </xf>
    <xf numFmtId="172" fontId="7" fillId="5" borderId="0" xfId="1" applyNumberFormat="1" applyFont="1" applyFill="1"/>
    <xf numFmtId="0" fontId="4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vertical="center"/>
    </xf>
    <xf numFmtId="172" fontId="7" fillId="0" borderId="3" xfId="1" applyNumberFormat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12" fillId="0" borderId="0" xfId="1" applyNumberFormat="1" applyFont="1" applyBorder="1" applyAlignment="1">
      <alignment vertical="center"/>
    </xf>
    <xf numFmtId="0" fontId="18" fillId="0" borderId="6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2" fontId="18" fillId="0" borderId="6" xfId="0" applyNumberFormat="1" applyFont="1" applyBorder="1" applyAlignment="1">
      <alignment vertical="center"/>
    </xf>
    <xf numFmtId="169" fontId="12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64" fontId="7" fillId="4" borderId="2" xfId="1" applyNumberFormat="1" applyFont="1" applyFill="1" applyBorder="1" applyAlignment="1">
      <alignment vertical="center"/>
    </xf>
    <xf numFmtId="164" fontId="7" fillId="0" borderId="2" xfId="1" applyNumberFormat="1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43" fontId="7" fillId="0" borderId="3" xfId="1" applyFont="1" applyBorder="1" applyAlignment="1">
      <alignment vertical="center"/>
    </xf>
    <xf numFmtId="0" fontId="10" fillId="6" borderId="0" xfId="0" applyFont="1" applyFill="1" applyAlignment="1">
      <alignment horizontal="center"/>
    </xf>
    <xf numFmtId="43" fontId="7" fillId="3" borderId="3" xfId="1" applyFont="1" applyFill="1" applyBorder="1" applyAlignment="1">
      <alignment vertical="center"/>
    </xf>
    <xf numFmtId="0" fontId="20" fillId="0" borderId="0" xfId="0" applyFont="1" applyAlignment="1">
      <alignment horizontal="center"/>
    </xf>
    <xf numFmtId="0" fontId="4" fillId="0" borderId="0" xfId="0" applyFont="1"/>
    <xf numFmtId="164" fontId="7" fillId="4" borderId="0" xfId="1" applyNumberFormat="1" applyFont="1" applyFill="1"/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0" xfId="1" applyNumberFormat="1" applyFont="1" applyFill="1"/>
    <xf numFmtId="0" fontId="9" fillId="5" borderId="0" xfId="0" applyFont="1" applyFill="1"/>
    <xf numFmtId="43" fontId="9" fillId="5" borderId="0" xfId="1" applyFont="1" applyFill="1"/>
    <xf numFmtId="164" fontId="7" fillId="3" borderId="3" xfId="1" applyNumberFormat="1" applyFont="1" applyFill="1" applyBorder="1"/>
    <xf numFmtId="164" fontId="7" fillId="3" borderId="2" xfId="1" applyNumberFormat="1" applyFont="1" applyFill="1" applyBorder="1"/>
    <xf numFmtId="164" fontId="7" fillId="4" borderId="2" xfId="1" applyNumberFormat="1" applyFont="1" applyFill="1" applyBorder="1"/>
    <xf numFmtId="172" fontId="7" fillId="0" borderId="2" xfId="1" applyNumberFormat="1" applyFont="1" applyFill="1" applyBorder="1"/>
    <xf numFmtId="172" fontId="7" fillId="0" borderId="3" xfId="1" applyNumberFormat="1" applyFont="1" applyFill="1" applyBorder="1"/>
    <xf numFmtId="0" fontId="7" fillId="0" borderId="0" xfId="0" applyFont="1" applyAlignment="1">
      <alignment horizontal="right"/>
    </xf>
    <xf numFmtId="9" fontId="7" fillId="4" borderId="0" xfId="2" applyFont="1" applyFill="1"/>
    <xf numFmtId="43" fontId="7" fillId="4" borderId="0" xfId="1" applyFont="1" applyFill="1"/>
    <xf numFmtId="9" fontId="7" fillId="4" borderId="0" xfId="0" applyNumberFormat="1" applyFont="1" applyFill="1"/>
    <xf numFmtId="0" fontId="7" fillId="0" borderId="4" xfId="0" applyFont="1" applyBorder="1"/>
    <xf numFmtId="164" fontId="7" fillId="0" borderId="4" xfId="1" applyNumberFormat="1" applyFont="1" applyBorder="1"/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0" fillId="0" borderId="0" xfId="0" applyFont="1"/>
    <xf numFmtId="0" fontId="8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174" fontId="0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3" fontId="0" fillId="3" borderId="3" xfId="0" applyNumberFormat="1" applyFont="1" applyFill="1" applyBorder="1" applyAlignment="1">
      <alignment horizontal="center" vertical="center"/>
    </xf>
    <xf numFmtId="165" fontId="0" fillId="3" borderId="3" xfId="0" applyNumberFormat="1" applyFont="1" applyFill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7" fillId="3" borderId="0" xfId="0" applyFont="1" applyFill="1"/>
    <xf numFmtId="0" fontId="12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12" fillId="0" borderId="0" xfId="0" applyFont="1" applyFill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vertical="center"/>
    </xf>
    <xf numFmtId="0" fontId="2" fillId="0" borderId="3" xfId="0" applyFont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0" xfId="0" applyFont="1" applyFill="1"/>
    <xf numFmtId="9" fontId="16" fillId="0" borderId="0" xfId="2" applyFont="1" applyFill="1"/>
    <xf numFmtId="0" fontId="9" fillId="0" borderId="3" xfId="0" applyFont="1" applyFill="1" applyBorder="1" applyAlignment="1">
      <alignment vertical="center" wrapText="1"/>
    </xf>
    <xf numFmtId="164" fontId="7" fillId="3" borderId="5" xfId="1" applyNumberFormat="1" applyFont="1" applyFill="1" applyBorder="1"/>
    <xf numFmtId="171" fontId="7" fillId="3" borderId="2" xfId="1" applyNumberFormat="1" applyFont="1" applyFill="1" applyBorder="1"/>
    <xf numFmtId="171" fontId="7" fillId="3" borderId="3" xfId="1" applyNumberFormat="1" applyFont="1" applyFill="1" applyBorder="1"/>
    <xf numFmtId="0" fontId="7" fillId="0" borderId="3" xfId="0" applyFont="1" applyFill="1" applyBorder="1" applyAlignment="1">
      <alignment horizontal="right" vertical="center" wrapText="1"/>
    </xf>
    <xf numFmtId="0" fontId="29" fillId="0" borderId="3" xfId="0" applyFont="1" applyBorder="1" applyAlignment="1">
      <alignment horizontal="center" vertical="center"/>
    </xf>
    <xf numFmtId="164" fontId="30" fillId="0" borderId="3" xfId="1" applyNumberFormat="1" applyFont="1" applyFill="1" applyBorder="1" applyAlignment="1">
      <alignment vertical="center"/>
    </xf>
    <xf numFmtId="164" fontId="29" fillId="0" borderId="3" xfId="1" applyNumberFormat="1" applyFont="1" applyFill="1" applyBorder="1" applyAlignment="1">
      <alignment vertical="center"/>
    </xf>
    <xf numFmtId="0" fontId="20" fillId="0" borderId="4" xfId="0" applyFont="1" applyBorder="1"/>
    <xf numFmtId="0" fontId="29" fillId="0" borderId="3" xfId="0" applyFont="1" applyFill="1" applyBorder="1" applyAlignment="1">
      <alignment vertical="center" wrapText="1"/>
    </xf>
    <xf numFmtId="164" fontId="31" fillId="4" borderId="0" xfId="1" applyNumberFormat="1" applyFont="1" applyFill="1"/>
    <xf numFmtId="0" fontId="9" fillId="3" borderId="0" xfId="0" applyFont="1" applyFill="1"/>
    <xf numFmtId="164" fontId="10" fillId="0" borderId="0" xfId="1" applyNumberFormat="1" applyFont="1"/>
    <xf numFmtId="0" fontId="7" fillId="0" borderId="3" xfId="0" applyFont="1" applyFill="1" applyBorder="1" applyAlignment="1">
      <alignment horizontal="center" vertical="center"/>
    </xf>
    <xf numFmtId="164" fontId="20" fillId="4" borderId="2" xfId="1" applyNumberFormat="1" applyFont="1" applyFill="1" applyBorder="1"/>
    <xf numFmtId="164" fontId="20" fillId="4" borderId="3" xfId="1" applyNumberFormat="1" applyFont="1" applyFill="1" applyBorder="1"/>
    <xf numFmtId="164" fontId="20" fillId="4" borderId="5" xfId="1" applyNumberFormat="1" applyFont="1" applyFill="1" applyBorder="1"/>
    <xf numFmtId="164" fontId="4" fillId="0" borderId="0" xfId="0" applyNumberFormat="1" applyFont="1" applyFill="1"/>
    <xf numFmtId="0" fontId="7" fillId="0" borderId="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66" fontId="7" fillId="3" borderId="3" xfId="0" applyNumberFormat="1" applyFont="1" applyFill="1" applyBorder="1" applyAlignment="1">
      <alignment horizontal="center" vertical="center"/>
    </xf>
    <xf numFmtId="167" fontId="7" fillId="3" borderId="3" xfId="0" applyNumberFormat="1" applyFont="1" applyFill="1" applyBorder="1" applyAlignment="1">
      <alignment horizontal="center" vertical="center"/>
    </xf>
    <xf numFmtId="168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164" fontId="4" fillId="0" borderId="0" xfId="1" applyNumberFormat="1" applyFont="1"/>
    <xf numFmtId="0" fontId="1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4" fontId="0" fillId="4" borderId="0" xfId="1" applyNumberFormat="1" applyFont="1" applyFill="1"/>
    <xf numFmtId="0" fontId="7" fillId="4" borderId="3" xfId="0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43" fontId="0" fillId="0" borderId="3" xfId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72" fontId="11" fillId="0" borderId="3" xfId="1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3" xfId="0" applyFont="1" applyFill="1" applyBorder="1" applyAlignment="1">
      <alignment horizontal="center" vertical="center" wrapText="1"/>
    </xf>
    <xf numFmtId="175" fontId="0" fillId="3" borderId="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/>
    </xf>
    <xf numFmtId="0" fontId="7" fillId="0" borderId="3" xfId="0" applyFont="1" applyFill="1" applyBorder="1" applyAlignment="1">
      <alignment vertical="center"/>
    </xf>
    <xf numFmtId="43" fontId="0" fillId="4" borderId="0" xfId="1" applyFont="1" applyFill="1"/>
    <xf numFmtId="0" fontId="32" fillId="0" borderId="7" xfId="0" applyFont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172" fontId="7" fillId="4" borderId="3" xfId="1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43" fontId="11" fillId="0" borderId="0" xfId="1" applyFont="1" applyFill="1"/>
    <xf numFmtId="171" fontId="7" fillId="0" borderId="3" xfId="1" applyNumberFormat="1" applyFont="1" applyFill="1" applyBorder="1"/>
    <xf numFmtId="164" fontId="7" fillId="0" borderId="3" xfId="1" applyNumberFormat="1" applyFont="1" applyFill="1" applyBorder="1"/>
    <xf numFmtId="0" fontId="20" fillId="0" borderId="3" xfId="0" applyFont="1" applyFill="1" applyBorder="1"/>
    <xf numFmtId="0" fontId="20" fillId="0" borderId="5" xfId="0" applyFont="1" applyFill="1" applyBorder="1"/>
    <xf numFmtId="164" fontId="7" fillId="0" borderId="5" xfId="1" applyNumberFormat="1" applyFont="1" applyFill="1" applyBorder="1"/>
    <xf numFmtId="0" fontId="33" fillId="0" borderId="1" xfId="0" applyFont="1" applyBorder="1" applyAlignment="1">
      <alignment horizontal="center" vertical="center" wrapText="1"/>
    </xf>
    <xf numFmtId="0" fontId="20" fillId="4" borderId="2" xfId="0" applyFont="1" applyFill="1" applyBorder="1"/>
    <xf numFmtId="0" fontId="20" fillId="4" borderId="3" xfId="0" applyFont="1" applyFill="1" applyBorder="1"/>
    <xf numFmtId="0" fontId="20" fillId="4" borderId="5" xfId="0" applyFont="1" applyFill="1" applyBorder="1"/>
    <xf numFmtId="164" fontId="20" fillId="0" borderId="3" xfId="1" applyNumberFormat="1" applyFont="1" applyFill="1" applyBorder="1"/>
    <xf numFmtId="164" fontId="20" fillId="0" borderId="5" xfId="1" applyNumberFormat="1" applyFont="1" applyFill="1" applyBorder="1"/>
    <xf numFmtId="0" fontId="34" fillId="0" borderId="0" xfId="0" applyFont="1"/>
    <xf numFmtId="0" fontId="35" fillId="0" borderId="0" xfId="0" applyFont="1"/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9" fillId="3" borderId="3" xfId="1" applyNumberFormat="1" applyFont="1" applyFill="1" applyBorder="1" applyAlignment="1">
      <alignment vertical="center"/>
    </xf>
    <xf numFmtId="0" fontId="0" fillId="4" borderId="3" xfId="0" applyFont="1" applyFill="1" applyBorder="1" applyAlignment="1">
      <alignment horizontal="center" vertical="center" wrapText="1"/>
    </xf>
    <xf numFmtId="175" fontId="0" fillId="4" borderId="3" xfId="1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3" fontId="0" fillId="4" borderId="3" xfId="0" applyNumberFormat="1" applyFont="1" applyFill="1" applyBorder="1" applyAlignment="1">
      <alignment horizontal="center" vertical="center"/>
    </xf>
    <xf numFmtId="172" fontId="0" fillId="3" borderId="3" xfId="1" applyNumberFormat="1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3" xfId="0" applyFont="1" applyFill="1" applyBorder="1" applyAlignment="1">
      <alignment vertical="center" wrapText="1"/>
    </xf>
    <xf numFmtId="2" fontId="0" fillId="4" borderId="0" xfId="0" applyNumberFormat="1" applyFont="1" applyFill="1"/>
    <xf numFmtId="9" fontId="0" fillId="4" borderId="0" xfId="2" applyFont="1" applyFill="1"/>
    <xf numFmtId="0" fontId="0" fillId="0" borderId="0" xfId="0" applyFont="1" applyAlignment="1">
      <alignment horizontal="center"/>
    </xf>
    <xf numFmtId="174" fontId="0" fillId="4" borderId="3" xfId="0" applyNumberFormat="1" applyFont="1" applyFill="1" applyBorder="1" applyAlignment="1">
      <alignment horizontal="center" vertical="center"/>
    </xf>
    <xf numFmtId="165" fontId="0" fillId="4" borderId="3" xfId="0" applyNumberFormat="1" applyFont="1" applyFill="1" applyBorder="1" applyAlignment="1">
      <alignment horizontal="center" vertical="center"/>
    </xf>
    <xf numFmtId="9" fontId="0" fillId="0" borderId="0" xfId="0" applyNumberFormat="1" applyFont="1" applyFill="1"/>
    <xf numFmtId="43" fontId="0" fillId="0" borderId="0" xfId="1" applyFont="1"/>
    <xf numFmtId="172" fontId="0" fillId="4" borderId="0" xfId="1" applyNumberFormat="1" applyFont="1" applyFill="1"/>
    <xf numFmtId="9" fontId="0" fillId="4" borderId="1" xfId="0" applyNumberFormat="1" applyFont="1" applyFill="1" applyBorder="1"/>
    <xf numFmtId="172" fontId="0" fillId="4" borderId="1" xfId="1" applyNumberFormat="1" applyFont="1" applyFill="1" applyBorder="1"/>
    <xf numFmtId="0" fontId="8" fillId="0" borderId="3" xfId="0" applyFont="1" applyFill="1" applyBorder="1" applyAlignment="1">
      <alignment vertical="center" wrapText="1"/>
    </xf>
    <xf numFmtId="1" fontId="0" fillId="3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176" fontId="28" fillId="5" borderId="3" xfId="1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27" fillId="0" borderId="3" xfId="0" applyFont="1" applyFill="1" applyBorder="1" applyAlignment="1">
      <alignment horizontal="right" vertical="center" wrapText="1"/>
    </xf>
    <xf numFmtId="0" fontId="11" fillId="0" borderId="3" xfId="0" applyFont="1" applyBorder="1"/>
    <xf numFmtId="43" fontId="0" fillId="0" borderId="3" xfId="1" applyFont="1" applyBorder="1"/>
    <xf numFmtId="43" fontId="11" fillId="0" borderId="3" xfId="1" applyFont="1" applyBorder="1"/>
    <xf numFmtId="0" fontId="0" fillId="0" borderId="3" xfId="0" applyBorder="1"/>
    <xf numFmtId="172" fontId="0" fillId="0" borderId="3" xfId="1" applyNumberFormat="1" applyFont="1" applyBorder="1"/>
    <xf numFmtId="172" fontId="11" fillId="0" borderId="3" xfId="1" applyNumberFormat="1" applyFont="1" applyBorder="1"/>
    <xf numFmtId="0" fontId="0" fillId="0" borderId="4" xfId="0" applyBorder="1"/>
    <xf numFmtId="0" fontId="11" fillId="0" borderId="2" xfId="0" applyFont="1" applyBorder="1"/>
    <xf numFmtId="43" fontId="0" fillId="0" borderId="2" xfId="1" applyFont="1" applyBorder="1"/>
    <xf numFmtId="43" fontId="11" fillId="0" borderId="2" xfId="1" applyFont="1" applyBorder="1"/>
    <xf numFmtId="0" fontId="0" fillId="2" borderId="1" xfId="0" applyFill="1" applyBorder="1"/>
    <xf numFmtId="17" fontId="0" fillId="2" borderId="1" xfId="0" applyNumberForma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7" fillId="0" borderId="3" xfId="0" applyFont="1" applyBorder="1"/>
    <xf numFmtId="43" fontId="37" fillId="0" borderId="3" xfId="1" applyFont="1" applyBorder="1"/>
    <xf numFmtId="43" fontId="38" fillId="0" borderId="3" xfId="1" applyFont="1" applyBorder="1"/>
    <xf numFmtId="172" fontId="37" fillId="0" borderId="3" xfId="1" applyNumberFormat="1" applyFont="1" applyBorder="1"/>
    <xf numFmtId="172" fontId="38" fillId="0" borderId="3" xfId="1" applyNumberFormat="1" applyFont="1" applyBorder="1"/>
    <xf numFmtId="0" fontId="39" fillId="0" borderId="3" xfId="0" applyFont="1" applyBorder="1"/>
    <xf numFmtId="43" fontId="39" fillId="0" borderId="3" xfId="1" applyFont="1" applyBorder="1"/>
    <xf numFmtId="43" fontId="40" fillId="0" borderId="3" xfId="1" applyFont="1" applyBorder="1"/>
    <xf numFmtId="172" fontId="39" fillId="0" borderId="3" xfId="1" applyNumberFormat="1" applyFont="1" applyBorder="1"/>
    <xf numFmtId="172" fontId="40" fillId="0" borderId="3" xfId="1" applyNumberFormat="1" applyFont="1" applyBorder="1"/>
    <xf numFmtId="172" fontId="41" fillId="0" borderId="3" xfId="1" applyNumberFormat="1" applyFont="1" applyBorder="1"/>
    <xf numFmtId="43" fontId="41" fillId="0" borderId="3" xfId="1" applyFont="1" applyBorder="1"/>
    <xf numFmtId="0" fontId="42" fillId="3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164" fontId="3" fillId="6" borderId="3" xfId="1" applyNumberFormat="1" applyFont="1" applyFill="1" applyBorder="1" applyAlignment="1">
      <alignment vertical="center"/>
    </xf>
    <xf numFmtId="1" fontId="4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/>
    <xf numFmtId="43" fontId="0" fillId="0" borderId="0" xfId="1" applyFont="1" applyFill="1"/>
    <xf numFmtId="164" fontId="0" fillId="0" borderId="0" xfId="1" applyNumberFormat="1" applyFont="1" applyFill="1"/>
    <xf numFmtId="0" fontId="11" fillId="0" borderId="3" xfId="0" applyNumberFormat="1" applyFont="1" applyBorder="1" applyAlignme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11" fillId="7" borderId="3" xfId="0" applyNumberFormat="1" applyFont="1" applyFill="1" applyBorder="1" applyAlignment="1">
      <alignment vertical="center"/>
    </xf>
    <xf numFmtId="172" fontId="0" fillId="7" borderId="3" xfId="1" applyNumberFormat="1" applyFont="1" applyFill="1" applyBorder="1" applyAlignment="1">
      <alignment vertical="center"/>
    </xf>
    <xf numFmtId="172" fontId="0" fillId="7" borderId="5" xfId="1" applyNumberFormat="1" applyFont="1" applyFill="1" applyBorder="1" applyAlignment="1">
      <alignment vertical="center"/>
    </xf>
    <xf numFmtId="164" fontId="0" fillId="7" borderId="2" xfId="0" applyNumberFormat="1" applyFill="1" applyBorder="1" applyAlignment="1">
      <alignment vertical="center"/>
    </xf>
    <xf numFmtId="164" fontId="0" fillId="7" borderId="3" xfId="1" applyNumberFormat="1" applyFont="1" applyFill="1" applyBorder="1" applyAlignment="1">
      <alignment vertical="center"/>
    </xf>
    <xf numFmtId="43" fontId="0" fillId="7" borderId="3" xfId="1" applyFont="1" applyFill="1" applyBorder="1" applyAlignment="1">
      <alignment vertical="center"/>
    </xf>
    <xf numFmtId="164" fontId="0" fillId="7" borderId="3" xfId="0" applyNumberFormat="1" applyFill="1" applyBorder="1" applyAlignment="1">
      <alignment vertical="center"/>
    </xf>
    <xf numFmtId="172" fontId="11" fillId="7" borderId="3" xfId="1" applyNumberFormat="1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172" fontId="0" fillId="0" borderId="3" xfId="1" applyNumberFormat="1" applyFont="1" applyFill="1" applyBorder="1" applyAlignment="1">
      <alignment vertical="center"/>
    </xf>
    <xf numFmtId="172" fontId="0" fillId="0" borderId="5" xfId="1" applyNumberFormat="1" applyFont="1" applyFill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164" fontId="0" fillId="0" borderId="2" xfId="0" applyNumberFormat="1" applyFill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3" xfId="0" applyNumberFormat="1" applyFill="1" applyBorder="1" applyAlignment="1">
      <alignment vertical="center"/>
    </xf>
    <xf numFmtId="172" fontId="11" fillId="0" borderId="3" xfId="1" applyNumberFormat="1" applyFont="1" applyFill="1" applyBorder="1" applyAlignment="1">
      <alignment vertical="center"/>
    </xf>
    <xf numFmtId="164" fontId="11" fillId="0" borderId="3" xfId="0" applyNumberFormat="1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9" fillId="7" borderId="3" xfId="0" applyFont="1" applyFill="1" applyBorder="1"/>
    <xf numFmtId="43" fontId="39" fillId="7" borderId="3" xfId="1" applyFont="1" applyFill="1" applyBorder="1"/>
    <xf numFmtId="43" fontId="40" fillId="7" borderId="3" xfId="1" applyFont="1" applyFill="1" applyBorder="1"/>
    <xf numFmtId="172" fontId="39" fillId="7" borderId="3" xfId="1" applyNumberFormat="1" applyFont="1" applyFill="1" applyBorder="1"/>
    <xf numFmtId="172" fontId="40" fillId="7" borderId="3" xfId="1" applyNumberFormat="1" applyFont="1" applyFill="1" applyBorder="1"/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175" fontId="0" fillId="0" borderId="3" xfId="1" applyNumberFormat="1" applyFont="1" applyFill="1" applyBorder="1" applyAlignment="1">
      <alignment horizontal="center" vertical="center"/>
    </xf>
    <xf numFmtId="165" fontId="0" fillId="0" borderId="3" xfId="0" applyNumberFormat="1" applyFont="1" applyFill="1" applyBorder="1" applyAlignment="1">
      <alignment horizontal="center" vertical="center"/>
    </xf>
    <xf numFmtId="174" fontId="0" fillId="0" borderId="3" xfId="0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176" fontId="28" fillId="0" borderId="3" xfId="1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43" fontId="4" fillId="0" borderId="9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horizontal="center" vertical="center"/>
    </xf>
    <xf numFmtId="0" fontId="1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11" fillId="4" borderId="3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43" fontId="6" fillId="4" borderId="0" xfId="1" applyFont="1" applyFill="1"/>
    <xf numFmtId="1" fontId="0" fillId="4" borderId="3" xfId="0" applyNumberFormat="1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/>
    </xf>
    <xf numFmtId="43" fontId="32" fillId="4" borderId="9" xfId="1" applyFont="1" applyFill="1" applyBorder="1" applyAlignment="1">
      <alignment vertical="center"/>
    </xf>
    <xf numFmtId="0" fontId="34" fillId="4" borderId="0" xfId="0" applyFont="1" applyFill="1"/>
    <xf numFmtId="0" fontId="44" fillId="0" borderId="0" xfId="8" applyFont="1" applyAlignment="1">
      <alignment vertical="center"/>
    </xf>
    <xf numFmtId="0" fontId="46" fillId="11" borderId="0" xfId="10" applyFont="1" applyFill="1" applyAlignment="1">
      <alignment horizontal="center" vertical="center"/>
    </xf>
    <xf numFmtId="0" fontId="44" fillId="0" borderId="0" xfId="8" applyFont="1" applyAlignment="1">
      <alignment horizontal="center" vertical="center"/>
    </xf>
    <xf numFmtId="177" fontId="44" fillId="0" borderId="0" xfId="8" applyNumberFormat="1" applyFont="1" applyAlignment="1">
      <alignment horizontal="center" vertical="center"/>
    </xf>
    <xf numFmtId="0" fontId="47" fillId="0" borderId="0" xfId="8" applyFont="1" applyAlignment="1">
      <alignment vertical="center"/>
    </xf>
    <xf numFmtId="0" fontId="48" fillId="0" borderId="0" xfId="8" applyFont="1" applyAlignment="1">
      <alignment horizontal="left" vertical="center" wrapText="1"/>
    </xf>
    <xf numFmtId="0" fontId="47" fillId="0" borderId="0" xfId="8" applyFont="1" applyAlignment="1">
      <alignment horizontal="left" vertical="center"/>
    </xf>
    <xf numFmtId="178" fontId="44" fillId="0" borderId="0" xfId="8" applyNumberFormat="1" applyFont="1" applyAlignment="1">
      <alignment horizontal="center" vertical="center"/>
    </xf>
    <xf numFmtId="0" fontId="48" fillId="0" borderId="0" xfId="8" applyFont="1" applyAlignment="1">
      <alignment horizontal="center" vertical="center"/>
    </xf>
    <xf numFmtId="0" fontId="44" fillId="0" borderId="0" xfId="8" applyFont="1" applyAlignment="1">
      <alignment horizontal="right" vertical="center" indent="1"/>
    </xf>
    <xf numFmtId="0" fontId="49" fillId="0" borderId="13" xfId="8" applyFont="1" applyBorder="1" applyAlignment="1">
      <alignment vertical="center" wrapText="1"/>
    </xf>
    <xf numFmtId="0" fontId="49" fillId="0" borderId="14" xfId="8" applyFont="1" applyBorder="1" applyAlignment="1">
      <alignment horizontal="center" vertical="center" wrapText="1"/>
    </xf>
    <xf numFmtId="2" fontId="44" fillId="0" borderId="15" xfId="8" applyNumberFormat="1" applyFont="1" applyBorder="1" applyAlignment="1">
      <alignment horizontal="left" vertical="center" wrapText="1"/>
    </xf>
    <xf numFmtId="180" fontId="49" fillId="0" borderId="0" xfId="11" applyNumberFormat="1" applyFont="1" applyFill="1" applyAlignment="1">
      <alignment vertical="center"/>
    </xf>
    <xf numFmtId="0" fontId="49" fillId="0" borderId="0" xfId="8" applyFont="1" applyAlignment="1">
      <alignment vertical="center"/>
    </xf>
    <xf numFmtId="0" fontId="49" fillId="0" borderId="16" xfId="8" applyFont="1" applyBorder="1" applyAlignment="1">
      <alignment vertical="center" wrapText="1"/>
    </xf>
    <xf numFmtId="0" fontId="49" fillId="0" borderId="1" xfId="8" applyFont="1" applyBorder="1" applyAlignment="1">
      <alignment horizontal="center" vertical="center" wrapText="1"/>
    </xf>
    <xf numFmtId="0" fontId="49" fillId="11" borderId="1" xfId="8" applyFont="1" applyFill="1" applyBorder="1" applyAlignment="1">
      <alignment horizontal="center" vertical="center" wrapText="1"/>
    </xf>
    <xf numFmtId="2" fontId="44" fillId="0" borderId="17" xfId="8" applyNumberFormat="1" applyFont="1" applyBorder="1" applyAlignment="1">
      <alignment horizontal="left" vertical="center" wrapText="1"/>
    </xf>
    <xf numFmtId="4" fontId="49" fillId="0" borderId="1" xfId="8" applyNumberFormat="1" applyFont="1" applyBorder="1" applyAlignment="1">
      <alignment horizontal="center" vertical="center" wrapText="1"/>
    </xf>
    <xf numFmtId="0" fontId="44" fillId="0" borderId="16" xfId="8" applyFont="1" applyBorder="1" applyAlignment="1">
      <alignment horizontal="right" vertical="center" wrapText="1"/>
    </xf>
    <xf numFmtId="0" fontId="44" fillId="0" borderId="1" xfId="8" applyFont="1" applyBorder="1" applyAlignment="1">
      <alignment horizontal="center" vertical="center" wrapText="1"/>
    </xf>
    <xf numFmtId="3" fontId="44" fillId="0" borderId="1" xfId="8" applyNumberFormat="1" applyFont="1" applyBorder="1" applyAlignment="1">
      <alignment horizontal="right" vertical="center" wrapText="1"/>
    </xf>
    <xf numFmtId="0" fontId="44" fillId="11" borderId="1" xfId="8" applyFont="1" applyFill="1" applyBorder="1" applyAlignment="1">
      <alignment horizontal="center" vertical="center" wrapText="1"/>
    </xf>
    <xf numFmtId="4" fontId="44" fillId="0" borderId="1" xfId="8" applyNumberFormat="1" applyFont="1" applyBorder="1" applyAlignment="1">
      <alignment horizontal="center" vertical="center" wrapText="1"/>
    </xf>
    <xf numFmtId="49" fontId="44" fillId="11" borderId="1" xfId="8" applyNumberFormat="1" applyFont="1" applyFill="1" applyBorder="1" applyAlignment="1">
      <alignment horizontal="center" vertical="center" wrapText="1"/>
    </xf>
    <xf numFmtId="0" fontId="49" fillId="0" borderId="18" xfId="8" applyFont="1" applyBorder="1" applyAlignment="1">
      <alignment vertical="center" wrapText="1"/>
    </xf>
    <xf numFmtId="0" fontId="44" fillId="0" borderId="19" xfId="8" applyFont="1" applyBorder="1" applyAlignment="1">
      <alignment horizontal="center" vertical="center" wrapText="1"/>
    </xf>
    <xf numFmtId="0" fontId="44" fillId="11" borderId="19" xfId="8" applyFont="1" applyFill="1" applyBorder="1" applyAlignment="1">
      <alignment horizontal="center" vertical="center" wrapText="1"/>
    </xf>
    <xf numFmtId="4" fontId="44" fillId="0" borderId="19" xfId="8" applyNumberFormat="1" applyFont="1" applyBorder="1" applyAlignment="1">
      <alignment horizontal="center" vertical="center" wrapText="1"/>
    </xf>
    <xf numFmtId="2" fontId="44" fillId="0" borderId="20" xfId="8" applyNumberFormat="1" applyFont="1" applyBorder="1" applyAlignment="1">
      <alignment horizontal="left" vertical="center" wrapText="1"/>
    </xf>
    <xf numFmtId="0" fontId="50" fillId="0" borderId="0" xfId="8" applyFont="1" applyAlignment="1">
      <alignment horizontal="center" vertical="center"/>
    </xf>
    <xf numFmtId="0" fontId="44" fillId="0" borderId="14" xfId="8" applyFont="1" applyBorder="1" applyAlignment="1">
      <alignment horizontal="center" vertical="center" wrapText="1"/>
    </xf>
    <xf numFmtId="0" fontId="44" fillId="11" borderId="14" xfId="8" applyFont="1" applyFill="1" applyBorder="1" applyAlignment="1">
      <alignment horizontal="center" vertical="center" wrapText="1"/>
    </xf>
    <xf numFmtId="4" fontId="44" fillId="0" borderId="14" xfId="8" applyNumberFormat="1" applyFont="1" applyBorder="1" applyAlignment="1">
      <alignment horizontal="center" vertical="center" wrapText="1"/>
    </xf>
    <xf numFmtId="0" fontId="49" fillId="0" borderId="21" xfId="8" applyFont="1" applyBorder="1" applyAlignment="1">
      <alignment vertical="center" wrapText="1"/>
    </xf>
    <xf numFmtId="3" fontId="44" fillId="11" borderId="1" xfId="8" applyNumberFormat="1" applyFont="1" applyFill="1" applyBorder="1" applyAlignment="1">
      <alignment horizontal="center" vertical="center" wrapText="1"/>
    </xf>
    <xf numFmtId="4" fontId="44" fillId="11" borderId="19" xfId="8" applyNumberFormat="1" applyFont="1" applyFill="1" applyBorder="1" applyAlignment="1">
      <alignment horizontal="center" vertical="center" wrapText="1"/>
    </xf>
    <xf numFmtId="0" fontId="44" fillId="0" borderId="19" xfId="8" applyFont="1" applyBorder="1" applyAlignment="1">
      <alignment vertical="center"/>
    </xf>
    <xf numFmtId="0" fontId="44" fillId="0" borderId="0" xfId="8" applyFont="1" applyAlignment="1">
      <alignment vertical="center" wrapText="1"/>
    </xf>
    <xf numFmtId="1" fontId="44" fillId="0" borderId="14" xfId="12" applyNumberFormat="1" applyBorder="1" applyAlignment="1">
      <alignment horizontal="center" vertical="center" wrapText="1"/>
    </xf>
    <xf numFmtId="177" fontId="49" fillId="0" borderId="14" xfId="8" applyNumberFormat="1" applyFont="1" applyBorder="1" applyAlignment="1">
      <alignment horizontal="center" vertical="center" wrapText="1"/>
    </xf>
    <xf numFmtId="0" fontId="51" fillId="0" borderId="16" xfId="8" applyFont="1" applyBorder="1" applyAlignment="1">
      <alignment horizontal="right" vertical="center" wrapText="1"/>
    </xf>
    <xf numFmtId="1" fontId="51" fillId="0" borderId="1" xfId="12" applyNumberFormat="1" applyFont="1" applyBorder="1" applyAlignment="1">
      <alignment horizontal="center" vertical="center" wrapText="1"/>
    </xf>
    <xf numFmtId="177" fontId="51" fillId="0" borderId="1" xfId="8" applyNumberFormat="1" applyFont="1" applyBorder="1" applyAlignment="1">
      <alignment horizontal="right" vertical="center" wrapText="1"/>
    </xf>
    <xf numFmtId="0" fontId="51" fillId="0" borderId="18" xfId="8" applyFont="1" applyBorder="1" applyAlignment="1">
      <alignment horizontal="right" vertical="center" wrapText="1"/>
    </xf>
    <xf numFmtId="1" fontId="51" fillId="0" borderId="19" xfId="12" applyNumberFormat="1" applyFont="1" applyBorder="1" applyAlignment="1">
      <alignment horizontal="center" vertical="center" wrapText="1"/>
    </xf>
    <xf numFmtId="177" fontId="51" fillId="0" borderId="19" xfId="8" applyNumberFormat="1" applyFont="1" applyBorder="1" applyAlignment="1">
      <alignment horizontal="right" vertical="center" wrapText="1"/>
    </xf>
    <xf numFmtId="1" fontId="49" fillId="0" borderId="13" xfId="12" applyNumberFormat="1" applyFont="1" applyBorder="1" applyAlignment="1">
      <alignment horizontal="left" vertical="center"/>
    </xf>
    <xf numFmtId="181" fontId="44" fillId="0" borderId="14" xfId="8" applyNumberFormat="1" applyFont="1" applyBorder="1" applyAlignment="1">
      <alignment horizontal="center" vertical="center"/>
    </xf>
    <xf numFmtId="0" fontId="50" fillId="0" borderId="22" xfId="8" applyFont="1" applyBorder="1" applyAlignment="1">
      <alignment horizontal="center" vertical="center"/>
    </xf>
    <xf numFmtId="0" fontId="44" fillId="0" borderId="23" xfId="8" applyFont="1" applyBorder="1" applyAlignment="1">
      <alignment vertical="center"/>
    </xf>
    <xf numFmtId="1" fontId="44" fillId="0" borderId="16" xfId="12" applyNumberFormat="1" applyBorder="1" applyAlignment="1">
      <alignment horizontal="center" vertical="center" wrapText="1"/>
    </xf>
    <xf numFmtId="0" fontId="44" fillId="0" borderId="1" xfId="8" applyFont="1" applyBorder="1" applyAlignment="1">
      <alignment horizontal="center" vertical="center"/>
    </xf>
    <xf numFmtId="1" fontId="51" fillId="0" borderId="16" xfId="12" applyNumberFormat="1" applyFont="1" applyBorder="1" applyAlignment="1">
      <alignment horizontal="right" vertical="center" wrapText="1"/>
    </xf>
    <xf numFmtId="0" fontId="44" fillId="11" borderId="0" xfId="8" applyFont="1" applyFill="1" applyAlignment="1">
      <alignment horizontal="center" vertical="center"/>
    </xf>
    <xf numFmtId="181" fontId="44" fillId="11" borderId="1" xfId="8" applyNumberFormat="1" applyFont="1" applyFill="1" applyBorder="1" applyAlignment="1">
      <alignment horizontal="center" vertical="center" wrapText="1"/>
    </xf>
    <xf numFmtId="1" fontId="44" fillId="0" borderId="1" xfId="12" applyNumberFormat="1" applyBorder="1" applyAlignment="1">
      <alignment horizontal="center" vertical="center" wrapText="1"/>
    </xf>
    <xf numFmtId="3" fontId="44" fillId="0" borderId="1" xfId="13" applyNumberFormat="1" applyFont="1" applyBorder="1" applyAlignment="1">
      <alignment horizontal="center" vertical="center"/>
    </xf>
    <xf numFmtId="3" fontId="44" fillId="0" borderId="1" xfId="8" applyNumberFormat="1" applyFont="1" applyBorder="1" applyAlignment="1">
      <alignment horizontal="center" vertical="center"/>
    </xf>
    <xf numFmtId="1" fontId="44" fillId="11" borderId="1" xfId="12" applyNumberFormat="1" applyFill="1" applyBorder="1" applyAlignment="1">
      <alignment horizontal="center" vertical="center" wrapText="1"/>
    </xf>
    <xf numFmtId="181" fontId="44" fillId="11" borderId="1" xfId="12" applyNumberFormat="1" applyFill="1" applyBorder="1" applyAlignment="1">
      <alignment horizontal="center" vertical="center" wrapText="1"/>
    </xf>
    <xf numFmtId="182" fontId="44" fillId="0" borderId="1" xfId="12" applyNumberFormat="1" applyBorder="1" applyAlignment="1">
      <alignment vertical="center"/>
    </xf>
    <xf numFmtId="177" fontId="44" fillId="0" borderId="1" xfId="8" applyNumberFormat="1" applyFont="1" applyBorder="1" applyAlignment="1">
      <alignment horizontal="center" vertical="center"/>
    </xf>
    <xf numFmtId="1" fontId="51" fillId="0" borderId="0" xfId="12" applyNumberFormat="1" applyFont="1" applyAlignment="1">
      <alignment horizontal="right" vertical="center" wrapText="1"/>
    </xf>
    <xf numFmtId="1" fontId="44" fillId="0" borderId="0" xfId="12" applyNumberFormat="1" applyAlignment="1">
      <alignment horizontal="center" vertical="center" wrapText="1"/>
    </xf>
    <xf numFmtId="182" fontId="44" fillId="0" borderId="0" xfId="12" applyNumberFormat="1" applyAlignment="1">
      <alignment vertical="center"/>
    </xf>
    <xf numFmtId="3" fontId="44" fillId="0" borderId="0" xfId="13" applyNumberFormat="1" applyFont="1" applyAlignment="1">
      <alignment horizontal="center" vertical="center"/>
    </xf>
    <xf numFmtId="3" fontId="44" fillId="0" borderId="0" xfId="8" applyNumberFormat="1" applyFont="1" applyAlignment="1">
      <alignment horizontal="center" vertical="center"/>
    </xf>
    <xf numFmtId="2" fontId="44" fillId="0" borderId="0" xfId="8" applyNumberFormat="1" applyFont="1" applyAlignment="1">
      <alignment horizontal="left" vertical="center" wrapText="1"/>
    </xf>
    <xf numFmtId="1" fontId="49" fillId="0" borderId="13" xfId="12" applyNumberFormat="1" applyFont="1" applyBorder="1" applyAlignment="1">
      <alignment horizontal="left" vertical="center" wrapText="1"/>
    </xf>
    <xf numFmtId="1" fontId="51" fillId="0" borderId="14" xfId="12" applyNumberFormat="1" applyFont="1" applyBorder="1" applyAlignment="1">
      <alignment horizontal="center" vertical="center" wrapText="1"/>
    </xf>
    <xf numFmtId="177" fontId="44" fillId="0" borderId="14" xfId="8" applyNumberFormat="1" applyFont="1" applyBorder="1" applyAlignment="1">
      <alignment horizontal="center" vertical="center"/>
    </xf>
    <xf numFmtId="0" fontId="44" fillId="11" borderId="0" xfId="8" applyFont="1" applyFill="1" applyAlignment="1">
      <alignment horizontal="center" vertical="center" wrapText="1"/>
    </xf>
    <xf numFmtId="1" fontId="51" fillId="11" borderId="1" xfId="12" applyNumberFormat="1" applyFont="1" applyFill="1" applyBorder="1" applyAlignment="1">
      <alignment horizontal="center" vertical="center" wrapText="1"/>
    </xf>
    <xf numFmtId="0" fontId="44" fillId="0" borderId="19" xfId="8" applyFont="1" applyBorder="1" applyAlignment="1">
      <alignment horizontal="center" vertical="center"/>
    </xf>
    <xf numFmtId="0" fontId="44" fillId="11" borderId="19" xfId="8" applyFont="1" applyFill="1" applyBorder="1" applyAlignment="1">
      <alignment horizontal="center" vertical="center"/>
    </xf>
    <xf numFmtId="177" fontId="44" fillId="0" borderId="19" xfId="8" applyNumberFormat="1" applyFont="1" applyBorder="1" applyAlignment="1">
      <alignment horizontal="center" vertical="center"/>
    </xf>
    <xf numFmtId="0" fontId="44" fillId="0" borderId="20" xfId="8" applyFont="1" applyBorder="1" applyAlignment="1">
      <alignment vertical="center"/>
    </xf>
    <xf numFmtId="0" fontId="46" fillId="0" borderId="0" xfId="10" applyFont="1"/>
    <xf numFmtId="0" fontId="52" fillId="0" borderId="24" xfId="10" applyFont="1" applyBorder="1"/>
    <xf numFmtId="0" fontId="49" fillId="0" borderId="25" xfId="8" applyFont="1" applyBorder="1" applyAlignment="1">
      <alignment horizontal="center" vertical="center" wrapText="1"/>
    </xf>
    <xf numFmtId="0" fontId="46" fillId="0" borderId="26" xfId="10" applyFont="1" applyBorder="1"/>
    <xf numFmtId="0" fontId="46" fillId="0" borderId="27" xfId="10" applyFont="1" applyBorder="1"/>
    <xf numFmtId="0" fontId="46" fillId="0" borderId="28" xfId="10" applyFont="1" applyBorder="1" applyAlignment="1">
      <alignment horizontal="center"/>
    </xf>
    <xf numFmtId="0" fontId="49" fillId="0" borderId="26" xfId="8" applyFont="1" applyBorder="1" applyAlignment="1">
      <alignment horizontal="center" vertical="center" wrapText="1"/>
    </xf>
    <xf numFmtId="0" fontId="46" fillId="0" borderId="29" xfId="10" applyFont="1" applyBorder="1"/>
    <xf numFmtId="0" fontId="46" fillId="0" borderId="30" xfId="10" applyFont="1" applyBorder="1" applyAlignment="1">
      <alignment horizontal="center"/>
    </xf>
    <xf numFmtId="0" fontId="46" fillId="0" borderId="31" xfId="10" applyFont="1" applyBorder="1"/>
    <xf numFmtId="0" fontId="46" fillId="0" borderId="32" xfId="10" applyFont="1" applyBorder="1"/>
    <xf numFmtId="0" fontId="46" fillId="0" borderId="33" xfId="10" applyFont="1" applyBorder="1" applyAlignment="1">
      <alignment horizontal="center"/>
    </xf>
    <xf numFmtId="3" fontId="46" fillId="0" borderId="31" xfId="10" applyNumberFormat="1" applyFont="1" applyBorder="1"/>
    <xf numFmtId="0" fontId="46" fillId="0" borderId="34" xfId="10" applyFont="1" applyBorder="1"/>
    <xf numFmtId="0" fontId="46" fillId="0" borderId="16" xfId="10" applyFont="1" applyBorder="1" applyAlignment="1">
      <alignment horizontal="center"/>
    </xf>
    <xf numFmtId="0" fontId="46" fillId="0" borderId="1" xfId="10" applyFont="1" applyBorder="1"/>
    <xf numFmtId="0" fontId="46" fillId="0" borderId="17" xfId="10" applyFont="1" applyBorder="1"/>
    <xf numFmtId="3" fontId="44" fillId="0" borderId="8" xfId="8" applyNumberFormat="1" applyFont="1" applyBorder="1" applyAlignment="1">
      <alignment horizontal="center" vertical="center" wrapText="1"/>
    </xf>
    <xf numFmtId="3" fontId="46" fillId="0" borderId="1" xfId="10" applyNumberFormat="1" applyFont="1" applyBorder="1"/>
    <xf numFmtId="3" fontId="53" fillId="0" borderId="0" xfId="10" applyNumberFormat="1" applyFont="1"/>
    <xf numFmtId="0" fontId="53" fillId="0" borderId="0" xfId="10" applyFont="1"/>
    <xf numFmtId="0" fontId="44" fillId="0" borderId="34" xfId="8" applyFont="1" applyBorder="1" applyAlignment="1">
      <alignment horizontal="right" vertical="center" wrapText="1"/>
    </xf>
    <xf numFmtId="0" fontId="44" fillId="0" borderId="16" xfId="8" applyFont="1" applyBorder="1" applyAlignment="1">
      <alignment horizontal="center" vertical="center" wrapText="1"/>
    </xf>
    <xf numFmtId="0" fontId="44" fillId="0" borderId="17" xfId="8" applyFont="1" applyBorder="1" applyAlignment="1">
      <alignment horizontal="center" vertical="center" wrapText="1"/>
    </xf>
    <xf numFmtId="0" fontId="44" fillId="0" borderId="8" xfId="8" applyFont="1" applyBorder="1" applyAlignment="1">
      <alignment horizontal="center" vertical="center" wrapText="1"/>
    </xf>
    <xf numFmtId="3" fontId="44" fillId="0" borderId="1" xfId="8" applyNumberFormat="1" applyFont="1" applyBorder="1" applyAlignment="1">
      <alignment horizontal="center" vertical="center" wrapText="1"/>
    </xf>
    <xf numFmtId="0" fontId="49" fillId="0" borderId="34" xfId="8" applyFont="1" applyBorder="1" applyAlignment="1">
      <alignment vertical="center" wrapText="1"/>
    </xf>
    <xf numFmtId="3" fontId="49" fillId="0" borderId="1" xfId="8" applyNumberFormat="1" applyFont="1" applyBorder="1" applyAlignment="1">
      <alignment horizontal="center" vertical="center" wrapText="1"/>
    </xf>
    <xf numFmtId="0" fontId="51" fillId="0" borderId="34" xfId="8" applyFont="1" applyBorder="1" applyAlignment="1">
      <alignment horizontal="right" vertical="center" wrapText="1"/>
    </xf>
    <xf numFmtId="1" fontId="51" fillId="0" borderId="16" xfId="12" applyNumberFormat="1" applyFont="1" applyBorder="1" applyAlignment="1">
      <alignment horizontal="center" vertical="center" wrapText="1"/>
    </xf>
    <xf numFmtId="1" fontId="44" fillId="0" borderId="17" xfId="12" applyNumberFormat="1" applyBorder="1" applyAlignment="1">
      <alignment horizontal="center" vertical="center" wrapText="1"/>
    </xf>
    <xf numFmtId="1" fontId="44" fillId="0" borderId="8" xfId="12" applyNumberFormat="1" applyBorder="1" applyAlignment="1">
      <alignment horizontal="center" vertical="center" wrapText="1"/>
    </xf>
    <xf numFmtId="177" fontId="44" fillId="0" borderId="1" xfId="8" applyNumberFormat="1" applyFont="1" applyBorder="1" applyAlignment="1">
      <alignment horizontal="center" vertical="center" wrapText="1"/>
    </xf>
    <xf numFmtId="0" fontId="51" fillId="0" borderId="35" xfId="8" applyFont="1" applyBorder="1" applyAlignment="1">
      <alignment horizontal="right" vertical="center" wrapText="1"/>
    </xf>
    <xf numFmtId="1" fontId="51" fillId="0" borderId="18" xfId="12" applyNumberFormat="1" applyFont="1" applyBorder="1" applyAlignment="1">
      <alignment horizontal="center" vertical="center" wrapText="1"/>
    </xf>
    <xf numFmtId="1" fontId="44" fillId="0" borderId="20" xfId="12" applyNumberFormat="1" applyBorder="1" applyAlignment="1">
      <alignment horizontal="center" vertical="center" wrapText="1"/>
    </xf>
    <xf numFmtId="181" fontId="44" fillId="11" borderId="36" xfId="14" applyNumberFormat="1" applyFont="1" applyFill="1" applyBorder="1" applyAlignment="1">
      <alignment horizontal="center" vertical="center" wrapText="1"/>
    </xf>
    <xf numFmtId="177" fontId="44" fillId="0" borderId="19" xfId="8" applyNumberFormat="1" applyFont="1" applyBorder="1" applyAlignment="1">
      <alignment horizontal="center" vertical="center" wrapText="1"/>
    </xf>
    <xf numFmtId="0" fontId="49" fillId="0" borderId="39" xfId="8" applyFont="1" applyBorder="1" applyAlignment="1">
      <alignment horizontal="center" vertical="center" wrapText="1"/>
    </xf>
    <xf numFmtId="1" fontId="49" fillId="0" borderId="13" xfId="12" applyNumberFormat="1" applyFont="1" applyBorder="1" applyAlignment="1">
      <alignment horizontal="center" vertical="center" wrapText="1"/>
    </xf>
    <xf numFmtId="1" fontId="49" fillId="0" borderId="14" xfId="12" applyNumberFormat="1" applyFont="1" applyBorder="1" applyAlignment="1">
      <alignment horizontal="center" vertical="center" wrapText="1"/>
    </xf>
    <xf numFmtId="1" fontId="49" fillId="0" borderId="15" xfId="12" applyNumberFormat="1" applyFont="1" applyBorder="1" applyAlignment="1">
      <alignment horizontal="center" vertical="center" wrapText="1"/>
    </xf>
    <xf numFmtId="1" fontId="49" fillId="0" borderId="40" xfId="12" applyNumberFormat="1" applyFont="1" applyBorder="1" applyAlignment="1">
      <alignment horizontal="center" vertical="center" wrapText="1"/>
    </xf>
    <xf numFmtId="0" fontId="49" fillId="0" borderId="41" xfId="8" applyFont="1" applyBorder="1" applyAlignment="1">
      <alignment horizontal="center" vertical="center" wrapText="1"/>
    </xf>
    <xf numFmtId="0" fontId="46" fillId="0" borderId="14" xfId="10" applyFont="1" applyBorder="1" applyAlignment="1">
      <alignment horizontal="center" vertical="center" wrapText="1"/>
    </xf>
    <xf numFmtId="0" fontId="46" fillId="5" borderId="14" xfId="10" applyFont="1" applyFill="1" applyBorder="1" applyAlignment="1">
      <alignment horizontal="center" vertical="center" wrapText="1"/>
    </xf>
    <xf numFmtId="0" fontId="46" fillId="5" borderId="15" xfId="10" applyFont="1" applyFill="1" applyBorder="1" applyAlignment="1">
      <alignment horizontal="center" vertical="center" wrapText="1"/>
    </xf>
    <xf numFmtId="0" fontId="49" fillId="0" borderId="34" xfId="8" applyFont="1" applyBorder="1" applyAlignment="1">
      <alignment horizontal="center" vertical="center" wrapText="1"/>
    </xf>
    <xf numFmtId="1" fontId="49" fillId="0" borderId="16" xfId="12" applyNumberFormat="1" applyFont="1" applyBorder="1" applyAlignment="1">
      <alignment horizontal="center" vertical="center" wrapText="1"/>
    </xf>
    <xf numFmtId="1" fontId="49" fillId="0" borderId="42" xfId="12" applyNumberFormat="1" applyFont="1" applyBorder="1" applyAlignment="1">
      <alignment horizontal="center" vertical="center" wrapText="1"/>
    </xf>
    <xf numFmtId="1" fontId="49" fillId="0" borderId="43" xfId="12" applyNumberFormat="1" applyFont="1" applyBorder="1" applyAlignment="1">
      <alignment horizontal="center" vertical="center" wrapText="1"/>
    </xf>
    <xf numFmtId="0" fontId="46" fillId="0" borderId="44" xfId="10" applyFont="1" applyBorder="1"/>
    <xf numFmtId="0" fontId="49" fillId="0" borderId="42" xfId="8" applyFont="1" applyBorder="1" applyAlignment="1">
      <alignment horizontal="center" vertical="center" wrapText="1"/>
    </xf>
    <xf numFmtId="0" fontId="46" fillId="0" borderId="19" xfId="10" applyFont="1" applyBorder="1" applyAlignment="1">
      <alignment horizontal="center" vertical="center" wrapText="1"/>
    </xf>
    <xf numFmtId="165" fontId="46" fillId="0" borderId="19" xfId="10" applyNumberFormat="1" applyFont="1" applyBorder="1" applyAlignment="1">
      <alignment horizontal="center" vertical="center" wrapText="1"/>
    </xf>
    <xf numFmtId="2" fontId="46" fillId="0" borderId="20" xfId="10" applyNumberFormat="1" applyFont="1" applyBorder="1" applyAlignment="1">
      <alignment horizontal="center" vertical="center" wrapText="1"/>
    </xf>
    <xf numFmtId="0" fontId="44" fillId="11" borderId="34" xfId="8" applyFont="1" applyFill="1" applyBorder="1" applyAlignment="1">
      <alignment horizontal="right" vertical="center" wrapText="1"/>
    </xf>
    <xf numFmtId="3" fontId="46" fillId="11" borderId="16" xfId="10" applyNumberFormat="1" applyFont="1" applyFill="1" applyBorder="1"/>
    <xf numFmtId="0" fontId="46" fillId="11" borderId="1" xfId="10" applyFont="1" applyFill="1" applyBorder="1" applyAlignment="1">
      <alignment horizontal="center"/>
    </xf>
    <xf numFmtId="0" fontId="46" fillId="11" borderId="17" xfId="10" applyFont="1" applyFill="1" applyBorder="1" applyAlignment="1">
      <alignment horizontal="center"/>
    </xf>
    <xf numFmtId="0" fontId="46" fillId="11" borderId="8" xfId="10" applyFont="1" applyFill="1" applyBorder="1" applyAlignment="1">
      <alignment horizontal="center"/>
    </xf>
    <xf numFmtId="49" fontId="46" fillId="11" borderId="17" xfId="10" applyNumberFormat="1" applyFont="1" applyFill="1" applyBorder="1" applyAlignment="1">
      <alignment horizontal="center"/>
    </xf>
    <xf numFmtId="0" fontId="44" fillId="11" borderId="35" xfId="8" applyFont="1" applyFill="1" applyBorder="1" applyAlignment="1">
      <alignment horizontal="right" vertical="center" wrapText="1"/>
    </xf>
    <xf numFmtId="3" fontId="46" fillId="11" borderId="18" xfId="10" applyNumberFormat="1" applyFont="1" applyFill="1" applyBorder="1"/>
    <xf numFmtId="0" fontId="46" fillId="11" borderId="19" xfId="10" applyFont="1" applyFill="1" applyBorder="1" applyAlignment="1">
      <alignment horizontal="center"/>
    </xf>
    <xf numFmtId="49" fontId="46" fillId="11" borderId="20" xfId="10" applyNumberFormat="1" applyFont="1" applyFill="1" applyBorder="1" applyAlignment="1">
      <alignment horizontal="center"/>
    </xf>
    <xf numFmtId="0" fontId="52" fillId="0" borderId="26" xfId="10" applyFont="1" applyBorder="1" applyAlignment="1">
      <alignment horizontal="center" vertical="center"/>
    </xf>
    <xf numFmtId="3" fontId="52" fillId="0" borderId="26" xfId="10" applyNumberFormat="1" applyFont="1" applyBorder="1" applyAlignment="1">
      <alignment horizontal="center"/>
    </xf>
    <xf numFmtId="3" fontId="52" fillId="0" borderId="27" xfId="10" applyNumberFormat="1" applyFont="1" applyBorder="1" applyAlignment="1">
      <alignment horizontal="center"/>
    </xf>
    <xf numFmtId="0" fontId="46" fillId="0" borderId="13" xfId="10" applyFont="1" applyBorder="1" applyAlignment="1">
      <alignment horizontal="left" indent="2"/>
    </xf>
    <xf numFmtId="0" fontId="46" fillId="0" borderId="14" xfId="10" applyFont="1" applyBorder="1" applyAlignment="1">
      <alignment horizontal="center" vertical="center"/>
    </xf>
    <xf numFmtId="166" fontId="44" fillId="0" borderId="14" xfId="8" applyNumberFormat="1" applyFont="1" applyBorder="1" applyAlignment="1">
      <alignment horizontal="center" vertical="center" wrapText="1"/>
    </xf>
    <xf numFmtId="3" fontId="44" fillId="0" borderId="14" xfId="8" applyNumberFormat="1" applyFont="1" applyBorder="1" applyAlignment="1">
      <alignment horizontal="center" vertical="center" wrapText="1"/>
    </xf>
    <xf numFmtId="3" fontId="46" fillId="0" borderId="14" xfId="10" applyNumberFormat="1" applyFont="1" applyBorder="1"/>
    <xf numFmtId="3" fontId="46" fillId="0" borderId="15" xfId="10" applyNumberFormat="1" applyFont="1" applyBorder="1"/>
    <xf numFmtId="0" fontId="46" fillId="0" borderId="16" xfId="10" applyFont="1" applyBorder="1" applyAlignment="1">
      <alignment horizontal="right" indent="2"/>
    </xf>
    <xf numFmtId="0" fontId="44" fillId="11" borderId="1" xfId="10" applyFont="1" applyFill="1" applyBorder="1" applyAlignment="1">
      <alignment horizontal="center" vertical="center"/>
    </xf>
    <xf numFmtId="1" fontId="44" fillId="0" borderId="1" xfId="8" applyNumberFormat="1" applyFont="1" applyBorder="1" applyAlignment="1">
      <alignment horizontal="center" vertical="center" wrapText="1"/>
    </xf>
    <xf numFmtId="164" fontId="46" fillId="0" borderId="1" xfId="10" applyNumberFormat="1" applyFont="1" applyBorder="1"/>
    <xf numFmtId="164" fontId="46" fillId="0" borderId="17" xfId="10" applyNumberFormat="1" applyFont="1" applyBorder="1"/>
    <xf numFmtId="181" fontId="46" fillId="0" borderId="0" xfId="10" applyNumberFormat="1" applyFont="1"/>
    <xf numFmtId="0" fontId="46" fillId="0" borderId="16" xfId="10" applyFont="1" applyBorder="1" applyAlignment="1">
      <alignment horizontal="left" indent="2"/>
    </xf>
    <xf numFmtId="0" fontId="44" fillId="0" borderId="1" xfId="10" applyFont="1" applyBorder="1" applyAlignment="1">
      <alignment horizontal="center" vertical="center"/>
    </xf>
    <xf numFmtId="181" fontId="44" fillId="0" borderId="1" xfId="8" applyNumberFormat="1" applyFont="1" applyBorder="1" applyAlignment="1">
      <alignment horizontal="center" vertical="center" wrapText="1"/>
    </xf>
    <xf numFmtId="3" fontId="46" fillId="0" borderId="17" xfId="10" applyNumberFormat="1" applyFont="1" applyBorder="1"/>
    <xf numFmtId="184" fontId="44" fillId="11" borderId="1" xfId="8" applyNumberFormat="1" applyFont="1" applyFill="1" applyBorder="1" applyAlignment="1">
      <alignment horizontal="center" vertical="center" wrapText="1"/>
    </xf>
    <xf numFmtId="49" fontId="44" fillId="0" borderId="1" xfId="8" applyNumberFormat="1" applyFont="1" applyBorder="1" applyAlignment="1">
      <alignment horizontal="center" vertical="center" wrapText="1"/>
    </xf>
    <xf numFmtId="0" fontId="46" fillId="0" borderId="18" xfId="10" applyFont="1" applyBorder="1" applyAlignment="1">
      <alignment horizontal="right" indent="2"/>
    </xf>
    <xf numFmtId="0" fontId="44" fillId="11" borderId="19" xfId="10" applyFont="1" applyFill="1" applyBorder="1" applyAlignment="1">
      <alignment horizontal="center" vertical="center"/>
    </xf>
    <xf numFmtId="181" fontId="44" fillId="11" borderId="19" xfId="8" applyNumberFormat="1" applyFont="1" applyFill="1" applyBorder="1" applyAlignment="1">
      <alignment horizontal="center" vertical="center" wrapText="1"/>
    </xf>
    <xf numFmtId="3" fontId="44" fillId="11" borderId="19" xfId="8" applyNumberFormat="1" applyFont="1" applyFill="1" applyBorder="1" applyAlignment="1">
      <alignment horizontal="center" vertical="center" wrapText="1"/>
    </xf>
    <xf numFmtId="49" fontId="46" fillId="0" borderId="19" xfId="10" applyNumberFormat="1" applyFont="1" applyBorder="1"/>
    <xf numFmtId="164" fontId="46" fillId="0" borderId="19" xfId="10" applyNumberFormat="1" applyFont="1" applyBorder="1"/>
    <xf numFmtId="164" fontId="46" fillId="0" borderId="20" xfId="10" applyNumberFormat="1" applyFont="1" applyBorder="1"/>
    <xf numFmtId="0" fontId="46" fillId="0" borderId="0" xfId="10" applyFont="1" applyAlignment="1">
      <alignment horizontal="center" vertical="center"/>
    </xf>
    <xf numFmtId="0" fontId="46" fillId="0" borderId="0" xfId="10" applyFont="1" applyAlignment="1">
      <alignment vertical="center"/>
    </xf>
    <xf numFmtId="4" fontId="46" fillId="0" borderId="0" xfId="10" applyNumberFormat="1" applyFont="1" applyAlignment="1">
      <alignment horizontal="center"/>
    </xf>
    <xf numFmtId="0" fontId="52" fillId="0" borderId="39" xfId="10" applyFont="1" applyBorder="1" applyAlignment="1">
      <alignment horizontal="center" vertical="center"/>
    </xf>
    <xf numFmtId="0" fontId="52" fillId="0" borderId="40" xfId="10" applyFont="1" applyBorder="1" applyAlignment="1">
      <alignment horizontal="center" vertical="center"/>
    </xf>
    <xf numFmtId="0" fontId="52" fillId="0" borderId="14" xfId="10" applyFont="1" applyBorder="1" applyAlignment="1">
      <alignment horizontal="center" vertical="center"/>
    </xf>
    <xf numFmtId="0" fontId="49" fillId="0" borderId="15" xfId="8" applyFont="1" applyBorder="1" applyAlignment="1">
      <alignment horizontal="center" vertical="center" wrapText="1"/>
    </xf>
    <xf numFmtId="0" fontId="46" fillId="0" borderId="8" xfId="10" applyFont="1" applyBorder="1" applyAlignment="1">
      <alignment horizontal="center"/>
    </xf>
    <xf numFmtId="0" fontId="46" fillId="0" borderId="1" xfId="10" applyFont="1" applyBorder="1" applyAlignment="1">
      <alignment horizontal="center" vertical="center"/>
    </xf>
    <xf numFmtId="0" fontId="46" fillId="0" borderId="1" xfId="10" applyFont="1" applyBorder="1" applyAlignment="1">
      <alignment horizontal="center"/>
    </xf>
    <xf numFmtId="0" fontId="46" fillId="0" borderId="35" xfId="10" applyFont="1" applyBorder="1"/>
    <xf numFmtId="0" fontId="46" fillId="0" borderId="36" xfId="10" applyFont="1" applyBorder="1" applyAlignment="1">
      <alignment horizontal="center"/>
    </xf>
    <xf numFmtId="3" fontId="44" fillId="0" borderId="19" xfId="8" applyNumberFormat="1" applyFont="1" applyBorder="1" applyAlignment="1">
      <alignment horizontal="center" vertical="center" wrapText="1"/>
    </xf>
    <xf numFmtId="0" fontId="46" fillId="0" borderId="19" xfId="10" applyFont="1" applyBorder="1"/>
    <xf numFmtId="3" fontId="46" fillId="0" borderId="19" xfId="10" applyNumberFormat="1" applyFont="1" applyBorder="1"/>
    <xf numFmtId="3" fontId="46" fillId="0" borderId="20" xfId="10" applyNumberFormat="1" applyFont="1" applyBorder="1"/>
    <xf numFmtId="0" fontId="46" fillId="0" borderId="22" xfId="10" applyFont="1" applyBorder="1"/>
    <xf numFmtId="0" fontId="44" fillId="0" borderId="13" xfId="8" applyFont="1" applyBorder="1" applyAlignment="1">
      <alignment horizontal="right" vertical="center" wrapText="1"/>
    </xf>
    <xf numFmtId="3" fontId="44" fillId="0" borderId="15" xfId="8" applyNumberFormat="1" applyFont="1" applyBorder="1" applyAlignment="1">
      <alignment horizontal="center" vertical="center" wrapText="1"/>
    </xf>
    <xf numFmtId="3" fontId="44" fillId="0" borderId="17" xfId="8" applyNumberFormat="1" applyFont="1" applyBorder="1" applyAlignment="1">
      <alignment horizontal="center" vertical="center" wrapText="1"/>
    </xf>
    <xf numFmtId="177" fontId="44" fillId="0" borderId="17" xfId="8" applyNumberFormat="1" applyFont="1" applyBorder="1" applyAlignment="1">
      <alignment horizontal="center" vertical="center" wrapText="1"/>
    </xf>
    <xf numFmtId="1" fontId="44" fillId="0" borderId="19" xfId="12" applyNumberFormat="1" applyBorder="1" applyAlignment="1">
      <alignment horizontal="center" vertical="center" wrapText="1"/>
    </xf>
    <xf numFmtId="0" fontId="51" fillId="0" borderId="0" xfId="8" applyFont="1" applyAlignment="1">
      <alignment horizontal="right" vertical="center" wrapText="1"/>
    </xf>
    <xf numFmtId="3" fontId="44" fillId="0" borderId="0" xfId="8" applyNumberFormat="1" applyFont="1" applyAlignment="1">
      <alignment horizontal="center" vertical="center" wrapText="1"/>
    </xf>
    <xf numFmtId="3" fontId="46" fillId="0" borderId="0" xfId="10" applyNumberFormat="1" applyFont="1"/>
    <xf numFmtId="0" fontId="52" fillId="0" borderId="0" xfId="10" applyFont="1" applyAlignment="1">
      <alignment horizontal="left"/>
    </xf>
    <xf numFmtId="0" fontId="49" fillId="0" borderId="47" xfId="8" applyFont="1" applyBorder="1" applyAlignment="1">
      <alignment horizontal="center" vertical="center" wrapText="1"/>
    </xf>
    <xf numFmtId="0" fontId="52" fillId="0" borderId="48" xfId="10" applyFont="1" applyBorder="1" applyAlignment="1">
      <alignment horizontal="center" vertical="center"/>
    </xf>
    <xf numFmtId="0" fontId="49" fillId="0" borderId="49" xfId="8" applyFont="1" applyBorder="1" applyAlignment="1">
      <alignment horizontal="center" vertical="center" wrapText="1"/>
    </xf>
    <xf numFmtId="0" fontId="52" fillId="0" borderId="41" xfId="10" applyFont="1" applyBorder="1" applyAlignment="1">
      <alignment horizontal="center" vertical="center"/>
    </xf>
    <xf numFmtId="0" fontId="52" fillId="0" borderId="50" xfId="10" applyFont="1" applyBorder="1" applyAlignment="1">
      <alignment horizontal="center" vertical="center"/>
    </xf>
    <xf numFmtId="0" fontId="49" fillId="0" borderId="25" xfId="8" applyFont="1" applyBorder="1" applyAlignment="1">
      <alignment vertical="center" wrapText="1"/>
    </xf>
    <xf numFmtId="0" fontId="49" fillId="0" borderId="26" xfId="8" applyFont="1" applyBorder="1" applyAlignment="1">
      <alignment vertical="center" wrapText="1"/>
    </xf>
    <xf numFmtId="0" fontId="52" fillId="0" borderId="13" xfId="10" applyFont="1" applyBorder="1" applyAlignment="1">
      <alignment horizontal="left"/>
    </xf>
    <xf numFmtId="3" fontId="44" fillId="0" borderId="14" xfId="8" applyNumberFormat="1" applyFont="1" applyBorder="1" applyAlignment="1">
      <alignment horizontal="right" vertical="center" wrapText="1"/>
    </xf>
    <xf numFmtId="49" fontId="46" fillId="0" borderId="14" xfId="10" applyNumberFormat="1" applyFont="1" applyBorder="1" applyAlignment="1">
      <alignment horizontal="center" vertical="center"/>
    </xf>
    <xf numFmtId="0" fontId="46" fillId="0" borderId="15" xfId="10" applyFont="1" applyBorder="1" applyAlignment="1">
      <alignment horizontal="center" vertical="center"/>
    </xf>
    <xf numFmtId="0" fontId="46" fillId="0" borderId="16" xfId="10" applyFont="1" applyBorder="1" applyAlignment="1">
      <alignment horizontal="right"/>
    </xf>
    <xf numFmtId="184" fontId="44" fillId="0" borderId="1" xfId="8" applyNumberFormat="1" applyFont="1" applyBorder="1" applyAlignment="1">
      <alignment horizontal="center" vertical="center" wrapText="1"/>
    </xf>
    <xf numFmtId="1" fontId="46" fillId="0" borderId="1" xfId="10" applyNumberFormat="1" applyFont="1" applyBorder="1" applyAlignment="1">
      <alignment horizontal="center" vertical="center"/>
    </xf>
    <xf numFmtId="165" fontId="46" fillId="0" borderId="1" xfId="10" applyNumberFormat="1" applyFont="1" applyBorder="1" applyAlignment="1" applyProtection="1">
      <alignment horizontal="center" vertical="center"/>
      <protection locked="0"/>
    </xf>
    <xf numFmtId="165" fontId="46" fillId="0" borderId="17" xfId="10" applyNumberFormat="1" applyFont="1" applyBorder="1" applyAlignment="1" applyProtection="1">
      <alignment horizontal="center" vertical="center"/>
      <protection locked="0"/>
    </xf>
    <xf numFmtId="1" fontId="46" fillId="0" borderId="0" xfId="10" applyNumberFormat="1" applyFont="1" applyAlignment="1">
      <alignment vertical="center"/>
    </xf>
    <xf numFmtId="0" fontId="52" fillId="0" borderId="16" xfId="10" applyFont="1" applyBorder="1" applyAlignment="1">
      <alignment horizontal="left"/>
    </xf>
    <xf numFmtId="0" fontId="45" fillId="0" borderId="0" xfId="10" applyAlignment="1">
      <alignment horizontal="center" vertical="center"/>
    </xf>
    <xf numFmtId="0" fontId="45" fillId="0" borderId="0" xfId="10" applyAlignment="1">
      <alignment vertical="center"/>
    </xf>
    <xf numFmtId="0" fontId="46" fillId="0" borderId="18" xfId="10" applyFont="1" applyBorder="1" applyAlignment="1">
      <alignment horizontal="right"/>
    </xf>
    <xf numFmtId="184" fontId="44" fillId="0" borderId="19" xfId="8" applyNumberFormat="1" applyFont="1" applyBorder="1" applyAlignment="1">
      <alignment horizontal="center" vertical="center" wrapText="1"/>
    </xf>
    <xf numFmtId="1" fontId="44" fillId="0" borderId="19" xfId="8" applyNumberFormat="1" applyFont="1" applyBorder="1" applyAlignment="1">
      <alignment horizontal="center" vertical="center" wrapText="1"/>
    </xf>
    <xf numFmtId="3" fontId="44" fillId="0" borderId="19" xfId="8" applyNumberFormat="1" applyFont="1" applyBorder="1" applyAlignment="1">
      <alignment horizontal="right" vertical="center" wrapText="1"/>
    </xf>
    <xf numFmtId="165" fontId="46" fillId="0" borderId="19" xfId="10" applyNumberFormat="1" applyFont="1" applyBorder="1" applyAlignment="1" applyProtection="1">
      <alignment horizontal="center" vertical="center"/>
      <protection locked="0"/>
    </xf>
    <xf numFmtId="165" fontId="46" fillId="0" borderId="20" xfId="10" applyNumberFormat="1" applyFont="1" applyBorder="1" applyAlignment="1" applyProtection="1">
      <alignment horizontal="center" vertical="center"/>
      <protection locked="0"/>
    </xf>
    <xf numFmtId="3" fontId="46" fillId="0" borderId="0" xfId="10" applyNumberFormat="1" applyFont="1" applyAlignment="1">
      <alignment horizontal="center" vertical="center"/>
    </xf>
    <xf numFmtId="181" fontId="46" fillId="11" borderId="0" xfId="10" applyNumberFormat="1" applyFont="1" applyFill="1" applyAlignment="1">
      <alignment horizontal="center" vertical="center"/>
    </xf>
    <xf numFmtId="181" fontId="46" fillId="0" borderId="0" xfId="10" applyNumberFormat="1" applyFont="1" applyAlignment="1">
      <alignment vertical="center"/>
    </xf>
    <xf numFmtId="3" fontId="49" fillId="0" borderId="26" xfId="8" applyNumberFormat="1" applyFont="1" applyBorder="1" applyAlignment="1">
      <alignment horizontal="center" vertical="center" wrapText="1"/>
    </xf>
    <xf numFmtId="1" fontId="44" fillId="0" borderId="26" xfId="12" applyNumberFormat="1" applyBorder="1" applyAlignment="1">
      <alignment horizontal="center" vertical="center" wrapText="1"/>
    </xf>
    <xf numFmtId="177" fontId="49" fillId="0" borderId="26" xfId="8" applyNumberFormat="1" applyFont="1" applyBorder="1" applyAlignment="1">
      <alignment horizontal="center" vertical="center" wrapText="1"/>
    </xf>
    <xf numFmtId="177" fontId="49" fillId="0" borderId="27" xfId="8" applyNumberFormat="1" applyFont="1" applyBorder="1" applyAlignment="1">
      <alignment horizontal="center" vertical="center" wrapText="1"/>
    </xf>
    <xf numFmtId="0" fontId="52" fillId="0" borderId="39" xfId="10" applyFont="1" applyBorder="1" applyAlignment="1">
      <alignment horizontal="left" vertical="center"/>
    </xf>
    <xf numFmtId="3" fontId="49" fillId="0" borderId="48" xfId="8" applyNumberFormat="1" applyFont="1" applyBorder="1" applyAlignment="1">
      <alignment horizontal="center" vertical="center" wrapText="1"/>
    </xf>
    <xf numFmtId="1" fontId="44" fillId="0" borderId="41" xfId="12" applyNumberFormat="1" applyBorder="1" applyAlignment="1">
      <alignment horizontal="center" vertical="center" wrapText="1"/>
    </xf>
    <xf numFmtId="177" fontId="49" fillId="0" borderId="41" xfId="8" applyNumberFormat="1" applyFont="1" applyBorder="1" applyAlignment="1">
      <alignment horizontal="center" vertical="center" wrapText="1"/>
    </xf>
    <xf numFmtId="177" fontId="49" fillId="0" borderId="50" xfId="8" applyNumberFormat="1" applyFont="1" applyBorder="1" applyAlignment="1">
      <alignment horizontal="center" vertical="center" wrapText="1"/>
    </xf>
    <xf numFmtId="0" fontId="46" fillId="0" borderId="34" xfId="10" applyFont="1" applyBorder="1" applyAlignment="1">
      <alignment horizontal="right"/>
    </xf>
    <xf numFmtId="184" fontId="44" fillId="0" borderId="8" xfId="8" applyNumberFormat="1" applyFont="1" applyBorder="1" applyAlignment="1">
      <alignment horizontal="center" vertical="center" wrapText="1"/>
    </xf>
    <xf numFmtId="181" fontId="46" fillId="0" borderId="1" xfId="10" applyNumberFormat="1" applyFont="1" applyBorder="1" applyAlignment="1">
      <alignment horizontal="center" vertical="center"/>
    </xf>
    <xf numFmtId="184" fontId="46" fillId="0" borderId="1" xfId="10" applyNumberFormat="1" applyFont="1" applyBorder="1" applyAlignment="1">
      <alignment horizontal="center" vertical="center"/>
    </xf>
    <xf numFmtId="184" fontId="46" fillId="0" borderId="17" xfId="10" applyNumberFormat="1" applyFont="1" applyBorder="1" applyAlignment="1">
      <alignment horizontal="center" vertical="center"/>
    </xf>
    <xf numFmtId="0" fontId="46" fillId="0" borderId="30" xfId="10" applyFont="1" applyBorder="1" applyAlignment="1">
      <alignment horizontal="right" wrapText="1"/>
    </xf>
    <xf numFmtId="184" fontId="44" fillId="0" borderId="31" xfId="8" applyNumberFormat="1" applyFont="1" applyBorder="1" applyAlignment="1">
      <alignment horizontal="center" vertical="center" wrapText="1"/>
    </xf>
    <xf numFmtId="0" fontId="52" fillId="0" borderId="29" xfId="10" applyFont="1" applyBorder="1"/>
    <xf numFmtId="0" fontId="44" fillId="0" borderId="34" xfId="10" applyFont="1" applyBorder="1" applyAlignment="1">
      <alignment horizontal="right"/>
    </xf>
    <xf numFmtId="0" fontId="52" fillId="0" borderId="34" xfId="10" applyFont="1" applyBorder="1" applyAlignment="1">
      <alignment horizontal="left"/>
    </xf>
    <xf numFmtId="0" fontId="46" fillId="0" borderId="35" xfId="10" applyFont="1" applyBorder="1" applyAlignment="1">
      <alignment horizontal="right"/>
    </xf>
    <xf numFmtId="181" fontId="46" fillId="0" borderId="19" xfId="10" applyNumberFormat="1" applyFont="1" applyBorder="1" applyAlignment="1">
      <alignment horizontal="center" vertical="center"/>
    </xf>
    <xf numFmtId="184" fontId="46" fillId="0" borderId="19" xfId="10" applyNumberFormat="1" applyFont="1" applyBorder="1" applyAlignment="1">
      <alignment horizontal="center" vertical="center"/>
    </xf>
    <xf numFmtId="184" fontId="46" fillId="0" borderId="20" xfId="10" applyNumberFormat="1" applyFont="1" applyBorder="1" applyAlignment="1">
      <alignment horizontal="center" vertical="center"/>
    </xf>
    <xf numFmtId="0" fontId="49" fillId="0" borderId="51" xfId="8" applyFont="1" applyBorder="1" applyAlignment="1">
      <alignment horizontal="center" vertical="center" wrapText="1"/>
    </xf>
    <xf numFmtId="0" fontId="49" fillId="0" borderId="48" xfId="8" applyFont="1" applyBorder="1" applyAlignment="1">
      <alignment horizontal="center" vertical="center" wrapText="1"/>
    </xf>
    <xf numFmtId="3" fontId="52" fillId="0" borderId="41" xfId="10" applyNumberFormat="1" applyFont="1" applyBorder="1" applyAlignment="1">
      <alignment horizontal="center" vertical="center"/>
    </xf>
    <xf numFmtId="3" fontId="52" fillId="0" borderId="50" xfId="10" applyNumberFormat="1" applyFont="1" applyBorder="1" applyAlignment="1">
      <alignment horizontal="center" vertical="center"/>
    </xf>
    <xf numFmtId="0" fontId="46" fillId="0" borderId="39" xfId="10" applyFont="1" applyBorder="1" applyAlignment="1">
      <alignment horizontal="right"/>
    </xf>
    <xf numFmtId="181" fontId="44" fillId="0" borderId="40" xfId="8" applyNumberFormat="1" applyFont="1" applyBorder="1" applyAlignment="1">
      <alignment horizontal="right" vertical="center" wrapText="1"/>
    </xf>
    <xf numFmtId="1" fontId="46" fillId="0" borderId="14" xfId="10" applyNumberFormat="1" applyFont="1" applyBorder="1" applyAlignment="1">
      <alignment horizontal="center" vertical="center"/>
    </xf>
    <xf numFmtId="0" fontId="46" fillId="0" borderId="14" xfId="10" applyFont="1" applyBorder="1" applyAlignment="1">
      <alignment horizontal="center"/>
    </xf>
    <xf numFmtId="3" fontId="46" fillId="0" borderId="14" xfId="10" applyNumberFormat="1" applyFont="1" applyBorder="1" applyAlignment="1">
      <alignment horizontal="center" vertical="center"/>
    </xf>
    <xf numFmtId="3" fontId="46" fillId="0" borderId="15" xfId="10" applyNumberFormat="1" applyFont="1" applyBorder="1" applyAlignment="1">
      <alignment horizontal="center" vertical="center"/>
    </xf>
    <xf numFmtId="181" fontId="44" fillId="0" borderId="8" xfId="8" applyNumberFormat="1" applyFont="1" applyBorder="1" applyAlignment="1">
      <alignment horizontal="right" vertical="center" wrapText="1"/>
    </xf>
    <xf numFmtId="3" fontId="46" fillId="0" borderId="1" xfId="10" applyNumberFormat="1" applyFont="1" applyBorder="1" applyAlignment="1">
      <alignment horizontal="center" vertical="center"/>
    </xf>
    <xf numFmtId="3" fontId="46" fillId="0" borderId="17" xfId="10" applyNumberFormat="1" applyFont="1" applyBorder="1" applyAlignment="1">
      <alignment horizontal="center" vertical="center"/>
    </xf>
    <xf numFmtId="0" fontId="46" fillId="0" borderId="34" xfId="10" applyFont="1" applyBorder="1" applyAlignment="1">
      <alignment horizontal="right" wrapText="1"/>
    </xf>
    <xf numFmtId="0" fontId="46" fillId="0" borderId="35" xfId="10" applyFont="1" applyBorder="1" applyAlignment="1">
      <alignment horizontal="right" wrapText="1"/>
    </xf>
    <xf numFmtId="181" fontId="44" fillId="0" borderId="36" xfId="8" applyNumberFormat="1" applyFont="1" applyBorder="1" applyAlignment="1">
      <alignment horizontal="right" vertical="center" wrapText="1"/>
    </xf>
    <xf numFmtId="3" fontId="46" fillId="0" borderId="19" xfId="10" applyNumberFormat="1" applyFont="1" applyBorder="1" applyAlignment="1">
      <alignment horizontal="center" vertical="center"/>
    </xf>
    <xf numFmtId="3" fontId="46" fillId="0" borderId="20" xfId="10" applyNumberFormat="1" applyFont="1" applyBorder="1" applyAlignment="1">
      <alignment horizontal="center" vertical="center"/>
    </xf>
    <xf numFmtId="0" fontId="46" fillId="0" borderId="0" xfId="10" applyFont="1" applyAlignment="1">
      <alignment horizontal="left" indent="2"/>
    </xf>
    <xf numFmtId="166" fontId="44" fillId="0" borderId="0" xfId="8" applyNumberFormat="1" applyFont="1" applyAlignment="1">
      <alignment horizontal="center" vertical="center" wrapText="1"/>
    </xf>
    <xf numFmtId="0" fontId="44" fillId="0" borderId="0" xfId="8" applyFont="1" applyAlignment="1">
      <alignment horizontal="center" vertical="center" wrapText="1"/>
    </xf>
    <xf numFmtId="0" fontId="49" fillId="0" borderId="24" xfId="8" applyFont="1" applyBorder="1" applyAlignment="1">
      <alignment horizontal="center" vertical="center" wrapText="1"/>
    </xf>
    <xf numFmtId="0" fontId="49" fillId="0" borderId="28" xfId="8" applyFont="1" applyBorder="1" applyAlignment="1">
      <alignment horizontal="center" vertical="center" wrapText="1"/>
    </xf>
    <xf numFmtId="3" fontId="52" fillId="0" borderId="26" xfId="10" applyNumberFormat="1" applyFont="1" applyBorder="1" applyAlignment="1">
      <alignment horizontal="center" vertical="center"/>
    </xf>
    <xf numFmtId="0" fontId="46" fillId="0" borderId="33" xfId="10" applyFont="1" applyBorder="1"/>
    <xf numFmtId="0" fontId="46" fillId="0" borderId="31" xfId="10" applyFont="1" applyBorder="1" applyAlignment="1">
      <alignment horizontal="center" vertical="center"/>
    </xf>
    <xf numFmtId="0" fontId="46" fillId="0" borderId="32" xfId="10" applyFont="1" applyBorder="1" applyAlignment="1">
      <alignment horizontal="center" vertical="center"/>
    </xf>
    <xf numFmtId="1" fontId="44" fillId="0" borderId="1" xfId="10" applyNumberFormat="1" applyFont="1" applyBorder="1" applyAlignment="1">
      <alignment horizontal="center" vertical="center"/>
    </xf>
    <xf numFmtId="3" fontId="44" fillId="0" borderId="1" xfId="10" applyNumberFormat="1" applyFont="1" applyBorder="1" applyAlignment="1">
      <alignment horizontal="center" vertical="center"/>
    </xf>
    <xf numFmtId="3" fontId="44" fillId="0" borderId="17" xfId="10" applyNumberFormat="1" applyFont="1" applyBorder="1" applyAlignment="1">
      <alignment horizontal="center" vertical="center"/>
    </xf>
    <xf numFmtId="0" fontId="44" fillId="0" borderId="1" xfId="10" applyFont="1" applyBorder="1" applyAlignment="1">
      <alignment horizontal="center"/>
    </xf>
    <xf numFmtId="181" fontId="46" fillId="0" borderId="8" xfId="10" applyNumberFormat="1" applyFont="1" applyBorder="1" applyAlignment="1">
      <alignment horizontal="right"/>
    </xf>
    <xf numFmtId="0" fontId="46" fillId="0" borderId="8" xfId="10" applyFont="1" applyBorder="1" applyAlignment="1">
      <alignment horizontal="right"/>
    </xf>
    <xf numFmtId="0" fontId="46" fillId="0" borderId="19" xfId="10" applyFont="1" applyBorder="1" applyAlignment="1">
      <alignment horizontal="center"/>
    </xf>
    <xf numFmtId="3" fontId="44" fillId="0" borderId="19" xfId="10" applyNumberFormat="1" applyFont="1" applyBorder="1" applyAlignment="1">
      <alignment horizontal="center" vertical="center"/>
    </xf>
    <xf numFmtId="3" fontId="44" fillId="0" borderId="20" xfId="10" applyNumberFormat="1" applyFont="1" applyBorder="1" applyAlignment="1">
      <alignment horizontal="center" vertical="center"/>
    </xf>
    <xf numFmtId="2" fontId="44" fillId="0" borderId="17" xfId="8" applyNumberFormat="1" applyFont="1" applyFill="1" applyBorder="1" applyAlignment="1">
      <alignment horizontal="left" vertical="center" wrapText="1"/>
    </xf>
    <xf numFmtId="2" fontId="44" fillId="0" borderId="15" xfId="8" applyNumberFormat="1" applyFont="1" applyFill="1" applyBorder="1" applyAlignment="1">
      <alignment horizontal="left" vertical="center" wrapText="1"/>
    </xf>
    <xf numFmtId="2" fontId="44" fillId="0" borderId="20" xfId="8" applyNumberFormat="1" applyFont="1" applyFill="1" applyBorder="1" applyAlignment="1">
      <alignment horizontal="left" vertical="center" wrapText="1"/>
    </xf>
    <xf numFmtId="164" fontId="54" fillId="0" borderId="0" xfId="1" applyNumberFormat="1" applyFont="1" applyAlignment="1">
      <alignment vertical="center"/>
    </xf>
    <xf numFmtId="164" fontId="55" fillId="0" borderId="0" xfId="1" applyNumberFormat="1" applyFont="1" applyAlignment="1">
      <alignment vertical="center"/>
    </xf>
    <xf numFmtId="164" fontId="54" fillId="0" borderId="0" xfId="1" applyNumberFormat="1" applyFont="1" applyAlignment="1">
      <alignment horizontal="center" vertical="center"/>
    </xf>
    <xf numFmtId="164" fontId="55" fillId="0" borderId="0" xfId="1" applyNumberFormat="1" applyFont="1" applyAlignment="1">
      <alignment horizontal="center" vertical="center"/>
    </xf>
    <xf numFmtId="43" fontId="7" fillId="4" borderId="3" xfId="1" applyFont="1" applyFill="1" applyBorder="1" applyAlignment="1">
      <alignment vertical="center"/>
    </xf>
    <xf numFmtId="43" fontId="7" fillId="0" borderId="0" xfId="1" applyFont="1" applyFill="1"/>
    <xf numFmtId="0" fontId="13" fillId="0" borderId="0" xfId="0" applyFont="1" applyFill="1"/>
    <xf numFmtId="0" fontId="7" fillId="12" borderId="3" xfId="0" applyFont="1" applyFill="1" applyBorder="1" applyAlignment="1">
      <alignment horizontal="right" vertical="center" wrapText="1"/>
    </xf>
    <xf numFmtId="0" fontId="7" fillId="12" borderId="3" xfId="0" applyFont="1" applyFill="1" applyBorder="1" applyAlignment="1">
      <alignment horizontal="center" vertical="center"/>
    </xf>
    <xf numFmtId="164" fontId="7" fillId="12" borderId="3" xfId="1" applyNumberFormat="1" applyFont="1" applyFill="1" applyBorder="1" applyAlignment="1">
      <alignment vertical="center"/>
    </xf>
    <xf numFmtId="164" fontId="9" fillId="12" borderId="3" xfId="1" applyNumberFormat="1" applyFont="1" applyFill="1" applyBorder="1" applyAlignment="1">
      <alignment vertical="center"/>
    </xf>
    <xf numFmtId="0" fontId="44" fillId="4" borderId="0" xfId="8" applyFont="1" applyFill="1" applyAlignment="1">
      <alignment vertical="center"/>
    </xf>
    <xf numFmtId="164" fontId="7" fillId="5" borderId="0" xfId="1" applyNumberFormat="1" applyFont="1" applyFill="1"/>
    <xf numFmtId="0" fontId="42" fillId="4" borderId="0" xfId="0" applyFont="1" applyFill="1" applyAlignment="1">
      <alignment horizontal="center"/>
    </xf>
    <xf numFmtId="164" fontId="0" fillId="3" borderId="3" xfId="1" applyNumberFormat="1" applyFont="1" applyFill="1" applyBorder="1" applyAlignment="1">
      <alignment vertical="center"/>
    </xf>
    <xf numFmtId="164" fontId="0" fillId="4" borderId="3" xfId="1" applyNumberFormat="1" applyFont="1" applyFill="1" applyBorder="1" applyAlignment="1">
      <alignment vertical="center"/>
    </xf>
    <xf numFmtId="164" fontId="0" fillId="0" borderId="0" xfId="0" applyNumberFormat="1"/>
    <xf numFmtId="43" fontId="0" fillId="3" borderId="5" xfId="1" applyFont="1" applyFill="1" applyBorder="1" applyAlignment="1">
      <alignment vertical="center"/>
    </xf>
    <xf numFmtId="0" fontId="56" fillId="0" borderId="0" xfId="0" applyFont="1"/>
    <xf numFmtId="0" fontId="9" fillId="12" borderId="3" xfId="0" applyFont="1" applyFill="1" applyBorder="1" applyAlignment="1">
      <alignment vertical="center" wrapText="1"/>
    </xf>
    <xf numFmtId="0" fontId="47" fillId="0" borderId="0" xfId="8" applyFont="1" applyAlignment="1">
      <alignment horizontal="center" vertical="center"/>
    </xf>
    <xf numFmtId="185" fontId="44" fillId="0" borderId="0" xfId="8" applyNumberFormat="1" applyFont="1" applyAlignment="1">
      <alignment horizontal="center" vertical="center"/>
    </xf>
    <xf numFmtId="0" fontId="44" fillId="11" borderId="14" xfId="8" applyFont="1" applyFill="1" applyBorder="1" applyAlignment="1">
      <alignment horizontal="center" vertical="center"/>
    </xf>
    <xf numFmtId="0" fontId="44" fillId="0" borderId="14" xfId="8" applyFont="1" applyBorder="1" applyAlignment="1">
      <alignment vertical="center"/>
    </xf>
    <xf numFmtId="0" fontId="44" fillId="11" borderId="1" xfId="8" applyFont="1" applyFill="1" applyBorder="1" applyAlignment="1">
      <alignment horizontal="center" vertical="center"/>
    </xf>
    <xf numFmtId="0" fontId="44" fillId="0" borderId="1" xfId="8" applyFont="1" applyBorder="1" applyAlignment="1">
      <alignment vertical="center"/>
    </xf>
    <xf numFmtId="0" fontId="44" fillId="0" borderId="17" xfId="8" applyFont="1" applyBorder="1" applyAlignment="1">
      <alignment vertical="center"/>
    </xf>
    <xf numFmtId="0" fontId="44" fillId="0" borderId="42" xfId="8" applyFont="1" applyBorder="1" applyAlignment="1">
      <alignment horizontal="center" vertical="center" wrapText="1"/>
    </xf>
    <xf numFmtId="0" fontId="44" fillId="0" borderId="42" xfId="8" applyFont="1" applyBorder="1" applyAlignment="1">
      <alignment vertical="center"/>
    </xf>
    <xf numFmtId="0" fontId="46" fillId="11" borderId="1" xfId="10" applyFont="1" applyFill="1" applyBorder="1" applyAlignment="1">
      <alignment horizontal="center" vertical="center" wrapText="1"/>
    </xf>
    <xf numFmtId="0" fontId="44" fillId="0" borderId="18" xfId="8" applyFont="1" applyBorder="1" applyAlignment="1">
      <alignment horizontal="right" vertical="center" wrapText="1"/>
    </xf>
    <xf numFmtId="0" fontId="46" fillId="11" borderId="19" xfId="10" applyFont="1" applyFill="1" applyBorder="1" applyAlignment="1">
      <alignment horizontal="center" vertical="center" wrapText="1"/>
    </xf>
    <xf numFmtId="3" fontId="44" fillId="0" borderId="14" xfId="8" applyNumberFormat="1" applyFont="1" applyBorder="1" applyAlignment="1">
      <alignment horizontal="center" vertical="center"/>
    </xf>
    <xf numFmtId="182" fontId="44" fillId="0" borderId="1" xfId="12" applyNumberFormat="1" applyBorder="1" applyAlignment="1">
      <alignment horizontal="center" vertical="center"/>
    </xf>
    <xf numFmtId="1" fontId="51" fillId="0" borderId="18" xfId="12" applyNumberFormat="1" applyFont="1" applyBorder="1" applyAlignment="1">
      <alignment horizontal="right" vertical="center" wrapText="1"/>
    </xf>
    <xf numFmtId="0" fontId="46" fillId="11" borderId="52" xfId="10" applyFont="1" applyFill="1" applyBorder="1" applyAlignment="1">
      <alignment horizontal="center" vertical="center"/>
    </xf>
    <xf numFmtId="182" fontId="44" fillId="0" borderId="19" xfId="12" applyNumberFormat="1" applyBorder="1" applyAlignment="1">
      <alignment horizontal="center" vertical="center"/>
    </xf>
    <xf numFmtId="3" fontId="44" fillId="0" borderId="19" xfId="13" applyNumberFormat="1" applyFont="1" applyBorder="1" applyAlignment="1">
      <alignment horizontal="center" vertical="center"/>
    </xf>
    <xf numFmtId="3" fontId="44" fillId="0" borderId="19" xfId="8" applyNumberFormat="1" applyFont="1" applyBorder="1" applyAlignment="1">
      <alignment horizontal="center" vertical="center"/>
    </xf>
    <xf numFmtId="182" fontId="44" fillId="0" borderId="0" xfId="12" applyNumberFormat="1" applyAlignment="1">
      <alignment horizontal="center" vertical="center"/>
    </xf>
    <xf numFmtId="0" fontId="44" fillId="5" borderId="0" xfId="8" applyFont="1" applyFill="1" applyAlignment="1">
      <alignment horizontal="center" vertical="center" wrapText="1"/>
    </xf>
    <xf numFmtId="0" fontId="46" fillId="0" borderId="0" xfId="10" applyFont="1" applyAlignment="1">
      <alignment horizontal="center"/>
    </xf>
    <xf numFmtId="0" fontId="46" fillId="0" borderId="27" xfId="10" applyFont="1" applyBorder="1" applyAlignment="1">
      <alignment horizontal="center"/>
    </xf>
    <xf numFmtId="0" fontId="46" fillId="0" borderId="32" xfId="10" applyFont="1" applyBorder="1" applyAlignment="1">
      <alignment horizontal="center"/>
    </xf>
    <xf numFmtId="0" fontId="46" fillId="0" borderId="17" xfId="10" applyFont="1" applyBorder="1" applyAlignment="1">
      <alignment horizontal="center"/>
    </xf>
    <xf numFmtId="166" fontId="44" fillId="11" borderId="36" xfId="12" applyNumberFormat="1" applyFill="1" applyBorder="1" applyAlignment="1">
      <alignment horizontal="center" vertical="center" wrapText="1"/>
    </xf>
    <xf numFmtId="3" fontId="46" fillId="11" borderId="16" xfId="10" applyNumberFormat="1" applyFont="1" applyFill="1" applyBorder="1" applyAlignment="1">
      <alignment horizontal="center"/>
    </xf>
    <xf numFmtId="1" fontId="46" fillId="11" borderId="17" xfId="10" applyNumberFormat="1" applyFont="1" applyFill="1" applyBorder="1" applyAlignment="1">
      <alignment horizontal="center"/>
    </xf>
    <xf numFmtId="0" fontId="49" fillId="0" borderId="13" xfId="8" applyFont="1" applyBorder="1" applyAlignment="1">
      <alignment horizontal="center" vertical="center" wrapText="1"/>
    </xf>
    <xf numFmtId="0" fontId="49" fillId="0" borderId="40" xfId="8" applyFont="1" applyBorder="1" applyAlignment="1">
      <alignment horizontal="center" vertical="center" wrapText="1"/>
    </xf>
    <xf numFmtId="0" fontId="49" fillId="0" borderId="53" xfId="8" applyFont="1" applyBorder="1" applyAlignment="1">
      <alignment horizontal="center" vertical="center" wrapText="1"/>
    </xf>
    <xf numFmtId="0" fontId="49" fillId="0" borderId="22" xfId="8" applyFont="1" applyBorder="1" applyAlignment="1">
      <alignment horizontal="center" vertical="center" wrapText="1"/>
    </xf>
    <xf numFmtId="0" fontId="49" fillId="0" borderId="0" xfId="8" applyFont="1" applyAlignment="1">
      <alignment horizontal="center" vertical="center" wrapText="1"/>
    </xf>
    <xf numFmtId="0" fontId="49" fillId="0" borderId="23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3" fontId="52" fillId="0" borderId="1" xfId="10" applyNumberFormat="1" applyFont="1" applyBorder="1" applyAlignment="1">
      <alignment horizontal="center"/>
    </xf>
    <xf numFmtId="0" fontId="46" fillId="0" borderId="34" xfId="10" applyFont="1" applyBorder="1" applyAlignment="1">
      <alignment horizontal="left" indent="2"/>
    </xf>
    <xf numFmtId="166" fontId="44" fillId="0" borderId="1" xfId="8" applyNumberFormat="1" applyFont="1" applyBorder="1" applyAlignment="1">
      <alignment horizontal="center" vertical="center" wrapText="1"/>
    </xf>
    <xf numFmtId="0" fontId="46" fillId="0" borderId="34" xfId="10" applyFont="1" applyBorder="1" applyAlignment="1">
      <alignment horizontal="right" indent="2"/>
    </xf>
    <xf numFmtId="1" fontId="46" fillId="11" borderId="16" xfId="10" applyNumberFormat="1" applyFont="1" applyFill="1" applyBorder="1" applyAlignment="1">
      <alignment horizontal="center"/>
    </xf>
    <xf numFmtId="186" fontId="44" fillId="11" borderId="1" xfId="8" applyNumberFormat="1" applyFont="1" applyFill="1" applyBorder="1" applyAlignment="1">
      <alignment horizontal="center" vertical="center" wrapText="1"/>
    </xf>
    <xf numFmtId="3" fontId="44" fillId="11" borderId="17" xfId="8" applyNumberFormat="1" applyFont="1" applyFill="1" applyBorder="1" applyAlignment="1">
      <alignment horizontal="center" vertical="center" wrapText="1"/>
    </xf>
    <xf numFmtId="1" fontId="44" fillId="0" borderId="8" xfId="8" applyNumberFormat="1" applyFont="1" applyBorder="1" applyAlignment="1">
      <alignment horizontal="center" vertical="center" wrapText="1"/>
    </xf>
    <xf numFmtId="0" fontId="46" fillId="11" borderId="16" xfId="10" applyFont="1" applyFill="1" applyBorder="1" applyAlignment="1">
      <alignment horizontal="center"/>
    </xf>
    <xf numFmtId="186" fontId="46" fillId="0" borderId="0" xfId="10" applyNumberFormat="1" applyFont="1"/>
    <xf numFmtId="1" fontId="49" fillId="0" borderId="1" xfId="12" applyNumberFormat="1" applyFont="1" applyBorder="1" applyAlignment="1">
      <alignment horizontal="center" vertical="center" wrapText="1"/>
    </xf>
    <xf numFmtId="3" fontId="49" fillId="0" borderId="17" xfId="8" applyNumberFormat="1" applyFont="1" applyBorder="1" applyAlignment="1">
      <alignment horizontal="center" vertical="center" wrapText="1"/>
    </xf>
    <xf numFmtId="0" fontId="49" fillId="0" borderId="54" xfId="8" applyFont="1" applyBorder="1" applyAlignment="1">
      <alignment horizontal="center" vertical="center" wrapText="1"/>
    </xf>
    <xf numFmtId="0" fontId="52" fillId="0" borderId="28" xfId="10" applyFont="1" applyBorder="1" applyAlignment="1">
      <alignment horizontal="center" vertical="center"/>
    </xf>
    <xf numFmtId="0" fontId="52" fillId="0" borderId="27" xfId="10" applyFont="1" applyBorder="1" applyAlignment="1">
      <alignment horizontal="center" vertical="center"/>
    </xf>
    <xf numFmtId="0" fontId="49" fillId="0" borderId="37" xfId="8" applyFont="1" applyBorder="1" applyAlignment="1">
      <alignment vertical="center" wrapText="1"/>
    </xf>
    <xf numFmtId="0" fontId="49" fillId="0" borderId="38" xfId="8" applyFont="1" applyBorder="1" applyAlignment="1">
      <alignment vertical="center" wrapText="1"/>
    </xf>
    <xf numFmtId="0" fontId="49" fillId="0" borderId="28" xfId="8" applyFont="1" applyBorder="1" applyAlignment="1">
      <alignment vertical="center" wrapText="1"/>
    </xf>
    <xf numFmtId="3" fontId="44" fillId="11" borderId="30" xfId="8" applyNumberFormat="1" applyFont="1" applyFill="1" applyBorder="1" applyAlignment="1">
      <alignment horizontal="right" vertical="center" wrapText="1"/>
    </xf>
    <xf numFmtId="3" fontId="44" fillId="0" borderId="31" xfId="8" applyNumberFormat="1" applyFont="1" applyBorder="1" applyAlignment="1">
      <alignment horizontal="center" vertical="center" wrapText="1"/>
    </xf>
    <xf numFmtId="166" fontId="44" fillId="0" borderId="55" xfId="8" applyNumberFormat="1" applyFont="1" applyBorder="1" applyAlignment="1">
      <alignment horizontal="center" vertical="center" wrapText="1"/>
    </xf>
    <xf numFmtId="41" fontId="46" fillId="11" borderId="33" xfId="10" applyNumberFormat="1" applyFont="1" applyFill="1" applyBorder="1"/>
    <xf numFmtId="41" fontId="46" fillId="0" borderId="0" xfId="10" applyNumberFormat="1" applyFont="1"/>
    <xf numFmtId="166" fontId="44" fillId="0" borderId="7" xfId="8" applyNumberFormat="1" applyFont="1" applyBorder="1" applyAlignment="1">
      <alignment horizontal="center" vertical="center" wrapText="1"/>
    </xf>
    <xf numFmtId="41" fontId="46" fillId="11" borderId="8" xfId="10" applyNumberFormat="1" applyFont="1" applyFill="1" applyBorder="1"/>
    <xf numFmtId="186" fontId="46" fillId="0" borderId="0" xfId="10" applyNumberFormat="1" applyFont="1" applyAlignment="1">
      <alignment horizontal="center"/>
    </xf>
    <xf numFmtId="0" fontId="52" fillId="0" borderId="56" xfId="10" applyFont="1" applyBorder="1" applyAlignment="1">
      <alignment horizontal="center" vertical="center"/>
    </xf>
    <xf numFmtId="3" fontId="44" fillId="0" borderId="30" xfId="8" applyNumberFormat="1" applyFont="1" applyBorder="1" applyAlignment="1">
      <alignment horizontal="right" vertical="center" wrapText="1"/>
    </xf>
    <xf numFmtId="3" fontId="46" fillId="11" borderId="1" xfId="10" applyNumberFormat="1" applyFont="1" applyFill="1" applyBorder="1"/>
    <xf numFmtId="2" fontId="46" fillId="0" borderId="0" xfId="10" applyNumberFormat="1" applyFont="1"/>
    <xf numFmtId="0" fontId="46" fillId="0" borderId="34" xfId="10" applyFont="1" applyBorder="1" applyAlignment="1">
      <alignment horizontal="left" wrapText="1" indent="2"/>
    </xf>
    <xf numFmtId="186" fontId="44" fillId="11" borderId="8" xfId="8" applyNumberFormat="1" applyFont="1" applyFill="1" applyBorder="1" applyAlignment="1">
      <alignment horizontal="center" vertical="center" wrapText="1"/>
    </xf>
    <xf numFmtId="3" fontId="44" fillId="11" borderId="1" xfId="8" applyNumberFormat="1" applyFont="1" applyFill="1" applyBorder="1" applyAlignment="1">
      <alignment horizontal="right" vertical="center" wrapText="1"/>
    </xf>
    <xf numFmtId="0" fontId="52" fillId="0" borderId="39" xfId="10" applyFont="1" applyBorder="1" applyAlignment="1">
      <alignment horizontal="center"/>
    </xf>
    <xf numFmtId="0" fontId="46" fillId="0" borderId="40" xfId="10" applyFont="1" applyBorder="1"/>
    <xf numFmtId="0" fontId="46" fillId="0" borderId="14" xfId="10" applyFont="1" applyBorder="1"/>
    <xf numFmtId="0" fontId="46" fillId="0" borderId="15" xfId="10" applyFont="1" applyBorder="1"/>
    <xf numFmtId="0" fontId="46" fillId="0" borderId="34" xfId="10" applyFont="1" applyBorder="1" applyAlignment="1">
      <alignment horizontal="center"/>
    </xf>
    <xf numFmtId="3" fontId="46" fillId="11" borderId="1" xfId="10" applyNumberFormat="1" applyFont="1" applyFill="1" applyBorder="1" applyAlignment="1">
      <alignment horizontal="center"/>
    </xf>
    <xf numFmtId="4" fontId="46" fillId="11" borderId="1" xfId="10" applyNumberFormat="1" applyFont="1" applyFill="1" applyBorder="1" applyAlignment="1">
      <alignment horizontal="center" vertical="center"/>
    </xf>
    <xf numFmtId="4" fontId="46" fillId="11" borderId="17" xfId="10" applyNumberFormat="1" applyFont="1" applyFill="1" applyBorder="1" applyAlignment="1">
      <alignment horizontal="center" vertical="center"/>
    </xf>
    <xf numFmtId="0" fontId="52" fillId="0" borderId="34" xfId="10" applyFont="1" applyBorder="1" applyAlignment="1">
      <alignment horizontal="center"/>
    </xf>
    <xf numFmtId="0" fontId="46" fillId="0" borderId="8" xfId="10" applyFont="1" applyBorder="1"/>
    <xf numFmtId="0" fontId="46" fillId="0" borderId="34" xfId="10" applyFont="1" applyBorder="1" applyAlignment="1">
      <alignment horizontal="center" vertical="center"/>
    </xf>
    <xf numFmtId="3" fontId="46" fillId="11" borderId="1" xfId="10" applyNumberFormat="1" applyFont="1" applyFill="1" applyBorder="1" applyAlignment="1">
      <alignment horizontal="center" vertical="center"/>
    </xf>
    <xf numFmtId="0" fontId="46" fillId="11" borderId="1" xfId="10" applyFont="1" applyFill="1" applyBorder="1" applyAlignment="1">
      <alignment horizontal="center" vertical="center"/>
    </xf>
    <xf numFmtId="166" fontId="44" fillId="11" borderId="8" xfId="8" applyNumberFormat="1" applyFont="1" applyFill="1" applyBorder="1" applyAlignment="1">
      <alignment horizontal="center" vertical="center" wrapText="1"/>
    </xf>
    <xf numFmtId="4" fontId="46" fillId="11" borderId="1" xfId="10" applyNumberFormat="1" applyFont="1" applyFill="1" applyBorder="1"/>
    <xf numFmtId="4" fontId="46" fillId="11" borderId="17" xfId="10" applyNumberFormat="1" applyFont="1" applyFill="1" applyBorder="1"/>
    <xf numFmtId="0" fontId="52" fillId="0" borderId="16" xfId="10" applyFont="1" applyBorder="1" applyAlignment="1">
      <alignment horizontal="center"/>
    </xf>
    <xf numFmtId="0" fontId="46" fillId="0" borderId="35" xfId="10" applyFont="1" applyBorder="1" applyAlignment="1">
      <alignment horizontal="center"/>
    </xf>
    <xf numFmtId="166" fontId="44" fillId="11" borderId="36" xfId="8" applyNumberFormat="1" applyFont="1" applyFill="1" applyBorder="1" applyAlignment="1">
      <alignment horizontal="center" vertical="center" wrapText="1"/>
    </xf>
    <xf numFmtId="3" fontId="46" fillId="11" borderId="19" xfId="10" applyNumberFormat="1" applyFont="1" applyFill="1" applyBorder="1" applyAlignment="1">
      <alignment horizontal="center"/>
    </xf>
    <xf numFmtId="3" fontId="46" fillId="11" borderId="19" xfId="10" applyNumberFormat="1" applyFont="1" applyFill="1" applyBorder="1"/>
    <xf numFmtId="3" fontId="46" fillId="11" borderId="20" xfId="10" applyNumberFormat="1" applyFont="1" applyFill="1" applyBorder="1"/>
    <xf numFmtId="43" fontId="0" fillId="4" borderId="5" xfId="1" applyFont="1" applyFill="1" applyBorder="1" applyAlignment="1">
      <alignment vertical="center"/>
    </xf>
    <xf numFmtId="43" fontId="11" fillId="3" borderId="3" xfId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/>
    </xf>
    <xf numFmtId="43" fontId="11" fillId="7" borderId="3" xfId="1" applyFont="1" applyFill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43" fontId="39" fillId="0" borderId="3" xfId="1" applyFont="1" applyBorder="1" applyAlignment="1">
      <alignment vertical="center"/>
    </xf>
    <xf numFmtId="0" fontId="57" fillId="0" borderId="3" xfId="0" applyFont="1" applyBorder="1" applyAlignment="1">
      <alignment vertical="center"/>
    </xf>
    <xf numFmtId="0" fontId="57" fillId="0" borderId="3" xfId="0" applyFont="1" applyBorder="1" applyAlignment="1">
      <alignment horizontal="center" vertical="center"/>
    </xf>
    <xf numFmtId="43" fontId="57" fillId="0" borderId="3" xfId="1" applyFont="1" applyBorder="1" applyAlignment="1">
      <alignment vertical="center"/>
    </xf>
    <xf numFmtId="43" fontId="57" fillId="0" borderId="3" xfId="1" applyFont="1" applyFill="1" applyBorder="1" applyAlignment="1">
      <alignment vertical="center"/>
    </xf>
    <xf numFmtId="164" fontId="57" fillId="0" borderId="3" xfId="1" applyNumberFormat="1" applyFont="1" applyFill="1" applyBorder="1" applyAlignment="1">
      <alignment vertical="center"/>
    </xf>
    <xf numFmtId="43" fontId="57" fillId="0" borderId="5" xfId="1" applyFont="1" applyFill="1" applyBorder="1" applyAlignment="1">
      <alignment vertical="center"/>
    </xf>
    <xf numFmtId="164" fontId="7" fillId="4" borderId="5" xfId="1" applyNumberFormat="1" applyFont="1" applyFill="1" applyBorder="1"/>
    <xf numFmtId="3" fontId="44" fillId="0" borderId="0" xfId="8" applyNumberFormat="1" applyFont="1" applyAlignment="1">
      <alignment vertical="center"/>
    </xf>
    <xf numFmtId="1" fontId="46" fillId="0" borderId="0" xfId="10" applyNumberFormat="1" applyFont="1"/>
    <xf numFmtId="187" fontId="46" fillId="0" borderId="0" xfId="10" applyNumberFormat="1" applyFont="1"/>
    <xf numFmtId="170" fontId="46" fillId="0" borderId="0" xfId="10" applyNumberFormat="1" applyFont="1"/>
    <xf numFmtId="1" fontId="46" fillId="0" borderId="0" xfId="10" applyNumberFormat="1" applyFont="1" applyAlignment="1">
      <alignment horizontal="center" vertical="center"/>
    </xf>
    <xf numFmtId="43" fontId="32" fillId="5" borderId="0" xfId="1" applyFont="1" applyFill="1"/>
    <xf numFmtId="164" fontId="26" fillId="0" borderId="3" xfId="1" applyNumberFormat="1" applyFont="1" applyFill="1" applyBorder="1" applyAlignment="1">
      <alignment vertical="center"/>
    </xf>
    <xf numFmtId="0" fontId="0" fillId="0" borderId="0" xfId="0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1" fontId="0" fillId="0" borderId="3" xfId="0" applyNumberFormat="1" applyFont="1" applyBorder="1" applyAlignment="1">
      <alignment horizontal="center" vertical="center"/>
    </xf>
    <xf numFmtId="164" fontId="58" fillId="0" borderId="0" xfId="8" applyNumberFormat="1" applyFont="1" applyAlignment="1">
      <alignment vertical="center"/>
    </xf>
    <xf numFmtId="43" fontId="7" fillId="13" borderId="3" xfId="1" applyFont="1" applyFill="1" applyBorder="1" applyAlignment="1">
      <alignment vertical="center"/>
    </xf>
    <xf numFmtId="0" fontId="34" fillId="0" borderId="0" xfId="0" applyFont="1" applyFill="1" applyAlignment="1">
      <alignment horizontal="center"/>
    </xf>
    <xf numFmtId="0" fontId="44" fillId="11" borderId="14" xfId="8" applyFont="1" applyFill="1" applyBorder="1" applyAlignment="1">
      <alignment vertical="center"/>
    </xf>
    <xf numFmtId="0" fontId="44" fillId="11" borderId="1" xfId="8" applyFont="1" applyFill="1" applyBorder="1" applyAlignment="1">
      <alignment vertical="center"/>
    </xf>
    <xf numFmtId="0" fontId="44" fillId="11" borderId="0" xfId="8" applyFont="1" applyFill="1" applyAlignment="1">
      <alignment vertical="center"/>
    </xf>
    <xf numFmtId="182" fontId="44" fillId="0" borderId="19" xfId="12" applyNumberFormat="1" applyBorder="1" applyAlignment="1">
      <alignment vertical="center"/>
    </xf>
    <xf numFmtId="188" fontId="44" fillId="11" borderId="36" xfId="12" applyNumberFormat="1" applyFill="1" applyBorder="1" applyAlignment="1">
      <alignment horizontal="center" vertical="center" wrapText="1"/>
    </xf>
    <xf numFmtId="0" fontId="46" fillId="14" borderId="57" xfId="10" applyFont="1" applyFill="1" applyBorder="1" applyAlignment="1">
      <alignment horizontal="left" indent="2"/>
    </xf>
    <xf numFmtId="49" fontId="46" fillId="11" borderId="16" xfId="10" applyNumberFormat="1" applyFont="1" applyFill="1" applyBorder="1" applyAlignment="1">
      <alignment horizontal="center" vertical="center"/>
    </xf>
    <xf numFmtId="189" fontId="44" fillId="11" borderId="1" xfId="8" applyNumberFormat="1" applyFont="1" applyFill="1" applyBorder="1" applyAlignment="1">
      <alignment horizontal="center" vertical="center" wrapText="1"/>
    </xf>
    <xf numFmtId="164" fontId="46" fillId="0" borderId="0" xfId="10" applyNumberFormat="1" applyFont="1"/>
    <xf numFmtId="188" fontId="44" fillId="0" borderId="1" xfId="8" applyNumberFormat="1" applyFont="1" applyBorder="1" applyAlignment="1">
      <alignment horizontal="center" vertical="center" wrapText="1"/>
    </xf>
    <xf numFmtId="0" fontId="46" fillId="14" borderId="57" xfId="15" applyFont="1" applyFill="1" applyBorder="1" applyAlignment="1">
      <alignment horizontal="left" vertical="center" wrapText="1"/>
    </xf>
    <xf numFmtId="49" fontId="43" fillId="11" borderId="1" xfId="10" applyNumberFormat="1" applyFont="1" applyFill="1" applyBorder="1" applyAlignment="1">
      <alignment horizontal="center" vertical="center"/>
    </xf>
    <xf numFmtId="49" fontId="46" fillId="11" borderId="16" xfId="10" applyNumberFormat="1" applyFont="1" applyFill="1" applyBorder="1" applyAlignment="1">
      <alignment horizontal="right" indent="2"/>
    </xf>
    <xf numFmtId="0" fontId="46" fillId="0" borderId="57" xfId="10" applyFont="1" applyBorder="1" applyAlignment="1">
      <alignment horizontal="left" indent="2"/>
    </xf>
    <xf numFmtId="0" fontId="46" fillId="0" borderId="58" xfId="10" applyFont="1" applyBorder="1" applyAlignment="1">
      <alignment horizontal="left" indent="2"/>
    </xf>
    <xf numFmtId="49" fontId="46" fillId="11" borderId="18" xfId="10" applyNumberFormat="1" applyFont="1" applyFill="1" applyBorder="1" applyAlignment="1">
      <alignment horizontal="center" vertical="center"/>
    </xf>
    <xf numFmtId="189" fontId="44" fillId="11" borderId="19" xfId="8" applyNumberFormat="1" applyFont="1" applyFill="1" applyBorder="1" applyAlignment="1">
      <alignment horizontal="center" vertical="center" wrapText="1"/>
    </xf>
    <xf numFmtId="0" fontId="44" fillId="0" borderId="24" xfId="8" applyFont="1" applyBorder="1" applyAlignment="1">
      <alignment horizontal="right" vertical="center" wrapText="1"/>
    </xf>
    <xf numFmtId="0" fontId="44" fillId="0" borderId="40" xfId="8" applyFont="1" applyBorder="1" applyAlignment="1">
      <alignment horizontal="center" vertical="center" wrapText="1"/>
    </xf>
    <xf numFmtId="0" fontId="49" fillId="0" borderId="24" xfId="8" applyFont="1" applyBorder="1" applyAlignment="1">
      <alignment vertical="center" wrapText="1"/>
    </xf>
    <xf numFmtId="1" fontId="49" fillId="0" borderId="8" xfId="12" applyNumberFormat="1" applyFont="1" applyBorder="1" applyAlignment="1">
      <alignment horizontal="center" vertical="center" wrapText="1"/>
    </xf>
    <xf numFmtId="0" fontId="51" fillId="0" borderId="24" xfId="8" applyFont="1" applyBorder="1" applyAlignment="1">
      <alignment horizontal="right" vertical="center" wrapText="1"/>
    </xf>
    <xf numFmtId="1" fontId="44" fillId="0" borderId="36" xfId="12" applyNumberFormat="1" applyBorder="1" applyAlignment="1">
      <alignment horizontal="center" vertical="center" wrapText="1"/>
    </xf>
    <xf numFmtId="0" fontId="49" fillId="0" borderId="45" xfId="8" applyFont="1" applyBorder="1" applyAlignment="1">
      <alignment vertical="center" wrapText="1"/>
    </xf>
    <xf numFmtId="0" fontId="49" fillId="0" borderId="46" xfId="8" applyFont="1" applyBorder="1" applyAlignment="1">
      <alignment vertical="center" wrapText="1"/>
    </xf>
    <xf numFmtId="0" fontId="49" fillId="0" borderId="48" xfId="8" applyFont="1" applyBorder="1" applyAlignment="1">
      <alignment vertical="center" wrapText="1"/>
    </xf>
    <xf numFmtId="3" fontId="52" fillId="0" borderId="48" xfId="10" applyNumberFormat="1" applyFont="1" applyBorder="1" applyAlignment="1">
      <alignment horizontal="center"/>
    </xf>
    <xf numFmtId="0" fontId="46" fillId="11" borderId="59" xfId="10" applyFont="1" applyFill="1" applyBorder="1" applyAlignment="1">
      <alignment horizontal="left" wrapText="1" indent="2"/>
    </xf>
    <xf numFmtId="166" fontId="44" fillId="0" borderId="60" xfId="8" applyNumberFormat="1" applyFont="1" applyBorder="1" applyAlignment="1">
      <alignment horizontal="center" vertical="center" wrapText="1"/>
    </xf>
    <xf numFmtId="0" fontId="49" fillId="11" borderId="14" xfId="10" applyFont="1" applyFill="1" applyBorder="1" applyAlignment="1">
      <alignment horizontal="center"/>
    </xf>
    <xf numFmtId="0" fontId="46" fillId="11" borderId="57" xfId="10" applyFont="1" applyFill="1" applyBorder="1" applyAlignment="1">
      <alignment horizontal="left" wrapText="1" indent="2"/>
    </xf>
    <xf numFmtId="3" fontId="49" fillId="11" borderId="1" xfId="10" applyNumberFormat="1" applyFont="1" applyFill="1" applyBorder="1" applyAlignment="1">
      <alignment horizontal="center"/>
    </xf>
    <xf numFmtId="0" fontId="46" fillId="11" borderId="57" xfId="10" applyFont="1" applyFill="1" applyBorder="1" applyAlignment="1">
      <alignment horizontal="left" indent="2"/>
    </xf>
    <xf numFmtId="0" fontId="46" fillId="11" borderId="61" xfId="10" applyFont="1" applyFill="1" applyBorder="1" applyAlignment="1">
      <alignment horizontal="left" indent="2"/>
    </xf>
    <xf numFmtId="166" fontId="44" fillId="0" borderId="62" xfId="8" applyNumberFormat="1" applyFont="1" applyBorder="1" applyAlignment="1">
      <alignment horizontal="center" vertical="center" wrapText="1"/>
    </xf>
    <xf numFmtId="3" fontId="49" fillId="11" borderId="19" xfId="10" applyNumberFormat="1" applyFont="1" applyFill="1" applyBorder="1" applyAlignment="1">
      <alignment horizontal="center"/>
    </xf>
    <xf numFmtId="0" fontId="46" fillId="11" borderId="29" xfId="10" applyFont="1" applyFill="1" applyBorder="1" applyAlignment="1">
      <alignment horizontal="left" indent="2"/>
    </xf>
    <xf numFmtId="0" fontId="49" fillId="11" borderId="31" xfId="10" applyFont="1" applyFill="1" applyBorder="1" applyAlignment="1">
      <alignment horizontal="center"/>
    </xf>
    <xf numFmtId="0" fontId="49" fillId="11" borderId="32" xfId="10" applyFont="1" applyFill="1" applyBorder="1" applyAlignment="1">
      <alignment horizontal="center"/>
    </xf>
    <xf numFmtId="0" fontId="46" fillId="11" borderId="34" xfId="10" applyFont="1" applyFill="1" applyBorder="1" applyAlignment="1">
      <alignment horizontal="right"/>
    </xf>
    <xf numFmtId="0" fontId="46" fillId="11" borderId="35" xfId="10" applyFont="1" applyFill="1" applyBorder="1" applyAlignment="1">
      <alignment horizontal="right"/>
    </xf>
    <xf numFmtId="0" fontId="49" fillId="11" borderId="1" xfId="10" applyFont="1" applyFill="1" applyBorder="1" applyAlignment="1">
      <alignment horizontal="center"/>
    </xf>
    <xf numFmtId="0" fontId="49" fillId="11" borderId="17" xfId="10" applyFont="1" applyFill="1" applyBorder="1" applyAlignment="1">
      <alignment horizontal="center"/>
    </xf>
    <xf numFmtId="0" fontId="46" fillId="11" borderId="34" xfId="10" applyFont="1" applyFill="1" applyBorder="1" applyAlignment="1">
      <alignment horizontal="left" indent="2"/>
    </xf>
    <xf numFmtId="3" fontId="49" fillId="11" borderId="14" xfId="10" applyNumberFormat="1" applyFont="1" applyFill="1" applyBorder="1" applyAlignment="1">
      <alignment horizontal="center"/>
    </xf>
    <xf numFmtId="3" fontId="49" fillId="11" borderId="15" xfId="10" applyNumberFormat="1" applyFont="1" applyFill="1" applyBorder="1" applyAlignment="1">
      <alignment horizontal="center"/>
    </xf>
    <xf numFmtId="3" fontId="44" fillId="11" borderId="63" xfId="8" applyNumberFormat="1" applyFont="1" applyFill="1" applyBorder="1" applyAlignment="1">
      <alignment horizontal="right" vertical="center" wrapText="1"/>
    </xf>
    <xf numFmtId="3" fontId="49" fillId="11" borderId="31" xfId="10" applyNumberFormat="1" applyFont="1" applyFill="1" applyBorder="1" applyAlignment="1">
      <alignment horizontal="center"/>
    </xf>
    <xf numFmtId="3" fontId="49" fillId="11" borderId="55" xfId="10" applyNumberFormat="1" applyFont="1" applyFill="1" applyBorder="1" applyAlignment="1">
      <alignment horizontal="center"/>
    </xf>
    <xf numFmtId="3" fontId="49" fillId="11" borderId="7" xfId="10" applyNumberFormat="1" applyFont="1" applyFill="1" applyBorder="1" applyAlignment="1">
      <alignment horizontal="center"/>
    </xf>
    <xf numFmtId="0" fontId="46" fillId="11" borderId="64" xfId="10" applyFont="1" applyFill="1" applyBorder="1" applyAlignment="1">
      <alignment horizontal="right"/>
    </xf>
    <xf numFmtId="0" fontId="46" fillId="11" borderId="39" xfId="10" applyFont="1" applyFill="1" applyBorder="1" applyAlignment="1">
      <alignment horizontal="left" indent="2"/>
    </xf>
    <xf numFmtId="3" fontId="49" fillId="11" borderId="17" xfId="10" applyNumberFormat="1" applyFont="1" applyFill="1" applyBorder="1" applyAlignment="1">
      <alignment horizontal="center"/>
    </xf>
    <xf numFmtId="0" fontId="46" fillId="11" borderId="13" xfId="10" applyFont="1" applyFill="1" applyBorder="1" applyAlignment="1">
      <alignment horizontal="left" indent="2"/>
    </xf>
    <xf numFmtId="3" fontId="44" fillId="0" borderId="65" xfId="8" applyNumberFormat="1" applyFont="1" applyBorder="1" applyAlignment="1">
      <alignment horizontal="center" vertical="center" wrapText="1"/>
    </xf>
    <xf numFmtId="44" fontId="46" fillId="0" borderId="0" xfId="14" applyFont="1" applyAlignment="1">
      <alignment horizontal="center"/>
    </xf>
    <xf numFmtId="0" fontId="46" fillId="11" borderId="39" xfId="10" applyFont="1" applyFill="1" applyBorder="1" applyAlignment="1">
      <alignment horizontal="left" wrapText="1" indent="2"/>
    </xf>
    <xf numFmtId="0" fontId="46" fillId="0" borderId="13" xfId="10" applyFont="1" applyBorder="1" applyAlignment="1">
      <alignment horizontal="center" vertical="center"/>
    </xf>
    <xf numFmtId="44" fontId="44" fillId="11" borderId="14" xfId="14" applyFont="1" applyFill="1" applyBorder="1" applyAlignment="1">
      <alignment horizontal="center" vertical="center" wrapText="1"/>
    </xf>
    <xf numFmtId="0" fontId="46" fillId="11" borderId="34" xfId="10" applyFont="1" applyFill="1" applyBorder="1" applyAlignment="1">
      <alignment horizontal="left" wrapText="1" indent="2"/>
    </xf>
    <xf numFmtId="0" fontId="46" fillId="0" borderId="16" xfId="10" applyFont="1" applyBorder="1" applyAlignment="1">
      <alignment horizontal="center" vertical="center"/>
    </xf>
    <xf numFmtId="44" fontId="44" fillId="11" borderId="1" xfId="14" applyFont="1" applyFill="1" applyBorder="1" applyAlignment="1">
      <alignment horizontal="center" vertical="center" wrapText="1"/>
    </xf>
    <xf numFmtId="0" fontId="46" fillId="11" borderId="35" xfId="10" applyFont="1" applyFill="1" applyBorder="1" applyAlignment="1">
      <alignment horizontal="left" indent="2"/>
    </xf>
    <xf numFmtId="0" fontId="46" fillId="0" borderId="18" xfId="10" applyFont="1" applyBorder="1" applyAlignment="1">
      <alignment horizontal="center" vertical="center"/>
    </xf>
    <xf numFmtId="44" fontId="44" fillId="11" borderId="19" xfId="14" applyFont="1" applyFill="1" applyBorder="1" applyAlignment="1">
      <alignment horizontal="center" vertical="center" wrapText="1"/>
    </xf>
    <xf numFmtId="0" fontId="46" fillId="0" borderId="66" xfId="10" applyFont="1" applyBorder="1" applyAlignment="1">
      <alignment horizontal="center" vertical="center"/>
    </xf>
    <xf numFmtId="44" fontId="44" fillId="11" borderId="12" xfId="14" applyFont="1" applyFill="1" applyBorder="1" applyAlignment="1">
      <alignment horizontal="center" vertical="center" wrapText="1"/>
    </xf>
    <xf numFmtId="0" fontId="49" fillId="0" borderId="31" xfId="8" applyFont="1" applyBorder="1" applyAlignment="1">
      <alignment horizontal="center" vertical="center" wrapText="1"/>
    </xf>
    <xf numFmtId="0" fontId="52" fillId="11" borderId="31" xfId="10" applyFont="1" applyFill="1" applyBorder="1" applyAlignment="1">
      <alignment horizontal="center" vertical="center"/>
    </xf>
    <xf numFmtId="0" fontId="59" fillId="11" borderId="31" xfId="10" applyFont="1" applyFill="1" applyBorder="1" applyAlignment="1">
      <alignment horizontal="center" vertical="center"/>
    </xf>
    <xf numFmtId="0" fontId="49" fillId="11" borderId="31" xfId="10" applyFont="1" applyFill="1" applyBorder="1" applyAlignment="1">
      <alignment horizontal="center" vertical="center"/>
    </xf>
    <xf numFmtId="0" fontId="52" fillId="11" borderId="32" xfId="10" applyFont="1" applyFill="1" applyBorder="1" applyAlignment="1">
      <alignment horizontal="center" vertical="center"/>
    </xf>
    <xf numFmtId="0" fontId="49" fillId="0" borderId="12" xfId="8" applyFont="1" applyBorder="1" applyAlignment="1">
      <alignment horizontal="center" vertical="center" wrapText="1"/>
    </xf>
    <xf numFmtId="0" fontId="52" fillId="11" borderId="12" xfId="10" applyFont="1" applyFill="1" applyBorder="1" applyAlignment="1">
      <alignment horizontal="center" vertical="center"/>
    </xf>
    <xf numFmtId="0" fontId="59" fillId="11" borderId="12" xfId="10" applyFont="1" applyFill="1" applyBorder="1" applyAlignment="1">
      <alignment horizontal="center" vertical="center"/>
    </xf>
    <xf numFmtId="0" fontId="49" fillId="11" borderId="12" xfId="10" applyFont="1" applyFill="1" applyBorder="1" applyAlignment="1">
      <alignment horizontal="center" vertical="center"/>
    </xf>
    <xf numFmtId="0" fontId="52" fillId="11" borderId="67" xfId="10" applyFont="1" applyFill="1" applyBorder="1" applyAlignment="1">
      <alignment horizontal="center" vertical="center"/>
    </xf>
    <xf numFmtId="3" fontId="60" fillId="11" borderId="19" xfId="10" applyNumberFormat="1" applyFont="1" applyFill="1" applyBorder="1"/>
    <xf numFmtId="3" fontId="60" fillId="11" borderId="20" xfId="10" applyNumberFormat="1" applyFont="1" applyFill="1" applyBorder="1"/>
    <xf numFmtId="3" fontId="44" fillId="0" borderId="13" xfId="8" applyNumberFormat="1" applyFont="1" applyBorder="1" applyAlignment="1">
      <alignment horizontal="center" vertical="center" wrapText="1"/>
    </xf>
    <xf numFmtId="3" fontId="46" fillId="11" borderId="14" xfId="10" applyNumberFormat="1" applyFont="1" applyFill="1" applyBorder="1"/>
    <xf numFmtId="3" fontId="44" fillId="11" borderId="14" xfId="10" applyNumberFormat="1" applyFont="1" applyFill="1" applyBorder="1"/>
    <xf numFmtId="3" fontId="49" fillId="11" borderId="14" xfId="10" applyNumberFormat="1" applyFont="1" applyFill="1" applyBorder="1" applyAlignment="1">
      <alignment horizontal="center" vertical="center"/>
    </xf>
    <xf numFmtId="3" fontId="49" fillId="11" borderId="15" xfId="10" applyNumberFormat="1" applyFont="1" applyFill="1" applyBorder="1" applyAlignment="1">
      <alignment horizontal="center" vertical="center"/>
    </xf>
    <xf numFmtId="3" fontId="44" fillId="11" borderId="68" xfId="8" applyNumberFormat="1" applyFont="1" applyFill="1" applyBorder="1" applyAlignment="1">
      <alignment horizontal="right" vertical="center" wrapText="1"/>
    </xf>
    <xf numFmtId="3" fontId="44" fillId="0" borderId="16" xfId="8" applyNumberFormat="1" applyFont="1" applyBorder="1" applyAlignment="1">
      <alignment horizontal="center" vertical="center" wrapText="1"/>
    </xf>
    <xf numFmtId="3" fontId="44" fillId="0" borderId="12" xfId="8" applyNumberFormat="1" applyFont="1" applyBorder="1" applyAlignment="1">
      <alignment horizontal="center" vertical="center" wrapText="1"/>
    </xf>
    <xf numFmtId="3" fontId="52" fillId="11" borderId="12" xfId="10" applyNumberFormat="1" applyFont="1" applyFill="1" applyBorder="1" applyAlignment="1">
      <alignment horizontal="center" vertical="center"/>
    </xf>
    <xf numFmtId="3" fontId="49" fillId="11" borderId="12" xfId="10" applyNumberFormat="1" applyFont="1" applyFill="1" applyBorder="1" applyAlignment="1">
      <alignment horizontal="center" vertical="center"/>
    </xf>
    <xf numFmtId="3" fontId="49" fillId="11" borderId="67" xfId="10" applyNumberFormat="1" applyFont="1" applyFill="1" applyBorder="1" applyAlignment="1">
      <alignment horizontal="center" vertical="center"/>
    </xf>
    <xf numFmtId="3" fontId="44" fillId="0" borderId="69" xfId="8" applyNumberFormat="1" applyFont="1" applyBorder="1" applyAlignment="1">
      <alignment horizontal="center" vertical="center" wrapText="1"/>
    </xf>
    <xf numFmtId="44" fontId="44" fillId="11" borderId="65" xfId="14" applyFont="1" applyFill="1" applyBorder="1" applyAlignment="1">
      <alignment horizontal="center" vertical="center" wrapText="1"/>
    </xf>
    <xf numFmtId="3" fontId="44" fillId="11" borderId="19" xfId="10" applyNumberFormat="1" applyFont="1" applyFill="1" applyBorder="1"/>
    <xf numFmtId="3" fontId="49" fillId="11" borderId="19" xfId="10" applyNumberFormat="1" applyFont="1" applyFill="1" applyBorder="1" applyAlignment="1">
      <alignment horizontal="center" vertical="center"/>
    </xf>
    <xf numFmtId="3" fontId="44" fillId="11" borderId="20" xfId="10" applyNumberFormat="1" applyFont="1" applyFill="1" applyBorder="1"/>
    <xf numFmtId="0" fontId="46" fillId="11" borderId="14" xfId="10" applyFont="1" applyFill="1" applyBorder="1"/>
    <xf numFmtId="0" fontId="46" fillId="11" borderId="1" xfId="10" applyFont="1" applyFill="1" applyBorder="1"/>
    <xf numFmtId="3" fontId="46" fillId="11" borderId="65" xfId="10" applyNumberFormat="1" applyFont="1" applyFill="1" applyBorder="1"/>
    <xf numFmtId="3" fontId="44" fillId="0" borderId="33" xfId="8" applyNumberFormat="1" applyFont="1" applyBorder="1" applyAlignment="1">
      <alignment horizontal="center" vertical="center" wrapText="1"/>
    </xf>
    <xf numFmtId="3" fontId="60" fillId="11" borderId="14" xfId="10" applyNumberFormat="1" applyFont="1" applyFill="1" applyBorder="1"/>
    <xf numFmtId="3" fontId="59" fillId="11" borderId="14" xfId="10" applyNumberFormat="1" applyFont="1" applyFill="1" applyBorder="1" applyAlignment="1">
      <alignment horizontal="center" vertical="center"/>
    </xf>
    <xf numFmtId="3" fontId="60" fillId="11" borderId="15" xfId="10" applyNumberFormat="1" applyFont="1" applyFill="1" applyBorder="1"/>
    <xf numFmtId="3" fontId="44" fillId="11" borderId="1" xfId="10" applyNumberFormat="1" applyFont="1" applyFill="1" applyBorder="1"/>
    <xf numFmtId="3" fontId="49" fillId="11" borderId="1" xfId="10" applyNumberFormat="1" applyFont="1" applyFill="1" applyBorder="1" applyAlignment="1">
      <alignment horizontal="center" vertical="center"/>
    </xf>
    <xf numFmtId="3" fontId="49" fillId="11" borderId="7" xfId="10" applyNumberFormat="1" applyFont="1" applyFill="1" applyBorder="1" applyAlignment="1">
      <alignment horizontal="center" vertical="center"/>
    </xf>
    <xf numFmtId="3" fontId="44" fillId="0" borderId="70" xfId="8" applyNumberFormat="1" applyFont="1" applyBorder="1" applyAlignment="1">
      <alignment horizontal="center" vertical="center" wrapText="1"/>
    </xf>
    <xf numFmtId="44" fontId="44" fillId="11" borderId="42" xfId="14" applyFont="1" applyFill="1" applyBorder="1" applyAlignment="1">
      <alignment horizontal="center" vertical="center" wrapText="1"/>
    </xf>
    <xf numFmtId="3" fontId="44" fillId="0" borderId="40" xfId="8" applyNumberFormat="1" applyFont="1" applyBorder="1" applyAlignment="1">
      <alignment horizontal="center" vertical="center" wrapText="1"/>
    </xf>
    <xf numFmtId="3" fontId="44" fillId="11" borderId="15" xfId="10" applyNumberFormat="1" applyFont="1" applyFill="1" applyBorder="1"/>
    <xf numFmtId="3" fontId="44" fillId="11" borderId="17" xfId="10" applyNumberFormat="1" applyFont="1" applyFill="1" applyBorder="1"/>
    <xf numFmtId="3" fontId="49" fillId="11" borderId="17" xfId="10" applyNumberFormat="1" applyFont="1" applyFill="1" applyBorder="1" applyAlignment="1">
      <alignment horizontal="center" vertical="center"/>
    </xf>
    <xf numFmtId="0" fontId="46" fillId="11" borderId="29" xfId="10" applyFont="1" applyFill="1" applyBorder="1" applyAlignment="1">
      <alignment horizontal="left" wrapText="1" indent="2"/>
    </xf>
    <xf numFmtId="44" fontId="44" fillId="11" borderId="33" xfId="14" applyFont="1" applyFill="1" applyBorder="1" applyAlignment="1">
      <alignment horizontal="center" vertical="center" wrapText="1"/>
    </xf>
    <xf numFmtId="3" fontId="44" fillId="11" borderId="31" xfId="8" applyNumberFormat="1" applyFont="1" applyFill="1" applyBorder="1" applyAlignment="1">
      <alignment horizontal="right" vertical="center" wrapText="1"/>
    </xf>
    <xf numFmtId="0" fontId="44" fillId="11" borderId="31" xfId="8" applyFont="1" applyFill="1" applyBorder="1" applyAlignment="1">
      <alignment horizontal="center" vertical="center" wrapText="1"/>
    </xf>
    <xf numFmtId="44" fontId="44" fillId="11" borderId="8" xfId="14" applyFont="1" applyFill="1" applyBorder="1" applyAlignment="1">
      <alignment horizontal="center" vertical="center" wrapText="1"/>
    </xf>
    <xf numFmtId="44" fontId="46" fillId="11" borderId="33" xfId="10" applyNumberFormat="1" applyFont="1" applyFill="1" applyBorder="1"/>
    <xf numFmtId="0" fontId="46" fillId="11" borderId="31" xfId="10" applyFont="1" applyFill="1" applyBorder="1"/>
    <xf numFmtId="44" fontId="46" fillId="11" borderId="31" xfId="10" applyNumberFormat="1" applyFont="1" applyFill="1" applyBorder="1"/>
    <xf numFmtId="44" fontId="46" fillId="11" borderId="1" xfId="10" applyNumberFormat="1" applyFont="1" applyFill="1" applyBorder="1"/>
    <xf numFmtId="44" fontId="46" fillId="0" borderId="0" xfId="10" applyNumberFormat="1" applyFont="1"/>
    <xf numFmtId="0" fontId="46" fillId="11" borderId="8" xfId="10" applyFont="1" applyFill="1" applyBorder="1"/>
    <xf numFmtId="0" fontId="46" fillId="11" borderId="1" xfId="10" applyFont="1" applyFill="1" applyBorder="1" applyAlignment="1">
      <alignment horizontal="left" indent="2"/>
    </xf>
    <xf numFmtId="43" fontId="6" fillId="5" borderId="0" xfId="1" applyFont="1" applyFill="1"/>
    <xf numFmtId="164" fontId="7" fillId="13" borderId="3" xfId="1" applyNumberFormat="1" applyFont="1" applyFill="1" applyBorder="1"/>
    <xf numFmtId="172" fontId="7" fillId="7" borderId="3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6" fillId="0" borderId="37" xfId="10" applyFont="1" applyBorder="1" applyAlignment="1">
      <alignment horizontal="center"/>
    </xf>
    <xf numFmtId="0" fontId="46" fillId="0" borderId="38" xfId="10" applyFont="1" applyBorder="1" applyAlignment="1">
      <alignment horizontal="center"/>
    </xf>
    <xf numFmtId="0" fontId="46" fillId="0" borderId="13" xfId="10" applyFont="1" applyBorder="1" applyAlignment="1">
      <alignment horizontal="center" vertical="center" wrapText="1"/>
    </xf>
    <xf numFmtId="0" fontId="46" fillId="0" borderId="14" xfId="10" applyFont="1" applyBorder="1" applyAlignment="1">
      <alignment horizontal="center" vertical="center" wrapText="1"/>
    </xf>
    <xf numFmtId="183" fontId="46" fillId="0" borderId="18" xfId="10" applyNumberFormat="1" applyFont="1" applyBorder="1" applyAlignment="1">
      <alignment horizontal="center" vertical="center" wrapText="1"/>
    </xf>
    <xf numFmtId="183" fontId="46" fillId="0" borderId="19" xfId="10" applyNumberFormat="1" applyFont="1" applyBorder="1" applyAlignment="1">
      <alignment horizontal="center" vertical="center" wrapText="1"/>
    </xf>
    <xf numFmtId="0" fontId="46" fillId="0" borderId="45" xfId="10" applyFont="1" applyBorder="1" applyAlignment="1">
      <alignment horizontal="center"/>
    </xf>
    <xf numFmtId="0" fontId="46" fillId="0" borderId="46" xfId="10" applyFont="1" applyBorder="1" applyAlignment="1">
      <alignment horizontal="center"/>
    </xf>
    <xf numFmtId="0" fontId="44" fillId="0" borderId="0" xfId="9" applyFont="1" applyAlignment="1">
      <alignment vertical="center"/>
    </xf>
    <xf numFmtId="0" fontId="46" fillId="15" borderId="0" xfId="9" applyFont="1" applyFill="1" applyAlignment="1">
      <alignment horizontal="center" vertical="center"/>
    </xf>
    <xf numFmtId="0" fontId="44" fillId="0" borderId="0" xfId="9" applyFont="1" applyAlignment="1">
      <alignment horizontal="center" vertical="center"/>
    </xf>
    <xf numFmtId="177" fontId="44" fillId="0" borderId="0" xfId="9" applyNumberFormat="1" applyFont="1" applyAlignment="1">
      <alignment horizontal="center" vertical="center"/>
    </xf>
    <xf numFmtId="0" fontId="61" fillId="0" borderId="0" xfId="9" applyFont="1" applyAlignment="1">
      <alignment vertical="center"/>
    </xf>
    <xf numFmtId="0" fontId="48" fillId="0" borderId="0" xfId="9" applyFont="1" applyAlignment="1">
      <alignment horizontal="left" vertical="center" wrapText="1"/>
    </xf>
    <xf numFmtId="0" fontId="61" fillId="0" borderId="0" xfId="9" applyFont="1" applyAlignment="1">
      <alignment horizontal="left" vertical="center"/>
    </xf>
    <xf numFmtId="178" fontId="44" fillId="0" borderId="0" xfId="9" applyNumberFormat="1" applyFont="1" applyAlignment="1">
      <alignment horizontal="center" vertical="center"/>
    </xf>
    <xf numFmtId="0" fontId="48" fillId="0" borderId="0" xfId="9" applyFont="1" applyAlignment="1">
      <alignment horizontal="center" vertical="center"/>
    </xf>
    <xf numFmtId="0" fontId="44" fillId="0" borderId="0" xfId="9" applyFont="1" applyAlignment="1">
      <alignment horizontal="right" vertical="center" indent="1"/>
    </xf>
    <xf numFmtId="0" fontId="49" fillId="0" borderId="13" xfId="9" applyFont="1" applyBorder="1" applyAlignment="1">
      <alignment vertical="center" wrapText="1"/>
    </xf>
    <xf numFmtId="0" fontId="49" fillId="0" borderId="14" xfId="9" applyFont="1" applyBorder="1" applyAlignment="1">
      <alignment horizontal="center" vertical="center" wrapText="1"/>
    </xf>
    <xf numFmtId="2" fontId="44" fillId="0" borderId="15" xfId="9" applyNumberFormat="1" applyFont="1" applyBorder="1" applyAlignment="1">
      <alignment horizontal="left" vertical="center" wrapText="1"/>
    </xf>
    <xf numFmtId="190" fontId="49" fillId="0" borderId="0" xfId="9" applyNumberFormat="1" applyFont="1" applyAlignment="1">
      <alignment vertical="center"/>
    </xf>
    <xf numFmtId="0" fontId="49" fillId="0" borderId="0" xfId="9" applyFont="1" applyAlignment="1">
      <alignment vertical="center"/>
    </xf>
    <xf numFmtId="0" fontId="49" fillId="0" borderId="16" xfId="9" applyFont="1" applyBorder="1" applyAlignment="1">
      <alignment vertical="center" wrapText="1"/>
    </xf>
    <xf numFmtId="0" fontId="49" fillId="0" borderId="1" xfId="9" applyFont="1" applyBorder="1" applyAlignment="1">
      <alignment horizontal="center" vertical="center" wrapText="1"/>
    </xf>
    <xf numFmtId="0" fontId="49" fillId="15" borderId="1" xfId="9" applyFont="1" applyFill="1" applyBorder="1" applyAlignment="1">
      <alignment horizontal="center" vertical="center" wrapText="1"/>
    </xf>
    <xf numFmtId="2" fontId="44" fillId="0" borderId="17" xfId="9" applyNumberFormat="1" applyFont="1" applyBorder="1" applyAlignment="1">
      <alignment horizontal="left" vertical="center" wrapText="1"/>
    </xf>
    <xf numFmtId="4" fontId="49" fillId="0" borderId="1" xfId="9" applyNumberFormat="1" applyFont="1" applyBorder="1" applyAlignment="1">
      <alignment horizontal="center" vertical="center" wrapText="1"/>
    </xf>
    <xf numFmtId="0" fontId="44" fillId="0" borderId="16" xfId="9" applyFont="1" applyBorder="1" applyAlignment="1">
      <alignment horizontal="right" vertical="center" wrapText="1"/>
    </xf>
    <xf numFmtId="0" fontId="44" fillId="0" borderId="1" xfId="9" applyFont="1" applyBorder="1" applyAlignment="1">
      <alignment horizontal="center" vertical="center" wrapText="1"/>
    </xf>
    <xf numFmtId="3" fontId="44" fillId="0" borderId="1" xfId="9" applyNumberFormat="1" applyFont="1" applyBorder="1" applyAlignment="1">
      <alignment horizontal="right" vertical="center" wrapText="1"/>
    </xf>
    <xf numFmtId="0" fontId="44" fillId="15" borderId="1" xfId="9" applyFont="1" applyFill="1" applyBorder="1" applyAlignment="1">
      <alignment horizontal="center" vertical="center" wrapText="1"/>
    </xf>
    <xf numFmtId="4" fontId="44" fillId="0" borderId="1" xfId="9" applyNumberFormat="1" applyFont="1" applyBorder="1" applyAlignment="1">
      <alignment horizontal="center" vertical="center" wrapText="1"/>
    </xf>
    <xf numFmtId="0" fontId="49" fillId="0" borderId="18" xfId="9" applyFont="1" applyBorder="1" applyAlignment="1">
      <alignment vertical="center" wrapText="1"/>
    </xf>
    <xf numFmtId="0" fontId="44" fillId="0" borderId="19" xfId="9" applyFont="1" applyBorder="1" applyAlignment="1">
      <alignment horizontal="center" vertical="center" wrapText="1"/>
    </xf>
    <xf numFmtId="0" fontId="44" fillId="15" borderId="19" xfId="9" applyFont="1" applyFill="1" applyBorder="1" applyAlignment="1">
      <alignment horizontal="center" vertical="center" wrapText="1"/>
    </xf>
    <xf numFmtId="4" fontId="44" fillId="0" borderId="19" xfId="9" applyNumberFormat="1" applyFont="1" applyBorder="1" applyAlignment="1">
      <alignment horizontal="center" vertical="center" wrapText="1"/>
    </xf>
    <xf numFmtId="2" fontId="44" fillId="0" borderId="20" xfId="9" applyNumberFormat="1" applyFont="1" applyBorder="1" applyAlignment="1">
      <alignment horizontal="left" vertical="center" wrapText="1"/>
    </xf>
    <xf numFmtId="0" fontId="50" fillId="0" borderId="0" xfId="9" applyFont="1" applyAlignment="1">
      <alignment horizontal="center" vertical="center"/>
    </xf>
    <xf numFmtId="0" fontId="44" fillId="0" borderId="14" xfId="9" applyFont="1" applyBorder="1" applyAlignment="1">
      <alignment horizontal="center" vertical="center" wrapText="1"/>
    </xf>
    <xf numFmtId="0" fontId="44" fillId="15" borderId="14" xfId="9" applyFont="1" applyFill="1" applyBorder="1" applyAlignment="1">
      <alignment horizontal="center" vertical="center" wrapText="1"/>
    </xf>
    <xf numFmtId="4" fontId="44" fillId="0" borderId="14" xfId="9" applyNumberFormat="1" applyFont="1" applyBorder="1" applyAlignment="1">
      <alignment horizontal="center" vertical="center" wrapText="1"/>
    </xf>
    <xf numFmtId="0" fontId="49" fillId="0" borderId="21" xfId="9" applyFont="1" applyBorder="1" applyAlignment="1">
      <alignment vertical="center" wrapText="1"/>
    </xf>
    <xf numFmtId="4" fontId="44" fillId="15" borderId="19" xfId="9" applyNumberFormat="1" applyFont="1" applyFill="1" applyBorder="1" applyAlignment="1">
      <alignment horizontal="center" vertical="center" wrapText="1"/>
    </xf>
    <xf numFmtId="0" fontId="44" fillId="0" borderId="19" xfId="9" applyFont="1" applyBorder="1" applyAlignment="1">
      <alignment vertical="center"/>
    </xf>
    <xf numFmtId="0" fontId="44" fillId="15" borderId="14" xfId="9" applyFont="1" applyFill="1" applyBorder="1" applyAlignment="1">
      <alignment horizontal="center" vertical="center"/>
    </xf>
    <xf numFmtId="0" fontId="44" fillId="0" borderId="14" xfId="9" applyFont="1" applyBorder="1" applyAlignment="1">
      <alignment vertical="center"/>
    </xf>
    <xf numFmtId="0" fontId="44" fillId="15" borderId="1" xfId="9" applyFont="1" applyFill="1" applyBorder="1" applyAlignment="1">
      <alignment horizontal="center" vertical="center"/>
    </xf>
    <xf numFmtId="0" fontId="44" fillId="0" borderId="1" xfId="9" applyFont="1" applyBorder="1" applyAlignment="1">
      <alignment vertical="center"/>
    </xf>
    <xf numFmtId="0" fontId="44" fillId="0" borderId="1" xfId="9" applyFont="1" applyBorder="1" applyAlignment="1">
      <alignment horizontal="center" vertical="center"/>
    </xf>
    <xf numFmtId="0" fontId="44" fillId="0" borderId="18" xfId="9" applyFont="1" applyBorder="1" applyAlignment="1">
      <alignment horizontal="right" vertical="center" wrapText="1"/>
    </xf>
    <xf numFmtId="0" fontId="44" fillId="0" borderId="0" xfId="9" applyFont="1" applyAlignment="1">
      <alignment vertical="center" wrapText="1"/>
    </xf>
    <xf numFmtId="1" fontId="44" fillId="0" borderId="14" xfId="9" applyNumberFormat="1" applyFont="1" applyBorder="1" applyAlignment="1">
      <alignment horizontal="center" vertical="center" wrapText="1"/>
    </xf>
    <xf numFmtId="177" fontId="49" fillId="0" borderId="14" xfId="9" applyNumberFormat="1" applyFont="1" applyBorder="1" applyAlignment="1">
      <alignment horizontal="center" vertical="center" wrapText="1"/>
    </xf>
    <xf numFmtId="0" fontId="51" fillId="0" borderId="16" xfId="9" applyFont="1" applyBorder="1" applyAlignment="1">
      <alignment horizontal="right" vertical="center" wrapText="1"/>
    </xf>
    <xf numFmtId="1" fontId="51" fillId="0" borderId="1" xfId="9" applyNumberFormat="1" applyFont="1" applyBorder="1" applyAlignment="1">
      <alignment horizontal="center" vertical="center" wrapText="1"/>
    </xf>
    <xf numFmtId="177" fontId="51" fillId="0" borderId="1" xfId="9" applyNumberFormat="1" applyFont="1" applyBorder="1" applyAlignment="1">
      <alignment horizontal="right" vertical="center" wrapText="1"/>
    </xf>
    <xf numFmtId="0" fontId="51" fillId="0" borderId="18" xfId="9" applyFont="1" applyBorder="1" applyAlignment="1">
      <alignment horizontal="right" vertical="center" wrapText="1"/>
    </xf>
    <xf numFmtId="1" fontId="51" fillId="0" borderId="19" xfId="9" applyNumberFormat="1" applyFont="1" applyBorder="1" applyAlignment="1">
      <alignment horizontal="center" vertical="center" wrapText="1"/>
    </xf>
    <xf numFmtId="1" fontId="49" fillId="0" borderId="13" xfId="9" applyNumberFormat="1" applyFont="1" applyBorder="1" applyAlignment="1">
      <alignment horizontal="left" vertical="center"/>
    </xf>
    <xf numFmtId="3" fontId="44" fillId="0" borderId="14" xfId="9" applyNumberFormat="1" applyFont="1" applyBorder="1" applyAlignment="1">
      <alignment horizontal="center" vertical="center"/>
    </xf>
    <xf numFmtId="0" fontId="50" fillId="0" borderId="22" xfId="9" applyFont="1" applyBorder="1" applyAlignment="1">
      <alignment horizontal="center" vertical="center"/>
    </xf>
    <xf numFmtId="0" fontId="44" fillId="0" borderId="23" xfId="9" applyFont="1" applyBorder="1" applyAlignment="1">
      <alignment vertical="center"/>
    </xf>
    <xf numFmtId="1" fontId="44" fillId="0" borderId="16" xfId="9" applyNumberFormat="1" applyFont="1" applyBorder="1" applyAlignment="1">
      <alignment horizontal="center" vertical="center" wrapText="1"/>
    </xf>
    <xf numFmtId="1" fontId="51" fillId="0" borderId="16" xfId="9" applyNumberFormat="1" applyFont="1" applyBorder="1" applyAlignment="1">
      <alignment horizontal="right" vertical="center" wrapText="1"/>
    </xf>
    <xf numFmtId="2" fontId="44" fillId="15" borderId="0" xfId="9" applyNumberFormat="1" applyFont="1" applyFill="1" applyAlignment="1">
      <alignment horizontal="center" vertical="center"/>
    </xf>
    <xf numFmtId="1" fontId="44" fillId="0" borderId="1" xfId="9" applyNumberFormat="1" applyFont="1" applyBorder="1" applyAlignment="1">
      <alignment horizontal="center" vertical="center" wrapText="1"/>
    </xf>
    <xf numFmtId="3" fontId="44" fillId="0" borderId="1" xfId="9" applyNumberFormat="1" applyFont="1" applyBorder="1" applyAlignment="1">
      <alignment horizontal="center" vertical="center"/>
    </xf>
    <xf numFmtId="1" fontId="44" fillId="15" borderId="1" xfId="9" applyNumberFormat="1" applyFont="1" applyFill="1" applyBorder="1" applyAlignment="1">
      <alignment horizontal="center" vertical="center" wrapText="1"/>
    </xf>
    <xf numFmtId="191" fontId="44" fillId="0" borderId="1" xfId="9" applyNumberFormat="1" applyFont="1" applyBorder="1" applyAlignment="1">
      <alignment vertical="center"/>
    </xf>
    <xf numFmtId="177" fontId="44" fillId="0" borderId="1" xfId="9" applyNumberFormat="1" applyFont="1" applyBorder="1" applyAlignment="1">
      <alignment horizontal="center" vertical="center"/>
    </xf>
    <xf numFmtId="2" fontId="44" fillId="15" borderId="1" xfId="9" applyNumberFormat="1" applyFont="1" applyFill="1" applyBorder="1" applyAlignment="1">
      <alignment horizontal="center" vertical="center" wrapText="1"/>
    </xf>
    <xf numFmtId="1" fontId="51" fillId="0" borderId="18" xfId="9" applyNumberFormat="1" applyFont="1" applyBorder="1" applyAlignment="1">
      <alignment horizontal="right" vertical="center" wrapText="1"/>
    </xf>
    <xf numFmtId="191" fontId="44" fillId="0" borderId="19" xfId="9" applyNumberFormat="1" applyFont="1" applyBorder="1" applyAlignment="1">
      <alignment vertical="center"/>
    </xf>
    <xf numFmtId="3" fontId="44" fillId="0" borderId="19" xfId="9" applyNumberFormat="1" applyFont="1" applyBorder="1" applyAlignment="1">
      <alignment horizontal="center" vertical="center"/>
    </xf>
    <xf numFmtId="1" fontId="51" fillId="0" borderId="0" xfId="9" applyNumberFormat="1" applyFont="1" applyAlignment="1">
      <alignment horizontal="right" vertical="center" wrapText="1"/>
    </xf>
    <xf numFmtId="1" fontId="44" fillId="0" borderId="0" xfId="9" applyNumberFormat="1" applyFont="1" applyAlignment="1">
      <alignment horizontal="center" vertical="center" wrapText="1"/>
    </xf>
    <xf numFmtId="191" fontId="44" fillId="0" borderId="0" xfId="9" applyNumberFormat="1" applyFont="1" applyAlignment="1">
      <alignment vertical="center"/>
    </xf>
    <xf numFmtId="3" fontId="44" fillId="0" borderId="0" xfId="9" applyNumberFormat="1" applyFont="1" applyAlignment="1">
      <alignment horizontal="center" vertical="center"/>
    </xf>
    <xf numFmtId="2" fontId="44" fillId="0" borderId="0" xfId="9" applyNumberFormat="1" applyFont="1" applyAlignment="1">
      <alignment horizontal="left" vertical="center" wrapText="1"/>
    </xf>
    <xf numFmtId="1" fontId="49" fillId="0" borderId="13" xfId="9" applyNumberFormat="1" applyFont="1" applyBorder="1" applyAlignment="1">
      <alignment horizontal="left" vertical="center" wrapText="1"/>
    </xf>
    <xf numFmtId="1" fontId="51" fillId="0" borderId="14" xfId="9" applyNumberFormat="1" applyFont="1" applyBorder="1" applyAlignment="1">
      <alignment horizontal="center" vertical="center" wrapText="1"/>
    </xf>
    <xf numFmtId="177" fontId="44" fillId="0" borderId="14" xfId="9" applyNumberFormat="1" applyFont="1" applyBorder="1" applyAlignment="1">
      <alignment horizontal="center" vertical="center"/>
    </xf>
    <xf numFmtId="0" fontId="44" fillId="15" borderId="0" xfId="9" applyFont="1" applyFill="1" applyAlignment="1">
      <alignment horizontal="center" vertical="center" wrapText="1"/>
    </xf>
    <xf numFmtId="1" fontId="51" fillId="15" borderId="1" xfId="9" applyNumberFormat="1" applyFont="1" applyFill="1" applyBorder="1" applyAlignment="1">
      <alignment horizontal="center" vertical="center" wrapText="1"/>
    </xf>
    <xf numFmtId="0" fontId="44" fillId="0" borderId="19" xfId="9" applyFont="1" applyBorder="1" applyAlignment="1">
      <alignment horizontal="center" vertical="center"/>
    </xf>
    <xf numFmtId="0" fontId="44" fillId="15" borderId="19" xfId="9" applyFont="1" applyFill="1" applyBorder="1" applyAlignment="1">
      <alignment horizontal="center" vertical="center"/>
    </xf>
    <xf numFmtId="177" fontId="44" fillId="0" borderId="19" xfId="9" applyNumberFormat="1" applyFont="1" applyBorder="1" applyAlignment="1">
      <alignment horizontal="center" vertical="center"/>
    </xf>
    <xf numFmtId="0" fontId="44" fillId="0" borderId="20" xfId="9" applyFont="1" applyBorder="1" applyAlignment="1">
      <alignment vertical="center"/>
    </xf>
    <xf numFmtId="0" fontId="46" fillId="0" borderId="0" xfId="9" applyFont="1"/>
    <xf numFmtId="0" fontId="52" fillId="0" borderId="24" xfId="9" applyFont="1" applyBorder="1"/>
    <xf numFmtId="0" fontId="49" fillId="0" borderId="25" xfId="9" applyFont="1" applyBorder="1" applyAlignment="1">
      <alignment horizontal="center" vertical="center" wrapText="1"/>
    </xf>
    <xf numFmtId="0" fontId="46" fillId="0" borderId="26" xfId="9" applyFont="1" applyBorder="1"/>
    <xf numFmtId="0" fontId="46" fillId="0" borderId="27" xfId="9" applyFont="1" applyBorder="1"/>
    <xf numFmtId="0" fontId="46" fillId="0" borderId="28" xfId="9" applyFont="1" applyBorder="1" applyAlignment="1">
      <alignment horizontal="center"/>
    </xf>
    <xf numFmtId="0" fontId="49" fillId="0" borderId="26" xfId="9" applyFont="1" applyBorder="1" applyAlignment="1">
      <alignment horizontal="center" vertical="center" wrapText="1"/>
    </xf>
    <xf numFmtId="0" fontId="46" fillId="0" borderId="29" xfId="9" applyFont="1" applyBorder="1"/>
    <xf numFmtId="0" fontId="46" fillId="0" borderId="30" xfId="9" applyFont="1" applyBorder="1" applyAlignment="1">
      <alignment horizontal="center"/>
    </xf>
    <xf numFmtId="0" fontId="46" fillId="0" borderId="31" xfId="9" applyFont="1" applyBorder="1"/>
    <xf numFmtId="0" fontId="46" fillId="0" borderId="32" xfId="9" applyFont="1" applyBorder="1"/>
    <xf numFmtId="0" fontId="46" fillId="0" borderId="33" xfId="9" applyFont="1" applyBorder="1" applyAlignment="1">
      <alignment horizontal="center"/>
    </xf>
    <xf numFmtId="3" fontId="46" fillId="0" borderId="31" xfId="9" applyNumberFormat="1" applyFont="1" applyBorder="1"/>
    <xf numFmtId="0" fontId="46" fillId="0" borderId="34" xfId="9" applyFont="1" applyBorder="1"/>
    <xf numFmtId="0" fontId="46" fillId="0" borderId="16" xfId="9" applyFont="1" applyBorder="1" applyAlignment="1">
      <alignment horizontal="center"/>
    </xf>
    <xf numFmtId="0" fontId="46" fillId="0" borderId="1" xfId="9" applyFont="1" applyBorder="1"/>
    <xf numFmtId="0" fontId="46" fillId="0" borderId="17" xfId="9" applyFont="1" applyBorder="1"/>
    <xf numFmtId="3" fontId="44" fillId="0" borderId="8" xfId="9" applyNumberFormat="1" applyFont="1" applyBorder="1" applyAlignment="1">
      <alignment horizontal="center" vertical="center" wrapText="1"/>
    </xf>
    <xf numFmtId="3" fontId="46" fillId="0" borderId="1" xfId="9" applyNumberFormat="1" applyFont="1" applyBorder="1"/>
    <xf numFmtId="0" fontId="44" fillId="0" borderId="34" xfId="9" applyFont="1" applyBorder="1" applyAlignment="1">
      <alignment horizontal="right" vertical="center" wrapText="1"/>
    </xf>
    <xf numFmtId="0" fontId="44" fillId="0" borderId="16" xfId="9" applyFont="1" applyBorder="1" applyAlignment="1">
      <alignment horizontal="center" vertical="center" wrapText="1"/>
    </xf>
    <xf numFmtId="0" fontId="44" fillId="0" borderId="17" xfId="9" applyFont="1" applyBorder="1" applyAlignment="1">
      <alignment horizontal="center" vertical="center" wrapText="1"/>
    </xf>
    <xf numFmtId="0" fontId="44" fillId="0" borderId="8" xfId="9" applyFont="1" applyBorder="1" applyAlignment="1">
      <alignment horizontal="center" vertical="center" wrapText="1"/>
    </xf>
    <xf numFmtId="3" fontId="44" fillId="0" borderId="1" xfId="9" applyNumberFormat="1" applyFont="1" applyBorder="1" applyAlignment="1">
      <alignment horizontal="center" vertical="center" wrapText="1"/>
    </xf>
    <xf numFmtId="0" fontId="49" fillId="0" borderId="34" xfId="9" applyFont="1" applyBorder="1" applyAlignment="1">
      <alignment vertical="center" wrapText="1"/>
    </xf>
    <xf numFmtId="3" fontId="49" fillId="0" borderId="1" xfId="9" applyNumberFormat="1" applyFont="1" applyBorder="1" applyAlignment="1">
      <alignment horizontal="center" vertical="center" wrapText="1"/>
    </xf>
    <xf numFmtId="0" fontId="51" fillId="0" borderId="34" xfId="9" applyFont="1" applyBorder="1" applyAlignment="1">
      <alignment horizontal="right" vertical="center" wrapText="1"/>
    </xf>
    <xf numFmtId="1" fontId="51" fillId="0" borderId="16" xfId="9" applyNumberFormat="1" applyFont="1" applyBorder="1" applyAlignment="1">
      <alignment horizontal="center" vertical="center" wrapText="1"/>
    </xf>
    <xf numFmtId="1" fontId="44" fillId="0" borderId="17" xfId="9" applyNumberFormat="1" applyFont="1" applyBorder="1" applyAlignment="1">
      <alignment horizontal="center" vertical="center" wrapText="1"/>
    </xf>
    <xf numFmtId="1" fontId="44" fillId="0" borderId="8" xfId="9" applyNumberFormat="1" applyFont="1" applyBorder="1" applyAlignment="1">
      <alignment horizontal="center" vertical="center" wrapText="1"/>
    </xf>
    <xf numFmtId="177" fontId="44" fillId="0" borderId="1" xfId="9" applyNumberFormat="1" applyFont="1" applyBorder="1" applyAlignment="1">
      <alignment horizontal="center" vertical="center" wrapText="1"/>
    </xf>
    <xf numFmtId="0" fontId="51" fillId="0" borderId="35" xfId="9" applyFont="1" applyBorder="1" applyAlignment="1">
      <alignment horizontal="right" vertical="center" wrapText="1"/>
    </xf>
    <xf numFmtId="1" fontId="51" fillId="0" borderId="18" xfId="9" applyNumberFormat="1" applyFont="1" applyBorder="1" applyAlignment="1">
      <alignment horizontal="center" vertical="center" wrapText="1"/>
    </xf>
    <xf numFmtId="1" fontId="44" fillId="0" borderId="20" xfId="9" applyNumberFormat="1" applyFont="1" applyBorder="1" applyAlignment="1">
      <alignment horizontal="center" vertical="center" wrapText="1"/>
    </xf>
    <xf numFmtId="166" fontId="44" fillId="15" borderId="36" xfId="9" applyNumberFormat="1" applyFont="1" applyFill="1" applyBorder="1" applyAlignment="1">
      <alignment horizontal="center" vertical="center" wrapText="1"/>
    </xf>
    <xf numFmtId="177" fontId="44" fillId="0" borderId="19" xfId="9" applyNumberFormat="1" applyFont="1" applyBorder="1" applyAlignment="1">
      <alignment horizontal="center" vertical="center" wrapText="1"/>
    </xf>
    <xf numFmtId="0" fontId="46" fillId="0" borderId="37" xfId="9" applyFont="1" applyBorder="1" applyAlignment="1">
      <alignment horizontal="center"/>
    </xf>
    <xf numFmtId="0" fontId="49" fillId="0" borderId="39" xfId="9" applyFont="1" applyBorder="1" applyAlignment="1">
      <alignment horizontal="center" vertical="center" wrapText="1"/>
    </xf>
    <xf numFmtId="1" fontId="49" fillId="0" borderId="13" xfId="9" applyNumberFormat="1" applyFont="1" applyBorder="1" applyAlignment="1">
      <alignment horizontal="center" vertical="center" wrapText="1"/>
    </xf>
    <xf numFmtId="1" fontId="49" fillId="0" borderId="14" xfId="9" applyNumberFormat="1" applyFont="1" applyBorder="1" applyAlignment="1">
      <alignment horizontal="center" vertical="center" wrapText="1"/>
    </xf>
    <xf numFmtId="1" fontId="49" fillId="0" borderId="15" xfId="9" applyNumberFormat="1" applyFont="1" applyBorder="1" applyAlignment="1">
      <alignment horizontal="center" vertical="center" wrapText="1"/>
    </xf>
    <xf numFmtId="1" fontId="49" fillId="0" borderId="40" xfId="9" applyNumberFormat="1" applyFont="1" applyBorder="1" applyAlignment="1">
      <alignment horizontal="center" vertical="center" wrapText="1"/>
    </xf>
    <xf numFmtId="0" fontId="49" fillId="0" borderId="41" xfId="9" applyFont="1" applyBorder="1" applyAlignment="1">
      <alignment horizontal="center" vertical="center" wrapText="1"/>
    </xf>
    <xf numFmtId="0" fontId="49" fillId="0" borderId="34" xfId="9" applyFont="1" applyBorder="1" applyAlignment="1">
      <alignment horizontal="center" vertical="center" wrapText="1"/>
    </xf>
    <xf numFmtId="1" fontId="49" fillId="0" borderId="16" xfId="9" applyNumberFormat="1" applyFont="1" applyBorder="1" applyAlignment="1">
      <alignment horizontal="center" vertical="center" wrapText="1"/>
    </xf>
    <xf numFmtId="1" fontId="49" fillId="0" borderId="42" xfId="9" applyNumberFormat="1" applyFont="1" applyBorder="1" applyAlignment="1">
      <alignment horizontal="center" vertical="center" wrapText="1"/>
    </xf>
    <xf numFmtId="1" fontId="49" fillId="0" borderId="43" xfId="9" applyNumberFormat="1" applyFont="1" applyBorder="1" applyAlignment="1">
      <alignment horizontal="center" vertical="center" wrapText="1"/>
    </xf>
    <xf numFmtId="0" fontId="46" fillId="0" borderId="44" xfId="9" applyFont="1" applyBorder="1"/>
    <xf numFmtId="0" fontId="49" fillId="0" borderId="42" xfId="9" applyFont="1" applyBorder="1" applyAlignment="1">
      <alignment horizontal="center" vertical="center" wrapText="1"/>
    </xf>
    <xf numFmtId="0" fontId="44" fillId="15" borderId="34" xfId="9" applyFont="1" applyFill="1" applyBorder="1" applyAlignment="1">
      <alignment horizontal="right" vertical="center" wrapText="1"/>
    </xf>
    <xf numFmtId="3" fontId="46" fillId="15" borderId="16" xfId="9" applyNumberFormat="1" applyFont="1" applyFill="1" applyBorder="1"/>
    <xf numFmtId="0" fontId="46" fillId="15" borderId="1" xfId="9" applyFont="1" applyFill="1" applyBorder="1" applyAlignment="1">
      <alignment horizontal="center"/>
    </xf>
    <xf numFmtId="0" fontId="46" fillId="15" borderId="17" xfId="9" applyFont="1" applyFill="1" applyBorder="1" applyAlignment="1">
      <alignment horizontal="center"/>
    </xf>
    <xf numFmtId="0" fontId="46" fillId="15" borderId="8" xfId="9" applyFont="1" applyFill="1" applyBorder="1" applyAlignment="1">
      <alignment horizontal="center"/>
    </xf>
    <xf numFmtId="0" fontId="44" fillId="15" borderId="35" xfId="9" applyFont="1" applyFill="1" applyBorder="1" applyAlignment="1">
      <alignment horizontal="right" vertical="center" wrapText="1"/>
    </xf>
    <xf numFmtId="3" fontId="46" fillId="15" borderId="18" xfId="9" applyNumberFormat="1" applyFont="1" applyFill="1" applyBorder="1"/>
    <xf numFmtId="0" fontId="46" fillId="15" borderId="19" xfId="9" applyFont="1" applyFill="1" applyBorder="1" applyAlignment="1">
      <alignment horizontal="center"/>
    </xf>
    <xf numFmtId="0" fontId="46" fillId="15" borderId="20" xfId="9" applyFont="1" applyFill="1" applyBorder="1" applyAlignment="1">
      <alignment horizontal="center"/>
    </xf>
    <xf numFmtId="0" fontId="46" fillId="15" borderId="36" xfId="9" applyFont="1" applyFill="1" applyBorder="1" applyAlignment="1">
      <alignment horizontal="center"/>
    </xf>
    <xf numFmtId="0" fontId="49" fillId="0" borderId="13" xfId="9" applyFont="1" applyBorder="1" applyAlignment="1">
      <alignment horizontal="center" vertical="center" wrapText="1"/>
    </xf>
    <xf numFmtId="0" fontId="49" fillId="0" borderId="15" xfId="9" applyFont="1" applyBorder="1" applyAlignment="1">
      <alignment horizontal="center" vertical="center" wrapText="1"/>
    </xf>
    <xf numFmtId="0" fontId="49" fillId="0" borderId="40" xfId="9" applyFont="1" applyBorder="1" applyAlignment="1">
      <alignment horizontal="center" vertical="center" wrapText="1"/>
    </xf>
    <xf numFmtId="0" fontId="52" fillId="0" borderId="14" xfId="9" applyFont="1" applyBorder="1" applyAlignment="1">
      <alignment horizontal="center" vertical="center"/>
    </xf>
    <xf numFmtId="0" fontId="49" fillId="0" borderId="53" xfId="9" applyFont="1" applyBorder="1" applyAlignment="1">
      <alignment horizontal="center" vertical="center" wrapText="1"/>
    </xf>
    <xf numFmtId="0" fontId="49" fillId="0" borderId="22" xfId="9" applyFont="1" applyBorder="1" applyAlignment="1">
      <alignment horizontal="center" vertical="center" wrapText="1"/>
    </xf>
    <xf numFmtId="0" fontId="49" fillId="0" borderId="0" xfId="9" applyFont="1" applyAlignment="1">
      <alignment horizontal="center" vertical="center" wrapText="1"/>
    </xf>
    <xf numFmtId="0" fontId="49" fillId="0" borderId="23" xfId="9" applyFont="1" applyBorder="1" applyAlignment="1">
      <alignment horizontal="center" vertical="center" wrapText="1"/>
    </xf>
    <xf numFmtId="0" fontId="49" fillId="0" borderId="8" xfId="9" applyFont="1" applyBorder="1" applyAlignment="1">
      <alignment horizontal="center" vertical="center" wrapText="1"/>
    </xf>
    <xf numFmtId="3" fontId="52" fillId="0" borderId="1" xfId="9" applyNumberFormat="1" applyFont="1" applyBorder="1" applyAlignment="1">
      <alignment horizontal="center"/>
    </xf>
    <xf numFmtId="0" fontId="46" fillId="0" borderId="34" xfId="9" applyFont="1" applyBorder="1" applyAlignment="1">
      <alignment horizontal="left" indent="2"/>
    </xf>
    <xf numFmtId="0" fontId="46" fillId="0" borderId="16" xfId="9" applyFont="1" applyBorder="1" applyAlignment="1">
      <alignment horizontal="left" indent="2"/>
    </xf>
    <xf numFmtId="166" fontId="44" fillId="0" borderId="1" xfId="9" applyNumberFormat="1" applyFont="1" applyBorder="1" applyAlignment="1">
      <alignment horizontal="center" vertical="center" wrapText="1"/>
    </xf>
    <xf numFmtId="3" fontId="44" fillId="0" borderId="17" xfId="9" applyNumberFormat="1" applyFont="1" applyBorder="1" applyAlignment="1">
      <alignment horizontal="center" vertical="center" wrapText="1"/>
    </xf>
    <xf numFmtId="0" fontId="46" fillId="0" borderId="34" xfId="9" applyFont="1" applyBorder="1" applyAlignment="1">
      <alignment horizontal="right" indent="2"/>
    </xf>
    <xf numFmtId="0" fontId="46" fillId="15" borderId="16" xfId="9" applyFont="1" applyFill="1" applyBorder="1" applyAlignment="1">
      <alignment horizontal="left" vertical="center"/>
    </xf>
    <xf numFmtId="166" fontId="44" fillId="15" borderId="1" xfId="9" applyNumberFormat="1" applyFont="1" applyFill="1" applyBorder="1" applyAlignment="1">
      <alignment horizontal="center" vertical="center" wrapText="1"/>
    </xf>
    <xf numFmtId="3" fontId="44" fillId="15" borderId="17" xfId="9" applyNumberFormat="1" applyFont="1" applyFill="1" applyBorder="1" applyAlignment="1">
      <alignment horizontal="right" vertical="center" wrapText="1"/>
    </xf>
    <xf numFmtId="192" fontId="46" fillId="0" borderId="1" xfId="9" applyNumberFormat="1" applyFont="1" applyBorder="1"/>
    <xf numFmtId="0" fontId="46" fillId="15" borderId="16" xfId="9" applyFont="1" applyFill="1" applyBorder="1" applyAlignment="1">
      <alignment horizontal="right" indent="2"/>
    </xf>
    <xf numFmtId="0" fontId="46" fillId="15" borderId="16" xfId="9" applyFont="1" applyFill="1" applyBorder="1" applyAlignment="1">
      <alignment horizontal="left" indent="2"/>
    </xf>
    <xf numFmtId="0" fontId="46" fillId="0" borderId="8" xfId="9" applyFont="1" applyBorder="1"/>
    <xf numFmtId="0" fontId="46" fillId="0" borderId="35" xfId="9" applyFont="1" applyBorder="1" applyAlignment="1">
      <alignment horizontal="right" indent="2"/>
    </xf>
    <xf numFmtId="0" fontId="46" fillId="0" borderId="36" xfId="9" applyFont="1" applyBorder="1"/>
    <xf numFmtId="192" fontId="46" fillId="0" borderId="19" xfId="9" applyNumberFormat="1" applyFont="1" applyBorder="1"/>
    <xf numFmtId="4" fontId="46" fillId="0" borderId="0" xfId="9" applyNumberFormat="1" applyFont="1" applyAlignment="1">
      <alignment horizontal="center"/>
    </xf>
    <xf numFmtId="0" fontId="52" fillId="0" borderId="39" xfId="9" applyFont="1" applyBorder="1" applyAlignment="1">
      <alignment horizontal="center" vertical="center"/>
    </xf>
    <xf numFmtId="0" fontId="52" fillId="0" borderId="40" xfId="9" applyFont="1" applyBorder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6" fillId="0" borderId="8" xfId="9" applyFont="1" applyBorder="1" applyAlignment="1">
      <alignment horizontal="center"/>
    </xf>
    <xf numFmtId="0" fontId="46" fillId="0" borderId="1" xfId="9" applyFont="1" applyBorder="1" applyAlignment="1">
      <alignment horizontal="center"/>
    </xf>
    <xf numFmtId="0" fontId="46" fillId="0" borderId="35" xfId="9" applyFont="1" applyBorder="1"/>
    <xf numFmtId="0" fontId="46" fillId="0" borderId="36" xfId="9" applyFont="1" applyBorder="1" applyAlignment="1">
      <alignment horizontal="center"/>
    </xf>
    <xf numFmtId="0" fontId="46" fillId="0" borderId="19" xfId="9" applyFont="1" applyBorder="1"/>
    <xf numFmtId="3" fontId="44" fillId="0" borderId="19" xfId="9" applyNumberFormat="1" applyFont="1" applyBorder="1" applyAlignment="1">
      <alignment horizontal="center" vertical="center" wrapText="1"/>
    </xf>
    <xf numFmtId="3" fontId="46" fillId="0" borderId="19" xfId="9" applyNumberFormat="1" applyFont="1" applyBorder="1"/>
    <xf numFmtId="0" fontId="46" fillId="0" borderId="22" xfId="9" applyFont="1" applyBorder="1"/>
    <xf numFmtId="0" fontId="44" fillId="0" borderId="13" xfId="9" applyFont="1" applyBorder="1" applyAlignment="1">
      <alignment horizontal="right" vertical="center" wrapText="1"/>
    </xf>
    <xf numFmtId="3" fontId="44" fillId="0" borderId="14" xfId="9" applyNumberFormat="1" applyFont="1" applyBorder="1" applyAlignment="1">
      <alignment horizontal="center" vertical="center" wrapText="1"/>
    </xf>
    <xf numFmtId="1" fontId="49" fillId="0" borderId="1" xfId="9" applyNumberFormat="1" applyFont="1" applyBorder="1" applyAlignment="1">
      <alignment horizontal="center" vertical="center" wrapText="1"/>
    </xf>
    <xf numFmtId="3" fontId="49" fillId="0" borderId="17" xfId="9" applyNumberFormat="1" applyFont="1" applyBorder="1" applyAlignment="1">
      <alignment horizontal="center" vertical="center" wrapText="1"/>
    </xf>
    <xf numFmtId="177" fontId="44" fillId="0" borderId="17" xfId="9" applyNumberFormat="1" applyFont="1" applyBorder="1" applyAlignment="1">
      <alignment horizontal="center" vertical="center" wrapText="1"/>
    </xf>
    <xf numFmtId="1" fontId="44" fillId="0" borderId="19" xfId="9" applyNumberFormat="1" applyFont="1" applyBorder="1" applyAlignment="1">
      <alignment horizontal="center" vertical="center" wrapText="1"/>
    </xf>
    <xf numFmtId="0" fontId="51" fillId="0" borderId="0" xfId="9" applyFont="1" applyAlignment="1">
      <alignment horizontal="right" vertical="center" wrapText="1"/>
    </xf>
    <xf numFmtId="3" fontId="44" fillId="0" borderId="0" xfId="9" applyNumberFormat="1" applyFont="1" applyAlignment="1">
      <alignment horizontal="center" vertical="center" wrapText="1"/>
    </xf>
    <xf numFmtId="3" fontId="46" fillId="0" borderId="0" xfId="9" applyNumberFormat="1" applyFont="1"/>
    <xf numFmtId="0" fontId="52" fillId="0" borderId="0" xfId="9" applyFont="1" applyAlignment="1">
      <alignment horizontal="left"/>
    </xf>
    <xf numFmtId="0" fontId="49" fillId="0" borderId="54" xfId="9" applyFont="1" applyBorder="1" applyAlignment="1">
      <alignment horizontal="center" vertical="center" wrapText="1"/>
    </xf>
    <xf numFmtId="0" fontId="52" fillId="0" borderId="28" xfId="9" applyFont="1" applyBorder="1" applyAlignment="1">
      <alignment horizontal="center" vertical="center"/>
    </xf>
    <xf numFmtId="0" fontId="52" fillId="0" borderId="26" xfId="9" applyFont="1" applyBorder="1" applyAlignment="1">
      <alignment horizontal="center" vertical="center"/>
    </xf>
    <xf numFmtId="0" fontId="52" fillId="0" borderId="27" xfId="9" applyFont="1" applyBorder="1" applyAlignment="1">
      <alignment horizontal="center" vertical="center"/>
    </xf>
    <xf numFmtId="0" fontId="49" fillId="0" borderId="37" xfId="9" applyFont="1" applyBorder="1" applyAlignment="1">
      <alignment vertical="center" wrapText="1"/>
    </xf>
    <xf numFmtId="0" fontId="49" fillId="0" borderId="38" xfId="9" applyFont="1" applyBorder="1" applyAlignment="1">
      <alignment vertical="center" wrapText="1"/>
    </xf>
    <xf numFmtId="0" fontId="49" fillId="0" borderId="28" xfId="9" applyFont="1" applyBorder="1" applyAlignment="1">
      <alignment vertical="center" wrapText="1"/>
    </xf>
    <xf numFmtId="3" fontId="52" fillId="0" borderId="28" xfId="9" applyNumberFormat="1" applyFont="1" applyBorder="1" applyAlignment="1">
      <alignment horizontal="center"/>
    </xf>
    <xf numFmtId="3" fontId="52" fillId="0" borderId="26" xfId="9" applyNumberFormat="1" applyFont="1" applyBorder="1" applyAlignment="1">
      <alignment horizontal="center"/>
    </xf>
    <xf numFmtId="3" fontId="52" fillId="0" borderId="27" xfId="9" applyNumberFormat="1" applyFont="1" applyBorder="1" applyAlignment="1">
      <alignment horizontal="center"/>
    </xf>
    <xf numFmtId="3" fontId="44" fillId="15" borderId="30" xfId="9" applyNumberFormat="1" applyFont="1" applyFill="1" applyBorder="1" applyAlignment="1">
      <alignment horizontal="right" vertical="center" wrapText="1"/>
    </xf>
    <xf numFmtId="3" fontId="44" fillId="0" borderId="31" xfId="9" applyNumberFormat="1" applyFont="1" applyBorder="1" applyAlignment="1">
      <alignment horizontal="center" vertical="center" wrapText="1"/>
    </xf>
    <xf numFmtId="166" fontId="44" fillId="0" borderId="55" xfId="9" applyNumberFormat="1" applyFont="1" applyBorder="1" applyAlignment="1">
      <alignment horizontal="center" vertical="center" wrapText="1"/>
    </xf>
    <xf numFmtId="193" fontId="46" fillId="15" borderId="33" xfId="9" applyNumberFormat="1" applyFont="1" applyFill="1" applyBorder="1"/>
    <xf numFmtId="193" fontId="46" fillId="15" borderId="71" xfId="9" applyNumberFormat="1" applyFont="1" applyFill="1" applyBorder="1"/>
    <xf numFmtId="166" fontId="44" fillId="0" borderId="7" xfId="9" applyNumberFormat="1" applyFont="1" applyBorder="1" applyAlignment="1">
      <alignment horizontal="center" vertical="center" wrapText="1"/>
    </xf>
    <xf numFmtId="193" fontId="46" fillId="15" borderId="8" xfId="9" applyNumberFormat="1" applyFont="1" applyFill="1" applyBorder="1"/>
    <xf numFmtId="193" fontId="46" fillId="15" borderId="1" xfId="9" applyNumberFormat="1" applyFont="1" applyFill="1" applyBorder="1"/>
    <xf numFmtId="193" fontId="46" fillId="15" borderId="17" xfId="9" applyNumberFormat="1" applyFont="1" applyFill="1" applyBorder="1"/>
    <xf numFmtId="3" fontId="44" fillId="15" borderId="63" xfId="9" applyNumberFormat="1" applyFont="1" applyFill="1" applyBorder="1" applyAlignment="1">
      <alignment horizontal="right" vertical="center" wrapText="1"/>
    </xf>
    <xf numFmtId="3" fontId="44" fillId="0" borderId="65" xfId="9" applyNumberFormat="1" applyFont="1" applyBorder="1" applyAlignment="1">
      <alignment horizontal="center" vertical="center" wrapText="1"/>
    </xf>
    <xf numFmtId="166" fontId="44" fillId="0" borderId="19" xfId="9" applyNumberFormat="1" applyFont="1" applyBorder="1" applyAlignment="1">
      <alignment horizontal="center" vertical="center" wrapText="1"/>
    </xf>
    <xf numFmtId="193" fontId="46" fillId="15" borderId="19" xfId="9" applyNumberFormat="1" applyFont="1" applyFill="1" applyBorder="1"/>
    <xf numFmtId="193" fontId="46" fillId="15" borderId="20" xfId="9" applyNumberFormat="1" applyFont="1" applyFill="1" applyBorder="1"/>
    <xf numFmtId="186" fontId="46" fillId="0" borderId="0" xfId="9" applyNumberFormat="1" applyFont="1" applyAlignment="1">
      <alignment horizontal="center"/>
    </xf>
    <xf numFmtId="0" fontId="49" fillId="0" borderId="49" xfId="9" applyFont="1" applyBorder="1" applyAlignment="1">
      <alignment horizontal="center" vertical="center" wrapText="1"/>
    </xf>
    <xf numFmtId="0" fontId="52" fillId="0" borderId="48" xfId="9" applyFont="1" applyBorder="1" applyAlignment="1">
      <alignment horizontal="center" vertical="center"/>
    </xf>
    <xf numFmtId="0" fontId="52" fillId="0" borderId="56" xfId="9" applyFont="1" applyBorder="1" applyAlignment="1">
      <alignment horizontal="center" vertical="center"/>
    </xf>
    <xf numFmtId="3" fontId="44" fillId="0" borderId="30" xfId="9" applyNumberFormat="1" applyFont="1" applyBorder="1" applyAlignment="1">
      <alignment horizontal="right" vertical="center" wrapText="1"/>
    </xf>
    <xf numFmtId="3" fontId="46" fillId="15" borderId="1" xfId="9" applyNumberFormat="1" applyFont="1" applyFill="1" applyBorder="1"/>
    <xf numFmtId="3" fontId="46" fillId="15" borderId="17" xfId="9" applyNumberFormat="1" applyFont="1" applyFill="1" applyBorder="1"/>
    <xf numFmtId="3" fontId="44" fillId="0" borderId="63" xfId="9" applyNumberFormat="1" applyFont="1" applyBorder="1" applyAlignment="1">
      <alignment horizontal="right" vertical="center" wrapText="1"/>
    </xf>
    <xf numFmtId="3" fontId="46" fillId="15" borderId="19" xfId="9" applyNumberFormat="1" applyFont="1" applyFill="1" applyBorder="1"/>
    <xf numFmtId="3" fontId="46" fillId="15" borderId="20" xfId="9" applyNumberFormat="1" applyFont="1" applyFill="1" applyBorder="1"/>
    <xf numFmtId="0" fontId="49" fillId="0" borderId="51" xfId="9" applyFont="1" applyBorder="1" applyAlignment="1">
      <alignment horizontal="center" vertical="center" wrapText="1"/>
    </xf>
    <xf numFmtId="0" fontId="49" fillId="0" borderId="48" xfId="9" applyFont="1" applyBorder="1" applyAlignment="1">
      <alignment horizontal="center" vertical="center" wrapText="1"/>
    </xf>
    <xf numFmtId="0" fontId="52" fillId="0" borderId="41" xfId="9" applyFont="1" applyBorder="1" applyAlignment="1">
      <alignment horizontal="center" vertical="center"/>
    </xf>
    <xf numFmtId="0" fontId="49" fillId="0" borderId="24" xfId="9" applyFont="1" applyBorder="1" applyAlignment="1">
      <alignment horizontal="center" vertical="center" wrapText="1"/>
    </xf>
    <xf numFmtId="0" fontId="49" fillId="0" borderId="28" xfId="9" applyFont="1" applyBorder="1" applyAlignment="1">
      <alignment horizontal="center" vertical="center" wrapText="1"/>
    </xf>
    <xf numFmtId="0" fontId="46" fillId="0" borderId="29" xfId="9" applyFont="1" applyBorder="1" applyAlignment="1">
      <alignment horizontal="left" wrapText="1" indent="2"/>
    </xf>
    <xf numFmtId="166" fontId="44" fillId="15" borderId="33" xfId="9" applyNumberFormat="1" applyFont="1" applyFill="1" applyBorder="1" applyAlignment="1">
      <alignment horizontal="center" vertical="center" wrapText="1"/>
    </xf>
    <xf numFmtId="3" fontId="44" fillId="15" borderId="31" xfId="9" applyNumberFormat="1" applyFont="1" applyFill="1" applyBorder="1" applyAlignment="1">
      <alignment horizontal="right" vertical="center" wrapText="1"/>
    </xf>
    <xf numFmtId="0" fontId="44" fillId="15" borderId="31" xfId="9" applyFont="1" applyFill="1" applyBorder="1" applyAlignment="1">
      <alignment horizontal="center" vertical="center" wrapText="1"/>
    </xf>
    <xf numFmtId="0" fontId="46" fillId="0" borderId="34" xfId="9" applyFont="1" applyBorder="1" applyAlignment="1">
      <alignment horizontal="left" wrapText="1" indent="2"/>
    </xf>
    <xf numFmtId="166" fontId="44" fillId="15" borderId="8" xfId="9" applyNumberFormat="1" applyFont="1" applyFill="1" applyBorder="1" applyAlignment="1">
      <alignment horizontal="center" vertical="center" wrapText="1"/>
    </xf>
    <xf numFmtId="3" fontId="44" fillId="15" borderId="1" xfId="9" applyNumberFormat="1" applyFont="1" applyFill="1" applyBorder="1" applyAlignment="1">
      <alignment horizontal="right" vertical="center" wrapText="1"/>
    </xf>
    <xf numFmtId="0" fontId="46" fillId="0" borderId="64" xfId="9" applyFont="1" applyBorder="1" applyAlignment="1">
      <alignment horizontal="left" indent="2"/>
    </xf>
    <xf numFmtId="166" fontId="44" fillId="15" borderId="44" xfId="9" applyNumberFormat="1" applyFont="1" applyFill="1" applyBorder="1" applyAlignment="1">
      <alignment horizontal="center" vertical="center" wrapText="1"/>
    </xf>
    <xf numFmtId="3" fontId="44" fillId="15" borderId="42" xfId="9" applyNumberFormat="1" applyFont="1" applyFill="1" applyBorder="1" applyAlignment="1">
      <alignment horizontal="right" vertical="center" wrapText="1"/>
    </xf>
    <xf numFmtId="0" fontId="44" fillId="15" borderId="42" xfId="9" applyFont="1" applyFill="1" applyBorder="1" applyAlignment="1">
      <alignment horizontal="center" vertical="center" wrapText="1"/>
    </xf>
    <xf numFmtId="3" fontId="46" fillId="0" borderId="42" xfId="9" applyNumberFormat="1" applyFont="1" applyBorder="1"/>
    <xf numFmtId="0" fontId="52" fillId="0" borderId="29" xfId="9" applyFont="1" applyBorder="1" applyAlignment="1">
      <alignment horizontal="center"/>
    </xf>
    <xf numFmtId="0" fontId="46" fillId="0" borderId="33" xfId="9" applyFont="1" applyBorder="1"/>
    <xf numFmtId="3" fontId="46" fillId="15" borderId="1" xfId="9" applyNumberFormat="1" applyFont="1" applyFill="1" applyBorder="1" applyAlignment="1">
      <alignment horizontal="center"/>
    </xf>
    <xf numFmtId="0" fontId="52" fillId="0" borderId="34" xfId="9" applyFont="1" applyBorder="1" applyAlignment="1">
      <alignment horizontal="center"/>
    </xf>
    <xf numFmtId="0" fontId="52" fillId="0" borderId="1" xfId="9" applyFont="1" applyBorder="1" applyAlignment="1">
      <alignment horizontal="center"/>
    </xf>
    <xf numFmtId="3" fontId="44" fillId="0" borderId="1" xfId="9" applyNumberFormat="1" applyFont="1" applyFill="1" applyBorder="1" applyAlignment="1">
      <alignment horizontal="right" vertical="center" wrapText="1"/>
    </xf>
    <xf numFmtId="2" fontId="44" fillId="0" borderId="17" xfId="9" applyNumberFormat="1" applyFont="1" applyFill="1" applyBorder="1" applyAlignment="1">
      <alignment horizontal="left" vertical="center" wrapText="1"/>
    </xf>
    <xf numFmtId="177" fontId="51" fillId="0" borderId="1" xfId="9" applyNumberFormat="1" applyFont="1" applyFill="1" applyBorder="1" applyAlignment="1">
      <alignment horizontal="right" vertical="center" wrapText="1"/>
    </xf>
    <xf numFmtId="177" fontId="51" fillId="0" borderId="19" xfId="9" applyNumberFormat="1" applyFont="1" applyFill="1" applyBorder="1" applyAlignment="1">
      <alignment horizontal="right" vertical="center" wrapText="1"/>
    </xf>
    <xf numFmtId="2" fontId="44" fillId="0" borderId="20" xfId="9" applyNumberFormat="1" applyFont="1" applyFill="1" applyBorder="1" applyAlignment="1">
      <alignment horizontal="left" vertical="center" wrapText="1"/>
    </xf>
    <xf numFmtId="0" fontId="44" fillId="0" borderId="0" xfId="9" applyFont="1" applyFill="1" applyAlignment="1">
      <alignment vertical="center"/>
    </xf>
    <xf numFmtId="2" fontId="44" fillId="0" borderId="15" xfId="9" applyNumberFormat="1" applyFont="1" applyFill="1" applyBorder="1" applyAlignment="1">
      <alignment horizontal="left" vertical="center" wrapText="1"/>
    </xf>
    <xf numFmtId="0" fontId="44" fillId="0" borderId="17" xfId="9" applyFont="1" applyFill="1" applyBorder="1" applyAlignment="1">
      <alignment vertical="center"/>
    </xf>
    <xf numFmtId="0" fontId="0" fillId="4" borderId="0" xfId="0" applyFill="1"/>
    <xf numFmtId="43" fontId="7" fillId="0" borderId="3" xfId="1" applyNumberFormat="1" applyFont="1" applyFill="1" applyBorder="1" applyAlignment="1">
      <alignment vertical="center"/>
    </xf>
    <xf numFmtId="164" fontId="44" fillId="5" borderId="0" xfId="8" applyNumberFormat="1" applyFont="1" applyFill="1" applyAlignment="1">
      <alignment vertical="center"/>
    </xf>
    <xf numFmtId="0" fontId="63" fillId="11" borderId="1" xfId="8" applyFont="1" applyFill="1" applyBorder="1" applyAlignment="1">
      <alignment horizontal="center" vertical="center" wrapText="1"/>
    </xf>
    <xf numFmtId="0" fontId="63" fillId="0" borderId="1" xfId="8" applyFont="1" applyBorder="1" applyAlignment="1">
      <alignment horizontal="center" vertical="center" wrapText="1"/>
    </xf>
    <xf numFmtId="0" fontId="62" fillId="0" borderId="1" xfId="8" applyFont="1" applyBorder="1" applyAlignment="1">
      <alignment horizontal="center" vertical="center" wrapText="1"/>
    </xf>
    <xf numFmtId="0" fontId="62" fillId="11" borderId="1" xfId="8" applyFont="1" applyFill="1" applyBorder="1" applyAlignment="1">
      <alignment horizontal="center" vertical="center" wrapText="1"/>
    </xf>
    <xf numFmtId="0" fontId="62" fillId="11" borderId="19" xfId="8" applyFont="1" applyFill="1" applyBorder="1" applyAlignment="1">
      <alignment horizontal="center" vertical="center" wrapText="1"/>
    </xf>
    <xf numFmtId="0" fontId="62" fillId="0" borderId="0" xfId="8" applyFont="1" applyAlignment="1">
      <alignment vertical="center"/>
    </xf>
    <xf numFmtId="0" fontId="62" fillId="11" borderId="14" xfId="8" applyFont="1" applyFill="1" applyBorder="1" applyAlignment="1">
      <alignment horizontal="center" vertical="center" wrapText="1"/>
    </xf>
    <xf numFmtId="4" fontId="62" fillId="11" borderId="19" xfId="8" applyNumberFormat="1" applyFont="1" applyFill="1" applyBorder="1" applyAlignment="1">
      <alignment horizontal="center" vertical="center" wrapText="1"/>
    </xf>
    <xf numFmtId="0" fontId="62" fillId="11" borderId="14" xfId="8" applyFont="1" applyFill="1" applyBorder="1" applyAlignment="1">
      <alignment horizontal="center" vertical="center"/>
    </xf>
    <xf numFmtId="0" fontId="62" fillId="11" borderId="1" xfId="8" applyFont="1" applyFill="1" applyBorder="1" applyAlignment="1">
      <alignment horizontal="center" vertical="center"/>
    </xf>
    <xf numFmtId="177" fontId="63" fillId="0" borderId="14" xfId="8" applyNumberFormat="1" applyFont="1" applyBorder="1" applyAlignment="1">
      <alignment horizontal="center" vertical="center" wrapText="1"/>
    </xf>
    <xf numFmtId="0" fontId="62" fillId="11" borderId="0" xfId="8" applyFont="1" applyFill="1" applyAlignment="1">
      <alignment horizontal="center" vertical="center"/>
    </xf>
    <xf numFmtId="4" fontId="62" fillId="0" borderId="1" xfId="8" applyNumberFormat="1" applyFont="1" applyBorder="1" applyAlignment="1">
      <alignment horizontal="center" vertical="center" wrapText="1"/>
    </xf>
    <xf numFmtId="194" fontId="62" fillId="11" borderId="1" xfId="8" applyNumberFormat="1" applyFont="1" applyFill="1" applyBorder="1" applyAlignment="1">
      <alignment horizontal="center" vertical="center" wrapText="1"/>
    </xf>
    <xf numFmtId="3" fontId="62" fillId="0" borderId="1" xfId="13" applyNumberFormat="1" applyFont="1" applyBorder="1" applyAlignment="1">
      <alignment horizontal="center" vertical="center"/>
    </xf>
    <xf numFmtId="3" fontId="62" fillId="0" borderId="1" xfId="8" applyNumberFormat="1" applyFont="1" applyBorder="1" applyAlignment="1">
      <alignment horizontal="center" vertical="center"/>
    </xf>
    <xf numFmtId="177" fontId="62" fillId="0" borderId="1" xfId="8" applyNumberFormat="1" applyFont="1" applyBorder="1" applyAlignment="1">
      <alignment horizontal="center" vertical="center"/>
    </xf>
    <xf numFmtId="1" fontId="64" fillId="11" borderId="1" xfId="12" applyNumberFormat="1" applyFont="1" applyFill="1" applyBorder="1" applyAlignment="1">
      <alignment horizontal="center" vertical="center" wrapText="1"/>
    </xf>
    <xf numFmtId="3" fontId="65" fillId="11" borderId="16" xfId="10" applyNumberFormat="1" applyFont="1" applyFill="1" applyBorder="1"/>
    <xf numFmtId="0" fontId="65" fillId="11" borderId="1" xfId="10" applyFont="1" applyFill="1" applyBorder="1" applyAlignment="1">
      <alignment horizontal="center"/>
    </xf>
    <xf numFmtId="0" fontId="65" fillId="11" borderId="17" xfId="10" applyFont="1" applyFill="1" applyBorder="1" applyAlignment="1">
      <alignment horizontal="center"/>
    </xf>
    <xf numFmtId="0" fontId="65" fillId="11" borderId="8" xfId="10" applyFont="1" applyFill="1" applyBorder="1" applyAlignment="1">
      <alignment horizontal="center"/>
    </xf>
    <xf numFmtId="3" fontId="65" fillId="11" borderId="18" xfId="10" applyNumberFormat="1" applyFont="1" applyFill="1" applyBorder="1"/>
    <xf numFmtId="0" fontId="65" fillId="11" borderId="19" xfId="10" applyFont="1" applyFill="1" applyBorder="1" applyAlignment="1">
      <alignment horizontal="center"/>
    </xf>
    <xf numFmtId="0" fontId="65" fillId="11" borderId="36" xfId="10" applyFont="1" applyFill="1" applyBorder="1" applyAlignment="1">
      <alignment horizontal="center"/>
    </xf>
    <xf numFmtId="166" fontId="62" fillId="0" borderId="1" xfId="8" applyNumberFormat="1" applyFont="1" applyBorder="1" applyAlignment="1">
      <alignment horizontal="center" vertical="center" wrapText="1"/>
    </xf>
    <xf numFmtId="3" fontId="62" fillId="0" borderId="17" xfId="8" applyNumberFormat="1" applyFont="1" applyBorder="1" applyAlignment="1">
      <alignment horizontal="center" vertical="center" wrapText="1"/>
    </xf>
    <xf numFmtId="0" fontId="46" fillId="11" borderId="16" xfId="10" applyFont="1" applyFill="1" applyBorder="1" applyAlignment="1">
      <alignment horizontal="right" indent="2"/>
    </xf>
    <xf numFmtId="166" fontId="66" fillId="11" borderId="1" xfId="8" applyNumberFormat="1" applyFont="1" applyFill="1" applyBorder="1" applyAlignment="1">
      <alignment horizontal="center" vertical="center" wrapText="1"/>
    </xf>
    <xf numFmtId="3" fontId="62" fillId="11" borderId="17" xfId="8" applyNumberFormat="1" applyFont="1" applyFill="1" applyBorder="1" applyAlignment="1">
      <alignment horizontal="right" vertical="center" wrapText="1"/>
    </xf>
    <xf numFmtId="1" fontId="62" fillId="0" borderId="8" xfId="8" applyNumberFormat="1" applyFont="1" applyBorder="1" applyAlignment="1">
      <alignment horizontal="center" vertical="center" wrapText="1"/>
    </xf>
    <xf numFmtId="164" fontId="65" fillId="0" borderId="1" xfId="10" applyNumberFormat="1" applyFont="1" applyBorder="1"/>
    <xf numFmtId="0" fontId="46" fillId="11" borderId="16" xfId="10" applyFont="1" applyFill="1" applyBorder="1" applyAlignment="1">
      <alignment horizontal="left" indent="2"/>
    </xf>
    <xf numFmtId="166" fontId="66" fillId="0" borderId="1" xfId="8" applyNumberFormat="1" applyFont="1" applyBorder="1" applyAlignment="1">
      <alignment horizontal="center" vertical="center" wrapText="1"/>
    </xf>
    <xf numFmtId="3" fontId="62" fillId="0" borderId="8" xfId="8" applyNumberFormat="1" applyFont="1" applyBorder="1" applyAlignment="1">
      <alignment horizontal="center" vertical="center" wrapText="1"/>
    </xf>
    <xf numFmtId="3" fontId="65" fillId="0" borderId="1" xfId="10" applyNumberFormat="1" applyFont="1" applyBorder="1"/>
    <xf numFmtId="0" fontId="65" fillId="0" borderId="1" xfId="10" applyFont="1" applyBorder="1"/>
    <xf numFmtId="0" fontId="65" fillId="0" borderId="8" xfId="10" applyFont="1" applyBorder="1"/>
    <xf numFmtId="0" fontId="46" fillId="0" borderId="35" xfId="10" applyFont="1" applyBorder="1" applyAlignment="1">
      <alignment horizontal="right" indent="2"/>
    </xf>
    <xf numFmtId="0" fontId="65" fillId="0" borderId="36" xfId="10" applyFont="1" applyBorder="1"/>
    <xf numFmtId="164" fontId="65" fillId="0" borderId="19" xfId="10" applyNumberFormat="1" applyFont="1" applyBorder="1"/>
    <xf numFmtId="3" fontId="67" fillId="0" borderId="28" xfId="10" applyNumberFormat="1" applyFont="1" applyBorder="1" applyAlignment="1">
      <alignment horizontal="center"/>
    </xf>
    <xf numFmtId="3" fontId="67" fillId="0" borderId="26" xfId="10" applyNumberFormat="1" applyFont="1" applyBorder="1" applyAlignment="1">
      <alignment horizontal="center"/>
    </xf>
    <xf numFmtId="3" fontId="67" fillId="0" borderId="27" xfId="10" applyNumberFormat="1" applyFont="1" applyBorder="1" applyAlignment="1">
      <alignment horizontal="center"/>
    </xf>
    <xf numFmtId="41" fontId="65" fillId="11" borderId="33" xfId="10" applyNumberFormat="1" applyFont="1" applyFill="1" applyBorder="1"/>
    <xf numFmtId="166" fontId="44" fillId="0" borderId="19" xfId="8" applyNumberFormat="1" applyFont="1" applyBorder="1" applyAlignment="1">
      <alignment horizontal="center" vertical="center" wrapText="1"/>
    </xf>
    <xf numFmtId="3" fontId="65" fillId="11" borderId="1" xfId="10" applyNumberFormat="1" applyFont="1" applyFill="1" applyBorder="1"/>
    <xf numFmtId="3" fontId="44" fillId="0" borderId="63" xfId="8" applyNumberFormat="1" applyFont="1" applyBorder="1" applyAlignment="1">
      <alignment horizontal="right" vertical="center" wrapText="1"/>
    </xf>
    <xf numFmtId="0" fontId="46" fillId="0" borderId="29" xfId="10" applyFont="1" applyBorder="1" applyAlignment="1">
      <alignment horizontal="left" wrapText="1" indent="2"/>
    </xf>
    <xf numFmtId="166" fontId="66" fillId="11" borderId="33" xfId="8" applyNumberFormat="1" applyFont="1" applyFill="1" applyBorder="1" applyAlignment="1">
      <alignment horizontal="center" vertical="center" wrapText="1"/>
    </xf>
    <xf numFmtId="3" fontId="62" fillId="11" borderId="31" xfId="8" applyNumberFormat="1" applyFont="1" applyFill="1" applyBorder="1" applyAlignment="1">
      <alignment horizontal="right" vertical="center" wrapText="1"/>
    </xf>
    <xf numFmtId="0" fontId="62" fillId="11" borderId="31" xfId="8" applyFont="1" applyFill="1" applyBorder="1" applyAlignment="1">
      <alignment horizontal="center" vertical="center" wrapText="1"/>
    </xf>
    <xf numFmtId="166" fontId="66" fillId="11" borderId="8" xfId="8" applyNumberFormat="1" applyFont="1" applyFill="1" applyBorder="1" applyAlignment="1">
      <alignment horizontal="center" vertical="center" wrapText="1"/>
    </xf>
    <xf numFmtId="3" fontId="62" fillId="11" borderId="1" xfId="8" applyNumberFormat="1" applyFont="1" applyFill="1" applyBorder="1" applyAlignment="1">
      <alignment horizontal="right" vertical="center" wrapText="1"/>
    </xf>
    <xf numFmtId="0" fontId="46" fillId="0" borderId="64" xfId="10" applyFont="1" applyBorder="1" applyAlignment="1">
      <alignment horizontal="left" indent="2"/>
    </xf>
    <xf numFmtId="166" fontId="66" fillId="11" borderId="44" xfId="8" applyNumberFormat="1" applyFont="1" applyFill="1" applyBorder="1" applyAlignment="1">
      <alignment horizontal="center" vertical="center" wrapText="1"/>
    </xf>
    <xf numFmtId="3" fontId="62" fillId="11" borderId="42" xfId="8" applyNumberFormat="1" applyFont="1" applyFill="1" applyBorder="1" applyAlignment="1">
      <alignment horizontal="right" vertical="center" wrapText="1"/>
    </xf>
    <xf numFmtId="0" fontId="62" fillId="11" borderId="42" xfId="8" applyFont="1" applyFill="1" applyBorder="1" applyAlignment="1">
      <alignment horizontal="center" vertical="center" wrapText="1"/>
    </xf>
    <xf numFmtId="3" fontId="46" fillId="0" borderId="42" xfId="10" applyNumberFormat="1" applyFont="1" applyBorder="1"/>
    <xf numFmtId="0" fontId="46" fillId="0" borderId="29" xfId="10" applyFont="1" applyBorder="1" applyAlignment="1">
      <alignment horizontal="left" indent="2"/>
    </xf>
    <xf numFmtId="3" fontId="65" fillId="11" borderId="1" xfId="10" applyNumberFormat="1" applyFont="1" applyFill="1" applyBorder="1" applyAlignment="1">
      <alignment horizontal="center"/>
    </xf>
    <xf numFmtId="0" fontId="66" fillId="0" borderId="8" xfId="10" applyFont="1" applyBorder="1"/>
    <xf numFmtId="0" fontId="65" fillId="0" borderId="1" xfId="10" applyFont="1" applyBorder="1" applyAlignment="1">
      <alignment horizontal="center"/>
    </xf>
    <xf numFmtId="0" fontId="46" fillId="0" borderId="1" xfId="10" applyFont="1" applyBorder="1" applyAlignment="1">
      <alignment horizontal="left" indent="2"/>
    </xf>
    <xf numFmtId="3" fontId="44" fillId="0" borderId="1" xfId="8" applyNumberFormat="1" applyFont="1" applyFill="1" applyBorder="1" applyAlignment="1">
      <alignment horizontal="right" vertical="center" wrapText="1"/>
    </xf>
    <xf numFmtId="177" fontId="64" fillId="0" borderId="1" xfId="8" applyNumberFormat="1" applyFont="1" applyFill="1" applyBorder="1" applyAlignment="1">
      <alignment horizontal="right" vertical="center" wrapText="1"/>
    </xf>
    <xf numFmtId="177" fontId="64" fillId="0" borderId="19" xfId="8" applyNumberFormat="1" applyFont="1" applyFill="1" applyBorder="1" applyAlignment="1">
      <alignment horizontal="right" vertical="center" wrapText="1"/>
    </xf>
    <xf numFmtId="4" fontId="63" fillId="0" borderId="1" xfId="8" applyNumberFormat="1" applyFont="1" applyFill="1" applyBorder="1" applyAlignment="1">
      <alignment horizontal="center" vertical="center" wrapText="1"/>
    </xf>
  </cellXfs>
  <cellStyles count="16">
    <cellStyle name="SAPDataCell" xfId="5" xr:uid="{9FF1521C-F435-46D0-9EA9-1CAEEA28E791}"/>
    <cellStyle name="SAPHierarchyCell0" xfId="6" xr:uid="{4D4F42A8-64F1-4978-91BC-19AD9AB1C527}"/>
    <cellStyle name="SAPMemberCell" xfId="4" xr:uid="{96BEDCE3-6E4D-47A9-8F6D-9DE850D369D6}"/>
    <cellStyle name="Гиперссылка" xfId="3" builtinId="8"/>
    <cellStyle name="Денежный 2" xfId="14" xr:uid="{7F9ED3A5-42C6-43CA-855E-9E88BD924732}"/>
    <cellStyle name="Обычный" xfId="0" builtinId="0"/>
    <cellStyle name="Обычный 11 184" xfId="7" xr:uid="{AF4BC0B5-0B4F-4DCC-A5EA-FC9910FC69F9}"/>
    <cellStyle name="Обычный 13 4" xfId="8" xr:uid="{AE9C1EA6-A143-4237-8EFA-214660FC3AFA}"/>
    <cellStyle name="Обычный 2" xfId="9" xr:uid="{6EE96A1F-9E07-49B4-816C-FC57839229C3}"/>
    <cellStyle name="Обычный 2 2" xfId="15" xr:uid="{44BC93A8-6E4A-4080-B0EA-51675C5B9548}"/>
    <cellStyle name="Обычный 3" xfId="10" xr:uid="{66222CD5-0254-4BCD-98B2-01246C1C6CD4}"/>
    <cellStyle name="Обычный_Карточка. Балансировка АС-2009, 06.06.08-факт.КТГ 2 2" xfId="13" xr:uid="{6A354719-45F7-4BDC-9490-DBE637FBDDB4}"/>
    <cellStyle name="Обычный_Расчет 1 вариант (в БП с внеш фин)" xfId="12" xr:uid="{13512E1C-6E25-4C3D-94C3-6F8D15C2CD61}"/>
    <cellStyle name="Процентный" xfId="2" builtinId="5"/>
    <cellStyle name="Финансовый" xfId="1" builtinId="3"/>
    <cellStyle name="Финансовый 2 2" xfId="11" xr:uid="{8796AB16-21D7-4F96-9428-F2FF6A191D34}"/>
  </cellStyles>
  <dxfs count="19"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lor theme="0"/>
      </font>
    </dxf>
    <dxf>
      <font>
        <color theme="0"/>
      </font>
    </dxf>
    <dxf>
      <font>
        <strike val="0"/>
        <color theme="0"/>
      </font>
    </dxf>
    <dxf>
      <font>
        <color theme="0"/>
      </font>
    </dxf>
    <dxf>
      <font>
        <strike val="0"/>
        <color theme="0"/>
      </font>
    </dxf>
    <dxf>
      <font>
        <strike val="0"/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21</xdr:col>
      <xdr:colOff>207034</xdr:colOff>
      <xdr:row>12</xdr:row>
      <xdr:rowOff>6957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15A08EE-60B7-475E-947F-01DC5177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1426" y="1035170"/>
          <a:ext cx="5020574" cy="1214655"/>
        </a:xfrm>
        <a:prstGeom prst="rect">
          <a:avLst/>
        </a:prstGeom>
      </xdr:spPr>
    </xdr:pic>
    <xdr:clientData/>
  </xdr:twoCellAnchor>
  <xdr:twoCellAnchor editAs="oneCell">
    <xdr:from>
      <xdr:col>27</xdr:col>
      <xdr:colOff>1</xdr:colOff>
      <xdr:row>35</xdr:row>
      <xdr:rowOff>0</xdr:rowOff>
    </xdr:from>
    <xdr:to>
      <xdr:col>32</xdr:col>
      <xdr:colOff>250166</xdr:colOff>
      <xdr:row>38</xdr:row>
      <xdr:rowOff>23322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3E5614B-C4D7-42F0-907E-6D473A03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47858" y="5184475"/>
          <a:ext cx="4744528" cy="5409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25</xdr:col>
      <xdr:colOff>1000663</xdr:colOff>
      <xdr:row>65</xdr:row>
      <xdr:rowOff>31600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3B25803-D2B5-4E7B-A9BF-6F0C3BFD3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21842" y="7082287"/>
          <a:ext cx="4692769" cy="330963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21</xdr:col>
      <xdr:colOff>284672</xdr:colOff>
      <xdr:row>21</xdr:row>
      <xdr:rowOff>110347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2DB1E7-7FD2-4ADE-9DFE-164781EC2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0" y="3278038"/>
          <a:ext cx="5098212" cy="6279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72;&#1085;&#1085;&#1099;&#1077;%20&#1087;&#1086;&#1089;&#1090;&#1072;&#1074;&#1097;&#1080;&#1082;&#1086;&#1074;/&#1054;&#1075;&#1091;&#1085;&#1074;&#1077;&#1081;/Epiroc_DM75_&#1058;&#1057;&#1054;_&#1088;&#1072;&#1089;&#1095;&#1077;&#1090;_v.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72;&#1085;&#1085;&#1099;&#1077;%20&#1087;&#1086;&#1089;&#1090;&#1072;&#1074;&#1097;&#1080;&#1082;&#1086;&#1074;/&#1054;&#1075;&#1091;&#1085;&#1074;&#1077;&#1081;/&#1058;&#1080;&#1087;&#1086;&#1074;&#1086;&#1081;%20&#1079;&#1072;&#1087;&#1088;&#1086;&#1089;%20&#1087;&#1086;&#1089;&#1090;&#1072;&#1074;&#1097;&#1080;&#1082;&#1072;&#1084;%20&#1073;&#1091;&#1088;&#1086;&#1074;&#1099;&#1093;%20&#1089;&#1090;&#1072;&#1085;&#1082;&#1086;&#1074;&#65288;270B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_Буровой станок"/>
      <sheetName val="ТО"/>
      <sheetName val="Ремонты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_Буровой станок"/>
      <sheetName val="ТО"/>
      <sheetName val="Ремонты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ts.1c.ru/db/taxtrans" TargetMode="External"/><Relationship Id="rId4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487A-C36B-4235-8097-B802011AE5DF}">
  <sheetPr>
    <tabColor rgb="FFFF0000"/>
  </sheetPr>
  <dimension ref="A1:R60"/>
  <sheetViews>
    <sheetView showGridLines="0" tabSelected="1" topLeftCell="A7" zoomScaleNormal="100" workbookViewId="0">
      <selection activeCell="I19" sqref="I19"/>
    </sheetView>
  </sheetViews>
  <sheetFormatPr defaultRowHeight="13.6" outlineLevelRow="1" outlineLevelCol="1" x14ac:dyDescent="0.25"/>
  <cols>
    <col min="1" max="1" width="10.5" style="2" customWidth="1" outlineLevel="1"/>
    <col min="2" max="2" width="2.875" style="2" customWidth="1"/>
    <col min="3" max="3" width="6" style="2" customWidth="1"/>
    <col min="4" max="4" width="45.125" style="2" customWidth="1"/>
    <col min="5" max="5" width="10.25" style="2" customWidth="1"/>
    <col min="6" max="13" width="14.5" style="2" customWidth="1"/>
    <col min="14" max="15" width="14.5" style="2" customWidth="1" outlineLevel="1"/>
    <col min="16" max="16" width="52.875" style="2" customWidth="1"/>
    <col min="17" max="17" width="2.75" style="2" customWidth="1"/>
    <col min="18" max="18" width="17.875" style="2" bestFit="1" customWidth="1"/>
    <col min="19" max="16384" width="9" style="2"/>
  </cols>
  <sheetData>
    <row r="1" spans="1:11" ht="14.3" x14ac:dyDescent="0.25">
      <c r="A1" s="1"/>
      <c r="B1" s="1"/>
    </row>
    <row r="2" spans="1:11" ht="14.3" x14ac:dyDescent="0.25">
      <c r="C2" s="3" t="s">
        <v>0</v>
      </c>
    </row>
    <row r="4" spans="1:11" x14ac:dyDescent="0.25">
      <c r="C4" s="4" t="s">
        <v>1</v>
      </c>
      <c r="G4" s="4" t="s">
        <v>2</v>
      </c>
    </row>
    <row r="5" spans="1:11" ht="27.2" x14ac:dyDescent="0.25">
      <c r="C5" s="5" t="s">
        <v>3</v>
      </c>
      <c r="D5" s="5" t="s">
        <v>211</v>
      </c>
      <c r="E5" s="5" t="s">
        <v>4</v>
      </c>
      <c r="G5" s="5" t="str">
        <f>C5</f>
        <v>№</v>
      </c>
      <c r="H5" s="929" t="str">
        <f>D5</f>
        <v>Марка станка</v>
      </c>
      <c r="I5" s="929"/>
      <c r="J5" s="929"/>
      <c r="K5" s="5" t="s">
        <v>5</v>
      </c>
    </row>
    <row r="6" spans="1:11" x14ac:dyDescent="0.25">
      <c r="C6" s="6">
        <v>1</v>
      </c>
      <c r="D6" s="210" t="str">
        <f t="shared" ref="D6:D15" si="0">IFERROR(HLOOKUP(E6,$F$58:$O$60,3,FALSE),"-")</f>
        <v>YANGZI DR75</v>
      </c>
      <c r="E6" s="7">
        <f t="shared" ref="E6:E15" si="1">IFERROR(SMALL($F$58:$O$58,C6),"-")</f>
        <v>11.045801252515515</v>
      </c>
      <c r="G6" s="6">
        <f>C6</f>
        <v>1</v>
      </c>
      <c r="H6" s="930" t="str">
        <f t="shared" ref="H6:H15" si="2">IFERROR(HLOOKUP(K6,$F$59:$O$60,2,FALSE),"-")</f>
        <v>-</v>
      </c>
      <c r="I6" s="930"/>
      <c r="J6" s="930"/>
      <c r="K6" s="8" t="str">
        <f t="shared" ref="K6:K15" si="3">IFERROR(SMALL($F$59:$O$59,C6),"-")</f>
        <v>-</v>
      </c>
    </row>
    <row r="7" spans="1:11" x14ac:dyDescent="0.25">
      <c r="C7" s="9">
        <f t="shared" ref="C7:C15" si="4">C6+1</f>
        <v>2</v>
      </c>
      <c r="D7" s="211" t="str">
        <f t="shared" si="0"/>
        <v>Sunward SWDRT270SM</v>
      </c>
      <c r="E7" s="10">
        <f t="shared" si="1"/>
        <v>12.086587766869194</v>
      </c>
      <c r="G7" s="9">
        <f>C7</f>
        <v>2</v>
      </c>
      <c r="H7" s="931" t="str">
        <f t="shared" si="2"/>
        <v>-</v>
      </c>
      <c r="I7" s="931"/>
      <c r="J7" s="931"/>
      <c r="K7" s="11" t="str">
        <f t="shared" si="3"/>
        <v>-</v>
      </c>
    </row>
    <row r="8" spans="1:11" x14ac:dyDescent="0.25">
      <c r="C8" s="9">
        <f t="shared" si="4"/>
        <v>3</v>
      </c>
      <c r="D8" s="211" t="str">
        <f t="shared" si="0"/>
        <v>Sunward SWDRT270B</v>
      </c>
      <c r="E8" s="10">
        <f t="shared" si="1"/>
        <v>13.627809750923111</v>
      </c>
      <c r="G8" s="9">
        <f t="shared" ref="G8:G15" si="5">C8</f>
        <v>3</v>
      </c>
      <c r="H8" s="931" t="str">
        <f t="shared" si="2"/>
        <v>-</v>
      </c>
      <c r="I8" s="931"/>
      <c r="J8" s="931"/>
      <c r="K8" s="11" t="str">
        <f t="shared" si="3"/>
        <v>-</v>
      </c>
    </row>
    <row r="9" spans="1:11" x14ac:dyDescent="0.25">
      <c r="C9" s="9">
        <f t="shared" si="4"/>
        <v>4</v>
      </c>
      <c r="D9" s="211" t="str">
        <f t="shared" si="0"/>
        <v>Sunward SWDRT250SM</v>
      </c>
      <c r="E9" s="10">
        <f t="shared" si="1"/>
        <v>13.768152546285467</v>
      </c>
      <c r="G9" s="9">
        <f t="shared" si="5"/>
        <v>4</v>
      </c>
      <c r="H9" s="931" t="str">
        <f t="shared" si="2"/>
        <v>-</v>
      </c>
      <c r="I9" s="931"/>
      <c r="J9" s="931"/>
      <c r="K9" s="11" t="str">
        <f t="shared" si="3"/>
        <v>-</v>
      </c>
    </row>
    <row r="10" spans="1:11" x14ac:dyDescent="0.25">
      <c r="C10" s="9">
        <f t="shared" si="4"/>
        <v>5</v>
      </c>
      <c r="D10" s="211" t="str">
        <f t="shared" si="0"/>
        <v>HIFO 75D</v>
      </c>
      <c r="E10" s="10">
        <f t="shared" si="1"/>
        <v>14.684750420733641</v>
      </c>
      <c r="G10" s="9">
        <f t="shared" si="5"/>
        <v>5</v>
      </c>
      <c r="H10" s="931" t="str">
        <f t="shared" si="2"/>
        <v>-</v>
      </c>
      <c r="I10" s="931"/>
      <c r="J10" s="931"/>
      <c r="K10" s="11" t="str">
        <f t="shared" si="3"/>
        <v>-</v>
      </c>
    </row>
    <row r="11" spans="1:11" outlineLevel="1" x14ac:dyDescent="0.25">
      <c r="C11" s="9">
        <f t="shared" si="4"/>
        <v>6</v>
      </c>
      <c r="D11" s="211" t="str">
        <f t="shared" si="0"/>
        <v>-</v>
      </c>
      <c r="E11" s="10" t="str">
        <f t="shared" si="1"/>
        <v>-</v>
      </c>
      <c r="G11" s="9">
        <f t="shared" si="5"/>
        <v>6</v>
      </c>
      <c r="H11" s="931" t="str">
        <f t="shared" si="2"/>
        <v>-</v>
      </c>
      <c r="I11" s="931"/>
      <c r="J11" s="931"/>
      <c r="K11" s="11" t="str">
        <f t="shared" si="3"/>
        <v>-</v>
      </c>
    </row>
    <row r="12" spans="1:11" outlineLevel="1" x14ac:dyDescent="0.25">
      <c r="C12" s="9">
        <f t="shared" si="4"/>
        <v>7</v>
      </c>
      <c r="D12" s="211" t="str">
        <f t="shared" si="0"/>
        <v>-</v>
      </c>
      <c r="E12" s="10" t="str">
        <f t="shared" si="1"/>
        <v>-</v>
      </c>
      <c r="G12" s="9">
        <f t="shared" si="5"/>
        <v>7</v>
      </c>
      <c r="H12" s="931" t="str">
        <f t="shared" si="2"/>
        <v>-</v>
      </c>
      <c r="I12" s="931"/>
      <c r="J12" s="931"/>
      <c r="K12" s="11" t="str">
        <f t="shared" si="3"/>
        <v>-</v>
      </c>
    </row>
    <row r="13" spans="1:11" outlineLevel="1" x14ac:dyDescent="0.25">
      <c r="C13" s="9">
        <f t="shared" si="4"/>
        <v>8</v>
      </c>
      <c r="D13" s="211" t="str">
        <f t="shared" si="0"/>
        <v>-</v>
      </c>
      <c r="E13" s="10" t="str">
        <f t="shared" si="1"/>
        <v>-</v>
      </c>
      <c r="G13" s="9">
        <f t="shared" si="5"/>
        <v>8</v>
      </c>
      <c r="H13" s="931" t="str">
        <f t="shared" si="2"/>
        <v>-</v>
      </c>
      <c r="I13" s="931"/>
      <c r="J13" s="931"/>
      <c r="K13" s="11" t="str">
        <f t="shared" si="3"/>
        <v>-</v>
      </c>
    </row>
    <row r="14" spans="1:11" outlineLevel="1" x14ac:dyDescent="0.25">
      <c r="C14" s="9">
        <f t="shared" si="4"/>
        <v>9</v>
      </c>
      <c r="D14" s="211" t="str">
        <f t="shared" si="0"/>
        <v>-</v>
      </c>
      <c r="E14" s="10" t="str">
        <f t="shared" si="1"/>
        <v>-</v>
      </c>
      <c r="G14" s="9">
        <f t="shared" si="5"/>
        <v>9</v>
      </c>
      <c r="H14" s="931" t="str">
        <f t="shared" si="2"/>
        <v>-</v>
      </c>
      <c r="I14" s="931"/>
      <c r="J14" s="931"/>
      <c r="K14" s="11" t="str">
        <f t="shared" si="3"/>
        <v>-</v>
      </c>
    </row>
    <row r="15" spans="1:11" outlineLevel="1" x14ac:dyDescent="0.25">
      <c r="C15" s="9">
        <f t="shared" si="4"/>
        <v>10</v>
      </c>
      <c r="D15" s="211" t="str">
        <f t="shared" si="0"/>
        <v>-</v>
      </c>
      <c r="E15" s="10" t="str">
        <f t="shared" si="1"/>
        <v>-</v>
      </c>
      <c r="G15" s="9">
        <f t="shared" si="5"/>
        <v>10</v>
      </c>
      <c r="H15" s="931" t="str">
        <f t="shared" si="2"/>
        <v>-</v>
      </c>
      <c r="I15" s="931"/>
      <c r="J15" s="931"/>
      <c r="K15" s="11" t="str">
        <f t="shared" si="3"/>
        <v>-</v>
      </c>
    </row>
    <row r="16" spans="1:11" x14ac:dyDescent="0.25">
      <c r="C16" s="12"/>
      <c r="D16" s="13"/>
      <c r="E16" s="12"/>
      <c r="G16" s="12"/>
      <c r="H16" s="934"/>
      <c r="I16" s="934"/>
      <c r="J16" s="934"/>
      <c r="K16" s="12"/>
    </row>
    <row r="18" spans="3:16" x14ac:dyDescent="0.25">
      <c r="F18" s="802" t="str">
        <f>VLOOKUP(F19,Производительность!$C$7:$AB$33,26,FALSE)</f>
        <v>Майнинг Солюшнс</v>
      </c>
      <c r="G18" s="802" t="str">
        <f>VLOOKUP(G19,Производительность!$C$7:$AB$33,26,FALSE)</f>
        <v>Стройкомпозит-Н</v>
      </c>
      <c r="H18" s="802" t="str">
        <f>VLOOKUP(H19,Производительность!$C$7:$AB$33,26,FALSE)</f>
        <v>Стройкомпозит-Н</v>
      </c>
      <c r="I18" s="802" t="str">
        <f>VLOOKUP(I19,Производительность!$C$7:$AB$33,26,FALSE)</f>
        <v>Огунвей</v>
      </c>
      <c r="J18" s="802" t="str">
        <f>VLOOKUP(J19,Производительность!$C$7:$AB$33,26,FALSE)</f>
        <v>Огунвей</v>
      </c>
      <c r="K18" s="802" t="e">
        <f>VLOOKUP(K19,Производительность!$C$7:$AB$33,26,FALSE)</f>
        <v>#N/A</v>
      </c>
      <c r="L18" s="802" t="e">
        <f>VLOOKUP(L19,Производительность!$C$7:$AB$33,26,FALSE)</f>
        <v>#N/A</v>
      </c>
      <c r="M18" s="802" t="e">
        <f>VLOOKUP(M19,Производительность!$C$7:$AB$33,26,FALSE)</f>
        <v>#N/A</v>
      </c>
      <c r="N18" s="802" t="e">
        <f>VLOOKUP(N19,Производительность!$C$7:$AB$33,26,FALSE)</f>
        <v>#N/A</v>
      </c>
      <c r="O18" s="802" t="e">
        <f>VLOOKUP(O19,Производительность!$C$7:$AB$33,26,FALSE)</f>
        <v>#N/A</v>
      </c>
    </row>
    <row r="19" spans="3:16" ht="27.2" x14ac:dyDescent="0.25">
      <c r="C19" s="5" t="s">
        <v>3</v>
      </c>
      <c r="D19" s="5" t="s">
        <v>6</v>
      </c>
      <c r="E19" s="5" t="s">
        <v>7</v>
      </c>
      <c r="F19" s="236" t="str">
        <f>Производительность!C12</f>
        <v>HIFO 75D</v>
      </c>
      <c r="G19" s="236" t="str">
        <f>Производительность!C10</f>
        <v>Sunward SWDRT270SM</v>
      </c>
      <c r="H19" s="236" t="str">
        <f>Производительность!C9</f>
        <v>Sunward SWDRT250SM</v>
      </c>
      <c r="I19" s="236" t="str">
        <f>Производительность!C8</f>
        <v>YANGZI DR75</v>
      </c>
      <c r="J19" s="236" t="str">
        <f>Производительность!C11</f>
        <v>Sunward SWDRT270B</v>
      </c>
      <c r="K19" s="236"/>
      <c r="L19" s="236"/>
      <c r="M19" s="236"/>
      <c r="N19" s="236"/>
      <c r="O19" s="236"/>
      <c r="P19" s="236" t="s">
        <v>8</v>
      </c>
    </row>
    <row r="20" spans="3:16" x14ac:dyDescent="0.25">
      <c r="C20" s="203">
        <v>1</v>
      </c>
      <c r="D20" s="14" t="s">
        <v>319</v>
      </c>
      <c r="E20" s="15" t="s">
        <v>20</v>
      </c>
      <c r="F20" s="321">
        <f>SUMIFS('W час'!$E$19:$AF$19,'W час'!$E$4:$AF$4,F$19)*1000</f>
        <v>266.96421252093535</v>
      </c>
      <c r="G20" s="321">
        <f>SUMIFS('W час'!$E$19:$AF$19,'W час'!$E$4:$AF$4,G$19)*1000</f>
        <v>266.96421252093535</v>
      </c>
      <c r="H20" s="321">
        <f>SUMIFS('W час'!$E$19:$AF$19,'W час'!$E$4:$AF$4,H$19)*1000</f>
        <v>266.96421252093535</v>
      </c>
      <c r="I20" s="321">
        <f>SUMIFS('W час'!$E$19:$AF$19,'W час'!$E$4:$AF$4,I$19)*1000</f>
        <v>266.96421252093535</v>
      </c>
      <c r="J20" s="321">
        <f>SUMIFS('W час'!$E$19:$AF$19,'W час'!$E$4:$AF$4,J$19)*1000</f>
        <v>266.96421252093535</v>
      </c>
      <c r="K20" s="321">
        <f>SUMIFS('W час'!$E$19:$AF$19,'W час'!$E$4:$AF$4,K$19)*1000</f>
        <v>0</v>
      </c>
      <c r="L20" s="321">
        <f>SUMIFS('W час'!$E$19:$AF$19,'W час'!$E$4:$AF$4,L$19)*1000</f>
        <v>0</v>
      </c>
      <c r="M20" s="321">
        <f>SUMIFS('W час'!$E$19:$AF$19,'W час'!$E$4:$AF$4,M$19)*1000</f>
        <v>0</v>
      </c>
      <c r="N20" s="321">
        <f>SUMIFS('W час'!$E$19:$AF$19,'W час'!$E$4:$AF$4,N$19)*1000</f>
        <v>0</v>
      </c>
      <c r="O20" s="321">
        <f>SUMIFS('W час'!$E$19:$AF$19,'W час'!$E$4:$AF$4,O$19)*1000</f>
        <v>0</v>
      </c>
      <c r="P20" s="16"/>
    </row>
    <row r="21" spans="3:16" x14ac:dyDescent="0.25">
      <c r="C21" s="196">
        <f>MAX(C$20:C20)+1</f>
        <v>2</v>
      </c>
      <c r="D21" s="204" t="s">
        <v>210</v>
      </c>
      <c r="E21" s="205" t="s">
        <v>9</v>
      </c>
      <c r="F21" s="322" t="str">
        <f>HLOOKUP(F$19,'W час'!$E$4:$AF$5,2,FALSE)</f>
        <v>68-85</v>
      </c>
      <c r="G21" s="322" t="str">
        <f>HLOOKUP(G$19,'W час'!$E$4:$AF$5,2,FALSE)</f>
        <v>65-70</v>
      </c>
      <c r="H21" s="322" t="str">
        <f>HLOOKUP(H$19,'W час'!$E$4:$AF$5,2,FALSE)</f>
        <v>65-70</v>
      </c>
      <c r="I21" s="322" t="str">
        <f>HLOOKUP(I$19,'W час'!$E$4:$AF$5,2,FALSE)</f>
        <v>не более 85</v>
      </c>
      <c r="J21" s="322" t="str">
        <f>HLOOKUP(J$19,'W час'!$E$4:$AF$5,2,FALSE)</f>
        <v>65-70</v>
      </c>
      <c r="K21" s="322" t="e">
        <f>HLOOKUP(K$19,'W час'!$E$4:$AF$5,2,FALSE)</f>
        <v>#N/A</v>
      </c>
      <c r="L21" s="322" t="e">
        <f>HLOOKUP(L$19,'W час'!$E$4:$AF$5,2,FALSE)</f>
        <v>#N/A</v>
      </c>
      <c r="M21" s="322" t="e">
        <f>HLOOKUP(M$19,'W час'!$E$4:$AF$5,2,FALSE)</f>
        <v>#N/A</v>
      </c>
      <c r="N21" s="322" t="e">
        <f>HLOOKUP(N$19,'W час'!$E$4:$AF$5,2,FALSE)</f>
        <v>#N/A</v>
      </c>
      <c r="O21" s="322" t="e">
        <f>HLOOKUP(O$19,'W час'!$E$4:$AF$5,2,FALSE)</f>
        <v>#N/A</v>
      </c>
      <c r="P21" s="16"/>
    </row>
    <row r="22" spans="3:16" x14ac:dyDescent="0.25">
      <c r="C22" s="196">
        <f>MAX(C$20:C21)+1</f>
        <v>3</v>
      </c>
      <c r="D22" s="17" t="s">
        <v>320</v>
      </c>
      <c r="E22" s="18" t="s">
        <v>121</v>
      </c>
      <c r="F22" s="323">
        <f>SUMIFS('W час'!$E$22:$AF$22,'W час'!$E$4:$AF$4,F$19)</f>
        <v>136</v>
      </c>
      <c r="G22" s="323">
        <f>SUMIFS('W час'!$E$22:$AF$22,'W час'!$E$4:$AF$4,G$19)</f>
        <v>173.4</v>
      </c>
      <c r="H22" s="323">
        <f>SUMIFS('W час'!$E$22:$AF$22,'W час'!$E$4:$AF$4,H$19)</f>
        <v>148.30000000000001</v>
      </c>
      <c r="I22" s="323">
        <f>SUMIFS('W час'!$E$22:$AF$22,'W час'!$E$4:$AF$4,I$19)</f>
        <v>136</v>
      </c>
      <c r="J22" s="323">
        <f>SUMIFS('W час'!$E$22:$AF$22,'W час'!$E$4:$AF$4,J$19)</f>
        <v>173.4</v>
      </c>
      <c r="K22" s="323">
        <f>SUMIFS('W час'!$E$22:$AF$22,'W час'!$E$4:$AF$4,K$19)</f>
        <v>0</v>
      </c>
      <c r="L22" s="323">
        <f>SUMIFS('W час'!$E$22:$AF$22,'W час'!$E$4:$AF$4,L$19)</f>
        <v>0</v>
      </c>
      <c r="M22" s="323">
        <f>SUMIFS('W час'!$E$22:$AF$22,'W час'!$E$4:$AF$4,M$19)</f>
        <v>0</v>
      </c>
      <c r="N22" s="323">
        <f>SUMIFS('W час'!$E$22:$AF$22,'W час'!$E$4:$AF$4,N$19)</f>
        <v>0</v>
      </c>
      <c r="O22" s="323">
        <f>SUMIFS('W час'!$E$22:$AF$22,'W час'!$E$4:$AF$4,O$19)</f>
        <v>0</v>
      </c>
      <c r="P22" s="17"/>
    </row>
    <row r="23" spans="3:16" x14ac:dyDescent="0.25">
      <c r="C23" s="196">
        <f>MAX(C$20:C22)+1</f>
        <v>4</v>
      </c>
      <c r="D23" s="17" t="s">
        <v>11</v>
      </c>
      <c r="E23" s="18" t="s">
        <v>12</v>
      </c>
      <c r="F23" s="9">
        <f>SUMIFS(Производительность!$Y$7:$Y$34,Производительность!$C$7:$C$34,F$19)</f>
        <v>10</v>
      </c>
      <c r="G23" s="9">
        <f>SUMIFS(Производительность!$Y$7:$Y$34,Производительность!$C$7:$C$34,G$19)</f>
        <v>12</v>
      </c>
      <c r="H23" s="9">
        <f>SUMIFS(Производительность!$Y$7:$Y$34,Производительность!$C$7:$C$34,H$19)</f>
        <v>12</v>
      </c>
      <c r="I23" s="9">
        <f>SUMIFS(Производительность!$Y$7:$Y$34,Производительность!$C$7:$C$34,I$19)</f>
        <v>12</v>
      </c>
      <c r="J23" s="9">
        <f>SUMIFS(Производительность!$Y$7:$Y$34,Производительность!$C$7:$C$34,J$19)</f>
        <v>12</v>
      </c>
      <c r="K23" s="9">
        <f>SUMIFS(Производительность!$Y$7:$Y$34,Производительность!$C$7:$C$34,K$19)</f>
        <v>0</v>
      </c>
      <c r="L23" s="9">
        <f>SUMIFS(Производительность!$Y$7:$Y$34,Производительность!$C$7:$C$34,L$19)</f>
        <v>0</v>
      </c>
      <c r="M23" s="9">
        <f>SUMIFS(Производительность!$Y$7:$Y$34,Производительность!$C$7:$C$34,M$19)</f>
        <v>0</v>
      </c>
      <c r="N23" s="9">
        <f>SUMIFS(Производительность!$Y$7:$Y$34,Производительность!$C$7:$C$34,N$19)</f>
        <v>0</v>
      </c>
      <c r="O23" s="9">
        <f>SUMIFS(Производительность!$Y$7:$Y$34,Производительность!$C$7:$C$34,O$19)</f>
        <v>0</v>
      </c>
      <c r="P23" s="17"/>
    </row>
    <row r="24" spans="3:16" x14ac:dyDescent="0.25">
      <c r="C24" s="196">
        <f>MAX(C$20:C23)+1</f>
        <v>5</v>
      </c>
      <c r="D24" s="19" t="s">
        <v>13</v>
      </c>
      <c r="E24" s="20" t="s">
        <v>14</v>
      </c>
      <c r="F24" s="21">
        <f>SUMIFS(Производительность!$Z$7:$Z$34,Производительность!$C$7:$C$34,F$19)</f>
        <v>0.862798722095383</v>
      </c>
      <c r="G24" s="21">
        <f>SUMIFS(Производительность!$Z$7:$Z$34,Производительность!$C$7:$C$34,G$19)</f>
        <v>0.86075942309318443</v>
      </c>
      <c r="H24" s="21">
        <f>SUMIFS(Производительность!$Z$7:$Z$34,Производительность!$C$7:$C$34,H$19)</f>
        <v>0.86075942309318443</v>
      </c>
      <c r="I24" s="21">
        <f>SUMIFS(Производительность!$Z$7:$Z$34,Производительность!$C$7:$C$34,I$19)</f>
        <v>0.90811030779638069</v>
      </c>
      <c r="J24" s="21">
        <f>SUMIFS(Производительность!$Z$7:$Z$34,Производительность!$C$7:$C$34,J$19)</f>
        <v>0.89583333333333348</v>
      </c>
      <c r="K24" s="21">
        <f>SUMIFS(Производительность!$Z$7:$Z$34,Производительность!$C$7:$C$34,K$19)</f>
        <v>0</v>
      </c>
      <c r="L24" s="21">
        <f>SUMIFS(Производительность!$Z$7:$Z$34,Производительность!$C$7:$C$34,L$19)</f>
        <v>0</v>
      </c>
      <c r="M24" s="21">
        <f>SUMIFS(Производительность!$Z$7:$Z$34,Производительность!$C$7:$C$34,M$19)</f>
        <v>0</v>
      </c>
      <c r="N24" s="21">
        <f>SUMIFS(Производительность!$Z$7:$Z$34,Производительность!$C$7:$C$34,N$19)</f>
        <v>0</v>
      </c>
      <c r="O24" s="21">
        <f>SUMIFS(Производительность!$Z$7:$Z$34,Производительность!$C$7:$C$34,O$19)</f>
        <v>0</v>
      </c>
      <c r="P24" s="17"/>
    </row>
    <row r="25" spans="3:16" x14ac:dyDescent="0.25">
      <c r="C25" s="196">
        <f>MAX(C$20:C24)+1</f>
        <v>6</v>
      </c>
      <c r="D25" s="22" t="s">
        <v>15</v>
      </c>
      <c r="E25" s="23" t="str">
        <f>E24</f>
        <v>коэфф.</v>
      </c>
      <c r="F25" s="24">
        <f>SUMIFS(Производительность!$E$7:$E$34,Производительность!$C$7:$C$34,F$19)</f>
        <v>0.89322361745306944</v>
      </c>
      <c r="G25" s="24">
        <f>SUMIFS(Производительность!$E$7:$E$34,Производительность!$C$7:$C$34,G$19)</f>
        <v>0.89479459982242504</v>
      </c>
      <c r="H25" s="24">
        <f>SUMIFS(Производительность!$E$7:$E$34,Производительность!$C$7:$C$34,H$19)</f>
        <v>0.89479459982242504</v>
      </c>
      <c r="I25" s="24">
        <f>SUMIFS(Производительность!$E$7:$E$34,Производительность!$C$7:$C$34,I$19)</f>
        <v>0.93093607305936077</v>
      </c>
      <c r="J25" s="24">
        <f>SUMIFS(Производительность!$E$7:$E$34,Производительность!$C$7:$C$34,J$19)</f>
        <v>0.93</v>
      </c>
      <c r="K25" s="24">
        <f>SUMIFS(Производительность!$E$7:$E$34,Производительность!$C$7:$C$34,K$19)</f>
        <v>0</v>
      </c>
      <c r="L25" s="24">
        <f>SUMIFS(Производительность!$E$7:$E$34,Производительность!$C$7:$C$34,L$19)</f>
        <v>0</v>
      </c>
      <c r="M25" s="24">
        <f>SUMIFS(Производительность!$E$7:$E$34,Производительность!$C$7:$C$34,M$19)</f>
        <v>0</v>
      </c>
      <c r="N25" s="24">
        <f>SUMIFS(Производительность!$E$7:$E$34,Производительность!$C$7:$C$34,N$19)</f>
        <v>0</v>
      </c>
      <c r="O25" s="24">
        <f>SUMIFS(Производительность!$E$7:$E$34,Производительность!$C$7:$C$34,O$19)</f>
        <v>0</v>
      </c>
      <c r="P25" s="17"/>
    </row>
    <row r="26" spans="3:16" x14ac:dyDescent="0.25">
      <c r="C26" s="196">
        <f>MAX(C$20:C25)+1</f>
        <v>7</v>
      </c>
      <c r="D26" s="17" t="s">
        <v>16</v>
      </c>
      <c r="E26" s="18" t="str">
        <f>E24</f>
        <v>коэфф.</v>
      </c>
      <c r="F26" s="25">
        <f>SUMIFS(Производительность!$Z$115:$Z$142,Производительность!$C$115:$C$142,F$19)</f>
        <v>0.69752391679539516</v>
      </c>
      <c r="G26" s="25">
        <f>SUMIFS(Производительность!$Z$115:$Z$142,Производительность!$C$115:$C$142,G$19)</f>
        <v>0.69587525901333913</v>
      </c>
      <c r="H26" s="25">
        <f>SUMIFS(Производительность!$Z$115:$Z$142,Производительность!$C$115:$C$142,H$19)</f>
        <v>0.69587525901333913</v>
      </c>
      <c r="I26" s="25">
        <f>SUMIFS(Производительность!$Z$115:$Z$142,Производительность!$C$115:$C$142,I$19)</f>
        <v>0.73415576837905583</v>
      </c>
      <c r="J26" s="25">
        <f>SUMIFS(Производительность!$Z$115:$Z$142,Производительность!$C$115:$C$142,J$19)</f>
        <v>0.7242305296245698</v>
      </c>
      <c r="K26" s="25">
        <f>SUMIFS(Производительность!$Z$115:$Z$142,Производительность!$C$115:$C$142,K$19)</f>
        <v>0</v>
      </c>
      <c r="L26" s="25">
        <f>SUMIFS(Производительность!$Z$115:$Z$142,Производительность!$C$115:$C$142,L$19)</f>
        <v>0</v>
      </c>
      <c r="M26" s="25">
        <f>SUMIFS(Производительность!$Z$115:$Z$142,Производительность!$C$115:$C$142,M$19)</f>
        <v>0</v>
      </c>
      <c r="N26" s="25">
        <f>SUMIFS(Производительность!$Z$115:$Z$142,Производительность!$C$115:$C$142,N$19)</f>
        <v>0</v>
      </c>
      <c r="O26" s="25">
        <f>SUMIFS(Производительность!$Z$115:$Z$142,Производительность!$C$115:$C$142,O$19)</f>
        <v>0</v>
      </c>
      <c r="P26" s="17"/>
    </row>
    <row r="27" spans="3:16" x14ac:dyDescent="0.25">
      <c r="C27" s="196">
        <f>MAX(C$20:C26)+1</f>
        <v>8</v>
      </c>
      <c r="D27" s="19" t="s">
        <v>117</v>
      </c>
      <c r="E27" s="20" t="s">
        <v>209</v>
      </c>
      <c r="F27" s="26">
        <f>SUMIFS(Производительность!$E$169:$E$196,Производительность!$C$169:$C$196,F$19)</f>
        <v>16.310775889354147</v>
      </c>
      <c r="G27" s="26">
        <f>SUMIFS(Производительность!$E$169:$E$196,Производительность!$C$169:$C$196,G$19)</f>
        <v>20.040243770277868</v>
      </c>
      <c r="H27" s="26">
        <f>SUMIFS(Производительность!$E$169:$E$196,Производительность!$C$169:$C$196,H$19)</f>
        <v>17.592641015897627</v>
      </c>
      <c r="I27" s="26">
        <f>SUMIFS(Производительность!$E$169:$E$196,Производительность!$C$169:$C$196,I$19)</f>
        <v>16.310775889354147</v>
      </c>
      <c r="J27" s="26">
        <f>SUMIFS(Производительность!$E$169:$E$196,Производительность!$C$169:$C$196,J$19)</f>
        <v>20.040243770277868</v>
      </c>
      <c r="K27" s="26">
        <f>SUMIFS(Производительность!$E$169:$E$196,Производительность!$C$169:$C$196,K$19)</f>
        <v>0</v>
      </c>
      <c r="L27" s="26">
        <f>SUMIFS(Производительность!$E$169:$E$196,Производительность!$C$169:$C$196,L$19)</f>
        <v>0</v>
      </c>
      <c r="M27" s="26">
        <f>SUMIFS(Производительность!$E$169:$E$196,Производительность!$C$169:$C$196,M$19)</f>
        <v>0</v>
      </c>
      <c r="N27" s="26">
        <f>SUMIFS(Производительность!$E$169:$E$196,Производительность!$C$169:$C$196,N$19)</f>
        <v>0</v>
      </c>
      <c r="O27" s="26">
        <f>SUMIFS(Производительность!$E$169:$E$196,Производительность!$C$169:$C$196,O$19)</f>
        <v>0</v>
      </c>
      <c r="P27" s="17"/>
    </row>
    <row r="28" spans="3:16" x14ac:dyDescent="0.25">
      <c r="C28" s="196">
        <f>MAX(C$20:C27)+1</f>
        <v>9</v>
      </c>
      <c r="D28" s="935" t="s">
        <v>17</v>
      </c>
      <c r="E28" s="20" t="s">
        <v>171</v>
      </c>
      <c r="F28" s="27">
        <f>SUMIFS(Производительность!$Z$196:$Z$223,Производительность!$C$196:$C$223,F$19)</f>
        <v>99.663889050592374</v>
      </c>
      <c r="G28" s="27">
        <f>SUMIFS(Производительность!$Z$196:$Z$223,Производительность!$C$196:$C$223,G$19)</f>
        <v>122.16266606115329</v>
      </c>
      <c r="H28" s="27">
        <f>SUMIFS(Производительность!$Z$196:$Z$223,Производительность!$C$196:$C$223,H$19)</f>
        <v>107.24240454331813</v>
      </c>
      <c r="I28" s="27">
        <f>SUMIFS(Производительность!$Z$196:$Z$223,Производительность!$C$196:$C$223,I$19)</f>
        <v>104.89793580374857</v>
      </c>
      <c r="J28" s="27">
        <f>SUMIFS(Производительность!$Z$196:$Z$223,Производительность!$C$196:$C$223,J$19)</f>
        <v>127.14050570969154</v>
      </c>
      <c r="K28" s="27">
        <f>SUMIFS(Производительность!$Z$196:$Z$223,Производительность!$C$196:$C$223,K$19)</f>
        <v>0</v>
      </c>
      <c r="L28" s="27">
        <f>SUMIFS(Производительность!$Z$196:$Z$223,Производительность!$C$196:$C$223,L$19)</f>
        <v>0</v>
      </c>
      <c r="M28" s="27">
        <f>SUMIFS(Производительность!$Z$196:$Z$223,Производительность!$C$196:$C$223,M$19)</f>
        <v>0</v>
      </c>
      <c r="N28" s="27">
        <f>SUMIFS(Производительность!$Z$196:$Z$223,Производительность!$C$196:$C$223,N$19)</f>
        <v>0</v>
      </c>
      <c r="O28" s="27">
        <f>SUMIFS(Производительность!$Z$196:$Z$223,Производительность!$C$196:$C$223,O$19)</f>
        <v>0</v>
      </c>
      <c r="P28" s="17"/>
    </row>
    <row r="29" spans="3:16" x14ac:dyDescent="0.25">
      <c r="C29" s="196">
        <f>MAX(C$20:C28)+1</f>
        <v>10</v>
      </c>
      <c r="D29" s="936"/>
      <c r="E29" s="20" t="s">
        <v>175</v>
      </c>
      <c r="F29" s="27">
        <f>SUMIFS(Производительность!$Z$250:$Z$277,Производительность!$C$250:$C$277,F$19)</f>
        <v>4724.5920078528243</v>
      </c>
      <c r="G29" s="27">
        <f>SUMIFS(Производительность!$Z$250:$Z$277,Производительность!$C$250:$C$277,G$19)</f>
        <v>5871.751904691122</v>
      </c>
      <c r="H29" s="27">
        <f>SUMIFS(Производительность!$Z$250:$Z$277,Производительность!$C$250:$C$277,H$19)</f>
        <v>5154.6091244084573</v>
      </c>
      <c r="I29" s="27">
        <f>SUMIFS(Производительность!$Z$250:$Z$277,Производительность!$C$250:$C$277,I$19)</f>
        <v>5043.4471216638549</v>
      </c>
      <c r="J29" s="27">
        <f>SUMIFS(Производительность!$Z$250:$Z$277,Производительность!$C$250:$C$277,J$19)</f>
        <v>6111.381300894619</v>
      </c>
      <c r="K29" s="27">
        <f>SUMIFS(Производительность!$Z$250:$Z$277,Производительность!$C$250:$C$277,K$19)</f>
        <v>0</v>
      </c>
      <c r="L29" s="27">
        <f>SUMIFS(Производительность!$Z$250:$Z$277,Производительность!$C$250:$C$277,L$19)</f>
        <v>0</v>
      </c>
      <c r="M29" s="27">
        <f>SUMIFS(Производительность!$Z$250:$Z$277,Производительность!$C$250:$C$277,M$19)</f>
        <v>0</v>
      </c>
      <c r="N29" s="27">
        <f>SUMIFS(Производительность!$Z$250:$Z$277,Производительность!$C$250:$C$277,N$19)</f>
        <v>0</v>
      </c>
      <c r="O29" s="27">
        <f>SUMIFS(Производительность!$Z$250:$Z$277,Производительность!$C$250:$C$277,O$19)</f>
        <v>0</v>
      </c>
      <c r="P29" s="17"/>
    </row>
    <row r="30" spans="3:16" x14ac:dyDescent="0.25">
      <c r="C30" s="196">
        <f>MAX(C$20:C29)+1</f>
        <v>11</v>
      </c>
      <c r="D30" s="932" t="s">
        <v>18</v>
      </c>
      <c r="E30" s="23" t="str">
        <f>E28</f>
        <v>тыс. п. м</v>
      </c>
      <c r="F30" s="28">
        <f>SUMIFS(Производительность!$E$196:$E$223,Производительность!$C$196:$C$223,F$19)</f>
        <v>103.17833954484</v>
      </c>
      <c r="G30" s="28">
        <f>SUMIFS(Производительность!$E$196:$E$223,Производительность!$C$196:$C$223,G$19)</f>
        <v>126.99308419838977</v>
      </c>
      <c r="H30" s="28">
        <f>SUMIFS(Производительность!$E$196:$E$223,Производительность!$C$196:$C$223,H$19)</f>
        <v>111.48286255466817</v>
      </c>
      <c r="I30" s="28">
        <f>SUMIFS(Производительность!$E$196:$E$223,Производительность!$C$196:$C$223,I$19)</f>
        <v>107.5345930894011</v>
      </c>
      <c r="J30" s="28">
        <f>SUMIFS(Производительность!$E$196:$E$223,Производительность!$C$196:$C$223,J$19)</f>
        <v>131.98958546234024</v>
      </c>
      <c r="K30" s="28">
        <f>SUMIFS(Производительность!$E$196:$E$223,Производительность!$C$196:$C$223,K$19)</f>
        <v>0</v>
      </c>
      <c r="L30" s="28">
        <f>SUMIFS(Производительность!$E$196:$E$223,Производительность!$C$196:$C$223,L$19)</f>
        <v>0</v>
      </c>
      <c r="M30" s="28">
        <f>SUMIFS(Производительность!$E$196:$E$223,Производительность!$C$196:$C$223,M$19)</f>
        <v>0</v>
      </c>
      <c r="N30" s="28">
        <f>SUMIFS(Производительность!$E$196:$E$223,Производительность!$C$196:$C$223,N$19)</f>
        <v>0</v>
      </c>
      <c r="O30" s="28">
        <f>SUMIFS(Производительность!$E$196:$E$223,Производительность!$C$196:$C$223,O$19)</f>
        <v>0</v>
      </c>
      <c r="P30" s="17"/>
    </row>
    <row r="31" spans="3:16" x14ac:dyDescent="0.25">
      <c r="C31" s="196">
        <f>MAX(C$20:C30)+1</f>
        <v>12</v>
      </c>
      <c r="D31" s="933"/>
      <c r="E31" s="23" t="str">
        <f>E29</f>
        <v>тыс. м3</v>
      </c>
      <c r="F31" s="28">
        <f>SUMIFS(Производительность!$E$250:$E$277,Производительность!$C$250:$C$277,F$19)</f>
        <v>5103.7423697145732</v>
      </c>
      <c r="G31" s="28">
        <f>SUMIFS(Производительность!$E$250:$E$277,Производительность!$C$250:$C$277,G$19)</f>
        <v>6281.7446698914819</v>
      </c>
      <c r="H31" s="28">
        <f>SUMIFS(Производительность!$E$250:$E$277,Производительность!$C$250:$C$277,H$19)</f>
        <v>5514.52767729466</v>
      </c>
      <c r="I31" s="28">
        <f>SUMIFS(Производительность!$E$250:$E$277,Производительность!$C$250:$C$277,I$19)</f>
        <v>5319.2255407626353</v>
      </c>
      <c r="J31" s="28">
        <f>SUMIFS(Производительность!$E$250:$E$277,Производительность!$C$250:$C$277,J$19)</f>
        <v>6528.8978545002929</v>
      </c>
      <c r="K31" s="28">
        <f>SUMIFS(Производительность!$E$250:$E$277,Производительность!$C$250:$C$277,K$19)</f>
        <v>0</v>
      </c>
      <c r="L31" s="28">
        <f>SUMIFS(Производительность!$E$250:$E$277,Производительность!$C$250:$C$277,L$19)</f>
        <v>0</v>
      </c>
      <c r="M31" s="28">
        <f>SUMIFS(Производительность!$E$250:$E$277,Производительность!$C$250:$C$277,M$19)</f>
        <v>0</v>
      </c>
      <c r="N31" s="28">
        <f>SUMIFS(Производительность!$E$250:$E$277,Производительность!$C$250:$C$277,N$19)</f>
        <v>0</v>
      </c>
      <c r="O31" s="28">
        <f>SUMIFS(Производительность!$E$250:$E$277,Производительность!$C$250:$C$277,O$19)</f>
        <v>0</v>
      </c>
      <c r="P31" s="17"/>
    </row>
    <row r="32" spans="3:16" x14ac:dyDescent="0.25">
      <c r="C32" s="196"/>
      <c r="D32" s="17"/>
      <c r="E32" s="1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17"/>
    </row>
    <row r="33" spans="1:18" x14ac:dyDescent="0.25">
      <c r="C33" s="196">
        <f>MAX(C$20:C32)+1</f>
        <v>13</v>
      </c>
      <c r="D33" s="19" t="s">
        <v>208</v>
      </c>
      <c r="E33" s="20" t="s">
        <v>21</v>
      </c>
      <c r="F33" s="27">
        <f>F37+F38</f>
        <v>0</v>
      </c>
      <c r="G33" s="27">
        <f t="shared" ref="G33:O33" si="6">G37+G38</f>
        <v>0</v>
      </c>
      <c r="H33" s="27">
        <f t="shared" si="6"/>
        <v>0</v>
      </c>
      <c r="I33" s="27">
        <f t="shared" si="6"/>
        <v>0</v>
      </c>
      <c r="J33" s="27">
        <f t="shared" si="6"/>
        <v>0</v>
      </c>
      <c r="K33" s="27">
        <f t="shared" si="6"/>
        <v>0</v>
      </c>
      <c r="L33" s="27">
        <f t="shared" si="6"/>
        <v>0</v>
      </c>
      <c r="M33" s="27">
        <f t="shared" si="6"/>
        <v>0</v>
      </c>
      <c r="N33" s="27">
        <f t="shared" si="6"/>
        <v>0</v>
      </c>
      <c r="O33" s="27">
        <f t="shared" si="6"/>
        <v>0</v>
      </c>
      <c r="P33" s="17"/>
      <c r="R33" s="172" t="s">
        <v>240</v>
      </c>
    </row>
    <row r="34" spans="1:18" x14ac:dyDescent="0.25">
      <c r="A34" s="2" t="s">
        <v>19</v>
      </c>
      <c r="C34" s="196">
        <f>MAX(C$20:C33)+1</f>
        <v>14</v>
      </c>
      <c r="D34" s="33" t="s">
        <v>22</v>
      </c>
      <c r="E34" s="18" t="s">
        <v>23</v>
      </c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17"/>
      <c r="R34" s="34">
        <v>80</v>
      </c>
    </row>
    <row r="35" spans="1:18" x14ac:dyDescent="0.25">
      <c r="A35" s="2" t="s">
        <v>19</v>
      </c>
      <c r="C35" s="196">
        <f>MAX(C$20:C34)+1</f>
        <v>15</v>
      </c>
      <c r="D35" s="33" t="s">
        <v>181</v>
      </c>
      <c r="E35" s="18" t="s">
        <v>182</v>
      </c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17"/>
      <c r="R35" s="34">
        <v>90</v>
      </c>
    </row>
    <row r="36" spans="1:18" x14ac:dyDescent="0.25">
      <c r="A36" s="2" t="s">
        <v>19</v>
      </c>
      <c r="C36" s="196">
        <f>MAX(C$20:C35)+1</f>
        <v>16</v>
      </c>
      <c r="D36" s="33" t="s">
        <v>24</v>
      </c>
      <c r="E36" s="18" t="s">
        <v>25</v>
      </c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17"/>
      <c r="R36" s="34">
        <v>11</v>
      </c>
    </row>
    <row r="37" spans="1:18" x14ac:dyDescent="0.25">
      <c r="A37" s="2" t="s">
        <v>19</v>
      </c>
      <c r="C37" s="196">
        <f>MAX(C$20:C36)+1</f>
        <v>17</v>
      </c>
      <c r="D37" s="33" t="s">
        <v>26</v>
      </c>
      <c r="E37" s="18" t="str">
        <f>E33</f>
        <v>тыс. руб.</v>
      </c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17"/>
    </row>
    <row r="38" spans="1:18" x14ac:dyDescent="0.25">
      <c r="A38" s="2" t="s">
        <v>19</v>
      </c>
      <c r="C38" s="196">
        <f>MAX(C$20:C37)+1</f>
        <v>18</v>
      </c>
      <c r="D38" s="33" t="s">
        <v>27</v>
      </c>
      <c r="E38" s="18" t="str">
        <f>E33</f>
        <v>тыс. руб.</v>
      </c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17"/>
    </row>
    <row r="39" spans="1:18" x14ac:dyDescent="0.25">
      <c r="C39" s="196"/>
      <c r="D39" s="17"/>
      <c r="E39" s="1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17"/>
    </row>
    <row r="40" spans="1:18" x14ac:dyDescent="0.25">
      <c r="A40" s="2" t="s">
        <v>19</v>
      </c>
      <c r="C40" s="196">
        <f>MAX(C$20:C39)+1</f>
        <v>19</v>
      </c>
      <c r="D40" s="19" t="s">
        <v>28</v>
      </c>
      <c r="E40" s="20" t="s">
        <v>29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17"/>
    </row>
    <row r="41" spans="1:18" x14ac:dyDescent="0.25">
      <c r="C41" s="196">
        <f>MAX(C$20:C40)+1</f>
        <v>20</v>
      </c>
      <c r="D41" s="19" t="s">
        <v>30</v>
      </c>
      <c r="E41" s="20" t="str">
        <f>E33</f>
        <v>тыс. руб.</v>
      </c>
      <c r="F41" s="27">
        <f>F40*F33</f>
        <v>0</v>
      </c>
      <c r="G41" s="27">
        <f t="shared" ref="G41:O41" si="7">G40*G33</f>
        <v>0</v>
      </c>
      <c r="H41" s="27">
        <f t="shared" si="7"/>
        <v>0</v>
      </c>
      <c r="I41" s="27">
        <f t="shared" si="7"/>
        <v>0</v>
      </c>
      <c r="J41" s="27">
        <f t="shared" si="7"/>
        <v>0</v>
      </c>
      <c r="K41" s="27">
        <f t="shared" si="7"/>
        <v>0</v>
      </c>
      <c r="L41" s="27">
        <f t="shared" si="7"/>
        <v>0</v>
      </c>
      <c r="M41" s="27">
        <f t="shared" si="7"/>
        <v>0</v>
      </c>
      <c r="N41" s="27">
        <f t="shared" si="7"/>
        <v>0</v>
      </c>
      <c r="O41" s="27">
        <f t="shared" si="7"/>
        <v>0</v>
      </c>
      <c r="P41" s="17"/>
    </row>
    <row r="42" spans="1:18" x14ac:dyDescent="0.25">
      <c r="C42" s="196"/>
      <c r="D42" s="17"/>
      <c r="E42" s="1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17"/>
    </row>
    <row r="43" spans="1:18" ht="27.2" x14ac:dyDescent="0.25">
      <c r="C43" s="196">
        <f>MAX(C$20:C42)+1</f>
        <v>21</v>
      </c>
      <c r="D43" s="17" t="s">
        <v>31</v>
      </c>
      <c r="E43" s="18" t="s">
        <v>21</v>
      </c>
      <c r="F43" s="31">
        <f>SUMIFS('ТСО_250-270_диз'!$AB:$AB,'ТСО_250-270_диз'!$A:$A,F$19)</f>
        <v>50139.66543428733</v>
      </c>
      <c r="G43" s="31">
        <f>SUMIFS('ТСО_250-270_диз'!$AB:$AB,'ТСО_250-270_диз'!$A:$A,G$19)</f>
        <v>49385.811382479042</v>
      </c>
      <c r="H43" s="31">
        <f>SUMIFS('ТСО_250-270_диз'!$AB:$AB,'ТСО_250-270_диз'!$A:$A,H$19)</f>
        <v>49385.811382479042</v>
      </c>
      <c r="I43" s="31">
        <f>SUMIFS('ТСО_250-270_диз'!$AB:$AB,'ТСО_250-270_диз'!$A:$A,I$19)</f>
        <v>28597.333333333332</v>
      </c>
      <c r="J43" s="31">
        <f>SUMIFS('ТСО_250-270_диз'!$AB:$AB,'ТСО_250-270_диз'!$A:$A,J$19)</f>
        <v>66898.704333333328</v>
      </c>
      <c r="K43" s="31">
        <f>SUMIFS('ТСО_250-270_диз'!$AB:$AB,'ТСО_250-270_диз'!$A:$A,K$19)</f>
        <v>0</v>
      </c>
      <c r="L43" s="31">
        <f>SUMIFS('ТСО_250-270_диз'!$AB:$AB,'ТСО_250-270_диз'!$A:$A,L$19)</f>
        <v>0</v>
      </c>
      <c r="M43" s="31">
        <f>SUMIFS('ТСО_250-270_диз'!$AB:$AB,'ТСО_250-270_диз'!$A:$A,M$19)</f>
        <v>0</v>
      </c>
      <c r="N43" s="31">
        <f>SUMIFS('ТСО_250-270_диз'!$AB:$AB,'ТСО_250-270_диз'!$A:$A,N$19)</f>
        <v>0</v>
      </c>
      <c r="O43" s="31">
        <f>SUMIFS('ТСО_250-270_диз'!$AB:$AB,'ТСО_250-270_диз'!$A:$A,O$19)</f>
        <v>0</v>
      </c>
      <c r="P43" s="17"/>
    </row>
    <row r="44" spans="1:18" x14ac:dyDescent="0.25">
      <c r="C44" s="196"/>
      <c r="D44" s="17"/>
      <c r="E44" s="1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17"/>
    </row>
    <row r="45" spans="1:18" x14ac:dyDescent="0.25">
      <c r="A45" s="36" t="str">
        <f>'ТСО_250-270_диз'!B87</f>
        <v>Аннуитет операционный</v>
      </c>
      <c r="C45" s="196">
        <f>MAX(C$20:C44)+1</f>
        <v>22</v>
      </c>
      <c r="D45" s="19" t="str">
        <f>'ТСО_250-270_диз'!D87</f>
        <v>Аннуитет операционный</v>
      </c>
      <c r="E45" s="20" t="str">
        <f>'ТСО_250-270_диз'!E87</f>
        <v>руб/м3</v>
      </c>
      <c r="F45" s="37">
        <f>SUMIFS('ТСО_250-270_диз'!$AC:$AC,'ТСО_250-270_диз'!$A:$A,F$19,'ТСО_250-270_диз'!$B:$B,$A45)</f>
        <v>14.684750420733641</v>
      </c>
      <c r="G45" s="37">
        <f>SUMIFS('ТСО_250-270_диз'!$AC:$AC,'ТСО_250-270_диз'!$A:$A,G$19,'ТСО_250-270_диз'!$B:$B,$A45)</f>
        <v>12.086587766869194</v>
      </c>
      <c r="H45" s="37">
        <f>SUMIFS('ТСО_250-270_диз'!$AC:$AC,'ТСО_250-270_диз'!$A:$A,H$19,'ТСО_250-270_диз'!$B:$B,$A45)</f>
        <v>13.768152546285467</v>
      </c>
      <c r="I45" s="37">
        <f>SUMIFS('ТСО_250-270_диз'!$AC:$AC,'ТСО_250-270_диз'!$A:$A,I$19,'ТСО_250-270_диз'!$B:$B,$A45)</f>
        <v>11.045801252515515</v>
      </c>
      <c r="J45" s="37">
        <f>SUMIFS('ТСО_250-270_диз'!$AC:$AC,'ТСО_250-270_диз'!$A:$A,J$19,'ТСО_250-270_диз'!$B:$B,$A45)</f>
        <v>13.627809750923111</v>
      </c>
      <c r="K45" s="37">
        <f>SUMIFS('ТСО_250-270_диз'!$AC:$AC,'ТСО_250-270_диз'!$A:$A,K$19,'ТСО_250-270_диз'!$B:$B,$A45)</f>
        <v>0</v>
      </c>
      <c r="L45" s="37">
        <f>SUMIFS('ТСО_250-270_диз'!$AC:$AC,'ТСО_250-270_диз'!$A:$A,L$19,'ТСО_250-270_диз'!$B:$B,$A45)</f>
        <v>0</v>
      </c>
      <c r="M45" s="37">
        <f>SUMIFS('ТСО_250-270_диз'!$AC:$AC,'ТСО_250-270_диз'!$A:$A,M$19,'ТСО_250-270_диз'!$B:$B,$A45)</f>
        <v>0</v>
      </c>
      <c r="N45" s="37">
        <f>SUMIFS('ТСО_250-270_диз'!$AC:$AC,'ТСО_250-270_диз'!$A:$A,N$19,'ТСО_250-270_диз'!$B:$B,$A45)</f>
        <v>0</v>
      </c>
      <c r="O45" s="37">
        <f>SUMIFS('ТСО_250-270_диз'!$AC:$AC,'ТСО_250-270_диз'!$A:$A,O$19,'ТСО_250-270_диз'!$B:$B,$A45)</f>
        <v>0</v>
      </c>
      <c r="P45" s="17"/>
    </row>
    <row r="46" spans="1:18" x14ac:dyDescent="0.25">
      <c r="A46" s="36" t="str">
        <f>'ТСО_250-270_диз'!B88</f>
        <v>ТО, ТР, ППР</v>
      </c>
      <c r="C46" s="196">
        <f>MAX(C$20:C45)+1</f>
        <v>23</v>
      </c>
      <c r="D46" s="33" t="str">
        <f>'ТСО_250-270_диз'!D88</f>
        <v>ТО, ТР, ППР</v>
      </c>
      <c r="E46" s="18" t="str">
        <f>'ТСО_250-270_диз'!E88</f>
        <v>руб/м3</v>
      </c>
      <c r="F46" s="38">
        <f>SUMIFS('ТСО_250-270_диз'!$AC:$AC,'ТСО_250-270_диз'!$A:$A,F$19,'ТСО_250-270_диз'!$B:$B,$A46)</f>
        <v>10.01917588976915</v>
      </c>
      <c r="G46" s="38">
        <f>SUMIFS('ТСО_250-270_диз'!$AC:$AC,'ТСО_250-270_диз'!$A:$A,G$19,'ТСО_250-270_диз'!$B:$B,$A46)</f>
        <v>8.4320750408740448</v>
      </c>
      <c r="H46" s="38">
        <f>SUMIFS('ТСО_250-270_диз'!$AC:$AC,'ТСО_250-270_диз'!$A:$A,H$19,'ТСО_250-270_диз'!$B:$B,$A46)</f>
        <v>9.6052002172778774</v>
      </c>
      <c r="I46" s="38">
        <f>SUMIFS('ТСО_250-270_диз'!$AC:$AC,'ТСО_250-270_диз'!$A:$A,I$19,'ТСО_250-270_диз'!$B:$B,$A46)</f>
        <v>5.4633444940140841</v>
      </c>
      <c r="J46" s="38">
        <f>SUMIFS('ТСО_250-270_диз'!$AC:$AC,'ТСО_250-270_диз'!$A:$A,J$19,'ТСО_250-270_диз'!$B:$B,$A46)</f>
        <v>10.571833734528811</v>
      </c>
      <c r="K46" s="38">
        <f>SUMIFS('ТСО_250-270_диз'!$AC:$AC,'ТСО_250-270_диз'!$A:$A,K$19,'ТСО_250-270_диз'!$B:$B,$A46)</f>
        <v>0</v>
      </c>
      <c r="L46" s="38">
        <f>SUMIFS('ТСО_250-270_диз'!$AC:$AC,'ТСО_250-270_диз'!$A:$A,L$19,'ТСО_250-270_диз'!$B:$B,$A46)</f>
        <v>0</v>
      </c>
      <c r="M46" s="38">
        <f>SUMIFS('ТСО_250-270_диз'!$AC:$AC,'ТСО_250-270_диз'!$A:$A,M$19,'ТСО_250-270_диз'!$B:$B,$A46)</f>
        <v>0</v>
      </c>
      <c r="N46" s="38">
        <f>SUMIFS('ТСО_250-270_диз'!$AC:$AC,'ТСО_250-270_диз'!$A:$A,N$19,'ТСО_250-270_диз'!$B:$B,$A46)</f>
        <v>0</v>
      </c>
      <c r="O46" s="38">
        <f>SUMIFS('ТСО_250-270_диз'!$AC:$AC,'ТСО_250-270_диз'!$A:$A,O$19,'ТСО_250-270_диз'!$B:$B,$A46)</f>
        <v>0</v>
      </c>
      <c r="P46" s="17"/>
    </row>
    <row r="47" spans="1:18" x14ac:dyDescent="0.25">
      <c r="A47" s="36" t="str">
        <f>'ТСО_250-270_диз'!B89</f>
        <v>Смазочные</v>
      </c>
      <c r="C47" s="196">
        <f>MAX(C$20:C46)+1</f>
        <v>24</v>
      </c>
      <c r="D47" s="33" t="str">
        <f>'ТСО_250-270_диз'!D89</f>
        <v>Смазочные</v>
      </c>
      <c r="E47" s="18" t="str">
        <f>'ТСО_250-270_диз'!E89</f>
        <v>руб/м3</v>
      </c>
      <c r="F47" s="38">
        <f>SUMIFS('ТСО_250-270_диз'!$AC:$AC,'ТСО_250-270_диз'!$A:$A,F$19,'ТСО_250-270_диз'!$B:$B,$A47)</f>
        <v>0</v>
      </c>
      <c r="G47" s="38">
        <f>SUMIFS('ТСО_250-270_диз'!$AC:$AC,'ТСО_250-270_диз'!$A:$A,G$19,'ТСО_250-270_диз'!$B:$B,$A47)</f>
        <v>0</v>
      </c>
      <c r="H47" s="38">
        <f>SUMIFS('ТСО_250-270_диз'!$AC:$AC,'ТСО_250-270_диз'!$A:$A,H$19,'ТСО_250-270_диз'!$B:$B,$A47)</f>
        <v>0</v>
      </c>
      <c r="I47" s="38">
        <f>SUMIFS('ТСО_250-270_диз'!$AC:$AC,'ТСО_250-270_диз'!$A:$A,I$19,'ТСО_250-270_диз'!$B:$B,$A47)</f>
        <v>0</v>
      </c>
      <c r="J47" s="38">
        <f>SUMIFS('ТСО_250-270_диз'!$AC:$AC,'ТСО_250-270_диз'!$A:$A,J$19,'ТСО_250-270_диз'!$B:$B,$A47)</f>
        <v>0</v>
      </c>
      <c r="K47" s="38">
        <f>SUMIFS('ТСО_250-270_диз'!$AC:$AC,'ТСО_250-270_диз'!$A:$A,K$19,'ТСО_250-270_диз'!$B:$B,$A47)</f>
        <v>0</v>
      </c>
      <c r="L47" s="38">
        <f>SUMIFS('ТСО_250-270_диз'!$AC:$AC,'ТСО_250-270_диз'!$A:$A,L$19,'ТСО_250-270_диз'!$B:$B,$A47)</f>
        <v>0</v>
      </c>
      <c r="M47" s="38">
        <f>SUMIFS('ТСО_250-270_диз'!$AC:$AC,'ТСО_250-270_диз'!$A:$A,M$19,'ТСО_250-270_диз'!$B:$B,$A47)</f>
        <v>0</v>
      </c>
      <c r="N47" s="38">
        <f>SUMIFS('ТСО_250-270_диз'!$AC:$AC,'ТСО_250-270_диз'!$A:$A,N$19,'ТСО_250-270_диз'!$B:$B,$A47)</f>
        <v>0</v>
      </c>
      <c r="O47" s="38">
        <f>SUMIFS('ТСО_250-270_диз'!$AC:$AC,'ТСО_250-270_диз'!$A:$A,O$19,'ТСО_250-270_диз'!$B:$B,$A47)</f>
        <v>0</v>
      </c>
      <c r="P47" s="17"/>
    </row>
    <row r="48" spans="1:18" x14ac:dyDescent="0.25">
      <c r="A48" s="36" t="str">
        <f>'ТСО_250-270_диз'!B90</f>
        <v>Долота</v>
      </c>
      <c r="C48" s="196">
        <f>MAX(C$20:C47)+1</f>
        <v>25</v>
      </c>
      <c r="D48" s="33" t="str">
        <f>'ТСО_250-270_диз'!D90</f>
        <v>Долота</v>
      </c>
      <c r="E48" s="18" t="str">
        <f>'ТСО_250-270_диз'!E90</f>
        <v>руб/м3</v>
      </c>
      <c r="F48" s="38">
        <f>SUMIFS('ТСО_250-270_диз'!$AC:$AC,'ТСО_250-270_диз'!$A:$A,F$19,'ТСО_250-270_диз'!$B:$B,$A48)</f>
        <v>0</v>
      </c>
      <c r="G48" s="38">
        <f>SUMIFS('ТСО_250-270_диз'!$AC:$AC,'ТСО_250-270_диз'!$A:$A,G$19,'ТСО_250-270_диз'!$B:$B,$A48)</f>
        <v>0</v>
      </c>
      <c r="H48" s="38">
        <f>SUMIFS('ТСО_250-270_диз'!$AC:$AC,'ТСО_250-270_диз'!$A:$A,H$19,'ТСО_250-270_диз'!$B:$B,$A48)</f>
        <v>0</v>
      </c>
      <c r="I48" s="38">
        <f>SUMIFS('ТСО_250-270_диз'!$AC:$AC,'ТСО_250-270_диз'!$A:$A,I$19,'ТСО_250-270_диз'!$B:$B,$A48)</f>
        <v>0</v>
      </c>
      <c r="J48" s="38">
        <f>SUMIFS('ТСО_250-270_диз'!$AC:$AC,'ТСО_250-270_диз'!$A:$A,J$19,'ТСО_250-270_диз'!$B:$B,$A48)</f>
        <v>0</v>
      </c>
      <c r="K48" s="38">
        <f>SUMIFS('ТСО_250-270_диз'!$AC:$AC,'ТСО_250-270_диз'!$A:$A,K$19,'ТСО_250-270_диз'!$B:$B,$A48)</f>
        <v>0</v>
      </c>
      <c r="L48" s="38">
        <f>SUMIFS('ТСО_250-270_диз'!$AC:$AC,'ТСО_250-270_диз'!$A:$A,L$19,'ТСО_250-270_диз'!$B:$B,$A48)</f>
        <v>0</v>
      </c>
      <c r="M48" s="38">
        <f>SUMIFS('ТСО_250-270_диз'!$AC:$AC,'ТСО_250-270_диз'!$A:$A,M$19,'ТСО_250-270_диз'!$B:$B,$A48)</f>
        <v>0</v>
      </c>
      <c r="N48" s="38">
        <f>SUMIFS('ТСО_250-270_диз'!$AC:$AC,'ТСО_250-270_диз'!$A:$A,N$19,'ТСО_250-270_диз'!$B:$B,$A48)</f>
        <v>0</v>
      </c>
      <c r="O48" s="38">
        <f>SUMIFS('ТСО_250-270_диз'!$AC:$AC,'ТСО_250-270_диз'!$A:$A,O$19,'ТСО_250-270_диз'!$B:$B,$A48)</f>
        <v>0</v>
      </c>
      <c r="P48" s="17"/>
    </row>
    <row r="49" spans="1:16" x14ac:dyDescent="0.25">
      <c r="A49" s="36" t="str">
        <f>'ТСО_250-270_диз'!B91</f>
        <v>Штанги буровые</v>
      </c>
      <c r="C49" s="196">
        <f>MAX(C$20:C48)+1</f>
        <v>26</v>
      </c>
      <c r="D49" s="33" t="str">
        <f>'ТСО_250-270_диз'!D91</f>
        <v>Штанги буровые</v>
      </c>
      <c r="E49" s="18" t="str">
        <f>'ТСО_250-270_диз'!E91</f>
        <v>руб/м3</v>
      </c>
      <c r="F49" s="38">
        <f>SUMIFS('ТСО_250-270_диз'!$AC:$AC,'ТСО_250-270_диз'!$A:$A,F$19,'ТСО_250-270_диз'!$B:$B,$A49)</f>
        <v>0</v>
      </c>
      <c r="G49" s="38">
        <f>SUMIFS('ТСО_250-270_диз'!$AC:$AC,'ТСО_250-270_диз'!$A:$A,G$19,'ТСО_250-270_диз'!$B:$B,$A49)</f>
        <v>0</v>
      </c>
      <c r="H49" s="38">
        <f>SUMIFS('ТСО_250-270_диз'!$AC:$AC,'ТСО_250-270_диз'!$A:$A,H$19,'ТСО_250-270_диз'!$B:$B,$A49)</f>
        <v>0</v>
      </c>
      <c r="I49" s="38">
        <f>SUMIFS('ТСО_250-270_диз'!$AC:$AC,'ТСО_250-270_диз'!$A:$A,I$19,'ТСО_250-270_диз'!$B:$B,$A49)</f>
        <v>0</v>
      </c>
      <c r="J49" s="38">
        <f>SUMIFS('ТСО_250-270_диз'!$AC:$AC,'ТСО_250-270_диз'!$A:$A,J$19,'ТСО_250-270_диз'!$B:$B,$A49)</f>
        <v>0</v>
      </c>
      <c r="K49" s="38">
        <f>SUMIFS('ТСО_250-270_диз'!$AC:$AC,'ТСО_250-270_диз'!$A:$A,K$19,'ТСО_250-270_диз'!$B:$B,$A49)</f>
        <v>0</v>
      </c>
      <c r="L49" s="38">
        <f>SUMIFS('ТСО_250-270_диз'!$AC:$AC,'ТСО_250-270_диз'!$A:$A,L$19,'ТСО_250-270_диз'!$B:$B,$A49)</f>
        <v>0</v>
      </c>
      <c r="M49" s="38">
        <f>SUMIFS('ТСО_250-270_диз'!$AC:$AC,'ТСО_250-270_диз'!$A:$A,M$19,'ТСО_250-270_диз'!$B:$B,$A49)</f>
        <v>0</v>
      </c>
      <c r="N49" s="38">
        <f>SUMIFS('ТСО_250-270_диз'!$AC:$AC,'ТСО_250-270_диз'!$A:$A,N$19,'ТСО_250-270_диз'!$B:$B,$A49)</f>
        <v>0</v>
      </c>
      <c r="O49" s="38">
        <f>SUMIFS('ТСО_250-270_диз'!$AC:$AC,'ТСО_250-270_диз'!$A:$A,O$19,'ТСО_250-270_диз'!$B:$B,$A49)</f>
        <v>0</v>
      </c>
      <c r="P49" s="17"/>
    </row>
    <row r="50" spans="1:16" x14ac:dyDescent="0.25">
      <c r="A50" s="36" t="str">
        <f>'ТСО_250-270_диз'!B92</f>
        <v>Расходники</v>
      </c>
      <c r="C50" s="196">
        <f>MAX(C$20:C49)+1</f>
        <v>27</v>
      </c>
      <c r="D50" s="33" t="str">
        <f>'ТСО_250-270_диз'!D92</f>
        <v>Расходники</v>
      </c>
      <c r="E50" s="18" t="str">
        <f>'ТСО_250-270_диз'!E92</f>
        <v>руб/м3</v>
      </c>
      <c r="F50" s="38">
        <f>SUMIFS('ТСО_250-270_диз'!$AC:$AC,'ТСО_250-270_диз'!$A:$A,F$19,'ТСО_250-270_диз'!$B:$B,$A50)</f>
        <v>0</v>
      </c>
      <c r="G50" s="38">
        <f>SUMIFS('ТСО_250-270_диз'!$AC:$AC,'ТСО_250-270_диз'!$A:$A,G$19,'ТСО_250-270_диз'!$B:$B,$A50)</f>
        <v>0</v>
      </c>
      <c r="H50" s="38">
        <f>SUMIFS('ТСО_250-270_диз'!$AC:$AC,'ТСО_250-270_диз'!$A:$A,H$19,'ТСО_250-270_диз'!$B:$B,$A50)</f>
        <v>0</v>
      </c>
      <c r="I50" s="38">
        <f>SUMIFS('ТСО_250-270_диз'!$AC:$AC,'ТСО_250-270_диз'!$A:$A,I$19,'ТСО_250-270_диз'!$B:$B,$A50)</f>
        <v>0</v>
      </c>
      <c r="J50" s="38">
        <f>SUMIFS('ТСО_250-270_диз'!$AC:$AC,'ТСО_250-270_диз'!$A:$A,J$19,'ТСО_250-270_диз'!$B:$B,$A50)</f>
        <v>0</v>
      </c>
      <c r="K50" s="38">
        <f>SUMIFS('ТСО_250-270_диз'!$AC:$AC,'ТСО_250-270_диз'!$A:$A,K$19,'ТСО_250-270_диз'!$B:$B,$A50)</f>
        <v>0</v>
      </c>
      <c r="L50" s="38">
        <f>SUMIFS('ТСО_250-270_диз'!$AC:$AC,'ТСО_250-270_диз'!$A:$A,L$19,'ТСО_250-270_диз'!$B:$B,$A50)</f>
        <v>0</v>
      </c>
      <c r="M50" s="38">
        <f>SUMIFS('ТСО_250-270_диз'!$AC:$AC,'ТСО_250-270_диз'!$A:$A,M$19,'ТСО_250-270_диз'!$B:$B,$A50)</f>
        <v>0</v>
      </c>
      <c r="N50" s="38">
        <f>SUMIFS('ТСО_250-270_диз'!$AC:$AC,'ТСО_250-270_диз'!$A:$A,N$19,'ТСО_250-270_диз'!$B:$B,$A50)</f>
        <v>0</v>
      </c>
      <c r="O50" s="38">
        <f>SUMIFS('ТСО_250-270_диз'!$AC:$AC,'ТСО_250-270_диз'!$A:$A,O$19,'ТСО_250-270_диз'!$B:$B,$A50)</f>
        <v>0</v>
      </c>
      <c r="P50" s="17"/>
    </row>
    <row r="51" spans="1:16" x14ac:dyDescent="0.25">
      <c r="A51" s="36" t="str">
        <f>'ТСО_250-270_диз'!B93</f>
        <v>Топливо/Электроэнергия</v>
      </c>
      <c r="C51" s="196">
        <f>MAX(C$20:C50)+1</f>
        <v>28</v>
      </c>
      <c r="D51" s="33" t="str">
        <f>'ТСО_250-270_диз'!D93</f>
        <v>Топливо/Электроэнергия</v>
      </c>
      <c r="E51" s="18" t="str">
        <f>'ТСО_250-270_диз'!E93</f>
        <v>руб/м3</v>
      </c>
      <c r="F51" s="38">
        <f>SUMIFS('ТСО_250-270_диз'!$AC:$AC,'ТСО_250-270_диз'!$A:$A,F$19,'ТСО_250-270_диз'!$B:$B,$A51)</f>
        <v>6.2327336215205609</v>
      </c>
      <c r="G51" s="38">
        <f>SUMIFS('ТСО_250-270_диз'!$AC:$AC,'ТСО_250-270_диз'!$A:$A,G$19,'ТСО_250-270_диз'!$B:$B,$A51)</f>
        <v>5.005789073424344</v>
      </c>
      <c r="H51" s="38">
        <f>SUMIFS('ТСО_250-270_диз'!$AC:$AC,'ТСО_250-270_диз'!$A:$A,H$19,'ТСО_250-270_диз'!$B:$B,$A51)</f>
        <v>5.7022270393265773</v>
      </c>
      <c r="I51" s="38">
        <f>SUMIFS('ТСО_250-270_диз'!$AC:$AC,'ТСО_250-270_диз'!$A:$A,I$19,'ТСО_250-270_диз'!$B:$B,$A51)</f>
        <v>6.1470539467876</v>
      </c>
      <c r="J51" s="38">
        <f>SUMIFS('ТСО_250-270_диз'!$AC:$AC,'ТСО_250-270_диз'!$A:$A,J$19,'ТСО_250-270_диз'!$B:$B,$A51)</f>
        <v>5.0259821172882395</v>
      </c>
      <c r="K51" s="38">
        <f>SUMIFS('ТСО_250-270_диз'!$AC:$AC,'ТСО_250-270_диз'!$A:$A,K$19,'ТСО_250-270_диз'!$B:$B,$A51)</f>
        <v>0</v>
      </c>
      <c r="L51" s="38">
        <f>SUMIFS('ТСО_250-270_диз'!$AC:$AC,'ТСО_250-270_диз'!$A:$A,L$19,'ТСО_250-270_диз'!$B:$B,$A51)</f>
        <v>0</v>
      </c>
      <c r="M51" s="38">
        <f>SUMIFS('ТСО_250-270_диз'!$AC:$AC,'ТСО_250-270_диз'!$A:$A,M$19,'ТСО_250-270_диз'!$B:$B,$A51)</f>
        <v>0</v>
      </c>
      <c r="N51" s="38">
        <f>SUMIFS('ТСО_250-270_диз'!$AC:$AC,'ТСО_250-270_диз'!$A:$A,N$19,'ТСО_250-270_диз'!$B:$B,$A51)</f>
        <v>0</v>
      </c>
      <c r="O51" s="38">
        <f>SUMIFS('ТСО_250-270_диз'!$AC:$AC,'ТСО_250-270_диз'!$A:$A,O$19,'ТСО_250-270_диз'!$B:$B,$A51)</f>
        <v>0</v>
      </c>
      <c r="P51" s="17"/>
    </row>
    <row r="52" spans="1:16" x14ac:dyDescent="0.25">
      <c r="A52" s="36" t="str">
        <f>'ТСО_250-270_диз'!B94</f>
        <v>Затраты на персонал</v>
      </c>
      <c r="C52" s="196">
        <f>MAX(C$20:C51)+1</f>
        <v>29</v>
      </c>
      <c r="D52" s="33" t="str">
        <f>'ТСО_250-270_диз'!D94</f>
        <v>Затраты на персонал</v>
      </c>
      <c r="E52" s="18" t="str">
        <f>'ТСО_250-270_диз'!E94</f>
        <v>руб/м3</v>
      </c>
      <c r="F52" s="38">
        <f>SUMIFS('ТСО_250-270_диз'!$AC:$AC,'ТСО_250-270_диз'!$A:$A,F$19,'ТСО_250-270_диз'!$B:$B,$A52)</f>
        <v>3.3251806902162215</v>
      </c>
      <c r="G52" s="38">
        <f>SUMIFS('ТСО_250-270_диз'!$AC:$AC,'ТСО_250-270_диз'!$A:$A,G$19,'ТСО_250-270_диз'!$B:$B,$A52)</f>
        <v>2.675542558450196</v>
      </c>
      <c r="H52" s="38">
        <f>SUMIFS('ТСО_250-270_диз'!$AC:$AC,'ТСО_250-270_диз'!$A:$A,H$19,'ТСО_250-270_диз'!$B:$B,$A52)</f>
        <v>3.047781458204164</v>
      </c>
      <c r="I52" s="38">
        <f>SUMIFS('ТСО_250-270_диз'!$AC:$AC,'ТСО_250-270_диз'!$A:$A,I$19,'ТСО_250-270_диз'!$B:$B,$A52)</f>
        <v>3.1149572375171966</v>
      </c>
      <c r="J52" s="38">
        <f>SUMIFS('ТСО_250-270_диз'!$AC:$AC,'ТСО_250-270_диз'!$A:$A,J$19,'ТСО_250-270_диз'!$B:$B,$A52)</f>
        <v>2.5706335998642991</v>
      </c>
      <c r="K52" s="38">
        <f>SUMIFS('ТСО_250-270_диз'!$AC:$AC,'ТСО_250-270_диз'!$A:$A,K$19,'ТСО_250-270_диз'!$B:$B,$A52)</f>
        <v>0</v>
      </c>
      <c r="L52" s="38">
        <f>SUMIFS('ТСО_250-270_диз'!$AC:$AC,'ТСО_250-270_диз'!$A:$A,L$19,'ТСО_250-270_диз'!$B:$B,$A52)</f>
        <v>0</v>
      </c>
      <c r="M52" s="38">
        <f>SUMIFS('ТСО_250-270_диз'!$AC:$AC,'ТСО_250-270_диз'!$A:$A,M$19,'ТСО_250-270_диз'!$B:$B,$A52)</f>
        <v>0</v>
      </c>
      <c r="N52" s="38">
        <f>SUMIFS('ТСО_250-270_диз'!$AC:$AC,'ТСО_250-270_диз'!$A:$A,N$19,'ТСО_250-270_диз'!$B:$B,$A52)</f>
        <v>0</v>
      </c>
      <c r="O52" s="38">
        <f>SUMIFS('ТСО_250-270_диз'!$AC:$AC,'ТСО_250-270_диз'!$A:$A,O$19,'ТСО_250-270_диз'!$B:$B,$A52)</f>
        <v>0</v>
      </c>
      <c r="P52" s="17"/>
    </row>
    <row r="53" spans="1:16" x14ac:dyDescent="0.25">
      <c r="A53" s="36" t="str">
        <f>'ТСО_250-270_диз'!B95</f>
        <v>Транспортный налог</v>
      </c>
      <c r="C53" s="196">
        <f>MAX(C$20:C52)+1</f>
        <v>30</v>
      </c>
      <c r="D53" s="33" t="str">
        <f>'ТСО_250-270_диз'!D95</f>
        <v>Транспортный налог</v>
      </c>
      <c r="E53" s="18" t="str">
        <f>'ТСО_250-270_диз'!E95</f>
        <v>руб/м3</v>
      </c>
      <c r="F53" s="1214">
        <f>SUMIFS('ТСО_250-270_диз'!$AC:$AC,'ТСО_250-270_диз'!$A:$A,F$19,'ТСО_250-270_диз'!$B:$B,$A53)</f>
        <v>2.5770261389265075E-3</v>
      </c>
      <c r="G53" s="38">
        <f>SUMIFS('ТСО_250-270_диз'!$AC:$AC,'ТСО_250-270_диз'!$A:$A,G$19,'ТСО_250-270_диз'!$B:$B,$A53)</f>
        <v>2.0436830770068528E-3</v>
      </c>
      <c r="H53" s="38">
        <f>SUMIFS('ТСО_250-270_диз'!$AC:$AC,'ТСО_250-270_диз'!$A:$A,H$19,'ТСО_250-270_диз'!$B:$B,$A53)</f>
        <v>2.3280135720042824E-3</v>
      </c>
      <c r="I53" s="38">
        <f>SUMIFS('ТСО_250-270_диз'!$AC:$AC,'ТСО_250-270_диз'!$A:$A,I$19,'ТСО_250-270_диз'!$B:$B,$A53)</f>
        <v>2.3793250351440481E-3</v>
      </c>
      <c r="J53" s="38">
        <f>SUMIFS('ТСО_250-270_диз'!$AC:$AC,'ТСО_250-270_диз'!$A:$A,J$19,'ТСО_250-270_диз'!$B:$B,$A53)</f>
        <v>1.9635495494681981E-3</v>
      </c>
      <c r="K53" s="38">
        <f>SUMIFS('ТСО_250-270_диз'!$AC:$AC,'ТСО_250-270_диз'!$A:$A,K$19,'ТСО_250-270_диз'!$B:$B,$A53)</f>
        <v>0</v>
      </c>
      <c r="L53" s="38">
        <f>SUMIFS('ТСО_250-270_диз'!$AC:$AC,'ТСО_250-270_диз'!$A:$A,L$19,'ТСО_250-270_диз'!$B:$B,$A53)</f>
        <v>0</v>
      </c>
      <c r="M53" s="38">
        <f>SUMIFS('ТСО_250-270_диз'!$AC:$AC,'ТСО_250-270_диз'!$A:$A,M$19,'ТСО_250-270_диз'!$B:$B,$A53)</f>
        <v>0</v>
      </c>
      <c r="N53" s="38">
        <f>SUMIFS('ТСО_250-270_диз'!$AC:$AC,'ТСО_250-270_диз'!$A:$A,N$19,'ТСО_250-270_диз'!$B:$B,$A53)</f>
        <v>0</v>
      </c>
      <c r="O53" s="38">
        <f>SUMIFS('ТСО_250-270_диз'!$AC:$AC,'ТСО_250-270_диз'!$A:$A,O$19,'ТСО_250-270_диз'!$B:$B,$A53)</f>
        <v>0</v>
      </c>
      <c r="P53" s="17"/>
    </row>
    <row r="54" spans="1:16" x14ac:dyDescent="0.25">
      <c r="A54" s="36" t="str">
        <f>'ТСО_250-270_диз'!B96</f>
        <v>Налог на прибыль</v>
      </c>
      <c r="C54" s="196">
        <f>MAX(C$20:C53)+1</f>
        <v>31</v>
      </c>
      <c r="D54" s="33" t="str">
        <f>'ТСО_250-270_диз'!D96</f>
        <v>Налог на прибыль</v>
      </c>
      <c r="E54" s="18" t="str">
        <f>'ТСО_250-270_диз'!E96</f>
        <v>руб/м3</v>
      </c>
      <c r="F54" s="38">
        <f>SUMIFS('ТСО_250-270_диз'!$AC:$AC,'ТСО_250-270_диз'!$A:$A,F$19,'ТСО_250-270_диз'!$B:$B,$A54)</f>
        <v>-4.8949168069112154</v>
      </c>
      <c r="G54" s="38">
        <f>SUMIFS('ТСО_250-270_диз'!$AC:$AC,'ТСО_250-270_диз'!$A:$A,G$19,'ТСО_250-270_диз'!$B:$B,$A54)</f>
        <v>-4.0288625889563976</v>
      </c>
      <c r="H54" s="38">
        <f>SUMIFS('ТСО_250-270_диз'!$AC:$AC,'ТСО_250-270_диз'!$A:$A,H$19,'ТСО_250-270_диз'!$B:$B,$A54)</f>
        <v>-4.5893841820951558</v>
      </c>
      <c r="I54" s="38">
        <f>SUMIFS('ТСО_250-270_диз'!$AC:$AC,'ТСО_250-270_диз'!$A:$A,I$19,'ТСО_250-270_диз'!$B:$B,$A54)</f>
        <v>-3.6819337508385059</v>
      </c>
      <c r="J54" s="38">
        <f>SUMIFS('ТСО_250-270_диз'!$AC:$AC,'ТСО_250-270_диз'!$A:$A,J$19,'ТСО_250-270_диз'!$B:$B,$A54)</f>
        <v>-4.5426032503077041</v>
      </c>
      <c r="K54" s="38">
        <f>SUMIFS('ТСО_250-270_диз'!$AC:$AC,'ТСО_250-270_диз'!$A:$A,K$19,'ТСО_250-270_диз'!$B:$B,$A54)</f>
        <v>0</v>
      </c>
      <c r="L54" s="38">
        <f>SUMIFS('ТСО_250-270_диз'!$AC:$AC,'ТСО_250-270_диз'!$A:$A,L$19,'ТСО_250-270_диз'!$B:$B,$A54)</f>
        <v>0</v>
      </c>
      <c r="M54" s="38">
        <f>SUMIFS('ТСО_250-270_диз'!$AC:$AC,'ТСО_250-270_диз'!$A:$A,M$19,'ТСО_250-270_диз'!$B:$B,$A54)</f>
        <v>0</v>
      </c>
      <c r="N54" s="38">
        <f>SUMIFS('ТСО_250-270_диз'!$AC:$AC,'ТСО_250-270_диз'!$A:$A,N$19,'ТСО_250-270_диз'!$B:$B,$A54)</f>
        <v>0</v>
      </c>
      <c r="O54" s="38">
        <f>SUMIFS('ТСО_250-270_диз'!$AC:$AC,'ТСО_250-270_диз'!$A:$A,O$19,'ТСО_250-270_диз'!$B:$B,$A54)</f>
        <v>0</v>
      </c>
      <c r="P54" s="17"/>
    </row>
    <row r="55" spans="1:16" x14ac:dyDescent="0.25">
      <c r="A55" s="36" t="str">
        <f>'ТСО_250-270_диз'!B97</f>
        <v>Аннуитет инвестиционный</v>
      </c>
      <c r="C55" s="196">
        <f>MAX(C$20:C54)+1</f>
        <v>32</v>
      </c>
      <c r="D55" s="19" t="str">
        <f>'ТСО_250-270_диз'!D97</f>
        <v>Аннуитет инвестиционный</v>
      </c>
      <c r="E55" s="20" t="str">
        <f>'ТСО_250-270_диз'!E97</f>
        <v>руб/м3</v>
      </c>
      <c r="F55" s="37">
        <f>SUMIFS('ТСО_250-270_диз'!$AC:$AC,'ТСО_250-270_диз'!$A:$A,F$19,'ТСО_250-270_диз'!$B:$B,$A55)</f>
        <v>0</v>
      </c>
      <c r="G55" s="37">
        <f>SUMIFS('ТСО_250-270_диз'!$AC:$AC,'ТСО_250-270_диз'!$A:$A,G$19,'ТСО_250-270_диз'!$B:$B,$A55)</f>
        <v>0</v>
      </c>
      <c r="H55" s="37">
        <f>SUMIFS('ТСО_250-270_диз'!$AC:$AC,'ТСО_250-270_диз'!$A:$A,H$19,'ТСО_250-270_диз'!$B:$B,$A55)</f>
        <v>0</v>
      </c>
      <c r="I55" s="37">
        <f>SUMIFS('ТСО_250-270_диз'!$AC:$AC,'ТСО_250-270_диз'!$A:$A,I$19,'ТСО_250-270_диз'!$B:$B,$A55)</f>
        <v>0</v>
      </c>
      <c r="J55" s="37">
        <f>SUMIFS('ТСО_250-270_диз'!$AC:$AC,'ТСО_250-270_диз'!$A:$A,J$19,'ТСО_250-270_диз'!$B:$B,$A55)</f>
        <v>0</v>
      </c>
      <c r="K55" s="37">
        <f>SUMIFS('ТСО_250-270_диз'!$AC:$AC,'ТСО_250-270_диз'!$A:$A,K$19,'ТСО_250-270_диз'!$B:$B,$A55)</f>
        <v>0</v>
      </c>
      <c r="L55" s="37">
        <f>SUMIFS('ТСО_250-270_диз'!$AC:$AC,'ТСО_250-270_диз'!$A:$A,L$19,'ТСО_250-270_диз'!$B:$B,$A55)</f>
        <v>0</v>
      </c>
      <c r="M55" s="37">
        <f>SUMIFS('ТСО_250-270_диз'!$AC:$AC,'ТСО_250-270_диз'!$A:$A,M$19,'ТСО_250-270_диз'!$B:$B,$A55)</f>
        <v>0</v>
      </c>
      <c r="N55" s="37">
        <f>SUMIFS('ТСО_250-270_диз'!$AC:$AC,'ТСО_250-270_диз'!$A:$A,N$19,'ТСО_250-270_диз'!$B:$B,$A55)</f>
        <v>0</v>
      </c>
      <c r="O55" s="37">
        <f>SUMIFS('ТСО_250-270_диз'!$AC:$AC,'ТСО_250-270_диз'!$A:$A,O$19,'ТСО_250-270_диз'!$B:$B,$A55)</f>
        <v>0</v>
      </c>
      <c r="P55" s="17"/>
    </row>
    <row r="56" spans="1:16" ht="14.3" x14ac:dyDescent="0.25">
      <c r="A56" s="36" t="str">
        <f>'ТСО_250-270_диз'!B99</f>
        <v>Аннуитет общий</v>
      </c>
      <c r="C56" s="196">
        <f>MAX(C$20:C55)+1</f>
        <v>33</v>
      </c>
      <c r="D56" s="40" t="str">
        <f>'ТСО_250-270_диз'!D99</f>
        <v>Аннуитет общий</v>
      </c>
      <c r="E56" s="41" t="str">
        <f>'ТСО_250-270_диз'!E99</f>
        <v>руб/м3</v>
      </c>
      <c r="F56" s="42">
        <f>SUMIFS('ТСО_250-270_диз'!$AC:$AC,'ТСО_250-270_диз'!$A:$A,F$19,'ТСО_250-270_диз'!$B:$B,$A56)</f>
        <v>14.684750420733641</v>
      </c>
      <c r="G56" s="42">
        <f>SUMIFS('ТСО_250-270_диз'!$AC:$AC,'ТСО_250-270_диз'!$A:$A,G$19,'ТСО_250-270_диз'!$B:$B,$A56)</f>
        <v>12.086587766869194</v>
      </c>
      <c r="H56" s="42">
        <f>SUMIFS('ТСО_250-270_диз'!$AC:$AC,'ТСО_250-270_диз'!$A:$A,H$19,'ТСО_250-270_диз'!$B:$B,$A56)</f>
        <v>13.768152546285467</v>
      </c>
      <c r="I56" s="42">
        <f>SUMIFS('ТСО_250-270_диз'!$AC:$AC,'ТСО_250-270_диз'!$A:$A,I$19,'ТСО_250-270_диз'!$B:$B,$A56)</f>
        <v>11.045801252515515</v>
      </c>
      <c r="J56" s="42">
        <f>SUMIFS('ТСО_250-270_диз'!$AC:$AC,'ТСО_250-270_диз'!$A:$A,J$19,'ТСО_250-270_диз'!$B:$B,$A56)</f>
        <v>13.627809750923111</v>
      </c>
      <c r="K56" s="42">
        <f>SUMIFS('ТСО_250-270_диз'!$AC:$AC,'ТСО_250-270_диз'!$A:$A,K$19,'ТСО_250-270_диз'!$B:$B,$A56)</f>
        <v>0</v>
      </c>
      <c r="L56" s="42">
        <f>SUMIFS('ТСО_250-270_диз'!$AC:$AC,'ТСО_250-270_диз'!$A:$A,L$19,'ТСО_250-270_диз'!$B:$B,$A56)</f>
        <v>0</v>
      </c>
      <c r="M56" s="42">
        <f>SUMIFS('ТСО_250-270_диз'!$AC:$AC,'ТСО_250-270_диз'!$A:$A,M$19,'ТСО_250-270_диз'!$B:$B,$A56)</f>
        <v>0</v>
      </c>
      <c r="N56" s="42">
        <f>SUMIFS('ТСО_250-270_диз'!$AC:$AC,'ТСО_250-270_диз'!$A:$A,N$19,'ТСО_250-270_диз'!$B:$B,$A56)</f>
        <v>0</v>
      </c>
      <c r="O56" s="42">
        <f>SUMIFS('ТСО_250-270_диз'!$AC:$AC,'ТСО_250-270_диз'!$A:$A,O$19,'ТСО_250-270_диз'!$B:$B,$A56)</f>
        <v>0</v>
      </c>
      <c r="P56" s="17"/>
    </row>
    <row r="57" spans="1:16" x14ac:dyDescent="0.25">
      <c r="C57" s="202"/>
      <c r="D57" s="43"/>
      <c r="E57" s="44"/>
      <c r="F57" s="45">
        <f>F45-SUM(F46:F54)+F56-F45-F55</f>
        <v>-1.7763568394002505E-15</v>
      </c>
      <c r="G57" s="45">
        <f t="shared" ref="G57:O57" si="8">G45-SUM(G46:G54)+G56-G45-G55</f>
        <v>0</v>
      </c>
      <c r="H57" s="45">
        <f t="shared" si="8"/>
        <v>0</v>
      </c>
      <c r="I57" s="45">
        <f t="shared" si="8"/>
        <v>-5.3290705182007514E-15</v>
      </c>
      <c r="J57" s="45">
        <f t="shared" si="8"/>
        <v>-1.7763568394002505E-15</v>
      </c>
      <c r="K57" s="45">
        <f t="shared" si="8"/>
        <v>0</v>
      </c>
      <c r="L57" s="45">
        <f t="shared" si="8"/>
        <v>0</v>
      </c>
      <c r="M57" s="45">
        <f t="shared" si="8"/>
        <v>0</v>
      </c>
      <c r="N57" s="45">
        <f t="shared" si="8"/>
        <v>0</v>
      </c>
      <c r="O57" s="45">
        <f t="shared" si="8"/>
        <v>0</v>
      </c>
      <c r="P57" s="43"/>
    </row>
    <row r="58" spans="1:16" outlineLevel="1" x14ac:dyDescent="0.25">
      <c r="A58" s="2" t="s">
        <v>32</v>
      </c>
      <c r="C58" s="175"/>
      <c r="D58" s="2" t="str">
        <f>D56</f>
        <v>Аннуитет общий</v>
      </c>
      <c r="F58" s="46">
        <f>IF(F56&gt;0,F56,"нет")</f>
        <v>14.684750420733641</v>
      </c>
      <c r="G58" s="46">
        <f t="shared" ref="G58:O58" si="9">IF(G56&gt;0,G56,"нет")</f>
        <v>12.086587766869194</v>
      </c>
      <c r="H58" s="46">
        <f t="shared" si="9"/>
        <v>13.768152546285467</v>
      </c>
      <c r="I58" s="46">
        <f t="shared" si="9"/>
        <v>11.045801252515515</v>
      </c>
      <c r="J58" s="46">
        <f t="shared" si="9"/>
        <v>13.627809750923111</v>
      </c>
      <c r="K58" s="46" t="str">
        <f t="shared" si="9"/>
        <v>нет</v>
      </c>
      <c r="L58" s="46" t="str">
        <f t="shared" si="9"/>
        <v>нет</v>
      </c>
      <c r="M58" s="46" t="str">
        <f t="shared" si="9"/>
        <v>нет</v>
      </c>
      <c r="N58" s="46" t="str">
        <f t="shared" si="9"/>
        <v>нет</v>
      </c>
      <c r="O58" s="46" t="str">
        <f t="shared" si="9"/>
        <v>нет</v>
      </c>
    </row>
    <row r="59" spans="1:16" outlineLevel="1" x14ac:dyDescent="0.25">
      <c r="A59" s="2" t="str">
        <f>A58</f>
        <v>для ранжирования</v>
      </c>
      <c r="C59" s="175"/>
      <c r="D59" s="2" t="str">
        <f>D33</f>
        <v>Стоимость станка</v>
      </c>
      <c r="F59" s="47" t="str">
        <f>IF(F33&gt;0,F33,"нет")</f>
        <v>нет</v>
      </c>
      <c r="G59" s="47" t="str">
        <f t="shared" ref="G59:O59" si="10">IF(G33&gt;0,G33,"нет")</f>
        <v>нет</v>
      </c>
      <c r="H59" s="47" t="str">
        <f t="shared" si="10"/>
        <v>нет</v>
      </c>
      <c r="I59" s="47" t="str">
        <f t="shared" si="10"/>
        <v>нет</v>
      </c>
      <c r="J59" s="47" t="str">
        <f t="shared" si="10"/>
        <v>нет</v>
      </c>
      <c r="K59" s="47" t="str">
        <f t="shared" si="10"/>
        <v>нет</v>
      </c>
      <c r="L59" s="47" t="str">
        <f t="shared" si="10"/>
        <v>нет</v>
      </c>
      <c r="M59" s="47" t="str">
        <f t="shared" si="10"/>
        <v>нет</v>
      </c>
      <c r="N59" s="47" t="str">
        <f t="shared" si="10"/>
        <v>нет</v>
      </c>
      <c r="O59" s="47" t="str">
        <f t="shared" si="10"/>
        <v>нет</v>
      </c>
    </row>
    <row r="60" spans="1:16" outlineLevel="1" x14ac:dyDescent="0.25">
      <c r="A60" s="2" t="str">
        <f>A58</f>
        <v>для ранжирования</v>
      </c>
      <c r="C60" s="175"/>
      <c r="F60" s="2" t="str">
        <f>F19</f>
        <v>HIFO 75D</v>
      </c>
      <c r="G60" s="2" t="str">
        <f t="shared" ref="G60:O60" si="11">G19</f>
        <v>Sunward SWDRT270SM</v>
      </c>
      <c r="H60" s="2" t="str">
        <f t="shared" si="11"/>
        <v>Sunward SWDRT250SM</v>
      </c>
      <c r="I60" s="2" t="str">
        <f t="shared" si="11"/>
        <v>YANGZI DR75</v>
      </c>
      <c r="J60" s="2" t="str">
        <f t="shared" si="11"/>
        <v>Sunward SWDRT270B</v>
      </c>
      <c r="K60" s="2">
        <f t="shared" si="11"/>
        <v>0</v>
      </c>
      <c r="L60" s="2">
        <f t="shared" si="11"/>
        <v>0</v>
      </c>
      <c r="M60" s="2">
        <f t="shared" si="11"/>
        <v>0</v>
      </c>
      <c r="N60" s="2">
        <f t="shared" si="11"/>
        <v>0</v>
      </c>
      <c r="O60" s="2">
        <f t="shared" si="11"/>
        <v>0</v>
      </c>
    </row>
  </sheetData>
  <mergeCells count="14">
    <mergeCell ref="H15:J15"/>
    <mergeCell ref="D30:D31"/>
    <mergeCell ref="H16:J16"/>
    <mergeCell ref="D28:D29"/>
    <mergeCell ref="H10:J10"/>
    <mergeCell ref="H11:J11"/>
    <mergeCell ref="H12:J12"/>
    <mergeCell ref="H13:J13"/>
    <mergeCell ref="H14:J14"/>
    <mergeCell ref="H5:J5"/>
    <mergeCell ref="H6:J6"/>
    <mergeCell ref="H7:J7"/>
    <mergeCell ref="H8:J8"/>
    <mergeCell ref="H9:J9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282A-B47A-4E14-949F-1C4F93D00973}">
  <sheetPr>
    <tabColor rgb="FFFF0000"/>
  </sheetPr>
  <dimension ref="A1:AC550"/>
  <sheetViews>
    <sheetView showGridLines="0" zoomScaleNormal="100" workbookViewId="0">
      <selection activeCell="S452" sqref="S452:Z455"/>
    </sheetView>
  </sheetViews>
  <sheetFormatPr defaultRowHeight="13.6" outlineLevelRow="1" outlineLevelCol="1" x14ac:dyDescent="0.25"/>
  <cols>
    <col min="1" max="3" width="9.125" style="2" customWidth="1" outlineLevel="1"/>
    <col min="4" max="4" width="44.5" style="2" bestFit="1" customWidth="1"/>
    <col min="5" max="5" width="11.875" style="2" bestFit="1" customWidth="1"/>
    <col min="6" max="26" width="8.125" style="2" customWidth="1"/>
    <col min="27" max="27" width="9" style="2" customWidth="1" outlineLevel="1"/>
    <col min="28" max="28" width="19" style="2" customWidth="1" outlineLevel="1"/>
    <col min="29" max="29" width="9" style="2" customWidth="1" outlineLevel="1"/>
    <col min="30" max="16384" width="9" style="2"/>
  </cols>
  <sheetData>
    <row r="1" spans="1:29" outlineLevel="1" x14ac:dyDescent="0.25">
      <c r="A1" s="48" t="s">
        <v>33</v>
      </c>
      <c r="B1" s="48" t="s">
        <v>33</v>
      </c>
      <c r="C1" s="48" t="s">
        <v>33</v>
      </c>
      <c r="D1" s="49" t="s">
        <v>6</v>
      </c>
      <c r="E1" s="49" t="s">
        <v>7</v>
      </c>
      <c r="F1" s="50">
        <f>G1-1</f>
        <v>0</v>
      </c>
      <c r="G1" s="51">
        <v>1</v>
      </c>
      <c r="H1" s="50">
        <f>G1+1</f>
        <v>2</v>
      </c>
      <c r="I1" s="50">
        <f t="shared" ref="I1:Z1" si="0">H1+1</f>
        <v>3</v>
      </c>
      <c r="J1" s="50">
        <f t="shared" si="0"/>
        <v>4</v>
      </c>
      <c r="K1" s="50">
        <f t="shared" si="0"/>
        <v>5</v>
      </c>
      <c r="L1" s="50">
        <f t="shared" si="0"/>
        <v>6</v>
      </c>
      <c r="M1" s="50">
        <f t="shared" si="0"/>
        <v>7</v>
      </c>
      <c r="N1" s="50">
        <f t="shared" si="0"/>
        <v>8</v>
      </c>
      <c r="O1" s="50">
        <f t="shared" si="0"/>
        <v>9</v>
      </c>
      <c r="P1" s="50">
        <f t="shared" si="0"/>
        <v>10</v>
      </c>
      <c r="Q1" s="50">
        <f t="shared" si="0"/>
        <v>11</v>
      </c>
      <c r="R1" s="50">
        <f t="shared" si="0"/>
        <v>12</v>
      </c>
      <c r="S1" s="50">
        <f t="shared" si="0"/>
        <v>13</v>
      </c>
      <c r="T1" s="50">
        <f t="shared" si="0"/>
        <v>14</v>
      </c>
      <c r="U1" s="50">
        <f t="shared" si="0"/>
        <v>15</v>
      </c>
      <c r="V1" s="50">
        <f t="shared" si="0"/>
        <v>16</v>
      </c>
      <c r="W1" s="50">
        <f t="shared" si="0"/>
        <v>17</v>
      </c>
      <c r="X1" s="50">
        <f t="shared" si="0"/>
        <v>18</v>
      </c>
      <c r="Y1" s="50">
        <f t="shared" si="0"/>
        <v>19</v>
      </c>
      <c r="Z1" s="50">
        <f t="shared" si="0"/>
        <v>20</v>
      </c>
      <c r="AA1" s="173" t="s">
        <v>33</v>
      </c>
      <c r="AB1" s="48" t="s">
        <v>33</v>
      </c>
      <c r="AC1" s="48" t="s">
        <v>33</v>
      </c>
    </row>
    <row r="2" spans="1:29" outlineLevel="1" x14ac:dyDescent="0.25">
      <c r="A2" s="2" t="s">
        <v>34</v>
      </c>
      <c r="F2" s="52" t="s">
        <v>12</v>
      </c>
      <c r="G2" s="51">
        <v>2027</v>
      </c>
      <c r="H2" s="50">
        <f>G2+1</f>
        <v>2028</v>
      </c>
      <c r="I2" s="50">
        <f t="shared" ref="I2:Z2" si="1">H2+1</f>
        <v>2029</v>
      </c>
      <c r="J2" s="50">
        <f t="shared" si="1"/>
        <v>2030</v>
      </c>
      <c r="K2" s="50">
        <f t="shared" si="1"/>
        <v>2031</v>
      </c>
      <c r="L2" s="50">
        <f t="shared" si="1"/>
        <v>2032</v>
      </c>
      <c r="M2" s="50">
        <f t="shared" si="1"/>
        <v>2033</v>
      </c>
      <c r="N2" s="50">
        <f t="shared" si="1"/>
        <v>2034</v>
      </c>
      <c r="O2" s="50">
        <f t="shared" si="1"/>
        <v>2035</v>
      </c>
      <c r="P2" s="50">
        <f t="shared" si="1"/>
        <v>2036</v>
      </c>
      <c r="Q2" s="50">
        <f t="shared" si="1"/>
        <v>2037</v>
      </c>
      <c r="R2" s="50">
        <f t="shared" si="1"/>
        <v>2038</v>
      </c>
      <c r="S2" s="50">
        <f t="shared" si="1"/>
        <v>2039</v>
      </c>
      <c r="T2" s="50">
        <f t="shared" si="1"/>
        <v>2040</v>
      </c>
      <c r="U2" s="50">
        <f t="shared" si="1"/>
        <v>2041</v>
      </c>
      <c r="V2" s="50">
        <f t="shared" si="1"/>
        <v>2042</v>
      </c>
      <c r="W2" s="50">
        <f t="shared" si="1"/>
        <v>2043</v>
      </c>
      <c r="X2" s="50">
        <f t="shared" si="1"/>
        <v>2044</v>
      </c>
      <c r="Y2" s="50">
        <f t="shared" si="1"/>
        <v>2045</v>
      </c>
      <c r="Z2" s="50">
        <f t="shared" si="1"/>
        <v>2046</v>
      </c>
      <c r="AA2" s="174" t="s">
        <v>35</v>
      </c>
      <c r="AB2" s="2" t="s">
        <v>36</v>
      </c>
      <c r="AC2" s="2" t="s">
        <v>37</v>
      </c>
    </row>
    <row r="3" spans="1:29" outlineLevel="1" x14ac:dyDescent="0.25">
      <c r="A3" s="2" t="s">
        <v>34</v>
      </c>
      <c r="G3" s="195">
        <f>Производительность!E6</f>
        <v>8760</v>
      </c>
      <c r="H3" s="195">
        <f>Производительность!F6</f>
        <v>8760</v>
      </c>
      <c r="I3" s="195">
        <f>Производительность!G6</f>
        <v>8760</v>
      </c>
      <c r="J3" s="195">
        <f>Производительность!H6</f>
        <v>8760</v>
      </c>
      <c r="K3" s="195">
        <f>Производительность!I6</f>
        <v>8760</v>
      </c>
      <c r="L3" s="195">
        <f>Производительность!J6</f>
        <v>8760</v>
      </c>
      <c r="M3" s="195">
        <f>Производительность!K6</f>
        <v>8760</v>
      </c>
      <c r="N3" s="195">
        <f>Производительность!L6</f>
        <v>8760</v>
      </c>
      <c r="O3" s="195">
        <f>Производительность!M6</f>
        <v>8760</v>
      </c>
      <c r="P3" s="195">
        <f>Производительность!N6</f>
        <v>8760</v>
      </c>
      <c r="Q3" s="195">
        <f>Производительность!O6</f>
        <v>8760</v>
      </c>
      <c r="R3" s="195">
        <f>Производительность!P6</f>
        <v>8760</v>
      </c>
      <c r="S3" s="195">
        <f>Производительность!Q6</f>
        <v>8760</v>
      </c>
      <c r="T3" s="195">
        <f>Производительность!R6</f>
        <v>8760</v>
      </c>
      <c r="U3" s="195">
        <f>Производительность!S6</f>
        <v>8760</v>
      </c>
      <c r="V3" s="195">
        <f>Производительность!T6</f>
        <v>8760</v>
      </c>
      <c r="W3" s="195">
        <f>Производительность!U6</f>
        <v>8760</v>
      </c>
      <c r="X3" s="195">
        <f>Производительность!V6</f>
        <v>8760</v>
      </c>
      <c r="Y3" s="195">
        <f>Производительность!W6</f>
        <v>8760</v>
      </c>
      <c r="Z3" s="195">
        <f>Производительность!X6</f>
        <v>8760</v>
      </c>
      <c r="AA3" s="174"/>
    </row>
    <row r="4" spans="1:29" ht="14.3" x14ac:dyDescent="0.25">
      <c r="A4" s="2" t="s">
        <v>34</v>
      </c>
      <c r="D4" s="3" t="s">
        <v>38</v>
      </c>
      <c r="AA4" s="175"/>
    </row>
    <row r="5" spans="1:29" x14ac:dyDescent="0.25">
      <c r="A5" s="2" t="s">
        <v>34</v>
      </c>
      <c r="AA5" s="175"/>
    </row>
    <row r="6" spans="1:29" ht="14.3" x14ac:dyDescent="0.25">
      <c r="A6" s="2" t="s">
        <v>34</v>
      </c>
      <c r="C6" s="54" t="e">
        <f>SUM(F66:Z66,F80:Z80,F101:Z101,AA48)</f>
        <v>#DIV/0!</v>
      </c>
      <c r="D6" s="673" t="str">
        <f>'Свод_250-270_диз'!F19</f>
        <v>HIFO 75D</v>
      </c>
      <c r="E6" s="55">
        <f>SUMIFS(Производительность!$Y$7:$Y$34,Производительность!$C$7:$C$34,$D6)</f>
        <v>10</v>
      </c>
      <c r="F6" s="56" t="str">
        <f>$F$2</f>
        <v>лет</v>
      </c>
      <c r="AA6" s="175"/>
    </row>
    <row r="7" spans="1:29" outlineLevel="1" x14ac:dyDescent="0.25">
      <c r="A7" s="2" t="s">
        <v>34</v>
      </c>
      <c r="AA7" s="175"/>
    </row>
    <row r="8" spans="1:29" outlineLevel="1" x14ac:dyDescent="0.25">
      <c r="A8" s="57" t="str">
        <f>D6</f>
        <v>HIFO 75D</v>
      </c>
      <c r="D8" s="58" t="str">
        <f>D$1</f>
        <v>Показатель</v>
      </c>
      <c r="E8" s="58" t="str">
        <f t="shared" ref="E8:Z8" si="2">E$1</f>
        <v>Ед. изм.</v>
      </c>
      <c r="F8" s="58">
        <f t="shared" si="2"/>
        <v>0</v>
      </c>
      <c r="G8" s="58">
        <f t="shared" si="2"/>
        <v>1</v>
      </c>
      <c r="H8" s="58">
        <f t="shared" si="2"/>
        <v>2</v>
      </c>
      <c r="I8" s="58">
        <f t="shared" si="2"/>
        <v>3</v>
      </c>
      <c r="J8" s="58">
        <f t="shared" si="2"/>
        <v>4</v>
      </c>
      <c r="K8" s="58">
        <f t="shared" si="2"/>
        <v>5</v>
      </c>
      <c r="L8" s="58">
        <f t="shared" si="2"/>
        <v>6</v>
      </c>
      <c r="M8" s="58">
        <f t="shared" si="2"/>
        <v>7</v>
      </c>
      <c r="N8" s="58">
        <f t="shared" si="2"/>
        <v>8</v>
      </c>
      <c r="O8" s="58">
        <f t="shared" si="2"/>
        <v>9</v>
      </c>
      <c r="P8" s="58">
        <f t="shared" si="2"/>
        <v>10</v>
      </c>
      <c r="Q8" s="58">
        <f t="shared" si="2"/>
        <v>11</v>
      </c>
      <c r="R8" s="58">
        <f t="shared" si="2"/>
        <v>12</v>
      </c>
      <c r="S8" s="58">
        <f t="shared" si="2"/>
        <v>13</v>
      </c>
      <c r="T8" s="58">
        <f t="shared" si="2"/>
        <v>14</v>
      </c>
      <c r="U8" s="58">
        <f t="shared" si="2"/>
        <v>15</v>
      </c>
      <c r="V8" s="58">
        <f t="shared" si="2"/>
        <v>16</v>
      </c>
      <c r="W8" s="58">
        <f t="shared" si="2"/>
        <v>17</v>
      </c>
      <c r="X8" s="58">
        <f t="shared" si="2"/>
        <v>18</v>
      </c>
      <c r="Y8" s="58">
        <f t="shared" si="2"/>
        <v>19</v>
      </c>
      <c r="Z8" s="58">
        <f t="shared" si="2"/>
        <v>20</v>
      </c>
      <c r="AA8" s="175"/>
    </row>
    <row r="9" spans="1:29" outlineLevel="1" x14ac:dyDescent="0.25">
      <c r="A9" s="36" t="str">
        <f>A8</f>
        <v>HIFO 75D</v>
      </c>
      <c r="B9" s="36"/>
      <c r="D9" s="59" t="s">
        <v>39</v>
      </c>
      <c r="E9" s="60" t="s">
        <v>40</v>
      </c>
      <c r="F9" s="61"/>
      <c r="G9" s="62">
        <f>SUMIFS(Производительность!E$7:E$34,Производительность!$C$7:$C$34,$A9)</f>
        <v>0.89322361745306944</v>
      </c>
      <c r="H9" s="62">
        <f>SUMIFS(Производительность!F$7:F$34,Производительность!$C$7:$C$34,$A9)</f>
        <v>0.8669947044647387</v>
      </c>
      <c r="I9" s="62">
        <f>SUMIFS(Производительность!G$7:G$34,Производительность!$C$7:$C$34,$A9)</f>
        <v>0.85358336504312537</v>
      </c>
      <c r="J9" s="62">
        <f>SUMIFS(Производительность!H$7:H$34,Производительность!$C$7:$C$34,$A9)</f>
        <v>0.86506357813292745</v>
      </c>
      <c r="K9" s="62">
        <f>SUMIFS(Производительность!I$7:I$34,Производительность!$C$7:$C$34,$A9)</f>
        <v>0.87024876331811263</v>
      </c>
      <c r="L9" s="62">
        <f>SUMIFS(Производительность!J$7:J$34,Производительность!$C$7:$C$34,$A9)</f>
        <v>0.84426956494165395</v>
      </c>
      <c r="M9" s="62">
        <f>SUMIFS(Производительность!K$7:K$34,Производительность!$C$7:$C$34,$A9)</f>
        <v>0.85844003678335867</v>
      </c>
      <c r="N9" s="62">
        <f>SUMIFS(Производительность!L$7:L$34,Производительность!$C$7:$C$34,$A9)</f>
        <v>0.87057949644850341</v>
      </c>
      <c r="O9" s="62">
        <f>SUMIFS(Производительность!M$7:M$34,Производительность!$C$7:$C$34,$A9)</f>
        <v>0.85290636098427197</v>
      </c>
      <c r="P9" s="62">
        <f>SUMIFS(Производительность!N$7:N$34,Производительность!$C$7:$C$34,$A9)</f>
        <v>0.85267773338406894</v>
      </c>
      <c r="Q9" s="62">
        <f>SUMIFS(Производительность!O$7:O$34,Производительность!$C$7:$C$34,$A9)</f>
        <v>0</v>
      </c>
      <c r="R9" s="62">
        <f>SUMIFS(Производительность!P$7:P$34,Производительность!$C$7:$C$34,$A9)</f>
        <v>0</v>
      </c>
      <c r="S9" s="62">
        <f>SUMIFS(Производительность!Q$7:Q$34,Производительность!$C$7:$C$34,$A9)</f>
        <v>0</v>
      </c>
      <c r="T9" s="62">
        <f>SUMIFS(Производительность!R$7:R$34,Производительность!$C$7:$C$34,$A9)</f>
        <v>0</v>
      </c>
      <c r="U9" s="62">
        <f>SUMIFS(Производительность!S$7:S$34,Производительность!$C$7:$C$34,$A9)</f>
        <v>0</v>
      </c>
      <c r="V9" s="62">
        <f>SUMIFS(Производительность!T$7:T$34,Производительность!$C$7:$C$34,$A9)</f>
        <v>0</v>
      </c>
      <c r="W9" s="62">
        <f>SUMIFS(Производительность!U$7:U$34,Производительность!$C$7:$C$34,$A9)</f>
        <v>0</v>
      </c>
      <c r="X9" s="62">
        <f>SUMIFS(Производительность!V$7:V$34,Производительность!$C$7:$C$34,$A9)</f>
        <v>0</v>
      </c>
      <c r="Y9" s="62">
        <f>SUMIFS(Производительность!W$7:W$34,Производительность!$C$7:$C$34,$A9)</f>
        <v>0</v>
      </c>
      <c r="Z9" s="62">
        <f>SUMIFS(Производительность!X$7:X$34,Производительность!$C$7:$C$34,$A9)</f>
        <v>0</v>
      </c>
      <c r="AA9" s="175"/>
    </row>
    <row r="10" spans="1:29" outlineLevel="1" x14ac:dyDescent="0.25">
      <c r="A10" s="36" t="str">
        <f t="shared" ref="A10:A73" si="3">A9</f>
        <v>HIFO 75D</v>
      </c>
      <c r="B10" s="36"/>
      <c r="D10" s="59" t="s">
        <v>41</v>
      </c>
      <c r="E10" s="60" t="str">
        <f>E9</f>
        <v>%</v>
      </c>
      <c r="F10" s="61"/>
      <c r="G10" s="62">
        <f>SUMIFS(Производительность!E$115:E$142,Производительность!$C$115:$C$142,$A10)</f>
        <v>0.72212072209251432</v>
      </c>
      <c r="H10" s="62">
        <f>SUMIFS(Производительность!F$115:F$142,Производительность!$C$115:$C$142,$A10)</f>
        <v>0.70091613097249694</v>
      </c>
      <c r="I10" s="62">
        <f>SUMIFS(Производительность!G$115:G$142,Производительность!$C$115:$C$142,$A10)</f>
        <v>0.69007382237459203</v>
      </c>
      <c r="J10" s="62">
        <f>SUMIFS(Производительность!H$115:H$142,Производительность!$C$115:$C$142,$A10)</f>
        <v>0.69935492466991878</v>
      </c>
      <c r="K10" s="62">
        <f>SUMIFS(Производительность!I$115:I$142,Производительность!$C$115:$C$142,$A10)</f>
        <v>0.7035468533168413</v>
      </c>
      <c r="L10" s="62">
        <f>SUMIFS(Производительность!J$115:J$142,Производительность!$C$115:$C$142,$A10)</f>
        <v>0.68254414232215743</v>
      </c>
      <c r="M10" s="62">
        <f>SUMIFS(Производительность!K$115:K$142,Производительность!$C$115:$C$142,$A10)</f>
        <v>0.69400016650107588</v>
      </c>
      <c r="N10" s="62">
        <f>SUMIFS(Производительность!L$115:L$142,Производительность!$C$115:$C$142,$A10)</f>
        <v>0.70381423232728302</v>
      </c>
      <c r="O10" s="62">
        <f>SUMIFS(Производительность!M$115:M$142,Производительность!$C$115:$C$142,$A10)</f>
        <v>0.68952650292368811</v>
      </c>
      <c r="P10" s="62">
        <f>SUMIFS(Производительность!N$115:N$142,Производительность!$C$115:$C$142,$A10)</f>
        <v>0.68934167045338279</v>
      </c>
      <c r="Q10" s="62">
        <f>SUMIFS(Производительность!O$115:O$142,Производительность!$C$115:$C$142,$A10)</f>
        <v>0</v>
      </c>
      <c r="R10" s="62">
        <f>SUMIFS(Производительность!P$115:P$142,Производительность!$C$115:$C$142,$A10)</f>
        <v>0</v>
      </c>
      <c r="S10" s="62">
        <f>SUMIFS(Производительность!Q$115:Q$142,Производительность!$C$115:$C$142,$A10)</f>
        <v>0</v>
      </c>
      <c r="T10" s="62">
        <f>SUMIFS(Производительность!R$115:R$142,Производительность!$C$115:$C$142,$A10)</f>
        <v>0</v>
      </c>
      <c r="U10" s="62">
        <f>SUMIFS(Производительность!S$115:S$142,Производительность!$C$115:$C$142,$A10)</f>
        <v>0</v>
      </c>
      <c r="V10" s="62">
        <f>SUMIFS(Производительность!T$115:T$142,Производительность!$C$115:$C$142,$A10)</f>
        <v>0</v>
      </c>
      <c r="W10" s="62">
        <f>SUMIFS(Производительность!U$115:U$142,Производительность!$C$115:$C$142,$A10)</f>
        <v>0</v>
      </c>
      <c r="X10" s="62">
        <f>SUMIFS(Производительность!V$115:V$142,Производительность!$C$115:$C$142,$A10)</f>
        <v>0</v>
      </c>
      <c r="Y10" s="62">
        <f>SUMIFS(Производительность!W$115:W$142,Производительность!$C$115:$C$142,$A10)</f>
        <v>0</v>
      </c>
      <c r="Z10" s="62">
        <f>SUMIFS(Производительность!X$115:X$142,Производительность!$C$115:$C$142,$A10)</f>
        <v>0</v>
      </c>
      <c r="AA10" s="175"/>
    </row>
    <row r="11" spans="1:29" outlineLevel="1" x14ac:dyDescent="0.25">
      <c r="A11" s="36" t="str">
        <f t="shared" si="3"/>
        <v>HIFO 75D</v>
      </c>
      <c r="B11" s="36"/>
      <c r="D11" s="63" t="s">
        <v>177</v>
      </c>
      <c r="E11" s="64" t="s">
        <v>171</v>
      </c>
      <c r="F11" s="65"/>
      <c r="G11" s="65">
        <f>SUMIFS(Производительность!E$196:E$223,Производительность!$C$196:$C$223,$A11)</f>
        <v>103.17833954484</v>
      </c>
      <c r="H11" s="65">
        <f>SUMIFS(Производительность!F$196:F$223,Производительность!$C$196:$C$223,$A11)</f>
        <v>100.14857674264424</v>
      </c>
      <c r="I11" s="65">
        <f>SUMIFS(Производительность!G$196:G$223,Производительность!$C$196:$C$223,$A11)</f>
        <v>98.599401703430701</v>
      </c>
      <c r="J11" s="65">
        <f>SUMIFS(Производительность!H$196:H$223,Производительность!$C$196:$C$223,$A11)</f>
        <v>99.925507844247036</v>
      </c>
      <c r="K11" s="65">
        <f>SUMIFS(Производительность!I$196:I$223,Производительность!$C$196:$C$223,$A11)</f>
        <v>100.52446065649511</v>
      </c>
      <c r="L11" s="65">
        <f>SUMIFS(Производительность!J$196:J$223,Производительность!$C$196:$C$223,$A11)</f>
        <v>97.523542970471411</v>
      </c>
      <c r="M11" s="65">
        <f>SUMIFS(Производительность!K$196:K$223,Производительность!$C$196:$C$223,$A11)</f>
        <v>99.160407162847974</v>
      </c>
      <c r="N11" s="65">
        <f>SUMIFS(Производительность!L$196:L$223,Производительность!$C$196:$C$223,$A11)</f>
        <v>100.56266441035855</v>
      </c>
      <c r="O11" s="65">
        <f>SUMIFS(Производительность!M$196:M$223,Производительность!$C$196:$C$223,$A11)</f>
        <v>98.521199388475367</v>
      </c>
      <c r="P11" s="65">
        <f>SUMIFS(Производительность!N$196:N$223,Производительность!$C$196:$C$223,$A11)</f>
        <v>98.494790082113383</v>
      </c>
      <c r="Q11" s="65">
        <f>SUMIFS(Производительность!O$196:O$223,Производительность!$C$196:$C$223,$A11)</f>
        <v>0</v>
      </c>
      <c r="R11" s="65">
        <f>SUMIFS(Производительность!P$196:P$223,Производительность!$C$196:$C$223,$A11)</f>
        <v>0</v>
      </c>
      <c r="S11" s="65">
        <f>SUMIFS(Производительность!Q$196:Q$223,Производительность!$C$196:$C$223,$A11)</f>
        <v>0</v>
      </c>
      <c r="T11" s="65">
        <f>SUMIFS(Производительность!R$196:R$223,Производительность!$C$196:$C$223,$A11)</f>
        <v>0</v>
      </c>
      <c r="U11" s="65">
        <f>SUMIFS(Производительность!S$196:S$223,Производительность!$C$196:$C$223,$A11)</f>
        <v>0</v>
      </c>
      <c r="V11" s="65">
        <f>SUMIFS(Производительность!T$196:T$223,Производительность!$C$196:$C$223,$A11)</f>
        <v>0</v>
      </c>
      <c r="W11" s="65">
        <f>SUMIFS(Производительность!U$196:U$223,Производительность!$C$196:$C$223,$A11)</f>
        <v>0</v>
      </c>
      <c r="X11" s="65">
        <f>SUMIFS(Производительность!V$196:V$223,Производительность!$C$196:$C$223,$A11)</f>
        <v>0</v>
      </c>
      <c r="Y11" s="65">
        <f>SUMIFS(Производительность!W$196:W$223,Производительность!$C$196:$C$223,$A11)</f>
        <v>0</v>
      </c>
      <c r="Z11" s="65">
        <f>SUMIFS(Производительность!X$196:X$223,Производительность!$C$196:$C$223,$A11)</f>
        <v>0</v>
      </c>
      <c r="AA11" s="175"/>
    </row>
    <row r="12" spans="1:29" outlineLevel="1" x14ac:dyDescent="0.25">
      <c r="A12" s="36" t="str">
        <f t="shared" si="3"/>
        <v>HIFO 75D</v>
      </c>
      <c r="B12" s="36"/>
      <c r="D12" s="63" t="s">
        <v>178</v>
      </c>
      <c r="E12" s="64" t="s">
        <v>175</v>
      </c>
      <c r="F12" s="65"/>
      <c r="G12" s="65">
        <f>SUMIFS(Производительность!E$250:E$277,Производительность!$C$250:$C$277,$A12)</f>
        <v>5103.7423697145732</v>
      </c>
      <c r="H12" s="65">
        <f>SUMIFS(Производительность!F$250:F$277,Производительность!$C$250:$C$277,$A12)</f>
        <v>4863.48539505587</v>
      </c>
      <c r="I12" s="65">
        <f>SUMIFS(Производительность!G$250:G$277,Производительность!$C$250:$C$277,$A12)</f>
        <v>4506.8915267037746</v>
      </c>
      <c r="J12" s="65">
        <f>SUMIFS(Производительность!H$250:H$277,Производительность!$C$250:$C$277,$A12)</f>
        <v>4873.1426584679139</v>
      </c>
      <c r="K12" s="65">
        <f>SUMIFS(Производительность!I$250:I$277,Производительность!$C$250:$C$277,$A12)</f>
        <v>4960.8764680156337</v>
      </c>
      <c r="L12" s="65">
        <f>SUMIFS(Производительность!J$250:J$277,Производительность!$C$250:$C$277,$A12)</f>
        <v>4351.3171194191755</v>
      </c>
      <c r="M12" s="65">
        <f>SUMIFS(Производительность!K$250:K$277,Производительность!$C$250:$C$277,$A12)</f>
        <v>4474.4237370822793</v>
      </c>
      <c r="N12" s="65">
        <f>SUMIFS(Производительность!L$250:L$277,Производительность!$C$250:$C$277,$A12)</f>
        <v>5046.250250112198</v>
      </c>
      <c r="O12" s="65">
        <f>SUMIFS(Производительность!M$250:M$277,Производительность!$C$250:$C$277,$A12)</f>
        <v>4589.894223281749</v>
      </c>
      <c r="P12" s="65">
        <f>SUMIFS(Производительность!N$250:N$277,Производительность!$C$250:$C$277,$A12)</f>
        <v>4475.8963306750757</v>
      </c>
      <c r="Q12" s="65">
        <f>SUMIFS(Производительность!O$250:O$277,Производительность!$C$250:$C$277,$A12)</f>
        <v>0</v>
      </c>
      <c r="R12" s="65">
        <f>SUMIFS(Производительность!P$250:P$277,Производительность!$C$250:$C$277,$A12)</f>
        <v>0</v>
      </c>
      <c r="S12" s="65">
        <f>SUMIFS(Производительность!Q$250:Q$277,Производительность!$C$250:$C$277,$A12)</f>
        <v>0</v>
      </c>
      <c r="T12" s="65">
        <f>SUMIFS(Производительность!R$250:R$277,Производительность!$C$250:$C$277,$A12)</f>
        <v>0</v>
      </c>
      <c r="U12" s="65">
        <f>SUMIFS(Производительность!S$250:S$277,Производительность!$C$250:$C$277,$A12)</f>
        <v>0</v>
      </c>
      <c r="V12" s="65">
        <f>SUMIFS(Производительность!T$250:T$277,Производительность!$C$250:$C$277,$A12)</f>
        <v>0</v>
      </c>
      <c r="W12" s="65">
        <f>SUMIFS(Производительность!U$250:U$277,Производительность!$C$250:$C$277,$A12)</f>
        <v>0</v>
      </c>
      <c r="X12" s="65">
        <f>SUMIFS(Производительность!V$250:V$277,Производительность!$C$250:$C$277,$A12)</f>
        <v>0</v>
      </c>
      <c r="Y12" s="65">
        <f>SUMIFS(Производительность!W$250:W$277,Производительность!$C$250:$C$277,$A12)</f>
        <v>0</v>
      </c>
      <c r="Z12" s="65">
        <f>SUMIFS(Производительность!X$250:X$277,Производительность!$C$250:$C$277,$A12)</f>
        <v>0</v>
      </c>
      <c r="AA12" s="175"/>
    </row>
    <row r="13" spans="1:29" outlineLevel="1" x14ac:dyDescent="0.25">
      <c r="A13" s="36" t="str">
        <f t="shared" si="3"/>
        <v>HIFO 75D</v>
      </c>
      <c r="B13" s="36"/>
      <c r="D13" s="179" t="s">
        <v>179</v>
      </c>
      <c r="E13" s="60" t="str">
        <f>E12</f>
        <v>тыс. м3</v>
      </c>
      <c r="F13" s="61"/>
      <c r="G13" s="320">
        <f>G12</f>
        <v>5103.7423697145732</v>
      </c>
      <c r="H13" s="61">
        <f>IF(H12=0,0,G13+H12)</f>
        <v>9967.2277647704432</v>
      </c>
      <c r="I13" s="61">
        <f t="shared" ref="I13:Z13" si="4">IF(I12=0,0,H13+I12)</f>
        <v>14474.119291474217</v>
      </c>
      <c r="J13" s="61">
        <f t="shared" si="4"/>
        <v>19347.261949942131</v>
      </c>
      <c r="K13" s="61">
        <f t="shared" si="4"/>
        <v>24308.138417957765</v>
      </c>
      <c r="L13" s="61">
        <f t="shared" si="4"/>
        <v>28659.45553737694</v>
      </c>
      <c r="M13" s="61">
        <f t="shared" si="4"/>
        <v>33133.879274459221</v>
      </c>
      <c r="N13" s="61">
        <f t="shared" si="4"/>
        <v>38180.129524571421</v>
      </c>
      <c r="O13" s="61">
        <f t="shared" si="4"/>
        <v>42770.023747853171</v>
      </c>
      <c r="P13" s="61">
        <f t="shared" si="4"/>
        <v>47245.920078528245</v>
      </c>
      <c r="Q13" s="61">
        <f t="shared" si="4"/>
        <v>0</v>
      </c>
      <c r="R13" s="61">
        <f t="shared" si="4"/>
        <v>0</v>
      </c>
      <c r="S13" s="61">
        <f t="shared" si="4"/>
        <v>0</v>
      </c>
      <c r="T13" s="61">
        <f t="shared" si="4"/>
        <v>0</v>
      </c>
      <c r="U13" s="61">
        <f t="shared" si="4"/>
        <v>0</v>
      </c>
      <c r="V13" s="61">
        <f t="shared" si="4"/>
        <v>0</v>
      </c>
      <c r="W13" s="61">
        <f t="shared" si="4"/>
        <v>0</v>
      </c>
      <c r="X13" s="61">
        <f t="shared" si="4"/>
        <v>0</v>
      </c>
      <c r="Y13" s="61">
        <f t="shared" si="4"/>
        <v>0</v>
      </c>
      <c r="Z13" s="61">
        <f t="shared" si="4"/>
        <v>0</v>
      </c>
      <c r="AA13" s="175"/>
    </row>
    <row r="14" spans="1:29" outlineLevel="1" x14ac:dyDescent="0.25">
      <c r="A14" s="36" t="str">
        <f t="shared" si="3"/>
        <v>HIFO 75D</v>
      </c>
      <c r="B14" s="36"/>
      <c r="D14" s="30"/>
      <c r="E14" s="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175"/>
    </row>
    <row r="15" spans="1:29" outlineLevel="1" x14ac:dyDescent="0.25">
      <c r="A15" s="36" t="str">
        <f t="shared" si="3"/>
        <v>HIFO 75D</v>
      </c>
      <c r="B15" s="36"/>
      <c r="D15" s="66" t="s">
        <v>42</v>
      </c>
      <c r="E15" s="67" t="s">
        <v>21</v>
      </c>
      <c r="F15" s="68">
        <f>F49+F50-F48</f>
        <v>0</v>
      </c>
      <c r="G15" s="68">
        <f t="shared" ref="G15:Z15" si="5">G49+G50-G48</f>
        <v>43231.296905419309</v>
      </c>
      <c r="H15" s="68">
        <f t="shared" si="5"/>
        <v>60466.292924997877</v>
      </c>
      <c r="I15" s="68">
        <f t="shared" si="5"/>
        <v>81883.567536285656</v>
      </c>
      <c r="J15" s="68">
        <f t="shared" si="5"/>
        <v>73213.857024744473</v>
      </c>
      <c r="K15" s="68">
        <f t="shared" si="5"/>
        <v>85328.552828337459</v>
      </c>
      <c r="L15" s="68">
        <f t="shared" si="5"/>
        <v>70939.22232581304</v>
      </c>
      <c r="M15" s="68">
        <f t="shared" si="5"/>
        <v>75775.388210900055</v>
      </c>
      <c r="N15" s="68">
        <f t="shared" si="5"/>
        <v>75933.81046837254</v>
      </c>
      <c r="O15" s="68">
        <f t="shared" si="5"/>
        <v>94128.588646961653</v>
      </c>
      <c r="P15" s="68">
        <f t="shared" si="5"/>
        <v>53259.246993996741</v>
      </c>
      <c r="Q15" s="68">
        <f t="shared" si="5"/>
        <v>0</v>
      </c>
      <c r="R15" s="68">
        <f t="shared" si="5"/>
        <v>0</v>
      </c>
      <c r="S15" s="68">
        <f t="shared" si="5"/>
        <v>0</v>
      </c>
      <c r="T15" s="68">
        <f t="shared" si="5"/>
        <v>0</v>
      </c>
      <c r="U15" s="68">
        <f t="shared" si="5"/>
        <v>0</v>
      </c>
      <c r="V15" s="68">
        <f t="shared" si="5"/>
        <v>0</v>
      </c>
      <c r="W15" s="68">
        <f t="shared" si="5"/>
        <v>0</v>
      </c>
      <c r="X15" s="68">
        <f t="shared" si="5"/>
        <v>0</v>
      </c>
      <c r="Y15" s="68">
        <f t="shared" si="5"/>
        <v>0</v>
      </c>
      <c r="Z15" s="68">
        <f t="shared" si="5"/>
        <v>0</v>
      </c>
      <c r="AA15" s="175"/>
    </row>
    <row r="16" spans="1:29" outlineLevel="1" x14ac:dyDescent="0.25">
      <c r="A16" s="36" t="str">
        <f t="shared" si="3"/>
        <v>HIFO 75D</v>
      </c>
      <c r="B16" s="36"/>
      <c r="D16" s="686" t="s">
        <v>43</v>
      </c>
      <c r="E16" s="64" t="str">
        <f>E15</f>
        <v>тыс. руб.</v>
      </c>
      <c r="F16" s="70"/>
      <c r="G16" s="677">
        <f>(G17+G18+G19)*'ФОТ, МТР, макро'!AJ$8</f>
        <v>11524.785325501436</v>
      </c>
      <c r="H16" s="677">
        <f>(H17+H18+H19)*'ФОТ, МТР, макро'!AK$8</f>
        <v>35397.298441876839</v>
      </c>
      <c r="I16" s="677">
        <f>(I17+I18+I19)*'ФОТ, МТР, макро'!AL$8</f>
        <v>64410.026145324671</v>
      </c>
      <c r="J16" s="677">
        <f>(J17+J18+J19)*'ФОТ, МТР, макро'!AM$8</f>
        <v>52459.763013287687</v>
      </c>
      <c r="K16" s="677">
        <f>(K17+K18+K19)*'ФОТ, МТР, макро'!AN$8</f>
        <v>68436.249077689426</v>
      </c>
      <c r="L16" s="677">
        <f>(L17+L18+L19)*'ФОТ, МТР, макро'!AO$8</f>
        <v>50134.496199856541</v>
      </c>
      <c r="M16" s="677">
        <f>(M17+M18+M19)*'ФОТ, МТР, макро'!AP$8</f>
        <v>56100.524038772746</v>
      </c>
      <c r="N16" s="677">
        <f>(N17+N18+N19)*'ФОТ, МТР, макро'!AQ$8</f>
        <v>55898.671731846647</v>
      </c>
      <c r="O16" s="677">
        <f>(O17+O18+O19)*'ФОТ, МТР, макро'!AR$8</f>
        <v>80759.758078773899</v>
      </c>
      <c r="P16" s="677">
        <f>(P17+P18+P19)*'ФОТ, МТР, макро'!AS$8</f>
        <v>26275.082289943435</v>
      </c>
      <c r="Q16" s="677"/>
      <c r="R16" s="677"/>
      <c r="S16" s="677"/>
      <c r="T16" s="677"/>
      <c r="U16" s="677"/>
      <c r="V16" s="677"/>
      <c r="W16" s="677"/>
      <c r="X16" s="677"/>
      <c r="Y16" s="677"/>
      <c r="Z16" s="677"/>
      <c r="AA16" s="175"/>
      <c r="AB16" s="679">
        <f>SUM(F16:Z16,F21:Z21)/E6</f>
        <v>50139.66543428733</v>
      </c>
    </row>
    <row r="17" spans="1:27" outlineLevel="1" x14ac:dyDescent="0.25">
      <c r="A17" s="36" t="str">
        <f t="shared" si="3"/>
        <v>HIFO 75D</v>
      </c>
      <c r="B17" s="36"/>
      <c r="D17" s="674" t="s">
        <v>44</v>
      </c>
      <c r="E17" s="675" t="s">
        <v>182</v>
      </c>
      <c r="F17" s="29"/>
      <c r="G17" s="676">
        <f>'HIFO 75D'!E22</f>
        <v>74.955219516562664</v>
      </c>
      <c r="H17" s="676">
        <f>'HIFO 75D'!F22</f>
        <v>78.685548969275089</v>
      </c>
      <c r="I17" s="676">
        <f>'HIFO 75D'!G22</f>
        <v>101.76629511785887</v>
      </c>
      <c r="J17" s="676">
        <f>'HIFO 75D'!H22</f>
        <v>78.685548969275089</v>
      </c>
      <c r="K17" s="676">
        <f>'HIFO 75D'!I22</f>
        <v>100.97286806072972</v>
      </c>
      <c r="L17" s="676">
        <f>'HIFO 75D'!J22</f>
        <v>79.478976026404212</v>
      </c>
      <c r="M17" s="676">
        <f>'HIFO 75D'!K22</f>
        <v>74.955219516562664</v>
      </c>
      <c r="N17" s="676">
        <f>'HIFO 75D'!L22</f>
        <v>104.70319751344215</v>
      </c>
      <c r="O17" s="676">
        <f>'HIFO 75D'!M22</f>
        <v>75.748646573691801</v>
      </c>
      <c r="P17" s="676">
        <f>'HIFO 75D'!N22</f>
        <v>104.70319751344215</v>
      </c>
      <c r="Q17" s="676"/>
      <c r="R17" s="676"/>
      <c r="S17" s="676"/>
      <c r="T17" s="676"/>
      <c r="U17" s="676"/>
      <c r="V17" s="676"/>
      <c r="W17" s="676"/>
      <c r="X17" s="676"/>
      <c r="Y17" s="676"/>
      <c r="Z17" s="676"/>
      <c r="AA17" s="175"/>
    </row>
    <row r="18" spans="1:27" outlineLevel="1" x14ac:dyDescent="0.25">
      <c r="A18" s="36" t="str">
        <f t="shared" si="3"/>
        <v>HIFO 75D</v>
      </c>
      <c r="B18" s="36"/>
      <c r="D18" s="674" t="s">
        <v>45</v>
      </c>
      <c r="E18" s="675" t="s">
        <v>182</v>
      </c>
      <c r="F18" s="29"/>
      <c r="G18" s="676">
        <f>'HIFO 75D'!E23+'HIFO 75D'!E24</f>
        <v>11.889202083999999</v>
      </c>
      <c r="H18" s="676">
        <f>'HIFO 75D'!F23+'HIFO 75D'!F24</f>
        <v>259.72699592400005</v>
      </c>
      <c r="I18" s="676">
        <f>'HIFO 75D'!G23+'HIFO 75D'!G24</f>
        <v>552.01401400600002</v>
      </c>
      <c r="J18" s="676">
        <f>'HIFO 75D'!H23+'HIFO 75D'!H24</f>
        <v>448.30258490799997</v>
      </c>
      <c r="K18" s="676">
        <f>'HIFO 75D'!I23+'HIFO 75D'!I24</f>
        <v>606.23657216200013</v>
      </c>
      <c r="L18" s="676">
        <f>'HIFO 75D'!J23+'HIFO 75D'!J24</f>
        <v>410.82589286400002</v>
      </c>
      <c r="M18" s="676">
        <f>'HIFO 75D'!K23+'HIFO 75D'!K24</f>
        <v>489.030717536</v>
      </c>
      <c r="N18" s="676">
        <f>'HIFO 75D'!L23+'HIFO 75D'!L24</f>
        <v>463.372351036</v>
      </c>
      <c r="O18" s="676">
        <f>'HIFO 75D'!M23+'HIFO 75D'!M24</f>
        <v>759.34219901799997</v>
      </c>
      <c r="P18" s="676">
        <f>'HIFO 75D'!N23+'HIFO 75D'!N24</f>
        <v>124.88310047600001</v>
      </c>
      <c r="Q18" s="676"/>
      <c r="R18" s="676"/>
      <c r="S18" s="676"/>
      <c r="T18" s="676"/>
      <c r="U18" s="676"/>
      <c r="V18" s="676"/>
      <c r="W18" s="676"/>
      <c r="X18" s="676"/>
      <c r="Y18" s="676"/>
      <c r="Z18" s="676"/>
      <c r="AA18" s="175"/>
    </row>
    <row r="19" spans="1:27" outlineLevel="1" x14ac:dyDescent="0.25">
      <c r="A19" s="36" t="str">
        <f t="shared" si="3"/>
        <v>HIFO 75D</v>
      </c>
      <c r="B19" s="36"/>
      <c r="D19" s="674" t="s">
        <v>46</v>
      </c>
      <c r="E19" s="675" t="s">
        <v>182</v>
      </c>
      <c r="F19" s="29"/>
      <c r="G19" s="676">
        <f>'HIFO 75D'!E25+'HIFO 75D'!E26</f>
        <v>41.208748682786613</v>
      </c>
      <c r="H19" s="676">
        <f>'HIFO 75D'!F25+'HIFO 75D'!F26</f>
        <v>54.890771127578631</v>
      </c>
      <c r="I19" s="676">
        <f>'HIFO 75D'!G25+'HIFO 75D'!G26</f>
        <v>61.886648046415289</v>
      </c>
      <c r="J19" s="676">
        <f>'HIFO 75D'!H25+'HIFO 75D'!H26</f>
        <v>55.89812182592155</v>
      </c>
      <c r="K19" s="676">
        <f>'HIFO 75D'!I25+'HIFO 75D'!I26</f>
        <v>53.193327307152529</v>
      </c>
      <c r="L19" s="676">
        <f>'HIFO 75D'!J25+'HIFO 75D'!J26</f>
        <v>66.745088885779509</v>
      </c>
      <c r="M19" s="676">
        <f>'HIFO 75D'!K25+'HIFO 75D'!K26</f>
        <v>59.353218933801159</v>
      </c>
      <c r="N19" s="676">
        <f>'HIFO 75D'!L25+'HIFO 75D'!L26</f>
        <v>53.020804026631723</v>
      </c>
      <c r="O19" s="676">
        <f>'HIFO 75D'!M25+'HIFO 75D'!M26</f>
        <v>62.239799728018269</v>
      </c>
      <c r="P19" s="676">
        <f>'HIFO 75D'!N25+'HIFO 75D'!N26</f>
        <v>62.359060787707136</v>
      </c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175"/>
    </row>
    <row r="20" spans="1:27" outlineLevel="1" x14ac:dyDescent="0.25">
      <c r="A20" s="36" t="str">
        <f t="shared" si="3"/>
        <v>HIFO 75D</v>
      </c>
      <c r="B20" s="36"/>
      <c r="D20" s="76" t="s">
        <v>47</v>
      </c>
      <c r="E20" s="77"/>
      <c r="F20" s="78"/>
      <c r="G20" s="79" t="e">
        <f t="shared" ref="G20:Z20" si="6">G16/$F53</f>
        <v>#DIV/0!</v>
      </c>
      <c r="H20" s="79" t="e">
        <f t="shared" si="6"/>
        <v>#DIV/0!</v>
      </c>
      <c r="I20" s="79" t="e">
        <f t="shared" si="6"/>
        <v>#DIV/0!</v>
      </c>
      <c r="J20" s="79" t="e">
        <f t="shared" si="6"/>
        <v>#DIV/0!</v>
      </c>
      <c r="K20" s="79" t="e">
        <f t="shared" si="6"/>
        <v>#DIV/0!</v>
      </c>
      <c r="L20" s="79" t="e">
        <f t="shared" si="6"/>
        <v>#DIV/0!</v>
      </c>
      <c r="M20" s="79" t="e">
        <f t="shared" si="6"/>
        <v>#DIV/0!</v>
      </c>
      <c r="N20" s="79" t="e">
        <f t="shared" si="6"/>
        <v>#DIV/0!</v>
      </c>
      <c r="O20" s="79" t="e">
        <f t="shared" si="6"/>
        <v>#DIV/0!</v>
      </c>
      <c r="P20" s="79" t="e">
        <f t="shared" si="6"/>
        <v>#DIV/0!</v>
      </c>
      <c r="Q20" s="79" t="e">
        <f t="shared" si="6"/>
        <v>#DIV/0!</v>
      </c>
      <c r="R20" s="79" t="e">
        <f t="shared" si="6"/>
        <v>#DIV/0!</v>
      </c>
      <c r="S20" s="79" t="e">
        <f t="shared" si="6"/>
        <v>#DIV/0!</v>
      </c>
      <c r="T20" s="79" t="e">
        <f t="shared" si="6"/>
        <v>#DIV/0!</v>
      </c>
      <c r="U20" s="79" t="e">
        <f t="shared" si="6"/>
        <v>#DIV/0!</v>
      </c>
      <c r="V20" s="79" t="e">
        <f t="shared" si="6"/>
        <v>#DIV/0!</v>
      </c>
      <c r="W20" s="79" t="e">
        <f t="shared" si="6"/>
        <v>#DIV/0!</v>
      </c>
      <c r="X20" s="79" t="e">
        <f t="shared" si="6"/>
        <v>#DIV/0!</v>
      </c>
      <c r="Y20" s="79" t="e">
        <f t="shared" si="6"/>
        <v>#DIV/0!</v>
      </c>
      <c r="Z20" s="79" t="e">
        <f t="shared" si="6"/>
        <v>#DIV/0!</v>
      </c>
      <c r="AA20" s="182" t="e">
        <f>SUM(F16:Z16)/$F53</f>
        <v>#DIV/0!</v>
      </c>
    </row>
    <row r="21" spans="1:27" outlineLevel="1" x14ac:dyDescent="0.25">
      <c r="A21" s="36" t="str">
        <f t="shared" si="3"/>
        <v>HIFO 75D</v>
      </c>
      <c r="B21" s="36"/>
      <c r="D21" s="183" t="s">
        <v>54</v>
      </c>
      <c r="E21" s="64" t="str">
        <f>E15</f>
        <v>тыс. руб.</v>
      </c>
      <c r="F21" s="2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175"/>
    </row>
    <row r="22" spans="1:27" outlineLevel="1" x14ac:dyDescent="0.25">
      <c r="A22" s="36" t="str">
        <f t="shared" si="3"/>
        <v>HIFO 75D</v>
      </c>
      <c r="B22" s="36"/>
      <c r="D22" s="63"/>
      <c r="E22" s="64"/>
      <c r="F22" s="2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175"/>
    </row>
    <row r="23" spans="1:27" outlineLevel="1" x14ac:dyDescent="0.25">
      <c r="A23" s="36" t="str">
        <f t="shared" si="3"/>
        <v>HIFO 75D</v>
      </c>
      <c r="B23" s="36"/>
      <c r="D23" s="183" t="s">
        <v>183</v>
      </c>
      <c r="E23" s="64" t="str">
        <f>E15</f>
        <v>тыс. руб.</v>
      </c>
      <c r="F23" s="70"/>
      <c r="G23" s="80">
        <f>G25*G26</f>
        <v>0</v>
      </c>
      <c r="H23" s="80">
        <f t="shared" ref="H23:Z23" si="7">H25*H26</f>
        <v>0</v>
      </c>
      <c r="I23" s="80">
        <f t="shared" si="7"/>
        <v>0</v>
      </c>
      <c r="J23" s="80">
        <f t="shared" si="7"/>
        <v>0</v>
      </c>
      <c r="K23" s="80">
        <f t="shared" si="7"/>
        <v>0</v>
      </c>
      <c r="L23" s="80">
        <f t="shared" si="7"/>
        <v>0</v>
      </c>
      <c r="M23" s="80">
        <f t="shared" si="7"/>
        <v>0</v>
      </c>
      <c r="N23" s="80">
        <f t="shared" si="7"/>
        <v>0</v>
      </c>
      <c r="O23" s="80">
        <f t="shared" si="7"/>
        <v>0</v>
      </c>
      <c r="P23" s="80">
        <f t="shared" si="7"/>
        <v>0</v>
      </c>
      <c r="Q23" s="80">
        <f t="shared" si="7"/>
        <v>0</v>
      </c>
      <c r="R23" s="80">
        <f t="shared" si="7"/>
        <v>0</v>
      </c>
      <c r="S23" s="80">
        <f t="shared" si="7"/>
        <v>0</v>
      </c>
      <c r="T23" s="80">
        <f t="shared" si="7"/>
        <v>0</v>
      </c>
      <c r="U23" s="80">
        <f t="shared" si="7"/>
        <v>0</v>
      </c>
      <c r="V23" s="80">
        <f t="shared" si="7"/>
        <v>0</v>
      </c>
      <c r="W23" s="80">
        <f t="shared" si="7"/>
        <v>0</v>
      </c>
      <c r="X23" s="80">
        <f t="shared" si="7"/>
        <v>0</v>
      </c>
      <c r="Y23" s="80">
        <f t="shared" si="7"/>
        <v>0</v>
      </c>
      <c r="Z23" s="80">
        <f t="shared" si="7"/>
        <v>0</v>
      </c>
      <c r="AA23" s="175"/>
    </row>
    <row r="24" spans="1:27" outlineLevel="1" x14ac:dyDescent="0.25">
      <c r="A24" s="36" t="str">
        <f t="shared" si="3"/>
        <v>HIFO 75D</v>
      </c>
      <c r="B24" s="36"/>
      <c r="D24" s="187" t="s">
        <v>48</v>
      </c>
      <c r="E24" s="9" t="s">
        <v>185</v>
      </c>
      <c r="F24" s="81">
        <f>SUMIFS('ФОТ, МТР, макро'!$B$4:$B$31,'ФОТ, МТР, макро'!$A$4:$A$31,$A24)</f>
        <v>0</v>
      </c>
      <c r="G24" s="82">
        <f>F24</f>
        <v>0</v>
      </c>
      <c r="H24" s="82">
        <f t="shared" ref="H24:Z24" si="8">G24</f>
        <v>0</v>
      </c>
      <c r="I24" s="82">
        <f t="shared" si="8"/>
        <v>0</v>
      </c>
      <c r="J24" s="82">
        <f t="shared" si="8"/>
        <v>0</v>
      </c>
      <c r="K24" s="82">
        <f t="shared" si="8"/>
        <v>0</v>
      </c>
      <c r="L24" s="82">
        <f t="shared" si="8"/>
        <v>0</v>
      </c>
      <c r="M24" s="82">
        <f t="shared" si="8"/>
        <v>0</v>
      </c>
      <c r="N24" s="82">
        <f t="shared" si="8"/>
        <v>0</v>
      </c>
      <c r="O24" s="82">
        <f t="shared" si="8"/>
        <v>0</v>
      </c>
      <c r="P24" s="82">
        <f t="shared" si="8"/>
        <v>0</v>
      </c>
      <c r="Q24" s="82">
        <f t="shared" si="8"/>
        <v>0</v>
      </c>
      <c r="R24" s="82">
        <f t="shared" si="8"/>
        <v>0</v>
      </c>
      <c r="S24" s="82">
        <f t="shared" si="8"/>
        <v>0</v>
      </c>
      <c r="T24" s="82">
        <f t="shared" si="8"/>
        <v>0</v>
      </c>
      <c r="U24" s="82">
        <f t="shared" si="8"/>
        <v>0</v>
      </c>
      <c r="V24" s="82">
        <f t="shared" si="8"/>
        <v>0</v>
      </c>
      <c r="W24" s="82">
        <f t="shared" si="8"/>
        <v>0</v>
      </c>
      <c r="X24" s="82">
        <f t="shared" si="8"/>
        <v>0</v>
      </c>
      <c r="Y24" s="82">
        <f t="shared" si="8"/>
        <v>0</v>
      </c>
      <c r="Z24" s="82">
        <f t="shared" si="8"/>
        <v>0</v>
      </c>
      <c r="AA24" s="175"/>
    </row>
    <row r="25" spans="1:27" outlineLevel="1" x14ac:dyDescent="0.25">
      <c r="A25" s="36" t="str">
        <f t="shared" si="3"/>
        <v>HIFO 75D</v>
      </c>
      <c r="B25" s="36"/>
      <c r="D25" s="187" t="s">
        <v>49</v>
      </c>
      <c r="E25" s="9" t="s">
        <v>50</v>
      </c>
      <c r="F25" s="70"/>
      <c r="G25" s="74">
        <f>G11*G24</f>
        <v>0</v>
      </c>
      <c r="H25" s="74">
        <f t="shared" ref="H25:Z25" si="9">H11*H24</f>
        <v>0</v>
      </c>
      <c r="I25" s="74">
        <f t="shared" si="9"/>
        <v>0</v>
      </c>
      <c r="J25" s="74">
        <f t="shared" si="9"/>
        <v>0</v>
      </c>
      <c r="K25" s="74">
        <f t="shared" si="9"/>
        <v>0</v>
      </c>
      <c r="L25" s="74">
        <f t="shared" si="9"/>
        <v>0</v>
      </c>
      <c r="M25" s="74">
        <f t="shared" si="9"/>
        <v>0</v>
      </c>
      <c r="N25" s="74">
        <f t="shared" si="9"/>
        <v>0</v>
      </c>
      <c r="O25" s="74">
        <f t="shared" si="9"/>
        <v>0</v>
      </c>
      <c r="P25" s="74">
        <f t="shared" si="9"/>
        <v>0</v>
      </c>
      <c r="Q25" s="74">
        <f t="shared" si="9"/>
        <v>0</v>
      </c>
      <c r="R25" s="74">
        <f t="shared" si="9"/>
        <v>0</v>
      </c>
      <c r="S25" s="74">
        <f t="shared" si="9"/>
        <v>0</v>
      </c>
      <c r="T25" s="74">
        <f t="shared" si="9"/>
        <v>0</v>
      </c>
      <c r="U25" s="74">
        <f t="shared" si="9"/>
        <v>0</v>
      </c>
      <c r="V25" s="74">
        <f t="shared" si="9"/>
        <v>0</v>
      </c>
      <c r="W25" s="74">
        <f t="shared" si="9"/>
        <v>0</v>
      </c>
      <c r="X25" s="74">
        <f t="shared" si="9"/>
        <v>0</v>
      </c>
      <c r="Y25" s="74">
        <f t="shared" si="9"/>
        <v>0</v>
      </c>
      <c r="Z25" s="74">
        <f t="shared" si="9"/>
        <v>0</v>
      </c>
      <c r="AA25" s="175"/>
    </row>
    <row r="26" spans="1:27" outlineLevel="1" x14ac:dyDescent="0.25">
      <c r="A26" s="36" t="str">
        <f t="shared" si="3"/>
        <v>HIFO 75D</v>
      </c>
      <c r="B26" s="36"/>
      <c r="D26" s="187" t="s">
        <v>51</v>
      </c>
      <c r="E26" s="9" t="s">
        <v>52</v>
      </c>
      <c r="F26" s="74">
        <f>SUMIFS('ФОТ, МТР, макро'!$C$4:$C$31,'ФОТ, МТР, макро'!$A$4:$A$31,$A26)</f>
        <v>0</v>
      </c>
      <c r="G26" s="83">
        <f>F26</f>
        <v>0</v>
      </c>
      <c r="H26" s="83">
        <f t="shared" ref="H26:Z26" si="10">G26</f>
        <v>0</v>
      </c>
      <c r="I26" s="83">
        <f t="shared" si="10"/>
        <v>0</v>
      </c>
      <c r="J26" s="83">
        <f t="shared" si="10"/>
        <v>0</v>
      </c>
      <c r="K26" s="83">
        <f t="shared" si="10"/>
        <v>0</v>
      </c>
      <c r="L26" s="83">
        <f t="shared" si="10"/>
        <v>0</v>
      </c>
      <c r="M26" s="83">
        <f t="shared" si="10"/>
        <v>0</v>
      </c>
      <c r="N26" s="83">
        <f t="shared" si="10"/>
        <v>0</v>
      </c>
      <c r="O26" s="83">
        <f t="shared" si="10"/>
        <v>0</v>
      </c>
      <c r="P26" s="83">
        <f t="shared" si="10"/>
        <v>0</v>
      </c>
      <c r="Q26" s="83">
        <f t="shared" si="10"/>
        <v>0</v>
      </c>
      <c r="R26" s="83">
        <f t="shared" si="10"/>
        <v>0</v>
      </c>
      <c r="S26" s="83">
        <f t="shared" si="10"/>
        <v>0</v>
      </c>
      <c r="T26" s="83">
        <f t="shared" si="10"/>
        <v>0</v>
      </c>
      <c r="U26" s="83">
        <f t="shared" si="10"/>
        <v>0</v>
      </c>
      <c r="V26" s="83">
        <f t="shared" si="10"/>
        <v>0</v>
      </c>
      <c r="W26" s="83">
        <f t="shared" si="10"/>
        <v>0</v>
      </c>
      <c r="X26" s="83">
        <f t="shared" si="10"/>
        <v>0</v>
      </c>
      <c r="Y26" s="83">
        <f t="shared" si="10"/>
        <v>0</v>
      </c>
      <c r="Z26" s="83">
        <f t="shared" si="10"/>
        <v>0</v>
      </c>
      <c r="AA26" s="175"/>
    </row>
    <row r="27" spans="1:27" outlineLevel="1" x14ac:dyDescent="0.25">
      <c r="A27" s="36" t="str">
        <f t="shared" si="3"/>
        <v>HIFO 75D</v>
      </c>
      <c r="B27" s="36"/>
      <c r="D27" s="183" t="s">
        <v>184</v>
      </c>
      <c r="E27" s="64" t="str">
        <f>E15</f>
        <v>тыс. руб.</v>
      </c>
      <c r="F27" s="70"/>
      <c r="G27" s="80">
        <f>G29*G30</f>
        <v>0</v>
      </c>
      <c r="H27" s="80">
        <f t="shared" ref="H27:Z27" si="11">H29*H30</f>
        <v>0</v>
      </c>
      <c r="I27" s="80">
        <f t="shared" si="11"/>
        <v>0</v>
      </c>
      <c r="J27" s="80">
        <f t="shared" si="11"/>
        <v>0</v>
      </c>
      <c r="K27" s="80">
        <f t="shared" si="11"/>
        <v>0</v>
      </c>
      <c r="L27" s="80">
        <f t="shared" si="11"/>
        <v>0</v>
      </c>
      <c r="M27" s="80">
        <f t="shared" si="11"/>
        <v>0</v>
      </c>
      <c r="N27" s="80">
        <f t="shared" si="11"/>
        <v>0</v>
      </c>
      <c r="O27" s="80">
        <f t="shared" si="11"/>
        <v>0</v>
      </c>
      <c r="P27" s="80">
        <f t="shared" si="11"/>
        <v>0</v>
      </c>
      <c r="Q27" s="80">
        <f t="shared" si="11"/>
        <v>0</v>
      </c>
      <c r="R27" s="80">
        <f t="shared" si="11"/>
        <v>0</v>
      </c>
      <c r="S27" s="80">
        <f t="shared" si="11"/>
        <v>0</v>
      </c>
      <c r="T27" s="80">
        <f t="shared" si="11"/>
        <v>0</v>
      </c>
      <c r="U27" s="80">
        <f t="shared" si="11"/>
        <v>0</v>
      </c>
      <c r="V27" s="80">
        <f t="shared" si="11"/>
        <v>0</v>
      </c>
      <c r="W27" s="80">
        <f t="shared" si="11"/>
        <v>0</v>
      </c>
      <c r="X27" s="80">
        <f t="shared" si="11"/>
        <v>0</v>
      </c>
      <c r="Y27" s="80">
        <f t="shared" si="11"/>
        <v>0</v>
      </c>
      <c r="Z27" s="80">
        <f t="shared" si="11"/>
        <v>0</v>
      </c>
      <c r="AA27" s="175"/>
    </row>
    <row r="28" spans="1:27" outlineLevel="1" x14ac:dyDescent="0.25">
      <c r="A28" s="36" t="str">
        <f t="shared" si="3"/>
        <v>HIFO 75D</v>
      </c>
      <c r="B28" s="36"/>
      <c r="D28" s="187" t="s">
        <v>48</v>
      </c>
      <c r="E28" s="9" t="s">
        <v>185</v>
      </c>
      <c r="F28" s="81">
        <f>SUMIFS('ФОТ, МТР, макро'!$E$4:$E$31,'ФОТ, МТР, макро'!$A$4:$A$31,$A28)</f>
        <v>0</v>
      </c>
      <c r="G28" s="82">
        <f>F28</f>
        <v>0</v>
      </c>
      <c r="H28" s="82">
        <f t="shared" ref="H28:Z28" si="12">G28</f>
        <v>0</v>
      </c>
      <c r="I28" s="82">
        <f t="shared" si="12"/>
        <v>0</v>
      </c>
      <c r="J28" s="82">
        <f t="shared" si="12"/>
        <v>0</v>
      </c>
      <c r="K28" s="82">
        <f t="shared" si="12"/>
        <v>0</v>
      </c>
      <c r="L28" s="82">
        <f t="shared" si="12"/>
        <v>0</v>
      </c>
      <c r="M28" s="82">
        <f t="shared" si="12"/>
        <v>0</v>
      </c>
      <c r="N28" s="82">
        <f t="shared" si="12"/>
        <v>0</v>
      </c>
      <c r="O28" s="82">
        <f t="shared" si="12"/>
        <v>0</v>
      </c>
      <c r="P28" s="82">
        <f t="shared" si="12"/>
        <v>0</v>
      </c>
      <c r="Q28" s="82">
        <f t="shared" si="12"/>
        <v>0</v>
      </c>
      <c r="R28" s="82">
        <f t="shared" si="12"/>
        <v>0</v>
      </c>
      <c r="S28" s="82">
        <f t="shared" si="12"/>
        <v>0</v>
      </c>
      <c r="T28" s="82">
        <f t="shared" si="12"/>
        <v>0</v>
      </c>
      <c r="U28" s="82">
        <f t="shared" si="12"/>
        <v>0</v>
      </c>
      <c r="V28" s="82">
        <f t="shared" si="12"/>
        <v>0</v>
      </c>
      <c r="W28" s="82">
        <f t="shared" si="12"/>
        <v>0</v>
      </c>
      <c r="X28" s="82">
        <f t="shared" si="12"/>
        <v>0</v>
      </c>
      <c r="Y28" s="82">
        <f t="shared" si="12"/>
        <v>0</v>
      </c>
      <c r="Z28" s="82">
        <f t="shared" si="12"/>
        <v>0</v>
      </c>
      <c r="AA28" s="175"/>
    </row>
    <row r="29" spans="1:27" outlineLevel="1" x14ac:dyDescent="0.25">
      <c r="A29" s="36" t="str">
        <f t="shared" si="3"/>
        <v>HIFO 75D</v>
      </c>
      <c r="B29" s="36"/>
      <c r="D29" s="187" t="s">
        <v>49</v>
      </c>
      <c r="E29" s="9" t="s">
        <v>50</v>
      </c>
      <c r="F29" s="70"/>
      <c r="G29" s="74">
        <f>G11*G28</f>
        <v>0</v>
      </c>
      <c r="H29" s="74">
        <f t="shared" ref="H29:Z29" si="13">H11*H28</f>
        <v>0</v>
      </c>
      <c r="I29" s="74">
        <f t="shared" si="13"/>
        <v>0</v>
      </c>
      <c r="J29" s="74">
        <f t="shared" si="13"/>
        <v>0</v>
      </c>
      <c r="K29" s="74">
        <f t="shared" si="13"/>
        <v>0</v>
      </c>
      <c r="L29" s="74">
        <f t="shared" si="13"/>
        <v>0</v>
      </c>
      <c r="M29" s="74">
        <f t="shared" si="13"/>
        <v>0</v>
      </c>
      <c r="N29" s="74">
        <f t="shared" si="13"/>
        <v>0</v>
      </c>
      <c r="O29" s="74">
        <f t="shared" si="13"/>
        <v>0</v>
      </c>
      <c r="P29" s="74">
        <f t="shared" si="13"/>
        <v>0</v>
      </c>
      <c r="Q29" s="74">
        <f t="shared" si="13"/>
        <v>0</v>
      </c>
      <c r="R29" s="74">
        <f t="shared" si="13"/>
        <v>0</v>
      </c>
      <c r="S29" s="74">
        <f t="shared" si="13"/>
        <v>0</v>
      </c>
      <c r="T29" s="74">
        <f t="shared" si="13"/>
        <v>0</v>
      </c>
      <c r="U29" s="74">
        <f t="shared" si="13"/>
        <v>0</v>
      </c>
      <c r="V29" s="74">
        <f t="shared" si="13"/>
        <v>0</v>
      </c>
      <c r="W29" s="74">
        <f t="shared" si="13"/>
        <v>0</v>
      </c>
      <c r="X29" s="74">
        <f t="shared" si="13"/>
        <v>0</v>
      </c>
      <c r="Y29" s="74">
        <f t="shared" si="13"/>
        <v>0</v>
      </c>
      <c r="Z29" s="74">
        <f t="shared" si="13"/>
        <v>0</v>
      </c>
      <c r="AA29" s="175"/>
    </row>
    <row r="30" spans="1:27" outlineLevel="1" x14ac:dyDescent="0.25">
      <c r="A30" s="36" t="str">
        <f t="shared" si="3"/>
        <v>HIFO 75D</v>
      </c>
      <c r="B30" s="36"/>
      <c r="D30" s="187" t="s">
        <v>51</v>
      </c>
      <c r="E30" s="9" t="s">
        <v>52</v>
      </c>
      <c r="F30" s="74">
        <f>SUMIFS('ФОТ, МТР, макро'!$F$4:$F$31,'ФОТ, МТР, макро'!$A$4:$A$31,$A30)</f>
        <v>0</v>
      </c>
      <c r="G30" s="83">
        <f>F30</f>
        <v>0</v>
      </c>
      <c r="H30" s="83">
        <f t="shared" ref="H30:Z30" si="14">G30</f>
        <v>0</v>
      </c>
      <c r="I30" s="83">
        <f t="shared" si="14"/>
        <v>0</v>
      </c>
      <c r="J30" s="83">
        <f t="shared" si="14"/>
        <v>0</v>
      </c>
      <c r="K30" s="83">
        <f t="shared" si="14"/>
        <v>0</v>
      </c>
      <c r="L30" s="83">
        <f t="shared" si="14"/>
        <v>0</v>
      </c>
      <c r="M30" s="83">
        <f t="shared" si="14"/>
        <v>0</v>
      </c>
      <c r="N30" s="83">
        <f t="shared" si="14"/>
        <v>0</v>
      </c>
      <c r="O30" s="83">
        <f t="shared" si="14"/>
        <v>0</v>
      </c>
      <c r="P30" s="83">
        <f t="shared" si="14"/>
        <v>0</v>
      </c>
      <c r="Q30" s="83">
        <f t="shared" si="14"/>
        <v>0</v>
      </c>
      <c r="R30" s="83">
        <f t="shared" si="14"/>
        <v>0</v>
      </c>
      <c r="S30" s="83">
        <f t="shared" si="14"/>
        <v>0</v>
      </c>
      <c r="T30" s="83">
        <f t="shared" si="14"/>
        <v>0</v>
      </c>
      <c r="U30" s="83">
        <f t="shared" si="14"/>
        <v>0</v>
      </c>
      <c r="V30" s="83">
        <f t="shared" si="14"/>
        <v>0</v>
      </c>
      <c r="W30" s="83">
        <f t="shared" si="14"/>
        <v>0</v>
      </c>
      <c r="X30" s="83">
        <f t="shared" si="14"/>
        <v>0</v>
      </c>
      <c r="Y30" s="83">
        <f t="shared" si="14"/>
        <v>0</v>
      </c>
      <c r="Z30" s="83">
        <f t="shared" si="14"/>
        <v>0</v>
      </c>
      <c r="AA30" s="175"/>
    </row>
    <row r="31" spans="1:27" outlineLevel="1" x14ac:dyDescent="0.25">
      <c r="A31" s="36" t="str">
        <f t="shared" si="3"/>
        <v>HIFO 75D</v>
      </c>
      <c r="B31" s="36"/>
      <c r="D31" s="183" t="s">
        <v>187</v>
      </c>
      <c r="E31" s="64" t="str">
        <f>E15</f>
        <v>тыс. руб.</v>
      </c>
      <c r="F31" s="70"/>
      <c r="G31" s="80">
        <f>G11*G32</f>
        <v>0</v>
      </c>
      <c r="H31" s="80">
        <f t="shared" ref="H31:Z31" si="15">H11*H32</f>
        <v>0</v>
      </c>
      <c r="I31" s="80">
        <f t="shared" si="15"/>
        <v>0</v>
      </c>
      <c r="J31" s="80">
        <f t="shared" si="15"/>
        <v>0</v>
      </c>
      <c r="K31" s="80">
        <f t="shared" si="15"/>
        <v>0</v>
      </c>
      <c r="L31" s="80">
        <f t="shared" si="15"/>
        <v>0</v>
      </c>
      <c r="M31" s="80">
        <f t="shared" si="15"/>
        <v>0</v>
      </c>
      <c r="N31" s="80">
        <f t="shared" si="15"/>
        <v>0</v>
      </c>
      <c r="O31" s="80">
        <f t="shared" si="15"/>
        <v>0</v>
      </c>
      <c r="P31" s="80">
        <f t="shared" si="15"/>
        <v>0</v>
      </c>
      <c r="Q31" s="80">
        <f t="shared" si="15"/>
        <v>0</v>
      </c>
      <c r="R31" s="80">
        <f t="shared" si="15"/>
        <v>0</v>
      </c>
      <c r="S31" s="80">
        <f t="shared" si="15"/>
        <v>0</v>
      </c>
      <c r="T31" s="80">
        <f t="shared" si="15"/>
        <v>0</v>
      </c>
      <c r="U31" s="80">
        <f t="shared" si="15"/>
        <v>0</v>
      </c>
      <c r="V31" s="80">
        <f t="shared" si="15"/>
        <v>0</v>
      </c>
      <c r="W31" s="80">
        <f t="shared" si="15"/>
        <v>0</v>
      </c>
      <c r="X31" s="80">
        <f t="shared" si="15"/>
        <v>0</v>
      </c>
      <c r="Y31" s="80">
        <f t="shared" si="15"/>
        <v>0</v>
      </c>
      <c r="Z31" s="80">
        <f t="shared" si="15"/>
        <v>0</v>
      </c>
      <c r="AA31" s="175"/>
    </row>
    <row r="32" spans="1:27" outlineLevel="1" x14ac:dyDescent="0.25">
      <c r="A32" s="36" t="str">
        <f t="shared" si="3"/>
        <v>HIFO 75D</v>
      </c>
      <c r="B32" s="36"/>
      <c r="D32" s="187" t="s">
        <v>48</v>
      </c>
      <c r="E32" s="9" t="s">
        <v>188</v>
      </c>
      <c r="F32" s="74">
        <f>SUMIFS('ФОТ, МТР, макро'!$H$4:$H$31,'ФОТ, МТР, макро'!$A$4:$A$31,$A32)</f>
        <v>0</v>
      </c>
      <c r="G32" s="83">
        <f>F32</f>
        <v>0</v>
      </c>
      <c r="H32" s="83">
        <f t="shared" ref="H32:Z32" si="16">G32</f>
        <v>0</v>
      </c>
      <c r="I32" s="83">
        <f t="shared" si="16"/>
        <v>0</v>
      </c>
      <c r="J32" s="83">
        <f t="shared" si="16"/>
        <v>0</v>
      </c>
      <c r="K32" s="83">
        <f t="shared" si="16"/>
        <v>0</v>
      </c>
      <c r="L32" s="83">
        <f t="shared" si="16"/>
        <v>0</v>
      </c>
      <c r="M32" s="83">
        <f t="shared" si="16"/>
        <v>0</v>
      </c>
      <c r="N32" s="83">
        <f t="shared" si="16"/>
        <v>0</v>
      </c>
      <c r="O32" s="83">
        <f t="shared" si="16"/>
        <v>0</v>
      </c>
      <c r="P32" s="83">
        <f t="shared" si="16"/>
        <v>0</v>
      </c>
      <c r="Q32" s="83">
        <f t="shared" si="16"/>
        <v>0</v>
      </c>
      <c r="R32" s="83">
        <f t="shared" si="16"/>
        <v>0</v>
      </c>
      <c r="S32" s="83">
        <f t="shared" si="16"/>
        <v>0</v>
      </c>
      <c r="T32" s="83">
        <f t="shared" si="16"/>
        <v>0</v>
      </c>
      <c r="U32" s="83">
        <f t="shared" si="16"/>
        <v>0</v>
      </c>
      <c r="V32" s="83">
        <f t="shared" si="16"/>
        <v>0</v>
      </c>
      <c r="W32" s="83">
        <f t="shared" si="16"/>
        <v>0</v>
      </c>
      <c r="X32" s="83">
        <f t="shared" si="16"/>
        <v>0</v>
      </c>
      <c r="Y32" s="83">
        <f t="shared" si="16"/>
        <v>0</v>
      </c>
      <c r="Z32" s="83">
        <f t="shared" si="16"/>
        <v>0</v>
      </c>
      <c r="AA32" s="175"/>
    </row>
    <row r="33" spans="1:27" outlineLevel="1" x14ac:dyDescent="0.25">
      <c r="A33" s="36" t="str">
        <f t="shared" si="3"/>
        <v>HIFO 75D</v>
      </c>
      <c r="B33" s="36"/>
      <c r="C33" s="193">
        <f>SUMIFS('ФОТ, МТР, макро'!$N$4:$N$31,'ФОТ, МТР, макро'!$J$4:$J$31,$A33)</f>
        <v>1</v>
      </c>
      <c r="D33" s="63" t="s">
        <v>189</v>
      </c>
      <c r="E33" s="64" t="str">
        <f>E15</f>
        <v>тыс. руб.</v>
      </c>
      <c r="F33" s="83"/>
      <c r="G33" s="80">
        <f>IF($C33=1,G34,G38)</f>
        <v>30394.646370962204</v>
      </c>
      <c r="H33" s="80">
        <f t="shared" ref="H33:Z33" si="17">IF($C33=1,H34,H38)</f>
        <v>29502.127947358236</v>
      </c>
      <c r="I33" s="80">
        <f t="shared" si="17"/>
        <v>29045.766392294114</v>
      </c>
      <c r="J33" s="80">
        <f t="shared" si="17"/>
        <v>29436.415508942842</v>
      </c>
      <c r="K33" s="80">
        <f t="shared" si="17"/>
        <v>29612.857182665084</v>
      </c>
      <c r="L33" s="80">
        <f t="shared" si="17"/>
        <v>28728.836057132074</v>
      </c>
      <c r="M33" s="80">
        <f t="shared" si="17"/>
        <v>29211.029398331895</v>
      </c>
      <c r="N33" s="80">
        <f t="shared" si="17"/>
        <v>29624.111381887957</v>
      </c>
      <c r="O33" s="80">
        <f t="shared" si="17"/>
        <v>29022.729273079523</v>
      </c>
      <c r="P33" s="80">
        <f t="shared" si="17"/>
        <v>29014.949524623447</v>
      </c>
      <c r="Q33" s="80">
        <f t="shared" si="17"/>
        <v>0</v>
      </c>
      <c r="R33" s="80">
        <f t="shared" si="17"/>
        <v>0</v>
      </c>
      <c r="S33" s="80">
        <f t="shared" si="17"/>
        <v>0</v>
      </c>
      <c r="T33" s="80">
        <f t="shared" si="17"/>
        <v>0</v>
      </c>
      <c r="U33" s="80">
        <f t="shared" si="17"/>
        <v>0</v>
      </c>
      <c r="V33" s="80">
        <f t="shared" si="17"/>
        <v>0</v>
      </c>
      <c r="W33" s="80">
        <f t="shared" si="17"/>
        <v>0</v>
      </c>
      <c r="X33" s="80">
        <f t="shared" si="17"/>
        <v>0</v>
      </c>
      <c r="Y33" s="80">
        <f t="shared" si="17"/>
        <v>0</v>
      </c>
      <c r="Z33" s="80">
        <f t="shared" si="17"/>
        <v>0</v>
      </c>
      <c r="AA33" s="175"/>
    </row>
    <row r="34" spans="1:27" outlineLevel="1" x14ac:dyDescent="0.25">
      <c r="A34" s="36" t="str">
        <f t="shared" si="3"/>
        <v>HIFO 75D</v>
      </c>
      <c r="B34" s="36"/>
      <c r="D34" s="192" t="s">
        <v>190</v>
      </c>
      <c r="E34" s="188" t="str">
        <f>E33</f>
        <v>тыс. руб.</v>
      </c>
      <c r="F34" s="189"/>
      <c r="G34" s="190">
        <f>G36*G37</f>
        <v>30394.646370962204</v>
      </c>
      <c r="H34" s="190">
        <f t="shared" ref="H34:Z34" si="18">H36*H37</f>
        <v>29502.127947358236</v>
      </c>
      <c r="I34" s="190">
        <f t="shared" si="18"/>
        <v>29045.766392294114</v>
      </c>
      <c r="J34" s="190">
        <f t="shared" si="18"/>
        <v>29436.415508942842</v>
      </c>
      <c r="K34" s="190">
        <f t="shared" si="18"/>
        <v>29612.857182665084</v>
      </c>
      <c r="L34" s="190">
        <f t="shared" si="18"/>
        <v>28728.836057132074</v>
      </c>
      <c r="M34" s="190">
        <f t="shared" si="18"/>
        <v>29211.029398331895</v>
      </c>
      <c r="N34" s="190">
        <f t="shared" si="18"/>
        <v>29624.111381887957</v>
      </c>
      <c r="O34" s="190">
        <f t="shared" si="18"/>
        <v>29022.729273079523</v>
      </c>
      <c r="P34" s="190">
        <f t="shared" si="18"/>
        <v>29014.949524623447</v>
      </c>
      <c r="Q34" s="190">
        <f t="shared" si="18"/>
        <v>0</v>
      </c>
      <c r="R34" s="190">
        <f t="shared" si="18"/>
        <v>0</v>
      </c>
      <c r="S34" s="190">
        <f t="shared" si="18"/>
        <v>0</v>
      </c>
      <c r="T34" s="190">
        <f t="shared" si="18"/>
        <v>0</v>
      </c>
      <c r="U34" s="190">
        <f t="shared" si="18"/>
        <v>0</v>
      </c>
      <c r="V34" s="190">
        <f t="shared" si="18"/>
        <v>0</v>
      </c>
      <c r="W34" s="190">
        <f t="shared" si="18"/>
        <v>0</v>
      </c>
      <c r="X34" s="190">
        <f t="shared" si="18"/>
        <v>0</v>
      </c>
      <c r="Y34" s="190">
        <f t="shared" si="18"/>
        <v>0</v>
      </c>
      <c r="Z34" s="190">
        <f t="shared" si="18"/>
        <v>0</v>
      </c>
      <c r="AA34" s="175"/>
    </row>
    <row r="35" spans="1:27" outlineLevel="1" x14ac:dyDescent="0.25">
      <c r="A35" s="36" t="str">
        <f t="shared" si="3"/>
        <v>HIFO 75D</v>
      </c>
      <c r="B35" s="36"/>
      <c r="D35" s="187" t="s">
        <v>48</v>
      </c>
      <c r="E35" s="73" t="str">
        <f>VLOOKUP($A35,'ФОТ, МТР, макро'!$J$4:$N$31,2,FALSE)</f>
        <v>кг/час</v>
      </c>
      <c r="F35" s="74">
        <f>SUMIFS('ФОТ, МТР, макро'!$L$4:$L$31,'ФОТ, МТР, макро'!$J$4:$J$31,$A35)</f>
        <v>72.780455432499437</v>
      </c>
      <c r="G35" s="83">
        <f>F35</f>
        <v>72.780455432499437</v>
      </c>
      <c r="H35" s="83">
        <f t="shared" ref="H35:Z35" si="19">G35</f>
        <v>72.780455432499437</v>
      </c>
      <c r="I35" s="83">
        <f t="shared" si="19"/>
        <v>72.780455432499437</v>
      </c>
      <c r="J35" s="83">
        <f t="shared" si="19"/>
        <v>72.780455432499437</v>
      </c>
      <c r="K35" s="83">
        <f t="shared" si="19"/>
        <v>72.780455432499437</v>
      </c>
      <c r="L35" s="83">
        <f t="shared" si="19"/>
        <v>72.780455432499437</v>
      </c>
      <c r="M35" s="83">
        <f t="shared" si="19"/>
        <v>72.780455432499437</v>
      </c>
      <c r="N35" s="83">
        <f t="shared" si="19"/>
        <v>72.780455432499437</v>
      </c>
      <c r="O35" s="83">
        <f t="shared" si="19"/>
        <v>72.780455432499437</v>
      </c>
      <c r="P35" s="83">
        <f t="shared" si="19"/>
        <v>72.780455432499437</v>
      </c>
      <c r="Q35" s="83">
        <f t="shared" si="19"/>
        <v>72.780455432499437</v>
      </c>
      <c r="R35" s="83">
        <f t="shared" si="19"/>
        <v>72.780455432499437</v>
      </c>
      <c r="S35" s="83">
        <f t="shared" si="19"/>
        <v>72.780455432499437</v>
      </c>
      <c r="T35" s="83">
        <f t="shared" si="19"/>
        <v>72.780455432499437</v>
      </c>
      <c r="U35" s="83">
        <f t="shared" si="19"/>
        <v>72.780455432499437</v>
      </c>
      <c r="V35" s="83">
        <f t="shared" si="19"/>
        <v>72.780455432499437</v>
      </c>
      <c r="W35" s="83">
        <f t="shared" si="19"/>
        <v>72.780455432499437</v>
      </c>
      <c r="X35" s="83">
        <f t="shared" si="19"/>
        <v>72.780455432499437</v>
      </c>
      <c r="Y35" s="83">
        <f t="shared" si="19"/>
        <v>72.780455432499437</v>
      </c>
      <c r="Z35" s="83">
        <f t="shared" si="19"/>
        <v>72.780455432499437</v>
      </c>
      <c r="AA35" s="175"/>
    </row>
    <row r="36" spans="1:27" outlineLevel="1" x14ac:dyDescent="0.25">
      <c r="A36" s="36" t="str">
        <f t="shared" si="3"/>
        <v>HIFO 75D</v>
      </c>
      <c r="B36" s="36"/>
      <c r="D36" s="187" t="s">
        <v>49</v>
      </c>
      <c r="E36" s="73" t="str">
        <f>IF(E35="кг/час","т","тыс. кВт*ч")</f>
        <v>т</v>
      </c>
      <c r="F36" s="83"/>
      <c r="G36" s="74">
        <f>G$3*G10*G35/1000</f>
        <v>460.39296927277366</v>
      </c>
      <c r="H36" s="74">
        <f t="shared" ref="H36:Z36" si="20">H$3*H10*H35/1000</f>
        <v>446.8738382337545</v>
      </c>
      <c r="I36" s="74">
        <f t="shared" si="20"/>
        <v>439.96125077234427</v>
      </c>
      <c r="J36" s="74">
        <f t="shared" si="20"/>
        <v>445.87848055559709</v>
      </c>
      <c r="K36" s="74">
        <f t="shared" si="20"/>
        <v>448.55107312591389</v>
      </c>
      <c r="L36" s="74">
        <f t="shared" si="20"/>
        <v>435.16065213148408</v>
      </c>
      <c r="M36" s="74">
        <f t="shared" si="20"/>
        <v>442.46451812844577</v>
      </c>
      <c r="N36" s="74">
        <f t="shared" si="20"/>
        <v>448.72154242941451</v>
      </c>
      <c r="O36" s="74">
        <f t="shared" si="20"/>
        <v>439.61230354034655</v>
      </c>
      <c r="P36" s="74">
        <f t="shared" si="20"/>
        <v>439.49446234396697</v>
      </c>
      <c r="Q36" s="74">
        <f t="shared" si="20"/>
        <v>0</v>
      </c>
      <c r="R36" s="74">
        <f t="shared" si="20"/>
        <v>0</v>
      </c>
      <c r="S36" s="74">
        <f t="shared" si="20"/>
        <v>0</v>
      </c>
      <c r="T36" s="74">
        <f t="shared" si="20"/>
        <v>0</v>
      </c>
      <c r="U36" s="74">
        <f t="shared" si="20"/>
        <v>0</v>
      </c>
      <c r="V36" s="74">
        <f t="shared" si="20"/>
        <v>0</v>
      </c>
      <c r="W36" s="74">
        <f t="shared" si="20"/>
        <v>0</v>
      </c>
      <c r="X36" s="74">
        <f t="shared" si="20"/>
        <v>0</v>
      </c>
      <c r="Y36" s="74">
        <f t="shared" si="20"/>
        <v>0</v>
      </c>
      <c r="Z36" s="74">
        <f t="shared" si="20"/>
        <v>0</v>
      </c>
      <c r="AA36" s="175"/>
    </row>
    <row r="37" spans="1:27" outlineLevel="1" x14ac:dyDescent="0.25">
      <c r="A37" s="36" t="str">
        <f t="shared" si="3"/>
        <v>HIFO 75D</v>
      </c>
      <c r="B37" s="36"/>
      <c r="D37" s="187" t="s">
        <v>51</v>
      </c>
      <c r="E37" s="73" t="str">
        <f>IF(E36="т","тыс. руб./т","руб./кВт*ч")</f>
        <v>тыс. руб./т</v>
      </c>
      <c r="F37" s="74">
        <f>IF(E36="т",'ФОТ, МТР, макро'!$Q$2,'ФОТ, МТР, макро'!$Q$15)</f>
        <v>66.018919487352079</v>
      </c>
      <c r="G37" s="83">
        <f>F37</f>
        <v>66.018919487352079</v>
      </c>
      <c r="H37" s="83">
        <f t="shared" ref="H37:Z37" si="21">G37</f>
        <v>66.018919487352079</v>
      </c>
      <c r="I37" s="83">
        <f t="shared" si="21"/>
        <v>66.018919487352079</v>
      </c>
      <c r="J37" s="83">
        <f t="shared" si="21"/>
        <v>66.018919487352079</v>
      </c>
      <c r="K37" s="83">
        <f t="shared" si="21"/>
        <v>66.018919487352079</v>
      </c>
      <c r="L37" s="83">
        <f t="shared" si="21"/>
        <v>66.018919487352079</v>
      </c>
      <c r="M37" s="83">
        <f t="shared" si="21"/>
        <v>66.018919487352079</v>
      </c>
      <c r="N37" s="83">
        <f t="shared" si="21"/>
        <v>66.018919487352079</v>
      </c>
      <c r="O37" s="83">
        <f t="shared" si="21"/>
        <v>66.018919487352079</v>
      </c>
      <c r="P37" s="83">
        <f t="shared" si="21"/>
        <v>66.018919487352079</v>
      </c>
      <c r="Q37" s="83">
        <f t="shared" si="21"/>
        <v>66.018919487352079</v>
      </c>
      <c r="R37" s="83">
        <f t="shared" si="21"/>
        <v>66.018919487352079</v>
      </c>
      <c r="S37" s="83">
        <f t="shared" si="21"/>
        <v>66.018919487352079</v>
      </c>
      <c r="T37" s="83">
        <f t="shared" si="21"/>
        <v>66.018919487352079</v>
      </c>
      <c r="U37" s="83">
        <f t="shared" si="21"/>
        <v>66.018919487352079</v>
      </c>
      <c r="V37" s="83">
        <f t="shared" si="21"/>
        <v>66.018919487352079</v>
      </c>
      <c r="W37" s="83">
        <f t="shared" si="21"/>
        <v>66.018919487352079</v>
      </c>
      <c r="X37" s="83">
        <f t="shared" si="21"/>
        <v>66.018919487352079</v>
      </c>
      <c r="Y37" s="83">
        <f t="shared" si="21"/>
        <v>66.018919487352079</v>
      </c>
      <c r="Z37" s="83">
        <f t="shared" si="21"/>
        <v>66.018919487352079</v>
      </c>
      <c r="AA37" s="175"/>
    </row>
    <row r="38" spans="1:27" outlineLevel="1" x14ac:dyDescent="0.25">
      <c r="A38" s="36" t="str">
        <f t="shared" si="3"/>
        <v>HIFO 75D</v>
      </c>
      <c r="B38" s="36"/>
      <c r="D38" s="192" t="s">
        <v>191</v>
      </c>
      <c r="E38" s="188" t="str">
        <f>E34</f>
        <v>тыс. руб.</v>
      </c>
      <c r="F38" s="83"/>
      <c r="G38" s="190">
        <f>G40*G41</f>
        <v>39047.563233795619</v>
      </c>
      <c r="H38" s="190">
        <f t="shared" ref="H38:Z38" si="22">H40*H41</f>
        <v>37900.957704727894</v>
      </c>
      <c r="I38" s="190">
        <f t="shared" si="22"/>
        <v>37314.67660570304</v>
      </c>
      <c r="J38" s="190">
        <f t="shared" si="22"/>
        <v>37816.53788411359</v>
      </c>
      <c r="K38" s="190">
        <f t="shared" si="22"/>
        <v>38043.209954176833</v>
      </c>
      <c r="L38" s="190">
        <f t="shared" si="22"/>
        <v>36907.520781223015</v>
      </c>
      <c r="M38" s="190">
        <f t="shared" si="22"/>
        <v>37526.987602834182</v>
      </c>
      <c r="N38" s="190">
        <f t="shared" si="22"/>
        <v>38057.668061385491</v>
      </c>
      <c r="O38" s="190">
        <f t="shared" si="22"/>
        <v>37285.081151349747</v>
      </c>
      <c r="P38" s="190">
        <f t="shared" si="22"/>
        <v>37275.086620863221</v>
      </c>
      <c r="Q38" s="190">
        <f t="shared" si="22"/>
        <v>0</v>
      </c>
      <c r="R38" s="190">
        <f t="shared" si="22"/>
        <v>0</v>
      </c>
      <c r="S38" s="190">
        <f t="shared" si="22"/>
        <v>0</v>
      </c>
      <c r="T38" s="190">
        <f t="shared" si="22"/>
        <v>0</v>
      </c>
      <c r="U38" s="190">
        <f t="shared" si="22"/>
        <v>0</v>
      </c>
      <c r="V38" s="190">
        <f t="shared" si="22"/>
        <v>0</v>
      </c>
      <c r="W38" s="190">
        <f t="shared" si="22"/>
        <v>0</v>
      </c>
      <c r="X38" s="190">
        <f t="shared" si="22"/>
        <v>0</v>
      </c>
      <c r="Y38" s="190">
        <f t="shared" si="22"/>
        <v>0</v>
      </c>
      <c r="Z38" s="190">
        <f t="shared" si="22"/>
        <v>0</v>
      </c>
      <c r="AA38" s="175"/>
    </row>
    <row r="39" spans="1:27" outlineLevel="1" x14ac:dyDescent="0.25">
      <c r="A39" s="36" t="str">
        <f t="shared" si="3"/>
        <v>HIFO 75D</v>
      </c>
      <c r="B39" s="36"/>
      <c r="D39" s="187" t="s">
        <v>48</v>
      </c>
      <c r="E39" s="196" t="str">
        <f>E35</f>
        <v>кг/час</v>
      </c>
      <c r="F39" s="74">
        <f>SUMIFS('ФОТ, МТР, макро'!$M$4:$M$31,'ФОТ, МТР, макро'!$J$4:$J$31,$A39)</f>
        <v>93.5</v>
      </c>
      <c r="G39" s="83">
        <f>F39</f>
        <v>93.5</v>
      </c>
      <c r="H39" s="83">
        <f t="shared" ref="H39:Z39" si="23">G39</f>
        <v>93.5</v>
      </c>
      <c r="I39" s="83">
        <f t="shared" si="23"/>
        <v>93.5</v>
      </c>
      <c r="J39" s="83">
        <f t="shared" si="23"/>
        <v>93.5</v>
      </c>
      <c r="K39" s="83">
        <f t="shared" si="23"/>
        <v>93.5</v>
      </c>
      <c r="L39" s="83">
        <f t="shared" si="23"/>
        <v>93.5</v>
      </c>
      <c r="M39" s="83">
        <f t="shared" si="23"/>
        <v>93.5</v>
      </c>
      <c r="N39" s="83">
        <f t="shared" si="23"/>
        <v>93.5</v>
      </c>
      <c r="O39" s="83">
        <f t="shared" si="23"/>
        <v>93.5</v>
      </c>
      <c r="P39" s="83">
        <f t="shared" si="23"/>
        <v>93.5</v>
      </c>
      <c r="Q39" s="83">
        <f t="shared" si="23"/>
        <v>93.5</v>
      </c>
      <c r="R39" s="83">
        <f t="shared" si="23"/>
        <v>93.5</v>
      </c>
      <c r="S39" s="83">
        <f t="shared" si="23"/>
        <v>93.5</v>
      </c>
      <c r="T39" s="83">
        <f t="shared" si="23"/>
        <v>93.5</v>
      </c>
      <c r="U39" s="83">
        <f t="shared" si="23"/>
        <v>93.5</v>
      </c>
      <c r="V39" s="83">
        <f t="shared" si="23"/>
        <v>93.5</v>
      </c>
      <c r="W39" s="83">
        <f t="shared" si="23"/>
        <v>93.5</v>
      </c>
      <c r="X39" s="83">
        <f t="shared" si="23"/>
        <v>93.5</v>
      </c>
      <c r="Y39" s="83">
        <f t="shared" si="23"/>
        <v>93.5</v>
      </c>
      <c r="Z39" s="83">
        <f t="shared" si="23"/>
        <v>93.5</v>
      </c>
      <c r="AA39" s="175"/>
    </row>
    <row r="40" spans="1:27" outlineLevel="1" x14ac:dyDescent="0.25">
      <c r="A40" s="36" t="str">
        <f t="shared" si="3"/>
        <v>HIFO 75D</v>
      </c>
      <c r="B40" s="36"/>
      <c r="D40" s="187" t="s">
        <v>49</v>
      </c>
      <c r="E40" s="196" t="str">
        <f t="shared" ref="E40:E41" si="24">E36</f>
        <v>т</v>
      </c>
      <c r="F40" s="83"/>
      <c r="G40" s="74">
        <f>G$3*G10*G39/1000</f>
        <v>591.46019863709466</v>
      </c>
      <c r="H40" s="74">
        <f t="shared" ref="H40:Z40" si="25">H$3*H10*H39/1000</f>
        <v>574.09236623433333</v>
      </c>
      <c r="I40" s="74">
        <f t="shared" si="25"/>
        <v>565.21186495413326</v>
      </c>
      <c r="J40" s="74">
        <f t="shared" si="25"/>
        <v>572.81364460014368</v>
      </c>
      <c r="K40" s="74">
        <f t="shared" si="25"/>
        <v>576.2470856776921</v>
      </c>
      <c r="L40" s="74">
        <f t="shared" si="25"/>
        <v>559.04460521038618</v>
      </c>
      <c r="M40" s="74">
        <f t="shared" si="25"/>
        <v>568.42777637437121</v>
      </c>
      <c r="N40" s="74">
        <f t="shared" si="25"/>
        <v>576.46608512998444</v>
      </c>
      <c r="O40" s="74">
        <f t="shared" si="25"/>
        <v>564.76357748467592</v>
      </c>
      <c r="P40" s="74">
        <f t="shared" si="25"/>
        <v>564.6121886015477</v>
      </c>
      <c r="Q40" s="74">
        <f t="shared" si="25"/>
        <v>0</v>
      </c>
      <c r="R40" s="74">
        <f t="shared" si="25"/>
        <v>0</v>
      </c>
      <c r="S40" s="74">
        <f t="shared" si="25"/>
        <v>0</v>
      </c>
      <c r="T40" s="74">
        <f t="shared" si="25"/>
        <v>0</v>
      </c>
      <c r="U40" s="74">
        <f t="shared" si="25"/>
        <v>0</v>
      </c>
      <c r="V40" s="74">
        <f t="shared" si="25"/>
        <v>0</v>
      </c>
      <c r="W40" s="74">
        <f t="shared" si="25"/>
        <v>0</v>
      </c>
      <c r="X40" s="74">
        <f t="shared" si="25"/>
        <v>0</v>
      </c>
      <c r="Y40" s="74">
        <f t="shared" si="25"/>
        <v>0</v>
      </c>
      <c r="Z40" s="74">
        <f t="shared" si="25"/>
        <v>0</v>
      </c>
      <c r="AA40" s="175"/>
    </row>
    <row r="41" spans="1:27" outlineLevel="1" x14ac:dyDescent="0.25">
      <c r="A41" s="36" t="str">
        <f t="shared" si="3"/>
        <v>HIFO 75D</v>
      </c>
      <c r="B41" s="36"/>
      <c r="D41" s="187" t="s">
        <v>51</v>
      </c>
      <c r="E41" s="196" t="str">
        <f t="shared" si="24"/>
        <v>тыс. руб./т</v>
      </c>
      <c r="F41" s="83"/>
      <c r="G41" s="83">
        <f>G37</f>
        <v>66.018919487352079</v>
      </c>
      <c r="H41" s="83">
        <f t="shared" ref="H41:Z41" si="26">H37</f>
        <v>66.018919487352079</v>
      </c>
      <c r="I41" s="83">
        <f t="shared" si="26"/>
        <v>66.018919487352079</v>
      </c>
      <c r="J41" s="83">
        <f t="shared" si="26"/>
        <v>66.018919487352079</v>
      </c>
      <c r="K41" s="83">
        <f t="shared" si="26"/>
        <v>66.018919487352079</v>
      </c>
      <c r="L41" s="83">
        <f t="shared" si="26"/>
        <v>66.018919487352079</v>
      </c>
      <c r="M41" s="83">
        <f t="shared" si="26"/>
        <v>66.018919487352079</v>
      </c>
      <c r="N41" s="83">
        <f t="shared" si="26"/>
        <v>66.018919487352079</v>
      </c>
      <c r="O41" s="83">
        <f t="shared" si="26"/>
        <v>66.018919487352079</v>
      </c>
      <c r="P41" s="83">
        <f t="shared" si="26"/>
        <v>66.018919487352079</v>
      </c>
      <c r="Q41" s="83">
        <f t="shared" si="26"/>
        <v>66.018919487352079</v>
      </c>
      <c r="R41" s="83">
        <f t="shared" si="26"/>
        <v>66.018919487352079</v>
      </c>
      <c r="S41" s="83">
        <f t="shared" si="26"/>
        <v>66.018919487352079</v>
      </c>
      <c r="T41" s="83">
        <f t="shared" si="26"/>
        <v>66.018919487352079</v>
      </c>
      <c r="U41" s="83">
        <f t="shared" si="26"/>
        <v>66.018919487352079</v>
      </c>
      <c r="V41" s="83">
        <f t="shared" si="26"/>
        <v>66.018919487352079</v>
      </c>
      <c r="W41" s="83">
        <f t="shared" si="26"/>
        <v>66.018919487352079</v>
      </c>
      <c r="X41" s="83">
        <f t="shared" si="26"/>
        <v>66.018919487352079</v>
      </c>
      <c r="Y41" s="83">
        <f t="shared" si="26"/>
        <v>66.018919487352079</v>
      </c>
      <c r="Z41" s="83">
        <f t="shared" si="26"/>
        <v>66.018919487352079</v>
      </c>
      <c r="AA41" s="175"/>
    </row>
    <row r="42" spans="1:27" outlineLevel="1" x14ac:dyDescent="0.25">
      <c r="A42" s="36" t="str">
        <f t="shared" si="3"/>
        <v>HIFO 75D</v>
      </c>
      <c r="B42" s="36"/>
      <c r="D42" s="63" t="s">
        <v>55</v>
      </c>
      <c r="E42" s="64" t="str">
        <f>E15</f>
        <v>тыс. руб.</v>
      </c>
      <c r="F42" s="70"/>
      <c r="G42" s="80">
        <f>G43+G44</f>
        <v>15710.122113662099</v>
      </c>
      <c r="H42" s="80">
        <f t="shared" ref="H42:Z42" si="27">H43+H44</f>
        <v>15710.122113662099</v>
      </c>
      <c r="I42" s="80">
        <f t="shared" si="27"/>
        <v>15710.122113662099</v>
      </c>
      <c r="J42" s="80">
        <f t="shared" si="27"/>
        <v>15710.122113662099</v>
      </c>
      <c r="K42" s="80">
        <f t="shared" si="27"/>
        <v>15710.122113662099</v>
      </c>
      <c r="L42" s="80">
        <f t="shared" si="27"/>
        <v>15710.122113662099</v>
      </c>
      <c r="M42" s="80">
        <f t="shared" si="27"/>
        <v>15710.122113662099</v>
      </c>
      <c r="N42" s="80">
        <f t="shared" si="27"/>
        <v>15710.122113662099</v>
      </c>
      <c r="O42" s="80">
        <f t="shared" si="27"/>
        <v>15710.122113662099</v>
      </c>
      <c r="P42" s="80">
        <f t="shared" si="27"/>
        <v>15710.122113662099</v>
      </c>
      <c r="Q42" s="80">
        <f t="shared" si="27"/>
        <v>0</v>
      </c>
      <c r="R42" s="80">
        <f t="shared" si="27"/>
        <v>0</v>
      </c>
      <c r="S42" s="80">
        <f t="shared" si="27"/>
        <v>0</v>
      </c>
      <c r="T42" s="80">
        <f t="shared" si="27"/>
        <v>0</v>
      </c>
      <c r="U42" s="80">
        <f t="shared" si="27"/>
        <v>0</v>
      </c>
      <c r="V42" s="80">
        <f t="shared" si="27"/>
        <v>0</v>
      </c>
      <c r="W42" s="80">
        <f t="shared" si="27"/>
        <v>0</v>
      </c>
      <c r="X42" s="80">
        <f t="shared" si="27"/>
        <v>0</v>
      </c>
      <c r="Y42" s="80">
        <f t="shared" si="27"/>
        <v>0</v>
      </c>
      <c r="Z42" s="80">
        <f t="shared" si="27"/>
        <v>0</v>
      </c>
      <c r="AA42" s="175"/>
    </row>
    <row r="43" spans="1:27" outlineLevel="1" x14ac:dyDescent="0.25">
      <c r="A43" s="36" t="str">
        <f t="shared" si="3"/>
        <v>HIFO 75D</v>
      </c>
      <c r="B43" s="36"/>
      <c r="D43" s="187" t="s">
        <v>213</v>
      </c>
      <c r="E43" s="9" t="str">
        <f>E42</f>
        <v>тыс. руб.</v>
      </c>
      <c r="F43" s="74">
        <f>SUMIFS('ФОТ, МТР, макро'!$X$4:$X$31,'ФОТ, МТР, макро'!$W$4:$W$31,$A43)</f>
        <v>12529.553373000001</v>
      </c>
      <c r="G43" s="83">
        <f>IF(G11=0,0,$F43)</f>
        <v>12529.553373000001</v>
      </c>
      <c r="H43" s="83">
        <f t="shared" ref="H43:Z43" si="28">IF(H11=0,0,$F43)</f>
        <v>12529.553373000001</v>
      </c>
      <c r="I43" s="83">
        <f t="shared" si="28"/>
        <v>12529.553373000001</v>
      </c>
      <c r="J43" s="83">
        <f t="shared" si="28"/>
        <v>12529.553373000001</v>
      </c>
      <c r="K43" s="83">
        <f t="shared" si="28"/>
        <v>12529.553373000001</v>
      </c>
      <c r="L43" s="83">
        <f t="shared" si="28"/>
        <v>12529.553373000001</v>
      </c>
      <c r="M43" s="83">
        <f t="shared" si="28"/>
        <v>12529.553373000001</v>
      </c>
      <c r="N43" s="83">
        <f t="shared" si="28"/>
        <v>12529.553373000001</v>
      </c>
      <c r="O43" s="83">
        <f t="shared" si="28"/>
        <v>12529.553373000001</v>
      </c>
      <c r="P43" s="83">
        <f t="shared" si="28"/>
        <v>12529.553373000001</v>
      </c>
      <c r="Q43" s="83">
        <f t="shared" si="28"/>
        <v>0</v>
      </c>
      <c r="R43" s="83">
        <f t="shared" si="28"/>
        <v>0</v>
      </c>
      <c r="S43" s="83">
        <f t="shared" si="28"/>
        <v>0</v>
      </c>
      <c r="T43" s="83">
        <f t="shared" si="28"/>
        <v>0</v>
      </c>
      <c r="U43" s="83">
        <f t="shared" si="28"/>
        <v>0</v>
      </c>
      <c r="V43" s="83">
        <f t="shared" si="28"/>
        <v>0</v>
      </c>
      <c r="W43" s="83">
        <f t="shared" si="28"/>
        <v>0</v>
      </c>
      <c r="X43" s="83">
        <f t="shared" si="28"/>
        <v>0</v>
      </c>
      <c r="Y43" s="83">
        <f t="shared" si="28"/>
        <v>0</v>
      </c>
      <c r="Z43" s="83">
        <f t="shared" si="28"/>
        <v>0</v>
      </c>
      <c r="AA43" s="175"/>
    </row>
    <row r="44" spans="1:27" outlineLevel="1" x14ac:dyDescent="0.25">
      <c r="A44" s="36" t="str">
        <f t="shared" si="3"/>
        <v>HIFO 75D</v>
      </c>
      <c r="B44" s="36"/>
      <c r="D44" s="187" t="s">
        <v>56</v>
      </c>
      <c r="E44" s="9"/>
      <c r="F44" s="74">
        <f>SUMIFS('ФОТ, МТР, макро'!$Y$4:$Y$31,'ФОТ, МТР, макро'!$W$4:$W$31,$A44)</f>
        <v>3180.5687406620973</v>
      </c>
      <c r="G44" s="83">
        <f t="shared" ref="G44:Z44" si="29">IF(G11=0,0,$F44)</f>
        <v>3180.5687406620973</v>
      </c>
      <c r="H44" s="83">
        <f t="shared" si="29"/>
        <v>3180.5687406620973</v>
      </c>
      <c r="I44" s="83">
        <f t="shared" si="29"/>
        <v>3180.5687406620973</v>
      </c>
      <c r="J44" s="83">
        <f t="shared" si="29"/>
        <v>3180.5687406620973</v>
      </c>
      <c r="K44" s="83">
        <f t="shared" si="29"/>
        <v>3180.5687406620973</v>
      </c>
      <c r="L44" s="83">
        <f t="shared" si="29"/>
        <v>3180.5687406620973</v>
      </c>
      <c r="M44" s="83">
        <f t="shared" si="29"/>
        <v>3180.5687406620973</v>
      </c>
      <c r="N44" s="83">
        <f t="shared" si="29"/>
        <v>3180.5687406620973</v>
      </c>
      <c r="O44" s="83">
        <f t="shared" si="29"/>
        <v>3180.5687406620973</v>
      </c>
      <c r="P44" s="83">
        <f t="shared" si="29"/>
        <v>3180.5687406620973</v>
      </c>
      <c r="Q44" s="83">
        <f t="shared" si="29"/>
        <v>0</v>
      </c>
      <c r="R44" s="83">
        <f t="shared" si="29"/>
        <v>0</v>
      </c>
      <c r="S44" s="83">
        <f t="shared" si="29"/>
        <v>0</v>
      </c>
      <c r="T44" s="83">
        <f t="shared" si="29"/>
        <v>0</v>
      </c>
      <c r="U44" s="83">
        <f t="shared" si="29"/>
        <v>0</v>
      </c>
      <c r="V44" s="83">
        <f t="shared" si="29"/>
        <v>0</v>
      </c>
      <c r="W44" s="83">
        <f t="shared" si="29"/>
        <v>0</v>
      </c>
      <c r="X44" s="83">
        <f t="shared" si="29"/>
        <v>0</v>
      </c>
      <c r="Y44" s="83">
        <f t="shared" si="29"/>
        <v>0</v>
      </c>
      <c r="Z44" s="83">
        <f t="shared" si="29"/>
        <v>0</v>
      </c>
      <c r="AA44" s="175"/>
    </row>
    <row r="45" spans="1:27" outlineLevel="1" x14ac:dyDescent="0.25">
      <c r="A45" s="36" t="str">
        <f t="shared" si="3"/>
        <v>HIFO 75D</v>
      </c>
      <c r="B45" s="36"/>
      <c r="D45" s="85" t="s">
        <v>57</v>
      </c>
      <c r="E45" s="64" t="str">
        <f>E15</f>
        <v>тыс. руб.</v>
      </c>
      <c r="F45" s="70"/>
      <c r="G45" s="80">
        <f t="shared" ref="G45:Z45" si="30">IF(G11=0,0,G46*G47/1000)</f>
        <v>12.175397100000001</v>
      </c>
      <c r="H45" s="80">
        <f t="shared" si="30"/>
        <v>12.175397100000001</v>
      </c>
      <c r="I45" s="80">
        <f t="shared" si="30"/>
        <v>12.175397100000001</v>
      </c>
      <c r="J45" s="80">
        <f t="shared" si="30"/>
        <v>12.175397100000001</v>
      </c>
      <c r="K45" s="80">
        <f t="shared" si="30"/>
        <v>12.175397100000001</v>
      </c>
      <c r="L45" s="80">
        <f t="shared" si="30"/>
        <v>12.175397100000001</v>
      </c>
      <c r="M45" s="80">
        <f t="shared" si="30"/>
        <v>12.175397100000001</v>
      </c>
      <c r="N45" s="80">
        <f t="shared" si="30"/>
        <v>12.175397100000001</v>
      </c>
      <c r="O45" s="80">
        <f t="shared" si="30"/>
        <v>12.175397100000001</v>
      </c>
      <c r="P45" s="80">
        <f t="shared" si="30"/>
        <v>12.175397100000001</v>
      </c>
      <c r="Q45" s="80">
        <f t="shared" si="30"/>
        <v>0</v>
      </c>
      <c r="R45" s="80">
        <f t="shared" si="30"/>
        <v>0</v>
      </c>
      <c r="S45" s="80">
        <f t="shared" si="30"/>
        <v>0</v>
      </c>
      <c r="T45" s="80">
        <f t="shared" si="30"/>
        <v>0</v>
      </c>
      <c r="U45" s="80">
        <f t="shared" si="30"/>
        <v>0</v>
      </c>
      <c r="V45" s="80">
        <f t="shared" si="30"/>
        <v>0</v>
      </c>
      <c r="W45" s="80">
        <f t="shared" si="30"/>
        <v>0</v>
      </c>
      <c r="X45" s="80">
        <f t="shared" si="30"/>
        <v>0</v>
      </c>
      <c r="Y45" s="80">
        <f t="shared" si="30"/>
        <v>0</v>
      </c>
      <c r="Z45" s="80">
        <f t="shared" si="30"/>
        <v>0</v>
      </c>
      <c r="AA45" s="175"/>
    </row>
    <row r="46" spans="1:27" outlineLevel="1" x14ac:dyDescent="0.25">
      <c r="A46" s="36" t="str">
        <f t="shared" si="3"/>
        <v>HIFO 75D</v>
      </c>
      <c r="B46" s="36"/>
      <c r="D46" s="30" t="s">
        <v>58</v>
      </c>
      <c r="E46" s="9" t="s">
        <v>10</v>
      </c>
      <c r="F46" s="74">
        <f>SUMIFS('ФОТ, МТР, макро'!$AB$4:$AB$31,'ФОТ, МТР, макро'!$W$4:$W$31,$A46)</f>
        <v>811.69314000000008</v>
      </c>
      <c r="G46" s="83">
        <f>F46</f>
        <v>811.69314000000008</v>
      </c>
      <c r="H46" s="83">
        <f t="shared" ref="H46:Z46" si="31">G46</f>
        <v>811.69314000000008</v>
      </c>
      <c r="I46" s="83">
        <f t="shared" si="31"/>
        <v>811.69314000000008</v>
      </c>
      <c r="J46" s="83">
        <f t="shared" si="31"/>
        <v>811.69314000000008</v>
      </c>
      <c r="K46" s="83">
        <f t="shared" si="31"/>
        <v>811.69314000000008</v>
      </c>
      <c r="L46" s="83">
        <f t="shared" si="31"/>
        <v>811.69314000000008</v>
      </c>
      <c r="M46" s="83">
        <f t="shared" si="31"/>
        <v>811.69314000000008</v>
      </c>
      <c r="N46" s="83">
        <f t="shared" si="31"/>
        <v>811.69314000000008</v>
      </c>
      <c r="O46" s="83">
        <f t="shared" si="31"/>
        <v>811.69314000000008</v>
      </c>
      <c r="P46" s="83">
        <f t="shared" si="31"/>
        <v>811.69314000000008</v>
      </c>
      <c r="Q46" s="83">
        <f t="shared" si="31"/>
        <v>811.69314000000008</v>
      </c>
      <c r="R46" s="83">
        <f t="shared" si="31"/>
        <v>811.69314000000008</v>
      </c>
      <c r="S46" s="83">
        <f t="shared" si="31"/>
        <v>811.69314000000008</v>
      </c>
      <c r="T46" s="83">
        <f t="shared" si="31"/>
        <v>811.69314000000008</v>
      </c>
      <c r="U46" s="83">
        <f t="shared" si="31"/>
        <v>811.69314000000008</v>
      </c>
      <c r="V46" s="83">
        <f t="shared" si="31"/>
        <v>811.69314000000008</v>
      </c>
      <c r="W46" s="83">
        <f t="shared" si="31"/>
        <v>811.69314000000008</v>
      </c>
      <c r="X46" s="83">
        <f t="shared" si="31"/>
        <v>811.69314000000008</v>
      </c>
      <c r="Y46" s="83">
        <f t="shared" si="31"/>
        <v>811.69314000000008</v>
      </c>
      <c r="Z46" s="83">
        <f t="shared" si="31"/>
        <v>811.69314000000008</v>
      </c>
      <c r="AA46" s="175"/>
    </row>
    <row r="47" spans="1:27" outlineLevel="1" x14ac:dyDescent="0.25">
      <c r="A47" s="36" t="str">
        <f t="shared" si="3"/>
        <v>HIFO 75D</v>
      </c>
      <c r="B47" s="36"/>
      <c r="D47" s="30" t="s">
        <v>59</v>
      </c>
      <c r="E47" s="9" t="s">
        <v>60</v>
      </c>
      <c r="F47" s="74">
        <f>SUMIFS('ФОТ, МТР, макро'!$AC$4:$AC$31,'ФОТ, МТР, макро'!$W$4:$W$31,$A47)</f>
        <v>15</v>
      </c>
      <c r="G47" s="83">
        <f>F47</f>
        <v>15</v>
      </c>
      <c r="H47" s="83">
        <f t="shared" ref="H47:Z47" si="32">G47</f>
        <v>15</v>
      </c>
      <c r="I47" s="83">
        <f t="shared" si="32"/>
        <v>15</v>
      </c>
      <c r="J47" s="83">
        <f t="shared" si="32"/>
        <v>15</v>
      </c>
      <c r="K47" s="83">
        <f t="shared" si="32"/>
        <v>15</v>
      </c>
      <c r="L47" s="83">
        <f t="shared" si="32"/>
        <v>15</v>
      </c>
      <c r="M47" s="83">
        <f t="shared" si="32"/>
        <v>15</v>
      </c>
      <c r="N47" s="83">
        <f t="shared" si="32"/>
        <v>15</v>
      </c>
      <c r="O47" s="83">
        <f t="shared" si="32"/>
        <v>15</v>
      </c>
      <c r="P47" s="83">
        <f t="shared" si="32"/>
        <v>15</v>
      </c>
      <c r="Q47" s="83">
        <f t="shared" si="32"/>
        <v>15</v>
      </c>
      <c r="R47" s="83">
        <f t="shared" si="32"/>
        <v>15</v>
      </c>
      <c r="S47" s="83">
        <f t="shared" si="32"/>
        <v>15</v>
      </c>
      <c r="T47" s="83">
        <f t="shared" si="32"/>
        <v>15</v>
      </c>
      <c r="U47" s="83">
        <f t="shared" si="32"/>
        <v>15</v>
      </c>
      <c r="V47" s="83">
        <f t="shared" si="32"/>
        <v>15</v>
      </c>
      <c r="W47" s="83">
        <f t="shared" si="32"/>
        <v>15</v>
      </c>
      <c r="X47" s="83">
        <f t="shared" si="32"/>
        <v>15</v>
      </c>
      <c r="Y47" s="83">
        <f t="shared" si="32"/>
        <v>15</v>
      </c>
      <c r="Z47" s="83">
        <f t="shared" si="32"/>
        <v>15</v>
      </c>
      <c r="AA47" s="175"/>
    </row>
    <row r="48" spans="1:27" outlineLevel="1" x14ac:dyDescent="0.25">
      <c r="A48" s="36" t="str">
        <f t="shared" si="3"/>
        <v>HIFO 75D</v>
      </c>
      <c r="B48" s="36"/>
      <c r="C48" s="86">
        <f>SUMIFS('ФОТ, МТР, макро'!$AF$4:$AF$31,'ФОТ, МТР, макро'!$W$4:$W$31,$A48)</f>
        <v>19.672131147540984</v>
      </c>
      <c r="D48" s="85" t="s">
        <v>61</v>
      </c>
      <c r="E48" s="64" t="str">
        <f>E15</f>
        <v>тыс. руб.</v>
      </c>
      <c r="F48" s="80"/>
      <c r="G48" s="87">
        <f>IF(G8&lt;=$C49,$F53*$C48%,"ОШИБКА")</f>
        <v>0</v>
      </c>
      <c r="H48" s="71">
        <f>IF(H8&lt;=$C49,$F53*$C48%,$F53-SUM($G48:G48))</f>
        <v>0</v>
      </c>
      <c r="I48" s="71">
        <f>IF(I8&lt;=$C49,$F53*$C48%,$F53-SUM($G48:H48))</f>
        <v>0</v>
      </c>
      <c r="J48" s="71">
        <f>IF(J8&lt;=$C49,$F53*$C48%,$F53-SUM($G48:I48))</f>
        <v>0</v>
      </c>
      <c r="K48" s="71">
        <f>IF(K8&lt;=$C49,$F53*$C48%,$F53-SUM($G48:J48))</f>
        <v>0</v>
      </c>
      <c r="L48" s="71">
        <f>IF(L8&lt;=$C49,$F53*$C48%,$F53-SUM($G48:K48))</f>
        <v>0</v>
      </c>
      <c r="M48" s="71">
        <f>IF(M8&lt;=$C49,$F53*$C48%,$F53-SUM($G48:L48))</f>
        <v>0</v>
      </c>
      <c r="N48" s="71">
        <f>IF(N8&lt;=$C49,$F53*$C48%,$F53-SUM($G48:M48))</f>
        <v>0</v>
      </c>
      <c r="O48" s="71">
        <f>IF(O8&lt;=$C49,$F53*$C48%,$F53-SUM($G48:N48))</f>
        <v>0</v>
      </c>
      <c r="P48" s="71">
        <f>IF(P8&lt;=$C49,$F53*$C48%,$F53-SUM($G48:O48))</f>
        <v>0</v>
      </c>
      <c r="Q48" s="71">
        <f>IF(Q8&lt;=$C49,$F53*$C48%,$F53-SUM($G48:P48))</f>
        <v>0</v>
      </c>
      <c r="R48" s="71">
        <f>IF(R8&lt;=$C49,$F53*$C48%,$F53-SUM($G48:Q48))</f>
        <v>0</v>
      </c>
      <c r="S48" s="71">
        <f>IF(S8&lt;=$C49,$F53*$C48%,$F53-SUM($G48:R48))</f>
        <v>0</v>
      </c>
      <c r="T48" s="71">
        <f>IF(T8&lt;=$C49,$F53*$C48%,$F53-SUM($G48:S48))</f>
        <v>0</v>
      </c>
      <c r="U48" s="71">
        <f>IF(U8&lt;=$C49,$F53*$C48%,$F53-SUM($G48:T48))</f>
        <v>0</v>
      </c>
      <c r="V48" s="71">
        <f>IF(V8&lt;=$C49,$F53*$C48%,$F53-SUM($G48:U48))</f>
        <v>0</v>
      </c>
      <c r="W48" s="71">
        <f>IF(W8&lt;=$C49,$F53*$C48%,$F53-SUM($G48:V48))</f>
        <v>0</v>
      </c>
      <c r="X48" s="71">
        <f>IF(X8&lt;=$C49,$F53*$C48%,$F53-SUM($G48:W48))</f>
        <v>0</v>
      </c>
      <c r="Y48" s="71">
        <f>IF(Y8&lt;=$C49,$F53*$C48%,$F53-SUM($G48:X48))</f>
        <v>0</v>
      </c>
      <c r="Z48" s="71">
        <f>IF(Z8&lt;=$C49,$F53*$C48%,$F53-SUM($G48:Y48))</f>
        <v>0</v>
      </c>
      <c r="AA48" s="175"/>
    </row>
    <row r="49" spans="1:28" outlineLevel="1" x14ac:dyDescent="0.25">
      <c r="A49" s="36" t="str">
        <f t="shared" si="3"/>
        <v>HIFO 75D</v>
      </c>
      <c r="B49" s="36"/>
      <c r="C49" s="86">
        <f>SUMIFS('ФОТ, МТР, макро'!$AE$4:$AE$31,'ФОТ, МТР, макро'!$W$4:$W$31,$A49)/12</f>
        <v>5.083333333333333</v>
      </c>
      <c r="D49" s="85" t="s">
        <v>62</v>
      </c>
      <c r="E49" s="64" t="str">
        <f>E15</f>
        <v>тыс. руб.</v>
      </c>
      <c r="F49" s="65"/>
      <c r="G49" s="65">
        <f t="shared" ref="G49:Z49" si="33">SUM(G16,G21,G23,G27,G31,G33,G42,G45,G48)</f>
        <v>57641.729207225741</v>
      </c>
      <c r="H49" s="65">
        <f t="shared" si="33"/>
        <v>80621.723899997174</v>
      </c>
      <c r="I49" s="65">
        <f t="shared" si="33"/>
        <v>109178.09004838088</v>
      </c>
      <c r="J49" s="65">
        <f t="shared" si="33"/>
        <v>97618.476032992636</v>
      </c>
      <c r="K49" s="65">
        <f t="shared" si="33"/>
        <v>113771.40377111662</v>
      </c>
      <c r="L49" s="65">
        <f t="shared" si="33"/>
        <v>94585.629767750725</v>
      </c>
      <c r="M49" s="65">
        <f t="shared" si="33"/>
        <v>101033.85094786674</v>
      </c>
      <c r="N49" s="65">
        <f t="shared" si="33"/>
        <v>101245.08062449671</v>
      </c>
      <c r="O49" s="65">
        <f t="shared" si="33"/>
        <v>125504.78486261553</v>
      </c>
      <c r="P49" s="65">
        <f t="shared" si="33"/>
        <v>71012.329325328988</v>
      </c>
      <c r="Q49" s="65">
        <f t="shared" si="33"/>
        <v>0</v>
      </c>
      <c r="R49" s="65">
        <f t="shared" si="33"/>
        <v>0</v>
      </c>
      <c r="S49" s="65">
        <f t="shared" si="33"/>
        <v>0</v>
      </c>
      <c r="T49" s="65">
        <f t="shared" si="33"/>
        <v>0</v>
      </c>
      <c r="U49" s="65">
        <f t="shared" si="33"/>
        <v>0</v>
      </c>
      <c r="V49" s="65">
        <f t="shared" si="33"/>
        <v>0</v>
      </c>
      <c r="W49" s="65">
        <f t="shared" si="33"/>
        <v>0</v>
      </c>
      <c r="X49" s="65">
        <f t="shared" si="33"/>
        <v>0</v>
      </c>
      <c r="Y49" s="65">
        <f t="shared" si="33"/>
        <v>0</v>
      </c>
      <c r="Z49" s="65">
        <f t="shared" si="33"/>
        <v>0</v>
      </c>
      <c r="AA49" s="175"/>
      <c r="AB49" s="39"/>
    </row>
    <row r="50" spans="1:28" outlineLevel="1" x14ac:dyDescent="0.25">
      <c r="A50" s="36" t="str">
        <f t="shared" si="3"/>
        <v>HIFO 75D</v>
      </c>
      <c r="B50" s="36"/>
      <c r="D50" s="85" t="s">
        <v>63</v>
      </c>
      <c r="E50" s="64" t="str">
        <f>E15</f>
        <v>тыс. руб.</v>
      </c>
      <c r="F50" s="65"/>
      <c r="G50" s="65">
        <f>-G49*'ФОТ, МТР, макро'!AJ$12</f>
        <v>-14410.432301806435</v>
      </c>
      <c r="H50" s="65">
        <f>-H49*'ФОТ, МТР, макро'!AK$12</f>
        <v>-20155.430974999294</v>
      </c>
      <c r="I50" s="65">
        <f>-I49*'ФОТ, МТР, макро'!AL$12</f>
        <v>-27294.52251209522</v>
      </c>
      <c r="J50" s="65">
        <f>-J49*'ФОТ, МТР, макро'!AM$12</f>
        <v>-24404.619008248159</v>
      </c>
      <c r="K50" s="65">
        <f>-K49*'ФОТ, МТР, макро'!AN$12</f>
        <v>-28442.850942779154</v>
      </c>
      <c r="L50" s="65">
        <f>-L49*'ФОТ, МТР, макро'!AO$12</f>
        <v>-23646.407441937681</v>
      </c>
      <c r="M50" s="65">
        <f>-M49*'ФОТ, МТР, макро'!AP$12</f>
        <v>-25258.462736966685</v>
      </c>
      <c r="N50" s="65">
        <f>-N49*'ФОТ, МТР, макро'!AQ$12</f>
        <v>-25311.270156124177</v>
      </c>
      <c r="O50" s="65">
        <f>-O49*'ФОТ, МТР, макро'!AR$12</f>
        <v>-31376.196215653883</v>
      </c>
      <c r="P50" s="65">
        <f>-P49*'ФОТ, МТР, макро'!AS$12</f>
        <v>-17753.082331332247</v>
      </c>
      <c r="Q50" s="65">
        <f>-Q49*'ФОТ, МТР, макро'!AT$12</f>
        <v>0</v>
      </c>
      <c r="R50" s="65">
        <f>-R49*'ФОТ, МТР, макро'!AU$12</f>
        <v>0</v>
      </c>
      <c r="S50" s="65">
        <f>-S49*'ФОТ, МТР, макро'!AV$12</f>
        <v>0</v>
      </c>
      <c r="T50" s="65">
        <f>-T49*'ФОТ, МТР, макро'!AW$12</f>
        <v>0</v>
      </c>
      <c r="U50" s="65">
        <f>-U49*'ФОТ, МТР, макро'!AX$12</f>
        <v>0</v>
      </c>
      <c r="V50" s="65">
        <f>-V49*'ФОТ, МТР, макро'!AY$12</f>
        <v>0</v>
      </c>
      <c r="W50" s="65">
        <f>-W49*'ФОТ, МТР, макро'!AZ$12</f>
        <v>0</v>
      </c>
      <c r="X50" s="65">
        <f>-X49*'ФОТ, МТР, макро'!BA$12</f>
        <v>0</v>
      </c>
      <c r="Y50" s="65">
        <f>-Y49*'ФОТ, МТР, макро'!BB$12</f>
        <v>0</v>
      </c>
      <c r="Z50" s="65">
        <f>-Z49*'ФОТ, МТР, макро'!BC$12</f>
        <v>0</v>
      </c>
      <c r="AA50" s="175"/>
    </row>
    <row r="51" spans="1:28" outlineLevel="1" x14ac:dyDescent="0.25">
      <c r="A51" s="36" t="str">
        <f t="shared" si="3"/>
        <v>HIFO 75D</v>
      </c>
      <c r="B51" s="36"/>
      <c r="D51" s="88"/>
      <c r="E51" s="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75"/>
    </row>
    <row r="52" spans="1:28" outlineLevel="1" x14ac:dyDescent="0.25">
      <c r="A52" s="36" t="str">
        <f t="shared" si="3"/>
        <v>HIFO 75D</v>
      </c>
      <c r="B52" s="36"/>
      <c r="D52" s="66" t="s">
        <v>64</v>
      </c>
      <c r="E52" s="67" t="str">
        <f>E15</f>
        <v>тыс. руб.</v>
      </c>
      <c r="F52" s="68">
        <f>F53</f>
        <v>0</v>
      </c>
      <c r="G52" s="68">
        <f t="shared" ref="G52:Z52" si="34">G53</f>
        <v>0</v>
      </c>
      <c r="H52" s="68">
        <f t="shared" si="34"/>
        <v>0</v>
      </c>
      <c r="I52" s="68">
        <f t="shared" si="34"/>
        <v>0</v>
      </c>
      <c r="J52" s="68">
        <f t="shared" si="34"/>
        <v>0</v>
      </c>
      <c r="K52" s="68">
        <f t="shared" si="34"/>
        <v>0</v>
      </c>
      <c r="L52" s="68">
        <f t="shared" si="34"/>
        <v>0</v>
      </c>
      <c r="M52" s="68">
        <f t="shared" si="34"/>
        <v>0</v>
      </c>
      <c r="N52" s="68">
        <f t="shared" si="34"/>
        <v>0</v>
      </c>
      <c r="O52" s="68">
        <f t="shared" si="34"/>
        <v>0</v>
      </c>
      <c r="P52" s="68">
        <f t="shared" si="34"/>
        <v>0</v>
      </c>
      <c r="Q52" s="68">
        <f t="shared" si="34"/>
        <v>0</v>
      </c>
      <c r="R52" s="68">
        <f t="shared" si="34"/>
        <v>0</v>
      </c>
      <c r="S52" s="68">
        <f t="shared" si="34"/>
        <v>0</v>
      </c>
      <c r="T52" s="68">
        <f t="shared" si="34"/>
        <v>0</v>
      </c>
      <c r="U52" s="68">
        <f t="shared" si="34"/>
        <v>0</v>
      </c>
      <c r="V52" s="68">
        <f t="shared" si="34"/>
        <v>0</v>
      </c>
      <c r="W52" s="68">
        <f t="shared" si="34"/>
        <v>0</v>
      </c>
      <c r="X52" s="68">
        <f t="shared" si="34"/>
        <v>0</v>
      </c>
      <c r="Y52" s="68">
        <f t="shared" si="34"/>
        <v>0</v>
      </c>
      <c r="Z52" s="68">
        <f t="shared" si="34"/>
        <v>0</v>
      </c>
      <c r="AA52" s="175"/>
    </row>
    <row r="53" spans="1:28" outlineLevel="1" x14ac:dyDescent="0.25">
      <c r="A53" s="36" t="str">
        <f t="shared" si="3"/>
        <v>HIFO 75D</v>
      </c>
      <c r="B53" s="36"/>
      <c r="D53" s="88" t="s">
        <v>206</v>
      </c>
      <c r="E53" s="9" t="str">
        <f>E52</f>
        <v>тыс. руб.</v>
      </c>
      <c r="F53" s="74">
        <f>SUMIFS('Свод_250-270_диз'!$D$33:$P$33,'Свод_250-270_диз'!$D$19:$P$19,$A53)</f>
        <v>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175"/>
    </row>
    <row r="54" spans="1:28" outlineLevel="1" x14ac:dyDescent="0.25">
      <c r="A54" s="36" t="str">
        <f t="shared" si="3"/>
        <v>HIFO 75D</v>
      </c>
      <c r="B54" s="36"/>
      <c r="D54" s="88"/>
      <c r="E54" s="9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175"/>
    </row>
    <row r="55" spans="1:28" outlineLevel="1" x14ac:dyDescent="0.25">
      <c r="A55" s="36" t="str">
        <f t="shared" si="3"/>
        <v>HIFO 75D</v>
      </c>
      <c r="B55" s="36"/>
      <c r="D55" s="66" t="s">
        <v>65</v>
      </c>
      <c r="E55" s="67" t="str">
        <f>E15</f>
        <v>тыс. руб.</v>
      </c>
      <c r="F55" s="68">
        <f t="shared" ref="F55:Z55" si="35">F15+F52</f>
        <v>0</v>
      </c>
      <c r="G55" s="68">
        <f t="shared" si="35"/>
        <v>43231.296905419309</v>
      </c>
      <c r="H55" s="68">
        <f t="shared" si="35"/>
        <v>60466.292924997877</v>
      </c>
      <c r="I55" s="68">
        <f t="shared" si="35"/>
        <v>81883.567536285656</v>
      </c>
      <c r="J55" s="68">
        <f t="shared" si="35"/>
        <v>73213.857024744473</v>
      </c>
      <c r="K55" s="68">
        <f t="shared" si="35"/>
        <v>85328.552828337459</v>
      </c>
      <c r="L55" s="68">
        <f t="shared" si="35"/>
        <v>70939.22232581304</v>
      </c>
      <c r="M55" s="68">
        <f t="shared" si="35"/>
        <v>75775.388210900055</v>
      </c>
      <c r="N55" s="68">
        <f t="shared" si="35"/>
        <v>75933.81046837254</v>
      </c>
      <c r="O55" s="68">
        <f t="shared" si="35"/>
        <v>94128.588646961653</v>
      </c>
      <c r="P55" s="68">
        <f t="shared" si="35"/>
        <v>53259.246993996741</v>
      </c>
      <c r="Q55" s="68">
        <f t="shared" si="35"/>
        <v>0</v>
      </c>
      <c r="R55" s="68">
        <f t="shared" si="35"/>
        <v>0</v>
      </c>
      <c r="S55" s="68">
        <f t="shared" si="35"/>
        <v>0</v>
      </c>
      <c r="T55" s="68">
        <f t="shared" si="35"/>
        <v>0</v>
      </c>
      <c r="U55" s="68">
        <f t="shared" si="35"/>
        <v>0</v>
      </c>
      <c r="V55" s="68">
        <f t="shared" si="35"/>
        <v>0</v>
      </c>
      <c r="W55" s="68">
        <f t="shared" si="35"/>
        <v>0</v>
      </c>
      <c r="X55" s="68">
        <f t="shared" si="35"/>
        <v>0</v>
      </c>
      <c r="Y55" s="68">
        <f t="shared" si="35"/>
        <v>0</v>
      </c>
      <c r="Z55" s="68">
        <f t="shared" si="35"/>
        <v>0</v>
      </c>
      <c r="AA55" s="175"/>
    </row>
    <row r="56" spans="1:28" ht="27.2" outlineLevel="1" x14ac:dyDescent="0.25">
      <c r="A56" s="36" t="str">
        <f t="shared" si="3"/>
        <v>HIFO 75D</v>
      </c>
      <c r="B56" s="36"/>
      <c r="D56" s="63" t="s">
        <v>66</v>
      </c>
      <c r="E56" s="64" t="str">
        <f>E55</f>
        <v>тыс. руб.</v>
      </c>
      <c r="F56" s="89"/>
      <c r="G56" s="65">
        <f>G15*'ФОТ, МТР, макро'!AJ$14</f>
        <v>38599.372236981522</v>
      </c>
      <c r="H56" s="65">
        <f>H15*'ФОТ, МТР, макро'!AK$14</f>
        <v>48203.35851801488</v>
      </c>
      <c r="I56" s="65">
        <f>I15*'ФОТ, МТР, макро'!AL$14</f>
        <v>58283.10599282357</v>
      </c>
      <c r="J56" s="65">
        <f>J15*'ФОТ, МТР, макро'!AM$14</f>
        <v>46528.729728971652</v>
      </c>
      <c r="K56" s="65">
        <f>K15*'ФОТ, МТР, макро'!AN$14</f>
        <v>48417.71243440191</v>
      </c>
      <c r="L56" s="65">
        <f>L15*'ФОТ, МТР, макро'!AO$14</f>
        <v>35940.017742373879</v>
      </c>
      <c r="M56" s="65">
        <f>M15*'ФОТ, МТР, макро'!AP$14</f>
        <v>34276.937399049122</v>
      </c>
      <c r="N56" s="65">
        <f>N15*'ФОТ, МТР, макро'!AQ$14</f>
        <v>30668.39248473991</v>
      </c>
      <c r="O56" s="65">
        <f>O15*'ФОТ, МТР, макро'!AR$14</f>
        <v>33943.712703461664</v>
      </c>
      <c r="P56" s="65">
        <f>P15*'ФОТ, МТР, макро'!AS$14</f>
        <v>17148.052133040426</v>
      </c>
      <c r="Q56" s="65">
        <f>Q15*'ФОТ, МТР, макро'!AT$14</f>
        <v>0</v>
      </c>
      <c r="R56" s="65">
        <f>R15*'ФОТ, МТР, макро'!AU$14</f>
        <v>0</v>
      </c>
      <c r="S56" s="65">
        <f>S15*'ФОТ, МТР, макро'!AV$14</f>
        <v>0</v>
      </c>
      <c r="T56" s="65">
        <f>T15*'ФОТ, МТР, макро'!AW$14</f>
        <v>0</v>
      </c>
      <c r="U56" s="65">
        <f>U15*'ФОТ, МТР, макро'!AX$14</f>
        <v>0</v>
      </c>
      <c r="V56" s="65">
        <f>V15*'ФОТ, МТР, макро'!AY$14</f>
        <v>0</v>
      </c>
      <c r="W56" s="65">
        <f>W15*'ФОТ, МТР, макро'!AZ$14</f>
        <v>0</v>
      </c>
      <c r="X56" s="65">
        <f>X15*'ФОТ, МТР, макро'!BA$14</f>
        <v>0</v>
      </c>
      <c r="Y56" s="65">
        <f>Y15*'ФОТ, МТР, макро'!BB$14</f>
        <v>0</v>
      </c>
      <c r="Z56" s="65">
        <f>Z15*'ФОТ, МТР, макро'!BC$14</f>
        <v>0</v>
      </c>
      <c r="AA56" s="175"/>
    </row>
    <row r="57" spans="1:28" outlineLevel="1" x14ac:dyDescent="0.25">
      <c r="A57" s="36" t="str">
        <f t="shared" si="3"/>
        <v>HIFO 75D</v>
      </c>
      <c r="B57" s="36"/>
      <c r="D57" s="17" t="str">
        <f>D16</f>
        <v>ТО, ТР, ППР</v>
      </c>
      <c r="E57" s="9" t="str">
        <f>E56</f>
        <v>тыс. руб.</v>
      </c>
      <c r="F57" s="90"/>
      <c r="G57" s="70">
        <f>G16*'ФОТ, МТР, макро'!AJ$14</f>
        <v>10289.986897769139</v>
      </c>
      <c r="H57" s="70">
        <f>H16*'ФОТ, МТР, макро'!AK$14</f>
        <v>28218.509599710484</v>
      </c>
      <c r="I57" s="70">
        <f>I16*'ФОТ, МТР, макро'!AL$14</f>
        <v>45845.784371387468</v>
      </c>
      <c r="J57" s="70">
        <f>J16*'ФОТ, МТР, макро'!AM$14</f>
        <v>33339.127783777425</v>
      </c>
      <c r="K57" s="70">
        <f>K16*'ФОТ, МТР, макро'!AN$14</f>
        <v>38832.565631328194</v>
      </c>
      <c r="L57" s="70">
        <f>L16*'ФОТ, МТР, макро'!AO$14</f>
        <v>25399.696019393443</v>
      </c>
      <c r="M57" s="70">
        <f>M16*'ФОТ, МТР, макро'!AP$14</f>
        <v>25377.02802892738</v>
      </c>
      <c r="N57" s="70">
        <f>N16*'ФОТ, МТР, макро'!AQ$14</f>
        <v>22576.535978817334</v>
      </c>
      <c r="O57" s="70">
        <f>O16*'ФОТ, МТР, макро'!AR$14</f>
        <v>29122.778378292973</v>
      </c>
      <c r="P57" s="70">
        <f>P16*'ФОТ, МТР, макро'!AS$14</f>
        <v>8459.873286579963</v>
      </c>
      <c r="Q57" s="70">
        <f>Q16*'ФОТ, МТР, макро'!AT$14</f>
        <v>0</v>
      </c>
      <c r="R57" s="70">
        <f>R16*'ФОТ, МТР, макро'!AU$14</f>
        <v>0</v>
      </c>
      <c r="S57" s="70">
        <f>S16*'ФОТ, МТР, макро'!AV$14</f>
        <v>0</v>
      </c>
      <c r="T57" s="70">
        <f>T16*'ФОТ, МТР, макро'!AW$14</f>
        <v>0</v>
      </c>
      <c r="U57" s="70">
        <f>U16*'ФОТ, МТР, макро'!AX$14</f>
        <v>0</v>
      </c>
      <c r="V57" s="70">
        <f>V16*'ФОТ, МТР, макро'!AY$14</f>
        <v>0</v>
      </c>
      <c r="W57" s="70">
        <f>W16*'ФОТ, МТР, макро'!AZ$14</f>
        <v>0</v>
      </c>
      <c r="X57" s="70">
        <f>X16*'ФОТ, МТР, макро'!BA$14</f>
        <v>0</v>
      </c>
      <c r="Y57" s="70">
        <f>Y16*'ФОТ, МТР, макро'!BB$14</f>
        <v>0</v>
      </c>
      <c r="Z57" s="70">
        <f>Z16*'ФОТ, МТР, макро'!BC$14</f>
        <v>0</v>
      </c>
      <c r="AA57" s="175"/>
    </row>
    <row r="58" spans="1:28" outlineLevel="1" x14ac:dyDescent="0.25">
      <c r="A58" s="36" t="str">
        <f t="shared" si="3"/>
        <v>HIFO 75D</v>
      </c>
      <c r="B58" s="36"/>
      <c r="D58" s="17" t="str">
        <f>D21</f>
        <v>Смазочные</v>
      </c>
      <c r="E58" s="9" t="str">
        <f t="shared" ref="E58:E65" si="36">E57</f>
        <v>тыс. руб.</v>
      </c>
      <c r="F58" s="90"/>
      <c r="G58" s="70">
        <f>G21*'ФОТ, МТР, макро'!AJ$14</f>
        <v>0</v>
      </c>
      <c r="H58" s="70">
        <f>H21*'ФОТ, МТР, макро'!AK$14</f>
        <v>0</v>
      </c>
      <c r="I58" s="70">
        <f>I21*'ФОТ, МТР, макро'!AL$14</f>
        <v>0</v>
      </c>
      <c r="J58" s="70">
        <f>J21*'ФОТ, МТР, макро'!AM$14</f>
        <v>0</v>
      </c>
      <c r="K58" s="70">
        <f>K21*'ФОТ, МТР, макро'!AN$14</f>
        <v>0</v>
      </c>
      <c r="L58" s="70">
        <f>L21*'ФОТ, МТР, макро'!AO$14</f>
        <v>0</v>
      </c>
      <c r="M58" s="70">
        <f>M21*'ФОТ, МТР, макро'!AP$14</f>
        <v>0</v>
      </c>
      <c r="N58" s="70">
        <f>N21*'ФОТ, МТР, макро'!AQ$14</f>
        <v>0</v>
      </c>
      <c r="O58" s="70">
        <f>O21*'ФОТ, МТР, макро'!AR$14</f>
        <v>0</v>
      </c>
      <c r="P58" s="70">
        <f>P21*'ФОТ, МТР, макро'!AS$14</f>
        <v>0</v>
      </c>
      <c r="Q58" s="70">
        <f>Q21*'ФОТ, МТР, макро'!AT$14</f>
        <v>0</v>
      </c>
      <c r="R58" s="70">
        <f>R21*'ФОТ, МТР, макро'!AU$14</f>
        <v>0</v>
      </c>
      <c r="S58" s="70">
        <f>S21*'ФОТ, МТР, макро'!AV$14</f>
        <v>0</v>
      </c>
      <c r="T58" s="70">
        <f>T21*'ФОТ, МТР, макро'!AW$14</f>
        <v>0</v>
      </c>
      <c r="U58" s="70">
        <f>U21*'ФОТ, МТР, макро'!AX$14</f>
        <v>0</v>
      </c>
      <c r="V58" s="70">
        <f>V21*'ФОТ, МТР, макро'!AY$14</f>
        <v>0</v>
      </c>
      <c r="W58" s="70">
        <f>W21*'ФОТ, МТР, макро'!AZ$14</f>
        <v>0</v>
      </c>
      <c r="X58" s="70">
        <f>X21*'ФОТ, МТР, макро'!BA$14</f>
        <v>0</v>
      </c>
      <c r="Y58" s="70">
        <f>Y21*'ФОТ, МТР, макро'!BB$14</f>
        <v>0</v>
      </c>
      <c r="Z58" s="70">
        <f>Z21*'ФОТ, МТР, макро'!BC$14</f>
        <v>0</v>
      </c>
      <c r="AA58" s="175"/>
    </row>
    <row r="59" spans="1:28" outlineLevel="1" x14ac:dyDescent="0.25">
      <c r="A59" s="36" t="str">
        <f t="shared" si="3"/>
        <v>HIFO 75D</v>
      </c>
      <c r="B59" s="36"/>
      <c r="D59" s="17" t="str">
        <f>D23</f>
        <v>Долота</v>
      </c>
      <c r="E59" s="9" t="str">
        <f t="shared" si="36"/>
        <v>тыс. руб.</v>
      </c>
      <c r="F59" s="90"/>
      <c r="G59" s="70">
        <f>G23*'ФОТ, МТР, макро'!AJ$14</f>
        <v>0</v>
      </c>
      <c r="H59" s="70">
        <f>H23*'ФОТ, МТР, макро'!AK$14</f>
        <v>0</v>
      </c>
      <c r="I59" s="70">
        <f>I23*'ФОТ, МТР, макро'!AL$14</f>
        <v>0</v>
      </c>
      <c r="J59" s="70">
        <f>J23*'ФОТ, МТР, макро'!AM$14</f>
        <v>0</v>
      </c>
      <c r="K59" s="70">
        <f>K23*'ФОТ, МТР, макро'!AN$14</f>
        <v>0</v>
      </c>
      <c r="L59" s="70">
        <f>L23*'ФОТ, МТР, макро'!AO$14</f>
        <v>0</v>
      </c>
      <c r="M59" s="70">
        <f>M23*'ФОТ, МТР, макро'!AP$14</f>
        <v>0</v>
      </c>
      <c r="N59" s="70">
        <f>N23*'ФОТ, МТР, макро'!AQ$14</f>
        <v>0</v>
      </c>
      <c r="O59" s="70">
        <f>O23*'ФОТ, МТР, макро'!AR$14</f>
        <v>0</v>
      </c>
      <c r="P59" s="70">
        <f>P23*'ФОТ, МТР, макро'!AS$14</f>
        <v>0</v>
      </c>
      <c r="Q59" s="70">
        <f>Q23*'ФОТ, МТР, макро'!AT$14</f>
        <v>0</v>
      </c>
      <c r="R59" s="70">
        <f>R23*'ФОТ, МТР, макро'!AU$14</f>
        <v>0</v>
      </c>
      <c r="S59" s="70">
        <f>S23*'ФОТ, МТР, макро'!AV$14</f>
        <v>0</v>
      </c>
      <c r="T59" s="70">
        <f>T23*'ФОТ, МТР, макро'!AW$14</f>
        <v>0</v>
      </c>
      <c r="U59" s="70">
        <f>U23*'ФОТ, МТР, макро'!AX$14</f>
        <v>0</v>
      </c>
      <c r="V59" s="70">
        <f>V23*'ФОТ, МТР, макро'!AY$14</f>
        <v>0</v>
      </c>
      <c r="W59" s="70">
        <f>W23*'ФОТ, МТР, макро'!AZ$14</f>
        <v>0</v>
      </c>
      <c r="X59" s="70">
        <f>X23*'ФОТ, МТР, макро'!BA$14</f>
        <v>0</v>
      </c>
      <c r="Y59" s="70">
        <f>Y23*'ФОТ, МТР, макро'!BB$14</f>
        <v>0</v>
      </c>
      <c r="Z59" s="70">
        <f>Z23*'ФОТ, МТР, макро'!BC$14</f>
        <v>0</v>
      </c>
      <c r="AA59" s="175"/>
    </row>
    <row r="60" spans="1:28" outlineLevel="1" x14ac:dyDescent="0.25">
      <c r="A60" s="36" t="str">
        <f t="shared" si="3"/>
        <v>HIFO 75D</v>
      </c>
      <c r="B60" s="36"/>
      <c r="D60" s="17" t="str">
        <f>D27</f>
        <v>Штанги буровые</v>
      </c>
      <c r="E60" s="9" t="str">
        <f t="shared" si="36"/>
        <v>тыс. руб.</v>
      </c>
      <c r="F60" s="90"/>
      <c r="G60" s="70">
        <f>G27*'ФОТ, МТР, макро'!AJ$14</f>
        <v>0</v>
      </c>
      <c r="H60" s="70">
        <f>H27*'ФОТ, МТР, макро'!AK$14</f>
        <v>0</v>
      </c>
      <c r="I60" s="70">
        <f>I27*'ФОТ, МТР, макро'!AL$14</f>
        <v>0</v>
      </c>
      <c r="J60" s="70">
        <f>J27*'ФОТ, МТР, макро'!AM$14</f>
        <v>0</v>
      </c>
      <c r="K60" s="70">
        <f>K27*'ФОТ, МТР, макро'!AN$14</f>
        <v>0</v>
      </c>
      <c r="L60" s="70">
        <f>L27*'ФОТ, МТР, макро'!AO$14</f>
        <v>0</v>
      </c>
      <c r="M60" s="70">
        <f>M27*'ФОТ, МТР, макро'!AP$14</f>
        <v>0</v>
      </c>
      <c r="N60" s="70">
        <f>N27*'ФОТ, МТР, макро'!AQ$14</f>
        <v>0</v>
      </c>
      <c r="O60" s="70">
        <f>O27*'ФОТ, МТР, макро'!AR$14</f>
        <v>0</v>
      </c>
      <c r="P60" s="70">
        <f>P27*'ФОТ, МТР, макро'!AS$14</f>
        <v>0</v>
      </c>
      <c r="Q60" s="70">
        <f>Q27*'ФОТ, МТР, макро'!AT$14</f>
        <v>0</v>
      </c>
      <c r="R60" s="70">
        <f>R27*'ФОТ, МТР, макро'!AU$14</f>
        <v>0</v>
      </c>
      <c r="S60" s="70">
        <f>S27*'ФОТ, МТР, макро'!AV$14</f>
        <v>0</v>
      </c>
      <c r="T60" s="70">
        <f>T27*'ФОТ, МТР, макро'!AW$14</f>
        <v>0</v>
      </c>
      <c r="U60" s="70">
        <f>U27*'ФОТ, МТР, макро'!AX$14</f>
        <v>0</v>
      </c>
      <c r="V60" s="70">
        <f>V27*'ФОТ, МТР, макро'!AY$14</f>
        <v>0</v>
      </c>
      <c r="W60" s="70">
        <f>W27*'ФОТ, МТР, макро'!AZ$14</f>
        <v>0</v>
      </c>
      <c r="X60" s="70">
        <f>X27*'ФОТ, МТР, макро'!BA$14</f>
        <v>0</v>
      </c>
      <c r="Y60" s="70">
        <f>Y27*'ФОТ, МТР, макро'!BB$14</f>
        <v>0</v>
      </c>
      <c r="Z60" s="70">
        <f>Z27*'ФОТ, МТР, макро'!BC$14</f>
        <v>0</v>
      </c>
      <c r="AA60" s="175"/>
    </row>
    <row r="61" spans="1:28" outlineLevel="1" x14ac:dyDescent="0.25">
      <c r="A61" s="36" t="str">
        <f t="shared" si="3"/>
        <v>HIFO 75D</v>
      </c>
      <c r="B61" s="36"/>
      <c r="D61" s="17" t="str">
        <f>D31</f>
        <v>Расходники</v>
      </c>
      <c r="E61" s="9" t="str">
        <f t="shared" si="36"/>
        <v>тыс. руб.</v>
      </c>
      <c r="F61" s="90"/>
      <c r="G61" s="70">
        <f>G31*'ФОТ, МТР, макро'!AJ$14</f>
        <v>0</v>
      </c>
      <c r="H61" s="70">
        <f>H31*'ФОТ, МТР, макро'!AK$14</f>
        <v>0</v>
      </c>
      <c r="I61" s="70">
        <f>I31*'ФОТ, МТР, макро'!AL$14</f>
        <v>0</v>
      </c>
      <c r="J61" s="70">
        <f>J31*'ФОТ, МТР, макро'!AM$14</f>
        <v>0</v>
      </c>
      <c r="K61" s="70">
        <f>K31*'ФОТ, МТР, макро'!AN$14</f>
        <v>0</v>
      </c>
      <c r="L61" s="70">
        <f>L31*'ФОТ, МТР, макро'!AO$14</f>
        <v>0</v>
      </c>
      <c r="M61" s="70">
        <f>M31*'ФОТ, МТР, макро'!AP$14</f>
        <v>0</v>
      </c>
      <c r="N61" s="70">
        <f>N31*'ФОТ, МТР, макро'!AQ$14</f>
        <v>0</v>
      </c>
      <c r="O61" s="70">
        <f>O31*'ФОТ, МТР, макро'!AR$14</f>
        <v>0</v>
      </c>
      <c r="P61" s="70">
        <f>P31*'ФОТ, МТР, макро'!AS$14</f>
        <v>0</v>
      </c>
      <c r="Q61" s="70">
        <f>Q31*'ФОТ, МТР, макро'!AT$14</f>
        <v>0</v>
      </c>
      <c r="R61" s="70">
        <f>R31*'ФОТ, МТР, макро'!AU$14</f>
        <v>0</v>
      </c>
      <c r="S61" s="70">
        <f>S31*'ФОТ, МТР, макро'!AV$14</f>
        <v>0</v>
      </c>
      <c r="T61" s="70">
        <f>T31*'ФОТ, МТР, макро'!AW$14</f>
        <v>0</v>
      </c>
      <c r="U61" s="70">
        <f>U31*'ФОТ, МТР, макро'!AX$14</f>
        <v>0</v>
      </c>
      <c r="V61" s="70">
        <f>V31*'ФОТ, МТР, макро'!AY$14</f>
        <v>0</v>
      </c>
      <c r="W61" s="70">
        <f>W31*'ФОТ, МТР, макро'!AZ$14</f>
        <v>0</v>
      </c>
      <c r="X61" s="70">
        <f>X31*'ФОТ, МТР, макро'!BA$14</f>
        <v>0</v>
      </c>
      <c r="Y61" s="70">
        <f>Y31*'ФОТ, МТР, макро'!BB$14</f>
        <v>0</v>
      </c>
      <c r="Z61" s="70">
        <f>Z31*'ФОТ, МТР, макро'!BC$14</f>
        <v>0</v>
      </c>
      <c r="AA61" s="175"/>
    </row>
    <row r="62" spans="1:28" outlineLevel="1" x14ac:dyDescent="0.25">
      <c r="A62" s="36" t="str">
        <f t="shared" si="3"/>
        <v>HIFO 75D</v>
      </c>
      <c r="B62" s="36"/>
      <c r="D62" s="17" t="str">
        <f>D33</f>
        <v>Топливо/Электроэнергия</v>
      </c>
      <c r="E62" s="9" t="str">
        <f t="shared" si="36"/>
        <v>тыс. руб.</v>
      </c>
      <c r="F62" s="90"/>
      <c r="G62" s="70">
        <f>G33*'ФОТ, МТР, макро'!AJ$14</f>
        <v>27138.077116930537</v>
      </c>
      <c r="H62" s="70">
        <f>H33*'ФОТ, МТР, макро'!AK$14</f>
        <v>23518.915774360834</v>
      </c>
      <c r="I62" s="70">
        <f>I33*'ФОТ, МТР, макро'!AL$14</f>
        <v>20674.202800637544</v>
      </c>
      <c r="J62" s="70">
        <f>J33*'ФОТ, МТР, макро'!AM$14</f>
        <v>18707.374219369522</v>
      </c>
      <c r="K62" s="70">
        <f>K33*'ФОТ, МТР, макро'!AN$14</f>
        <v>16803.130440003584</v>
      </c>
      <c r="L62" s="70">
        <f>L33*'ФОТ, МТР, макро'!AO$14</f>
        <v>14554.922421744259</v>
      </c>
      <c r="M62" s="70">
        <f>M33*'ФОТ, МТР, макро'!AP$14</f>
        <v>13213.586227518359</v>
      </c>
      <c r="N62" s="70">
        <f>N33*'ФОТ, МТР, макро'!AQ$14</f>
        <v>11964.681730937276</v>
      </c>
      <c r="O62" s="70">
        <f>O33*'ФОТ, МТР, макро'!AR$14</f>
        <v>10465.887128198827</v>
      </c>
      <c r="P62" s="70">
        <f>P33*'ФОТ, МТР, макро'!AS$14</f>
        <v>9342.0372079586868</v>
      </c>
      <c r="Q62" s="70">
        <f>Q33*'ФОТ, МТР, макро'!AT$14</f>
        <v>0</v>
      </c>
      <c r="R62" s="70">
        <f>R33*'ФОТ, МТР, макро'!AU$14</f>
        <v>0</v>
      </c>
      <c r="S62" s="70">
        <f>S33*'ФОТ, МТР, макро'!AV$14</f>
        <v>0</v>
      </c>
      <c r="T62" s="70">
        <f>T33*'ФОТ, МТР, макро'!AW$14</f>
        <v>0</v>
      </c>
      <c r="U62" s="70">
        <f>U33*'ФОТ, МТР, макро'!AX$14</f>
        <v>0</v>
      </c>
      <c r="V62" s="70">
        <f>V33*'ФОТ, МТР, макро'!AY$14</f>
        <v>0</v>
      </c>
      <c r="W62" s="70">
        <f>W33*'ФОТ, МТР, макро'!AZ$14</f>
        <v>0</v>
      </c>
      <c r="X62" s="70">
        <f>X33*'ФОТ, МТР, макро'!BA$14</f>
        <v>0</v>
      </c>
      <c r="Y62" s="70">
        <f>Y33*'ФОТ, МТР, макро'!BB$14</f>
        <v>0</v>
      </c>
      <c r="Z62" s="70">
        <f>Z33*'ФОТ, МТР, макро'!BC$14</f>
        <v>0</v>
      </c>
      <c r="AA62" s="175"/>
    </row>
    <row r="63" spans="1:28" outlineLevel="1" x14ac:dyDescent="0.25">
      <c r="A63" s="36" t="str">
        <f t="shared" si="3"/>
        <v>HIFO 75D</v>
      </c>
      <c r="B63" s="36"/>
      <c r="D63" s="17" t="str">
        <f>D42</f>
        <v>Затраты на персонал</v>
      </c>
      <c r="E63" s="9" t="str">
        <f t="shared" si="36"/>
        <v>тыс. руб.</v>
      </c>
      <c r="F63" s="90"/>
      <c r="G63" s="70">
        <f>G42*'ФОТ, МТР, макро'!AJ$14</f>
        <v>14026.894744341158</v>
      </c>
      <c r="H63" s="70">
        <f>H42*'ФОТ, МТР, макро'!AK$14</f>
        <v>12524.013164590318</v>
      </c>
      <c r="I63" s="70">
        <f>I42*'ФОТ, МТР, макро'!AL$14</f>
        <v>11182.154611241354</v>
      </c>
      <c r="J63" s="70">
        <f>J42*'ФОТ, МТР, макро'!AM$14</f>
        <v>9984.0666171797802</v>
      </c>
      <c r="K63" s="70">
        <f>K42*'ФОТ, МТР, макро'!AN$14</f>
        <v>8914.345193910518</v>
      </c>
      <c r="L63" s="70">
        <f>L42*'ФОТ, МТР, макро'!AO$14</f>
        <v>7959.2367802772478</v>
      </c>
      <c r="M63" s="70">
        <f>M42*'ФОТ, МТР, макро'!AP$14</f>
        <v>7106.4614109618278</v>
      </c>
      <c r="N63" s="70">
        <f>N42*'ФОТ, МТР, макро'!AQ$14</f>
        <v>6345.0548312159171</v>
      </c>
      <c r="O63" s="70">
        <f>O42*'ФОТ, МТР, макро'!AR$14</f>
        <v>5665.2275278713541</v>
      </c>
      <c r="P63" s="70">
        <f>P42*'ФОТ, МТР, макро'!AS$14</f>
        <v>5058.2388641708521</v>
      </c>
      <c r="Q63" s="70">
        <f>Q42*'ФОТ, МТР, макро'!AT$14</f>
        <v>0</v>
      </c>
      <c r="R63" s="70">
        <f>R42*'ФОТ, МТР, макро'!AU$14</f>
        <v>0</v>
      </c>
      <c r="S63" s="70">
        <f>S42*'ФОТ, МТР, макро'!AV$14</f>
        <v>0</v>
      </c>
      <c r="T63" s="70">
        <f>T42*'ФОТ, МТР, макро'!AW$14</f>
        <v>0</v>
      </c>
      <c r="U63" s="70">
        <f>U42*'ФОТ, МТР, макро'!AX$14</f>
        <v>0</v>
      </c>
      <c r="V63" s="70">
        <f>V42*'ФОТ, МТР, макро'!AY$14</f>
        <v>0</v>
      </c>
      <c r="W63" s="70">
        <f>W42*'ФОТ, МТР, макро'!AZ$14</f>
        <v>0</v>
      </c>
      <c r="X63" s="70">
        <f>X42*'ФОТ, МТР, макро'!BA$14</f>
        <v>0</v>
      </c>
      <c r="Y63" s="70">
        <f>Y42*'ФОТ, МТР, макро'!BB$14</f>
        <v>0</v>
      </c>
      <c r="Z63" s="70">
        <f>Z42*'ФОТ, МТР, макро'!BC$14</f>
        <v>0</v>
      </c>
      <c r="AA63" s="175"/>
    </row>
    <row r="64" spans="1:28" outlineLevel="1" x14ac:dyDescent="0.25">
      <c r="A64" s="36" t="str">
        <f t="shared" si="3"/>
        <v>HIFO 75D</v>
      </c>
      <c r="B64" s="36"/>
      <c r="D64" s="17" t="str">
        <f>D45</f>
        <v>Транспортный налог</v>
      </c>
      <c r="E64" s="9" t="str">
        <f t="shared" si="36"/>
        <v>тыс. руб.</v>
      </c>
      <c r="F64" s="90"/>
      <c r="G64" s="70">
        <f>G45*'ФОТ, МТР, макро'!AJ$14</f>
        <v>10.870890267857144</v>
      </c>
      <c r="H64" s="70">
        <f>H45*'ФОТ, МТР, макро'!AK$14</f>
        <v>9.7061520248724484</v>
      </c>
      <c r="I64" s="70">
        <f>I45*'ФОТ, МТР, макро'!AL$14</f>
        <v>8.6662071650646855</v>
      </c>
      <c r="J64" s="70">
        <f>J45*'ФОТ, МТР, макро'!AM$14</f>
        <v>7.7376849688077538</v>
      </c>
      <c r="K64" s="70">
        <f>K45*'ФОТ, МТР, макро'!AN$14</f>
        <v>6.9086472935783521</v>
      </c>
      <c r="L64" s="70">
        <f>L45*'ФОТ, МТР, макро'!AO$14</f>
        <v>6.1684350835520991</v>
      </c>
      <c r="M64" s="70">
        <f>M45*'ФОТ, МТР, макро'!AP$14</f>
        <v>5.5075313246000883</v>
      </c>
      <c r="N64" s="70">
        <f>N45*'ФОТ, МТР, макро'!AQ$14</f>
        <v>4.9174386826786503</v>
      </c>
      <c r="O64" s="70">
        <f>O45*'ФОТ, МТР, макро'!AR$14</f>
        <v>4.390570252391651</v>
      </c>
      <c r="P64" s="70">
        <f>P45*'ФОТ, МТР, макро'!AS$14</f>
        <v>3.9201520110639745</v>
      </c>
      <c r="Q64" s="70">
        <f>Q45*'ФОТ, МТР, макро'!AT$14</f>
        <v>0</v>
      </c>
      <c r="R64" s="70">
        <f>R45*'ФОТ, МТР, макро'!AU$14</f>
        <v>0</v>
      </c>
      <c r="S64" s="70">
        <f>S45*'ФОТ, МТР, макро'!AV$14</f>
        <v>0</v>
      </c>
      <c r="T64" s="70">
        <f>T45*'ФОТ, МТР, макро'!AW$14</f>
        <v>0</v>
      </c>
      <c r="U64" s="70">
        <f>U45*'ФОТ, МТР, макро'!AX$14</f>
        <v>0</v>
      </c>
      <c r="V64" s="70">
        <f>V45*'ФОТ, МТР, макро'!AY$14</f>
        <v>0</v>
      </c>
      <c r="W64" s="70">
        <f>W45*'ФОТ, МТР, макро'!AZ$14</f>
        <v>0</v>
      </c>
      <c r="X64" s="70">
        <f>X45*'ФОТ, МТР, макро'!BA$14</f>
        <v>0</v>
      </c>
      <c r="Y64" s="70">
        <f>Y45*'ФОТ, МТР, макро'!BB$14</f>
        <v>0</v>
      </c>
      <c r="Z64" s="70">
        <f>Z45*'ФОТ, МТР, макро'!BC$14</f>
        <v>0</v>
      </c>
      <c r="AA64" s="175"/>
    </row>
    <row r="65" spans="1:27" outlineLevel="1" x14ac:dyDescent="0.25">
      <c r="A65" s="36" t="str">
        <f t="shared" si="3"/>
        <v>HIFO 75D</v>
      </c>
      <c r="B65" s="36"/>
      <c r="D65" s="17" t="str">
        <f>D50</f>
        <v>Налог на прибыль</v>
      </c>
      <c r="E65" s="9" t="str">
        <f t="shared" si="36"/>
        <v>тыс. руб.</v>
      </c>
      <c r="F65" s="90"/>
      <c r="G65" s="70">
        <f>G50*'ФОТ, МТР, макро'!AJ$14</f>
        <v>-12866.457412327174</v>
      </c>
      <c r="H65" s="70">
        <f>H50*'ФОТ, МТР, макро'!AK$14</f>
        <v>-16067.786172671627</v>
      </c>
      <c r="I65" s="70">
        <f>I50*'ФОТ, МТР, макро'!AL$14</f>
        <v>-19427.701997607859</v>
      </c>
      <c r="J65" s="70">
        <f>J50*'ФОТ, МТР, макро'!AM$14</f>
        <v>-15509.576576323885</v>
      </c>
      <c r="K65" s="70">
        <f>K50*'ФОТ, МТР, макро'!AN$14</f>
        <v>-16139.237478133969</v>
      </c>
      <c r="L65" s="70">
        <f>L50*'ФОТ, МТР, макро'!AO$14</f>
        <v>-11980.005914124627</v>
      </c>
      <c r="M65" s="70">
        <f>M50*'ФОТ, МТР, макро'!AP$14</f>
        <v>-11425.645799683041</v>
      </c>
      <c r="N65" s="70">
        <f>N50*'ФОТ, МТР, макро'!AQ$14</f>
        <v>-10222.797494913302</v>
      </c>
      <c r="O65" s="70">
        <f>O50*'ФОТ, МТР, макро'!AR$14</f>
        <v>-11314.570901153887</v>
      </c>
      <c r="P65" s="70">
        <f>P50*'ФОТ, МТР, макро'!AS$14</f>
        <v>-5716.0173776801421</v>
      </c>
      <c r="Q65" s="70">
        <f>Q50*'ФОТ, МТР, макро'!AT$14</f>
        <v>0</v>
      </c>
      <c r="R65" s="70">
        <f>R50*'ФОТ, МТР, макро'!AU$14</f>
        <v>0</v>
      </c>
      <c r="S65" s="70">
        <f>S50*'ФОТ, МТР, макро'!AV$14</f>
        <v>0</v>
      </c>
      <c r="T65" s="70">
        <f>T50*'ФОТ, МТР, макро'!AW$14</f>
        <v>0</v>
      </c>
      <c r="U65" s="70">
        <f>U50*'ФОТ, МТР, макро'!AX$14</f>
        <v>0</v>
      </c>
      <c r="V65" s="70">
        <f>V50*'ФОТ, МТР, макро'!AY$14</f>
        <v>0</v>
      </c>
      <c r="W65" s="70">
        <f>W50*'ФОТ, МТР, макро'!AZ$14</f>
        <v>0</v>
      </c>
      <c r="X65" s="70">
        <f>X50*'ФОТ, МТР, макро'!BA$14</f>
        <v>0</v>
      </c>
      <c r="Y65" s="70">
        <f>Y50*'ФОТ, МТР, макро'!BB$14</f>
        <v>0</v>
      </c>
      <c r="Z65" s="70">
        <f>Z50*'ФОТ, МТР, макро'!BC$14</f>
        <v>0</v>
      </c>
      <c r="AA65" s="175"/>
    </row>
    <row r="66" spans="1:27" outlineLevel="1" x14ac:dyDescent="0.25">
      <c r="A66" s="36" t="str">
        <f t="shared" si="3"/>
        <v>HIFO 75D</v>
      </c>
      <c r="B66" s="36"/>
      <c r="D66" s="91" t="s">
        <v>67</v>
      </c>
      <c r="E66" s="9"/>
      <c r="F66" s="92"/>
      <c r="G66" s="93">
        <f>G56-SUM(G57:G65)</f>
        <v>0</v>
      </c>
      <c r="H66" s="93">
        <f t="shared" ref="H66:Z66" si="37">H56-SUM(H57:H65)</f>
        <v>0</v>
      </c>
      <c r="I66" s="93">
        <f t="shared" si="37"/>
        <v>0</v>
      </c>
      <c r="J66" s="93">
        <f t="shared" si="37"/>
        <v>0</v>
      </c>
      <c r="K66" s="93">
        <f t="shared" si="37"/>
        <v>0</v>
      </c>
      <c r="L66" s="93">
        <f t="shared" si="37"/>
        <v>0</v>
      </c>
      <c r="M66" s="93">
        <f t="shared" si="37"/>
        <v>0</v>
      </c>
      <c r="N66" s="93">
        <f t="shared" si="37"/>
        <v>0</v>
      </c>
      <c r="O66" s="93">
        <f t="shared" si="37"/>
        <v>0</v>
      </c>
      <c r="P66" s="93">
        <f t="shared" si="37"/>
        <v>0</v>
      </c>
      <c r="Q66" s="93">
        <f t="shared" si="37"/>
        <v>0</v>
      </c>
      <c r="R66" s="93">
        <f t="shared" si="37"/>
        <v>0</v>
      </c>
      <c r="S66" s="93">
        <f t="shared" si="37"/>
        <v>0</v>
      </c>
      <c r="T66" s="93">
        <f t="shared" si="37"/>
        <v>0</v>
      </c>
      <c r="U66" s="93">
        <f t="shared" si="37"/>
        <v>0</v>
      </c>
      <c r="V66" s="93">
        <f t="shared" si="37"/>
        <v>0</v>
      </c>
      <c r="W66" s="93">
        <f t="shared" si="37"/>
        <v>0</v>
      </c>
      <c r="X66" s="93">
        <f t="shared" si="37"/>
        <v>0</v>
      </c>
      <c r="Y66" s="93">
        <f t="shared" si="37"/>
        <v>0</v>
      </c>
      <c r="Z66" s="93">
        <f t="shared" si="37"/>
        <v>0</v>
      </c>
      <c r="AA66" s="175"/>
    </row>
    <row r="67" spans="1:27" ht="27.2" outlineLevel="1" x14ac:dyDescent="0.25">
      <c r="A67" s="36" t="str">
        <f t="shared" si="3"/>
        <v>HIFO 75D</v>
      </c>
      <c r="B67" s="36"/>
      <c r="D67" s="94" t="s">
        <v>68</v>
      </c>
      <c r="E67" s="64" t="str">
        <f>E56</f>
        <v>тыс. руб.</v>
      </c>
      <c r="F67" s="65">
        <f>F56</f>
        <v>0</v>
      </c>
      <c r="G67" s="65">
        <f>F67+G56</f>
        <v>38599.372236981522</v>
      </c>
      <c r="H67" s="65">
        <f t="shared" ref="H67:Z67" si="38">G67+H56</f>
        <v>86802.730754996403</v>
      </c>
      <c r="I67" s="65">
        <f t="shared" si="38"/>
        <v>145085.83674781997</v>
      </c>
      <c r="J67" s="65">
        <f t="shared" si="38"/>
        <v>191614.56647679163</v>
      </c>
      <c r="K67" s="65">
        <f t="shared" si="38"/>
        <v>240032.27891119354</v>
      </c>
      <c r="L67" s="65">
        <f t="shared" si="38"/>
        <v>275972.29665356741</v>
      </c>
      <c r="M67" s="65">
        <f t="shared" si="38"/>
        <v>310249.23405261652</v>
      </c>
      <c r="N67" s="65">
        <f t="shared" si="38"/>
        <v>340917.62653735641</v>
      </c>
      <c r="O67" s="65">
        <f t="shared" si="38"/>
        <v>374861.33924081805</v>
      </c>
      <c r="P67" s="65">
        <f t="shared" si="38"/>
        <v>392009.3913738585</v>
      </c>
      <c r="Q67" s="65">
        <f t="shared" si="38"/>
        <v>392009.3913738585</v>
      </c>
      <c r="R67" s="65">
        <f t="shared" si="38"/>
        <v>392009.3913738585</v>
      </c>
      <c r="S67" s="65">
        <f t="shared" si="38"/>
        <v>392009.3913738585</v>
      </c>
      <c r="T67" s="65">
        <f t="shared" si="38"/>
        <v>392009.3913738585</v>
      </c>
      <c r="U67" s="65">
        <f t="shared" si="38"/>
        <v>392009.3913738585</v>
      </c>
      <c r="V67" s="65">
        <f t="shared" si="38"/>
        <v>392009.3913738585</v>
      </c>
      <c r="W67" s="65">
        <f t="shared" si="38"/>
        <v>392009.3913738585</v>
      </c>
      <c r="X67" s="65">
        <f t="shared" si="38"/>
        <v>392009.3913738585</v>
      </c>
      <c r="Y67" s="65">
        <f t="shared" si="38"/>
        <v>392009.3913738585</v>
      </c>
      <c r="Z67" s="65">
        <f t="shared" si="38"/>
        <v>392009.3913738585</v>
      </c>
      <c r="AA67" s="175"/>
    </row>
    <row r="68" spans="1:27" outlineLevel="1" x14ac:dyDescent="0.25">
      <c r="A68" s="36" t="str">
        <f t="shared" si="3"/>
        <v>HIFO 75D</v>
      </c>
      <c r="B68" s="36"/>
      <c r="D68" s="201" t="str">
        <f>D57</f>
        <v>ТО, ТР, ППР</v>
      </c>
      <c r="E68" s="196" t="str">
        <f>E57</f>
        <v>тыс. руб.</v>
      </c>
      <c r="F68" s="83">
        <f>F57</f>
        <v>0</v>
      </c>
      <c r="G68" s="83">
        <f>F68+G57</f>
        <v>10289.986897769139</v>
      </c>
      <c r="H68" s="83">
        <f t="shared" ref="H68:Z68" si="39">G68+H57</f>
        <v>38508.496497479624</v>
      </c>
      <c r="I68" s="83">
        <f t="shared" si="39"/>
        <v>84354.280868867092</v>
      </c>
      <c r="J68" s="83">
        <f t="shared" si="39"/>
        <v>117693.40865264452</v>
      </c>
      <c r="K68" s="83">
        <f t="shared" si="39"/>
        <v>156525.9742839727</v>
      </c>
      <c r="L68" s="83">
        <f t="shared" si="39"/>
        <v>181925.67030336615</v>
      </c>
      <c r="M68" s="83">
        <f t="shared" si="39"/>
        <v>207302.69833229354</v>
      </c>
      <c r="N68" s="83">
        <f t="shared" si="39"/>
        <v>229879.23431111086</v>
      </c>
      <c r="O68" s="83">
        <f t="shared" si="39"/>
        <v>259002.01268940384</v>
      </c>
      <c r="P68" s="83">
        <f t="shared" si="39"/>
        <v>267461.88597598381</v>
      </c>
      <c r="Q68" s="83">
        <f t="shared" si="39"/>
        <v>267461.88597598381</v>
      </c>
      <c r="R68" s="83">
        <f t="shared" si="39"/>
        <v>267461.88597598381</v>
      </c>
      <c r="S68" s="83">
        <f t="shared" si="39"/>
        <v>267461.88597598381</v>
      </c>
      <c r="T68" s="83">
        <f t="shared" si="39"/>
        <v>267461.88597598381</v>
      </c>
      <c r="U68" s="83">
        <f t="shared" si="39"/>
        <v>267461.88597598381</v>
      </c>
      <c r="V68" s="83">
        <f t="shared" si="39"/>
        <v>267461.88597598381</v>
      </c>
      <c r="W68" s="83">
        <f t="shared" si="39"/>
        <v>267461.88597598381</v>
      </c>
      <c r="X68" s="83">
        <f t="shared" si="39"/>
        <v>267461.88597598381</v>
      </c>
      <c r="Y68" s="83">
        <f t="shared" si="39"/>
        <v>267461.88597598381</v>
      </c>
      <c r="Z68" s="83">
        <f t="shared" si="39"/>
        <v>267461.88597598381</v>
      </c>
      <c r="AA68" s="175"/>
    </row>
    <row r="69" spans="1:27" outlineLevel="1" x14ac:dyDescent="0.25">
      <c r="A69" s="36" t="str">
        <f t="shared" si="3"/>
        <v>HIFO 75D</v>
      </c>
      <c r="B69" s="36"/>
      <c r="D69" s="201" t="str">
        <f t="shared" ref="D69:F69" si="40">D58</f>
        <v>Смазочные</v>
      </c>
      <c r="E69" s="196" t="str">
        <f t="shared" si="40"/>
        <v>тыс. руб.</v>
      </c>
      <c r="F69" s="83">
        <f t="shared" si="40"/>
        <v>0</v>
      </c>
      <c r="G69" s="83">
        <f t="shared" ref="G69:Z69" si="41">F69+G58</f>
        <v>0</v>
      </c>
      <c r="H69" s="83">
        <f t="shared" si="41"/>
        <v>0</v>
      </c>
      <c r="I69" s="83">
        <f t="shared" si="41"/>
        <v>0</v>
      </c>
      <c r="J69" s="83">
        <f t="shared" si="41"/>
        <v>0</v>
      </c>
      <c r="K69" s="83">
        <f t="shared" si="41"/>
        <v>0</v>
      </c>
      <c r="L69" s="83">
        <f t="shared" si="41"/>
        <v>0</v>
      </c>
      <c r="M69" s="83">
        <f t="shared" si="41"/>
        <v>0</v>
      </c>
      <c r="N69" s="83">
        <f t="shared" si="41"/>
        <v>0</v>
      </c>
      <c r="O69" s="83">
        <f t="shared" si="41"/>
        <v>0</v>
      </c>
      <c r="P69" s="83">
        <f t="shared" si="41"/>
        <v>0</v>
      </c>
      <c r="Q69" s="83">
        <f t="shared" si="41"/>
        <v>0</v>
      </c>
      <c r="R69" s="83">
        <f t="shared" si="41"/>
        <v>0</v>
      </c>
      <c r="S69" s="83">
        <f t="shared" si="41"/>
        <v>0</v>
      </c>
      <c r="T69" s="83">
        <f t="shared" si="41"/>
        <v>0</v>
      </c>
      <c r="U69" s="83">
        <f t="shared" si="41"/>
        <v>0</v>
      </c>
      <c r="V69" s="83">
        <f t="shared" si="41"/>
        <v>0</v>
      </c>
      <c r="W69" s="83">
        <f t="shared" si="41"/>
        <v>0</v>
      </c>
      <c r="X69" s="83">
        <f t="shared" si="41"/>
        <v>0</v>
      </c>
      <c r="Y69" s="83">
        <f t="shared" si="41"/>
        <v>0</v>
      </c>
      <c r="Z69" s="83">
        <f t="shared" si="41"/>
        <v>0</v>
      </c>
      <c r="AA69" s="175"/>
    </row>
    <row r="70" spans="1:27" outlineLevel="1" x14ac:dyDescent="0.25">
      <c r="A70" s="36" t="str">
        <f t="shared" si="3"/>
        <v>HIFO 75D</v>
      </c>
      <c r="B70" s="36"/>
      <c r="D70" s="201" t="str">
        <f t="shared" ref="D70:F70" si="42">D59</f>
        <v>Долота</v>
      </c>
      <c r="E70" s="196" t="str">
        <f t="shared" si="42"/>
        <v>тыс. руб.</v>
      </c>
      <c r="F70" s="83">
        <f t="shared" si="42"/>
        <v>0</v>
      </c>
      <c r="G70" s="83">
        <f t="shared" ref="G70:Z70" si="43">F70+G59</f>
        <v>0</v>
      </c>
      <c r="H70" s="83">
        <f t="shared" si="43"/>
        <v>0</v>
      </c>
      <c r="I70" s="83">
        <f t="shared" si="43"/>
        <v>0</v>
      </c>
      <c r="J70" s="83">
        <f t="shared" si="43"/>
        <v>0</v>
      </c>
      <c r="K70" s="83">
        <f t="shared" si="43"/>
        <v>0</v>
      </c>
      <c r="L70" s="83">
        <f t="shared" si="43"/>
        <v>0</v>
      </c>
      <c r="M70" s="83">
        <f t="shared" si="43"/>
        <v>0</v>
      </c>
      <c r="N70" s="83">
        <f t="shared" si="43"/>
        <v>0</v>
      </c>
      <c r="O70" s="83">
        <f t="shared" si="43"/>
        <v>0</v>
      </c>
      <c r="P70" s="83">
        <f t="shared" si="43"/>
        <v>0</v>
      </c>
      <c r="Q70" s="83">
        <f t="shared" si="43"/>
        <v>0</v>
      </c>
      <c r="R70" s="83">
        <f t="shared" si="43"/>
        <v>0</v>
      </c>
      <c r="S70" s="83">
        <f t="shared" si="43"/>
        <v>0</v>
      </c>
      <c r="T70" s="83">
        <f t="shared" si="43"/>
        <v>0</v>
      </c>
      <c r="U70" s="83">
        <f t="shared" si="43"/>
        <v>0</v>
      </c>
      <c r="V70" s="83">
        <f t="shared" si="43"/>
        <v>0</v>
      </c>
      <c r="W70" s="83">
        <f t="shared" si="43"/>
        <v>0</v>
      </c>
      <c r="X70" s="83">
        <f t="shared" si="43"/>
        <v>0</v>
      </c>
      <c r="Y70" s="83">
        <f t="shared" si="43"/>
        <v>0</v>
      </c>
      <c r="Z70" s="83">
        <f t="shared" si="43"/>
        <v>0</v>
      </c>
      <c r="AA70" s="175"/>
    </row>
    <row r="71" spans="1:27" outlineLevel="1" x14ac:dyDescent="0.25">
      <c r="A71" s="36" t="str">
        <f t="shared" si="3"/>
        <v>HIFO 75D</v>
      </c>
      <c r="B71" s="36"/>
      <c r="D71" s="201" t="str">
        <f t="shared" ref="D71:F71" si="44">D60</f>
        <v>Штанги буровые</v>
      </c>
      <c r="E71" s="196" t="str">
        <f t="shared" si="44"/>
        <v>тыс. руб.</v>
      </c>
      <c r="F71" s="83">
        <f t="shared" si="44"/>
        <v>0</v>
      </c>
      <c r="G71" s="83">
        <f t="shared" ref="G71:Z71" si="45">F71+G60</f>
        <v>0</v>
      </c>
      <c r="H71" s="83">
        <f t="shared" si="45"/>
        <v>0</v>
      </c>
      <c r="I71" s="83">
        <f t="shared" si="45"/>
        <v>0</v>
      </c>
      <c r="J71" s="83">
        <f t="shared" si="45"/>
        <v>0</v>
      </c>
      <c r="K71" s="83">
        <f t="shared" si="45"/>
        <v>0</v>
      </c>
      <c r="L71" s="83">
        <f t="shared" si="45"/>
        <v>0</v>
      </c>
      <c r="M71" s="83">
        <f t="shared" si="45"/>
        <v>0</v>
      </c>
      <c r="N71" s="83">
        <f t="shared" si="45"/>
        <v>0</v>
      </c>
      <c r="O71" s="83">
        <f t="shared" si="45"/>
        <v>0</v>
      </c>
      <c r="P71" s="83">
        <f t="shared" si="45"/>
        <v>0</v>
      </c>
      <c r="Q71" s="83">
        <f t="shared" si="45"/>
        <v>0</v>
      </c>
      <c r="R71" s="83">
        <f t="shared" si="45"/>
        <v>0</v>
      </c>
      <c r="S71" s="83">
        <f t="shared" si="45"/>
        <v>0</v>
      </c>
      <c r="T71" s="83">
        <f t="shared" si="45"/>
        <v>0</v>
      </c>
      <c r="U71" s="83">
        <f t="shared" si="45"/>
        <v>0</v>
      </c>
      <c r="V71" s="83">
        <f t="shared" si="45"/>
        <v>0</v>
      </c>
      <c r="W71" s="83">
        <f t="shared" si="45"/>
        <v>0</v>
      </c>
      <c r="X71" s="83">
        <f t="shared" si="45"/>
        <v>0</v>
      </c>
      <c r="Y71" s="83">
        <f t="shared" si="45"/>
        <v>0</v>
      </c>
      <c r="Z71" s="83">
        <f t="shared" si="45"/>
        <v>0</v>
      </c>
      <c r="AA71" s="175"/>
    </row>
    <row r="72" spans="1:27" outlineLevel="1" x14ac:dyDescent="0.25">
      <c r="A72" s="36" t="str">
        <f t="shared" si="3"/>
        <v>HIFO 75D</v>
      </c>
      <c r="B72" s="36"/>
      <c r="D72" s="201" t="str">
        <f t="shared" ref="D72:F72" si="46">D61</f>
        <v>Расходники</v>
      </c>
      <c r="E72" s="196" t="str">
        <f t="shared" si="46"/>
        <v>тыс. руб.</v>
      </c>
      <c r="F72" s="83">
        <f t="shared" si="46"/>
        <v>0</v>
      </c>
      <c r="G72" s="83">
        <f t="shared" ref="G72:Z72" si="47">F72+G61</f>
        <v>0</v>
      </c>
      <c r="H72" s="83">
        <f t="shared" si="47"/>
        <v>0</v>
      </c>
      <c r="I72" s="83">
        <f t="shared" si="47"/>
        <v>0</v>
      </c>
      <c r="J72" s="83">
        <f t="shared" si="47"/>
        <v>0</v>
      </c>
      <c r="K72" s="83">
        <f t="shared" si="47"/>
        <v>0</v>
      </c>
      <c r="L72" s="83">
        <f t="shared" si="47"/>
        <v>0</v>
      </c>
      <c r="M72" s="83">
        <f t="shared" si="47"/>
        <v>0</v>
      </c>
      <c r="N72" s="83">
        <f t="shared" si="47"/>
        <v>0</v>
      </c>
      <c r="O72" s="83">
        <f t="shared" si="47"/>
        <v>0</v>
      </c>
      <c r="P72" s="83">
        <f t="shared" si="47"/>
        <v>0</v>
      </c>
      <c r="Q72" s="83">
        <f t="shared" si="47"/>
        <v>0</v>
      </c>
      <c r="R72" s="83">
        <f t="shared" si="47"/>
        <v>0</v>
      </c>
      <c r="S72" s="83">
        <f t="shared" si="47"/>
        <v>0</v>
      </c>
      <c r="T72" s="83">
        <f t="shared" si="47"/>
        <v>0</v>
      </c>
      <c r="U72" s="83">
        <f t="shared" si="47"/>
        <v>0</v>
      </c>
      <c r="V72" s="83">
        <f t="shared" si="47"/>
        <v>0</v>
      </c>
      <c r="W72" s="83">
        <f t="shared" si="47"/>
        <v>0</v>
      </c>
      <c r="X72" s="83">
        <f t="shared" si="47"/>
        <v>0</v>
      </c>
      <c r="Y72" s="83">
        <f t="shared" si="47"/>
        <v>0</v>
      </c>
      <c r="Z72" s="83">
        <f t="shared" si="47"/>
        <v>0</v>
      </c>
      <c r="AA72" s="175"/>
    </row>
    <row r="73" spans="1:27" outlineLevel="1" x14ac:dyDescent="0.25">
      <c r="A73" s="36" t="str">
        <f t="shared" si="3"/>
        <v>HIFO 75D</v>
      </c>
      <c r="B73" s="36"/>
      <c r="D73" s="201" t="str">
        <f t="shared" ref="D73:F73" si="48">D62</f>
        <v>Топливо/Электроэнергия</v>
      </c>
      <c r="E73" s="196" t="str">
        <f t="shared" si="48"/>
        <v>тыс. руб.</v>
      </c>
      <c r="F73" s="83">
        <f t="shared" si="48"/>
        <v>0</v>
      </c>
      <c r="G73" s="83">
        <f t="shared" ref="G73:Z73" si="49">F73+G62</f>
        <v>27138.077116930537</v>
      </c>
      <c r="H73" s="83">
        <f t="shared" si="49"/>
        <v>50656.992891291375</v>
      </c>
      <c r="I73" s="83">
        <f t="shared" si="49"/>
        <v>71331.195691928922</v>
      </c>
      <c r="J73" s="83">
        <f t="shared" si="49"/>
        <v>90038.569911298444</v>
      </c>
      <c r="K73" s="83">
        <f t="shared" si="49"/>
        <v>106841.70035130203</v>
      </c>
      <c r="L73" s="83">
        <f t="shared" si="49"/>
        <v>121396.62277304629</v>
      </c>
      <c r="M73" s="83">
        <f t="shared" si="49"/>
        <v>134610.20900056465</v>
      </c>
      <c r="N73" s="83">
        <f t="shared" si="49"/>
        <v>146574.89073150192</v>
      </c>
      <c r="O73" s="83">
        <f t="shared" si="49"/>
        <v>157040.77785970076</v>
      </c>
      <c r="P73" s="83">
        <f t="shared" si="49"/>
        <v>166382.81506765945</v>
      </c>
      <c r="Q73" s="83">
        <f t="shared" si="49"/>
        <v>166382.81506765945</v>
      </c>
      <c r="R73" s="83">
        <f t="shared" si="49"/>
        <v>166382.81506765945</v>
      </c>
      <c r="S73" s="83">
        <f t="shared" si="49"/>
        <v>166382.81506765945</v>
      </c>
      <c r="T73" s="83">
        <f t="shared" si="49"/>
        <v>166382.81506765945</v>
      </c>
      <c r="U73" s="83">
        <f t="shared" si="49"/>
        <v>166382.81506765945</v>
      </c>
      <c r="V73" s="83">
        <f t="shared" si="49"/>
        <v>166382.81506765945</v>
      </c>
      <c r="W73" s="83">
        <f t="shared" si="49"/>
        <v>166382.81506765945</v>
      </c>
      <c r="X73" s="83">
        <f t="shared" si="49"/>
        <v>166382.81506765945</v>
      </c>
      <c r="Y73" s="83">
        <f t="shared" si="49"/>
        <v>166382.81506765945</v>
      </c>
      <c r="Z73" s="83">
        <f t="shared" si="49"/>
        <v>166382.81506765945</v>
      </c>
      <c r="AA73" s="175"/>
    </row>
    <row r="74" spans="1:27" outlineLevel="1" x14ac:dyDescent="0.25">
      <c r="A74" s="36" t="str">
        <f t="shared" ref="A74:A112" si="50">A73</f>
        <v>HIFO 75D</v>
      </c>
      <c r="B74" s="36"/>
      <c r="D74" s="201" t="str">
        <f t="shared" ref="D74:F74" si="51">D63</f>
        <v>Затраты на персонал</v>
      </c>
      <c r="E74" s="196" t="str">
        <f t="shared" si="51"/>
        <v>тыс. руб.</v>
      </c>
      <c r="F74" s="83">
        <f t="shared" si="51"/>
        <v>0</v>
      </c>
      <c r="G74" s="83">
        <f t="shared" ref="G74:Z74" si="52">F74+G63</f>
        <v>14026.894744341158</v>
      </c>
      <c r="H74" s="83">
        <f t="shared" si="52"/>
        <v>26550.907908931476</v>
      </c>
      <c r="I74" s="83">
        <f t="shared" si="52"/>
        <v>37733.062520172833</v>
      </c>
      <c r="J74" s="83">
        <f t="shared" si="52"/>
        <v>47717.129137352611</v>
      </c>
      <c r="K74" s="83">
        <f t="shared" si="52"/>
        <v>56631.474331263133</v>
      </c>
      <c r="L74" s="83">
        <f t="shared" si="52"/>
        <v>64590.711111540382</v>
      </c>
      <c r="M74" s="83">
        <f t="shared" si="52"/>
        <v>71697.172522502209</v>
      </c>
      <c r="N74" s="83">
        <f t="shared" si="52"/>
        <v>78042.227353718132</v>
      </c>
      <c r="O74" s="83">
        <f t="shared" si="52"/>
        <v>83707.454881589481</v>
      </c>
      <c r="P74" s="83">
        <f t="shared" si="52"/>
        <v>88765.693745760334</v>
      </c>
      <c r="Q74" s="83">
        <f t="shared" si="52"/>
        <v>88765.693745760334</v>
      </c>
      <c r="R74" s="83">
        <f t="shared" si="52"/>
        <v>88765.693745760334</v>
      </c>
      <c r="S74" s="83">
        <f t="shared" si="52"/>
        <v>88765.693745760334</v>
      </c>
      <c r="T74" s="83">
        <f t="shared" si="52"/>
        <v>88765.693745760334</v>
      </c>
      <c r="U74" s="83">
        <f t="shared" si="52"/>
        <v>88765.693745760334</v>
      </c>
      <c r="V74" s="83">
        <f t="shared" si="52"/>
        <v>88765.693745760334</v>
      </c>
      <c r="W74" s="83">
        <f t="shared" si="52"/>
        <v>88765.693745760334</v>
      </c>
      <c r="X74" s="83">
        <f t="shared" si="52"/>
        <v>88765.693745760334</v>
      </c>
      <c r="Y74" s="83">
        <f t="shared" si="52"/>
        <v>88765.693745760334</v>
      </c>
      <c r="Z74" s="83">
        <f t="shared" si="52"/>
        <v>88765.693745760334</v>
      </c>
      <c r="AA74" s="175"/>
    </row>
    <row r="75" spans="1:27" outlineLevel="1" x14ac:dyDescent="0.25">
      <c r="A75" s="36" t="str">
        <f t="shared" si="50"/>
        <v>HIFO 75D</v>
      </c>
      <c r="B75" s="36"/>
      <c r="D75" s="201" t="str">
        <f t="shared" ref="D75:F75" si="53">D64</f>
        <v>Транспортный налог</v>
      </c>
      <c r="E75" s="196" t="str">
        <f t="shared" si="53"/>
        <v>тыс. руб.</v>
      </c>
      <c r="F75" s="83">
        <f t="shared" si="53"/>
        <v>0</v>
      </c>
      <c r="G75" s="83">
        <f t="shared" ref="G75:Z75" si="54">F75+G64</f>
        <v>10.870890267857144</v>
      </c>
      <c r="H75" s="83">
        <f t="shared" si="54"/>
        <v>20.577042292729594</v>
      </c>
      <c r="I75" s="83">
        <f t="shared" si="54"/>
        <v>29.243249457794278</v>
      </c>
      <c r="J75" s="83">
        <f t="shared" si="54"/>
        <v>36.980934426602033</v>
      </c>
      <c r="K75" s="83">
        <f t="shared" si="54"/>
        <v>43.889581720180388</v>
      </c>
      <c r="L75" s="83">
        <f t="shared" si="54"/>
        <v>50.058016803732485</v>
      </c>
      <c r="M75" s="83">
        <f t="shared" si="54"/>
        <v>55.565548128332573</v>
      </c>
      <c r="N75" s="83">
        <f t="shared" si="54"/>
        <v>60.482986811011223</v>
      </c>
      <c r="O75" s="83">
        <f t="shared" si="54"/>
        <v>64.87355706340287</v>
      </c>
      <c r="P75" s="83">
        <f t="shared" si="54"/>
        <v>68.793709074466847</v>
      </c>
      <c r="Q75" s="83">
        <f t="shared" si="54"/>
        <v>68.793709074466847</v>
      </c>
      <c r="R75" s="83">
        <f t="shared" si="54"/>
        <v>68.793709074466847</v>
      </c>
      <c r="S75" s="83">
        <f t="shared" si="54"/>
        <v>68.793709074466847</v>
      </c>
      <c r="T75" s="83">
        <f t="shared" si="54"/>
        <v>68.793709074466847</v>
      </c>
      <c r="U75" s="83">
        <f t="shared" si="54"/>
        <v>68.793709074466847</v>
      </c>
      <c r="V75" s="83">
        <f t="shared" si="54"/>
        <v>68.793709074466847</v>
      </c>
      <c r="W75" s="83">
        <f t="shared" si="54"/>
        <v>68.793709074466847</v>
      </c>
      <c r="X75" s="83">
        <f t="shared" si="54"/>
        <v>68.793709074466847</v>
      </c>
      <c r="Y75" s="83">
        <f t="shared" si="54"/>
        <v>68.793709074466847</v>
      </c>
      <c r="Z75" s="83">
        <f t="shared" si="54"/>
        <v>68.793709074466847</v>
      </c>
      <c r="AA75" s="175"/>
    </row>
    <row r="76" spans="1:27" outlineLevel="1" x14ac:dyDescent="0.25">
      <c r="A76" s="36" t="str">
        <f t="shared" si="50"/>
        <v>HIFO 75D</v>
      </c>
      <c r="B76" s="36"/>
      <c r="D76" s="201" t="str">
        <f t="shared" ref="D76:F76" si="55">D65</f>
        <v>Налог на прибыль</v>
      </c>
      <c r="E76" s="196" t="str">
        <f t="shared" si="55"/>
        <v>тыс. руб.</v>
      </c>
      <c r="F76" s="83">
        <f t="shared" si="55"/>
        <v>0</v>
      </c>
      <c r="G76" s="83">
        <f t="shared" ref="G76:Z76" si="56">F76+G65</f>
        <v>-12866.457412327174</v>
      </c>
      <c r="H76" s="83">
        <f t="shared" si="56"/>
        <v>-28934.243584998803</v>
      </c>
      <c r="I76" s="83">
        <f t="shared" si="56"/>
        <v>-48361.945582606662</v>
      </c>
      <c r="J76" s="83">
        <f t="shared" si="56"/>
        <v>-63871.522158930544</v>
      </c>
      <c r="K76" s="83">
        <f t="shared" si="56"/>
        <v>-80010.759637064519</v>
      </c>
      <c r="L76" s="83">
        <f t="shared" si="56"/>
        <v>-91990.76555118915</v>
      </c>
      <c r="M76" s="83">
        <f t="shared" si="56"/>
        <v>-103416.41135087219</v>
      </c>
      <c r="N76" s="83">
        <f t="shared" si="56"/>
        <v>-113639.2088457855</v>
      </c>
      <c r="O76" s="83">
        <f t="shared" si="56"/>
        <v>-124953.77974693938</v>
      </c>
      <c r="P76" s="83">
        <f t="shared" si="56"/>
        <v>-130669.79712461952</v>
      </c>
      <c r="Q76" s="83">
        <f t="shared" si="56"/>
        <v>-130669.79712461952</v>
      </c>
      <c r="R76" s="83">
        <f t="shared" si="56"/>
        <v>-130669.79712461952</v>
      </c>
      <c r="S76" s="83">
        <f t="shared" si="56"/>
        <v>-130669.79712461952</v>
      </c>
      <c r="T76" s="83">
        <f t="shared" si="56"/>
        <v>-130669.79712461952</v>
      </c>
      <c r="U76" s="83">
        <f t="shared" si="56"/>
        <v>-130669.79712461952</v>
      </c>
      <c r="V76" s="83">
        <f t="shared" si="56"/>
        <v>-130669.79712461952</v>
      </c>
      <c r="W76" s="83">
        <f t="shared" si="56"/>
        <v>-130669.79712461952</v>
      </c>
      <c r="X76" s="83">
        <f t="shared" si="56"/>
        <v>-130669.79712461952</v>
      </c>
      <c r="Y76" s="83">
        <f t="shared" si="56"/>
        <v>-130669.79712461952</v>
      </c>
      <c r="Z76" s="83">
        <f t="shared" si="56"/>
        <v>-130669.79712461952</v>
      </c>
      <c r="AA76" s="175"/>
    </row>
    <row r="77" spans="1:27" outlineLevel="1" x14ac:dyDescent="0.25">
      <c r="A77" s="36" t="str">
        <f t="shared" si="50"/>
        <v>HIFO 75D</v>
      </c>
      <c r="B77" s="36"/>
      <c r="D77" s="88"/>
      <c r="E77" s="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175"/>
    </row>
    <row r="78" spans="1:27" outlineLevel="1" x14ac:dyDescent="0.25">
      <c r="A78" s="36" t="str">
        <f t="shared" si="50"/>
        <v>HIFO 75D</v>
      </c>
      <c r="B78" s="36"/>
      <c r="D78" s="63" t="s">
        <v>69</v>
      </c>
      <c r="E78" s="64" t="str">
        <f>E55</f>
        <v>тыс. руб.</v>
      </c>
      <c r="F78" s="65">
        <f>F52*'ФОТ, МТР, макро'!AI$14</f>
        <v>0</v>
      </c>
      <c r="G78" s="65">
        <f>G52*'ФОТ, МТР, макро'!AJ$14</f>
        <v>0</v>
      </c>
      <c r="H78" s="65">
        <f>H52*'ФОТ, МТР, макро'!AK$14</f>
        <v>0</v>
      </c>
      <c r="I78" s="65">
        <f>I52*'ФОТ, МТР, макро'!AL$14</f>
        <v>0</v>
      </c>
      <c r="J78" s="65">
        <f>J52*'ФОТ, МТР, макро'!AM$14</f>
        <v>0</v>
      </c>
      <c r="K78" s="65">
        <f>K52*'ФОТ, МТР, макро'!AN$14</f>
        <v>0</v>
      </c>
      <c r="L78" s="65">
        <f>L52*'ФОТ, МТР, макро'!AO$14</f>
        <v>0</v>
      </c>
      <c r="M78" s="65">
        <f>M52*'ФОТ, МТР, макро'!AP$14</f>
        <v>0</v>
      </c>
      <c r="N78" s="65">
        <f>N52*'ФОТ, МТР, макро'!AQ$14</f>
        <v>0</v>
      </c>
      <c r="O78" s="65">
        <f>O52*'ФОТ, МТР, макро'!AR$14</f>
        <v>0</v>
      </c>
      <c r="P78" s="65">
        <f>P52*'ФОТ, МТР, макро'!AS$14</f>
        <v>0</v>
      </c>
      <c r="Q78" s="65">
        <f>Q52*'ФОТ, МТР, макро'!AT$14</f>
        <v>0</v>
      </c>
      <c r="R78" s="65">
        <f>R52*'ФОТ, МТР, макро'!AU$14</f>
        <v>0</v>
      </c>
      <c r="S78" s="65">
        <f>S52*'ФОТ, МТР, макро'!AV$14</f>
        <v>0</v>
      </c>
      <c r="T78" s="65">
        <f>T52*'ФОТ, МТР, макро'!AW$14</f>
        <v>0</v>
      </c>
      <c r="U78" s="65">
        <f>U52*'ФОТ, МТР, макро'!AX$14</f>
        <v>0</v>
      </c>
      <c r="V78" s="65">
        <f>V52*'ФОТ, МТР, макро'!AY$14</f>
        <v>0</v>
      </c>
      <c r="W78" s="65">
        <f>W52*'ФОТ, МТР, макро'!AZ$14</f>
        <v>0</v>
      </c>
      <c r="X78" s="65">
        <f>X52*'ФОТ, МТР, макро'!BA$14</f>
        <v>0</v>
      </c>
      <c r="Y78" s="65">
        <f>Y52*'ФОТ, МТР, макро'!BB$14</f>
        <v>0</v>
      </c>
      <c r="Z78" s="65">
        <f>Z52*'ФОТ, МТР, макро'!BC$14</f>
        <v>0</v>
      </c>
      <c r="AA78" s="175"/>
    </row>
    <row r="79" spans="1:27" outlineLevel="1" x14ac:dyDescent="0.25">
      <c r="A79" s="36" t="str">
        <f t="shared" si="50"/>
        <v>HIFO 75D</v>
      </c>
      <c r="B79" s="36"/>
      <c r="D79" s="88" t="str">
        <f>D53</f>
        <v>Буровой станок</v>
      </c>
      <c r="E79" s="9" t="str">
        <f>E78</f>
        <v>тыс. руб.</v>
      </c>
      <c r="F79" s="70">
        <f>F53*'ФОТ, МТР, макро'!AI$14</f>
        <v>0</v>
      </c>
      <c r="G79" s="70">
        <f>G53*'ФОТ, МТР, макро'!AJ$14</f>
        <v>0</v>
      </c>
      <c r="H79" s="70">
        <f>H53*'ФОТ, МТР, макро'!AK$14</f>
        <v>0</v>
      </c>
      <c r="I79" s="70">
        <f>I53*'ФОТ, МТР, макро'!AL$14</f>
        <v>0</v>
      </c>
      <c r="J79" s="70">
        <f>J53*'ФОТ, МТР, макро'!AM$14</f>
        <v>0</v>
      </c>
      <c r="K79" s="70">
        <f>K53*'ФОТ, МТР, макро'!AN$14</f>
        <v>0</v>
      </c>
      <c r="L79" s="70">
        <f>L53*'ФОТ, МТР, макро'!AO$14</f>
        <v>0</v>
      </c>
      <c r="M79" s="70">
        <f>M53*'ФОТ, МТР, макро'!AP$14</f>
        <v>0</v>
      </c>
      <c r="N79" s="70">
        <f>N53*'ФОТ, МТР, макро'!AQ$14</f>
        <v>0</v>
      </c>
      <c r="O79" s="70">
        <f>O53*'ФОТ, МТР, макро'!AR$14</f>
        <v>0</v>
      </c>
      <c r="P79" s="70">
        <f>P53*'ФОТ, МТР, макро'!AS$14</f>
        <v>0</v>
      </c>
      <c r="Q79" s="70">
        <f>Q53*'ФОТ, МТР, макро'!AT$14</f>
        <v>0</v>
      </c>
      <c r="R79" s="70">
        <f>R53*'ФОТ, МТР, макро'!AU$14</f>
        <v>0</v>
      </c>
      <c r="S79" s="70">
        <f>S53*'ФОТ, МТР, макро'!AV$14</f>
        <v>0</v>
      </c>
      <c r="T79" s="70">
        <f>T53*'ФОТ, МТР, макро'!AW$14</f>
        <v>0</v>
      </c>
      <c r="U79" s="70">
        <f>U53*'ФОТ, МТР, макро'!AX$14</f>
        <v>0</v>
      </c>
      <c r="V79" s="70">
        <f>V53*'ФОТ, МТР, макро'!AY$14</f>
        <v>0</v>
      </c>
      <c r="W79" s="70">
        <f>W53*'ФОТ, МТР, макро'!AZ$14</f>
        <v>0</v>
      </c>
      <c r="X79" s="70">
        <f>X53*'ФОТ, МТР, макро'!BA$14</f>
        <v>0</v>
      </c>
      <c r="Y79" s="70">
        <f>Y53*'ФОТ, МТР, макро'!BB$14</f>
        <v>0</v>
      </c>
      <c r="Z79" s="70">
        <f>Z53*'ФОТ, МТР, макро'!BC$14</f>
        <v>0</v>
      </c>
      <c r="AA79" s="175"/>
    </row>
    <row r="80" spans="1:27" outlineLevel="1" x14ac:dyDescent="0.25">
      <c r="A80" s="36" t="str">
        <f t="shared" si="50"/>
        <v>HIFO 75D</v>
      </c>
      <c r="B80" s="36"/>
      <c r="D80" s="91" t="s">
        <v>67</v>
      </c>
      <c r="E80" s="9"/>
      <c r="F80" s="93">
        <f>F78-F79</f>
        <v>0</v>
      </c>
      <c r="G80" s="93">
        <f t="shared" ref="G80:Z80" si="57">G78-G79</f>
        <v>0</v>
      </c>
      <c r="H80" s="93">
        <f t="shared" si="57"/>
        <v>0</v>
      </c>
      <c r="I80" s="93">
        <f t="shared" si="57"/>
        <v>0</v>
      </c>
      <c r="J80" s="93">
        <f t="shared" si="57"/>
        <v>0</v>
      </c>
      <c r="K80" s="93">
        <f t="shared" si="57"/>
        <v>0</v>
      </c>
      <c r="L80" s="93">
        <f t="shared" si="57"/>
        <v>0</v>
      </c>
      <c r="M80" s="93">
        <f t="shared" si="57"/>
        <v>0</v>
      </c>
      <c r="N80" s="93">
        <f t="shared" si="57"/>
        <v>0</v>
      </c>
      <c r="O80" s="93">
        <f t="shared" si="57"/>
        <v>0</v>
      </c>
      <c r="P80" s="93">
        <f t="shared" si="57"/>
        <v>0</v>
      </c>
      <c r="Q80" s="93">
        <f t="shared" si="57"/>
        <v>0</v>
      </c>
      <c r="R80" s="93">
        <f t="shared" si="57"/>
        <v>0</v>
      </c>
      <c r="S80" s="93">
        <f t="shared" si="57"/>
        <v>0</v>
      </c>
      <c r="T80" s="93">
        <f t="shared" si="57"/>
        <v>0</v>
      </c>
      <c r="U80" s="93">
        <f t="shared" si="57"/>
        <v>0</v>
      </c>
      <c r="V80" s="93">
        <f t="shared" si="57"/>
        <v>0</v>
      </c>
      <c r="W80" s="93">
        <f t="shared" si="57"/>
        <v>0</v>
      </c>
      <c r="X80" s="93">
        <f t="shared" si="57"/>
        <v>0</v>
      </c>
      <c r="Y80" s="93">
        <f t="shared" si="57"/>
        <v>0</v>
      </c>
      <c r="Z80" s="93">
        <f t="shared" si="57"/>
        <v>0</v>
      </c>
      <c r="AA80" s="175"/>
    </row>
    <row r="81" spans="1:29" outlineLevel="1" x14ac:dyDescent="0.25">
      <c r="A81" s="36" t="str">
        <f t="shared" si="50"/>
        <v>HIFO 75D</v>
      </c>
      <c r="B81" s="36"/>
      <c r="D81" s="94" t="s">
        <v>70</v>
      </c>
      <c r="E81" s="64" t="str">
        <f>E78</f>
        <v>тыс. руб.</v>
      </c>
      <c r="F81" s="65">
        <f>F78</f>
        <v>0</v>
      </c>
      <c r="G81" s="65">
        <f>F81+G78</f>
        <v>0</v>
      </c>
      <c r="H81" s="65">
        <f t="shared" ref="H81:Z82" si="58">G81+H78</f>
        <v>0</v>
      </c>
      <c r="I81" s="65">
        <f t="shared" si="58"/>
        <v>0</v>
      </c>
      <c r="J81" s="65">
        <f t="shared" si="58"/>
        <v>0</v>
      </c>
      <c r="K81" s="65">
        <f t="shared" si="58"/>
        <v>0</v>
      </c>
      <c r="L81" s="65">
        <f t="shared" si="58"/>
        <v>0</v>
      </c>
      <c r="M81" s="65">
        <f t="shared" si="58"/>
        <v>0</v>
      </c>
      <c r="N81" s="65">
        <f t="shared" si="58"/>
        <v>0</v>
      </c>
      <c r="O81" s="65">
        <f t="shared" si="58"/>
        <v>0</v>
      </c>
      <c r="P81" s="65">
        <f t="shared" si="58"/>
        <v>0</v>
      </c>
      <c r="Q81" s="65">
        <f t="shared" si="58"/>
        <v>0</v>
      </c>
      <c r="R81" s="65">
        <f t="shared" si="58"/>
        <v>0</v>
      </c>
      <c r="S81" s="65">
        <f t="shared" si="58"/>
        <v>0</v>
      </c>
      <c r="T81" s="65">
        <f t="shared" si="58"/>
        <v>0</v>
      </c>
      <c r="U81" s="65">
        <f t="shared" si="58"/>
        <v>0</v>
      </c>
      <c r="V81" s="65">
        <f t="shared" si="58"/>
        <v>0</v>
      </c>
      <c r="W81" s="65">
        <f t="shared" si="58"/>
        <v>0</v>
      </c>
      <c r="X81" s="65">
        <f t="shared" si="58"/>
        <v>0</v>
      </c>
      <c r="Y81" s="65">
        <f t="shared" si="58"/>
        <v>0</v>
      </c>
      <c r="Z81" s="65">
        <f t="shared" si="58"/>
        <v>0</v>
      </c>
      <c r="AA81" s="175"/>
    </row>
    <row r="82" spans="1:29" outlineLevel="1" x14ac:dyDescent="0.25">
      <c r="A82" s="36" t="str">
        <f t="shared" si="50"/>
        <v>HIFO 75D</v>
      </c>
      <c r="B82" s="36"/>
      <c r="D82" s="88" t="str">
        <f>D79</f>
        <v>Буровой станок</v>
      </c>
      <c r="E82" s="9" t="str">
        <f>E79</f>
        <v>тыс. руб.</v>
      </c>
      <c r="F82" s="70">
        <f>F79</f>
        <v>0</v>
      </c>
      <c r="G82" s="70">
        <f>F82+G79</f>
        <v>0</v>
      </c>
      <c r="H82" s="70">
        <f t="shared" si="58"/>
        <v>0</v>
      </c>
      <c r="I82" s="70">
        <f t="shared" si="58"/>
        <v>0</v>
      </c>
      <c r="J82" s="70">
        <f t="shared" si="58"/>
        <v>0</v>
      </c>
      <c r="K82" s="70">
        <f t="shared" si="58"/>
        <v>0</v>
      </c>
      <c r="L82" s="70">
        <f t="shared" si="58"/>
        <v>0</v>
      </c>
      <c r="M82" s="70">
        <f t="shared" si="58"/>
        <v>0</v>
      </c>
      <c r="N82" s="70">
        <f t="shared" si="58"/>
        <v>0</v>
      </c>
      <c r="O82" s="70">
        <f t="shared" si="58"/>
        <v>0</v>
      </c>
      <c r="P82" s="70">
        <f t="shared" si="58"/>
        <v>0</v>
      </c>
      <c r="Q82" s="70">
        <f t="shared" si="58"/>
        <v>0</v>
      </c>
      <c r="R82" s="70">
        <f t="shared" si="58"/>
        <v>0</v>
      </c>
      <c r="S82" s="70">
        <f t="shared" si="58"/>
        <v>0</v>
      </c>
      <c r="T82" s="70">
        <f t="shared" si="58"/>
        <v>0</v>
      </c>
      <c r="U82" s="70">
        <f t="shared" si="58"/>
        <v>0</v>
      </c>
      <c r="V82" s="70">
        <f t="shared" si="58"/>
        <v>0</v>
      </c>
      <c r="W82" s="70">
        <f t="shared" si="58"/>
        <v>0</v>
      </c>
      <c r="X82" s="70">
        <f t="shared" si="58"/>
        <v>0</v>
      </c>
      <c r="Y82" s="70">
        <f t="shared" si="58"/>
        <v>0</v>
      </c>
      <c r="Z82" s="70">
        <f t="shared" si="58"/>
        <v>0</v>
      </c>
      <c r="AA82" s="175"/>
    </row>
    <row r="83" spans="1:29" outlineLevel="1" x14ac:dyDescent="0.25">
      <c r="A83" s="36" t="str">
        <f t="shared" si="50"/>
        <v>HIFO 75D</v>
      </c>
      <c r="B83" s="36"/>
      <c r="D83" s="88"/>
      <c r="E83" s="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175"/>
    </row>
    <row r="84" spans="1:29" outlineLevel="1" x14ac:dyDescent="0.25">
      <c r="A84" s="36" t="str">
        <f t="shared" si="50"/>
        <v>HIFO 75D</v>
      </c>
      <c r="B84" s="36"/>
      <c r="D84" s="63" t="s">
        <v>71</v>
      </c>
      <c r="E84" s="64" t="str">
        <f>E55</f>
        <v>тыс. руб.</v>
      </c>
      <c r="F84" s="65">
        <f>F55*'ФОТ, МТР, макро'!AI$14</f>
        <v>0</v>
      </c>
      <c r="G84" s="65">
        <f>G55*'ФОТ, МТР, макро'!AJ$14</f>
        <v>38599.372236981522</v>
      </c>
      <c r="H84" s="65">
        <f>H55*'ФОТ, МТР, макро'!AK$14</f>
        <v>48203.35851801488</v>
      </c>
      <c r="I84" s="65">
        <f>I55*'ФОТ, МТР, макро'!AL$14</f>
        <v>58283.10599282357</v>
      </c>
      <c r="J84" s="65">
        <f>J55*'ФОТ, МТР, макро'!AM$14</f>
        <v>46528.729728971652</v>
      </c>
      <c r="K84" s="65">
        <f>K55*'ФОТ, МТР, макро'!AN$14</f>
        <v>48417.71243440191</v>
      </c>
      <c r="L84" s="65">
        <f>L55*'ФОТ, МТР, макро'!AO$14</f>
        <v>35940.017742373879</v>
      </c>
      <c r="M84" s="65">
        <f>M55*'ФОТ, МТР, макро'!AP$14</f>
        <v>34276.937399049122</v>
      </c>
      <c r="N84" s="65">
        <f>N55*'ФОТ, МТР, макро'!AQ$14</f>
        <v>30668.39248473991</v>
      </c>
      <c r="O84" s="65">
        <f>O55*'ФОТ, МТР, макро'!AR$14</f>
        <v>33943.712703461664</v>
      </c>
      <c r="P84" s="65">
        <f>P55*'ФОТ, МТР, макро'!AS$14</f>
        <v>17148.052133040426</v>
      </c>
      <c r="Q84" s="65">
        <f>Q55*'ФОТ, МТР, макро'!AT$14</f>
        <v>0</v>
      </c>
      <c r="R84" s="65">
        <f>R55*'ФОТ, МТР, макро'!AU$14</f>
        <v>0</v>
      </c>
      <c r="S84" s="65">
        <f>S55*'ФОТ, МТР, макро'!AV$14</f>
        <v>0</v>
      </c>
      <c r="T84" s="65">
        <f>T55*'ФОТ, МТР, макро'!AW$14</f>
        <v>0</v>
      </c>
      <c r="U84" s="65">
        <f>U55*'ФОТ, МТР, макро'!AX$14</f>
        <v>0</v>
      </c>
      <c r="V84" s="65">
        <f>V55*'ФОТ, МТР, макро'!AY$14</f>
        <v>0</v>
      </c>
      <c r="W84" s="65">
        <f>W55*'ФОТ, МТР, макро'!AZ$14</f>
        <v>0</v>
      </c>
      <c r="X84" s="65">
        <f>X55*'ФОТ, МТР, макро'!BA$14</f>
        <v>0</v>
      </c>
      <c r="Y84" s="65">
        <f>Y55*'ФОТ, МТР, макро'!BB$14</f>
        <v>0</v>
      </c>
      <c r="Z84" s="65">
        <f>Z55*'ФОТ, МТР, макро'!BC$14</f>
        <v>0</v>
      </c>
      <c r="AA84" s="175"/>
    </row>
    <row r="85" spans="1:29" outlineLevel="1" x14ac:dyDescent="0.25">
      <c r="A85" s="36" t="str">
        <f t="shared" si="50"/>
        <v>HIFO 75D</v>
      </c>
      <c r="B85" s="36"/>
      <c r="D85" s="94" t="s">
        <v>72</v>
      </c>
      <c r="E85" s="64" t="str">
        <f>E84</f>
        <v>тыс. руб.</v>
      </c>
      <c r="F85" s="65">
        <f>F84</f>
        <v>0</v>
      </c>
      <c r="G85" s="65">
        <f>F85+G84</f>
        <v>38599.372236981522</v>
      </c>
      <c r="H85" s="65">
        <f t="shared" ref="H85:Z85" si="59">G85+H84</f>
        <v>86802.730754996403</v>
      </c>
      <c r="I85" s="65">
        <f t="shared" si="59"/>
        <v>145085.83674781997</v>
      </c>
      <c r="J85" s="65">
        <f t="shared" si="59"/>
        <v>191614.56647679163</v>
      </c>
      <c r="K85" s="65">
        <f t="shared" si="59"/>
        <v>240032.27891119354</v>
      </c>
      <c r="L85" s="65">
        <f t="shared" si="59"/>
        <v>275972.29665356741</v>
      </c>
      <c r="M85" s="65">
        <f t="shared" si="59"/>
        <v>310249.23405261652</v>
      </c>
      <c r="N85" s="65">
        <f t="shared" si="59"/>
        <v>340917.62653735641</v>
      </c>
      <c r="O85" s="65">
        <f t="shared" si="59"/>
        <v>374861.33924081805</v>
      </c>
      <c r="P85" s="65">
        <f t="shared" si="59"/>
        <v>392009.3913738585</v>
      </c>
      <c r="Q85" s="65">
        <f t="shared" si="59"/>
        <v>392009.3913738585</v>
      </c>
      <c r="R85" s="65">
        <f t="shared" si="59"/>
        <v>392009.3913738585</v>
      </c>
      <c r="S85" s="65">
        <f t="shared" si="59"/>
        <v>392009.3913738585</v>
      </c>
      <c r="T85" s="65">
        <f t="shared" si="59"/>
        <v>392009.3913738585</v>
      </c>
      <c r="U85" s="65">
        <f t="shared" si="59"/>
        <v>392009.3913738585</v>
      </c>
      <c r="V85" s="65">
        <f t="shared" si="59"/>
        <v>392009.3913738585</v>
      </c>
      <c r="W85" s="65">
        <f t="shared" si="59"/>
        <v>392009.3913738585</v>
      </c>
      <c r="X85" s="65">
        <f t="shared" si="59"/>
        <v>392009.3913738585</v>
      </c>
      <c r="Y85" s="65">
        <f t="shared" si="59"/>
        <v>392009.3913738585</v>
      </c>
      <c r="Z85" s="65">
        <f t="shared" si="59"/>
        <v>392009.3913738585</v>
      </c>
      <c r="AA85" s="175"/>
    </row>
    <row r="86" spans="1:29" outlineLevel="1" x14ac:dyDescent="0.25">
      <c r="A86" s="36" t="str">
        <f t="shared" si="50"/>
        <v>HIFO 75D</v>
      </c>
      <c r="B86" s="36"/>
      <c r="D86" s="88"/>
      <c r="E86" s="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175"/>
    </row>
    <row r="87" spans="1:29" outlineLevel="1" x14ac:dyDescent="0.25">
      <c r="A87" s="36" t="str">
        <f t="shared" si="50"/>
        <v>HIFO 75D</v>
      </c>
      <c r="B87" s="36" t="str">
        <f>D87</f>
        <v>Аннуитет операционный</v>
      </c>
      <c r="C87" s="57">
        <f>E6</f>
        <v>10</v>
      </c>
      <c r="D87" s="95" t="s">
        <v>73</v>
      </c>
      <c r="E87" s="96" t="s">
        <v>207</v>
      </c>
      <c r="F87" s="97"/>
      <c r="G87" s="98">
        <f>G67/'ФОТ, МТР, макро'!AJ$15/(G13/G8)</f>
        <v>8.4705092408175418</v>
      </c>
      <c r="H87" s="98">
        <f>H67/'ФОТ, МТР, макро'!AK$15/(H13/H8)</f>
        <v>10.305977393339322</v>
      </c>
      <c r="I87" s="98">
        <f>I67/'ФОТ, МТР, макро'!AL$15/(I13/I8)</f>
        <v>12.520210523446375</v>
      </c>
      <c r="J87" s="98">
        <f>J67/'ФОТ, МТР, макро'!AM$15/(J13/J8)</f>
        <v>13.042902700169279</v>
      </c>
      <c r="K87" s="98">
        <f>K67/'ФОТ, МТР, макро'!AN$15/(K13/K8)</f>
        <v>13.696501353793836</v>
      </c>
      <c r="L87" s="98">
        <f>L67/'ФОТ, МТР, макро'!AO$15/(L13/L8)</f>
        <v>14.052652193197041</v>
      </c>
      <c r="M87" s="98">
        <f>M67/'ФОТ, МТР, макро'!AP$15/(M13/M8)</f>
        <v>14.361969637586814</v>
      </c>
      <c r="N87" s="98">
        <f>N67/'ФОТ, МТР, макро'!AQ$15/(N13/N8)</f>
        <v>14.379770367865328</v>
      </c>
      <c r="O87" s="98">
        <f>O67/'ФОТ, МТР, макро'!AR$15/(O13/O8)</f>
        <v>14.804341471624102</v>
      </c>
      <c r="P87" s="98">
        <f>P67/'ФОТ, МТР, макро'!AS$15/(P13/P8)</f>
        <v>14.684750420733641</v>
      </c>
      <c r="Q87" s="98" t="e">
        <f>Q67/'ФОТ, МТР, макро'!AT$15/(Q13/Q8)</f>
        <v>#DIV/0!</v>
      </c>
      <c r="R87" s="98" t="e">
        <f>R67/'ФОТ, МТР, макро'!AU$15/(R13/R8)</f>
        <v>#DIV/0!</v>
      </c>
      <c r="S87" s="98" t="e">
        <f>S67/'ФОТ, МТР, макро'!AV$15/(S13/S8)</f>
        <v>#DIV/0!</v>
      </c>
      <c r="T87" s="98" t="e">
        <f>T67/'ФОТ, МТР, макро'!AW$15/(T13/T8)</f>
        <v>#DIV/0!</v>
      </c>
      <c r="U87" s="98" t="e">
        <f>U67/'ФОТ, МТР, макро'!AX$15/(U13/U8)</f>
        <v>#DIV/0!</v>
      </c>
      <c r="V87" s="98" t="e">
        <f>V67/'ФОТ, МТР, макро'!AY$15/(V13/V8)</f>
        <v>#DIV/0!</v>
      </c>
      <c r="W87" s="98" t="e">
        <f>W67/'ФОТ, МТР, макро'!AZ$15/(W13/W8)</f>
        <v>#DIV/0!</v>
      </c>
      <c r="X87" s="98" t="e">
        <f>X67/'ФОТ, МТР, макро'!BA$15/(X13/X8)</f>
        <v>#DIV/0!</v>
      </c>
      <c r="Y87" s="98" t="e">
        <f>Y67/'ФОТ, МТР, макро'!BB$15/(Y13/Y8)</f>
        <v>#DIV/0!</v>
      </c>
      <c r="Z87" s="98" t="e">
        <f>Z67/'ФОТ, МТР, макро'!BC$15/(Z13/Z8)</f>
        <v>#DIV/0!</v>
      </c>
      <c r="AA87" s="175"/>
      <c r="AC87" s="99" cm="1">
        <f t="array" ref="AC87">INDEX(G87:Z87,1,$C87)</f>
        <v>14.684750420733641</v>
      </c>
    </row>
    <row r="88" spans="1:29" outlineLevel="1" x14ac:dyDescent="0.25">
      <c r="A88" s="36" t="str">
        <f t="shared" si="50"/>
        <v>HIFO 75D</v>
      </c>
      <c r="B88" s="36" t="str">
        <f t="shared" ref="B88:B99" si="60">D88</f>
        <v>ТО, ТР, ППР</v>
      </c>
      <c r="C88" s="36">
        <f>C87</f>
        <v>10</v>
      </c>
      <c r="D88" s="100" t="str">
        <f>D68</f>
        <v>ТО, ТР, ППР</v>
      </c>
      <c r="E88" s="101" t="str">
        <f>E87</f>
        <v>руб/м3</v>
      </c>
      <c r="F88" s="102"/>
      <c r="G88" s="103">
        <f>G68/'ФОТ, МТР, макро'!AJ$15/(G13/G8)</f>
        <v>2.2581048357552498</v>
      </c>
      <c r="H88" s="103">
        <f>H68/'ФОТ, МТР, макро'!AK$15/(H13/H8)</f>
        <v>4.5720646217304353</v>
      </c>
      <c r="I88" s="103">
        <f>I68/'ФОТ, МТР, макро'!AL$15/(I13/I8)</f>
        <v>7.2793690873345032</v>
      </c>
      <c r="J88" s="103">
        <f>J68/'ФОТ, МТР, макро'!AM$15/(J13/J8)</f>
        <v>8.0112055452403741</v>
      </c>
      <c r="K88" s="103">
        <f>K68/'ФОТ, МТР, макро'!AN$15/(K13/K8)</f>
        <v>8.9315413260626908</v>
      </c>
      <c r="L88" s="103">
        <f>L68/'ФОТ, МТР, макро'!AO$15/(L13/L8)</f>
        <v>9.2637492994331421</v>
      </c>
      <c r="M88" s="103">
        <f>M68/'ФОТ, МТР, макро'!AP$15/(M13/M8)</f>
        <v>9.5963977746139708</v>
      </c>
      <c r="N88" s="103">
        <f>N68/'ФОТ, МТР, макро'!AQ$15/(N13/N8)</f>
        <v>9.6962149927799839</v>
      </c>
      <c r="O88" s="103">
        <f>O68/'ФОТ, МТР, макро'!AR$15/(O13/O8)</f>
        <v>10.228726828584985</v>
      </c>
      <c r="P88" s="103">
        <f>P68/'ФОТ, МТР, макро'!AS$15/(P13/P8)</f>
        <v>10.01917588976915</v>
      </c>
      <c r="Q88" s="103" t="e">
        <f>Q68/'ФОТ, МТР, макро'!AT$15/(Q13/Q8)</f>
        <v>#DIV/0!</v>
      </c>
      <c r="R88" s="103" t="e">
        <f>R68/'ФОТ, МТР, макро'!AU$15/(R13/R8)</f>
        <v>#DIV/0!</v>
      </c>
      <c r="S88" s="103" t="e">
        <f>S68/'ФОТ, МТР, макро'!AV$15/(S13/S8)</f>
        <v>#DIV/0!</v>
      </c>
      <c r="T88" s="103" t="e">
        <f>T68/'ФОТ, МТР, макро'!AW$15/(T13/T8)</f>
        <v>#DIV/0!</v>
      </c>
      <c r="U88" s="103" t="e">
        <f>U68/'ФОТ, МТР, макро'!AX$15/(U13/U8)</f>
        <v>#DIV/0!</v>
      </c>
      <c r="V88" s="103" t="e">
        <f>V68/'ФОТ, МТР, макро'!AY$15/(V13/V8)</f>
        <v>#DIV/0!</v>
      </c>
      <c r="W88" s="103" t="e">
        <f>W68/'ФОТ, МТР, макро'!AZ$15/(W13/W8)</f>
        <v>#DIV/0!</v>
      </c>
      <c r="X88" s="103" t="e">
        <f>X68/'ФОТ, МТР, макро'!BA$15/(X13/X8)</f>
        <v>#DIV/0!</v>
      </c>
      <c r="Y88" s="103" t="e">
        <f>Y68/'ФОТ, МТР, макро'!BB$15/(Y13/Y8)</f>
        <v>#DIV/0!</v>
      </c>
      <c r="Z88" s="103" t="e">
        <f>Z68/'ФОТ, МТР, макро'!BC$15/(Z13/Z8)</f>
        <v>#DIV/0!</v>
      </c>
      <c r="AA88" s="175"/>
      <c r="AC88" s="104" cm="1">
        <f t="array" ref="AC88">INDEX(G88:Z88,1,$C88)</f>
        <v>10.01917588976915</v>
      </c>
    </row>
    <row r="89" spans="1:29" outlineLevel="1" x14ac:dyDescent="0.25">
      <c r="A89" s="36" t="str">
        <f t="shared" si="50"/>
        <v>HIFO 75D</v>
      </c>
      <c r="B89" s="36" t="str">
        <f t="shared" si="60"/>
        <v>Смазочные</v>
      </c>
      <c r="C89" s="36">
        <f t="shared" ref="C89:C99" si="61">C88</f>
        <v>10</v>
      </c>
      <c r="D89" s="100" t="str">
        <f t="shared" ref="D89:D96" si="62">D69</f>
        <v>Смазочные</v>
      </c>
      <c r="E89" s="101" t="str">
        <f t="shared" ref="E89:E96" si="63">E88</f>
        <v>руб/м3</v>
      </c>
      <c r="F89" s="102"/>
      <c r="G89" s="103">
        <f>G69/'ФОТ, МТР, макро'!AJ$15/(G13/G8)</f>
        <v>0</v>
      </c>
      <c r="H89" s="103">
        <f>H69/'ФОТ, МТР, макро'!AK$15/(H13/H8)</f>
        <v>0</v>
      </c>
      <c r="I89" s="103">
        <f>I69/'ФОТ, МТР, макро'!AL$15/(I13/I8)</f>
        <v>0</v>
      </c>
      <c r="J89" s="103">
        <f>J69/'ФОТ, МТР, макро'!AM$15/(J13/J8)</f>
        <v>0</v>
      </c>
      <c r="K89" s="103">
        <f>K69/'ФОТ, МТР, макро'!AN$15/(K13/K8)</f>
        <v>0</v>
      </c>
      <c r="L89" s="103">
        <f>L69/'ФОТ, МТР, макро'!AO$15/(L13/L8)</f>
        <v>0</v>
      </c>
      <c r="M89" s="103">
        <f>M69/'ФОТ, МТР, макро'!AP$15/(M13/M8)</f>
        <v>0</v>
      </c>
      <c r="N89" s="103">
        <f>N69/'ФОТ, МТР, макро'!AQ$15/(N13/N8)</f>
        <v>0</v>
      </c>
      <c r="O89" s="103">
        <f>O69/'ФОТ, МТР, макро'!AR$15/(O13/O8)</f>
        <v>0</v>
      </c>
      <c r="P89" s="103">
        <f>P69/'ФОТ, МТР, макро'!AS$15/(P13/P8)</f>
        <v>0</v>
      </c>
      <c r="Q89" s="103" t="e">
        <f>Q69/'ФОТ, МТР, макро'!AT$15/(Q13/Q8)</f>
        <v>#DIV/0!</v>
      </c>
      <c r="R89" s="103" t="e">
        <f>R69/'ФОТ, МТР, макро'!AU$15/(R13/R8)</f>
        <v>#DIV/0!</v>
      </c>
      <c r="S89" s="103" t="e">
        <f>S69/'ФОТ, МТР, макро'!AV$15/(S13/S8)</f>
        <v>#DIV/0!</v>
      </c>
      <c r="T89" s="103" t="e">
        <f>T69/'ФОТ, МТР, макро'!AW$15/(T13/T8)</f>
        <v>#DIV/0!</v>
      </c>
      <c r="U89" s="103" t="e">
        <f>U69/'ФОТ, МТР, макро'!AX$15/(U13/U8)</f>
        <v>#DIV/0!</v>
      </c>
      <c r="V89" s="103" t="e">
        <f>V69/'ФОТ, МТР, макро'!AY$15/(V13/V8)</f>
        <v>#DIV/0!</v>
      </c>
      <c r="W89" s="103" t="e">
        <f>W69/'ФОТ, МТР, макро'!AZ$15/(W13/W8)</f>
        <v>#DIV/0!</v>
      </c>
      <c r="X89" s="103" t="e">
        <f>X69/'ФОТ, МТР, макро'!BA$15/(X13/X8)</f>
        <v>#DIV/0!</v>
      </c>
      <c r="Y89" s="103" t="e">
        <f>Y69/'ФОТ, МТР, макро'!BB$15/(Y13/Y8)</f>
        <v>#DIV/0!</v>
      </c>
      <c r="Z89" s="103" t="e">
        <f>Z69/'ФОТ, МТР, макро'!BC$15/(Z13/Z8)</f>
        <v>#DIV/0!</v>
      </c>
      <c r="AA89" s="175"/>
      <c r="AC89" s="104" cm="1">
        <f t="array" ref="AC89">INDEX(G89:Z89,1,$C89)</f>
        <v>0</v>
      </c>
    </row>
    <row r="90" spans="1:29" outlineLevel="1" x14ac:dyDescent="0.25">
      <c r="A90" s="36" t="str">
        <f t="shared" si="50"/>
        <v>HIFO 75D</v>
      </c>
      <c r="B90" s="36" t="str">
        <f t="shared" si="60"/>
        <v>Долота</v>
      </c>
      <c r="C90" s="36">
        <f t="shared" si="61"/>
        <v>10</v>
      </c>
      <c r="D90" s="100" t="str">
        <f t="shared" si="62"/>
        <v>Долота</v>
      </c>
      <c r="E90" s="101" t="str">
        <f t="shared" si="63"/>
        <v>руб/м3</v>
      </c>
      <c r="F90" s="102"/>
      <c r="G90" s="103">
        <f>G70/'ФОТ, МТР, макро'!AJ$15/(G13/G8)</f>
        <v>0</v>
      </c>
      <c r="H90" s="103">
        <f>H70/'ФОТ, МТР, макро'!AK$15/(H13/H8)</f>
        <v>0</v>
      </c>
      <c r="I90" s="103">
        <f>I70/'ФОТ, МТР, макро'!AL$15/(I13/I8)</f>
        <v>0</v>
      </c>
      <c r="J90" s="103">
        <f>J70/'ФОТ, МТР, макро'!AM$15/(J13/J8)</f>
        <v>0</v>
      </c>
      <c r="K90" s="103">
        <f>K70/'ФОТ, МТР, макро'!AN$15/(K13/K8)</f>
        <v>0</v>
      </c>
      <c r="L90" s="103">
        <f>L70/'ФОТ, МТР, макро'!AO$15/(L13/L8)</f>
        <v>0</v>
      </c>
      <c r="M90" s="103">
        <f>M70/'ФОТ, МТР, макро'!AP$15/(M13/M8)</f>
        <v>0</v>
      </c>
      <c r="N90" s="103">
        <f>N70/'ФОТ, МТР, макро'!AQ$15/(N13/N8)</f>
        <v>0</v>
      </c>
      <c r="O90" s="103">
        <f>O70/'ФОТ, МТР, макро'!AR$15/(O13/O8)</f>
        <v>0</v>
      </c>
      <c r="P90" s="103">
        <f>P70/'ФОТ, МТР, макро'!AS$15/(P13/P8)</f>
        <v>0</v>
      </c>
      <c r="Q90" s="103" t="e">
        <f>Q70/'ФОТ, МТР, макро'!AT$15/(Q13/Q8)</f>
        <v>#DIV/0!</v>
      </c>
      <c r="R90" s="103" t="e">
        <f>R70/'ФОТ, МТР, макро'!AU$15/(R13/R8)</f>
        <v>#DIV/0!</v>
      </c>
      <c r="S90" s="103" t="e">
        <f>S70/'ФОТ, МТР, макро'!AV$15/(S13/S8)</f>
        <v>#DIV/0!</v>
      </c>
      <c r="T90" s="103" t="e">
        <f>T70/'ФОТ, МТР, макро'!AW$15/(T13/T8)</f>
        <v>#DIV/0!</v>
      </c>
      <c r="U90" s="103" t="e">
        <f>U70/'ФОТ, МТР, макро'!AX$15/(U13/U8)</f>
        <v>#DIV/0!</v>
      </c>
      <c r="V90" s="103" t="e">
        <f>V70/'ФОТ, МТР, макро'!AY$15/(V13/V8)</f>
        <v>#DIV/0!</v>
      </c>
      <c r="W90" s="103" t="e">
        <f>W70/'ФОТ, МТР, макро'!AZ$15/(W13/W8)</f>
        <v>#DIV/0!</v>
      </c>
      <c r="X90" s="103" t="e">
        <f>X70/'ФОТ, МТР, макро'!BA$15/(X13/X8)</f>
        <v>#DIV/0!</v>
      </c>
      <c r="Y90" s="103" t="e">
        <f>Y70/'ФОТ, МТР, макро'!BB$15/(Y13/Y8)</f>
        <v>#DIV/0!</v>
      </c>
      <c r="Z90" s="103" t="e">
        <f>Z70/'ФОТ, МТР, макро'!BC$15/(Z13/Z8)</f>
        <v>#DIV/0!</v>
      </c>
      <c r="AA90" s="175"/>
      <c r="AC90" s="104" cm="1">
        <f t="array" ref="AC90">INDEX(G90:Z90,1,$C90)</f>
        <v>0</v>
      </c>
    </row>
    <row r="91" spans="1:29" outlineLevel="1" x14ac:dyDescent="0.25">
      <c r="A91" s="36" t="str">
        <f t="shared" si="50"/>
        <v>HIFO 75D</v>
      </c>
      <c r="B91" s="36" t="str">
        <f t="shared" si="60"/>
        <v>Штанги буровые</v>
      </c>
      <c r="C91" s="36">
        <f t="shared" si="61"/>
        <v>10</v>
      </c>
      <c r="D91" s="100" t="str">
        <f t="shared" si="62"/>
        <v>Штанги буровые</v>
      </c>
      <c r="E91" s="101" t="str">
        <f t="shared" si="63"/>
        <v>руб/м3</v>
      </c>
      <c r="F91" s="102"/>
      <c r="G91" s="103">
        <f>G71/'ФОТ, МТР, макро'!AJ$15/(G13/G8)</f>
        <v>0</v>
      </c>
      <c r="H91" s="103">
        <f>H71/'ФОТ, МТР, макро'!AK$15/(H13/H8)</f>
        <v>0</v>
      </c>
      <c r="I91" s="103">
        <f>I71/'ФОТ, МТР, макро'!AL$15/(I13/I8)</f>
        <v>0</v>
      </c>
      <c r="J91" s="103">
        <f>J71/'ФОТ, МТР, макро'!AM$15/(J13/J8)</f>
        <v>0</v>
      </c>
      <c r="K91" s="103">
        <f>K71/'ФОТ, МТР, макро'!AN$15/(K13/K8)</f>
        <v>0</v>
      </c>
      <c r="L91" s="103">
        <f>L71/'ФОТ, МТР, макро'!AO$15/(L13/L8)</f>
        <v>0</v>
      </c>
      <c r="M91" s="103">
        <f>M71/'ФОТ, МТР, макро'!AP$15/(M13/M8)</f>
        <v>0</v>
      </c>
      <c r="N91" s="103">
        <f>N71/'ФОТ, МТР, макро'!AQ$15/(N13/N8)</f>
        <v>0</v>
      </c>
      <c r="O91" s="103">
        <f>O71/'ФОТ, МТР, макро'!AR$15/(O13/O8)</f>
        <v>0</v>
      </c>
      <c r="P91" s="103">
        <f>P71/'ФОТ, МТР, макро'!AS$15/(P13/P8)</f>
        <v>0</v>
      </c>
      <c r="Q91" s="103" t="e">
        <f>Q71/'ФОТ, МТР, макро'!AT$15/(Q13/Q8)</f>
        <v>#DIV/0!</v>
      </c>
      <c r="R91" s="103" t="e">
        <f>R71/'ФОТ, МТР, макро'!AU$15/(R13/R8)</f>
        <v>#DIV/0!</v>
      </c>
      <c r="S91" s="103" t="e">
        <f>S71/'ФОТ, МТР, макро'!AV$15/(S13/S8)</f>
        <v>#DIV/0!</v>
      </c>
      <c r="T91" s="103" t="e">
        <f>T71/'ФОТ, МТР, макро'!AW$15/(T13/T8)</f>
        <v>#DIV/0!</v>
      </c>
      <c r="U91" s="103" t="e">
        <f>U71/'ФОТ, МТР, макро'!AX$15/(U13/U8)</f>
        <v>#DIV/0!</v>
      </c>
      <c r="V91" s="103" t="e">
        <f>V71/'ФОТ, МТР, макро'!AY$15/(V13/V8)</f>
        <v>#DIV/0!</v>
      </c>
      <c r="W91" s="103" t="e">
        <f>W71/'ФОТ, МТР, макро'!AZ$15/(W13/W8)</f>
        <v>#DIV/0!</v>
      </c>
      <c r="X91" s="103" t="e">
        <f>X71/'ФОТ, МТР, макро'!BA$15/(X13/X8)</f>
        <v>#DIV/0!</v>
      </c>
      <c r="Y91" s="103" t="e">
        <f>Y71/'ФОТ, МТР, макро'!BB$15/(Y13/Y8)</f>
        <v>#DIV/0!</v>
      </c>
      <c r="Z91" s="103" t="e">
        <f>Z71/'ФОТ, МТР, макро'!BC$15/(Z13/Z8)</f>
        <v>#DIV/0!</v>
      </c>
      <c r="AA91" s="175"/>
      <c r="AC91" s="104" cm="1">
        <f t="array" ref="AC91">INDEX(G91:Z91,1,$C91)</f>
        <v>0</v>
      </c>
    </row>
    <row r="92" spans="1:29" outlineLevel="1" x14ac:dyDescent="0.25">
      <c r="A92" s="36" t="str">
        <f t="shared" si="50"/>
        <v>HIFO 75D</v>
      </c>
      <c r="B92" s="36" t="str">
        <f t="shared" si="60"/>
        <v>Расходники</v>
      </c>
      <c r="C92" s="36">
        <f t="shared" si="61"/>
        <v>10</v>
      </c>
      <c r="D92" s="100" t="str">
        <f t="shared" si="62"/>
        <v>Расходники</v>
      </c>
      <c r="E92" s="101" t="str">
        <f t="shared" si="63"/>
        <v>руб/м3</v>
      </c>
      <c r="F92" s="102"/>
      <c r="G92" s="103">
        <f>G72/'ФОТ, МТР, макро'!AJ$15/(G13/G8)</f>
        <v>0</v>
      </c>
      <c r="H92" s="103">
        <f>H72/'ФОТ, МТР, макро'!AK$15/(H13/H8)</f>
        <v>0</v>
      </c>
      <c r="I92" s="103">
        <f>I72/'ФОТ, МТР, макро'!AL$15/(I13/I8)</f>
        <v>0</v>
      </c>
      <c r="J92" s="103">
        <f>J72/'ФОТ, МТР, макро'!AM$15/(J13/J8)</f>
        <v>0</v>
      </c>
      <c r="K92" s="103">
        <f>K72/'ФОТ, МТР, макро'!AN$15/(K13/K8)</f>
        <v>0</v>
      </c>
      <c r="L92" s="103">
        <f>L72/'ФОТ, МТР, макро'!AO$15/(L13/L8)</f>
        <v>0</v>
      </c>
      <c r="M92" s="103">
        <f>M72/'ФОТ, МТР, макро'!AP$15/(M13/M8)</f>
        <v>0</v>
      </c>
      <c r="N92" s="103">
        <f>N72/'ФОТ, МТР, макро'!AQ$15/(N13/N8)</f>
        <v>0</v>
      </c>
      <c r="O92" s="103">
        <f>O72/'ФОТ, МТР, макро'!AR$15/(O13/O8)</f>
        <v>0</v>
      </c>
      <c r="P92" s="103">
        <f>P72/'ФОТ, МТР, макро'!AS$15/(P13/P8)</f>
        <v>0</v>
      </c>
      <c r="Q92" s="103" t="e">
        <f>Q72/'ФОТ, МТР, макро'!AT$15/(Q13/Q8)</f>
        <v>#DIV/0!</v>
      </c>
      <c r="R92" s="103" t="e">
        <f>R72/'ФОТ, МТР, макро'!AU$15/(R13/R8)</f>
        <v>#DIV/0!</v>
      </c>
      <c r="S92" s="103" t="e">
        <f>S72/'ФОТ, МТР, макро'!AV$15/(S13/S8)</f>
        <v>#DIV/0!</v>
      </c>
      <c r="T92" s="103" t="e">
        <f>T72/'ФОТ, МТР, макро'!AW$15/(T13/T8)</f>
        <v>#DIV/0!</v>
      </c>
      <c r="U92" s="103" t="e">
        <f>U72/'ФОТ, МТР, макро'!AX$15/(U13/U8)</f>
        <v>#DIV/0!</v>
      </c>
      <c r="V92" s="103" t="e">
        <f>V72/'ФОТ, МТР, макро'!AY$15/(V13/V8)</f>
        <v>#DIV/0!</v>
      </c>
      <c r="W92" s="103" t="e">
        <f>W72/'ФОТ, МТР, макро'!AZ$15/(W13/W8)</f>
        <v>#DIV/0!</v>
      </c>
      <c r="X92" s="103" t="e">
        <f>X72/'ФОТ, МТР, макро'!BA$15/(X13/X8)</f>
        <v>#DIV/0!</v>
      </c>
      <c r="Y92" s="103" t="e">
        <f>Y72/'ФОТ, МТР, макро'!BB$15/(Y13/Y8)</f>
        <v>#DIV/0!</v>
      </c>
      <c r="Z92" s="103" t="e">
        <f>Z72/'ФОТ, МТР, макро'!BC$15/(Z13/Z8)</f>
        <v>#DIV/0!</v>
      </c>
      <c r="AA92" s="175"/>
      <c r="AC92" s="104" cm="1">
        <f t="array" ref="AC92">INDEX(G92:Z92,1,$C92)</f>
        <v>0</v>
      </c>
    </row>
    <row r="93" spans="1:29" outlineLevel="1" x14ac:dyDescent="0.25">
      <c r="A93" s="36" t="str">
        <f t="shared" si="50"/>
        <v>HIFO 75D</v>
      </c>
      <c r="B93" s="36" t="str">
        <f t="shared" si="60"/>
        <v>Топливо/Электроэнергия</v>
      </c>
      <c r="C93" s="36">
        <f t="shared" si="61"/>
        <v>10</v>
      </c>
      <c r="D93" s="100" t="str">
        <f t="shared" si="62"/>
        <v>Топливо/Электроэнергия</v>
      </c>
      <c r="E93" s="101" t="str">
        <f t="shared" si="63"/>
        <v>руб/м3</v>
      </c>
      <c r="F93" s="102"/>
      <c r="G93" s="103">
        <f>G73/'ФОТ, МТР, макро'!AJ$15/(G13/G8)</f>
        <v>5.9553645480467354</v>
      </c>
      <c r="H93" s="103">
        <f>H73/'ФОТ, МТР, макро'!AK$15/(H13/H8)</f>
        <v>6.0144400874410167</v>
      </c>
      <c r="I93" s="103">
        <f>I73/'ФОТ, МТР, макро'!AL$15/(I13/I8)</f>
        <v>6.155539417017013</v>
      </c>
      <c r="J93" s="103">
        <f>J73/'ФОТ, МТР, макро'!AM$15/(J13/J8)</f>
        <v>6.128784090940675</v>
      </c>
      <c r="K93" s="103">
        <f>K73/'ФОТ, МТР, макро'!AN$15/(K13/K8)</f>
        <v>6.0965029376097055</v>
      </c>
      <c r="L93" s="103">
        <f>L73/'ФОТ, МТР, макро'!AO$15/(L13/L8)</f>
        <v>6.1815788684030961</v>
      </c>
      <c r="M93" s="103">
        <f>M73/'ФОТ, МТР, макро'!AP$15/(M13/M8)</f>
        <v>6.2313376549624397</v>
      </c>
      <c r="N93" s="103">
        <f>N73/'ФОТ, МТР, макро'!AQ$15/(N13/N8)</f>
        <v>6.1824707974816153</v>
      </c>
      <c r="O93" s="103">
        <f>O73/'ФОТ, МТР, макро'!AR$15/(O13/O8)</f>
        <v>6.2019873938265091</v>
      </c>
      <c r="P93" s="103">
        <f>P73/'ФОТ, МТР, макро'!AS$15/(P13/P8)</f>
        <v>6.2327336215205609</v>
      </c>
      <c r="Q93" s="103" t="e">
        <f>Q73/'ФОТ, МТР, макро'!AT$15/(Q13/Q8)</f>
        <v>#DIV/0!</v>
      </c>
      <c r="R93" s="103" t="e">
        <f>R73/'ФОТ, МТР, макро'!AU$15/(R13/R8)</f>
        <v>#DIV/0!</v>
      </c>
      <c r="S93" s="103" t="e">
        <f>S73/'ФОТ, МТР, макро'!AV$15/(S13/S8)</f>
        <v>#DIV/0!</v>
      </c>
      <c r="T93" s="103" t="e">
        <f>T73/'ФОТ, МТР, макро'!AW$15/(T13/T8)</f>
        <v>#DIV/0!</v>
      </c>
      <c r="U93" s="103" t="e">
        <f>U73/'ФОТ, МТР, макро'!AX$15/(U13/U8)</f>
        <v>#DIV/0!</v>
      </c>
      <c r="V93" s="103" t="e">
        <f>V73/'ФОТ, МТР, макро'!AY$15/(V13/V8)</f>
        <v>#DIV/0!</v>
      </c>
      <c r="W93" s="103" t="e">
        <f>W73/'ФОТ, МТР, макро'!AZ$15/(W13/W8)</f>
        <v>#DIV/0!</v>
      </c>
      <c r="X93" s="103" t="e">
        <f>X73/'ФОТ, МТР, макро'!BA$15/(X13/X8)</f>
        <v>#DIV/0!</v>
      </c>
      <c r="Y93" s="103" t="e">
        <f>Y73/'ФОТ, МТР, макро'!BB$15/(Y13/Y8)</f>
        <v>#DIV/0!</v>
      </c>
      <c r="Z93" s="103" t="e">
        <f>Z73/'ФОТ, МТР, макро'!BC$15/(Z13/Z8)</f>
        <v>#DIV/0!</v>
      </c>
      <c r="AA93" s="175"/>
      <c r="AC93" s="104" cm="1">
        <f t="array" ref="AC93">INDEX(G93:Z93,1,$C93)</f>
        <v>6.2327336215205609</v>
      </c>
    </row>
    <row r="94" spans="1:29" outlineLevel="1" x14ac:dyDescent="0.25">
      <c r="A94" s="36" t="str">
        <f t="shared" si="50"/>
        <v>HIFO 75D</v>
      </c>
      <c r="B94" s="36" t="str">
        <f t="shared" si="60"/>
        <v>Затраты на персонал</v>
      </c>
      <c r="C94" s="36">
        <f t="shared" si="61"/>
        <v>10</v>
      </c>
      <c r="D94" s="100" t="str">
        <f t="shared" si="62"/>
        <v>Затраты на персонал</v>
      </c>
      <c r="E94" s="101" t="str">
        <f t="shared" si="63"/>
        <v>руб/м3</v>
      </c>
      <c r="F94" s="102"/>
      <c r="G94" s="103">
        <f>G74/'ФОТ, МТР, макро'!AJ$15/(G13/G8)</f>
        <v>3.0781573550587913</v>
      </c>
      <c r="H94" s="103">
        <f>H74/'ФОТ, МТР, макро'!AK$15/(H13/H8)</f>
        <v>3.1523553959888706</v>
      </c>
      <c r="I94" s="103">
        <f>I74/'ФОТ, МТР, макро'!AL$15/(I13/I8)</f>
        <v>3.2561819750060921</v>
      </c>
      <c r="J94" s="103">
        <f>J74/'ФОТ, МТР, макро'!AM$15/(J13/J8)</f>
        <v>3.2480300632326093</v>
      </c>
      <c r="K94" s="103">
        <f>K74/'ФОТ, МТР, макро'!AN$15/(K13/K8)</f>
        <v>3.2314531544003726</v>
      </c>
      <c r="L94" s="103">
        <f>L74/'ФОТ, МТР, макро'!AO$15/(L13/L8)</f>
        <v>3.288992442966689</v>
      </c>
      <c r="M94" s="103">
        <f>M74/'ФОТ, МТР, макро'!AP$15/(M13/M8)</f>
        <v>3.3189851959291756</v>
      </c>
      <c r="N94" s="103">
        <f>N74/'ФОТ, МТР, макро'!AQ$15/(N13/N8)</f>
        <v>3.2917902184803443</v>
      </c>
      <c r="O94" s="103">
        <f>O74/'ФОТ, МТР, макро'!AR$15/(O13/O8)</f>
        <v>3.3058456982983548</v>
      </c>
      <c r="P94" s="103">
        <f>P74/'ФОТ, МТР, макро'!AS$15/(P13/P8)</f>
        <v>3.3251806902162215</v>
      </c>
      <c r="Q94" s="103" t="e">
        <f>Q74/'ФОТ, МТР, макро'!AT$15/(Q13/Q8)</f>
        <v>#DIV/0!</v>
      </c>
      <c r="R94" s="103" t="e">
        <f>R74/'ФОТ, МТР, макро'!AU$15/(R13/R8)</f>
        <v>#DIV/0!</v>
      </c>
      <c r="S94" s="103" t="e">
        <f>S74/'ФОТ, МТР, макро'!AV$15/(S13/S8)</f>
        <v>#DIV/0!</v>
      </c>
      <c r="T94" s="103" t="e">
        <f>T74/'ФОТ, МТР, макро'!AW$15/(T13/T8)</f>
        <v>#DIV/0!</v>
      </c>
      <c r="U94" s="103" t="e">
        <f>U74/'ФОТ, МТР, макро'!AX$15/(U13/U8)</f>
        <v>#DIV/0!</v>
      </c>
      <c r="V94" s="103" t="e">
        <f>V74/'ФОТ, МТР, макро'!AY$15/(V13/V8)</f>
        <v>#DIV/0!</v>
      </c>
      <c r="W94" s="103" t="e">
        <f>W74/'ФОТ, МТР, макро'!AZ$15/(W13/W8)</f>
        <v>#DIV/0!</v>
      </c>
      <c r="X94" s="103" t="e">
        <f>X74/'ФОТ, МТР, макро'!BA$15/(X13/X8)</f>
        <v>#DIV/0!</v>
      </c>
      <c r="Y94" s="103" t="e">
        <f>Y74/'ФОТ, МТР, макро'!BB$15/(Y13/Y8)</f>
        <v>#DIV/0!</v>
      </c>
      <c r="Z94" s="103" t="e">
        <f>Z74/'ФОТ, МТР, макро'!BC$15/(Z13/Z8)</f>
        <v>#DIV/0!</v>
      </c>
      <c r="AA94" s="175"/>
      <c r="AC94" s="104" cm="1">
        <f t="array" ref="AC94">INDEX(G94:Z94,1,$C94)</f>
        <v>3.3251806902162215</v>
      </c>
    </row>
    <row r="95" spans="1:29" outlineLevel="1" x14ac:dyDescent="0.25">
      <c r="A95" s="36" t="str">
        <f t="shared" si="50"/>
        <v>HIFO 75D</v>
      </c>
      <c r="B95" s="36" t="str">
        <f t="shared" si="60"/>
        <v>Транспортный налог</v>
      </c>
      <c r="C95" s="36">
        <f t="shared" si="61"/>
        <v>10</v>
      </c>
      <c r="D95" s="100" t="str">
        <f t="shared" si="62"/>
        <v>Транспортный налог</v>
      </c>
      <c r="E95" s="101" t="str">
        <f t="shared" si="63"/>
        <v>руб/м3</v>
      </c>
      <c r="F95" s="102"/>
      <c r="G95" s="103">
        <f>G75/'ФОТ, МТР, макро'!AJ$15/(G13/G8)</f>
        <v>2.385582229277163E-3</v>
      </c>
      <c r="H95" s="103">
        <f>H75/'ФОТ, МТР, макро'!AK$15/(H13/H8)</f>
        <v>2.443085958772693E-3</v>
      </c>
      <c r="I95" s="103">
        <f>I75/'ФОТ, МТР, макро'!AL$15/(I13/I8)</f>
        <v>2.5235519042264118E-3</v>
      </c>
      <c r="J95" s="103">
        <f>J75/'ФОТ, МТР, макро'!AM$15/(J13/J8)</f>
        <v>2.5172341453797127E-3</v>
      </c>
      <c r="K95" s="103">
        <f>K75/'ФОТ, МТР, макро'!AN$15/(K13/K8)</f>
        <v>2.5043869856782954E-3</v>
      </c>
      <c r="L95" s="103">
        <f>L75/'ФОТ, МТР, макро'!AO$15/(L13/L8)</f>
        <v>2.5489801264621699E-3</v>
      </c>
      <c r="M95" s="103">
        <f>M75/'ФОТ, МТР, макро'!AP$15/(M13/M8)</f>
        <v>2.5722246101649989E-3</v>
      </c>
      <c r="N95" s="103">
        <f>N75/'ФОТ, МТР, макро'!AQ$15/(N13/N8)</f>
        <v>2.55114841182806E-3</v>
      </c>
      <c r="O95" s="103">
        <f>O75/'ФОТ, МТР, макро'!AR$15/(O13/O8)</f>
        <v>2.5620414556234671E-3</v>
      </c>
      <c r="P95" s="103">
        <f>P75/'ФОТ, МТР, макро'!AS$15/(P13/P8)</f>
        <v>2.5770261389265075E-3</v>
      </c>
      <c r="Q95" s="103" t="e">
        <f>Q75/'ФОТ, МТР, макро'!AT$15/(Q13/Q8)</f>
        <v>#DIV/0!</v>
      </c>
      <c r="R95" s="103" t="e">
        <f>R75/'ФОТ, МТР, макро'!AU$15/(R13/R8)</f>
        <v>#DIV/0!</v>
      </c>
      <c r="S95" s="103" t="e">
        <f>S75/'ФОТ, МТР, макро'!AV$15/(S13/S8)</f>
        <v>#DIV/0!</v>
      </c>
      <c r="T95" s="103" t="e">
        <f>T75/'ФОТ, МТР, макро'!AW$15/(T13/T8)</f>
        <v>#DIV/0!</v>
      </c>
      <c r="U95" s="103" t="e">
        <f>U75/'ФОТ, МТР, макро'!AX$15/(U13/U8)</f>
        <v>#DIV/0!</v>
      </c>
      <c r="V95" s="103" t="e">
        <f>V75/'ФОТ, МТР, макро'!AY$15/(V13/V8)</f>
        <v>#DIV/0!</v>
      </c>
      <c r="W95" s="103" t="e">
        <f>W75/'ФОТ, МТР, макро'!AZ$15/(W13/W8)</f>
        <v>#DIV/0!</v>
      </c>
      <c r="X95" s="103" t="e">
        <f>X75/'ФОТ, МТР, макро'!BA$15/(X13/X8)</f>
        <v>#DIV/0!</v>
      </c>
      <c r="Y95" s="103" t="e">
        <f>Y75/'ФОТ, МТР, макро'!BB$15/(Y13/Y8)</f>
        <v>#DIV/0!</v>
      </c>
      <c r="Z95" s="103" t="e">
        <f>Z75/'ФОТ, МТР, макро'!BC$15/(Z13/Z8)</f>
        <v>#DIV/0!</v>
      </c>
      <c r="AA95" s="175"/>
      <c r="AC95" s="104" cm="1">
        <f t="array" ref="AC95">INDEX(G95:Z95,1,$C95)</f>
        <v>2.5770261389265075E-3</v>
      </c>
    </row>
    <row r="96" spans="1:29" outlineLevel="1" x14ac:dyDescent="0.25">
      <c r="A96" s="36" t="str">
        <f t="shared" si="50"/>
        <v>HIFO 75D</v>
      </c>
      <c r="B96" s="36" t="str">
        <f t="shared" si="60"/>
        <v>Налог на прибыль</v>
      </c>
      <c r="C96" s="36">
        <f t="shared" si="61"/>
        <v>10</v>
      </c>
      <c r="D96" s="100" t="str">
        <f t="shared" si="62"/>
        <v>Налог на прибыль</v>
      </c>
      <c r="E96" s="101" t="str">
        <f t="shared" si="63"/>
        <v>руб/м3</v>
      </c>
      <c r="F96" s="29"/>
      <c r="G96" s="103">
        <f>G76/'ФОТ, МТР, макро'!AJ$15/(G13/G8)</f>
        <v>-2.8235030802725136</v>
      </c>
      <c r="H96" s="103">
        <f>H76/'ФОТ, МТР, макро'!AK$15/(H13/H8)</f>
        <v>-3.4353257977797744</v>
      </c>
      <c r="I96" s="103">
        <f>I76/'ФОТ, МТР, макро'!AL$15/(I13/I8)</f>
        <v>-4.1734035078154594</v>
      </c>
      <c r="J96" s="103">
        <f>J76/'ФОТ, МТР, макро'!AM$15/(J13/J8)</f>
        <v>-4.3476342333897602</v>
      </c>
      <c r="K96" s="103">
        <f>K76/'ФОТ, МТР, макро'!AN$15/(K13/K8)</f>
        <v>-4.5655004512646125</v>
      </c>
      <c r="L96" s="103">
        <f>L76/'ФОТ, МТР, макро'!AO$15/(L13/L8)</f>
        <v>-4.6842173977323478</v>
      </c>
      <c r="M96" s="103">
        <f>M76/'ФОТ, МТР, макро'!AP$15/(M13/M8)</f>
        <v>-4.7873232125289382</v>
      </c>
      <c r="N96" s="103">
        <f>N76/'ФОТ, МТР, макро'!AQ$15/(N13/N8)</f>
        <v>-4.793256789288443</v>
      </c>
      <c r="O96" s="103">
        <f>O76/'ФОТ, МТР, макро'!AR$15/(O13/O8)</f>
        <v>-4.9347804905413692</v>
      </c>
      <c r="P96" s="103">
        <f>P76/'ФОТ, МТР, макро'!AS$15/(P13/P8)</f>
        <v>-4.8949168069112154</v>
      </c>
      <c r="Q96" s="103" t="e">
        <f>Q76/'ФОТ, МТР, макро'!AT$15/(Q13/Q8)</f>
        <v>#DIV/0!</v>
      </c>
      <c r="R96" s="103" t="e">
        <f>R76/'ФОТ, МТР, макро'!AU$15/(R13/R8)</f>
        <v>#DIV/0!</v>
      </c>
      <c r="S96" s="103" t="e">
        <f>S76/'ФОТ, МТР, макро'!AV$15/(S13/S8)</f>
        <v>#DIV/0!</v>
      </c>
      <c r="T96" s="103" t="e">
        <f>T76/'ФОТ, МТР, макро'!AW$15/(T13/T8)</f>
        <v>#DIV/0!</v>
      </c>
      <c r="U96" s="103" t="e">
        <f>U76/'ФОТ, МТР, макро'!AX$15/(U13/U8)</f>
        <v>#DIV/0!</v>
      </c>
      <c r="V96" s="103" t="e">
        <f>V76/'ФОТ, МТР, макро'!AY$15/(V13/V8)</f>
        <v>#DIV/0!</v>
      </c>
      <c r="W96" s="103" t="e">
        <f>W76/'ФОТ, МТР, макро'!AZ$15/(W13/W8)</f>
        <v>#DIV/0!</v>
      </c>
      <c r="X96" s="103" t="e">
        <f>X76/'ФОТ, МТР, макро'!BA$15/(X13/X8)</f>
        <v>#DIV/0!</v>
      </c>
      <c r="Y96" s="103" t="e">
        <f>Y76/'ФОТ, МТР, макро'!BB$15/(Y13/Y8)</f>
        <v>#DIV/0!</v>
      </c>
      <c r="Z96" s="103" t="e">
        <f>Z76/'ФОТ, МТР, макро'!BC$15/(Z13/Z8)</f>
        <v>#DIV/0!</v>
      </c>
      <c r="AA96" s="175"/>
      <c r="AC96" s="104" cm="1">
        <f t="array" ref="AC96">INDEX(G96:Z96,1,$C96)</f>
        <v>-4.8949168069112154</v>
      </c>
    </row>
    <row r="97" spans="1:29" outlineLevel="1" x14ac:dyDescent="0.25">
      <c r="A97" s="36" t="str">
        <f t="shared" si="50"/>
        <v>HIFO 75D</v>
      </c>
      <c r="B97" s="36" t="str">
        <f t="shared" si="60"/>
        <v>Аннуитет инвестиционный</v>
      </c>
      <c r="C97" s="36">
        <f t="shared" si="61"/>
        <v>10</v>
      </c>
      <c r="D97" s="95" t="s">
        <v>74</v>
      </c>
      <c r="E97" s="105" t="str">
        <f>E87</f>
        <v>руб/м3</v>
      </c>
      <c r="F97" s="106"/>
      <c r="G97" s="98">
        <f>G81/'ФОТ, МТР, макро'!AJ$15/(G13/G8)</f>
        <v>0</v>
      </c>
      <c r="H97" s="98">
        <f>H81/'ФОТ, МТР, макро'!AK$15/(H13/H8)</f>
        <v>0</v>
      </c>
      <c r="I97" s="98">
        <f>I81/'ФОТ, МТР, макро'!AL$15/(I13/I8)</f>
        <v>0</v>
      </c>
      <c r="J97" s="98">
        <f>J81/'ФОТ, МТР, макро'!AM$15/(J13/J8)</f>
        <v>0</v>
      </c>
      <c r="K97" s="98">
        <f>K81/'ФОТ, МТР, макро'!AN$15/(K13/K8)</f>
        <v>0</v>
      </c>
      <c r="L97" s="98">
        <f>L81/'ФОТ, МТР, макро'!AO$15/(L13/L8)</f>
        <v>0</v>
      </c>
      <c r="M97" s="98">
        <f>M81/'ФОТ, МТР, макро'!AP$15/(M13/M8)</f>
        <v>0</v>
      </c>
      <c r="N97" s="98">
        <f>N81/'ФОТ, МТР, макро'!AQ$15/(N13/N8)</f>
        <v>0</v>
      </c>
      <c r="O97" s="98">
        <f>O81/'ФОТ, МТР, макро'!AR$15/(O13/O8)</f>
        <v>0</v>
      </c>
      <c r="P97" s="98">
        <f>P81/'ФОТ, МТР, макро'!AS$15/(P13/P8)</f>
        <v>0</v>
      </c>
      <c r="Q97" s="98" t="e">
        <f>Q81/'ФОТ, МТР, макро'!AT$15/(Q13/Q8)</f>
        <v>#DIV/0!</v>
      </c>
      <c r="R97" s="98" t="e">
        <f>R81/'ФОТ, МТР, макро'!AU$15/(R13/R8)</f>
        <v>#DIV/0!</v>
      </c>
      <c r="S97" s="98" t="e">
        <f>S81/'ФОТ, МТР, макро'!AV$15/(S13/S8)</f>
        <v>#DIV/0!</v>
      </c>
      <c r="T97" s="98" t="e">
        <f>T81/'ФОТ, МТР, макро'!AW$15/(T13/T8)</f>
        <v>#DIV/0!</v>
      </c>
      <c r="U97" s="98" t="e">
        <f>U81/'ФОТ, МТР, макро'!AX$15/(U13/U8)</f>
        <v>#DIV/0!</v>
      </c>
      <c r="V97" s="98" t="e">
        <f>V81/'ФОТ, МТР, макро'!AY$15/(V13/V8)</f>
        <v>#DIV/0!</v>
      </c>
      <c r="W97" s="98" t="e">
        <f>W81/'ФОТ, МТР, макро'!AZ$15/(W13/W8)</f>
        <v>#DIV/0!</v>
      </c>
      <c r="X97" s="98" t="e">
        <f>X81/'ФОТ, МТР, макро'!BA$15/(X13/X8)</f>
        <v>#DIV/0!</v>
      </c>
      <c r="Y97" s="98" t="e">
        <f>Y81/'ФОТ, МТР, макро'!BB$15/(Y13/Y8)</f>
        <v>#DIV/0!</v>
      </c>
      <c r="Z97" s="98" t="e">
        <f>Z81/'ФОТ, МТР, макро'!BC$15/(Z13/Z8)</f>
        <v>#DIV/0!</v>
      </c>
      <c r="AA97" s="175"/>
      <c r="AC97" s="99" cm="1">
        <f t="array" ref="AC97">INDEX(G97:Z97,1,$C97)</f>
        <v>0</v>
      </c>
    </row>
    <row r="98" spans="1:29" outlineLevel="1" x14ac:dyDescent="0.25">
      <c r="A98" s="36" t="str">
        <f t="shared" si="50"/>
        <v>HIFO 75D</v>
      </c>
      <c r="B98" s="36" t="str">
        <f t="shared" si="60"/>
        <v>Буровой станок</v>
      </c>
      <c r="C98" s="36">
        <f t="shared" si="61"/>
        <v>10</v>
      </c>
      <c r="D98" s="88" t="str">
        <f>D82</f>
        <v>Буровой станок</v>
      </c>
      <c r="E98" s="9" t="str">
        <f>E97</f>
        <v>руб/м3</v>
      </c>
      <c r="F98" s="29"/>
      <c r="G98" s="107">
        <f>G82/'ФОТ, МТР, макро'!AJ$15/(G13/G8)</f>
        <v>0</v>
      </c>
      <c r="H98" s="107">
        <f>H82/'ФОТ, МТР, макро'!AK$15/(H13/H8)</f>
        <v>0</v>
      </c>
      <c r="I98" s="107">
        <f>I82/'ФОТ, МТР, макро'!AL$15/(I13/I8)</f>
        <v>0</v>
      </c>
      <c r="J98" s="107">
        <f>J82/'ФОТ, МТР, макро'!AM$15/(J13/J8)</f>
        <v>0</v>
      </c>
      <c r="K98" s="107">
        <f>K82/'ФОТ, МТР, макро'!AN$15/(K13/K8)</f>
        <v>0</v>
      </c>
      <c r="L98" s="107">
        <f>L82/'ФОТ, МТР, макро'!AO$15/(L13/L8)</f>
        <v>0</v>
      </c>
      <c r="M98" s="107">
        <f>M82/'ФОТ, МТР, макро'!AP$15/(M13/M8)</f>
        <v>0</v>
      </c>
      <c r="N98" s="107">
        <f>N82/'ФОТ, МТР, макро'!AQ$15/(N13/N8)</f>
        <v>0</v>
      </c>
      <c r="O98" s="107">
        <f>O82/'ФОТ, МТР, макро'!AR$15/(O13/O8)</f>
        <v>0</v>
      </c>
      <c r="P98" s="107">
        <f>P82/'ФОТ, МТР, макро'!AS$15/(P13/P8)</f>
        <v>0</v>
      </c>
      <c r="Q98" s="107" t="e">
        <f>Q82/'ФОТ, МТР, макро'!AT$15/(Q13/Q8)</f>
        <v>#DIV/0!</v>
      </c>
      <c r="R98" s="107" t="e">
        <f>R82/'ФОТ, МТР, макро'!AU$15/(R13/R8)</f>
        <v>#DIV/0!</v>
      </c>
      <c r="S98" s="107" t="e">
        <f>S82/'ФОТ, МТР, макро'!AV$15/(S13/S8)</f>
        <v>#DIV/0!</v>
      </c>
      <c r="T98" s="107" t="e">
        <f>T82/'ФОТ, МТР, макро'!AW$15/(T13/T8)</f>
        <v>#DIV/0!</v>
      </c>
      <c r="U98" s="107" t="e">
        <f>U82/'ФОТ, МТР, макро'!AX$15/(U13/U8)</f>
        <v>#DIV/0!</v>
      </c>
      <c r="V98" s="107" t="e">
        <f>V82/'ФОТ, МТР, макро'!AY$15/(V13/V8)</f>
        <v>#DIV/0!</v>
      </c>
      <c r="W98" s="107" t="e">
        <f>W82/'ФОТ, МТР, макро'!AZ$15/(W13/W8)</f>
        <v>#DIV/0!</v>
      </c>
      <c r="X98" s="107" t="e">
        <f>X82/'ФОТ, МТР, макро'!BA$15/(X13/X8)</f>
        <v>#DIV/0!</v>
      </c>
      <c r="Y98" s="107" t="e">
        <f>Y82/'ФОТ, МТР, макро'!BB$15/(Y13/Y8)</f>
        <v>#DIV/0!</v>
      </c>
      <c r="Z98" s="107" t="e">
        <f>Z82/'ФОТ, МТР, макро'!BC$15/(Z13/Z8)</f>
        <v>#DIV/0!</v>
      </c>
      <c r="AA98" s="175"/>
      <c r="AC98" s="104" cm="1">
        <f t="array" ref="AC98">INDEX(G98:Z98,1,$C98)</f>
        <v>0</v>
      </c>
    </row>
    <row r="99" spans="1:29" outlineLevel="1" x14ac:dyDescent="0.25">
      <c r="A99" s="36" t="str">
        <f t="shared" si="50"/>
        <v>HIFO 75D</v>
      </c>
      <c r="B99" s="36" t="str">
        <f t="shared" si="60"/>
        <v>Аннуитет общий</v>
      </c>
      <c r="C99" s="36">
        <f t="shared" si="61"/>
        <v>10</v>
      </c>
      <c r="D99" s="95" t="s">
        <v>75</v>
      </c>
      <c r="E99" s="105" t="str">
        <f>E87</f>
        <v>руб/м3</v>
      </c>
      <c r="F99" s="106"/>
      <c r="G99" s="98">
        <f>G85/'ФОТ, МТР, макро'!AJ$15/(G13/G8)</f>
        <v>8.4705092408175418</v>
      </c>
      <c r="H99" s="98">
        <f>H85/'ФОТ, МТР, макро'!AK$15/(H13/H8)</f>
        <v>10.305977393339322</v>
      </c>
      <c r="I99" s="98">
        <f>I85/'ФОТ, МТР, макро'!AL$15/(I13/I8)</f>
        <v>12.520210523446375</v>
      </c>
      <c r="J99" s="98">
        <f>J85/'ФОТ, МТР, макро'!AM$15/(J13/J8)</f>
        <v>13.042902700169279</v>
      </c>
      <c r="K99" s="98">
        <f>K85/'ФОТ, МТР, макро'!AN$15/(K13/K8)</f>
        <v>13.696501353793836</v>
      </c>
      <c r="L99" s="98">
        <f>L85/'ФОТ, МТР, макро'!AO$15/(L13/L8)</f>
        <v>14.052652193197041</v>
      </c>
      <c r="M99" s="98">
        <f>M85/'ФОТ, МТР, макро'!AP$15/(M13/M8)</f>
        <v>14.361969637586814</v>
      </c>
      <c r="N99" s="98">
        <f>N85/'ФОТ, МТР, макро'!AQ$15/(N13/N8)</f>
        <v>14.379770367865328</v>
      </c>
      <c r="O99" s="98">
        <f>O85/'ФОТ, МТР, макро'!AR$15/(O13/O8)</f>
        <v>14.804341471624102</v>
      </c>
      <c r="P99" s="98">
        <f>P85/'ФОТ, МТР, макро'!AS$15/(P13/P8)</f>
        <v>14.684750420733641</v>
      </c>
      <c r="Q99" s="98" t="e">
        <f>Q85/'ФОТ, МТР, макро'!AT$15/(Q13/Q8)</f>
        <v>#DIV/0!</v>
      </c>
      <c r="R99" s="98" t="e">
        <f>R85/'ФОТ, МТР, макро'!AU$15/(R13/R8)</f>
        <v>#DIV/0!</v>
      </c>
      <c r="S99" s="98" t="e">
        <f>S85/'ФОТ, МТР, макро'!AV$15/(S13/S8)</f>
        <v>#DIV/0!</v>
      </c>
      <c r="T99" s="98" t="e">
        <f>T85/'ФОТ, МТР, макро'!AW$15/(T13/T8)</f>
        <v>#DIV/0!</v>
      </c>
      <c r="U99" s="98" t="e">
        <f>U85/'ФОТ, МТР, макро'!AX$15/(U13/U8)</f>
        <v>#DIV/0!</v>
      </c>
      <c r="V99" s="98" t="e">
        <f>V85/'ФОТ, МТР, макро'!AY$15/(V13/V8)</f>
        <v>#DIV/0!</v>
      </c>
      <c r="W99" s="98" t="e">
        <f>W85/'ФОТ, МТР, макро'!AZ$15/(W13/W8)</f>
        <v>#DIV/0!</v>
      </c>
      <c r="X99" s="98" t="e">
        <f>X85/'ФОТ, МТР, макро'!BA$15/(X13/X8)</f>
        <v>#DIV/0!</v>
      </c>
      <c r="Y99" s="98" t="e">
        <f>Y85/'ФОТ, МТР, макро'!BB$15/(Y13/Y8)</f>
        <v>#DIV/0!</v>
      </c>
      <c r="Z99" s="98" t="e">
        <f>Z85/'ФОТ, МТР, макро'!BC$15/(Z13/Z8)</f>
        <v>#DIV/0!</v>
      </c>
      <c r="AA99" s="175"/>
      <c r="AC99" s="99" cm="1">
        <f t="array" ref="AC99">INDEX(G99:Z99,1,$C99)</f>
        <v>14.684750420733641</v>
      </c>
    </row>
    <row r="100" spans="1:29" outlineLevel="1" x14ac:dyDescent="0.25">
      <c r="A100" s="36" t="str">
        <f t="shared" si="50"/>
        <v>HIFO 75D</v>
      </c>
      <c r="B100" s="36"/>
      <c r="D100" s="108"/>
      <c r="E100" s="12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75"/>
    </row>
    <row r="101" spans="1:29" outlineLevel="1" x14ac:dyDescent="0.25">
      <c r="A101" s="36" t="str">
        <f t="shared" si="50"/>
        <v>HIFO 75D</v>
      </c>
      <c r="B101" s="36"/>
      <c r="D101" s="110" t="s">
        <v>67</v>
      </c>
      <c r="E101" s="111"/>
      <c r="F101" s="112"/>
      <c r="G101" s="113">
        <f>G99-G87-G97+G87-SUM(G88:G96)+G97-G98</f>
        <v>0</v>
      </c>
      <c r="H101" s="113">
        <f t="shared" ref="H101:Z101" si="64">H99-H87-H97+H87-SUM(H88:H96)+H97-H98</f>
        <v>3.5527136788005009E-15</v>
      </c>
      <c r="I101" s="113">
        <f t="shared" si="64"/>
        <v>0</v>
      </c>
      <c r="J101" s="113">
        <f t="shared" si="64"/>
        <v>1.7763568394002505E-15</v>
      </c>
      <c r="K101" s="113">
        <f t="shared" si="64"/>
        <v>1.7763568394002505E-15</v>
      </c>
      <c r="L101" s="113">
        <f t="shared" si="64"/>
        <v>0</v>
      </c>
      <c r="M101" s="113">
        <f t="shared" si="64"/>
        <v>0</v>
      </c>
      <c r="N101" s="113">
        <f t="shared" si="64"/>
        <v>-1.7763568394002505E-15</v>
      </c>
      <c r="O101" s="113">
        <f t="shared" si="64"/>
        <v>-1.7763568394002505E-15</v>
      </c>
      <c r="P101" s="113">
        <f t="shared" si="64"/>
        <v>-1.7763568394002505E-15</v>
      </c>
      <c r="Q101" s="113" t="e">
        <f t="shared" si="64"/>
        <v>#DIV/0!</v>
      </c>
      <c r="R101" s="113" t="e">
        <f t="shared" si="64"/>
        <v>#DIV/0!</v>
      </c>
      <c r="S101" s="113" t="e">
        <f t="shared" si="64"/>
        <v>#DIV/0!</v>
      </c>
      <c r="T101" s="113" t="e">
        <f t="shared" si="64"/>
        <v>#DIV/0!</v>
      </c>
      <c r="U101" s="113" t="e">
        <f t="shared" si="64"/>
        <v>#DIV/0!</v>
      </c>
      <c r="V101" s="113" t="e">
        <f t="shared" si="64"/>
        <v>#DIV/0!</v>
      </c>
      <c r="W101" s="113" t="e">
        <f t="shared" si="64"/>
        <v>#DIV/0!</v>
      </c>
      <c r="X101" s="113" t="e">
        <f t="shared" si="64"/>
        <v>#DIV/0!</v>
      </c>
      <c r="Y101" s="113" t="e">
        <f t="shared" si="64"/>
        <v>#DIV/0!</v>
      </c>
      <c r="Z101" s="113" t="e">
        <f t="shared" si="64"/>
        <v>#DIV/0!</v>
      </c>
      <c r="AA101" s="175"/>
    </row>
    <row r="102" spans="1:29" outlineLevel="1" x14ac:dyDescent="0.25">
      <c r="A102" s="36" t="str">
        <f t="shared" si="50"/>
        <v>HIFO 75D</v>
      </c>
      <c r="B102" s="36"/>
      <c r="D102" s="112"/>
      <c r="E102" s="111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75"/>
    </row>
    <row r="103" spans="1:29" outlineLevel="1" x14ac:dyDescent="0.25">
      <c r="A103" s="36" t="str">
        <f t="shared" si="50"/>
        <v>HIFO 75D</v>
      </c>
      <c r="B103" s="36"/>
      <c r="D103" s="114" t="s">
        <v>76</v>
      </c>
      <c r="E103" s="115" t="str">
        <f>E99</f>
        <v>руб/м3</v>
      </c>
      <c r="F103" s="116"/>
      <c r="G103" s="117">
        <f>SUM(G104:G111)</f>
        <v>11.294012321090054</v>
      </c>
      <c r="H103" s="117">
        <f t="shared" ref="H103:Z103" si="65">SUM(H104:H111)</f>
        <v>16.576943765875342</v>
      </c>
      <c r="I103" s="117">
        <f t="shared" si="65"/>
        <v>24.224698864281507</v>
      </c>
      <c r="J103" s="117">
        <f t="shared" si="65"/>
        <v>20.031934805635931</v>
      </c>
      <c r="K103" s="117">
        <f t="shared" si="65"/>
        <v>22.933730461670923</v>
      </c>
      <c r="L103" s="117">
        <f t="shared" si="65"/>
        <v>21.737241201205819</v>
      </c>
      <c r="M103" s="117">
        <f t="shared" si="65"/>
        <v>22.580304612309643</v>
      </c>
      <c r="N103" s="117">
        <f t="shared" si="65"/>
        <v>20.063428408499089</v>
      </c>
      <c r="O103" s="117">
        <f t="shared" si="65"/>
        <v>27.343720521053815</v>
      </c>
      <c r="P103" s="117">
        <f t="shared" si="65"/>
        <v>15.865499126656173</v>
      </c>
      <c r="Q103" s="117" t="e">
        <f t="shared" si="65"/>
        <v>#DIV/0!</v>
      </c>
      <c r="R103" s="117" t="e">
        <f t="shared" si="65"/>
        <v>#DIV/0!</v>
      </c>
      <c r="S103" s="117" t="e">
        <f t="shared" si="65"/>
        <v>#DIV/0!</v>
      </c>
      <c r="T103" s="117" t="e">
        <f t="shared" si="65"/>
        <v>#DIV/0!</v>
      </c>
      <c r="U103" s="117" t="e">
        <f t="shared" si="65"/>
        <v>#DIV/0!</v>
      </c>
      <c r="V103" s="117" t="e">
        <f t="shared" si="65"/>
        <v>#DIV/0!</v>
      </c>
      <c r="W103" s="117" t="e">
        <f t="shared" si="65"/>
        <v>#DIV/0!</v>
      </c>
      <c r="X103" s="117" t="e">
        <f t="shared" si="65"/>
        <v>#DIV/0!</v>
      </c>
      <c r="Y103" s="117" t="e">
        <f t="shared" si="65"/>
        <v>#DIV/0!</v>
      </c>
      <c r="Z103" s="117" t="e">
        <f t="shared" si="65"/>
        <v>#DIV/0!</v>
      </c>
      <c r="AA103" s="175"/>
    </row>
    <row r="104" spans="1:29" outlineLevel="1" x14ac:dyDescent="0.25">
      <c r="A104" s="36" t="str">
        <f t="shared" si="50"/>
        <v>HIFO 75D</v>
      </c>
      <c r="B104" s="36"/>
      <c r="D104" s="100" t="str">
        <f>D88</f>
        <v>ТО, ТР, ППР</v>
      </c>
      <c r="E104" s="101" t="str">
        <f>E103</f>
        <v>руб/м3</v>
      </c>
      <c r="F104" s="102"/>
      <c r="G104" s="103">
        <f t="shared" ref="G104:Z104" si="66">G16/G12</f>
        <v>2.2581048357552498</v>
      </c>
      <c r="H104" s="103">
        <f t="shared" si="66"/>
        <v>7.2781751288615126</v>
      </c>
      <c r="I104" s="103">
        <f t="shared" si="66"/>
        <v>14.291452493073983</v>
      </c>
      <c r="J104" s="103">
        <f t="shared" si="66"/>
        <v>10.76507844935135</v>
      </c>
      <c r="K104" s="103">
        <f t="shared" si="66"/>
        <v>13.795193151637607</v>
      </c>
      <c r="L104" s="103">
        <f t="shared" si="66"/>
        <v>11.521682935062342</v>
      </c>
      <c r="M104" s="103">
        <f t="shared" si="66"/>
        <v>12.53804452489233</v>
      </c>
      <c r="N104" s="103">
        <f t="shared" si="66"/>
        <v>11.077269053512317</v>
      </c>
      <c r="O104" s="103">
        <f t="shared" si="66"/>
        <v>17.595124015958504</v>
      </c>
      <c r="P104" s="103">
        <f t="shared" si="66"/>
        <v>5.8703509529186313</v>
      </c>
      <c r="Q104" s="103" t="e">
        <f t="shared" si="66"/>
        <v>#DIV/0!</v>
      </c>
      <c r="R104" s="103" t="e">
        <f t="shared" si="66"/>
        <v>#DIV/0!</v>
      </c>
      <c r="S104" s="103" t="e">
        <f t="shared" si="66"/>
        <v>#DIV/0!</v>
      </c>
      <c r="T104" s="103" t="e">
        <f t="shared" si="66"/>
        <v>#DIV/0!</v>
      </c>
      <c r="U104" s="103" t="e">
        <f t="shared" si="66"/>
        <v>#DIV/0!</v>
      </c>
      <c r="V104" s="103" t="e">
        <f t="shared" si="66"/>
        <v>#DIV/0!</v>
      </c>
      <c r="W104" s="103" t="e">
        <f t="shared" si="66"/>
        <v>#DIV/0!</v>
      </c>
      <c r="X104" s="103" t="e">
        <f t="shared" si="66"/>
        <v>#DIV/0!</v>
      </c>
      <c r="Y104" s="103" t="e">
        <f t="shared" si="66"/>
        <v>#DIV/0!</v>
      </c>
      <c r="Z104" s="103" t="e">
        <f t="shared" si="66"/>
        <v>#DIV/0!</v>
      </c>
      <c r="AA104" s="175"/>
    </row>
    <row r="105" spans="1:29" outlineLevel="1" x14ac:dyDescent="0.25">
      <c r="A105" s="36" t="str">
        <f t="shared" si="50"/>
        <v>HIFO 75D</v>
      </c>
      <c r="B105" s="36"/>
      <c r="D105" s="100" t="str">
        <f t="shared" ref="D105:D111" si="67">D89</f>
        <v>Смазочные</v>
      </c>
      <c r="E105" s="101" t="str">
        <f t="shared" ref="E105:E111" si="68">E104</f>
        <v>руб/м3</v>
      </c>
      <c r="F105" s="102"/>
      <c r="G105" s="103">
        <f t="shared" ref="G105:Z105" si="69">G21/G12</f>
        <v>0</v>
      </c>
      <c r="H105" s="103">
        <f t="shared" si="69"/>
        <v>0</v>
      </c>
      <c r="I105" s="103">
        <f t="shared" si="69"/>
        <v>0</v>
      </c>
      <c r="J105" s="103">
        <f t="shared" si="69"/>
        <v>0</v>
      </c>
      <c r="K105" s="103">
        <f t="shared" si="69"/>
        <v>0</v>
      </c>
      <c r="L105" s="103">
        <f t="shared" si="69"/>
        <v>0</v>
      </c>
      <c r="M105" s="103">
        <f t="shared" si="69"/>
        <v>0</v>
      </c>
      <c r="N105" s="103">
        <f t="shared" si="69"/>
        <v>0</v>
      </c>
      <c r="O105" s="103">
        <f t="shared" si="69"/>
        <v>0</v>
      </c>
      <c r="P105" s="103">
        <f t="shared" si="69"/>
        <v>0</v>
      </c>
      <c r="Q105" s="103" t="e">
        <f t="shared" si="69"/>
        <v>#DIV/0!</v>
      </c>
      <c r="R105" s="103" t="e">
        <f t="shared" si="69"/>
        <v>#DIV/0!</v>
      </c>
      <c r="S105" s="103" t="e">
        <f t="shared" si="69"/>
        <v>#DIV/0!</v>
      </c>
      <c r="T105" s="103" t="e">
        <f t="shared" si="69"/>
        <v>#DIV/0!</v>
      </c>
      <c r="U105" s="103" t="e">
        <f t="shared" si="69"/>
        <v>#DIV/0!</v>
      </c>
      <c r="V105" s="103" t="e">
        <f t="shared" si="69"/>
        <v>#DIV/0!</v>
      </c>
      <c r="W105" s="103" t="e">
        <f t="shared" si="69"/>
        <v>#DIV/0!</v>
      </c>
      <c r="X105" s="103" t="e">
        <f t="shared" si="69"/>
        <v>#DIV/0!</v>
      </c>
      <c r="Y105" s="103" t="e">
        <f t="shared" si="69"/>
        <v>#DIV/0!</v>
      </c>
      <c r="Z105" s="103" t="e">
        <f t="shared" si="69"/>
        <v>#DIV/0!</v>
      </c>
      <c r="AA105" s="175"/>
    </row>
    <row r="106" spans="1:29" outlineLevel="1" x14ac:dyDescent="0.25">
      <c r="A106" s="36" t="str">
        <f t="shared" si="50"/>
        <v>HIFO 75D</v>
      </c>
      <c r="B106" s="36"/>
      <c r="D106" s="100" t="str">
        <f t="shared" si="67"/>
        <v>Долота</v>
      </c>
      <c r="E106" s="101" t="str">
        <f t="shared" si="68"/>
        <v>руб/м3</v>
      </c>
      <c r="F106" s="102"/>
      <c r="G106" s="103">
        <f t="shared" ref="G106:Z106" si="70">G23/G12</f>
        <v>0</v>
      </c>
      <c r="H106" s="103">
        <f t="shared" si="70"/>
        <v>0</v>
      </c>
      <c r="I106" s="103">
        <f t="shared" si="70"/>
        <v>0</v>
      </c>
      <c r="J106" s="103">
        <f t="shared" si="70"/>
        <v>0</v>
      </c>
      <c r="K106" s="103">
        <f t="shared" si="70"/>
        <v>0</v>
      </c>
      <c r="L106" s="103">
        <f t="shared" si="70"/>
        <v>0</v>
      </c>
      <c r="M106" s="103">
        <f t="shared" si="70"/>
        <v>0</v>
      </c>
      <c r="N106" s="103">
        <f t="shared" si="70"/>
        <v>0</v>
      </c>
      <c r="O106" s="103">
        <f t="shared" si="70"/>
        <v>0</v>
      </c>
      <c r="P106" s="103">
        <f t="shared" si="70"/>
        <v>0</v>
      </c>
      <c r="Q106" s="103" t="e">
        <f t="shared" si="70"/>
        <v>#DIV/0!</v>
      </c>
      <c r="R106" s="103" t="e">
        <f t="shared" si="70"/>
        <v>#DIV/0!</v>
      </c>
      <c r="S106" s="103" t="e">
        <f t="shared" si="70"/>
        <v>#DIV/0!</v>
      </c>
      <c r="T106" s="103" t="e">
        <f t="shared" si="70"/>
        <v>#DIV/0!</v>
      </c>
      <c r="U106" s="103" t="e">
        <f t="shared" si="70"/>
        <v>#DIV/0!</v>
      </c>
      <c r="V106" s="103" t="e">
        <f t="shared" si="70"/>
        <v>#DIV/0!</v>
      </c>
      <c r="W106" s="103" t="e">
        <f t="shared" si="70"/>
        <v>#DIV/0!</v>
      </c>
      <c r="X106" s="103" t="e">
        <f t="shared" si="70"/>
        <v>#DIV/0!</v>
      </c>
      <c r="Y106" s="103" t="e">
        <f t="shared" si="70"/>
        <v>#DIV/0!</v>
      </c>
      <c r="Z106" s="103" t="e">
        <f t="shared" si="70"/>
        <v>#DIV/0!</v>
      </c>
      <c r="AA106" s="175"/>
    </row>
    <row r="107" spans="1:29" outlineLevel="1" x14ac:dyDescent="0.25">
      <c r="A107" s="36" t="str">
        <f t="shared" si="50"/>
        <v>HIFO 75D</v>
      </c>
      <c r="B107" s="36"/>
      <c r="D107" s="100" t="str">
        <f t="shared" si="67"/>
        <v>Штанги буровые</v>
      </c>
      <c r="E107" s="101" t="str">
        <f t="shared" si="68"/>
        <v>руб/м3</v>
      </c>
      <c r="F107" s="102"/>
      <c r="G107" s="103">
        <f t="shared" ref="G107:Z107" si="71">G27/G12</f>
        <v>0</v>
      </c>
      <c r="H107" s="103">
        <f t="shared" si="71"/>
        <v>0</v>
      </c>
      <c r="I107" s="103">
        <f t="shared" si="71"/>
        <v>0</v>
      </c>
      <c r="J107" s="103">
        <f t="shared" si="71"/>
        <v>0</v>
      </c>
      <c r="K107" s="103">
        <f t="shared" si="71"/>
        <v>0</v>
      </c>
      <c r="L107" s="103">
        <f t="shared" si="71"/>
        <v>0</v>
      </c>
      <c r="M107" s="103">
        <f t="shared" si="71"/>
        <v>0</v>
      </c>
      <c r="N107" s="103">
        <f t="shared" si="71"/>
        <v>0</v>
      </c>
      <c r="O107" s="103">
        <f t="shared" si="71"/>
        <v>0</v>
      </c>
      <c r="P107" s="103">
        <f t="shared" si="71"/>
        <v>0</v>
      </c>
      <c r="Q107" s="103" t="e">
        <f t="shared" si="71"/>
        <v>#DIV/0!</v>
      </c>
      <c r="R107" s="103" t="e">
        <f t="shared" si="71"/>
        <v>#DIV/0!</v>
      </c>
      <c r="S107" s="103" t="e">
        <f t="shared" si="71"/>
        <v>#DIV/0!</v>
      </c>
      <c r="T107" s="103" t="e">
        <f t="shared" si="71"/>
        <v>#DIV/0!</v>
      </c>
      <c r="U107" s="103" t="e">
        <f t="shared" si="71"/>
        <v>#DIV/0!</v>
      </c>
      <c r="V107" s="103" t="e">
        <f t="shared" si="71"/>
        <v>#DIV/0!</v>
      </c>
      <c r="W107" s="103" t="e">
        <f t="shared" si="71"/>
        <v>#DIV/0!</v>
      </c>
      <c r="X107" s="103" t="e">
        <f t="shared" si="71"/>
        <v>#DIV/0!</v>
      </c>
      <c r="Y107" s="103" t="e">
        <f t="shared" si="71"/>
        <v>#DIV/0!</v>
      </c>
      <c r="Z107" s="103" t="e">
        <f t="shared" si="71"/>
        <v>#DIV/0!</v>
      </c>
      <c r="AA107" s="175"/>
    </row>
    <row r="108" spans="1:29" outlineLevel="1" x14ac:dyDescent="0.25">
      <c r="A108" s="36" t="str">
        <f t="shared" si="50"/>
        <v>HIFO 75D</v>
      </c>
      <c r="B108" s="36"/>
      <c r="D108" s="100" t="str">
        <f t="shared" si="67"/>
        <v>Расходники</v>
      </c>
      <c r="E108" s="101" t="str">
        <f t="shared" si="68"/>
        <v>руб/м3</v>
      </c>
      <c r="F108" s="102"/>
      <c r="G108" s="103">
        <f t="shared" ref="G108:Z108" si="72">G31/G12</f>
        <v>0</v>
      </c>
      <c r="H108" s="103">
        <f t="shared" si="72"/>
        <v>0</v>
      </c>
      <c r="I108" s="103">
        <f t="shared" si="72"/>
        <v>0</v>
      </c>
      <c r="J108" s="103">
        <f t="shared" si="72"/>
        <v>0</v>
      </c>
      <c r="K108" s="103">
        <f t="shared" si="72"/>
        <v>0</v>
      </c>
      <c r="L108" s="103">
        <f t="shared" si="72"/>
        <v>0</v>
      </c>
      <c r="M108" s="103">
        <f t="shared" si="72"/>
        <v>0</v>
      </c>
      <c r="N108" s="103">
        <f t="shared" si="72"/>
        <v>0</v>
      </c>
      <c r="O108" s="103">
        <f t="shared" si="72"/>
        <v>0</v>
      </c>
      <c r="P108" s="103">
        <f t="shared" si="72"/>
        <v>0</v>
      </c>
      <c r="Q108" s="103" t="e">
        <f t="shared" si="72"/>
        <v>#DIV/0!</v>
      </c>
      <c r="R108" s="103" t="e">
        <f t="shared" si="72"/>
        <v>#DIV/0!</v>
      </c>
      <c r="S108" s="103" t="e">
        <f t="shared" si="72"/>
        <v>#DIV/0!</v>
      </c>
      <c r="T108" s="103" t="e">
        <f t="shared" si="72"/>
        <v>#DIV/0!</v>
      </c>
      <c r="U108" s="103" t="e">
        <f t="shared" si="72"/>
        <v>#DIV/0!</v>
      </c>
      <c r="V108" s="103" t="e">
        <f t="shared" si="72"/>
        <v>#DIV/0!</v>
      </c>
      <c r="W108" s="103" t="e">
        <f t="shared" si="72"/>
        <v>#DIV/0!</v>
      </c>
      <c r="X108" s="103" t="e">
        <f t="shared" si="72"/>
        <v>#DIV/0!</v>
      </c>
      <c r="Y108" s="103" t="e">
        <f t="shared" si="72"/>
        <v>#DIV/0!</v>
      </c>
      <c r="Z108" s="103" t="e">
        <f t="shared" si="72"/>
        <v>#DIV/0!</v>
      </c>
      <c r="AA108" s="175"/>
    </row>
    <row r="109" spans="1:29" outlineLevel="1" x14ac:dyDescent="0.25">
      <c r="A109" s="36" t="str">
        <f t="shared" si="50"/>
        <v>HIFO 75D</v>
      </c>
      <c r="B109" s="36"/>
      <c r="D109" s="100" t="str">
        <f t="shared" si="67"/>
        <v>Топливо/Электроэнергия</v>
      </c>
      <c r="E109" s="101" t="str">
        <f t="shared" si="68"/>
        <v>руб/м3</v>
      </c>
      <c r="F109" s="102"/>
      <c r="G109" s="103">
        <f t="shared" ref="G109:Z109" si="73">G33/G12</f>
        <v>5.9553645480467354</v>
      </c>
      <c r="H109" s="103">
        <f t="shared" si="73"/>
        <v>6.0660463743449418</v>
      </c>
      <c r="I109" s="103">
        <f t="shared" si="73"/>
        <v>6.4447449467543425</v>
      </c>
      <c r="J109" s="103">
        <f t="shared" si="73"/>
        <v>6.0405404832120126</v>
      </c>
      <c r="K109" s="103">
        <f t="shared" si="73"/>
        <v>5.9692792944127309</v>
      </c>
      <c r="L109" s="103">
        <f t="shared" si="73"/>
        <v>6.602331034187384</v>
      </c>
      <c r="M109" s="103">
        <f t="shared" si="73"/>
        <v>6.5284450277344703</v>
      </c>
      <c r="N109" s="103">
        <f t="shared" si="73"/>
        <v>5.8705196757194704</v>
      </c>
      <c r="O109" s="103">
        <f t="shared" si="73"/>
        <v>6.3231804179418392</v>
      </c>
      <c r="P109" s="103">
        <f t="shared" si="73"/>
        <v>6.4824891778150899</v>
      </c>
      <c r="Q109" s="103" t="e">
        <f t="shared" si="73"/>
        <v>#DIV/0!</v>
      </c>
      <c r="R109" s="103" t="e">
        <f t="shared" si="73"/>
        <v>#DIV/0!</v>
      </c>
      <c r="S109" s="103" t="e">
        <f t="shared" si="73"/>
        <v>#DIV/0!</v>
      </c>
      <c r="T109" s="103" t="e">
        <f t="shared" si="73"/>
        <v>#DIV/0!</v>
      </c>
      <c r="U109" s="103" t="e">
        <f t="shared" si="73"/>
        <v>#DIV/0!</v>
      </c>
      <c r="V109" s="103" t="e">
        <f t="shared" si="73"/>
        <v>#DIV/0!</v>
      </c>
      <c r="W109" s="103" t="e">
        <f t="shared" si="73"/>
        <v>#DIV/0!</v>
      </c>
      <c r="X109" s="103" t="e">
        <f t="shared" si="73"/>
        <v>#DIV/0!</v>
      </c>
      <c r="Y109" s="103" t="e">
        <f t="shared" si="73"/>
        <v>#DIV/0!</v>
      </c>
      <c r="Z109" s="103" t="e">
        <f t="shared" si="73"/>
        <v>#DIV/0!</v>
      </c>
      <c r="AA109" s="175"/>
    </row>
    <row r="110" spans="1:29" outlineLevel="1" x14ac:dyDescent="0.25">
      <c r="A110" s="36" t="str">
        <f t="shared" si="50"/>
        <v>HIFO 75D</v>
      </c>
      <c r="B110" s="36"/>
      <c r="D110" s="100" t="str">
        <f t="shared" si="67"/>
        <v>Затраты на персонал</v>
      </c>
      <c r="E110" s="101" t="str">
        <f t="shared" si="68"/>
        <v>руб/м3</v>
      </c>
      <c r="F110" s="102"/>
      <c r="G110" s="103">
        <f t="shared" ref="G110:Z110" si="74">G42/G12</f>
        <v>3.0781573550587913</v>
      </c>
      <c r="H110" s="103">
        <f t="shared" si="74"/>
        <v>3.2302188322869685</v>
      </c>
      <c r="I110" s="103">
        <f t="shared" si="74"/>
        <v>3.4857999178764527</v>
      </c>
      <c r="J110" s="103">
        <f t="shared" si="74"/>
        <v>3.2238174038190923</v>
      </c>
      <c r="K110" s="103">
        <f t="shared" si="74"/>
        <v>3.1668037321530398</v>
      </c>
      <c r="L110" s="103">
        <f t="shared" si="74"/>
        <v>3.6104291373181105</v>
      </c>
      <c r="M110" s="103">
        <f t="shared" si="74"/>
        <v>3.5110939501466372</v>
      </c>
      <c r="N110" s="103">
        <f t="shared" si="74"/>
        <v>3.1132269180096253</v>
      </c>
      <c r="O110" s="103">
        <f t="shared" si="74"/>
        <v>3.4227634340622011</v>
      </c>
      <c r="P110" s="103">
        <f t="shared" si="74"/>
        <v>3.5099387816456922</v>
      </c>
      <c r="Q110" s="103" t="e">
        <f t="shared" si="74"/>
        <v>#DIV/0!</v>
      </c>
      <c r="R110" s="103" t="e">
        <f t="shared" si="74"/>
        <v>#DIV/0!</v>
      </c>
      <c r="S110" s="103" t="e">
        <f t="shared" si="74"/>
        <v>#DIV/0!</v>
      </c>
      <c r="T110" s="103" t="e">
        <f t="shared" si="74"/>
        <v>#DIV/0!</v>
      </c>
      <c r="U110" s="103" t="e">
        <f t="shared" si="74"/>
        <v>#DIV/0!</v>
      </c>
      <c r="V110" s="103" t="e">
        <f t="shared" si="74"/>
        <v>#DIV/0!</v>
      </c>
      <c r="W110" s="103" t="e">
        <f t="shared" si="74"/>
        <v>#DIV/0!</v>
      </c>
      <c r="X110" s="103" t="e">
        <f t="shared" si="74"/>
        <v>#DIV/0!</v>
      </c>
      <c r="Y110" s="103" t="e">
        <f t="shared" si="74"/>
        <v>#DIV/0!</v>
      </c>
      <c r="Z110" s="103" t="e">
        <f t="shared" si="74"/>
        <v>#DIV/0!</v>
      </c>
      <c r="AA110" s="175"/>
    </row>
    <row r="111" spans="1:29" outlineLevel="1" x14ac:dyDescent="0.25">
      <c r="A111" s="36" t="str">
        <f t="shared" si="50"/>
        <v>HIFO 75D</v>
      </c>
      <c r="B111" s="36"/>
      <c r="D111" s="100" t="str">
        <f t="shared" si="67"/>
        <v>Транспортный налог</v>
      </c>
      <c r="E111" s="101" t="str">
        <f t="shared" si="68"/>
        <v>руб/м3</v>
      </c>
      <c r="F111" s="102"/>
      <c r="G111" s="103">
        <f t="shared" ref="G111:Z111" si="75">G45/G12</f>
        <v>2.385582229277163E-3</v>
      </c>
      <c r="H111" s="103">
        <f t="shared" si="75"/>
        <v>2.5034303819185489E-3</v>
      </c>
      <c r="I111" s="103">
        <f t="shared" si="75"/>
        <v>2.7015065767302315E-3</v>
      </c>
      <c r="J111" s="103">
        <f t="shared" si="75"/>
        <v>2.4984692534792061E-3</v>
      </c>
      <c r="K111" s="103">
        <f t="shared" si="75"/>
        <v>2.4542834675482655E-3</v>
      </c>
      <c r="L111" s="103">
        <f t="shared" si="75"/>
        <v>2.7980946379806038E-3</v>
      </c>
      <c r="M111" s="103">
        <f t="shared" si="75"/>
        <v>2.7211095362057592E-3</v>
      </c>
      <c r="N111" s="103">
        <f t="shared" si="75"/>
        <v>2.4127612576743088E-3</v>
      </c>
      <c r="O111" s="103">
        <f t="shared" si="75"/>
        <v>2.6526530912720381E-3</v>
      </c>
      <c r="P111" s="103">
        <f t="shared" si="75"/>
        <v>2.7202142767599915E-3</v>
      </c>
      <c r="Q111" s="103" t="e">
        <f t="shared" si="75"/>
        <v>#DIV/0!</v>
      </c>
      <c r="R111" s="103" t="e">
        <f t="shared" si="75"/>
        <v>#DIV/0!</v>
      </c>
      <c r="S111" s="103" t="e">
        <f t="shared" si="75"/>
        <v>#DIV/0!</v>
      </c>
      <c r="T111" s="103" t="e">
        <f t="shared" si="75"/>
        <v>#DIV/0!</v>
      </c>
      <c r="U111" s="103" t="e">
        <f t="shared" si="75"/>
        <v>#DIV/0!</v>
      </c>
      <c r="V111" s="103" t="e">
        <f t="shared" si="75"/>
        <v>#DIV/0!</v>
      </c>
      <c r="W111" s="103" t="e">
        <f t="shared" si="75"/>
        <v>#DIV/0!</v>
      </c>
      <c r="X111" s="103" t="e">
        <f t="shared" si="75"/>
        <v>#DIV/0!</v>
      </c>
      <c r="Y111" s="103" t="e">
        <f t="shared" si="75"/>
        <v>#DIV/0!</v>
      </c>
      <c r="Z111" s="103" t="e">
        <f t="shared" si="75"/>
        <v>#DIV/0!</v>
      </c>
      <c r="AA111" s="175"/>
    </row>
    <row r="112" spans="1:29" outlineLevel="1" x14ac:dyDescent="0.25">
      <c r="A112" s="36" t="str">
        <f t="shared" si="50"/>
        <v>HIFO 75D</v>
      </c>
      <c r="B112" s="36"/>
      <c r="D112" s="108"/>
      <c r="E112" s="12"/>
      <c r="F112" s="109"/>
      <c r="G112" s="118">
        <f t="shared" ref="G112:Z112" si="76">G103-(G15-G50)/G12</f>
        <v>0</v>
      </c>
      <c r="H112" s="118">
        <f t="shared" si="76"/>
        <v>0</v>
      </c>
      <c r="I112" s="118">
        <f t="shared" si="76"/>
        <v>0</v>
      </c>
      <c r="J112" s="118">
        <f t="shared" si="76"/>
        <v>0</v>
      </c>
      <c r="K112" s="118">
        <f t="shared" si="76"/>
        <v>0</v>
      </c>
      <c r="L112" s="118">
        <f t="shared" si="76"/>
        <v>0</v>
      </c>
      <c r="M112" s="118">
        <f t="shared" si="76"/>
        <v>0</v>
      </c>
      <c r="N112" s="118">
        <f t="shared" si="76"/>
        <v>0</v>
      </c>
      <c r="O112" s="118">
        <f t="shared" si="76"/>
        <v>0</v>
      </c>
      <c r="P112" s="118">
        <f t="shared" si="76"/>
        <v>0</v>
      </c>
      <c r="Q112" s="118" t="e">
        <f t="shared" si="76"/>
        <v>#DIV/0!</v>
      </c>
      <c r="R112" s="118" t="e">
        <f t="shared" si="76"/>
        <v>#DIV/0!</v>
      </c>
      <c r="S112" s="118" t="e">
        <f t="shared" si="76"/>
        <v>#DIV/0!</v>
      </c>
      <c r="T112" s="118" t="e">
        <f t="shared" si="76"/>
        <v>#DIV/0!</v>
      </c>
      <c r="U112" s="118" t="e">
        <f t="shared" si="76"/>
        <v>#DIV/0!</v>
      </c>
      <c r="V112" s="118" t="e">
        <f t="shared" si="76"/>
        <v>#DIV/0!</v>
      </c>
      <c r="W112" s="118" t="e">
        <f t="shared" si="76"/>
        <v>#DIV/0!</v>
      </c>
      <c r="X112" s="118" t="e">
        <f t="shared" si="76"/>
        <v>#DIV/0!</v>
      </c>
      <c r="Y112" s="118" t="e">
        <f t="shared" si="76"/>
        <v>#DIV/0!</v>
      </c>
      <c r="Z112" s="118" t="e">
        <f t="shared" si="76"/>
        <v>#DIV/0!</v>
      </c>
      <c r="AA112" s="175"/>
    </row>
    <row r="113" spans="1:28" outlineLevel="1" x14ac:dyDescent="0.25">
      <c r="A113" s="2" t="s">
        <v>34</v>
      </c>
      <c r="AA113" s="175"/>
    </row>
    <row r="114" spans="1:28" x14ac:dyDescent="0.25">
      <c r="A114" s="2" t="s">
        <v>34</v>
      </c>
      <c r="AA114" s="175"/>
    </row>
    <row r="115" spans="1:28" ht="14.3" x14ac:dyDescent="0.25">
      <c r="A115" s="2" t="s">
        <v>34</v>
      </c>
      <c r="C115" s="54" t="e">
        <f>SUM(F175:Z175,F189:Z189,F210:Z210,AA157)</f>
        <v>#DIV/0!</v>
      </c>
      <c r="D115" s="673" t="str">
        <f>'Свод_250-270_диз'!G19</f>
        <v>Sunward SWDRT270SM</v>
      </c>
      <c r="E115" s="55">
        <f>SUMIFS(Производительность!$Y$7:$Y$34,Производительность!$C$7:$C$34,$D115)</f>
        <v>12</v>
      </c>
      <c r="F115" s="56" t="str">
        <f>$F$2</f>
        <v>лет</v>
      </c>
      <c r="AA115" s="175"/>
    </row>
    <row r="116" spans="1:28" outlineLevel="1" x14ac:dyDescent="0.25">
      <c r="A116" s="2" t="s">
        <v>34</v>
      </c>
      <c r="AA116" s="175"/>
    </row>
    <row r="117" spans="1:28" outlineLevel="1" x14ac:dyDescent="0.25">
      <c r="A117" s="57" t="str">
        <f>D115</f>
        <v>Sunward SWDRT270SM</v>
      </c>
      <c r="D117" s="58" t="str">
        <f>D$1</f>
        <v>Показатель</v>
      </c>
      <c r="E117" s="58" t="str">
        <f t="shared" ref="E117:Z117" si="77">E$1</f>
        <v>Ед. изм.</v>
      </c>
      <c r="F117" s="58">
        <f t="shared" si="77"/>
        <v>0</v>
      </c>
      <c r="G117" s="58">
        <f t="shared" si="77"/>
        <v>1</v>
      </c>
      <c r="H117" s="58">
        <f t="shared" si="77"/>
        <v>2</v>
      </c>
      <c r="I117" s="58">
        <f t="shared" si="77"/>
        <v>3</v>
      </c>
      <c r="J117" s="58">
        <f t="shared" si="77"/>
        <v>4</v>
      </c>
      <c r="K117" s="58">
        <f t="shared" si="77"/>
        <v>5</v>
      </c>
      <c r="L117" s="58">
        <f t="shared" si="77"/>
        <v>6</v>
      </c>
      <c r="M117" s="58">
        <f t="shared" si="77"/>
        <v>7</v>
      </c>
      <c r="N117" s="58">
        <f t="shared" si="77"/>
        <v>8</v>
      </c>
      <c r="O117" s="58">
        <f t="shared" si="77"/>
        <v>9</v>
      </c>
      <c r="P117" s="58">
        <f t="shared" si="77"/>
        <v>10</v>
      </c>
      <c r="Q117" s="58">
        <f t="shared" si="77"/>
        <v>11</v>
      </c>
      <c r="R117" s="58">
        <f t="shared" si="77"/>
        <v>12</v>
      </c>
      <c r="S117" s="58">
        <f t="shared" si="77"/>
        <v>13</v>
      </c>
      <c r="T117" s="58">
        <f t="shared" si="77"/>
        <v>14</v>
      </c>
      <c r="U117" s="58">
        <f t="shared" si="77"/>
        <v>15</v>
      </c>
      <c r="V117" s="58">
        <f t="shared" si="77"/>
        <v>16</v>
      </c>
      <c r="W117" s="58">
        <f t="shared" si="77"/>
        <v>17</v>
      </c>
      <c r="X117" s="58">
        <f t="shared" si="77"/>
        <v>18</v>
      </c>
      <c r="Y117" s="58">
        <f t="shared" si="77"/>
        <v>19</v>
      </c>
      <c r="Z117" s="58">
        <f t="shared" si="77"/>
        <v>20</v>
      </c>
      <c r="AA117" s="175"/>
    </row>
    <row r="118" spans="1:28" outlineLevel="1" x14ac:dyDescent="0.25">
      <c r="A118" s="36" t="str">
        <f>A117</f>
        <v>Sunward SWDRT270SM</v>
      </c>
      <c r="B118" s="36"/>
      <c r="D118" s="59" t="s">
        <v>39</v>
      </c>
      <c r="E118" s="60" t="s">
        <v>40</v>
      </c>
      <c r="F118" s="61"/>
      <c r="G118" s="62">
        <f>SUMIFS(Производительность!E$7:E$34,Производительность!$C$7:$C$34,$A118)</f>
        <v>0.89479459982242504</v>
      </c>
      <c r="H118" s="62">
        <f>SUMIFS(Производительность!F$7:F$34,Производительность!$C$7:$C$34,$A118)</f>
        <v>0.86538376775748349</v>
      </c>
      <c r="I118" s="62">
        <f>SUMIFS(Производительность!G$7:G$34,Производительность!$C$7:$C$34,$A118)</f>
        <v>0.84540659880771174</v>
      </c>
      <c r="J118" s="62">
        <f>SUMIFS(Производительность!H$7:H$34,Производительность!$C$7:$C$34,$A118)</f>
        <v>0.8748174308726534</v>
      </c>
      <c r="K118" s="62">
        <f>SUMIFS(Производительность!I$7:I$34,Производительность!$C$7:$C$34,$A118)</f>
        <v>0.86538376775748349</v>
      </c>
      <c r="L118" s="62">
        <f>SUMIFS(Производительность!J$7:J$34,Производительность!$C$7:$C$34,$A118)</f>
        <v>0.84318691336884821</v>
      </c>
      <c r="M118" s="62">
        <f>SUMIFS(Производительность!K$7:K$34,Производительность!$C$7:$C$34,$A118)</f>
        <v>0.86205423959918825</v>
      </c>
      <c r="N118" s="62">
        <f>SUMIFS(Производительность!L$7:L$34,Производительность!$C$7:$C$34,$A118)</f>
        <v>0.86538376775748349</v>
      </c>
      <c r="O118" s="62">
        <f>SUMIFS(Производительность!M$7:M$34,Производительность!$C$7:$C$34,$A118)</f>
        <v>0.8498459696854388</v>
      </c>
      <c r="P118" s="62">
        <f>SUMIFS(Производительность!N$7:N$34,Производительность!$C$7:$C$34,$A118)</f>
        <v>0.85428534056316585</v>
      </c>
      <c r="Q118" s="62">
        <f>SUMIFS(Производительность!O$7:O$34,Производительность!$C$7:$C$34,$A118)</f>
        <v>0.85428534056316585</v>
      </c>
      <c r="R118" s="62">
        <f>SUMIFS(Производительность!P$7:P$34,Производительность!$C$7:$C$34,$A118)</f>
        <v>0.85428534056316585</v>
      </c>
      <c r="S118" s="62">
        <f>SUMIFS(Производительность!Q$7:Q$34,Производительность!$C$7:$C$34,$A118)</f>
        <v>0</v>
      </c>
      <c r="T118" s="62">
        <f>SUMIFS(Производительность!R$7:R$34,Производительность!$C$7:$C$34,$A118)</f>
        <v>0</v>
      </c>
      <c r="U118" s="62">
        <f>SUMIFS(Производительность!S$7:S$34,Производительность!$C$7:$C$34,$A118)</f>
        <v>0</v>
      </c>
      <c r="V118" s="62">
        <f>SUMIFS(Производительность!T$7:T$34,Производительность!$C$7:$C$34,$A118)</f>
        <v>0</v>
      </c>
      <c r="W118" s="62">
        <f>SUMIFS(Производительность!U$7:U$34,Производительность!$C$7:$C$34,$A118)</f>
        <v>0</v>
      </c>
      <c r="X118" s="62">
        <f>SUMIFS(Производительность!V$7:V$34,Производительность!$C$7:$C$34,$A118)</f>
        <v>0</v>
      </c>
      <c r="Y118" s="62">
        <f>SUMIFS(Производительность!W$7:W$34,Производительность!$C$7:$C$34,$A118)</f>
        <v>0</v>
      </c>
      <c r="Z118" s="62">
        <f>SUMIFS(Производительность!X$7:X$34,Производительность!$C$7:$C$34,$A118)</f>
        <v>0</v>
      </c>
      <c r="AA118" s="175"/>
    </row>
    <row r="119" spans="1:28" outlineLevel="1" x14ac:dyDescent="0.25">
      <c r="A119" s="36" t="str">
        <f t="shared" ref="A119:A182" si="78">A118</f>
        <v>Sunward SWDRT270SM</v>
      </c>
      <c r="B119" s="36"/>
      <c r="D119" s="59" t="s">
        <v>41</v>
      </c>
      <c r="E119" s="60" t="str">
        <f>E118</f>
        <v>%</v>
      </c>
      <c r="F119" s="61"/>
      <c r="G119" s="62">
        <f>SUMIFS(Производительность!E$115:E$142,Производительность!$C$115:$C$142,$A119)</f>
        <v>0.72339077239211158</v>
      </c>
      <c r="H119" s="62">
        <f>SUMIFS(Производительность!F$115:F$142,Производительность!$C$115:$C$142,$A119)</f>
        <v>0.69961377985284623</v>
      </c>
      <c r="I119" s="62">
        <f>SUMIFS(Производительность!G$115:G$142,Производительность!$C$115:$C$142,$A119)</f>
        <v>0.68346336982617528</v>
      </c>
      <c r="J119" s="62">
        <f>SUMIFS(Производительность!H$115:H$142,Производительность!$C$115:$C$142,$A119)</f>
        <v>0.70724036236544086</v>
      </c>
      <c r="K119" s="62">
        <f>SUMIFS(Производительность!I$115:I$142,Производительность!$C$115:$C$142,$A119)</f>
        <v>0.69961377985284623</v>
      </c>
      <c r="L119" s="62">
        <f>SUMIFS(Производительность!J$115:J$142,Производительность!$C$115:$C$142,$A119)</f>
        <v>0.68166887982321189</v>
      </c>
      <c r="M119" s="62">
        <f>SUMIFS(Производительность!K$115:K$142,Производительность!$C$115:$C$142,$A119)</f>
        <v>0.69692204484840115</v>
      </c>
      <c r="N119" s="62">
        <f>SUMIFS(Производительность!L$115:L$142,Производительность!$C$115:$C$142,$A119)</f>
        <v>0.69961377985284623</v>
      </c>
      <c r="O119" s="62">
        <f>SUMIFS(Производительность!M$115:M$142,Производительность!$C$115:$C$142,$A119)</f>
        <v>0.68705234983210217</v>
      </c>
      <c r="P119" s="62">
        <f>SUMIFS(Производительность!N$115:N$142,Производительность!$C$115:$C$142,$A119)</f>
        <v>0.69064132983802906</v>
      </c>
      <c r="Q119" s="62">
        <f>SUMIFS(Производительность!O$115:O$142,Производительность!$C$115:$C$142,$A119)</f>
        <v>0.69064132983802906</v>
      </c>
      <c r="R119" s="62">
        <f>SUMIFS(Производительность!P$115:P$142,Производительность!$C$115:$C$142,$A119)</f>
        <v>0.69064132983802906</v>
      </c>
      <c r="S119" s="62">
        <f>SUMIFS(Производительность!Q$115:Q$142,Производительность!$C$115:$C$142,$A119)</f>
        <v>0</v>
      </c>
      <c r="T119" s="62">
        <f>SUMIFS(Производительность!R$115:R$142,Производительность!$C$115:$C$142,$A119)</f>
        <v>0</v>
      </c>
      <c r="U119" s="62">
        <f>SUMIFS(Производительность!S$115:S$142,Производительность!$C$115:$C$142,$A119)</f>
        <v>0</v>
      </c>
      <c r="V119" s="62">
        <f>SUMIFS(Производительность!T$115:T$142,Производительность!$C$115:$C$142,$A119)</f>
        <v>0</v>
      </c>
      <c r="W119" s="62">
        <f>SUMIFS(Производительность!U$115:U$142,Производительность!$C$115:$C$142,$A119)</f>
        <v>0</v>
      </c>
      <c r="X119" s="62">
        <f>SUMIFS(Производительность!V$115:V$142,Производительность!$C$115:$C$142,$A119)</f>
        <v>0</v>
      </c>
      <c r="Y119" s="62">
        <f>SUMIFS(Производительность!W$115:W$142,Производительность!$C$115:$C$142,$A119)</f>
        <v>0</v>
      </c>
      <c r="Z119" s="62">
        <f>SUMIFS(Производительность!X$115:X$142,Производительность!$C$115:$C$142,$A119)</f>
        <v>0</v>
      </c>
      <c r="AA119" s="175"/>
    </row>
    <row r="120" spans="1:28" outlineLevel="1" x14ac:dyDescent="0.25">
      <c r="A120" s="36" t="str">
        <f t="shared" si="78"/>
        <v>Sunward SWDRT270SM</v>
      </c>
      <c r="B120" s="36"/>
      <c r="D120" s="63" t="s">
        <v>177</v>
      </c>
      <c r="E120" s="64" t="s">
        <v>171</v>
      </c>
      <c r="F120" s="65"/>
      <c r="G120" s="65">
        <f>SUMIFS(Производительность!E$196:E$223,Производительность!$C$196:$C$223,$A120)</f>
        <v>126.99308419838977</v>
      </c>
      <c r="H120" s="65">
        <f>SUMIFS(Производительность!F$196:F$223,Производительность!$C$196:$C$223,$A120)</f>
        <v>122.8189728732778</v>
      </c>
      <c r="I120" s="65">
        <f>SUMIFS(Производительность!G$196:G$223,Производительность!$C$196:$C$223,$A120)</f>
        <v>119.98372744489986</v>
      </c>
      <c r="J120" s="65">
        <f>SUMIFS(Производительность!H$196:H$223,Производительность!$C$196:$C$223,$A120)</f>
        <v>124.15783877001185</v>
      </c>
      <c r="K120" s="65">
        <f>SUMIFS(Производительность!I$196:I$223,Производительность!$C$196:$C$223,$A120)</f>
        <v>122.8189728732778</v>
      </c>
      <c r="L120" s="65">
        <f>SUMIFS(Производительность!J$196:J$223,Производительность!$C$196:$C$223,$A120)</f>
        <v>119.66870017508008</v>
      </c>
      <c r="M120" s="65">
        <f>SUMIFS(Производительность!K$196:K$223,Производительность!$C$196:$C$223,$A120)</f>
        <v>122.34643196854817</v>
      </c>
      <c r="N120" s="65">
        <f>SUMIFS(Производительность!L$196:L$223,Производительность!$C$196:$C$223,$A120)</f>
        <v>122.8189728732778</v>
      </c>
      <c r="O120" s="65">
        <f>SUMIFS(Производительность!M$196:M$223,Производительность!$C$196:$C$223,$A120)</f>
        <v>120.61378198453939</v>
      </c>
      <c r="P120" s="65">
        <f>SUMIFS(Производительность!N$196:N$223,Производительность!$C$196:$C$223,$A120)</f>
        <v>121.24383652417895</v>
      </c>
      <c r="Q120" s="65">
        <f>SUMIFS(Производительность!O$196:O$223,Производительность!$C$196:$C$223,$A120)</f>
        <v>121.24383652417895</v>
      </c>
      <c r="R120" s="65">
        <f>SUMIFS(Производительность!P$196:P$223,Производительность!$C$196:$C$223,$A120)</f>
        <v>121.24383652417895</v>
      </c>
      <c r="S120" s="65">
        <f>SUMIFS(Производительность!Q$196:Q$223,Производительность!$C$196:$C$223,$A120)</f>
        <v>0</v>
      </c>
      <c r="T120" s="65">
        <f>SUMIFS(Производительность!R$196:R$223,Производительность!$C$196:$C$223,$A120)</f>
        <v>0</v>
      </c>
      <c r="U120" s="65">
        <f>SUMIFS(Производительность!S$196:S$223,Производительность!$C$196:$C$223,$A120)</f>
        <v>0</v>
      </c>
      <c r="V120" s="65">
        <f>SUMIFS(Производительность!T$196:T$223,Производительность!$C$196:$C$223,$A120)</f>
        <v>0</v>
      </c>
      <c r="W120" s="65">
        <f>SUMIFS(Производительность!U$196:U$223,Производительность!$C$196:$C$223,$A120)</f>
        <v>0</v>
      </c>
      <c r="X120" s="65">
        <f>SUMIFS(Производительность!V$196:V$223,Производительность!$C$196:$C$223,$A120)</f>
        <v>0</v>
      </c>
      <c r="Y120" s="65">
        <f>SUMIFS(Производительность!W$196:W$223,Производительность!$C$196:$C$223,$A120)</f>
        <v>0</v>
      </c>
      <c r="Z120" s="65">
        <f>SUMIFS(Производительность!X$196:X$223,Производительность!$C$196:$C$223,$A120)</f>
        <v>0</v>
      </c>
      <c r="AA120" s="175"/>
    </row>
    <row r="121" spans="1:28" outlineLevel="1" x14ac:dyDescent="0.25">
      <c r="A121" s="36" t="str">
        <f t="shared" si="78"/>
        <v>Sunward SWDRT270SM</v>
      </c>
      <c r="B121" s="36"/>
      <c r="D121" s="63" t="s">
        <v>178</v>
      </c>
      <c r="E121" s="64" t="s">
        <v>175</v>
      </c>
      <c r="F121" s="65"/>
      <c r="G121" s="65">
        <f>SUMIFS(Производительность!E$250:E$277,Производительность!$C$250:$C$277,$A121)</f>
        <v>6281.7446698914819</v>
      </c>
      <c r="H121" s="65">
        <f>SUMIFS(Производительность!F$250:F$277,Производительность!$C$250:$C$277,$A121)</f>
        <v>5964.4210655127717</v>
      </c>
      <c r="I121" s="65">
        <f>SUMIFS(Производительность!G$250:G$277,Производительность!$C$250:$C$277,$A121)</f>
        <v>5484.3501605643023</v>
      </c>
      <c r="J121" s="65">
        <f>SUMIFS(Производительность!H$250:H$277,Производительность!$C$250:$C$277,$A121)</f>
        <v>6054.8990297491873</v>
      </c>
      <c r="K121" s="65">
        <f>SUMIFS(Производительность!I$250:I$277,Производительность!$C$250:$C$277,$A121)</f>
        <v>6061.1093894342303</v>
      </c>
      <c r="L121" s="65">
        <f>SUMIFS(Производительность!J$250:J$277,Производительность!$C$250:$C$277,$A121)</f>
        <v>5339.3923956201133</v>
      </c>
      <c r="M121" s="65">
        <f>SUMIFS(Производительность!K$250:K$277,Производительность!$C$250:$C$277,$A121)</f>
        <v>5520.6487650697891</v>
      </c>
      <c r="N121" s="65">
        <f>SUMIFS(Производительность!L$250:L$277,Производительность!$C$250:$C$277,$A121)</f>
        <v>6163.0752945370532</v>
      </c>
      <c r="O121" s="65">
        <f>SUMIFS(Производительность!M$250:M$277,Производительность!$C$250:$C$277,$A121)</f>
        <v>5619.1409018083887</v>
      </c>
      <c r="P121" s="65">
        <f>SUMIFS(Производительность!N$250:N$277,Производительность!$C$250:$C$277,$A121)</f>
        <v>5509.6806903504521</v>
      </c>
      <c r="Q121" s="65">
        <f>SUMIFS(Производительность!O$250:O$277,Производительность!$C$250:$C$277,$A121)</f>
        <v>6122.8544285296248</v>
      </c>
      <c r="R121" s="65">
        <f>SUMIFS(Производительность!P$250:P$277,Производительность!$C$250:$C$277,$A121)</f>
        <v>6339.7060652260725</v>
      </c>
      <c r="S121" s="65">
        <f>SUMIFS(Производительность!Q$250:Q$277,Производительность!$C$250:$C$277,$A121)</f>
        <v>0</v>
      </c>
      <c r="T121" s="65">
        <f>SUMIFS(Производительность!R$250:R$277,Производительность!$C$250:$C$277,$A121)</f>
        <v>0</v>
      </c>
      <c r="U121" s="65">
        <f>SUMIFS(Производительность!S$250:S$277,Производительность!$C$250:$C$277,$A121)</f>
        <v>0</v>
      </c>
      <c r="V121" s="65">
        <f>SUMIFS(Производительность!T$250:T$277,Производительность!$C$250:$C$277,$A121)</f>
        <v>0</v>
      </c>
      <c r="W121" s="65">
        <f>SUMIFS(Производительность!U$250:U$277,Производительность!$C$250:$C$277,$A121)</f>
        <v>0</v>
      </c>
      <c r="X121" s="65">
        <f>SUMIFS(Производительность!V$250:V$277,Производительность!$C$250:$C$277,$A121)</f>
        <v>0</v>
      </c>
      <c r="Y121" s="65">
        <f>SUMIFS(Производительность!W$250:W$277,Производительность!$C$250:$C$277,$A121)</f>
        <v>0</v>
      </c>
      <c r="Z121" s="65">
        <f>SUMIFS(Производительность!X$250:X$277,Производительность!$C$250:$C$277,$A121)</f>
        <v>0</v>
      </c>
      <c r="AA121" s="175"/>
    </row>
    <row r="122" spans="1:28" outlineLevel="1" x14ac:dyDescent="0.25">
      <c r="A122" s="36" t="str">
        <f t="shared" si="78"/>
        <v>Sunward SWDRT270SM</v>
      </c>
      <c r="B122" s="36"/>
      <c r="D122" s="179" t="s">
        <v>179</v>
      </c>
      <c r="E122" s="60" t="str">
        <f>E121</f>
        <v>тыс. м3</v>
      </c>
      <c r="F122" s="61"/>
      <c r="G122" s="320">
        <f>G121</f>
        <v>6281.7446698914819</v>
      </c>
      <c r="H122" s="61">
        <f>IF(H121=0,0,G122+H121)</f>
        <v>12246.165735404255</v>
      </c>
      <c r="I122" s="61">
        <f t="shared" ref="I122" si="79">IF(I121=0,0,H122+I121)</f>
        <v>17730.515895968558</v>
      </c>
      <c r="J122" s="61">
        <f t="shared" ref="J122" si="80">IF(J121=0,0,I122+J121)</f>
        <v>23785.414925717745</v>
      </c>
      <c r="K122" s="61">
        <f t="shared" ref="K122" si="81">IF(K121=0,0,J122+K121)</f>
        <v>29846.524315151975</v>
      </c>
      <c r="L122" s="61">
        <f t="shared" ref="L122" si="82">IF(L121=0,0,K122+L121)</f>
        <v>35185.916710772086</v>
      </c>
      <c r="M122" s="61">
        <f t="shared" ref="M122" si="83">IF(M121=0,0,L122+M121)</f>
        <v>40706.565475841875</v>
      </c>
      <c r="N122" s="61">
        <f t="shared" ref="N122" si="84">IF(N121=0,0,M122+N121)</f>
        <v>46869.64077037893</v>
      </c>
      <c r="O122" s="61">
        <f t="shared" ref="O122" si="85">IF(O121=0,0,N122+O121)</f>
        <v>52488.781672187317</v>
      </c>
      <c r="P122" s="61">
        <f t="shared" ref="P122" si="86">IF(P121=0,0,O122+P121)</f>
        <v>57998.462362537772</v>
      </c>
      <c r="Q122" s="61">
        <f t="shared" ref="Q122" si="87">IF(Q121=0,0,P122+Q121)</f>
        <v>64121.316791067395</v>
      </c>
      <c r="R122" s="61">
        <f t="shared" ref="R122" si="88">IF(R121=0,0,Q122+R121)</f>
        <v>70461.022856293464</v>
      </c>
      <c r="S122" s="61">
        <f t="shared" ref="S122" si="89">IF(S121=0,0,R122+S121)</f>
        <v>0</v>
      </c>
      <c r="T122" s="61">
        <f t="shared" ref="T122" si="90">IF(T121=0,0,S122+T121)</f>
        <v>0</v>
      </c>
      <c r="U122" s="61">
        <f t="shared" ref="U122" si="91">IF(U121=0,0,T122+U121)</f>
        <v>0</v>
      </c>
      <c r="V122" s="61">
        <f t="shared" ref="V122" si="92">IF(V121=0,0,U122+V121)</f>
        <v>0</v>
      </c>
      <c r="W122" s="61">
        <f t="shared" ref="W122" si="93">IF(W121=0,0,V122+W121)</f>
        <v>0</v>
      </c>
      <c r="X122" s="61">
        <f t="shared" ref="X122" si="94">IF(X121=0,0,W122+X121)</f>
        <v>0</v>
      </c>
      <c r="Y122" s="61">
        <f t="shared" ref="Y122" si="95">IF(Y121=0,0,X122+Y121)</f>
        <v>0</v>
      </c>
      <c r="Z122" s="61">
        <f t="shared" ref="Z122" si="96">IF(Z121=0,0,Y122+Z121)</f>
        <v>0</v>
      </c>
      <c r="AA122" s="175"/>
    </row>
    <row r="123" spans="1:28" outlineLevel="1" x14ac:dyDescent="0.25">
      <c r="A123" s="36" t="str">
        <f t="shared" si="78"/>
        <v>Sunward SWDRT270SM</v>
      </c>
      <c r="B123" s="36"/>
      <c r="D123" s="30"/>
      <c r="E123" s="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175"/>
    </row>
    <row r="124" spans="1:28" outlineLevel="1" x14ac:dyDescent="0.25">
      <c r="A124" s="36" t="str">
        <f t="shared" si="78"/>
        <v>Sunward SWDRT270SM</v>
      </c>
      <c r="B124" s="36"/>
      <c r="D124" s="66" t="s">
        <v>42</v>
      </c>
      <c r="E124" s="67" t="s">
        <v>21</v>
      </c>
      <c r="F124" s="68">
        <f>F158+F159-F157</f>
        <v>0</v>
      </c>
      <c r="G124" s="68">
        <f t="shared" ref="G124:Z124" si="97">G158+G159-G157</f>
        <v>59880.399227899674</v>
      </c>
      <c r="H124" s="68">
        <f t="shared" si="97"/>
        <v>76802.198666381199</v>
      </c>
      <c r="I124" s="68">
        <f t="shared" si="97"/>
        <v>78008.046394123856</v>
      </c>
      <c r="J124" s="68">
        <f t="shared" si="97"/>
        <v>66282.255763642344</v>
      </c>
      <c r="K124" s="68">
        <f t="shared" si="97"/>
        <v>74342.381366381203</v>
      </c>
      <c r="L124" s="68">
        <f t="shared" si="97"/>
        <v>80411.215040317475</v>
      </c>
      <c r="M124" s="68">
        <f t="shared" si="97"/>
        <v>63752.908704255715</v>
      </c>
      <c r="N124" s="68">
        <f t="shared" si="97"/>
        <v>77045.084666381197</v>
      </c>
      <c r="O124" s="68">
        <f t="shared" si="97"/>
        <v>74392.538581736604</v>
      </c>
      <c r="P124" s="68">
        <f t="shared" si="97"/>
        <v>65758.255715933425</v>
      </c>
      <c r="Q124" s="68">
        <f t="shared" si="97"/>
        <v>74059.138097349351</v>
      </c>
      <c r="R124" s="68">
        <f t="shared" si="97"/>
        <v>58846.561295933418</v>
      </c>
      <c r="S124" s="68">
        <f t="shared" si="97"/>
        <v>0</v>
      </c>
      <c r="T124" s="68">
        <f t="shared" si="97"/>
        <v>0</v>
      </c>
      <c r="U124" s="68">
        <f t="shared" si="97"/>
        <v>0</v>
      </c>
      <c r="V124" s="68">
        <f t="shared" si="97"/>
        <v>0</v>
      </c>
      <c r="W124" s="68">
        <f t="shared" si="97"/>
        <v>0</v>
      </c>
      <c r="X124" s="68">
        <f t="shared" si="97"/>
        <v>0</v>
      </c>
      <c r="Y124" s="68">
        <f t="shared" si="97"/>
        <v>0</v>
      </c>
      <c r="Z124" s="68">
        <f t="shared" si="97"/>
        <v>0</v>
      </c>
      <c r="AA124" s="175"/>
    </row>
    <row r="125" spans="1:28" outlineLevel="1" x14ac:dyDescent="0.25">
      <c r="A125" s="36" t="str">
        <f t="shared" si="78"/>
        <v>Sunward SWDRT270SM</v>
      </c>
      <c r="B125" s="36"/>
      <c r="D125" s="686" t="s">
        <v>43</v>
      </c>
      <c r="E125" s="64" t="str">
        <f>E124</f>
        <v>тыс. руб.</v>
      </c>
      <c r="F125" s="70"/>
      <c r="G125" s="677">
        <f>(G126+G127+G128)*'ФОТ, МТР, макро'!AJ$7</f>
        <v>33670.306372933323</v>
      </c>
      <c r="H125" s="677">
        <f>(H126+H127+H128)*'ФОТ, МТР, макро'!AK$7</f>
        <v>57233.498508154553</v>
      </c>
      <c r="I125" s="677">
        <f>(I126+I127+I128)*'ФОТ, МТР, макро'!AL$7</f>
        <v>59521.079324154562</v>
      </c>
      <c r="J125" s="677">
        <f>(J126+J127+J128)*'ФОТ, МТР, макро'!AM$7</f>
        <v>42885.898932933327</v>
      </c>
      <c r="K125" s="677">
        <f>(K126+K127+K128)*'ФОТ, МТР, макро'!AN$7</f>
        <v>53953.742108154562</v>
      </c>
      <c r="L125" s="677">
        <f>(L126+L127+L128)*'ФОТ, МТР, макро'!AO$7</f>
        <v>62800.835724154545</v>
      </c>
      <c r="M125" s="677">
        <f>(M126+M127+M128)*'ФОТ, МТР, макро'!AP$7</f>
        <v>39947.74253293332</v>
      </c>
      <c r="N125" s="677">
        <f>(N126+N127+N128)*'ФОТ, МТР, макро'!AQ$7</f>
        <v>57557.346508154558</v>
      </c>
      <c r="O125" s="677">
        <f>(O126+O127+O128)*'ФОТ, МТР, макро'!AR$7</f>
        <v>54549.33916415456</v>
      </c>
      <c r="P125" s="677">
        <f>(P126+P127+P128)*'ФОТ, МТР, макро'!AS$7</f>
        <v>42885.898932933327</v>
      </c>
      <c r="Q125" s="677">
        <f>(Q126+Q127+Q128)*'ФОТ, МТР, макро'!AT$7</f>
        <v>53953.742108154562</v>
      </c>
      <c r="R125" s="677">
        <f>(R126+R127+R128)*'ФОТ, МТР, макро'!AU$7</f>
        <v>33670.306372933323</v>
      </c>
      <c r="S125" s="677"/>
      <c r="T125" s="677"/>
      <c r="U125" s="677"/>
      <c r="V125" s="677"/>
      <c r="W125" s="677"/>
      <c r="X125" s="677"/>
      <c r="Y125" s="677"/>
      <c r="Z125" s="677"/>
      <c r="AA125" s="175"/>
      <c r="AB125" s="679">
        <f>SUM(F125:Z125,F130:Z130)/E115</f>
        <v>49385.811382479042</v>
      </c>
    </row>
    <row r="126" spans="1:28" outlineLevel="1" x14ac:dyDescent="0.25">
      <c r="A126" s="36" t="str">
        <f t="shared" si="78"/>
        <v>Sunward SWDRT270SM</v>
      </c>
      <c r="B126" s="36"/>
      <c r="D126" s="674" t="s">
        <v>44</v>
      </c>
      <c r="E126" s="675" t="s">
        <v>654</v>
      </c>
      <c r="F126" s="29"/>
      <c r="G126" s="676">
        <f>SWDRT270SM!E29</f>
        <v>300.62090926166655</v>
      </c>
      <c r="H126" s="676">
        <f>SWDRT270SM!F29</f>
        <v>300.62090926166655</v>
      </c>
      <c r="I126" s="676">
        <f>SWDRT270SM!G29</f>
        <v>300.62090926166655</v>
      </c>
      <c r="J126" s="676">
        <f>SWDRT270SM!H29</f>
        <v>300.62090926166655</v>
      </c>
      <c r="K126" s="676">
        <f>SWDRT270SM!I29</f>
        <v>300.62090926166655</v>
      </c>
      <c r="L126" s="676">
        <f>SWDRT270SM!J29</f>
        <v>300.62090926166655</v>
      </c>
      <c r="M126" s="676">
        <f>SWDRT270SM!K29</f>
        <v>300.62090926166655</v>
      </c>
      <c r="N126" s="676">
        <f>SWDRT270SM!L29</f>
        <v>300.62090926166655</v>
      </c>
      <c r="O126" s="676">
        <f>SWDRT270SM!M29</f>
        <v>300.62090926166655</v>
      </c>
      <c r="P126" s="676">
        <f>SWDRT270SM!N29</f>
        <v>300.62090926166655</v>
      </c>
      <c r="Q126" s="676">
        <f>SWDRT270SM!O29</f>
        <v>300.62090926166655</v>
      </c>
      <c r="R126" s="676">
        <f>SWDRT270SM!P29</f>
        <v>300.62090926166655</v>
      </c>
      <c r="S126" s="676"/>
      <c r="T126" s="676"/>
      <c r="U126" s="676"/>
      <c r="V126" s="676"/>
      <c r="W126" s="676"/>
      <c r="X126" s="676"/>
      <c r="Y126" s="676"/>
      <c r="Z126" s="676"/>
      <c r="AA126" s="175"/>
    </row>
    <row r="127" spans="1:28" outlineLevel="1" x14ac:dyDescent="0.25">
      <c r="A127" s="36" t="str">
        <f t="shared" si="78"/>
        <v>Sunward SWDRT270SM</v>
      </c>
      <c r="B127" s="36"/>
      <c r="D127" s="674" t="s">
        <v>45</v>
      </c>
      <c r="E127" s="675" t="s">
        <v>654</v>
      </c>
      <c r="F127" s="29"/>
      <c r="G127" s="676">
        <f>SWDRT270SM!E30+SWDRT270SM!E31</f>
        <v>89.132770399999998</v>
      </c>
      <c r="H127" s="676">
        <f>SWDRT270SM!F30+SWDRT270SM!F31</f>
        <v>355.11267209026539</v>
      </c>
      <c r="I127" s="676">
        <f>SWDRT270SM!G30+SWDRT270SM!G31</f>
        <v>380.90743229026543</v>
      </c>
      <c r="J127" s="676">
        <f>SWDRT270SM!H30+SWDRT270SM!H31</f>
        <v>186.25647740000002</v>
      </c>
      <c r="K127" s="676">
        <f>SWDRT270SM!I30+SWDRT270SM!I31</f>
        <v>317.61571709026543</v>
      </c>
      <c r="L127" s="676">
        <f>SWDRT270SM!J30+SWDRT270SM!J31</f>
        <v>418.40438729026539</v>
      </c>
      <c r="M127" s="676">
        <f>SWDRT270SM!K30+SWDRT270SM!K31</f>
        <v>148.75952239999998</v>
      </c>
      <c r="N127" s="676">
        <f>SWDRT270SM!L30+SWDRT270SM!L31</f>
        <v>360.49077209026547</v>
      </c>
      <c r="O127" s="676">
        <f>SWDRT270SM!M30+SWDRT270SM!M31</f>
        <v>321.28068029026548</v>
      </c>
      <c r="P127" s="676">
        <f>SWDRT270SM!N30+SWDRT270SM!N31</f>
        <v>186.25647740000002</v>
      </c>
      <c r="Q127" s="676">
        <f>SWDRT270SM!O30+SWDRT270SM!O31</f>
        <v>317.61571709026543</v>
      </c>
      <c r="R127" s="676">
        <f>SWDRT270SM!P30+SWDRT270SM!P31</f>
        <v>89.132770399999998</v>
      </c>
      <c r="S127" s="676"/>
      <c r="T127" s="676"/>
      <c r="U127" s="676"/>
      <c r="V127" s="676"/>
      <c r="W127" s="676"/>
      <c r="X127" s="676"/>
      <c r="Y127" s="676"/>
      <c r="Z127" s="676"/>
      <c r="AA127" s="175"/>
    </row>
    <row r="128" spans="1:28" outlineLevel="1" x14ac:dyDescent="0.25">
      <c r="A128" s="36" t="str">
        <f t="shared" si="78"/>
        <v>Sunward SWDRT270SM</v>
      </c>
      <c r="B128" s="36"/>
      <c r="D128" s="674" t="s">
        <v>46</v>
      </c>
      <c r="E128" s="675" t="s">
        <v>654</v>
      </c>
      <c r="F128" s="29"/>
      <c r="G128" s="676">
        <f>SWDRT270SM!E32+SWDRT270SM!E33</f>
        <v>31.125149999999998</v>
      </c>
      <c r="H128" s="676">
        <f>SWDRT270SM!F32+SWDRT270SM!F33</f>
        <v>59.68515</v>
      </c>
      <c r="I128" s="676">
        <f>SWDRT270SM!G32+SWDRT270SM!G33</f>
        <v>62.485149999999997</v>
      </c>
      <c r="J128" s="676">
        <f>SWDRT270SM!H32+SWDRT270SM!H33</f>
        <v>49.196349999999995</v>
      </c>
      <c r="K128" s="676">
        <f>SWDRT270SM!I32+SWDRT270SM!I33</f>
        <v>56.18515</v>
      </c>
      <c r="L128" s="676">
        <f>SWDRT270SM!J32+SWDRT270SM!J33</f>
        <v>65.985150000000004</v>
      </c>
      <c r="M128" s="676">
        <f>SWDRT270SM!K32+SWDRT270SM!K33</f>
        <v>49.966349999999998</v>
      </c>
      <c r="N128" s="676">
        <f>SWDRT270SM!L32+SWDRT270SM!L33</f>
        <v>58.355150000000002</v>
      </c>
      <c r="O128" s="676">
        <f>SWDRT270SM!M32+SWDRT270SM!M33</f>
        <v>59.965150000000001</v>
      </c>
      <c r="P128" s="676">
        <f>SWDRT270SM!N32+SWDRT270SM!N33</f>
        <v>49.196349999999995</v>
      </c>
      <c r="Q128" s="676">
        <f>SWDRT270SM!O32+SWDRT270SM!O33</f>
        <v>56.18515</v>
      </c>
      <c r="R128" s="676">
        <f>SWDRT270SM!P32+SWDRT270SM!P33</f>
        <v>31.125149999999998</v>
      </c>
      <c r="S128" s="676"/>
      <c r="T128" s="676"/>
      <c r="U128" s="676"/>
      <c r="V128" s="676"/>
      <c r="W128" s="676"/>
      <c r="X128" s="676"/>
      <c r="Y128" s="676"/>
      <c r="Z128" s="676"/>
      <c r="AA128" s="175"/>
    </row>
    <row r="129" spans="1:27" outlineLevel="1" x14ac:dyDescent="0.25">
      <c r="A129" s="36" t="str">
        <f t="shared" si="78"/>
        <v>Sunward SWDRT270SM</v>
      </c>
      <c r="B129" s="36"/>
      <c r="D129" s="76" t="s">
        <v>47</v>
      </c>
      <c r="E129" s="77"/>
      <c r="F129" s="78"/>
      <c r="G129" s="79" t="e">
        <f t="shared" ref="G129:Z129" si="98">G125/$F162</f>
        <v>#DIV/0!</v>
      </c>
      <c r="H129" s="79" t="e">
        <f t="shared" si="98"/>
        <v>#DIV/0!</v>
      </c>
      <c r="I129" s="79" t="e">
        <f t="shared" si="98"/>
        <v>#DIV/0!</v>
      </c>
      <c r="J129" s="79" t="e">
        <f t="shared" si="98"/>
        <v>#DIV/0!</v>
      </c>
      <c r="K129" s="79" t="e">
        <f t="shared" si="98"/>
        <v>#DIV/0!</v>
      </c>
      <c r="L129" s="79" t="e">
        <f t="shared" si="98"/>
        <v>#DIV/0!</v>
      </c>
      <c r="M129" s="79" t="e">
        <f t="shared" si="98"/>
        <v>#DIV/0!</v>
      </c>
      <c r="N129" s="79" t="e">
        <f t="shared" si="98"/>
        <v>#DIV/0!</v>
      </c>
      <c r="O129" s="79" t="e">
        <f t="shared" si="98"/>
        <v>#DIV/0!</v>
      </c>
      <c r="P129" s="79" t="e">
        <f t="shared" si="98"/>
        <v>#DIV/0!</v>
      </c>
      <c r="Q129" s="79" t="e">
        <f t="shared" si="98"/>
        <v>#DIV/0!</v>
      </c>
      <c r="R129" s="79" t="e">
        <f t="shared" si="98"/>
        <v>#DIV/0!</v>
      </c>
      <c r="S129" s="79" t="e">
        <f t="shared" si="98"/>
        <v>#DIV/0!</v>
      </c>
      <c r="T129" s="79" t="e">
        <f t="shared" si="98"/>
        <v>#DIV/0!</v>
      </c>
      <c r="U129" s="79" t="e">
        <f t="shared" si="98"/>
        <v>#DIV/0!</v>
      </c>
      <c r="V129" s="79" t="e">
        <f t="shared" si="98"/>
        <v>#DIV/0!</v>
      </c>
      <c r="W129" s="79" t="e">
        <f t="shared" si="98"/>
        <v>#DIV/0!</v>
      </c>
      <c r="X129" s="79" t="e">
        <f t="shared" si="98"/>
        <v>#DIV/0!</v>
      </c>
      <c r="Y129" s="79" t="e">
        <f t="shared" si="98"/>
        <v>#DIV/0!</v>
      </c>
      <c r="Z129" s="79" t="e">
        <f t="shared" si="98"/>
        <v>#DIV/0!</v>
      </c>
      <c r="AA129" s="182" t="e">
        <f>SUM(F125:Z125)/$F162</f>
        <v>#DIV/0!</v>
      </c>
    </row>
    <row r="130" spans="1:27" outlineLevel="1" x14ac:dyDescent="0.25">
      <c r="A130" s="36" t="str">
        <f t="shared" si="78"/>
        <v>Sunward SWDRT270SM</v>
      </c>
      <c r="B130" s="36"/>
      <c r="D130" s="183" t="s">
        <v>54</v>
      </c>
      <c r="E130" s="64" t="str">
        <f>E124</f>
        <v>тыс. руб.</v>
      </c>
      <c r="F130" s="29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175"/>
    </row>
    <row r="131" spans="1:27" outlineLevel="1" x14ac:dyDescent="0.25">
      <c r="A131" s="36" t="str">
        <f t="shared" si="78"/>
        <v>Sunward SWDRT270SM</v>
      </c>
      <c r="B131" s="36"/>
      <c r="D131" s="63"/>
      <c r="E131" s="64"/>
      <c r="F131" s="29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175"/>
    </row>
    <row r="132" spans="1:27" outlineLevel="1" x14ac:dyDescent="0.25">
      <c r="A132" s="36" t="str">
        <f t="shared" si="78"/>
        <v>Sunward SWDRT270SM</v>
      </c>
      <c r="B132" s="36"/>
      <c r="D132" s="183" t="s">
        <v>183</v>
      </c>
      <c r="E132" s="64" t="str">
        <f>E124</f>
        <v>тыс. руб.</v>
      </c>
      <c r="F132" s="70"/>
      <c r="G132" s="80">
        <f>G134*G135</f>
        <v>0</v>
      </c>
      <c r="H132" s="80">
        <f t="shared" ref="H132:Z132" si="99">H134*H135</f>
        <v>0</v>
      </c>
      <c r="I132" s="80">
        <f t="shared" si="99"/>
        <v>0</v>
      </c>
      <c r="J132" s="80">
        <f t="shared" si="99"/>
        <v>0</v>
      </c>
      <c r="K132" s="80">
        <f t="shared" si="99"/>
        <v>0</v>
      </c>
      <c r="L132" s="80">
        <f t="shared" si="99"/>
        <v>0</v>
      </c>
      <c r="M132" s="80">
        <f t="shared" si="99"/>
        <v>0</v>
      </c>
      <c r="N132" s="80">
        <f t="shared" si="99"/>
        <v>0</v>
      </c>
      <c r="O132" s="80">
        <f t="shared" si="99"/>
        <v>0</v>
      </c>
      <c r="P132" s="80">
        <f t="shared" si="99"/>
        <v>0</v>
      </c>
      <c r="Q132" s="80">
        <f t="shared" si="99"/>
        <v>0</v>
      </c>
      <c r="R132" s="80">
        <f t="shared" si="99"/>
        <v>0</v>
      </c>
      <c r="S132" s="80">
        <f t="shared" si="99"/>
        <v>0</v>
      </c>
      <c r="T132" s="80">
        <f t="shared" si="99"/>
        <v>0</v>
      </c>
      <c r="U132" s="80">
        <f t="shared" si="99"/>
        <v>0</v>
      </c>
      <c r="V132" s="80">
        <f t="shared" si="99"/>
        <v>0</v>
      </c>
      <c r="W132" s="80">
        <f t="shared" si="99"/>
        <v>0</v>
      </c>
      <c r="X132" s="80">
        <f t="shared" si="99"/>
        <v>0</v>
      </c>
      <c r="Y132" s="80">
        <f t="shared" si="99"/>
        <v>0</v>
      </c>
      <c r="Z132" s="80">
        <f t="shared" si="99"/>
        <v>0</v>
      </c>
      <c r="AA132" s="175"/>
    </row>
    <row r="133" spans="1:27" outlineLevel="1" x14ac:dyDescent="0.25">
      <c r="A133" s="36" t="str">
        <f t="shared" si="78"/>
        <v>Sunward SWDRT270SM</v>
      </c>
      <c r="B133" s="36"/>
      <c r="D133" s="187" t="s">
        <v>48</v>
      </c>
      <c r="E133" s="9" t="s">
        <v>185</v>
      </c>
      <c r="F133" s="81">
        <f>SUMIFS('ФОТ, МТР, макро'!$B$4:$B$31,'ФОТ, МТР, макро'!$A$4:$A$31,$A133)</f>
        <v>0</v>
      </c>
      <c r="G133" s="82">
        <f>F133</f>
        <v>0</v>
      </c>
      <c r="H133" s="82">
        <f t="shared" ref="H133" si="100">G133</f>
        <v>0</v>
      </c>
      <c r="I133" s="82">
        <f t="shared" ref="I133" si="101">H133</f>
        <v>0</v>
      </c>
      <c r="J133" s="82">
        <f t="shared" ref="J133" si="102">I133</f>
        <v>0</v>
      </c>
      <c r="K133" s="82">
        <f t="shared" ref="K133" si="103">J133</f>
        <v>0</v>
      </c>
      <c r="L133" s="82">
        <f t="shared" ref="L133" si="104">K133</f>
        <v>0</v>
      </c>
      <c r="M133" s="82">
        <f t="shared" ref="M133" si="105">L133</f>
        <v>0</v>
      </c>
      <c r="N133" s="82">
        <f t="shared" ref="N133" si="106">M133</f>
        <v>0</v>
      </c>
      <c r="O133" s="82">
        <f t="shared" ref="O133" si="107">N133</f>
        <v>0</v>
      </c>
      <c r="P133" s="82">
        <f t="shared" ref="P133" si="108">O133</f>
        <v>0</v>
      </c>
      <c r="Q133" s="82">
        <f t="shared" ref="Q133" si="109">P133</f>
        <v>0</v>
      </c>
      <c r="R133" s="82">
        <f t="shared" ref="R133" si="110">Q133</f>
        <v>0</v>
      </c>
      <c r="S133" s="82">
        <f t="shared" ref="S133" si="111">R133</f>
        <v>0</v>
      </c>
      <c r="T133" s="82">
        <f t="shared" ref="T133" si="112">S133</f>
        <v>0</v>
      </c>
      <c r="U133" s="82">
        <f t="shared" ref="U133" si="113">T133</f>
        <v>0</v>
      </c>
      <c r="V133" s="82">
        <f t="shared" ref="V133" si="114">U133</f>
        <v>0</v>
      </c>
      <c r="W133" s="82">
        <f t="shared" ref="W133" si="115">V133</f>
        <v>0</v>
      </c>
      <c r="X133" s="82">
        <f t="shared" ref="X133" si="116">W133</f>
        <v>0</v>
      </c>
      <c r="Y133" s="82">
        <f t="shared" ref="Y133" si="117">X133</f>
        <v>0</v>
      </c>
      <c r="Z133" s="82">
        <f t="shared" ref="Z133" si="118">Y133</f>
        <v>0</v>
      </c>
      <c r="AA133" s="175"/>
    </row>
    <row r="134" spans="1:27" outlineLevel="1" x14ac:dyDescent="0.25">
      <c r="A134" s="36" t="str">
        <f t="shared" si="78"/>
        <v>Sunward SWDRT270SM</v>
      </c>
      <c r="B134" s="36"/>
      <c r="D134" s="187" t="s">
        <v>49</v>
      </c>
      <c r="E134" s="9" t="s">
        <v>50</v>
      </c>
      <c r="F134" s="70"/>
      <c r="G134" s="74">
        <f>G120*G133</f>
        <v>0</v>
      </c>
      <c r="H134" s="74">
        <f t="shared" ref="H134:Z134" si="119">H120*H133</f>
        <v>0</v>
      </c>
      <c r="I134" s="74">
        <f t="shared" si="119"/>
        <v>0</v>
      </c>
      <c r="J134" s="74">
        <f t="shared" si="119"/>
        <v>0</v>
      </c>
      <c r="K134" s="74">
        <f t="shared" si="119"/>
        <v>0</v>
      </c>
      <c r="L134" s="74">
        <f t="shared" si="119"/>
        <v>0</v>
      </c>
      <c r="M134" s="74">
        <f t="shared" si="119"/>
        <v>0</v>
      </c>
      <c r="N134" s="74">
        <f t="shared" si="119"/>
        <v>0</v>
      </c>
      <c r="O134" s="74">
        <f t="shared" si="119"/>
        <v>0</v>
      </c>
      <c r="P134" s="74">
        <f t="shared" si="119"/>
        <v>0</v>
      </c>
      <c r="Q134" s="74">
        <f t="shared" si="119"/>
        <v>0</v>
      </c>
      <c r="R134" s="74">
        <f t="shared" si="119"/>
        <v>0</v>
      </c>
      <c r="S134" s="74">
        <f t="shared" si="119"/>
        <v>0</v>
      </c>
      <c r="T134" s="74">
        <f t="shared" si="119"/>
        <v>0</v>
      </c>
      <c r="U134" s="74">
        <f t="shared" si="119"/>
        <v>0</v>
      </c>
      <c r="V134" s="74">
        <f t="shared" si="119"/>
        <v>0</v>
      </c>
      <c r="W134" s="74">
        <f t="shared" si="119"/>
        <v>0</v>
      </c>
      <c r="X134" s="74">
        <f t="shared" si="119"/>
        <v>0</v>
      </c>
      <c r="Y134" s="74">
        <f t="shared" si="119"/>
        <v>0</v>
      </c>
      <c r="Z134" s="74">
        <f t="shared" si="119"/>
        <v>0</v>
      </c>
      <c r="AA134" s="175"/>
    </row>
    <row r="135" spans="1:27" outlineLevel="1" x14ac:dyDescent="0.25">
      <c r="A135" s="36" t="str">
        <f t="shared" si="78"/>
        <v>Sunward SWDRT270SM</v>
      </c>
      <c r="B135" s="36"/>
      <c r="D135" s="187" t="s">
        <v>51</v>
      </c>
      <c r="E135" s="9" t="s">
        <v>52</v>
      </c>
      <c r="F135" s="74">
        <f>SUMIFS('ФОТ, МТР, макро'!$C$4:$C$31,'ФОТ, МТР, макро'!$A$4:$A$31,$A135)</f>
        <v>0</v>
      </c>
      <c r="G135" s="83">
        <f>F135</f>
        <v>0</v>
      </c>
      <c r="H135" s="83">
        <f t="shared" ref="H135" si="120">G135</f>
        <v>0</v>
      </c>
      <c r="I135" s="83">
        <f t="shared" ref="I135" si="121">H135</f>
        <v>0</v>
      </c>
      <c r="J135" s="83">
        <f t="shared" ref="J135" si="122">I135</f>
        <v>0</v>
      </c>
      <c r="K135" s="83">
        <f t="shared" ref="K135" si="123">J135</f>
        <v>0</v>
      </c>
      <c r="L135" s="83">
        <f t="shared" ref="L135" si="124">K135</f>
        <v>0</v>
      </c>
      <c r="M135" s="83">
        <f t="shared" ref="M135" si="125">L135</f>
        <v>0</v>
      </c>
      <c r="N135" s="83">
        <f t="shared" ref="N135" si="126">M135</f>
        <v>0</v>
      </c>
      <c r="O135" s="83">
        <f t="shared" ref="O135" si="127">N135</f>
        <v>0</v>
      </c>
      <c r="P135" s="83">
        <f t="shared" ref="P135" si="128">O135</f>
        <v>0</v>
      </c>
      <c r="Q135" s="83">
        <f t="shared" ref="Q135" si="129">P135</f>
        <v>0</v>
      </c>
      <c r="R135" s="83">
        <f t="shared" ref="R135" si="130">Q135</f>
        <v>0</v>
      </c>
      <c r="S135" s="83">
        <f t="shared" ref="S135" si="131">R135</f>
        <v>0</v>
      </c>
      <c r="T135" s="83">
        <f t="shared" ref="T135" si="132">S135</f>
        <v>0</v>
      </c>
      <c r="U135" s="83">
        <f t="shared" ref="U135" si="133">T135</f>
        <v>0</v>
      </c>
      <c r="V135" s="83">
        <f t="shared" ref="V135" si="134">U135</f>
        <v>0</v>
      </c>
      <c r="W135" s="83">
        <f t="shared" ref="W135" si="135">V135</f>
        <v>0</v>
      </c>
      <c r="X135" s="83">
        <f t="shared" ref="X135" si="136">W135</f>
        <v>0</v>
      </c>
      <c r="Y135" s="83">
        <f t="shared" ref="Y135" si="137">X135</f>
        <v>0</v>
      </c>
      <c r="Z135" s="83">
        <f t="shared" ref="Z135" si="138">Y135</f>
        <v>0</v>
      </c>
      <c r="AA135" s="175"/>
    </row>
    <row r="136" spans="1:27" outlineLevel="1" x14ac:dyDescent="0.25">
      <c r="A136" s="36" t="str">
        <f t="shared" si="78"/>
        <v>Sunward SWDRT270SM</v>
      </c>
      <c r="B136" s="36"/>
      <c r="D136" s="183" t="s">
        <v>184</v>
      </c>
      <c r="E136" s="64" t="str">
        <f>E124</f>
        <v>тыс. руб.</v>
      </c>
      <c r="F136" s="70"/>
      <c r="G136" s="80">
        <f>G138*G139</f>
        <v>0</v>
      </c>
      <c r="H136" s="80">
        <f t="shared" ref="H136:Z136" si="139">H138*H139</f>
        <v>0</v>
      </c>
      <c r="I136" s="80">
        <f t="shared" si="139"/>
        <v>0</v>
      </c>
      <c r="J136" s="80">
        <f t="shared" si="139"/>
        <v>0</v>
      </c>
      <c r="K136" s="80">
        <f t="shared" si="139"/>
        <v>0</v>
      </c>
      <c r="L136" s="80">
        <f t="shared" si="139"/>
        <v>0</v>
      </c>
      <c r="M136" s="80">
        <f t="shared" si="139"/>
        <v>0</v>
      </c>
      <c r="N136" s="80">
        <f t="shared" si="139"/>
        <v>0</v>
      </c>
      <c r="O136" s="80">
        <f t="shared" si="139"/>
        <v>0</v>
      </c>
      <c r="P136" s="80">
        <f t="shared" si="139"/>
        <v>0</v>
      </c>
      <c r="Q136" s="80">
        <f t="shared" si="139"/>
        <v>0</v>
      </c>
      <c r="R136" s="80">
        <f t="shared" si="139"/>
        <v>0</v>
      </c>
      <c r="S136" s="80">
        <f t="shared" si="139"/>
        <v>0</v>
      </c>
      <c r="T136" s="80">
        <f t="shared" si="139"/>
        <v>0</v>
      </c>
      <c r="U136" s="80">
        <f t="shared" si="139"/>
        <v>0</v>
      </c>
      <c r="V136" s="80">
        <f t="shared" si="139"/>
        <v>0</v>
      </c>
      <c r="W136" s="80">
        <f t="shared" si="139"/>
        <v>0</v>
      </c>
      <c r="X136" s="80">
        <f t="shared" si="139"/>
        <v>0</v>
      </c>
      <c r="Y136" s="80">
        <f t="shared" si="139"/>
        <v>0</v>
      </c>
      <c r="Z136" s="80">
        <f t="shared" si="139"/>
        <v>0</v>
      </c>
      <c r="AA136" s="175"/>
    </row>
    <row r="137" spans="1:27" outlineLevel="1" x14ac:dyDescent="0.25">
      <c r="A137" s="36" t="str">
        <f t="shared" si="78"/>
        <v>Sunward SWDRT270SM</v>
      </c>
      <c r="B137" s="36"/>
      <c r="D137" s="187" t="s">
        <v>48</v>
      </c>
      <c r="E137" s="9" t="s">
        <v>185</v>
      </c>
      <c r="F137" s="81">
        <f>SUMIFS('ФОТ, МТР, макро'!$E$4:$E$31,'ФОТ, МТР, макро'!$A$4:$A$31,$A137)</f>
        <v>0</v>
      </c>
      <c r="G137" s="82">
        <f>F137</f>
        <v>0</v>
      </c>
      <c r="H137" s="82">
        <f t="shared" ref="H137" si="140">G137</f>
        <v>0</v>
      </c>
      <c r="I137" s="82">
        <f t="shared" ref="I137" si="141">H137</f>
        <v>0</v>
      </c>
      <c r="J137" s="82">
        <f t="shared" ref="J137" si="142">I137</f>
        <v>0</v>
      </c>
      <c r="K137" s="82">
        <f t="shared" ref="K137" si="143">J137</f>
        <v>0</v>
      </c>
      <c r="L137" s="82">
        <f t="shared" ref="L137" si="144">K137</f>
        <v>0</v>
      </c>
      <c r="M137" s="82">
        <f t="shared" ref="M137" si="145">L137</f>
        <v>0</v>
      </c>
      <c r="N137" s="82">
        <f t="shared" ref="N137" si="146">M137</f>
        <v>0</v>
      </c>
      <c r="O137" s="82">
        <f t="shared" ref="O137" si="147">N137</f>
        <v>0</v>
      </c>
      <c r="P137" s="82">
        <f t="shared" ref="P137" si="148">O137</f>
        <v>0</v>
      </c>
      <c r="Q137" s="82">
        <f t="shared" ref="Q137" si="149">P137</f>
        <v>0</v>
      </c>
      <c r="R137" s="82">
        <f t="shared" ref="R137" si="150">Q137</f>
        <v>0</v>
      </c>
      <c r="S137" s="82">
        <f t="shared" ref="S137" si="151">R137</f>
        <v>0</v>
      </c>
      <c r="T137" s="82">
        <f t="shared" ref="T137" si="152">S137</f>
        <v>0</v>
      </c>
      <c r="U137" s="82">
        <f t="shared" ref="U137" si="153">T137</f>
        <v>0</v>
      </c>
      <c r="V137" s="82">
        <f t="shared" ref="V137" si="154">U137</f>
        <v>0</v>
      </c>
      <c r="W137" s="82">
        <f t="shared" ref="W137" si="155">V137</f>
        <v>0</v>
      </c>
      <c r="X137" s="82">
        <f t="shared" ref="X137" si="156">W137</f>
        <v>0</v>
      </c>
      <c r="Y137" s="82">
        <f t="shared" ref="Y137" si="157">X137</f>
        <v>0</v>
      </c>
      <c r="Z137" s="82">
        <f t="shared" ref="Z137" si="158">Y137</f>
        <v>0</v>
      </c>
      <c r="AA137" s="175"/>
    </row>
    <row r="138" spans="1:27" outlineLevel="1" x14ac:dyDescent="0.25">
      <c r="A138" s="36" t="str">
        <f t="shared" si="78"/>
        <v>Sunward SWDRT270SM</v>
      </c>
      <c r="B138" s="36"/>
      <c r="D138" s="187" t="s">
        <v>49</v>
      </c>
      <c r="E138" s="9" t="s">
        <v>50</v>
      </c>
      <c r="F138" s="70"/>
      <c r="G138" s="74">
        <f>G120*G137</f>
        <v>0</v>
      </c>
      <c r="H138" s="74">
        <f t="shared" ref="H138:Z138" si="159">H120*H137</f>
        <v>0</v>
      </c>
      <c r="I138" s="74">
        <f t="shared" si="159"/>
        <v>0</v>
      </c>
      <c r="J138" s="74">
        <f t="shared" si="159"/>
        <v>0</v>
      </c>
      <c r="K138" s="74">
        <f t="shared" si="159"/>
        <v>0</v>
      </c>
      <c r="L138" s="74">
        <f t="shared" si="159"/>
        <v>0</v>
      </c>
      <c r="M138" s="74">
        <f t="shared" si="159"/>
        <v>0</v>
      </c>
      <c r="N138" s="74">
        <f t="shared" si="159"/>
        <v>0</v>
      </c>
      <c r="O138" s="74">
        <f t="shared" si="159"/>
        <v>0</v>
      </c>
      <c r="P138" s="74">
        <f t="shared" si="159"/>
        <v>0</v>
      </c>
      <c r="Q138" s="74">
        <f t="shared" si="159"/>
        <v>0</v>
      </c>
      <c r="R138" s="74">
        <f t="shared" si="159"/>
        <v>0</v>
      </c>
      <c r="S138" s="74">
        <f t="shared" si="159"/>
        <v>0</v>
      </c>
      <c r="T138" s="74">
        <f t="shared" si="159"/>
        <v>0</v>
      </c>
      <c r="U138" s="74">
        <f t="shared" si="159"/>
        <v>0</v>
      </c>
      <c r="V138" s="74">
        <f t="shared" si="159"/>
        <v>0</v>
      </c>
      <c r="W138" s="74">
        <f t="shared" si="159"/>
        <v>0</v>
      </c>
      <c r="X138" s="74">
        <f t="shared" si="159"/>
        <v>0</v>
      </c>
      <c r="Y138" s="74">
        <f t="shared" si="159"/>
        <v>0</v>
      </c>
      <c r="Z138" s="74">
        <f t="shared" si="159"/>
        <v>0</v>
      </c>
      <c r="AA138" s="175"/>
    </row>
    <row r="139" spans="1:27" outlineLevel="1" x14ac:dyDescent="0.25">
      <c r="A139" s="36" t="str">
        <f t="shared" si="78"/>
        <v>Sunward SWDRT270SM</v>
      </c>
      <c r="B139" s="36"/>
      <c r="D139" s="187" t="s">
        <v>51</v>
      </c>
      <c r="E139" s="9" t="s">
        <v>52</v>
      </c>
      <c r="F139" s="74">
        <f>SUMIFS('ФОТ, МТР, макро'!$F$4:$F$31,'ФОТ, МТР, макро'!$A$4:$A$31,$A139)</f>
        <v>0</v>
      </c>
      <c r="G139" s="83">
        <f>F139</f>
        <v>0</v>
      </c>
      <c r="H139" s="83">
        <f t="shared" ref="H139" si="160">G139</f>
        <v>0</v>
      </c>
      <c r="I139" s="83">
        <f t="shared" ref="I139" si="161">H139</f>
        <v>0</v>
      </c>
      <c r="J139" s="83">
        <f t="shared" ref="J139" si="162">I139</f>
        <v>0</v>
      </c>
      <c r="K139" s="83">
        <f t="shared" ref="K139" si="163">J139</f>
        <v>0</v>
      </c>
      <c r="L139" s="83">
        <f t="shared" ref="L139" si="164">K139</f>
        <v>0</v>
      </c>
      <c r="M139" s="83">
        <f t="shared" ref="M139" si="165">L139</f>
        <v>0</v>
      </c>
      <c r="N139" s="83">
        <f t="shared" ref="N139" si="166">M139</f>
        <v>0</v>
      </c>
      <c r="O139" s="83">
        <f t="shared" ref="O139" si="167">N139</f>
        <v>0</v>
      </c>
      <c r="P139" s="83">
        <f t="shared" ref="P139" si="168">O139</f>
        <v>0</v>
      </c>
      <c r="Q139" s="83">
        <f t="shared" ref="Q139" si="169">P139</f>
        <v>0</v>
      </c>
      <c r="R139" s="83">
        <f t="shared" ref="R139" si="170">Q139</f>
        <v>0</v>
      </c>
      <c r="S139" s="83">
        <f t="shared" ref="S139" si="171">R139</f>
        <v>0</v>
      </c>
      <c r="T139" s="83">
        <f t="shared" ref="T139" si="172">S139</f>
        <v>0</v>
      </c>
      <c r="U139" s="83">
        <f t="shared" ref="U139" si="173">T139</f>
        <v>0</v>
      </c>
      <c r="V139" s="83">
        <f t="shared" ref="V139" si="174">U139</f>
        <v>0</v>
      </c>
      <c r="W139" s="83">
        <f t="shared" ref="W139" si="175">V139</f>
        <v>0</v>
      </c>
      <c r="X139" s="83">
        <f t="shared" ref="X139" si="176">W139</f>
        <v>0</v>
      </c>
      <c r="Y139" s="83">
        <f t="shared" ref="Y139" si="177">X139</f>
        <v>0</v>
      </c>
      <c r="Z139" s="83">
        <f t="shared" ref="Z139" si="178">Y139</f>
        <v>0</v>
      </c>
      <c r="AA139" s="175"/>
    </row>
    <row r="140" spans="1:27" outlineLevel="1" x14ac:dyDescent="0.25">
      <c r="A140" s="36" t="str">
        <f t="shared" si="78"/>
        <v>Sunward SWDRT270SM</v>
      </c>
      <c r="B140" s="36"/>
      <c r="D140" s="183" t="s">
        <v>187</v>
      </c>
      <c r="E140" s="64" t="str">
        <f>E124</f>
        <v>тыс. руб.</v>
      </c>
      <c r="F140" s="70"/>
      <c r="G140" s="80">
        <f>G120*G141</f>
        <v>0</v>
      </c>
      <c r="H140" s="80">
        <f t="shared" ref="H140:Z140" si="179">H120*H141</f>
        <v>0</v>
      </c>
      <c r="I140" s="80">
        <f t="shared" si="179"/>
        <v>0</v>
      </c>
      <c r="J140" s="80">
        <f t="shared" si="179"/>
        <v>0</v>
      </c>
      <c r="K140" s="80">
        <f t="shared" si="179"/>
        <v>0</v>
      </c>
      <c r="L140" s="80">
        <f t="shared" si="179"/>
        <v>0</v>
      </c>
      <c r="M140" s="80">
        <f t="shared" si="179"/>
        <v>0</v>
      </c>
      <c r="N140" s="80">
        <f t="shared" si="179"/>
        <v>0</v>
      </c>
      <c r="O140" s="80">
        <f t="shared" si="179"/>
        <v>0</v>
      </c>
      <c r="P140" s="80">
        <f t="shared" si="179"/>
        <v>0</v>
      </c>
      <c r="Q140" s="80">
        <f t="shared" si="179"/>
        <v>0</v>
      </c>
      <c r="R140" s="80">
        <f t="shared" si="179"/>
        <v>0</v>
      </c>
      <c r="S140" s="80">
        <f t="shared" si="179"/>
        <v>0</v>
      </c>
      <c r="T140" s="80">
        <f t="shared" si="179"/>
        <v>0</v>
      </c>
      <c r="U140" s="80">
        <f t="shared" si="179"/>
        <v>0</v>
      </c>
      <c r="V140" s="80">
        <f t="shared" si="179"/>
        <v>0</v>
      </c>
      <c r="W140" s="80">
        <f t="shared" si="179"/>
        <v>0</v>
      </c>
      <c r="X140" s="80">
        <f t="shared" si="179"/>
        <v>0</v>
      </c>
      <c r="Y140" s="80">
        <f t="shared" si="179"/>
        <v>0</v>
      </c>
      <c r="Z140" s="80">
        <f t="shared" si="179"/>
        <v>0</v>
      </c>
      <c r="AA140" s="175"/>
    </row>
    <row r="141" spans="1:27" outlineLevel="1" x14ac:dyDescent="0.25">
      <c r="A141" s="36" t="str">
        <f t="shared" si="78"/>
        <v>Sunward SWDRT270SM</v>
      </c>
      <c r="B141" s="36"/>
      <c r="D141" s="187" t="s">
        <v>48</v>
      </c>
      <c r="E141" s="9" t="s">
        <v>188</v>
      </c>
      <c r="F141" s="74">
        <f>SUMIFS('ФОТ, МТР, макро'!$H$4:$H$31,'ФОТ, МТР, макро'!$A$4:$A$31,$A141)</f>
        <v>0</v>
      </c>
      <c r="G141" s="83">
        <f>F141</f>
        <v>0</v>
      </c>
      <c r="H141" s="83">
        <f t="shared" ref="H141" si="180">G141</f>
        <v>0</v>
      </c>
      <c r="I141" s="83">
        <f t="shared" ref="I141" si="181">H141</f>
        <v>0</v>
      </c>
      <c r="J141" s="83">
        <f t="shared" ref="J141" si="182">I141</f>
        <v>0</v>
      </c>
      <c r="K141" s="83">
        <f t="shared" ref="K141" si="183">J141</f>
        <v>0</v>
      </c>
      <c r="L141" s="83">
        <f t="shared" ref="L141" si="184">K141</f>
        <v>0</v>
      </c>
      <c r="M141" s="83">
        <f t="shared" ref="M141" si="185">L141</f>
        <v>0</v>
      </c>
      <c r="N141" s="83">
        <f t="shared" ref="N141" si="186">M141</f>
        <v>0</v>
      </c>
      <c r="O141" s="83">
        <f t="shared" ref="O141" si="187">N141</f>
        <v>0</v>
      </c>
      <c r="P141" s="83">
        <f t="shared" ref="P141" si="188">O141</f>
        <v>0</v>
      </c>
      <c r="Q141" s="83">
        <f t="shared" ref="Q141" si="189">P141</f>
        <v>0</v>
      </c>
      <c r="R141" s="83">
        <f t="shared" ref="R141" si="190">Q141</f>
        <v>0</v>
      </c>
      <c r="S141" s="83">
        <f t="shared" ref="S141" si="191">R141</f>
        <v>0</v>
      </c>
      <c r="T141" s="83">
        <f t="shared" ref="T141" si="192">S141</f>
        <v>0</v>
      </c>
      <c r="U141" s="83">
        <f t="shared" ref="U141" si="193">T141</f>
        <v>0</v>
      </c>
      <c r="V141" s="83">
        <f t="shared" ref="V141" si="194">U141</f>
        <v>0</v>
      </c>
      <c r="W141" s="83">
        <f t="shared" ref="W141" si="195">V141</f>
        <v>0</v>
      </c>
      <c r="X141" s="83">
        <f t="shared" ref="X141" si="196">W141</f>
        <v>0</v>
      </c>
      <c r="Y141" s="83">
        <f t="shared" ref="Y141" si="197">X141</f>
        <v>0</v>
      </c>
      <c r="Z141" s="83">
        <f t="shared" ref="Z141" si="198">Y141</f>
        <v>0</v>
      </c>
      <c r="AA141" s="175"/>
    </row>
    <row r="142" spans="1:27" outlineLevel="1" x14ac:dyDescent="0.25">
      <c r="A142" s="36" t="str">
        <f t="shared" si="78"/>
        <v>Sunward SWDRT270SM</v>
      </c>
      <c r="B142" s="36"/>
      <c r="C142" s="193">
        <f>SUMIFS('ФОТ, МТР, макро'!$N$4:$N$31,'ФОТ, МТР, макро'!$J$4:$J$31,$A142)</f>
        <v>1</v>
      </c>
      <c r="D142" s="63" t="s">
        <v>189</v>
      </c>
      <c r="E142" s="64" t="str">
        <f>E124</f>
        <v>тыс. руб.</v>
      </c>
      <c r="F142" s="83"/>
      <c r="G142" s="80">
        <f>IF($C142=1,G143,G147)</f>
        <v>30448.103817270814</v>
      </c>
      <c r="H142" s="80">
        <f t="shared" ref="H142:Z142" si="199">IF($C142=1,H143,H147)</f>
        <v>29447.310933358269</v>
      </c>
      <c r="I142" s="80">
        <f t="shared" si="199"/>
        <v>28767.527087681814</v>
      </c>
      <c r="J142" s="80">
        <f t="shared" si="199"/>
        <v>29768.31997159437</v>
      </c>
      <c r="K142" s="80">
        <f t="shared" si="199"/>
        <v>29447.310933358269</v>
      </c>
      <c r="L142" s="80">
        <f t="shared" si="199"/>
        <v>28691.995549273321</v>
      </c>
      <c r="M142" s="80">
        <f t="shared" si="199"/>
        <v>29334.013625745531</v>
      </c>
      <c r="N142" s="80">
        <f t="shared" si="199"/>
        <v>29447.310933358269</v>
      </c>
      <c r="O142" s="80">
        <f t="shared" si="199"/>
        <v>28918.590164498804</v>
      </c>
      <c r="P142" s="80">
        <f t="shared" si="199"/>
        <v>29069.653241315795</v>
      </c>
      <c r="Q142" s="80">
        <f t="shared" si="199"/>
        <v>29069.653241315795</v>
      </c>
      <c r="R142" s="80">
        <f t="shared" si="199"/>
        <v>29069.653241315795</v>
      </c>
      <c r="S142" s="80">
        <f t="shared" si="199"/>
        <v>0</v>
      </c>
      <c r="T142" s="80">
        <f t="shared" si="199"/>
        <v>0</v>
      </c>
      <c r="U142" s="80">
        <f t="shared" si="199"/>
        <v>0</v>
      </c>
      <c r="V142" s="80">
        <f t="shared" si="199"/>
        <v>0</v>
      </c>
      <c r="W142" s="80">
        <f t="shared" si="199"/>
        <v>0</v>
      </c>
      <c r="X142" s="80">
        <f t="shared" si="199"/>
        <v>0</v>
      </c>
      <c r="Y142" s="80">
        <f t="shared" si="199"/>
        <v>0</v>
      </c>
      <c r="Z142" s="80">
        <f t="shared" si="199"/>
        <v>0</v>
      </c>
      <c r="AA142" s="175"/>
    </row>
    <row r="143" spans="1:27" outlineLevel="1" x14ac:dyDescent="0.25">
      <c r="A143" s="36" t="str">
        <f t="shared" si="78"/>
        <v>Sunward SWDRT270SM</v>
      </c>
      <c r="B143" s="36"/>
      <c r="D143" s="192" t="s">
        <v>190</v>
      </c>
      <c r="E143" s="188" t="str">
        <f>E142</f>
        <v>тыс. руб.</v>
      </c>
      <c r="F143" s="189"/>
      <c r="G143" s="190">
        <f>G145*G146</f>
        <v>30448.103817270814</v>
      </c>
      <c r="H143" s="190">
        <f t="shared" ref="H143:Z143" si="200">H145*H146</f>
        <v>29447.310933358269</v>
      </c>
      <c r="I143" s="190">
        <f t="shared" si="200"/>
        <v>28767.527087681814</v>
      </c>
      <c r="J143" s="190">
        <f t="shared" si="200"/>
        <v>29768.31997159437</v>
      </c>
      <c r="K143" s="190">
        <f t="shared" si="200"/>
        <v>29447.310933358269</v>
      </c>
      <c r="L143" s="190">
        <f t="shared" si="200"/>
        <v>28691.995549273321</v>
      </c>
      <c r="M143" s="190">
        <f t="shared" si="200"/>
        <v>29334.013625745531</v>
      </c>
      <c r="N143" s="190">
        <f t="shared" si="200"/>
        <v>29447.310933358269</v>
      </c>
      <c r="O143" s="190">
        <f t="shared" si="200"/>
        <v>28918.590164498804</v>
      </c>
      <c r="P143" s="190">
        <f t="shared" si="200"/>
        <v>29069.653241315795</v>
      </c>
      <c r="Q143" s="190">
        <f t="shared" si="200"/>
        <v>29069.653241315795</v>
      </c>
      <c r="R143" s="190">
        <f t="shared" si="200"/>
        <v>29069.653241315795</v>
      </c>
      <c r="S143" s="190">
        <f t="shared" si="200"/>
        <v>0</v>
      </c>
      <c r="T143" s="190">
        <f t="shared" si="200"/>
        <v>0</v>
      </c>
      <c r="U143" s="190">
        <f t="shared" si="200"/>
        <v>0</v>
      </c>
      <c r="V143" s="190">
        <f t="shared" si="200"/>
        <v>0</v>
      </c>
      <c r="W143" s="190">
        <f t="shared" si="200"/>
        <v>0</v>
      </c>
      <c r="X143" s="190">
        <f t="shared" si="200"/>
        <v>0</v>
      </c>
      <c r="Y143" s="190">
        <f t="shared" si="200"/>
        <v>0</v>
      </c>
      <c r="Z143" s="190">
        <f t="shared" si="200"/>
        <v>0</v>
      </c>
      <c r="AA143" s="175"/>
    </row>
    <row r="144" spans="1:27" outlineLevel="1" x14ac:dyDescent="0.25">
      <c r="A144" s="36" t="str">
        <f t="shared" si="78"/>
        <v>Sunward SWDRT270SM</v>
      </c>
      <c r="B144" s="36"/>
      <c r="D144" s="187" t="s">
        <v>48</v>
      </c>
      <c r="E144" s="73" t="str">
        <f>VLOOKUP($A144,'ФОТ, МТР, макро'!$J$4:$N$31,2,FALSE)</f>
        <v>кг/час</v>
      </c>
      <c r="F144" s="74">
        <f>SUMIFS('ФОТ, МТР, макро'!$L$4:$L$31,'ФОТ, МТР, макро'!$J$4:$J$31,$A144)</f>
        <v>72.780455432499437</v>
      </c>
      <c r="G144" s="83">
        <f>F144</f>
        <v>72.780455432499437</v>
      </c>
      <c r="H144" s="83">
        <f t="shared" ref="H144" si="201">G144</f>
        <v>72.780455432499437</v>
      </c>
      <c r="I144" s="83">
        <f t="shared" ref="I144" si="202">H144</f>
        <v>72.780455432499437</v>
      </c>
      <c r="J144" s="83">
        <f t="shared" ref="J144" si="203">I144</f>
        <v>72.780455432499437</v>
      </c>
      <c r="K144" s="83">
        <f t="shared" ref="K144" si="204">J144</f>
        <v>72.780455432499437</v>
      </c>
      <c r="L144" s="83">
        <f t="shared" ref="L144" si="205">K144</f>
        <v>72.780455432499437</v>
      </c>
      <c r="M144" s="83">
        <f t="shared" ref="M144" si="206">L144</f>
        <v>72.780455432499437</v>
      </c>
      <c r="N144" s="83">
        <f t="shared" ref="N144" si="207">M144</f>
        <v>72.780455432499437</v>
      </c>
      <c r="O144" s="83">
        <f t="shared" ref="O144" si="208">N144</f>
        <v>72.780455432499437</v>
      </c>
      <c r="P144" s="83">
        <f t="shared" ref="P144" si="209">O144</f>
        <v>72.780455432499437</v>
      </c>
      <c r="Q144" s="83">
        <f t="shared" ref="Q144" si="210">P144</f>
        <v>72.780455432499437</v>
      </c>
      <c r="R144" s="83">
        <f t="shared" ref="R144" si="211">Q144</f>
        <v>72.780455432499437</v>
      </c>
      <c r="S144" s="83">
        <f t="shared" ref="S144" si="212">R144</f>
        <v>72.780455432499437</v>
      </c>
      <c r="T144" s="83">
        <f t="shared" ref="T144" si="213">S144</f>
        <v>72.780455432499437</v>
      </c>
      <c r="U144" s="83">
        <f t="shared" ref="U144" si="214">T144</f>
        <v>72.780455432499437</v>
      </c>
      <c r="V144" s="83">
        <f t="shared" ref="V144" si="215">U144</f>
        <v>72.780455432499437</v>
      </c>
      <c r="W144" s="83">
        <f t="shared" ref="W144" si="216">V144</f>
        <v>72.780455432499437</v>
      </c>
      <c r="X144" s="83">
        <f t="shared" ref="X144" si="217">W144</f>
        <v>72.780455432499437</v>
      </c>
      <c r="Y144" s="83">
        <f t="shared" ref="Y144" si="218">X144</f>
        <v>72.780455432499437</v>
      </c>
      <c r="Z144" s="83">
        <f t="shared" ref="Z144" si="219">Y144</f>
        <v>72.780455432499437</v>
      </c>
      <c r="AA144" s="175"/>
    </row>
    <row r="145" spans="1:28" outlineLevel="1" x14ac:dyDescent="0.25">
      <c r="A145" s="36" t="str">
        <f t="shared" si="78"/>
        <v>Sunward SWDRT270SM</v>
      </c>
      <c r="B145" s="36"/>
      <c r="D145" s="187" t="s">
        <v>49</v>
      </c>
      <c r="E145" s="73" t="str">
        <f>IF(E144="кг/час","т","тыс. кВт*ч")</f>
        <v>т</v>
      </c>
      <c r="F145" s="83"/>
      <c r="G145" s="74">
        <f>G$3*G119*G144/1000</f>
        <v>461.20269846440107</v>
      </c>
      <c r="H145" s="74">
        <f t="shared" ref="H145:Z145" si="220">H$3*H119*H144/1000</f>
        <v>446.04351543499274</v>
      </c>
      <c r="I145" s="74">
        <f t="shared" si="220"/>
        <v>435.7467118678473</v>
      </c>
      <c r="J145" s="74">
        <f t="shared" si="220"/>
        <v>450.90589489725579</v>
      </c>
      <c r="K145" s="74">
        <f t="shared" si="220"/>
        <v>446.04351543499274</v>
      </c>
      <c r="L145" s="74">
        <f t="shared" si="220"/>
        <v>434.60262258260894</v>
      </c>
      <c r="M145" s="74">
        <f t="shared" si="220"/>
        <v>444.32738150713521</v>
      </c>
      <c r="N145" s="74">
        <f t="shared" si="220"/>
        <v>446.04351543499274</v>
      </c>
      <c r="O145" s="74">
        <f t="shared" si="220"/>
        <v>438.03489043832406</v>
      </c>
      <c r="P145" s="74">
        <f t="shared" si="220"/>
        <v>440.32306900880081</v>
      </c>
      <c r="Q145" s="74">
        <f t="shared" si="220"/>
        <v>440.32306900880081</v>
      </c>
      <c r="R145" s="74">
        <f t="shared" si="220"/>
        <v>440.32306900880081</v>
      </c>
      <c r="S145" s="74">
        <f t="shared" si="220"/>
        <v>0</v>
      </c>
      <c r="T145" s="74">
        <f t="shared" si="220"/>
        <v>0</v>
      </c>
      <c r="U145" s="74">
        <f t="shared" si="220"/>
        <v>0</v>
      </c>
      <c r="V145" s="74">
        <f t="shared" si="220"/>
        <v>0</v>
      </c>
      <c r="W145" s="74">
        <f t="shared" si="220"/>
        <v>0</v>
      </c>
      <c r="X145" s="74">
        <f t="shared" si="220"/>
        <v>0</v>
      </c>
      <c r="Y145" s="74">
        <f t="shared" si="220"/>
        <v>0</v>
      </c>
      <c r="Z145" s="74">
        <f t="shared" si="220"/>
        <v>0</v>
      </c>
      <c r="AA145" s="175"/>
    </row>
    <row r="146" spans="1:28" outlineLevel="1" x14ac:dyDescent="0.25">
      <c r="A146" s="36" t="str">
        <f t="shared" si="78"/>
        <v>Sunward SWDRT270SM</v>
      </c>
      <c r="B146" s="36"/>
      <c r="D146" s="187" t="s">
        <v>51</v>
      </c>
      <c r="E146" s="73" t="str">
        <f>IF(E145="т","тыс. руб./т","руб./кВт*ч")</f>
        <v>тыс. руб./т</v>
      </c>
      <c r="F146" s="74">
        <f>IF(E145="т",'ФОТ, МТР, макро'!$Q$2,'ФОТ, МТР, макро'!$Q$15)</f>
        <v>66.018919487352079</v>
      </c>
      <c r="G146" s="83">
        <f>F146</f>
        <v>66.018919487352079</v>
      </c>
      <c r="H146" s="83">
        <f t="shared" ref="H146" si="221">G146</f>
        <v>66.018919487352079</v>
      </c>
      <c r="I146" s="83">
        <f t="shared" ref="I146" si="222">H146</f>
        <v>66.018919487352079</v>
      </c>
      <c r="J146" s="83">
        <f t="shared" ref="J146" si="223">I146</f>
        <v>66.018919487352079</v>
      </c>
      <c r="K146" s="83">
        <f t="shared" ref="K146" si="224">J146</f>
        <v>66.018919487352079</v>
      </c>
      <c r="L146" s="83">
        <f t="shared" ref="L146" si="225">K146</f>
        <v>66.018919487352079</v>
      </c>
      <c r="M146" s="83">
        <f t="shared" ref="M146" si="226">L146</f>
        <v>66.018919487352079</v>
      </c>
      <c r="N146" s="83">
        <f t="shared" ref="N146" si="227">M146</f>
        <v>66.018919487352079</v>
      </c>
      <c r="O146" s="83">
        <f t="shared" ref="O146" si="228">N146</f>
        <v>66.018919487352079</v>
      </c>
      <c r="P146" s="83">
        <f t="shared" ref="P146" si="229">O146</f>
        <v>66.018919487352079</v>
      </c>
      <c r="Q146" s="83">
        <f t="shared" ref="Q146" si="230">P146</f>
        <v>66.018919487352079</v>
      </c>
      <c r="R146" s="83">
        <f t="shared" ref="R146" si="231">Q146</f>
        <v>66.018919487352079</v>
      </c>
      <c r="S146" s="83">
        <f t="shared" ref="S146" si="232">R146</f>
        <v>66.018919487352079</v>
      </c>
      <c r="T146" s="83">
        <f t="shared" ref="T146" si="233">S146</f>
        <v>66.018919487352079</v>
      </c>
      <c r="U146" s="83">
        <f t="shared" ref="U146" si="234">T146</f>
        <v>66.018919487352079</v>
      </c>
      <c r="V146" s="83">
        <f t="shared" ref="V146" si="235">U146</f>
        <v>66.018919487352079</v>
      </c>
      <c r="W146" s="83">
        <f t="shared" ref="W146" si="236">V146</f>
        <v>66.018919487352079</v>
      </c>
      <c r="X146" s="83">
        <f t="shared" ref="X146" si="237">W146</f>
        <v>66.018919487352079</v>
      </c>
      <c r="Y146" s="83">
        <f t="shared" ref="Y146" si="238">X146</f>
        <v>66.018919487352079</v>
      </c>
      <c r="Z146" s="83">
        <f t="shared" ref="Z146" si="239">Y146</f>
        <v>66.018919487352079</v>
      </c>
      <c r="AA146" s="175"/>
    </row>
    <row r="147" spans="1:28" outlineLevel="1" x14ac:dyDescent="0.25">
      <c r="A147" s="36" t="str">
        <f t="shared" si="78"/>
        <v>Sunward SWDRT270SM</v>
      </c>
      <c r="B147" s="36"/>
      <c r="D147" s="192" t="s">
        <v>191</v>
      </c>
      <c r="E147" s="188" t="str">
        <f>E143</f>
        <v>тыс. руб.</v>
      </c>
      <c r="F147" s="83"/>
      <c r="G147" s="190">
        <f>G149*G150</f>
        <v>20959.865502860048</v>
      </c>
      <c r="H147" s="190">
        <f t="shared" ref="H147:Z147" si="240">H149*H150</f>
        <v>20270.939704100514</v>
      </c>
      <c r="I147" s="190">
        <f t="shared" si="240"/>
        <v>19802.990104943096</v>
      </c>
      <c r="J147" s="190">
        <f t="shared" si="240"/>
        <v>20491.915903702633</v>
      </c>
      <c r="K147" s="190">
        <f t="shared" si="240"/>
        <v>20270.939704100514</v>
      </c>
      <c r="L147" s="190">
        <f t="shared" si="240"/>
        <v>19750.995705036719</v>
      </c>
      <c r="M147" s="190">
        <f t="shared" si="240"/>
        <v>20192.94810424095</v>
      </c>
      <c r="N147" s="190">
        <f t="shared" si="240"/>
        <v>20270.939704100514</v>
      </c>
      <c r="O147" s="190">
        <f t="shared" si="240"/>
        <v>19906.978904755859</v>
      </c>
      <c r="P147" s="190">
        <f t="shared" si="240"/>
        <v>20010.967704568619</v>
      </c>
      <c r="Q147" s="190">
        <f t="shared" si="240"/>
        <v>20010.967704568619</v>
      </c>
      <c r="R147" s="190">
        <f t="shared" si="240"/>
        <v>20010.967704568619</v>
      </c>
      <c r="S147" s="190">
        <f t="shared" si="240"/>
        <v>0</v>
      </c>
      <c r="T147" s="190">
        <f t="shared" si="240"/>
        <v>0</v>
      </c>
      <c r="U147" s="190">
        <f t="shared" si="240"/>
        <v>0</v>
      </c>
      <c r="V147" s="190">
        <f t="shared" si="240"/>
        <v>0</v>
      </c>
      <c r="W147" s="190">
        <f t="shared" si="240"/>
        <v>0</v>
      </c>
      <c r="X147" s="190">
        <f t="shared" si="240"/>
        <v>0</v>
      </c>
      <c r="Y147" s="190">
        <f t="shared" si="240"/>
        <v>0</v>
      </c>
      <c r="Z147" s="190">
        <f t="shared" si="240"/>
        <v>0</v>
      </c>
      <c r="AA147" s="175"/>
    </row>
    <row r="148" spans="1:28" outlineLevel="1" x14ac:dyDescent="0.25">
      <c r="A148" s="36" t="str">
        <f t="shared" si="78"/>
        <v>Sunward SWDRT270SM</v>
      </c>
      <c r="B148" s="36"/>
      <c r="D148" s="187" t="s">
        <v>48</v>
      </c>
      <c r="E148" s="196" t="str">
        <f>E144</f>
        <v>кг/час</v>
      </c>
      <c r="F148" s="74">
        <f>SUMIFS('ФОТ, МТР, макро'!$M$4:$M$31,'ФОТ, МТР, макро'!$J$4:$J$31,$A148)</f>
        <v>50.100609425694671</v>
      </c>
      <c r="G148" s="83">
        <f>F148</f>
        <v>50.100609425694671</v>
      </c>
      <c r="H148" s="83">
        <f t="shared" ref="H148" si="241">G148</f>
        <v>50.100609425694671</v>
      </c>
      <c r="I148" s="83">
        <f t="shared" ref="I148" si="242">H148</f>
        <v>50.100609425694671</v>
      </c>
      <c r="J148" s="83">
        <f t="shared" ref="J148" si="243">I148</f>
        <v>50.100609425694671</v>
      </c>
      <c r="K148" s="83">
        <f t="shared" ref="K148" si="244">J148</f>
        <v>50.100609425694671</v>
      </c>
      <c r="L148" s="83">
        <f t="shared" ref="L148" si="245">K148</f>
        <v>50.100609425694671</v>
      </c>
      <c r="M148" s="83">
        <f t="shared" ref="M148" si="246">L148</f>
        <v>50.100609425694671</v>
      </c>
      <c r="N148" s="83">
        <f t="shared" ref="N148" si="247">M148</f>
        <v>50.100609425694671</v>
      </c>
      <c r="O148" s="83">
        <f t="shared" ref="O148" si="248">N148</f>
        <v>50.100609425694671</v>
      </c>
      <c r="P148" s="83">
        <f t="shared" ref="P148" si="249">O148</f>
        <v>50.100609425694671</v>
      </c>
      <c r="Q148" s="83">
        <f t="shared" ref="Q148" si="250">P148</f>
        <v>50.100609425694671</v>
      </c>
      <c r="R148" s="83">
        <f t="shared" ref="R148" si="251">Q148</f>
        <v>50.100609425694671</v>
      </c>
      <c r="S148" s="83">
        <f t="shared" ref="S148" si="252">R148</f>
        <v>50.100609425694671</v>
      </c>
      <c r="T148" s="83">
        <f t="shared" ref="T148" si="253">S148</f>
        <v>50.100609425694671</v>
      </c>
      <c r="U148" s="83">
        <f t="shared" ref="U148" si="254">T148</f>
        <v>50.100609425694671</v>
      </c>
      <c r="V148" s="83">
        <f t="shared" ref="V148" si="255">U148</f>
        <v>50.100609425694671</v>
      </c>
      <c r="W148" s="83">
        <f t="shared" ref="W148" si="256">V148</f>
        <v>50.100609425694671</v>
      </c>
      <c r="X148" s="83">
        <f t="shared" ref="X148" si="257">W148</f>
        <v>50.100609425694671</v>
      </c>
      <c r="Y148" s="83">
        <f t="shared" ref="Y148" si="258">X148</f>
        <v>50.100609425694671</v>
      </c>
      <c r="Z148" s="83">
        <f t="shared" ref="Z148" si="259">Y148</f>
        <v>50.100609425694671</v>
      </c>
      <c r="AA148" s="175"/>
    </row>
    <row r="149" spans="1:28" outlineLevel="1" x14ac:dyDescent="0.25">
      <c r="A149" s="36" t="str">
        <f t="shared" si="78"/>
        <v>Sunward SWDRT270SM</v>
      </c>
      <c r="B149" s="36"/>
      <c r="D149" s="187" t="s">
        <v>49</v>
      </c>
      <c r="E149" s="196" t="str">
        <f t="shared" ref="E149:E150" si="260">E145</f>
        <v>т</v>
      </c>
      <c r="F149" s="83"/>
      <c r="G149" s="74">
        <f>G$3*G119*G148/1000</f>
        <v>317.48271049597446</v>
      </c>
      <c r="H149" s="74">
        <f t="shared" ref="H149:Z149" si="261">H$3*H119*H148/1000</f>
        <v>307.04743218319447</v>
      </c>
      <c r="I149" s="74">
        <f t="shared" si="261"/>
        <v>299.9593186122496</v>
      </c>
      <c r="J149" s="74">
        <f t="shared" si="261"/>
        <v>310.39459692502965</v>
      </c>
      <c r="K149" s="74">
        <f t="shared" si="261"/>
        <v>307.04743218319447</v>
      </c>
      <c r="L149" s="74">
        <f t="shared" si="261"/>
        <v>299.17175043770021</v>
      </c>
      <c r="M149" s="74">
        <f t="shared" si="261"/>
        <v>305.86607992137044</v>
      </c>
      <c r="N149" s="74">
        <f t="shared" si="261"/>
        <v>307.04743218319447</v>
      </c>
      <c r="O149" s="74">
        <f t="shared" si="261"/>
        <v>301.5344549613485</v>
      </c>
      <c r="P149" s="74">
        <f t="shared" si="261"/>
        <v>303.1095913104474</v>
      </c>
      <c r="Q149" s="74">
        <f t="shared" si="261"/>
        <v>303.1095913104474</v>
      </c>
      <c r="R149" s="74">
        <f t="shared" si="261"/>
        <v>303.1095913104474</v>
      </c>
      <c r="S149" s="74">
        <f t="shared" si="261"/>
        <v>0</v>
      </c>
      <c r="T149" s="74">
        <f t="shared" si="261"/>
        <v>0</v>
      </c>
      <c r="U149" s="74">
        <f t="shared" si="261"/>
        <v>0</v>
      </c>
      <c r="V149" s="74">
        <f t="shared" si="261"/>
        <v>0</v>
      </c>
      <c r="W149" s="74">
        <f t="shared" si="261"/>
        <v>0</v>
      </c>
      <c r="X149" s="74">
        <f t="shared" si="261"/>
        <v>0</v>
      </c>
      <c r="Y149" s="74">
        <f t="shared" si="261"/>
        <v>0</v>
      </c>
      <c r="Z149" s="74">
        <f t="shared" si="261"/>
        <v>0</v>
      </c>
      <c r="AA149" s="175"/>
    </row>
    <row r="150" spans="1:28" outlineLevel="1" x14ac:dyDescent="0.25">
      <c r="A150" s="36" t="str">
        <f t="shared" si="78"/>
        <v>Sunward SWDRT270SM</v>
      </c>
      <c r="B150" s="36"/>
      <c r="D150" s="187" t="s">
        <v>51</v>
      </c>
      <c r="E150" s="196" t="str">
        <f t="shared" si="260"/>
        <v>тыс. руб./т</v>
      </c>
      <c r="F150" s="83"/>
      <c r="G150" s="83">
        <f>G146</f>
        <v>66.018919487352079</v>
      </c>
      <c r="H150" s="83">
        <f t="shared" ref="H150:Z150" si="262">H146</f>
        <v>66.018919487352079</v>
      </c>
      <c r="I150" s="83">
        <f t="shared" si="262"/>
        <v>66.018919487352079</v>
      </c>
      <c r="J150" s="83">
        <f t="shared" si="262"/>
        <v>66.018919487352079</v>
      </c>
      <c r="K150" s="83">
        <f t="shared" si="262"/>
        <v>66.018919487352079</v>
      </c>
      <c r="L150" s="83">
        <f t="shared" si="262"/>
        <v>66.018919487352079</v>
      </c>
      <c r="M150" s="83">
        <f t="shared" si="262"/>
        <v>66.018919487352079</v>
      </c>
      <c r="N150" s="83">
        <f t="shared" si="262"/>
        <v>66.018919487352079</v>
      </c>
      <c r="O150" s="83">
        <f t="shared" si="262"/>
        <v>66.018919487352079</v>
      </c>
      <c r="P150" s="83">
        <f t="shared" si="262"/>
        <v>66.018919487352079</v>
      </c>
      <c r="Q150" s="83">
        <f t="shared" si="262"/>
        <v>66.018919487352079</v>
      </c>
      <c r="R150" s="83">
        <f t="shared" si="262"/>
        <v>66.018919487352079</v>
      </c>
      <c r="S150" s="83">
        <f t="shared" si="262"/>
        <v>66.018919487352079</v>
      </c>
      <c r="T150" s="83">
        <f t="shared" si="262"/>
        <v>66.018919487352079</v>
      </c>
      <c r="U150" s="83">
        <f t="shared" si="262"/>
        <v>66.018919487352079</v>
      </c>
      <c r="V150" s="83">
        <f t="shared" si="262"/>
        <v>66.018919487352079</v>
      </c>
      <c r="W150" s="83">
        <f t="shared" si="262"/>
        <v>66.018919487352079</v>
      </c>
      <c r="X150" s="83">
        <f t="shared" si="262"/>
        <v>66.018919487352079</v>
      </c>
      <c r="Y150" s="83">
        <f t="shared" si="262"/>
        <v>66.018919487352079</v>
      </c>
      <c r="Z150" s="83">
        <f t="shared" si="262"/>
        <v>66.018919487352079</v>
      </c>
      <c r="AA150" s="175"/>
    </row>
    <row r="151" spans="1:28" outlineLevel="1" x14ac:dyDescent="0.25">
      <c r="A151" s="36" t="str">
        <f t="shared" si="78"/>
        <v>Sunward SWDRT270SM</v>
      </c>
      <c r="B151" s="36"/>
      <c r="D151" s="63" t="s">
        <v>55</v>
      </c>
      <c r="E151" s="64" t="str">
        <f>E124</f>
        <v>тыс. руб.</v>
      </c>
      <c r="F151" s="70"/>
      <c r="G151" s="80">
        <f>G152+G153</f>
        <v>15710.122113662099</v>
      </c>
      <c r="H151" s="80">
        <f t="shared" ref="H151:Z151" si="263">H152+H153</f>
        <v>15710.122113662099</v>
      </c>
      <c r="I151" s="80">
        <f t="shared" si="263"/>
        <v>15710.122113662099</v>
      </c>
      <c r="J151" s="80">
        <f t="shared" si="263"/>
        <v>15710.122113662099</v>
      </c>
      <c r="K151" s="80">
        <f t="shared" si="263"/>
        <v>15710.122113662099</v>
      </c>
      <c r="L151" s="80">
        <f t="shared" si="263"/>
        <v>15710.122113662099</v>
      </c>
      <c r="M151" s="80">
        <f t="shared" si="263"/>
        <v>15710.122113662099</v>
      </c>
      <c r="N151" s="80">
        <f t="shared" si="263"/>
        <v>15710.122113662099</v>
      </c>
      <c r="O151" s="80">
        <f t="shared" si="263"/>
        <v>15710.122113662099</v>
      </c>
      <c r="P151" s="80">
        <f t="shared" si="263"/>
        <v>15710.122113662099</v>
      </c>
      <c r="Q151" s="80">
        <f t="shared" si="263"/>
        <v>15710.122113662099</v>
      </c>
      <c r="R151" s="80">
        <f t="shared" si="263"/>
        <v>15710.122113662099</v>
      </c>
      <c r="S151" s="80">
        <f t="shared" si="263"/>
        <v>0</v>
      </c>
      <c r="T151" s="80">
        <f t="shared" si="263"/>
        <v>0</v>
      </c>
      <c r="U151" s="80">
        <f t="shared" si="263"/>
        <v>0</v>
      </c>
      <c r="V151" s="80">
        <f t="shared" si="263"/>
        <v>0</v>
      </c>
      <c r="W151" s="80">
        <f t="shared" si="263"/>
        <v>0</v>
      </c>
      <c r="X151" s="80">
        <f t="shared" si="263"/>
        <v>0</v>
      </c>
      <c r="Y151" s="80">
        <f t="shared" si="263"/>
        <v>0</v>
      </c>
      <c r="Z151" s="80">
        <f t="shared" si="263"/>
        <v>0</v>
      </c>
      <c r="AA151" s="175"/>
    </row>
    <row r="152" spans="1:28" outlineLevel="1" x14ac:dyDescent="0.25">
      <c r="A152" s="36" t="str">
        <f t="shared" si="78"/>
        <v>Sunward SWDRT270SM</v>
      </c>
      <c r="B152" s="36"/>
      <c r="D152" s="187" t="s">
        <v>213</v>
      </c>
      <c r="E152" s="9" t="str">
        <f>E151</f>
        <v>тыс. руб.</v>
      </c>
      <c r="F152" s="74">
        <f>SUMIFS('ФОТ, МТР, макро'!$X$4:$X$31,'ФОТ, МТР, макро'!$W$4:$W$31,$A152)</f>
        <v>12529.553373000001</v>
      </c>
      <c r="G152" s="83">
        <f>IF(G120=0,0,$F152)</f>
        <v>12529.553373000001</v>
      </c>
      <c r="H152" s="83">
        <f t="shared" ref="H152:Z152" si="264">IF(H120=0,0,$F152)</f>
        <v>12529.553373000001</v>
      </c>
      <c r="I152" s="83">
        <f t="shared" si="264"/>
        <v>12529.553373000001</v>
      </c>
      <c r="J152" s="83">
        <f t="shared" si="264"/>
        <v>12529.553373000001</v>
      </c>
      <c r="K152" s="83">
        <f t="shared" si="264"/>
        <v>12529.553373000001</v>
      </c>
      <c r="L152" s="83">
        <f t="shared" si="264"/>
        <v>12529.553373000001</v>
      </c>
      <c r="M152" s="83">
        <f t="shared" si="264"/>
        <v>12529.553373000001</v>
      </c>
      <c r="N152" s="83">
        <f t="shared" si="264"/>
        <v>12529.553373000001</v>
      </c>
      <c r="O152" s="83">
        <f t="shared" si="264"/>
        <v>12529.553373000001</v>
      </c>
      <c r="P152" s="83">
        <f t="shared" si="264"/>
        <v>12529.553373000001</v>
      </c>
      <c r="Q152" s="83">
        <f t="shared" si="264"/>
        <v>12529.553373000001</v>
      </c>
      <c r="R152" s="83">
        <f t="shared" si="264"/>
        <v>12529.553373000001</v>
      </c>
      <c r="S152" s="83">
        <f t="shared" si="264"/>
        <v>0</v>
      </c>
      <c r="T152" s="83">
        <f t="shared" si="264"/>
        <v>0</v>
      </c>
      <c r="U152" s="83">
        <f t="shared" si="264"/>
        <v>0</v>
      </c>
      <c r="V152" s="83">
        <f t="shared" si="264"/>
        <v>0</v>
      </c>
      <c r="W152" s="83">
        <f t="shared" si="264"/>
        <v>0</v>
      </c>
      <c r="X152" s="83">
        <f t="shared" si="264"/>
        <v>0</v>
      </c>
      <c r="Y152" s="83">
        <f t="shared" si="264"/>
        <v>0</v>
      </c>
      <c r="Z152" s="83">
        <f t="shared" si="264"/>
        <v>0</v>
      </c>
      <c r="AA152" s="175"/>
    </row>
    <row r="153" spans="1:28" outlineLevel="1" x14ac:dyDescent="0.25">
      <c r="A153" s="36" t="str">
        <f t="shared" si="78"/>
        <v>Sunward SWDRT270SM</v>
      </c>
      <c r="B153" s="36"/>
      <c r="D153" s="187" t="s">
        <v>56</v>
      </c>
      <c r="E153" s="9"/>
      <c r="F153" s="74">
        <f>SUMIFS('ФОТ, МТР, макро'!$Y$4:$Y$31,'ФОТ, МТР, макро'!$W$4:$W$31,$A153)</f>
        <v>3180.5687406620973</v>
      </c>
      <c r="G153" s="83">
        <f t="shared" ref="G153:Z153" si="265">IF(G120=0,0,$F153)</f>
        <v>3180.5687406620973</v>
      </c>
      <c r="H153" s="83">
        <f t="shared" si="265"/>
        <v>3180.5687406620973</v>
      </c>
      <c r="I153" s="83">
        <f t="shared" si="265"/>
        <v>3180.5687406620973</v>
      </c>
      <c r="J153" s="83">
        <f t="shared" si="265"/>
        <v>3180.5687406620973</v>
      </c>
      <c r="K153" s="83">
        <f t="shared" si="265"/>
        <v>3180.5687406620973</v>
      </c>
      <c r="L153" s="83">
        <f t="shared" si="265"/>
        <v>3180.5687406620973</v>
      </c>
      <c r="M153" s="83">
        <f t="shared" si="265"/>
        <v>3180.5687406620973</v>
      </c>
      <c r="N153" s="83">
        <f t="shared" si="265"/>
        <v>3180.5687406620973</v>
      </c>
      <c r="O153" s="83">
        <f t="shared" si="265"/>
        <v>3180.5687406620973</v>
      </c>
      <c r="P153" s="83">
        <f t="shared" si="265"/>
        <v>3180.5687406620973</v>
      </c>
      <c r="Q153" s="83">
        <f t="shared" si="265"/>
        <v>3180.5687406620973</v>
      </c>
      <c r="R153" s="83">
        <f t="shared" si="265"/>
        <v>3180.5687406620973</v>
      </c>
      <c r="S153" s="83">
        <f t="shared" si="265"/>
        <v>0</v>
      </c>
      <c r="T153" s="83">
        <f t="shared" si="265"/>
        <v>0</v>
      </c>
      <c r="U153" s="83">
        <f t="shared" si="265"/>
        <v>0</v>
      </c>
      <c r="V153" s="83">
        <f t="shared" si="265"/>
        <v>0</v>
      </c>
      <c r="W153" s="83">
        <f t="shared" si="265"/>
        <v>0</v>
      </c>
      <c r="X153" s="83">
        <f t="shared" si="265"/>
        <v>0</v>
      </c>
      <c r="Y153" s="83">
        <f t="shared" si="265"/>
        <v>0</v>
      </c>
      <c r="Z153" s="83">
        <f t="shared" si="265"/>
        <v>0</v>
      </c>
      <c r="AA153" s="175"/>
    </row>
    <row r="154" spans="1:28" outlineLevel="1" x14ac:dyDescent="0.25">
      <c r="A154" s="36" t="str">
        <f t="shared" si="78"/>
        <v>Sunward SWDRT270SM</v>
      </c>
      <c r="B154" s="36"/>
      <c r="D154" s="85" t="s">
        <v>57</v>
      </c>
      <c r="E154" s="64" t="str">
        <f>E124</f>
        <v>тыс. руб.</v>
      </c>
      <c r="F154" s="70"/>
      <c r="G154" s="80">
        <f t="shared" ref="G154:Z154" si="266">IF(G120=0,0,G155*G156/1000)</f>
        <v>12</v>
      </c>
      <c r="H154" s="80">
        <f t="shared" si="266"/>
        <v>12</v>
      </c>
      <c r="I154" s="80">
        <f t="shared" si="266"/>
        <v>12</v>
      </c>
      <c r="J154" s="80">
        <f t="shared" si="266"/>
        <v>12</v>
      </c>
      <c r="K154" s="80">
        <f t="shared" si="266"/>
        <v>12</v>
      </c>
      <c r="L154" s="80">
        <f t="shared" si="266"/>
        <v>12</v>
      </c>
      <c r="M154" s="80">
        <f t="shared" si="266"/>
        <v>12</v>
      </c>
      <c r="N154" s="80">
        <f t="shared" si="266"/>
        <v>12</v>
      </c>
      <c r="O154" s="80">
        <f t="shared" si="266"/>
        <v>12</v>
      </c>
      <c r="P154" s="80">
        <f t="shared" si="266"/>
        <v>12</v>
      </c>
      <c r="Q154" s="80">
        <f t="shared" si="266"/>
        <v>12</v>
      </c>
      <c r="R154" s="80">
        <f t="shared" si="266"/>
        <v>12</v>
      </c>
      <c r="S154" s="80">
        <f t="shared" si="266"/>
        <v>0</v>
      </c>
      <c r="T154" s="80">
        <f t="shared" si="266"/>
        <v>0</v>
      </c>
      <c r="U154" s="80">
        <f t="shared" si="266"/>
        <v>0</v>
      </c>
      <c r="V154" s="80">
        <f t="shared" si="266"/>
        <v>0</v>
      </c>
      <c r="W154" s="80">
        <f t="shared" si="266"/>
        <v>0</v>
      </c>
      <c r="X154" s="80">
        <f t="shared" si="266"/>
        <v>0</v>
      </c>
      <c r="Y154" s="80">
        <f t="shared" si="266"/>
        <v>0</v>
      </c>
      <c r="Z154" s="80">
        <f t="shared" si="266"/>
        <v>0</v>
      </c>
      <c r="AA154" s="175"/>
    </row>
    <row r="155" spans="1:28" outlineLevel="1" x14ac:dyDescent="0.25">
      <c r="A155" s="36" t="str">
        <f t="shared" si="78"/>
        <v>Sunward SWDRT270SM</v>
      </c>
      <c r="B155" s="36"/>
      <c r="D155" s="30" t="s">
        <v>58</v>
      </c>
      <c r="E155" s="9" t="s">
        <v>10</v>
      </c>
      <c r="F155" s="74">
        <f>SUMIFS('ФОТ, МТР, макро'!$AB$4:$AB$31,'ФОТ, МТР, макро'!$W$4:$W$31,$A155)</f>
        <v>800</v>
      </c>
      <c r="G155" s="83">
        <f>F155</f>
        <v>800</v>
      </c>
      <c r="H155" s="83">
        <f t="shared" ref="H155:H156" si="267">G155</f>
        <v>800</v>
      </c>
      <c r="I155" s="83">
        <f t="shared" ref="I155:I156" si="268">H155</f>
        <v>800</v>
      </c>
      <c r="J155" s="83">
        <f t="shared" ref="J155:J156" si="269">I155</f>
        <v>800</v>
      </c>
      <c r="K155" s="83">
        <f t="shared" ref="K155:K156" si="270">J155</f>
        <v>800</v>
      </c>
      <c r="L155" s="83">
        <f t="shared" ref="L155:L156" si="271">K155</f>
        <v>800</v>
      </c>
      <c r="M155" s="83">
        <f t="shared" ref="M155:M156" si="272">L155</f>
        <v>800</v>
      </c>
      <c r="N155" s="83">
        <f t="shared" ref="N155:N156" si="273">M155</f>
        <v>800</v>
      </c>
      <c r="O155" s="83">
        <f t="shared" ref="O155:O156" si="274">N155</f>
        <v>800</v>
      </c>
      <c r="P155" s="83">
        <f t="shared" ref="P155:P156" si="275">O155</f>
        <v>800</v>
      </c>
      <c r="Q155" s="83">
        <f t="shared" ref="Q155:Q156" si="276">P155</f>
        <v>800</v>
      </c>
      <c r="R155" s="83">
        <f t="shared" ref="R155:R156" si="277">Q155</f>
        <v>800</v>
      </c>
      <c r="S155" s="83">
        <f t="shared" ref="S155:S156" si="278">R155</f>
        <v>800</v>
      </c>
      <c r="T155" s="83">
        <f t="shared" ref="T155:T156" si="279">S155</f>
        <v>800</v>
      </c>
      <c r="U155" s="83">
        <f t="shared" ref="U155:U156" si="280">T155</f>
        <v>800</v>
      </c>
      <c r="V155" s="83">
        <f t="shared" ref="V155:V156" si="281">U155</f>
        <v>800</v>
      </c>
      <c r="W155" s="83">
        <f t="shared" ref="W155:W156" si="282">V155</f>
        <v>800</v>
      </c>
      <c r="X155" s="83">
        <f t="shared" ref="X155:X156" si="283">W155</f>
        <v>800</v>
      </c>
      <c r="Y155" s="83">
        <f t="shared" ref="Y155:Y156" si="284">X155</f>
        <v>800</v>
      </c>
      <c r="Z155" s="83">
        <f t="shared" ref="Z155:Z156" si="285">Y155</f>
        <v>800</v>
      </c>
      <c r="AA155" s="175"/>
    </row>
    <row r="156" spans="1:28" outlineLevel="1" x14ac:dyDescent="0.25">
      <c r="A156" s="36" t="str">
        <f t="shared" si="78"/>
        <v>Sunward SWDRT270SM</v>
      </c>
      <c r="B156" s="36"/>
      <c r="D156" s="30" t="s">
        <v>59</v>
      </c>
      <c r="E156" s="9" t="s">
        <v>60</v>
      </c>
      <c r="F156" s="74">
        <f>SUMIFS('ФОТ, МТР, макро'!$AC$4:$AC$31,'ФОТ, МТР, макро'!$W$4:$W$31,$A156)</f>
        <v>15</v>
      </c>
      <c r="G156" s="83">
        <f>F156</f>
        <v>15</v>
      </c>
      <c r="H156" s="83">
        <f t="shared" si="267"/>
        <v>15</v>
      </c>
      <c r="I156" s="83">
        <f t="shared" si="268"/>
        <v>15</v>
      </c>
      <c r="J156" s="83">
        <f t="shared" si="269"/>
        <v>15</v>
      </c>
      <c r="K156" s="83">
        <f t="shared" si="270"/>
        <v>15</v>
      </c>
      <c r="L156" s="83">
        <f t="shared" si="271"/>
        <v>15</v>
      </c>
      <c r="M156" s="83">
        <f t="shared" si="272"/>
        <v>15</v>
      </c>
      <c r="N156" s="83">
        <f t="shared" si="273"/>
        <v>15</v>
      </c>
      <c r="O156" s="83">
        <f t="shared" si="274"/>
        <v>15</v>
      </c>
      <c r="P156" s="83">
        <f t="shared" si="275"/>
        <v>15</v>
      </c>
      <c r="Q156" s="83">
        <f t="shared" si="276"/>
        <v>15</v>
      </c>
      <c r="R156" s="83">
        <f t="shared" si="277"/>
        <v>15</v>
      </c>
      <c r="S156" s="83">
        <f t="shared" si="278"/>
        <v>15</v>
      </c>
      <c r="T156" s="83">
        <f t="shared" si="279"/>
        <v>15</v>
      </c>
      <c r="U156" s="83">
        <f t="shared" si="280"/>
        <v>15</v>
      </c>
      <c r="V156" s="83">
        <f t="shared" si="281"/>
        <v>15</v>
      </c>
      <c r="W156" s="83">
        <f t="shared" si="282"/>
        <v>15</v>
      </c>
      <c r="X156" s="83">
        <f t="shared" si="283"/>
        <v>15</v>
      </c>
      <c r="Y156" s="83">
        <f t="shared" si="284"/>
        <v>15</v>
      </c>
      <c r="Z156" s="83">
        <f t="shared" si="285"/>
        <v>15</v>
      </c>
      <c r="AA156" s="175"/>
    </row>
    <row r="157" spans="1:28" outlineLevel="1" x14ac:dyDescent="0.25">
      <c r="A157" s="36" t="str">
        <f t="shared" si="78"/>
        <v>Sunward SWDRT270SM</v>
      </c>
      <c r="B157" s="36"/>
      <c r="C157" s="86">
        <f>SUMIFS('ФОТ, МТР, макро'!$AF$4:$AF$31,'ФОТ, МТР, макро'!$W$4:$W$31,$A157)</f>
        <v>19.672131147540984</v>
      </c>
      <c r="D157" s="85" t="s">
        <v>61</v>
      </c>
      <c r="E157" s="64" t="str">
        <f>E124</f>
        <v>тыс. руб.</v>
      </c>
      <c r="F157" s="80"/>
      <c r="G157" s="87">
        <f>IF(G117&lt;=$C158,$F162*$C157%,"ОШИБКА")</f>
        <v>0</v>
      </c>
      <c r="H157" s="71">
        <f>IF(H117&lt;=$C158,$F162*$C157%,$F162-SUM($G157:G157))</f>
        <v>0</v>
      </c>
      <c r="I157" s="71">
        <f>IF(I117&lt;=$C158,$F162*$C157%,$F162-SUM($G157:H157))</f>
        <v>0</v>
      </c>
      <c r="J157" s="71">
        <f>IF(J117&lt;=$C158,$F162*$C157%,$F162-SUM($G157:I157))</f>
        <v>0</v>
      </c>
      <c r="K157" s="71">
        <f>IF(K117&lt;=$C158,$F162*$C157%,$F162-SUM($G157:J157))</f>
        <v>0</v>
      </c>
      <c r="L157" s="71">
        <f>IF(L117&lt;=$C158,$F162*$C157%,$F162-SUM($G157:K157))</f>
        <v>0</v>
      </c>
      <c r="M157" s="71">
        <f>IF(M117&lt;=$C158,$F162*$C157%,$F162-SUM($G157:L157))</f>
        <v>0</v>
      </c>
      <c r="N157" s="71">
        <f>IF(N117&lt;=$C158,$F162*$C157%,$F162-SUM($G157:M157))</f>
        <v>0</v>
      </c>
      <c r="O157" s="71">
        <f>IF(O117&lt;=$C158,$F162*$C157%,$F162-SUM($G157:N157))</f>
        <v>0</v>
      </c>
      <c r="P157" s="71">
        <f>IF(P117&lt;=$C158,$F162*$C157%,$F162-SUM($G157:O157))</f>
        <v>0</v>
      </c>
      <c r="Q157" s="71">
        <f>IF(Q117&lt;=$C158,$F162*$C157%,$F162-SUM($G157:P157))</f>
        <v>0</v>
      </c>
      <c r="R157" s="71">
        <f>IF(R117&lt;=$C158,$F162*$C157%,$F162-SUM($G157:Q157))</f>
        <v>0</v>
      </c>
      <c r="S157" s="71">
        <f>IF(S117&lt;=$C158,$F162*$C157%,$F162-SUM($G157:R157))</f>
        <v>0</v>
      </c>
      <c r="T157" s="71">
        <f>IF(T117&lt;=$C158,$F162*$C157%,$F162-SUM($G157:S157))</f>
        <v>0</v>
      </c>
      <c r="U157" s="71">
        <f>IF(U117&lt;=$C158,$F162*$C157%,$F162-SUM($G157:T157))</f>
        <v>0</v>
      </c>
      <c r="V157" s="71">
        <f>IF(V117&lt;=$C158,$F162*$C157%,$F162-SUM($G157:U157))</f>
        <v>0</v>
      </c>
      <c r="W157" s="71">
        <f>IF(W117&lt;=$C158,$F162*$C157%,$F162-SUM($G157:V157))</f>
        <v>0</v>
      </c>
      <c r="X157" s="71">
        <f>IF(X117&lt;=$C158,$F162*$C157%,$F162-SUM($G157:W157))</f>
        <v>0</v>
      </c>
      <c r="Y157" s="71">
        <f>IF(Y117&lt;=$C158,$F162*$C157%,$F162-SUM($G157:X157))</f>
        <v>0</v>
      </c>
      <c r="Z157" s="71">
        <f>IF(Z117&lt;=$C158,$F162*$C157%,$F162-SUM($G157:Y157))</f>
        <v>0</v>
      </c>
      <c r="AA157" s="175"/>
    </row>
    <row r="158" spans="1:28" outlineLevel="1" x14ac:dyDescent="0.25">
      <c r="A158" s="36" t="str">
        <f t="shared" si="78"/>
        <v>Sunward SWDRT270SM</v>
      </c>
      <c r="B158" s="36"/>
      <c r="C158" s="86">
        <f>SUMIFS('ФОТ, МТР, макро'!$AE$4:$AE$31,'ФОТ, МТР, макро'!$W$4:$W$31,$A158)/12</f>
        <v>5.083333333333333</v>
      </c>
      <c r="D158" s="85" t="s">
        <v>62</v>
      </c>
      <c r="E158" s="64" t="str">
        <f>E124</f>
        <v>тыс. руб.</v>
      </c>
      <c r="F158" s="65"/>
      <c r="G158" s="65">
        <f t="shared" ref="G158:Z158" si="286">SUM(G125,G130,G132,G136,G140,G142,G151,G154,G157)</f>
        <v>79840.532303866232</v>
      </c>
      <c r="H158" s="65">
        <f t="shared" si="286"/>
        <v>102402.93155517493</v>
      </c>
      <c r="I158" s="65">
        <f t="shared" si="286"/>
        <v>104010.72852549847</v>
      </c>
      <c r="J158" s="65">
        <f t="shared" si="286"/>
        <v>88376.341018189793</v>
      </c>
      <c r="K158" s="65">
        <f t="shared" si="286"/>
        <v>99123.175155174933</v>
      </c>
      <c r="L158" s="65">
        <f t="shared" si="286"/>
        <v>107214.95338708998</v>
      </c>
      <c r="M158" s="65">
        <f t="shared" si="286"/>
        <v>85003.878272340953</v>
      </c>
      <c r="N158" s="65">
        <f t="shared" si="286"/>
        <v>102726.77955517493</v>
      </c>
      <c r="O158" s="65">
        <f t="shared" si="286"/>
        <v>99190.051442315467</v>
      </c>
      <c r="P158" s="65">
        <f t="shared" si="286"/>
        <v>87677.674287911228</v>
      </c>
      <c r="Q158" s="65">
        <f t="shared" si="286"/>
        <v>98745.517463132463</v>
      </c>
      <c r="R158" s="65">
        <f t="shared" si="286"/>
        <v>78462.081727911223</v>
      </c>
      <c r="S158" s="65">
        <f t="shared" si="286"/>
        <v>0</v>
      </c>
      <c r="T158" s="65">
        <f t="shared" si="286"/>
        <v>0</v>
      </c>
      <c r="U158" s="65">
        <f t="shared" si="286"/>
        <v>0</v>
      </c>
      <c r="V158" s="65">
        <f t="shared" si="286"/>
        <v>0</v>
      </c>
      <c r="W158" s="65">
        <f t="shared" si="286"/>
        <v>0</v>
      </c>
      <c r="X158" s="65">
        <f t="shared" si="286"/>
        <v>0</v>
      </c>
      <c r="Y158" s="65">
        <f t="shared" si="286"/>
        <v>0</v>
      </c>
      <c r="Z158" s="65">
        <f t="shared" si="286"/>
        <v>0</v>
      </c>
      <c r="AA158" s="175"/>
      <c r="AB158" s="39"/>
    </row>
    <row r="159" spans="1:28" outlineLevel="1" x14ac:dyDescent="0.25">
      <c r="A159" s="36" t="str">
        <f t="shared" si="78"/>
        <v>Sunward SWDRT270SM</v>
      </c>
      <c r="B159" s="36"/>
      <c r="D159" s="85" t="s">
        <v>63</v>
      </c>
      <c r="E159" s="64" t="str">
        <f>E124</f>
        <v>тыс. руб.</v>
      </c>
      <c r="F159" s="65"/>
      <c r="G159" s="65">
        <f>-G158*'ФОТ, МТР, макро'!AJ$12</f>
        <v>-19960.133075966558</v>
      </c>
      <c r="H159" s="65">
        <f>-H158*'ФОТ, МТР, макро'!AK$12</f>
        <v>-25600.732888793733</v>
      </c>
      <c r="I159" s="65">
        <f>-I158*'ФОТ, МТР, макро'!AL$12</f>
        <v>-26002.682131374619</v>
      </c>
      <c r="J159" s="65">
        <f>-J158*'ФОТ, МТР, макро'!AM$12</f>
        <v>-22094.085254547448</v>
      </c>
      <c r="K159" s="65">
        <f>-K158*'ФОТ, МТР, макро'!AN$12</f>
        <v>-24780.793788793733</v>
      </c>
      <c r="L159" s="65">
        <f>-L158*'ФОТ, МТР, макро'!AO$12</f>
        <v>-26803.738346772494</v>
      </c>
      <c r="M159" s="65">
        <f>-M158*'ФОТ, МТР, макро'!AP$12</f>
        <v>-21250.969568085238</v>
      </c>
      <c r="N159" s="65">
        <f>-N158*'ФОТ, МТР, макро'!AQ$12</f>
        <v>-25681.694888793732</v>
      </c>
      <c r="O159" s="65">
        <f>-O158*'ФОТ, МТР, макро'!AR$12</f>
        <v>-24797.512860578867</v>
      </c>
      <c r="P159" s="65">
        <f>-P158*'ФОТ, МТР, макро'!AS$12</f>
        <v>-21919.418571977807</v>
      </c>
      <c r="Q159" s="65">
        <f>-Q158*'ФОТ, МТР, макро'!AT$12</f>
        <v>-24686.379365783116</v>
      </c>
      <c r="R159" s="65">
        <f>-R158*'ФОТ, МТР, макро'!AU$12</f>
        <v>-19615.520431977806</v>
      </c>
      <c r="S159" s="65">
        <f>-S158*'ФОТ, МТР, макро'!AV$12</f>
        <v>0</v>
      </c>
      <c r="T159" s="65">
        <f>-T158*'ФОТ, МТР, макро'!AW$12</f>
        <v>0</v>
      </c>
      <c r="U159" s="65">
        <f>-U158*'ФОТ, МТР, макро'!AX$12</f>
        <v>0</v>
      </c>
      <c r="V159" s="65">
        <f>-V158*'ФОТ, МТР, макро'!AY$12</f>
        <v>0</v>
      </c>
      <c r="W159" s="65">
        <f>-W158*'ФОТ, МТР, макро'!AZ$12</f>
        <v>0</v>
      </c>
      <c r="X159" s="65">
        <f>-X158*'ФОТ, МТР, макро'!BA$12</f>
        <v>0</v>
      </c>
      <c r="Y159" s="65">
        <f>-Y158*'ФОТ, МТР, макро'!BB$12</f>
        <v>0</v>
      </c>
      <c r="Z159" s="65">
        <f>-Z158*'ФОТ, МТР, макро'!BC$12</f>
        <v>0</v>
      </c>
      <c r="AA159" s="175"/>
    </row>
    <row r="160" spans="1:28" outlineLevel="1" x14ac:dyDescent="0.25">
      <c r="A160" s="36" t="str">
        <f t="shared" si="78"/>
        <v>Sunward SWDRT270SM</v>
      </c>
      <c r="B160" s="36"/>
      <c r="D160" s="88"/>
      <c r="E160" s="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175"/>
    </row>
    <row r="161" spans="1:27" outlineLevel="1" x14ac:dyDescent="0.25">
      <c r="A161" s="36" t="str">
        <f t="shared" si="78"/>
        <v>Sunward SWDRT270SM</v>
      </c>
      <c r="B161" s="36"/>
      <c r="D161" s="66" t="s">
        <v>64</v>
      </c>
      <c r="E161" s="67" t="str">
        <f>E124</f>
        <v>тыс. руб.</v>
      </c>
      <c r="F161" s="68">
        <f>F162</f>
        <v>0</v>
      </c>
      <c r="G161" s="68">
        <f t="shared" ref="G161:Z161" si="287">G162</f>
        <v>0</v>
      </c>
      <c r="H161" s="68">
        <f t="shared" si="287"/>
        <v>0</v>
      </c>
      <c r="I161" s="68">
        <f t="shared" si="287"/>
        <v>0</v>
      </c>
      <c r="J161" s="68">
        <f t="shared" si="287"/>
        <v>0</v>
      </c>
      <c r="K161" s="68">
        <f t="shared" si="287"/>
        <v>0</v>
      </c>
      <c r="L161" s="68">
        <f t="shared" si="287"/>
        <v>0</v>
      </c>
      <c r="M161" s="68">
        <f t="shared" si="287"/>
        <v>0</v>
      </c>
      <c r="N161" s="68">
        <f t="shared" si="287"/>
        <v>0</v>
      </c>
      <c r="O161" s="68">
        <f t="shared" si="287"/>
        <v>0</v>
      </c>
      <c r="P161" s="68">
        <f t="shared" si="287"/>
        <v>0</v>
      </c>
      <c r="Q161" s="68">
        <f t="shared" si="287"/>
        <v>0</v>
      </c>
      <c r="R161" s="68">
        <f t="shared" si="287"/>
        <v>0</v>
      </c>
      <c r="S161" s="68">
        <f t="shared" si="287"/>
        <v>0</v>
      </c>
      <c r="T161" s="68">
        <f t="shared" si="287"/>
        <v>0</v>
      </c>
      <c r="U161" s="68">
        <f t="shared" si="287"/>
        <v>0</v>
      </c>
      <c r="V161" s="68">
        <f t="shared" si="287"/>
        <v>0</v>
      </c>
      <c r="W161" s="68">
        <f t="shared" si="287"/>
        <v>0</v>
      </c>
      <c r="X161" s="68">
        <f t="shared" si="287"/>
        <v>0</v>
      </c>
      <c r="Y161" s="68">
        <f t="shared" si="287"/>
        <v>0</v>
      </c>
      <c r="Z161" s="68">
        <f t="shared" si="287"/>
        <v>0</v>
      </c>
      <c r="AA161" s="175"/>
    </row>
    <row r="162" spans="1:27" outlineLevel="1" x14ac:dyDescent="0.25">
      <c r="A162" s="36" t="str">
        <f t="shared" si="78"/>
        <v>Sunward SWDRT270SM</v>
      </c>
      <c r="B162" s="36"/>
      <c r="D162" s="88" t="s">
        <v>206</v>
      </c>
      <c r="E162" s="9" t="str">
        <f>E161</f>
        <v>тыс. руб.</v>
      </c>
      <c r="F162" s="74">
        <f>SUMIFS('Свод_250-270_диз'!$D$33:$P$33,'Свод_250-270_диз'!$D$19:$P$19,$A162)</f>
        <v>0</v>
      </c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175"/>
    </row>
    <row r="163" spans="1:27" outlineLevel="1" x14ac:dyDescent="0.25">
      <c r="A163" s="36" t="str">
        <f t="shared" si="78"/>
        <v>Sunward SWDRT270SM</v>
      </c>
      <c r="B163" s="36"/>
      <c r="D163" s="88"/>
      <c r="E163" s="9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175"/>
    </row>
    <row r="164" spans="1:27" outlineLevel="1" x14ac:dyDescent="0.25">
      <c r="A164" s="36" t="str">
        <f t="shared" si="78"/>
        <v>Sunward SWDRT270SM</v>
      </c>
      <c r="B164" s="36"/>
      <c r="D164" s="66" t="s">
        <v>65</v>
      </c>
      <c r="E164" s="67" t="str">
        <f>E124</f>
        <v>тыс. руб.</v>
      </c>
      <c r="F164" s="68">
        <f t="shared" ref="F164:Z164" si="288">F124+F161</f>
        <v>0</v>
      </c>
      <c r="G164" s="68">
        <f t="shared" si="288"/>
        <v>59880.399227899674</v>
      </c>
      <c r="H164" s="68">
        <f t="shared" si="288"/>
        <v>76802.198666381199</v>
      </c>
      <c r="I164" s="68">
        <f t="shared" si="288"/>
        <v>78008.046394123856</v>
      </c>
      <c r="J164" s="68">
        <f t="shared" si="288"/>
        <v>66282.255763642344</v>
      </c>
      <c r="K164" s="68">
        <f t="shared" si="288"/>
        <v>74342.381366381203</v>
      </c>
      <c r="L164" s="68">
        <f t="shared" si="288"/>
        <v>80411.215040317475</v>
      </c>
      <c r="M164" s="68">
        <f t="shared" si="288"/>
        <v>63752.908704255715</v>
      </c>
      <c r="N164" s="68">
        <f t="shared" si="288"/>
        <v>77045.084666381197</v>
      </c>
      <c r="O164" s="68">
        <f t="shared" si="288"/>
        <v>74392.538581736604</v>
      </c>
      <c r="P164" s="68">
        <f t="shared" si="288"/>
        <v>65758.255715933425</v>
      </c>
      <c r="Q164" s="68">
        <f t="shared" si="288"/>
        <v>74059.138097349351</v>
      </c>
      <c r="R164" s="68">
        <f t="shared" si="288"/>
        <v>58846.561295933418</v>
      </c>
      <c r="S164" s="68">
        <f t="shared" si="288"/>
        <v>0</v>
      </c>
      <c r="T164" s="68">
        <f t="shared" si="288"/>
        <v>0</v>
      </c>
      <c r="U164" s="68">
        <f t="shared" si="288"/>
        <v>0</v>
      </c>
      <c r="V164" s="68">
        <f t="shared" si="288"/>
        <v>0</v>
      </c>
      <c r="W164" s="68">
        <f t="shared" si="288"/>
        <v>0</v>
      </c>
      <c r="X164" s="68">
        <f t="shared" si="288"/>
        <v>0</v>
      </c>
      <c r="Y164" s="68">
        <f t="shared" si="288"/>
        <v>0</v>
      </c>
      <c r="Z164" s="68">
        <f t="shared" si="288"/>
        <v>0</v>
      </c>
      <c r="AA164" s="175"/>
    </row>
    <row r="165" spans="1:27" ht="27.2" outlineLevel="1" x14ac:dyDescent="0.25">
      <c r="A165" s="36" t="str">
        <f t="shared" si="78"/>
        <v>Sunward SWDRT270SM</v>
      </c>
      <c r="B165" s="36"/>
      <c r="D165" s="63" t="s">
        <v>66</v>
      </c>
      <c r="E165" s="64" t="str">
        <f>E164</f>
        <v>тыс. руб.</v>
      </c>
      <c r="F165" s="89"/>
      <c r="G165" s="65">
        <f>G124*'ФОТ, МТР, макро'!AJ$14</f>
        <v>53464.642167767561</v>
      </c>
      <c r="H165" s="65">
        <f>H124*'ФОТ, МТР, макро'!AK$14</f>
        <v>61226.242559296224</v>
      </c>
      <c r="I165" s="65">
        <f>I124*'ФОТ, МТР, макро'!AL$14</f>
        <v>55524.586593849534</v>
      </c>
      <c r="J165" s="65">
        <f>J124*'ФОТ, МТР, макро'!AM$14</f>
        <v>42123.571815247524</v>
      </c>
      <c r="K165" s="65">
        <f>K124*'ФОТ, МТР, макро'!AN$14</f>
        <v>42183.863705358664</v>
      </c>
      <c r="L165" s="65">
        <f>L124*'ФОТ, МТР, макро'!AO$14</f>
        <v>40738.824031106677</v>
      </c>
      <c r="M165" s="65">
        <f>M124*'ФОТ, МТР, макро'!AP$14</f>
        <v>28838.578227814676</v>
      </c>
      <c r="N165" s="65">
        <f>N124*'ФОТ, МТР, макро'!AQ$14</f>
        <v>31117.217495001831</v>
      </c>
      <c r="O165" s="65">
        <f>O124*'ФОТ, МТР, макро'!AR$14</f>
        <v>26826.695196403154</v>
      </c>
      <c r="P165" s="65">
        <f>P124*'ФОТ, МТР, макро'!AS$14</f>
        <v>21172.398425417719</v>
      </c>
      <c r="Q165" s="65">
        <f>Q124*'ФОТ, МТР, макро'!AT$14</f>
        <v>21290.232493143649</v>
      </c>
      <c r="R165" s="65">
        <f>R124*'ФОТ, МТР, макро'!AU$14</f>
        <v>15104.446590150241</v>
      </c>
      <c r="S165" s="65">
        <f>S124*'ФОТ, МТР, макро'!AV$14</f>
        <v>0</v>
      </c>
      <c r="T165" s="65">
        <f>T124*'ФОТ, МТР, макро'!AW$14</f>
        <v>0</v>
      </c>
      <c r="U165" s="65">
        <f>U124*'ФОТ, МТР, макро'!AX$14</f>
        <v>0</v>
      </c>
      <c r="V165" s="65">
        <f>V124*'ФОТ, МТР, макро'!AY$14</f>
        <v>0</v>
      </c>
      <c r="W165" s="65">
        <f>W124*'ФОТ, МТР, макро'!AZ$14</f>
        <v>0</v>
      </c>
      <c r="X165" s="65">
        <f>X124*'ФОТ, МТР, макро'!BA$14</f>
        <v>0</v>
      </c>
      <c r="Y165" s="65">
        <f>Y124*'ФОТ, МТР, макро'!BB$14</f>
        <v>0</v>
      </c>
      <c r="Z165" s="65">
        <f>Z124*'ФОТ, МТР, макро'!BC$14</f>
        <v>0</v>
      </c>
      <c r="AA165" s="175"/>
    </row>
    <row r="166" spans="1:27" outlineLevel="1" x14ac:dyDescent="0.25">
      <c r="A166" s="36" t="str">
        <f t="shared" si="78"/>
        <v>Sunward SWDRT270SM</v>
      </c>
      <c r="B166" s="36"/>
      <c r="D166" s="17" t="str">
        <f>D125</f>
        <v>ТО, ТР, ППР</v>
      </c>
      <c r="E166" s="9" t="str">
        <f>E165</f>
        <v>тыс. руб.</v>
      </c>
      <c r="F166" s="90"/>
      <c r="G166" s="70">
        <f>G125*'ФОТ, МТР, макро'!AJ$14</f>
        <v>30062.773547261892</v>
      </c>
      <c r="H166" s="70">
        <f>H125*'ФОТ, МТР, макро'!AK$14</f>
        <v>45626.194601526258</v>
      </c>
      <c r="I166" s="70">
        <f>I125*'ФОТ, МТР, макро'!AL$14</f>
        <v>42365.928591468422</v>
      </c>
      <c r="J166" s="70">
        <f>J125*'ФОТ, МТР, макро'!AM$14</f>
        <v>27254.764080521585</v>
      </c>
      <c r="K166" s="70">
        <f>K125*'ФОТ, МТР, макро'!AN$14</f>
        <v>30614.802238682329</v>
      </c>
      <c r="L166" s="70">
        <f>L125*'ФОТ, МТР, макро'!AO$14</f>
        <v>31816.857813801151</v>
      </c>
      <c r="M166" s="70">
        <f>M125*'ФОТ, МТР, макро'!AP$14</f>
        <v>18070.32998925263</v>
      </c>
      <c r="N166" s="70">
        <f>N125*'ФОТ, МТР, макро'!AQ$14</f>
        <v>23246.446901640531</v>
      </c>
      <c r="O166" s="70">
        <f>O125*'ФОТ, МТР, макро'!AR$14</f>
        <v>19671.03855871443</v>
      </c>
      <c r="P166" s="70">
        <f>P125*'ФОТ, МТР, макро'!AS$14</f>
        <v>13808.111683538018</v>
      </c>
      <c r="Q166" s="70">
        <f>Q125*'ФОТ, МТР, макро'!AT$14</f>
        <v>15510.411582805575</v>
      </c>
      <c r="R166" s="70">
        <f>R125*'ФОТ, МТР, макро'!AU$14</f>
        <v>8642.3290177723829</v>
      </c>
      <c r="S166" s="70">
        <f>S125*'ФОТ, МТР, макро'!AV$14</f>
        <v>0</v>
      </c>
      <c r="T166" s="70">
        <f>T125*'ФОТ, МТР, макро'!AW$14</f>
        <v>0</v>
      </c>
      <c r="U166" s="70">
        <f>U125*'ФОТ, МТР, макро'!AX$14</f>
        <v>0</v>
      </c>
      <c r="V166" s="70">
        <f>V125*'ФОТ, МТР, макро'!AY$14</f>
        <v>0</v>
      </c>
      <c r="W166" s="70">
        <f>W125*'ФОТ, МТР, макро'!AZ$14</f>
        <v>0</v>
      </c>
      <c r="X166" s="70">
        <f>X125*'ФОТ, МТР, макро'!BA$14</f>
        <v>0</v>
      </c>
      <c r="Y166" s="70">
        <f>Y125*'ФОТ, МТР, макро'!BB$14</f>
        <v>0</v>
      </c>
      <c r="Z166" s="70">
        <f>Z125*'ФОТ, МТР, макро'!BC$14</f>
        <v>0</v>
      </c>
      <c r="AA166" s="175"/>
    </row>
    <row r="167" spans="1:27" outlineLevel="1" x14ac:dyDescent="0.25">
      <c r="A167" s="36" t="str">
        <f t="shared" si="78"/>
        <v>Sunward SWDRT270SM</v>
      </c>
      <c r="B167" s="36"/>
      <c r="D167" s="17" t="str">
        <f>D130</f>
        <v>Смазочные</v>
      </c>
      <c r="E167" s="9" t="str">
        <f t="shared" ref="E167:E174" si="289">E166</f>
        <v>тыс. руб.</v>
      </c>
      <c r="F167" s="90"/>
      <c r="G167" s="70">
        <f>G130*'ФОТ, МТР, макро'!AJ$14</f>
        <v>0</v>
      </c>
      <c r="H167" s="70">
        <f>H130*'ФОТ, МТР, макро'!AK$14</f>
        <v>0</v>
      </c>
      <c r="I167" s="70">
        <f>I130*'ФОТ, МТР, макро'!AL$14</f>
        <v>0</v>
      </c>
      <c r="J167" s="70">
        <f>J130*'ФОТ, МТР, макро'!AM$14</f>
        <v>0</v>
      </c>
      <c r="K167" s="70">
        <f>K130*'ФОТ, МТР, макро'!AN$14</f>
        <v>0</v>
      </c>
      <c r="L167" s="70">
        <f>L130*'ФОТ, МТР, макро'!AO$14</f>
        <v>0</v>
      </c>
      <c r="M167" s="70">
        <f>M130*'ФОТ, МТР, макро'!AP$14</f>
        <v>0</v>
      </c>
      <c r="N167" s="70">
        <f>N130*'ФОТ, МТР, макро'!AQ$14</f>
        <v>0</v>
      </c>
      <c r="O167" s="70">
        <f>O130*'ФОТ, МТР, макро'!AR$14</f>
        <v>0</v>
      </c>
      <c r="P167" s="70">
        <f>P130*'ФОТ, МТР, макро'!AS$14</f>
        <v>0</v>
      </c>
      <c r="Q167" s="70">
        <f>Q130*'ФОТ, МТР, макро'!AT$14</f>
        <v>0</v>
      </c>
      <c r="R167" s="70">
        <f>R130*'ФОТ, МТР, макро'!AU$14</f>
        <v>0</v>
      </c>
      <c r="S167" s="70">
        <f>S130*'ФОТ, МТР, макро'!AV$14</f>
        <v>0</v>
      </c>
      <c r="T167" s="70">
        <f>T130*'ФОТ, МТР, макро'!AW$14</f>
        <v>0</v>
      </c>
      <c r="U167" s="70">
        <f>U130*'ФОТ, МТР, макро'!AX$14</f>
        <v>0</v>
      </c>
      <c r="V167" s="70">
        <f>V130*'ФОТ, МТР, макро'!AY$14</f>
        <v>0</v>
      </c>
      <c r="W167" s="70">
        <f>W130*'ФОТ, МТР, макро'!AZ$14</f>
        <v>0</v>
      </c>
      <c r="X167" s="70">
        <f>X130*'ФОТ, МТР, макро'!BA$14</f>
        <v>0</v>
      </c>
      <c r="Y167" s="70">
        <f>Y130*'ФОТ, МТР, макро'!BB$14</f>
        <v>0</v>
      </c>
      <c r="Z167" s="70">
        <f>Z130*'ФОТ, МТР, макро'!BC$14</f>
        <v>0</v>
      </c>
      <c r="AA167" s="175"/>
    </row>
    <row r="168" spans="1:27" outlineLevel="1" x14ac:dyDescent="0.25">
      <c r="A168" s="36" t="str">
        <f t="shared" si="78"/>
        <v>Sunward SWDRT270SM</v>
      </c>
      <c r="B168" s="36"/>
      <c r="D168" s="17" t="str">
        <f>D132</f>
        <v>Долота</v>
      </c>
      <c r="E168" s="9" t="str">
        <f t="shared" si="289"/>
        <v>тыс. руб.</v>
      </c>
      <c r="F168" s="90"/>
      <c r="G168" s="70">
        <f>G132*'ФОТ, МТР, макро'!AJ$14</f>
        <v>0</v>
      </c>
      <c r="H168" s="70">
        <f>H132*'ФОТ, МТР, макро'!AK$14</f>
        <v>0</v>
      </c>
      <c r="I168" s="70">
        <f>I132*'ФОТ, МТР, макро'!AL$14</f>
        <v>0</v>
      </c>
      <c r="J168" s="70">
        <f>J132*'ФОТ, МТР, макро'!AM$14</f>
        <v>0</v>
      </c>
      <c r="K168" s="70">
        <f>K132*'ФОТ, МТР, макро'!AN$14</f>
        <v>0</v>
      </c>
      <c r="L168" s="70">
        <f>L132*'ФОТ, МТР, макро'!AO$14</f>
        <v>0</v>
      </c>
      <c r="M168" s="70">
        <f>M132*'ФОТ, МТР, макро'!AP$14</f>
        <v>0</v>
      </c>
      <c r="N168" s="70">
        <f>N132*'ФОТ, МТР, макро'!AQ$14</f>
        <v>0</v>
      </c>
      <c r="O168" s="70">
        <f>O132*'ФОТ, МТР, макро'!AR$14</f>
        <v>0</v>
      </c>
      <c r="P168" s="70">
        <f>P132*'ФОТ, МТР, макро'!AS$14</f>
        <v>0</v>
      </c>
      <c r="Q168" s="70">
        <f>Q132*'ФОТ, МТР, макро'!AT$14</f>
        <v>0</v>
      </c>
      <c r="R168" s="70">
        <f>R132*'ФОТ, МТР, макро'!AU$14</f>
        <v>0</v>
      </c>
      <c r="S168" s="70">
        <f>S132*'ФОТ, МТР, макро'!AV$14</f>
        <v>0</v>
      </c>
      <c r="T168" s="70">
        <f>T132*'ФОТ, МТР, макро'!AW$14</f>
        <v>0</v>
      </c>
      <c r="U168" s="70">
        <f>U132*'ФОТ, МТР, макро'!AX$14</f>
        <v>0</v>
      </c>
      <c r="V168" s="70">
        <f>V132*'ФОТ, МТР, макро'!AY$14</f>
        <v>0</v>
      </c>
      <c r="W168" s="70">
        <f>W132*'ФОТ, МТР, макро'!AZ$14</f>
        <v>0</v>
      </c>
      <c r="X168" s="70">
        <f>X132*'ФОТ, МТР, макро'!BA$14</f>
        <v>0</v>
      </c>
      <c r="Y168" s="70">
        <f>Y132*'ФОТ, МТР, макро'!BB$14</f>
        <v>0</v>
      </c>
      <c r="Z168" s="70">
        <f>Z132*'ФОТ, МТР, макро'!BC$14</f>
        <v>0</v>
      </c>
      <c r="AA168" s="175"/>
    </row>
    <row r="169" spans="1:27" outlineLevel="1" x14ac:dyDescent="0.25">
      <c r="A169" s="36" t="str">
        <f t="shared" si="78"/>
        <v>Sunward SWDRT270SM</v>
      </c>
      <c r="B169" s="36"/>
      <c r="D169" s="17" t="str">
        <f>D136</f>
        <v>Штанги буровые</v>
      </c>
      <c r="E169" s="9" t="str">
        <f t="shared" si="289"/>
        <v>тыс. руб.</v>
      </c>
      <c r="F169" s="90"/>
      <c r="G169" s="70">
        <f>G136*'ФОТ, МТР, макро'!AJ$14</f>
        <v>0</v>
      </c>
      <c r="H169" s="70">
        <f>H136*'ФОТ, МТР, макро'!AK$14</f>
        <v>0</v>
      </c>
      <c r="I169" s="70">
        <f>I136*'ФОТ, МТР, макро'!AL$14</f>
        <v>0</v>
      </c>
      <c r="J169" s="70">
        <f>J136*'ФОТ, МТР, макро'!AM$14</f>
        <v>0</v>
      </c>
      <c r="K169" s="70">
        <f>K136*'ФОТ, МТР, макро'!AN$14</f>
        <v>0</v>
      </c>
      <c r="L169" s="70">
        <f>L136*'ФОТ, МТР, макро'!AO$14</f>
        <v>0</v>
      </c>
      <c r="M169" s="70">
        <f>M136*'ФОТ, МТР, макро'!AP$14</f>
        <v>0</v>
      </c>
      <c r="N169" s="70">
        <f>N136*'ФОТ, МТР, макро'!AQ$14</f>
        <v>0</v>
      </c>
      <c r="O169" s="70">
        <f>O136*'ФОТ, МТР, макро'!AR$14</f>
        <v>0</v>
      </c>
      <c r="P169" s="70">
        <f>P136*'ФОТ, МТР, макро'!AS$14</f>
        <v>0</v>
      </c>
      <c r="Q169" s="70">
        <f>Q136*'ФОТ, МТР, макро'!AT$14</f>
        <v>0</v>
      </c>
      <c r="R169" s="70">
        <f>R136*'ФОТ, МТР, макро'!AU$14</f>
        <v>0</v>
      </c>
      <c r="S169" s="70">
        <f>S136*'ФОТ, МТР, макро'!AV$14</f>
        <v>0</v>
      </c>
      <c r="T169" s="70">
        <f>T136*'ФОТ, МТР, макро'!AW$14</f>
        <v>0</v>
      </c>
      <c r="U169" s="70">
        <f>U136*'ФОТ, МТР, макро'!AX$14</f>
        <v>0</v>
      </c>
      <c r="V169" s="70">
        <f>V136*'ФОТ, МТР, макро'!AY$14</f>
        <v>0</v>
      </c>
      <c r="W169" s="70">
        <f>W136*'ФОТ, МТР, макро'!AZ$14</f>
        <v>0</v>
      </c>
      <c r="X169" s="70">
        <f>X136*'ФОТ, МТР, макро'!BA$14</f>
        <v>0</v>
      </c>
      <c r="Y169" s="70">
        <f>Y136*'ФОТ, МТР, макро'!BB$14</f>
        <v>0</v>
      </c>
      <c r="Z169" s="70">
        <f>Z136*'ФОТ, МТР, макро'!BC$14</f>
        <v>0</v>
      </c>
      <c r="AA169" s="175"/>
    </row>
    <row r="170" spans="1:27" outlineLevel="1" x14ac:dyDescent="0.25">
      <c r="A170" s="36" t="str">
        <f t="shared" si="78"/>
        <v>Sunward SWDRT270SM</v>
      </c>
      <c r="B170" s="36"/>
      <c r="D170" s="17" t="str">
        <f>D140</f>
        <v>Расходники</v>
      </c>
      <c r="E170" s="9" t="str">
        <f t="shared" si="289"/>
        <v>тыс. руб.</v>
      </c>
      <c r="F170" s="90"/>
      <c r="G170" s="70">
        <f>G140*'ФОТ, МТР, макро'!AJ$14</f>
        <v>0</v>
      </c>
      <c r="H170" s="70">
        <f>H140*'ФОТ, МТР, макро'!AK$14</f>
        <v>0</v>
      </c>
      <c r="I170" s="70">
        <f>I140*'ФОТ, МТР, макро'!AL$14</f>
        <v>0</v>
      </c>
      <c r="J170" s="70">
        <f>J140*'ФОТ, МТР, макро'!AM$14</f>
        <v>0</v>
      </c>
      <c r="K170" s="70">
        <f>K140*'ФОТ, МТР, макро'!AN$14</f>
        <v>0</v>
      </c>
      <c r="L170" s="70">
        <f>L140*'ФОТ, МТР, макро'!AO$14</f>
        <v>0</v>
      </c>
      <c r="M170" s="70">
        <f>M140*'ФОТ, МТР, макро'!AP$14</f>
        <v>0</v>
      </c>
      <c r="N170" s="70">
        <f>N140*'ФОТ, МТР, макро'!AQ$14</f>
        <v>0</v>
      </c>
      <c r="O170" s="70">
        <f>O140*'ФОТ, МТР, макро'!AR$14</f>
        <v>0</v>
      </c>
      <c r="P170" s="70">
        <f>P140*'ФОТ, МТР, макро'!AS$14</f>
        <v>0</v>
      </c>
      <c r="Q170" s="70">
        <f>Q140*'ФОТ, МТР, макро'!AT$14</f>
        <v>0</v>
      </c>
      <c r="R170" s="70">
        <f>R140*'ФОТ, МТР, макро'!AU$14</f>
        <v>0</v>
      </c>
      <c r="S170" s="70">
        <f>S140*'ФОТ, МТР, макро'!AV$14</f>
        <v>0</v>
      </c>
      <c r="T170" s="70">
        <f>T140*'ФОТ, МТР, макро'!AW$14</f>
        <v>0</v>
      </c>
      <c r="U170" s="70">
        <f>U140*'ФОТ, МТР, макро'!AX$14</f>
        <v>0</v>
      </c>
      <c r="V170" s="70">
        <f>V140*'ФОТ, МТР, макро'!AY$14</f>
        <v>0</v>
      </c>
      <c r="W170" s="70">
        <f>W140*'ФОТ, МТР, макро'!AZ$14</f>
        <v>0</v>
      </c>
      <c r="X170" s="70">
        <f>X140*'ФОТ, МТР, макро'!BA$14</f>
        <v>0</v>
      </c>
      <c r="Y170" s="70">
        <f>Y140*'ФОТ, МТР, макро'!BB$14</f>
        <v>0</v>
      </c>
      <c r="Z170" s="70">
        <f>Z140*'ФОТ, МТР, макро'!BC$14</f>
        <v>0</v>
      </c>
      <c r="AA170" s="175"/>
    </row>
    <row r="171" spans="1:27" outlineLevel="1" x14ac:dyDescent="0.25">
      <c r="A171" s="36" t="str">
        <f t="shared" si="78"/>
        <v>Sunward SWDRT270SM</v>
      </c>
      <c r="B171" s="36"/>
      <c r="D171" s="17" t="str">
        <f>D142</f>
        <v>Топливо/Электроэнергия</v>
      </c>
      <c r="E171" s="9" t="str">
        <f t="shared" si="289"/>
        <v>тыс. руб.</v>
      </c>
      <c r="F171" s="90"/>
      <c r="G171" s="70">
        <f>G142*'ФОТ, МТР, макро'!AJ$14</f>
        <v>27185.806979706082</v>
      </c>
      <c r="H171" s="70">
        <f>H142*'ФОТ, МТР, макро'!AK$14</f>
        <v>23475.215986414431</v>
      </c>
      <c r="I171" s="70">
        <f>I142*'ФОТ, МТР, макро'!AL$14</f>
        <v>20476.157559449173</v>
      </c>
      <c r="J171" s="70">
        <f>J142*'ФОТ, МТР, макро'!AM$14</f>
        <v>18918.305505687811</v>
      </c>
      <c r="K171" s="70">
        <f>K142*'ФОТ, МТР, макро'!AN$14</f>
        <v>16709.195052283412</v>
      </c>
      <c r="L171" s="70">
        <f>L142*'ФОТ, МТР, макро'!AO$14</f>
        <v>14536.257873943037</v>
      </c>
      <c r="M171" s="70">
        <f>M142*'ФОТ, МТР, макро'!AP$14</f>
        <v>13269.218046287731</v>
      </c>
      <c r="N171" s="70">
        <f>N142*'ФОТ, МТР, макро'!AQ$14</f>
        <v>11893.274995076907</v>
      </c>
      <c r="O171" s="70">
        <f>O142*'ФОТ, МТР, макро'!AR$14</f>
        <v>10428.333521651974</v>
      </c>
      <c r="P171" s="70">
        <f>P142*'ФОТ, МТР, макро'!AS$14</f>
        <v>9359.6503406756638</v>
      </c>
      <c r="Q171" s="70">
        <f>Q142*'ФОТ, МТР, макро'!AT$14</f>
        <v>8356.8306613175555</v>
      </c>
      <c r="R171" s="70">
        <f>R142*'ФОТ, МТР, макро'!AU$14</f>
        <v>7461.4559476049599</v>
      </c>
      <c r="S171" s="70">
        <f>S142*'ФОТ, МТР, макро'!AV$14</f>
        <v>0</v>
      </c>
      <c r="T171" s="70">
        <f>T142*'ФОТ, МТР, макро'!AW$14</f>
        <v>0</v>
      </c>
      <c r="U171" s="70">
        <f>U142*'ФОТ, МТР, макро'!AX$14</f>
        <v>0</v>
      </c>
      <c r="V171" s="70">
        <f>V142*'ФОТ, МТР, макро'!AY$14</f>
        <v>0</v>
      </c>
      <c r="W171" s="70">
        <f>W142*'ФОТ, МТР, макро'!AZ$14</f>
        <v>0</v>
      </c>
      <c r="X171" s="70">
        <f>X142*'ФОТ, МТР, макро'!BA$14</f>
        <v>0</v>
      </c>
      <c r="Y171" s="70">
        <f>Y142*'ФОТ, МТР, макро'!BB$14</f>
        <v>0</v>
      </c>
      <c r="Z171" s="70">
        <f>Z142*'ФОТ, МТР, макро'!BC$14</f>
        <v>0</v>
      </c>
      <c r="AA171" s="175"/>
    </row>
    <row r="172" spans="1:27" outlineLevel="1" x14ac:dyDescent="0.25">
      <c r="A172" s="36" t="str">
        <f t="shared" si="78"/>
        <v>Sunward SWDRT270SM</v>
      </c>
      <c r="B172" s="36"/>
      <c r="D172" s="17" t="str">
        <f>D151</f>
        <v>Затраты на персонал</v>
      </c>
      <c r="E172" s="9" t="str">
        <f t="shared" si="289"/>
        <v>тыс. руб.</v>
      </c>
      <c r="F172" s="90"/>
      <c r="G172" s="70">
        <f>G151*'ФОТ, МТР, макро'!AJ$14</f>
        <v>14026.894744341158</v>
      </c>
      <c r="H172" s="70">
        <f>H151*'ФОТ, МТР, макро'!AK$14</f>
        <v>12524.013164590318</v>
      </c>
      <c r="I172" s="70">
        <f>I151*'ФОТ, МТР, макро'!AL$14</f>
        <v>11182.154611241354</v>
      </c>
      <c r="J172" s="70">
        <f>J151*'ФОТ, МТР, макро'!AM$14</f>
        <v>9984.0666171797802</v>
      </c>
      <c r="K172" s="70">
        <f>K151*'ФОТ, МТР, макро'!AN$14</f>
        <v>8914.345193910518</v>
      </c>
      <c r="L172" s="70">
        <f>L151*'ФОТ, МТР, макро'!AO$14</f>
        <v>7959.2367802772478</v>
      </c>
      <c r="M172" s="70">
        <f>M151*'ФОТ, МТР, макро'!AP$14</f>
        <v>7106.4614109618278</v>
      </c>
      <c r="N172" s="70">
        <f>N151*'ФОТ, МТР, макро'!AQ$14</f>
        <v>6345.0548312159171</v>
      </c>
      <c r="O172" s="70">
        <f>O151*'ФОТ, МТР, макро'!AR$14</f>
        <v>5665.2275278713541</v>
      </c>
      <c r="P172" s="70">
        <f>P151*'ФОТ, МТР, макро'!AS$14</f>
        <v>5058.2388641708521</v>
      </c>
      <c r="Q172" s="70">
        <f>Q151*'ФОТ, МТР, макро'!AT$14</f>
        <v>4516.2847001525461</v>
      </c>
      <c r="R172" s="70">
        <f>R151*'ФОТ, МТР, макро'!AU$14</f>
        <v>4032.3970537076302</v>
      </c>
      <c r="S172" s="70">
        <f>S151*'ФОТ, МТР, макро'!AV$14</f>
        <v>0</v>
      </c>
      <c r="T172" s="70">
        <f>T151*'ФОТ, МТР, макро'!AW$14</f>
        <v>0</v>
      </c>
      <c r="U172" s="70">
        <f>U151*'ФОТ, МТР, макро'!AX$14</f>
        <v>0</v>
      </c>
      <c r="V172" s="70">
        <f>V151*'ФОТ, МТР, макро'!AY$14</f>
        <v>0</v>
      </c>
      <c r="W172" s="70">
        <f>W151*'ФОТ, МТР, макро'!AZ$14</f>
        <v>0</v>
      </c>
      <c r="X172" s="70">
        <f>X151*'ФОТ, МТР, макро'!BA$14</f>
        <v>0</v>
      </c>
      <c r="Y172" s="70">
        <f>Y151*'ФОТ, МТР, макро'!BB$14</f>
        <v>0</v>
      </c>
      <c r="Z172" s="70">
        <f>Z151*'ФОТ, МТР, макро'!BC$14</f>
        <v>0</v>
      </c>
      <c r="AA172" s="175"/>
    </row>
    <row r="173" spans="1:27" outlineLevel="1" x14ac:dyDescent="0.25">
      <c r="A173" s="36" t="str">
        <f t="shared" si="78"/>
        <v>Sunward SWDRT270SM</v>
      </c>
      <c r="B173" s="36"/>
      <c r="D173" s="17" t="str">
        <f>D154</f>
        <v>Транспортный налог</v>
      </c>
      <c r="E173" s="9" t="str">
        <f t="shared" si="289"/>
        <v>тыс. руб.</v>
      </c>
      <c r="F173" s="90"/>
      <c r="G173" s="70">
        <f>G154*'ФОТ, МТР, макро'!AJ$14</f>
        <v>10.714285714285714</v>
      </c>
      <c r="H173" s="70">
        <f>H154*'ФОТ, МТР, макро'!AK$14</f>
        <v>9.5663265306122423</v>
      </c>
      <c r="I173" s="70">
        <f>I154*'ФОТ, МТР, макро'!AL$14</f>
        <v>8.5413629737609309</v>
      </c>
      <c r="J173" s="70">
        <f>J154*'ФОТ, МТР, макро'!AM$14</f>
        <v>7.6262169408579732</v>
      </c>
      <c r="K173" s="70">
        <f>K154*'ФОТ, МТР, макро'!AN$14</f>
        <v>6.8091222686231898</v>
      </c>
      <c r="L173" s="70">
        <f>L154*'ФОТ, МТР, макро'!AO$14</f>
        <v>6.0795734541278481</v>
      </c>
      <c r="M173" s="70">
        <f>M154*'ФОТ, МТР, макро'!AP$14</f>
        <v>5.4281905840427207</v>
      </c>
      <c r="N173" s="70">
        <f>N154*'ФОТ, МТР, макро'!AQ$14</f>
        <v>4.8465987357524289</v>
      </c>
      <c r="O173" s="70">
        <f>O154*'ФОТ, МТР, макро'!AR$14</f>
        <v>4.3273202997789539</v>
      </c>
      <c r="P173" s="70">
        <f>P154*'ФОТ, МТР, макро'!AS$14</f>
        <v>3.8636788390883519</v>
      </c>
      <c r="Q173" s="70">
        <f>Q154*'ФОТ, МТР, макро'!AT$14</f>
        <v>3.4497132491860283</v>
      </c>
      <c r="R173" s="70">
        <f>R154*'ФОТ, МТР, макро'!AU$14</f>
        <v>3.080101115344668</v>
      </c>
      <c r="S173" s="70">
        <f>S154*'ФОТ, МТР, макро'!AV$14</f>
        <v>0</v>
      </c>
      <c r="T173" s="70">
        <f>T154*'ФОТ, МТР, макро'!AW$14</f>
        <v>0</v>
      </c>
      <c r="U173" s="70">
        <f>U154*'ФОТ, МТР, макро'!AX$14</f>
        <v>0</v>
      </c>
      <c r="V173" s="70">
        <f>V154*'ФОТ, МТР, макро'!AY$14</f>
        <v>0</v>
      </c>
      <c r="W173" s="70">
        <f>W154*'ФОТ, МТР, макро'!AZ$14</f>
        <v>0</v>
      </c>
      <c r="X173" s="70">
        <f>X154*'ФОТ, МТР, макро'!BA$14</f>
        <v>0</v>
      </c>
      <c r="Y173" s="70">
        <f>Y154*'ФОТ, МТР, макро'!BB$14</f>
        <v>0</v>
      </c>
      <c r="Z173" s="70">
        <f>Z154*'ФОТ, МТР, макро'!BC$14</f>
        <v>0</v>
      </c>
      <c r="AA173" s="175"/>
    </row>
    <row r="174" spans="1:27" outlineLevel="1" x14ac:dyDescent="0.25">
      <c r="A174" s="36" t="str">
        <f t="shared" si="78"/>
        <v>Sunward SWDRT270SM</v>
      </c>
      <c r="B174" s="36"/>
      <c r="D174" s="17" t="str">
        <f>D159</f>
        <v>Налог на прибыль</v>
      </c>
      <c r="E174" s="9" t="str">
        <f t="shared" si="289"/>
        <v>тыс. руб.</v>
      </c>
      <c r="F174" s="90"/>
      <c r="G174" s="70">
        <f>G159*'ФОТ, МТР, макро'!AJ$14</f>
        <v>-17821.547389255855</v>
      </c>
      <c r="H174" s="70">
        <f>H159*'ФОТ, МТР, макро'!AK$14</f>
        <v>-20408.747519765406</v>
      </c>
      <c r="I174" s="70">
        <f>I159*'ФОТ, МТР, макро'!AL$14</f>
        <v>-18508.195531283178</v>
      </c>
      <c r="J174" s="70">
        <f>J159*'ФОТ, МТР, макро'!AM$14</f>
        <v>-14041.190605082507</v>
      </c>
      <c r="K174" s="70">
        <f>K159*'ФОТ, МТР, макро'!AN$14</f>
        <v>-14061.287901786221</v>
      </c>
      <c r="L174" s="70">
        <f>L159*'ФОТ, МТР, макро'!AO$14</f>
        <v>-13579.608010368893</v>
      </c>
      <c r="M174" s="70">
        <f>M159*'ФОТ, МТР, макро'!AP$14</f>
        <v>-9612.8594092715593</v>
      </c>
      <c r="N174" s="70">
        <f>N159*'ФОТ, МТР, макро'!AQ$14</f>
        <v>-10372.405831667276</v>
      </c>
      <c r="O174" s="70">
        <f>O159*'ФОТ, МТР, макро'!AR$14</f>
        <v>-8942.2317321343853</v>
      </c>
      <c r="P174" s="70">
        <f>P159*'ФОТ, МТР, макро'!AS$14</f>
        <v>-7057.4661418059059</v>
      </c>
      <c r="Q174" s="70">
        <f>Q159*'ФОТ, МТР, макро'!AT$14</f>
        <v>-7096.7441643812163</v>
      </c>
      <c r="R174" s="70">
        <f>R159*'ФОТ, МТР, макро'!AU$14</f>
        <v>-5034.8155300500803</v>
      </c>
      <c r="S174" s="70">
        <f>S159*'ФОТ, МТР, макро'!AV$14</f>
        <v>0</v>
      </c>
      <c r="T174" s="70">
        <f>T159*'ФОТ, МТР, макро'!AW$14</f>
        <v>0</v>
      </c>
      <c r="U174" s="70">
        <f>U159*'ФОТ, МТР, макро'!AX$14</f>
        <v>0</v>
      </c>
      <c r="V174" s="70">
        <f>V159*'ФОТ, МТР, макро'!AY$14</f>
        <v>0</v>
      </c>
      <c r="W174" s="70">
        <f>W159*'ФОТ, МТР, макро'!AZ$14</f>
        <v>0</v>
      </c>
      <c r="X174" s="70">
        <f>X159*'ФОТ, МТР, макро'!BA$14</f>
        <v>0</v>
      </c>
      <c r="Y174" s="70">
        <f>Y159*'ФОТ, МТР, макро'!BB$14</f>
        <v>0</v>
      </c>
      <c r="Z174" s="70">
        <f>Z159*'ФОТ, МТР, макро'!BC$14</f>
        <v>0</v>
      </c>
      <c r="AA174" s="175"/>
    </row>
    <row r="175" spans="1:27" outlineLevel="1" x14ac:dyDescent="0.25">
      <c r="A175" s="36" t="str">
        <f t="shared" si="78"/>
        <v>Sunward SWDRT270SM</v>
      </c>
      <c r="B175" s="36"/>
      <c r="D175" s="91" t="s">
        <v>67</v>
      </c>
      <c r="E175" s="9"/>
      <c r="F175" s="92"/>
      <c r="G175" s="93">
        <f>G165-SUM(G166:G174)</f>
        <v>0</v>
      </c>
      <c r="H175" s="93">
        <f t="shared" ref="H175:Z175" si="290">H165-SUM(H166:H174)</f>
        <v>0</v>
      </c>
      <c r="I175" s="93">
        <f t="shared" si="290"/>
        <v>0</v>
      </c>
      <c r="J175" s="93">
        <f t="shared" si="290"/>
        <v>0</v>
      </c>
      <c r="K175" s="93">
        <f t="shared" si="290"/>
        <v>0</v>
      </c>
      <c r="L175" s="93">
        <f t="shared" si="290"/>
        <v>0</v>
      </c>
      <c r="M175" s="93">
        <f t="shared" si="290"/>
        <v>0</v>
      </c>
      <c r="N175" s="93">
        <f t="shared" si="290"/>
        <v>0</v>
      </c>
      <c r="O175" s="93">
        <f t="shared" si="290"/>
        <v>0</v>
      </c>
      <c r="P175" s="93">
        <f t="shared" si="290"/>
        <v>0</v>
      </c>
      <c r="Q175" s="93">
        <f t="shared" si="290"/>
        <v>0</v>
      </c>
      <c r="R175" s="93">
        <f t="shared" si="290"/>
        <v>0</v>
      </c>
      <c r="S175" s="93">
        <f t="shared" si="290"/>
        <v>0</v>
      </c>
      <c r="T175" s="93">
        <f t="shared" si="290"/>
        <v>0</v>
      </c>
      <c r="U175" s="93">
        <f t="shared" si="290"/>
        <v>0</v>
      </c>
      <c r="V175" s="93">
        <f t="shared" si="290"/>
        <v>0</v>
      </c>
      <c r="W175" s="93">
        <f t="shared" si="290"/>
        <v>0</v>
      </c>
      <c r="X175" s="93">
        <f t="shared" si="290"/>
        <v>0</v>
      </c>
      <c r="Y175" s="93">
        <f t="shared" si="290"/>
        <v>0</v>
      </c>
      <c r="Z175" s="93">
        <f t="shared" si="290"/>
        <v>0</v>
      </c>
      <c r="AA175" s="175"/>
    </row>
    <row r="176" spans="1:27" ht="27.2" outlineLevel="1" x14ac:dyDescent="0.25">
      <c r="A176" s="36" t="str">
        <f t="shared" si="78"/>
        <v>Sunward SWDRT270SM</v>
      </c>
      <c r="B176" s="36"/>
      <c r="D176" s="94" t="s">
        <v>68</v>
      </c>
      <c r="E176" s="64" t="str">
        <f>E165</f>
        <v>тыс. руб.</v>
      </c>
      <c r="F176" s="65">
        <f>F165</f>
        <v>0</v>
      </c>
      <c r="G176" s="65">
        <f>F176+G165</f>
        <v>53464.642167767561</v>
      </c>
      <c r="H176" s="65">
        <f t="shared" ref="H176:H185" si="291">G176+H165</f>
        <v>114690.88472706379</v>
      </c>
      <c r="I176" s="65">
        <f t="shared" ref="I176:I185" si="292">H176+I165</f>
        <v>170215.47132091332</v>
      </c>
      <c r="J176" s="65">
        <f t="shared" ref="J176:J185" si="293">I176+J165</f>
        <v>212339.04313616085</v>
      </c>
      <c r="K176" s="65">
        <f t="shared" ref="K176:K185" si="294">J176+K165</f>
        <v>254522.90684151952</v>
      </c>
      <c r="L176" s="65">
        <f t="shared" ref="L176:L185" si="295">K176+L165</f>
        <v>295261.73087262618</v>
      </c>
      <c r="M176" s="65">
        <f t="shared" ref="M176:M185" si="296">L176+M165</f>
        <v>324100.30910044088</v>
      </c>
      <c r="N176" s="65">
        <f t="shared" ref="N176:N185" si="297">M176+N165</f>
        <v>355217.52659544273</v>
      </c>
      <c r="O176" s="65">
        <f t="shared" ref="O176:O185" si="298">N176+O165</f>
        <v>382044.22179184586</v>
      </c>
      <c r="P176" s="65">
        <f t="shared" ref="P176:P185" si="299">O176+P165</f>
        <v>403216.62021726358</v>
      </c>
      <c r="Q176" s="65">
        <f t="shared" ref="Q176:Q185" si="300">P176+Q165</f>
        <v>424506.85271040723</v>
      </c>
      <c r="R176" s="65">
        <f t="shared" ref="R176:R185" si="301">Q176+R165</f>
        <v>439611.29930055747</v>
      </c>
      <c r="S176" s="65">
        <f t="shared" ref="S176:S185" si="302">R176+S165</f>
        <v>439611.29930055747</v>
      </c>
      <c r="T176" s="65">
        <f t="shared" ref="T176:T185" si="303">S176+T165</f>
        <v>439611.29930055747</v>
      </c>
      <c r="U176" s="65">
        <f t="shared" ref="U176:U185" si="304">T176+U165</f>
        <v>439611.29930055747</v>
      </c>
      <c r="V176" s="65">
        <f t="shared" ref="V176:V185" si="305">U176+V165</f>
        <v>439611.29930055747</v>
      </c>
      <c r="W176" s="65">
        <f t="shared" ref="W176:W185" si="306">V176+W165</f>
        <v>439611.29930055747</v>
      </c>
      <c r="X176" s="65">
        <f t="shared" ref="X176:X185" si="307">W176+X165</f>
        <v>439611.29930055747</v>
      </c>
      <c r="Y176" s="65">
        <f t="shared" ref="Y176:Y185" si="308">X176+Y165</f>
        <v>439611.29930055747</v>
      </c>
      <c r="Z176" s="65">
        <f t="shared" ref="Z176:Z185" si="309">Y176+Z165</f>
        <v>439611.29930055747</v>
      </c>
      <c r="AA176" s="175"/>
    </row>
    <row r="177" spans="1:27" outlineLevel="1" x14ac:dyDescent="0.25">
      <c r="A177" s="36" t="str">
        <f t="shared" si="78"/>
        <v>Sunward SWDRT270SM</v>
      </c>
      <c r="B177" s="36"/>
      <c r="D177" s="201" t="str">
        <f>D166</f>
        <v>ТО, ТР, ППР</v>
      </c>
      <c r="E177" s="196" t="str">
        <f>E166</f>
        <v>тыс. руб.</v>
      </c>
      <c r="F177" s="83">
        <f>F166</f>
        <v>0</v>
      </c>
      <c r="G177" s="83">
        <f>F177+G166</f>
        <v>30062.773547261892</v>
      </c>
      <c r="H177" s="83">
        <f t="shared" si="291"/>
        <v>75688.968148788146</v>
      </c>
      <c r="I177" s="83">
        <f t="shared" si="292"/>
        <v>118054.89674025658</v>
      </c>
      <c r="J177" s="83">
        <f t="shared" si="293"/>
        <v>145309.66082077817</v>
      </c>
      <c r="K177" s="83">
        <f t="shared" si="294"/>
        <v>175924.46305946051</v>
      </c>
      <c r="L177" s="83">
        <f t="shared" si="295"/>
        <v>207741.32087326166</v>
      </c>
      <c r="M177" s="83">
        <f t="shared" si="296"/>
        <v>225811.6508625143</v>
      </c>
      <c r="N177" s="83">
        <f t="shared" si="297"/>
        <v>249058.09776415484</v>
      </c>
      <c r="O177" s="83">
        <f t="shared" si="298"/>
        <v>268729.13632286928</v>
      </c>
      <c r="P177" s="83">
        <f t="shared" si="299"/>
        <v>282537.24800640729</v>
      </c>
      <c r="Q177" s="83">
        <f t="shared" si="300"/>
        <v>298047.65958921285</v>
      </c>
      <c r="R177" s="83">
        <f t="shared" si="301"/>
        <v>306689.98860698525</v>
      </c>
      <c r="S177" s="83">
        <f t="shared" si="302"/>
        <v>306689.98860698525</v>
      </c>
      <c r="T177" s="83">
        <f t="shared" si="303"/>
        <v>306689.98860698525</v>
      </c>
      <c r="U177" s="83">
        <f t="shared" si="304"/>
        <v>306689.98860698525</v>
      </c>
      <c r="V177" s="83">
        <f t="shared" si="305"/>
        <v>306689.98860698525</v>
      </c>
      <c r="W177" s="83">
        <f t="shared" si="306"/>
        <v>306689.98860698525</v>
      </c>
      <c r="X177" s="83">
        <f t="shared" si="307"/>
        <v>306689.98860698525</v>
      </c>
      <c r="Y177" s="83">
        <f t="shared" si="308"/>
        <v>306689.98860698525</v>
      </c>
      <c r="Z177" s="83">
        <f t="shared" si="309"/>
        <v>306689.98860698525</v>
      </c>
      <c r="AA177" s="175"/>
    </row>
    <row r="178" spans="1:27" outlineLevel="1" x14ac:dyDescent="0.25">
      <c r="A178" s="36" t="str">
        <f t="shared" si="78"/>
        <v>Sunward SWDRT270SM</v>
      </c>
      <c r="B178" s="36"/>
      <c r="D178" s="201" t="str">
        <f t="shared" ref="D178:F178" si="310">D167</f>
        <v>Смазочные</v>
      </c>
      <c r="E178" s="196" t="str">
        <f t="shared" si="310"/>
        <v>тыс. руб.</v>
      </c>
      <c r="F178" s="83">
        <f t="shared" si="310"/>
        <v>0</v>
      </c>
      <c r="G178" s="83">
        <f t="shared" ref="G178:G185" si="311">F178+G167</f>
        <v>0</v>
      </c>
      <c r="H178" s="83">
        <f t="shared" si="291"/>
        <v>0</v>
      </c>
      <c r="I178" s="83">
        <f t="shared" si="292"/>
        <v>0</v>
      </c>
      <c r="J178" s="83">
        <f t="shared" si="293"/>
        <v>0</v>
      </c>
      <c r="K178" s="83">
        <f t="shared" si="294"/>
        <v>0</v>
      </c>
      <c r="L178" s="83">
        <f t="shared" si="295"/>
        <v>0</v>
      </c>
      <c r="M178" s="83">
        <f t="shared" si="296"/>
        <v>0</v>
      </c>
      <c r="N178" s="83">
        <f t="shared" si="297"/>
        <v>0</v>
      </c>
      <c r="O178" s="83">
        <f t="shared" si="298"/>
        <v>0</v>
      </c>
      <c r="P178" s="83">
        <f t="shared" si="299"/>
        <v>0</v>
      </c>
      <c r="Q178" s="83">
        <f t="shared" si="300"/>
        <v>0</v>
      </c>
      <c r="R178" s="83">
        <f t="shared" si="301"/>
        <v>0</v>
      </c>
      <c r="S178" s="83">
        <f t="shared" si="302"/>
        <v>0</v>
      </c>
      <c r="T178" s="83">
        <f t="shared" si="303"/>
        <v>0</v>
      </c>
      <c r="U178" s="83">
        <f t="shared" si="304"/>
        <v>0</v>
      </c>
      <c r="V178" s="83">
        <f t="shared" si="305"/>
        <v>0</v>
      </c>
      <c r="W178" s="83">
        <f t="shared" si="306"/>
        <v>0</v>
      </c>
      <c r="X178" s="83">
        <f t="shared" si="307"/>
        <v>0</v>
      </c>
      <c r="Y178" s="83">
        <f t="shared" si="308"/>
        <v>0</v>
      </c>
      <c r="Z178" s="83">
        <f t="shared" si="309"/>
        <v>0</v>
      </c>
      <c r="AA178" s="175"/>
    </row>
    <row r="179" spans="1:27" outlineLevel="1" x14ac:dyDescent="0.25">
      <c r="A179" s="36" t="str">
        <f t="shared" si="78"/>
        <v>Sunward SWDRT270SM</v>
      </c>
      <c r="B179" s="36"/>
      <c r="D179" s="201" t="str">
        <f t="shared" ref="D179:F179" si="312">D168</f>
        <v>Долота</v>
      </c>
      <c r="E179" s="196" t="str">
        <f t="shared" si="312"/>
        <v>тыс. руб.</v>
      </c>
      <c r="F179" s="83">
        <f t="shared" si="312"/>
        <v>0</v>
      </c>
      <c r="G179" s="83">
        <f t="shared" si="311"/>
        <v>0</v>
      </c>
      <c r="H179" s="83">
        <f t="shared" si="291"/>
        <v>0</v>
      </c>
      <c r="I179" s="83">
        <f t="shared" si="292"/>
        <v>0</v>
      </c>
      <c r="J179" s="83">
        <f t="shared" si="293"/>
        <v>0</v>
      </c>
      <c r="K179" s="83">
        <f t="shared" si="294"/>
        <v>0</v>
      </c>
      <c r="L179" s="83">
        <f t="shared" si="295"/>
        <v>0</v>
      </c>
      <c r="M179" s="83">
        <f t="shared" si="296"/>
        <v>0</v>
      </c>
      <c r="N179" s="83">
        <f t="shared" si="297"/>
        <v>0</v>
      </c>
      <c r="O179" s="83">
        <f t="shared" si="298"/>
        <v>0</v>
      </c>
      <c r="P179" s="83">
        <f t="shared" si="299"/>
        <v>0</v>
      </c>
      <c r="Q179" s="83">
        <f t="shared" si="300"/>
        <v>0</v>
      </c>
      <c r="R179" s="83">
        <f t="shared" si="301"/>
        <v>0</v>
      </c>
      <c r="S179" s="83">
        <f t="shared" si="302"/>
        <v>0</v>
      </c>
      <c r="T179" s="83">
        <f t="shared" si="303"/>
        <v>0</v>
      </c>
      <c r="U179" s="83">
        <f t="shared" si="304"/>
        <v>0</v>
      </c>
      <c r="V179" s="83">
        <f t="shared" si="305"/>
        <v>0</v>
      </c>
      <c r="W179" s="83">
        <f t="shared" si="306"/>
        <v>0</v>
      </c>
      <c r="X179" s="83">
        <f t="shared" si="307"/>
        <v>0</v>
      </c>
      <c r="Y179" s="83">
        <f t="shared" si="308"/>
        <v>0</v>
      </c>
      <c r="Z179" s="83">
        <f t="shared" si="309"/>
        <v>0</v>
      </c>
      <c r="AA179" s="175"/>
    </row>
    <row r="180" spans="1:27" outlineLevel="1" x14ac:dyDescent="0.25">
      <c r="A180" s="36" t="str">
        <f t="shared" si="78"/>
        <v>Sunward SWDRT270SM</v>
      </c>
      <c r="B180" s="36"/>
      <c r="D180" s="201" t="str">
        <f t="shared" ref="D180:F180" si="313">D169</f>
        <v>Штанги буровые</v>
      </c>
      <c r="E180" s="196" t="str">
        <f t="shared" si="313"/>
        <v>тыс. руб.</v>
      </c>
      <c r="F180" s="83">
        <f t="shared" si="313"/>
        <v>0</v>
      </c>
      <c r="G180" s="83">
        <f t="shared" si="311"/>
        <v>0</v>
      </c>
      <c r="H180" s="83">
        <f t="shared" si="291"/>
        <v>0</v>
      </c>
      <c r="I180" s="83">
        <f t="shared" si="292"/>
        <v>0</v>
      </c>
      <c r="J180" s="83">
        <f t="shared" si="293"/>
        <v>0</v>
      </c>
      <c r="K180" s="83">
        <f t="shared" si="294"/>
        <v>0</v>
      </c>
      <c r="L180" s="83">
        <f t="shared" si="295"/>
        <v>0</v>
      </c>
      <c r="M180" s="83">
        <f t="shared" si="296"/>
        <v>0</v>
      </c>
      <c r="N180" s="83">
        <f t="shared" si="297"/>
        <v>0</v>
      </c>
      <c r="O180" s="83">
        <f t="shared" si="298"/>
        <v>0</v>
      </c>
      <c r="P180" s="83">
        <f t="shared" si="299"/>
        <v>0</v>
      </c>
      <c r="Q180" s="83">
        <f t="shared" si="300"/>
        <v>0</v>
      </c>
      <c r="R180" s="83">
        <f t="shared" si="301"/>
        <v>0</v>
      </c>
      <c r="S180" s="83">
        <f t="shared" si="302"/>
        <v>0</v>
      </c>
      <c r="T180" s="83">
        <f t="shared" si="303"/>
        <v>0</v>
      </c>
      <c r="U180" s="83">
        <f t="shared" si="304"/>
        <v>0</v>
      </c>
      <c r="V180" s="83">
        <f t="shared" si="305"/>
        <v>0</v>
      </c>
      <c r="W180" s="83">
        <f t="shared" si="306"/>
        <v>0</v>
      </c>
      <c r="X180" s="83">
        <f t="shared" si="307"/>
        <v>0</v>
      </c>
      <c r="Y180" s="83">
        <f t="shared" si="308"/>
        <v>0</v>
      </c>
      <c r="Z180" s="83">
        <f t="shared" si="309"/>
        <v>0</v>
      </c>
      <c r="AA180" s="175"/>
    </row>
    <row r="181" spans="1:27" outlineLevel="1" x14ac:dyDescent="0.25">
      <c r="A181" s="36" t="str">
        <f t="shared" si="78"/>
        <v>Sunward SWDRT270SM</v>
      </c>
      <c r="B181" s="36"/>
      <c r="D181" s="201" t="str">
        <f t="shared" ref="D181:F181" si="314">D170</f>
        <v>Расходники</v>
      </c>
      <c r="E181" s="196" t="str">
        <f t="shared" si="314"/>
        <v>тыс. руб.</v>
      </c>
      <c r="F181" s="83">
        <f t="shared" si="314"/>
        <v>0</v>
      </c>
      <c r="G181" s="83">
        <f t="shared" si="311"/>
        <v>0</v>
      </c>
      <c r="H181" s="83">
        <f t="shared" si="291"/>
        <v>0</v>
      </c>
      <c r="I181" s="83">
        <f t="shared" si="292"/>
        <v>0</v>
      </c>
      <c r="J181" s="83">
        <f t="shared" si="293"/>
        <v>0</v>
      </c>
      <c r="K181" s="83">
        <f t="shared" si="294"/>
        <v>0</v>
      </c>
      <c r="L181" s="83">
        <f t="shared" si="295"/>
        <v>0</v>
      </c>
      <c r="M181" s="83">
        <f t="shared" si="296"/>
        <v>0</v>
      </c>
      <c r="N181" s="83">
        <f t="shared" si="297"/>
        <v>0</v>
      </c>
      <c r="O181" s="83">
        <f t="shared" si="298"/>
        <v>0</v>
      </c>
      <c r="P181" s="83">
        <f t="shared" si="299"/>
        <v>0</v>
      </c>
      <c r="Q181" s="83">
        <f t="shared" si="300"/>
        <v>0</v>
      </c>
      <c r="R181" s="83">
        <f t="shared" si="301"/>
        <v>0</v>
      </c>
      <c r="S181" s="83">
        <f t="shared" si="302"/>
        <v>0</v>
      </c>
      <c r="T181" s="83">
        <f t="shared" si="303"/>
        <v>0</v>
      </c>
      <c r="U181" s="83">
        <f t="shared" si="304"/>
        <v>0</v>
      </c>
      <c r="V181" s="83">
        <f t="shared" si="305"/>
        <v>0</v>
      </c>
      <c r="W181" s="83">
        <f t="shared" si="306"/>
        <v>0</v>
      </c>
      <c r="X181" s="83">
        <f t="shared" si="307"/>
        <v>0</v>
      </c>
      <c r="Y181" s="83">
        <f t="shared" si="308"/>
        <v>0</v>
      </c>
      <c r="Z181" s="83">
        <f t="shared" si="309"/>
        <v>0</v>
      </c>
      <c r="AA181" s="175"/>
    </row>
    <row r="182" spans="1:27" outlineLevel="1" x14ac:dyDescent="0.25">
      <c r="A182" s="36" t="str">
        <f t="shared" si="78"/>
        <v>Sunward SWDRT270SM</v>
      </c>
      <c r="B182" s="36"/>
      <c r="D182" s="201" t="str">
        <f t="shared" ref="D182:F182" si="315">D171</f>
        <v>Топливо/Электроэнергия</v>
      </c>
      <c r="E182" s="196" t="str">
        <f t="shared" si="315"/>
        <v>тыс. руб.</v>
      </c>
      <c r="F182" s="83">
        <f t="shared" si="315"/>
        <v>0</v>
      </c>
      <c r="G182" s="83">
        <f t="shared" si="311"/>
        <v>27185.806979706082</v>
      </c>
      <c r="H182" s="83">
        <f t="shared" si="291"/>
        <v>50661.022966120508</v>
      </c>
      <c r="I182" s="83">
        <f t="shared" si="292"/>
        <v>71137.180525569682</v>
      </c>
      <c r="J182" s="83">
        <f t="shared" si="293"/>
        <v>90055.486031257489</v>
      </c>
      <c r="K182" s="83">
        <f t="shared" si="294"/>
        <v>106764.6810835409</v>
      </c>
      <c r="L182" s="83">
        <f t="shared" si="295"/>
        <v>121300.93895748393</v>
      </c>
      <c r="M182" s="83">
        <f t="shared" si="296"/>
        <v>134570.15700377166</v>
      </c>
      <c r="N182" s="83">
        <f t="shared" si="297"/>
        <v>146463.43199884857</v>
      </c>
      <c r="O182" s="83">
        <f t="shared" si="298"/>
        <v>156891.76552050054</v>
      </c>
      <c r="P182" s="83">
        <f t="shared" si="299"/>
        <v>166251.41586117621</v>
      </c>
      <c r="Q182" s="83">
        <f t="shared" si="300"/>
        <v>174608.24652249378</v>
      </c>
      <c r="R182" s="83">
        <f t="shared" si="301"/>
        <v>182069.70247009874</v>
      </c>
      <c r="S182" s="83">
        <f t="shared" si="302"/>
        <v>182069.70247009874</v>
      </c>
      <c r="T182" s="83">
        <f t="shared" si="303"/>
        <v>182069.70247009874</v>
      </c>
      <c r="U182" s="83">
        <f t="shared" si="304"/>
        <v>182069.70247009874</v>
      </c>
      <c r="V182" s="83">
        <f t="shared" si="305"/>
        <v>182069.70247009874</v>
      </c>
      <c r="W182" s="83">
        <f t="shared" si="306"/>
        <v>182069.70247009874</v>
      </c>
      <c r="X182" s="83">
        <f t="shared" si="307"/>
        <v>182069.70247009874</v>
      </c>
      <c r="Y182" s="83">
        <f t="shared" si="308"/>
        <v>182069.70247009874</v>
      </c>
      <c r="Z182" s="83">
        <f t="shared" si="309"/>
        <v>182069.70247009874</v>
      </c>
      <c r="AA182" s="175"/>
    </row>
    <row r="183" spans="1:27" outlineLevel="1" x14ac:dyDescent="0.25">
      <c r="A183" s="36" t="str">
        <f t="shared" ref="A183:A221" si="316">A182</f>
        <v>Sunward SWDRT270SM</v>
      </c>
      <c r="B183" s="36"/>
      <c r="D183" s="201" t="str">
        <f t="shared" ref="D183:F183" si="317">D172</f>
        <v>Затраты на персонал</v>
      </c>
      <c r="E183" s="196" t="str">
        <f t="shared" si="317"/>
        <v>тыс. руб.</v>
      </c>
      <c r="F183" s="83">
        <f t="shared" si="317"/>
        <v>0</v>
      </c>
      <c r="G183" s="83">
        <f t="shared" si="311"/>
        <v>14026.894744341158</v>
      </c>
      <c r="H183" s="83">
        <f t="shared" si="291"/>
        <v>26550.907908931476</v>
      </c>
      <c r="I183" s="83">
        <f t="shared" si="292"/>
        <v>37733.062520172833</v>
      </c>
      <c r="J183" s="83">
        <f t="shared" si="293"/>
        <v>47717.129137352611</v>
      </c>
      <c r="K183" s="83">
        <f t="shared" si="294"/>
        <v>56631.474331263133</v>
      </c>
      <c r="L183" s="83">
        <f t="shared" si="295"/>
        <v>64590.711111540382</v>
      </c>
      <c r="M183" s="83">
        <f t="shared" si="296"/>
        <v>71697.172522502209</v>
      </c>
      <c r="N183" s="83">
        <f t="shared" si="297"/>
        <v>78042.227353718132</v>
      </c>
      <c r="O183" s="83">
        <f t="shared" si="298"/>
        <v>83707.454881589481</v>
      </c>
      <c r="P183" s="83">
        <f t="shared" si="299"/>
        <v>88765.693745760334</v>
      </c>
      <c r="Q183" s="83">
        <f t="shared" si="300"/>
        <v>93281.978445912886</v>
      </c>
      <c r="R183" s="83">
        <f t="shared" si="301"/>
        <v>97314.37549962051</v>
      </c>
      <c r="S183" s="83">
        <f t="shared" si="302"/>
        <v>97314.37549962051</v>
      </c>
      <c r="T183" s="83">
        <f t="shared" si="303"/>
        <v>97314.37549962051</v>
      </c>
      <c r="U183" s="83">
        <f t="shared" si="304"/>
        <v>97314.37549962051</v>
      </c>
      <c r="V183" s="83">
        <f t="shared" si="305"/>
        <v>97314.37549962051</v>
      </c>
      <c r="W183" s="83">
        <f t="shared" si="306"/>
        <v>97314.37549962051</v>
      </c>
      <c r="X183" s="83">
        <f t="shared" si="307"/>
        <v>97314.37549962051</v>
      </c>
      <c r="Y183" s="83">
        <f t="shared" si="308"/>
        <v>97314.37549962051</v>
      </c>
      <c r="Z183" s="83">
        <f t="shared" si="309"/>
        <v>97314.37549962051</v>
      </c>
      <c r="AA183" s="175"/>
    </row>
    <row r="184" spans="1:27" outlineLevel="1" x14ac:dyDescent="0.25">
      <c r="A184" s="36" t="str">
        <f t="shared" si="316"/>
        <v>Sunward SWDRT270SM</v>
      </c>
      <c r="B184" s="36"/>
      <c r="D184" s="201" t="str">
        <f t="shared" ref="D184:F184" si="318">D173</f>
        <v>Транспортный налог</v>
      </c>
      <c r="E184" s="196" t="str">
        <f t="shared" si="318"/>
        <v>тыс. руб.</v>
      </c>
      <c r="F184" s="83">
        <f t="shared" si="318"/>
        <v>0</v>
      </c>
      <c r="G184" s="83">
        <f t="shared" si="311"/>
        <v>10.714285714285714</v>
      </c>
      <c r="H184" s="83">
        <f t="shared" si="291"/>
        <v>20.280612244897956</v>
      </c>
      <c r="I184" s="83">
        <f t="shared" si="292"/>
        <v>28.821975218658885</v>
      </c>
      <c r="J184" s="83">
        <f t="shared" si="293"/>
        <v>36.448192159516857</v>
      </c>
      <c r="K184" s="83">
        <f t="shared" si="294"/>
        <v>43.257314428140049</v>
      </c>
      <c r="L184" s="83">
        <f t="shared" si="295"/>
        <v>49.336887882267895</v>
      </c>
      <c r="M184" s="83">
        <f t="shared" si="296"/>
        <v>54.765078466310612</v>
      </c>
      <c r="N184" s="83">
        <f t="shared" si="297"/>
        <v>59.611677202063042</v>
      </c>
      <c r="O184" s="83">
        <f t="shared" si="298"/>
        <v>63.938997501841996</v>
      </c>
      <c r="P184" s="83">
        <f t="shared" si="299"/>
        <v>67.802676340930347</v>
      </c>
      <c r="Q184" s="83">
        <f t="shared" si="300"/>
        <v>71.25238959011638</v>
      </c>
      <c r="R184" s="83">
        <f t="shared" si="301"/>
        <v>74.332490705461055</v>
      </c>
      <c r="S184" s="83">
        <f t="shared" si="302"/>
        <v>74.332490705461055</v>
      </c>
      <c r="T184" s="83">
        <f t="shared" si="303"/>
        <v>74.332490705461055</v>
      </c>
      <c r="U184" s="83">
        <f t="shared" si="304"/>
        <v>74.332490705461055</v>
      </c>
      <c r="V184" s="83">
        <f t="shared" si="305"/>
        <v>74.332490705461055</v>
      </c>
      <c r="W184" s="83">
        <f t="shared" si="306"/>
        <v>74.332490705461055</v>
      </c>
      <c r="X184" s="83">
        <f t="shared" si="307"/>
        <v>74.332490705461055</v>
      </c>
      <c r="Y184" s="83">
        <f t="shared" si="308"/>
        <v>74.332490705461055</v>
      </c>
      <c r="Z184" s="83">
        <f t="shared" si="309"/>
        <v>74.332490705461055</v>
      </c>
      <c r="AA184" s="175"/>
    </row>
    <row r="185" spans="1:27" outlineLevel="1" x14ac:dyDescent="0.25">
      <c r="A185" s="36" t="str">
        <f t="shared" si="316"/>
        <v>Sunward SWDRT270SM</v>
      </c>
      <c r="B185" s="36"/>
      <c r="D185" s="201" t="str">
        <f t="shared" ref="D185:F185" si="319">D174</f>
        <v>Налог на прибыль</v>
      </c>
      <c r="E185" s="196" t="str">
        <f t="shared" si="319"/>
        <v>тыс. руб.</v>
      </c>
      <c r="F185" s="83">
        <f t="shared" si="319"/>
        <v>0</v>
      </c>
      <c r="G185" s="83">
        <f t="shared" si="311"/>
        <v>-17821.547389255855</v>
      </c>
      <c r="H185" s="83">
        <f t="shared" si="291"/>
        <v>-38230.294909021264</v>
      </c>
      <c r="I185" s="83">
        <f t="shared" si="292"/>
        <v>-56738.490440304442</v>
      </c>
      <c r="J185" s="83">
        <f t="shared" si="293"/>
        <v>-70779.681045386955</v>
      </c>
      <c r="K185" s="83">
        <f t="shared" si="294"/>
        <v>-84840.968947173184</v>
      </c>
      <c r="L185" s="83">
        <f t="shared" si="295"/>
        <v>-98420.576957542071</v>
      </c>
      <c r="M185" s="83">
        <f t="shared" si="296"/>
        <v>-108033.43636681364</v>
      </c>
      <c r="N185" s="83">
        <f t="shared" si="297"/>
        <v>-118405.84219848091</v>
      </c>
      <c r="O185" s="83">
        <f t="shared" si="298"/>
        <v>-127348.0739306153</v>
      </c>
      <c r="P185" s="83">
        <f t="shared" si="299"/>
        <v>-134405.54007242119</v>
      </c>
      <c r="Q185" s="83">
        <f t="shared" si="300"/>
        <v>-141502.2842368024</v>
      </c>
      <c r="R185" s="83">
        <f t="shared" si="301"/>
        <v>-146537.09976685248</v>
      </c>
      <c r="S185" s="83">
        <f t="shared" si="302"/>
        <v>-146537.09976685248</v>
      </c>
      <c r="T185" s="83">
        <f t="shared" si="303"/>
        <v>-146537.09976685248</v>
      </c>
      <c r="U185" s="83">
        <f t="shared" si="304"/>
        <v>-146537.09976685248</v>
      </c>
      <c r="V185" s="83">
        <f t="shared" si="305"/>
        <v>-146537.09976685248</v>
      </c>
      <c r="W185" s="83">
        <f t="shared" si="306"/>
        <v>-146537.09976685248</v>
      </c>
      <c r="X185" s="83">
        <f t="shared" si="307"/>
        <v>-146537.09976685248</v>
      </c>
      <c r="Y185" s="83">
        <f t="shared" si="308"/>
        <v>-146537.09976685248</v>
      </c>
      <c r="Z185" s="83">
        <f t="shared" si="309"/>
        <v>-146537.09976685248</v>
      </c>
      <c r="AA185" s="175"/>
    </row>
    <row r="186" spans="1:27" outlineLevel="1" x14ac:dyDescent="0.25">
      <c r="A186" s="36" t="str">
        <f t="shared" si="316"/>
        <v>Sunward SWDRT270SM</v>
      </c>
      <c r="B186" s="36"/>
      <c r="D186" s="88"/>
      <c r="E186" s="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175"/>
    </row>
    <row r="187" spans="1:27" outlineLevel="1" x14ac:dyDescent="0.25">
      <c r="A187" s="36" t="str">
        <f t="shared" si="316"/>
        <v>Sunward SWDRT270SM</v>
      </c>
      <c r="B187" s="36"/>
      <c r="D187" s="63" t="s">
        <v>69</v>
      </c>
      <c r="E187" s="64" t="str">
        <f>E164</f>
        <v>тыс. руб.</v>
      </c>
      <c r="F187" s="65">
        <f>F161*'ФОТ, МТР, макро'!AI$14</f>
        <v>0</v>
      </c>
      <c r="G187" s="65">
        <f>G161*'ФОТ, МТР, макро'!AJ$14</f>
        <v>0</v>
      </c>
      <c r="H187" s="65">
        <f>H161*'ФОТ, МТР, макро'!AK$14</f>
        <v>0</v>
      </c>
      <c r="I187" s="65">
        <f>I161*'ФОТ, МТР, макро'!AL$14</f>
        <v>0</v>
      </c>
      <c r="J187" s="65">
        <f>J161*'ФОТ, МТР, макро'!AM$14</f>
        <v>0</v>
      </c>
      <c r="K187" s="65">
        <f>K161*'ФОТ, МТР, макро'!AN$14</f>
        <v>0</v>
      </c>
      <c r="L187" s="65">
        <f>L161*'ФОТ, МТР, макро'!AO$14</f>
        <v>0</v>
      </c>
      <c r="M187" s="65">
        <f>M161*'ФОТ, МТР, макро'!AP$14</f>
        <v>0</v>
      </c>
      <c r="N187" s="65">
        <f>N161*'ФОТ, МТР, макро'!AQ$14</f>
        <v>0</v>
      </c>
      <c r="O187" s="65">
        <f>O161*'ФОТ, МТР, макро'!AR$14</f>
        <v>0</v>
      </c>
      <c r="P187" s="65">
        <f>P161*'ФОТ, МТР, макро'!AS$14</f>
        <v>0</v>
      </c>
      <c r="Q187" s="65">
        <f>Q161*'ФОТ, МТР, макро'!AT$14</f>
        <v>0</v>
      </c>
      <c r="R187" s="65">
        <f>R161*'ФОТ, МТР, макро'!AU$14</f>
        <v>0</v>
      </c>
      <c r="S187" s="65">
        <f>S161*'ФОТ, МТР, макро'!AV$14</f>
        <v>0</v>
      </c>
      <c r="T187" s="65">
        <f>T161*'ФОТ, МТР, макро'!AW$14</f>
        <v>0</v>
      </c>
      <c r="U187" s="65">
        <f>U161*'ФОТ, МТР, макро'!AX$14</f>
        <v>0</v>
      </c>
      <c r="V187" s="65">
        <f>V161*'ФОТ, МТР, макро'!AY$14</f>
        <v>0</v>
      </c>
      <c r="W187" s="65">
        <f>W161*'ФОТ, МТР, макро'!AZ$14</f>
        <v>0</v>
      </c>
      <c r="X187" s="65">
        <f>X161*'ФОТ, МТР, макро'!BA$14</f>
        <v>0</v>
      </c>
      <c r="Y187" s="65">
        <f>Y161*'ФОТ, МТР, макро'!BB$14</f>
        <v>0</v>
      </c>
      <c r="Z187" s="65">
        <f>Z161*'ФОТ, МТР, макро'!BC$14</f>
        <v>0</v>
      </c>
      <c r="AA187" s="175"/>
    </row>
    <row r="188" spans="1:27" outlineLevel="1" x14ac:dyDescent="0.25">
      <c r="A188" s="36" t="str">
        <f t="shared" si="316"/>
        <v>Sunward SWDRT270SM</v>
      </c>
      <c r="B188" s="36"/>
      <c r="D188" s="88" t="str">
        <f>D162</f>
        <v>Буровой станок</v>
      </c>
      <c r="E188" s="9" t="str">
        <f>E187</f>
        <v>тыс. руб.</v>
      </c>
      <c r="F188" s="70">
        <f>F162*'ФОТ, МТР, макро'!AI$14</f>
        <v>0</v>
      </c>
      <c r="G188" s="70">
        <f>G162*'ФОТ, МТР, макро'!AJ$14</f>
        <v>0</v>
      </c>
      <c r="H188" s="70">
        <f>H162*'ФОТ, МТР, макро'!AK$14</f>
        <v>0</v>
      </c>
      <c r="I188" s="70">
        <f>I162*'ФОТ, МТР, макро'!AL$14</f>
        <v>0</v>
      </c>
      <c r="J188" s="70">
        <f>J162*'ФОТ, МТР, макро'!AM$14</f>
        <v>0</v>
      </c>
      <c r="K188" s="70">
        <f>K162*'ФОТ, МТР, макро'!AN$14</f>
        <v>0</v>
      </c>
      <c r="L188" s="70">
        <f>L162*'ФОТ, МТР, макро'!AO$14</f>
        <v>0</v>
      </c>
      <c r="M188" s="70">
        <f>M162*'ФОТ, МТР, макро'!AP$14</f>
        <v>0</v>
      </c>
      <c r="N188" s="70">
        <f>N162*'ФОТ, МТР, макро'!AQ$14</f>
        <v>0</v>
      </c>
      <c r="O188" s="70">
        <f>O162*'ФОТ, МТР, макро'!AR$14</f>
        <v>0</v>
      </c>
      <c r="P188" s="70">
        <f>P162*'ФОТ, МТР, макро'!AS$14</f>
        <v>0</v>
      </c>
      <c r="Q188" s="70">
        <f>Q162*'ФОТ, МТР, макро'!AT$14</f>
        <v>0</v>
      </c>
      <c r="R188" s="70">
        <f>R162*'ФОТ, МТР, макро'!AU$14</f>
        <v>0</v>
      </c>
      <c r="S188" s="70">
        <f>S162*'ФОТ, МТР, макро'!AV$14</f>
        <v>0</v>
      </c>
      <c r="T188" s="70">
        <f>T162*'ФОТ, МТР, макро'!AW$14</f>
        <v>0</v>
      </c>
      <c r="U188" s="70">
        <f>U162*'ФОТ, МТР, макро'!AX$14</f>
        <v>0</v>
      </c>
      <c r="V188" s="70">
        <f>V162*'ФОТ, МТР, макро'!AY$14</f>
        <v>0</v>
      </c>
      <c r="W188" s="70">
        <f>W162*'ФОТ, МТР, макро'!AZ$14</f>
        <v>0</v>
      </c>
      <c r="X188" s="70">
        <f>X162*'ФОТ, МТР, макро'!BA$14</f>
        <v>0</v>
      </c>
      <c r="Y188" s="70">
        <f>Y162*'ФОТ, МТР, макро'!BB$14</f>
        <v>0</v>
      </c>
      <c r="Z188" s="70">
        <f>Z162*'ФОТ, МТР, макро'!BC$14</f>
        <v>0</v>
      </c>
      <c r="AA188" s="175"/>
    </row>
    <row r="189" spans="1:27" outlineLevel="1" x14ac:dyDescent="0.25">
      <c r="A189" s="36" t="str">
        <f t="shared" si="316"/>
        <v>Sunward SWDRT270SM</v>
      </c>
      <c r="B189" s="36"/>
      <c r="D189" s="91" t="s">
        <v>67</v>
      </c>
      <c r="E189" s="9"/>
      <c r="F189" s="93">
        <f>F187-F188</f>
        <v>0</v>
      </c>
      <c r="G189" s="93">
        <f t="shared" ref="G189:Z189" si="320">G187-G188</f>
        <v>0</v>
      </c>
      <c r="H189" s="93">
        <f t="shared" si="320"/>
        <v>0</v>
      </c>
      <c r="I189" s="93">
        <f t="shared" si="320"/>
        <v>0</v>
      </c>
      <c r="J189" s="93">
        <f t="shared" si="320"/>
        <v>0</v>
      </c>
      <c r="K189" s="93">
        <f t="shared" si="320"/>
        <v>0</v>
      </c>
      <c r="L189" s="93">
        <f t="shared" si="320"/>
        <v>0</v>
      </c>
      <c r="M189" s="93">
        <f t="shared" si="320"/>
        <v>0</v>
      </c>
      <c r="N189" s="93">
        <f t="shared" si="320"/>
        <v>0</v>
      </c>
      <c r="O189" s="93">
        <f t="shared" si="320"/>
        <v>0</v>
      </c>
      <c r="P189" s="93">
        <f t="shared" si="320"/>
        <v>0</v>
      </c>
      <c r="Q189" s="93">
        <f t="shared" si="320"/>
        <v>0</v>
      </c>
      <c r="R189" s="93">
        <f t="shared" si="320"/>
        <v>0</v>
      </c>
      <c r="S189" s="93">
        <f t="shared" si="320"/>
        <v>0</v>
      </c>
      <c r="T189" s="93">
        <f t="shared" si="320"/>
        <v>0</v>
      </c>
      <c r="U189" s="93">
        <f t="shared" si="320"/>
        <v>0</v>
      </c>
      <c r="V189" s="93">
        <f t="shared" si="320"/>
        <v>0</v>
      </c>
      <c r="W189" s="93">
        <f t="shared" si="320"/>
        <v>0</v>
      </c>
      <c r="X189" s="93">
        <f t="shared" si="320"/>
        <v>0</v>
      </c>
      <c r="Y189" s="93">
        <f t="shared" si="320"/>
        <v>0</v>
      </c>
      <c r="Z189" s="93">
        <f t="shared" si="320"/>
        <v>0</v>
      </c>
      <c r="AA189" s="175"/>
    </row>
    <row r="190" spans="1:27" outlineLevel="1" x14ac:dyDescent="0.25">
      <c r="A190" s="36" t="str">
        <f t="shared" si="316"/>
        <v>Sunward SWDRT270SM</v>
      </c>
      <c r="B190" s="36"/>
      <c r="D190" s="94" t="s">
        <v>70</v>
      </c>
      <c r="E190" s="64" t="str">
        <f>E187</f>
        <v>тыс. руб.</v>
      </c>
      <c r="F190" s="65">
        <f>F187</f>
        <v>0</v>
      </c>
      <c r="G190" s="65">
        <f>F190+G187</f>
        <v>0</v>
      </c>
      <c r="H190" s="65">
        <f t="shared" ref="H190:H191" si="321">G190+H187</f>
        <v>0</v>
      </c>
      <c r="I190" s="65">
        <f t="shared" ref="I190:I191" si="322">H190+I187</f>
        <v>0</v>
      </c>
      <c r="J190" s="65">
        <f t="shared" ref="J190:J191" si="323">I190+J187</f>
        <v>0</v>
      </c>
      <c r="K190" s="65">
        <f t="shared" ref="K190:K191" si="324">J190+K187</f>
        <v>0</v>
      </c>
      <c r="L190" s="65">
        <f t="shared" ref="L190:L191" si="325">K190+L187</f>
        <v>0</v>
      </c>
      <c r="M190" s="65">
        <f t="shared" ref="M190:M191" si="326">L190+M187</f>
        <v>0</v>
      </c>
      <c r="N190" s="65">
        <f t="shared" ref="N190:N191" si="327">M190+N187</f>
        <v>0</v>
      </c>
      <c r="O190" s="65">
        <f t="shared" ref="O190:O191" si="328">N190+O187</f>
        <v>0</v>
      </c>
      <c r="P190" s="65">
        <f t="shared" ref="P190:P191" si="329">O190+P187</f>
        <v>0</v>
      </c>
      <c r="Q190" s="65">
        <f t="shared" ref="Q190:Q191" si="330">P190+Q187</f>
        <v>0</v>
      </c>
      <c r="R190" s="65">
        <f t="shared" ref="R190:R191" si="331">Q190+R187</f>
        <v>0</v>
      </c>
      <c r="S190" s="65">
        <f t="shared" ref="S190:S191" si="332">R190+S187</f>
        <v>0</v>
      </c>
      <c r="T190" s="65">
        <f t="shared" ref="T190:T191" si="333">S190+T187</f>
        <v>0</v>
      </c>
      <c r="U190" s="65">
        <f t="shared" ref="U190:U191" si="334">T190+U187</f>
        <v>0</v>
      </c>
      <c r="V190" s="65">
        <f t="shared" ref="V190:V191" si="335">U190+V187</f>
        <v>0</v>
      </c>
      <c r="W190" s="65">
        <f t="shared" ref="W190:W191" si="336">V190+W187</f>
        <v>0</v>
      </c>
      <c r="X190" s="65">
        <f t="shared" ref="X190:X191" si="337">W190+X187</f>
        <v>0</v>
      </c>
      <c r="Y190" s="65">
        <f t="shared" ref="Y190:Y191" si="338">X190+Y187</f>
        <v>0</v>
      </c>
      <c r="Z190" s="65">
        <f t="shared" ref="Z190:Z191" si="339">Y190+Z187</f>
        <v>0</v>
      </c>
      <c r="AA190" s="175"/>
    </row>
    <row r="191" spans="1:27" outlineLevel="1" x14ac:dyDescent="0.25">
      <c r="A191" s="36" t="str">
        <f t="shared" si="316"/>
        <v>Sunward SWDRT270SM</v>
      </c>
      <c r="B191" s="36"/>
      <c r="D191" s="88" t="str">
        <f>D188</f>
        <v>Буровой станок</v>
      </c>
      <c r="E191" s="9" t="str">
        <f>E188</f>
        <v>тыс. руб.</v>
      </c>
      <c r="F191" s="70">
        <f>F188</f>
        <v>0</v>
      </c>
      <c r="G191" s="70">
        <f>F191+G188</f>
        <v>0</v>
      </c>
      <c r="H191" s="70">
        <f t="shared" si="321"/>
        <v>0</v>
      </c>
      <c r="I191" s="70">
        <f t="shared" si="322"/>
        <v>0</v>
      </c>
      <c r="J191" s="70">
        <f t="shared" si="323"/>
        <v>0</v>
      </c>
      <c r="K191" s="70">
        <f t="shared" si="324"/>
        <v>0</v>
      </c>
      <c r="L191" s="70">
        <f t="shared" si="325"/>
        <v>0</v>
      </c>
      <c r="M191" s="70">
        <f t="shared" si="326"/>
        <v>0</v>
      </c>
      <c r="N191" s="70">
        <f t="shared" si="327"/>
        <v>0</v>
      </c>
      <c r="O191" s="70">
        <f t="shared" si="328"/>
        <v>0</v>
      </c>
      <c r="P191" s="70">
        <f t="shared" si="329"/>
        <v>0</v>
      </c>
      <c r="Q191" s="70">
        <f t="shared" si="330"/>
        <v>0</v>
      </c>
      <c r="R191" s="70">
        <f t="shared" si="331"/>
        <v>0</v>
      </c>
      <c r="S191" s="70">
        <f t="shared" si="332"/>
        <v>0</v>
      </c>
      <c r="T191" s="70">
        <f t="shared" si="333"/>
        <v>0</v>
      </c>
      <c r="U191" s="70">
        <f t="shared" si="334"/>
        <v>0</v>
      </c>
      <c r="V191" s="70">
        <f t="shared" si="335"/>
        <v>0</v>
      </c>
      <c r="W191" s="70">
        <f t="shared" si="336"/>
        <v>0</v>
      </c>
      <c r="X191" s="70">
        <f t="shared" si="337"/>
        <v>0</v>
      </c>
      <c r="Y191" s="70">
        <f t="shared" si="338"/>
        <v>0</v>
      </c>
      <c r="Z191" s="70">
        <f t="shared" si="339"/>
        <v>0</v>
      </c>
      <c r="AA191" s="175"/>
    </row>
    <row r="192" spans="1:27" outlineLevel="1" x14ac:dyDescent="0.25">
      <c r="A192" s="36" t="str">
        <f t="shared" si="316"/>
        <v>Sunward SWDRT270SM</v>
      </c>
      <c r="B192" s="36"/>
      <c r="D192" s="88"/>
      <c r="E192" s="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175"/>
    </row>
    <row r="193" spans="1:29" outlineLevel="1" x14ac:dyDescent="0.25">
      <c r="A193" s="36" t="str">
        <f t="shared" si="316"/>
        <v>Sunward SWDRT270SM</v>
      </c>
      <c r="B193" s="36"/>
      <c r="D193" s="63" t="s">
        <v>71</v>
      </c>
      <c r="E193" s="64" t="str">
        <f>E164</f>
        <v>тыс. руб.</v>
      </c>
      <c r="F193" s="65">
        <f>F164*'ФОТ, МТР, макро'!AI$14</f>
        <v>0</v>
      </c>
      <c r="G193" s="65">
        <f>G164*'ФОТ, МТР, макро'!AJ$14</f>
        <v>53464.642167767561</v>
      </c>
      <c r="H193" s="65">
        <f>H164*'ФОТ, МТР, макро'!AK$14</f>
        <v>61226.242559296224</v>
      </c>
      <c r="I193" s="65">
        <f>I164*'ФОТ, МТР, макро'!AL$14</f>
        <v>55524.586593849534</v>
      </c>
      <c r="J193" s="65">
        <f>J164*'ФОТ, МТР, макро'!AM$14</f>
        <v>42123.571815247524</v>
      </c>
      <c r="K193" s="65">
        <f>K164*'ФОТ, МТР, макро'!AN$14</f>
        <v>42183.863705358664</v>
      </c>
      <c r="L193" s="65">
        <f>L164*'ФОТ, МТР, макро'!AO$14</f>
        <v>40738.824031106677</v>
      </c>
      <c r="M193" s="65">
        <f>M164*'ФОТ, МТР, макро'!AP$14</f>
        <v>28838.578227814676</v>
      </c>
      <c r="N193" s="65">
        <f>N164*'ФОТ, МТР, макро'!AQ$14</f>
        <v>31117.217495001831</v>
      </c>
      <c r="O193" s="65">
        <f>O164*'ФОТ, МТР, макро'!AR$14</f>
        <v>26826.695196403154</v>
      </c>
      <c r="P193" s="65">
        <f>P164*'ФОТ, МТР, макро'!AS$14</f>
        <v>21172.398425417719</v>
      </c>
      <c r="Q193" s="65">
        <f>Q164*'ФОТ, МТР, макро'!AT$14</f>
        <v>21290.232493143649</v>
      </c>
      <c r="R193" s="65">
        <f>R164*'ФОТ, МТР, макро'!AU$14</f>
        <v>15104.446590150241</v>
      </c>
      <c r="S193" s="65">
        <f>S164*'ФОТ, МТР, макро'!AV$14</f>
        <v>0</v>
      </c>
      <c r="T193" s="65">
        <f>T164*'ФОТ, МТР, макро'!AW$14</f>
        <v>0</v>
      </c>
      <c r="U193" s="65">
        <f>U164*'ФОТ, МТР, макро'!AX$14</f>
        <v>0</v>
      </c>
      <c r="V193" s="65">
        <f>V164*'ФОТ, МТР, макро'!AY$14</f>
        <v>0</v>
      </c>
      <c r="W193" s="65">
        <f>W164*'ФОТ, МТР, макро'!AZ$14</f>
        <v>0</v>
      </c>
      <c r="X193" s="65">
        <f>X164*'ФОТ, МТР, макро'!BA$14</f>
        <v>0</v>
      </c>
      <c r="Y193" s="65">
        <f>Y164*'ФОТ, МТР, макро'!BB$14</f>
        <v>0</v>
      </c>
      <c r="Z193" s="65">
        <f>Z164*'ФОТ, МТР, макро'!BC$14</f>
        <v>0</v>
      </c>
      <c r="AA193" s="175"/>
    </row>
    <row r="194" spans="1:29" outlineLevel="1" x14ac:dyDescent="0.25">
      <c r="A194" s="36" t="str">
        <f t="shared" si="316"/>
        <v>Sunward SWDRT270SM</v>
      </c>
      <c r="B194" s="36"/>
      <c r="D194" s="94" t="s">
        <v>72</v>
      </c>
      <c r="E194" s="64" t="str">
        <f>E193</f>
        <v>тыс. руб.</v>
      </c>
      <c r="F194" s="65">
        <f>F193</f>
        <v>0</v>
      </c>
      <c r="G194" s="65">
        <f>F194+G193</f>
        <v>53464.642167767561</v>
      </c>
      <c r="H194" s="65">
        <f t="shared" ref="H194" si="340">G194+H193</f>
        <v>114690.88472706379</v>
      </c>
      <c r="I194" s="65">
        <f t="shared" ref="I194" si="341">H194+I193</f>
        <v>170215.47132091332</v>
      </c>
      <c r="J194" s="65">
        <f t="shared" ref="J194" si="342">I194+J193</f>
        <v>212339.04313616085</v>
      </c>
      <c r="K194" s="65">
        <f t="shared" ref="K194" si="343">J194+K193</f>
        <v>254522.90684151952</v>
      </c>
      <c r="L194" s="65">
        <f t="shared" ref="L194" si="344">K194+L193</f>
        <v>295261.73087262618</v>
      </c>
      <c r="M194" s="65">
        <f t="shared" ref="M194" si="345">L194+M193</f>
        <v>324100.30910044088</v>
      </c>
      <c r="N194" s="65">
        <f t="shared" ref="N194" si="346">M194+N193</f>
        <v>355217.52659544273</v>
      </c>
      <c r="O194" s="65">
        <f t="shared" ref="O194" si="347">N194+O193</f>
        <v>382044.22179184586</v>
      </c>
      <c r="P194" s="65">
        <f t="shared" ref="P194" si="348">O194+P193</f>
        <v>403216.62021726358</v>
      </c>
      <c r="Q194" s="65">
        <f t="shared" ref="Q194" si="349">P194+Q193</f>
        <v>424506.85271040723</v>
      </c>
      <c r="R194" s="65">
        <f t="shared" ref="R194" si="350">Q194+R193</f>
        <v>439611.29930055747</v>
      </c>
      <c r="S194" s="65">
        <f t="shared" ref="S194" si="351">R194+S193</f>
        <v>439611.29930055747</v>
      </c>
      <c r="T194" s="65">
        <f t="shared" ref="T194" si="352">S194+T193</f>
        <v>439611.29930055747</v>
      </c>
      <c r="U194" s="65">
        <f t="shared" ref="U194" si="353">T194+U193</f>
        <v>439611.29930055747</v>
      </c>
      <c r="V194" s="65">
        <f t="shared" ref="V194" si="354">U194+V193</f>
        <v>439611.29930055747</v>
      </c>
      <c r="W194" s="65">
        <f t="shared" ref="W194" si="355">V194+W193</f>
        <v>439611.29930055747</v>
      </c>
      <c r="X194" s="65">
        <f t="shared" ref="X194" si="356">W194+X193</f>
        <v>439611.29930055747</v>
      </c>
      <c r="Y194" s="65">
        <f t="shared" ref="Y194" si="357">X194+Y193</f>
        <v>439611.29930055747</v>
      </c>
      <c r="Z194" s="65">
        <f t="shared" ref="Z194" si="358">Y194+Z193</f>
        <v>439611.29930055747</v>
      </c>
      <c r="AA194" s="175"/>
    </row>
    <row r="195" spans="1:29" outlineLevel="1" x14ac:dyDescent="0.25">
      <c r="A195" s="36" t="str">
        <f t="shared" si="316"/>
        <v>Sunward SWDRT270SM</v>
      </c>
      <c r="B195" s="36"/>
      <c r="D195" s="88"/>
      <c r="E195" s="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175"/>
    </row>
    <row r="196" spans="1:29" outlineLevel="1" x14ac:dyDescent="0.25">
      <c r="A196" s="36" t="str">
        <f t="shared" si="316"/>
        <v>Sunward SWDRT270SM</v>
      </c>
      <c r="B196" s="36" t="str">
        <f>D196</f>
        <v>Аннуитет операционный</v>
      </c>
      <c r="C196" s="57">
        <f>E115</f>
        <v>12</v>
      </c>
      <c r="D196" s="95" t="s">
        <v>73</v>
      </c>
      <c r="E196" s="96" t="s">
        <v>207</v>
      </c>
      <c r="F196" s="97"/>
      <c r="G196" s="98">
        <f>G176/'ФОТ, МТР, макро'!AJ$15/(G122/G117)</f>
        <v>9.5324471742551928</v>
      </c>
      <c r="H196" s="98">
        <f>H176/'ФОТ, МТР, макро'!AK$15/(H122/H117)</f>
        <v>11.08304126554723</v>
      </c>
      <c r="I196" s="98">
        <f>I176/'ФОТ, МТР, макро'!AL$15/(I122/I117)</f>
        <v>11.991028074264657</v>
      </c>
      <c r="J196" s="98">
        <f>J176/'ФОТ, МТР, макро'!AM$15/(J122/J117)</f>
        <v>11.756671118153964</v>
      </c>
      <c r="K196" s="98">
        <f>K176/'ФОТ, МТР, макро'!AN$15/(K122/K117)</f>
        <v>11.828367453143928</v>
      </c>
      <c r="L196" s="98">
        <f>L176/'ФОТ, МТР, макро'!AO$15/(L122/L117)</f>
        <v>12.246134816684993</v>
      </c>
      <c r="M196" s="98">
        <f>M176/'ФОТ, МТР, макро'!AP$15/(M122/M117)</f>
        <v>12.212105731205167</v>
      </c>
      <c r="N196" s="98">
        <f>N176/'ФОТ, МТР, макро'!AQ$15/(N122/N117)</f>
        <v>12.205136840839092</v>
      </c>
      <c r="O196" s="98">
        <f>O176/'ФОТ, МТР, макро'!AR$15/(O122/O117)</f>
        <v>12.294335941740746</v>
      </c>
      <c r="P196" s="98">
        <f>P176/'ФОТ, МТР, макро'!AS$15/(P122/P117)</f>
        <v>12.304284216783701</v>
      </c>
      <c r="Q196" s="98">
        <f>Q176/'ФОТ, МТР, макро'!AT$15/(Q122/Q117)</f>
        <v>12.264695499825022</v>
      </c>
      <c r="R196" s="98">
        <f>R176/'ФОТ, МТР, макро'!AU$15/(R122/R117)</f>
        <v>12.086587766869194</v>
      </c>
      <c r="S196" s="98" t="e">
        <f>S176/'ФОТ, МТР, макро'!AV$15/(S122/S117)</f>
        <v>#DIV/0!</v>
      </c>
      <c r="T196" s="98" t="e">
        <f>T176/'ФОТ, МТР, макро'!AW$15/(T122/T117)</f>
        <v>#DIV/0!</v>
      </c>
      <c r="U196" s="98" t="e">
        <f>U176/'ФОТ, МТР, макро'!AX$15/(U122/U117)</f>
        <v>#DIV/0!</v>
      </c>
      <c r="V196" s="98" t="e">
        <f>V176/'ФОТ, МТР, макро'!AY$15/(V122/V117)</f>
        <v>#DIV/0!</v>
      </c>
      <c r="W196" s="98" t="e">
        <f>W176/'ФОТ, МТР, макро'!AZ$15/(W122/W117)</f>
        <v>#DIV/0!</v>
      </c>
      <c r="X196" s="98" t="e">
        <f>X176/'ФОТ, МТР, макро'!BA$15/(X122/X117)</f>
        <v>#DIV/0!</v>
      </c>
      <c r="Y196" s="98" t="e">
        <f>Y176/'ФОТ, МТР, макро'!BB$15/(Y122/Y117)</f>
        <v>#DIV/0!</v>
      </c>
      <c r="Z196" s="98" t="e">
        <f>Z176/'ФОТ, МТР, макро'!BC$15/(Z122/Z117)</f>
        <v>#DIV/0!</v>
      </c>
      <c r="AA196" s="175"/>
      <c r="AC196" s="99" cm="1">
        <f t="array" ref="AC196">INDEX(G196:Z196,1,$C196)</f>
        <v>12.086587766869194</v>
      </c>
    </row>
    <row r="197" spans="1:29" outlineLevel="1" x14ac:dyDescent="0.25">
      <c r="A197" s="36" t="str">
        <f t="shared" si="316"/>
        <v>Sunward SWDRT270SM</v>
      </c>
      <c r="B197" s="36" t="str">
        <f t="shared" ref="B197:B208" si="359">D197</f>
        <v>ТО, ТР, ППР</v>
      </c>
      <c r="C197" s="36">
        <f>C196</f>
        <v>12</v>
      </c>
      <c r="D197" s="100" t="str">
        <f>D177</f>
        <v>ТО, ТР, ППР</v>
      </c>
      <c r="E197" s="101" t="str">
        <f>E196</f>
        <v>руб/м3</v>
      </c>
      <c r="F197" s="102"/>
      <c r="G197" s="103">
        <f>G177/'ФОТ, МТР, макро'!AJ$15/(G122/G117)</f>
        <v>5.3600246654907391</v>
      </c>
      <c r="H197" s="103">
        <f>H177/'ФОТ, МТР, макро'!AK$15/(H122/H117)</f>
        <v>7.314129273097854</v>
      </c>
      <c r="I197" s="103">
        <f>I177/'ФОТ, МТР, макро'!AL$15/(I122/I117)</f>
        <v>8.3165153562801066</v>
      </c>
      <c r="J197" s="103">
        <f>J177/'ФОТ, МТР, макро'!AM$15/(J122/J117)</f>
        <v>8.0454252186910313</v>
      </c>
      <c r="K197" s="103">
        <f>K177/'ФОТ, МТР, макро'!AN$15/(K122/K117)</f>
        <v>8.1756853199858774</v>
      </c>
      <c r="L197" s="103">
        <f>L177/'ФОТ, МТР, макро'!AO$15/(L122/L117)</f>
        <v>8.6161800071125842</v>
      </c>
      <c r="M197" s="103">
        <f>M177/'ФОТ, МТР, макро'!AP$15/(M122/M117)</f>
        <v>8.5085872436375887</v>
      </c>
      <c r="N197" s="103">
        <f>N177/'ФОТ, МТР, макро'!AQ$15/(N122/N117)</f>
        <v>8.5575399211441638</v>
      </c>
      <c r="O197" s="103">
        <f>O177/'ФОТ, МТР, макро'!AR$15/(O122/O117)</f>
        <v>8.6478111455047149</v>
      </c>
      <c r="P197" s="103">
        <f>P177/'ФОТ, МТР, макро'!AS$15/(P122/P117)</f>
        <v>8.6217145499249384</v>
      </c>
      <c r="Q197" s="103">
        <f>Q177/'ФОТ, МТР, макро'!AT$15/(Q122/Q117)</f>
        <v>8.611083109630993</v>
      </c>
      <c r="R197" s="103">
        <f>R177/'ФОТ, МТР, макро'!AU$15/(R122/R117)</f>
        <v>8.4320750408740448</v>
      </c>
      <c r="S197" s="103" t="e">
        <f>S177/'ФОТ, МТР, макро'!AV$15/(S122/S117)</f>
        <v>#DIV/0!</v>
      </c>
      <c r="T197" s="103" t="e">
        <f>T177/'ФОТ, МТР, макро'!AW$15/(T122/T117)</f>
        <v>#DIV/0!</v>
      </c>
      <c r="U197" s="103" t="e">
        <f>U177/'ФОТ, МТР, макро'!AX$15/(U122/U117)</f>
        <v>#DIV/0!</v>
      </c>
      <c r="V197" s="103" t="e">
        <f>V177/'ФОТ, МТР, макро'!AY$15/(V122/V117)</f>
        <v>#DIV/0!</v>
      </c>
      <c r="W197" s="103" t="e">
        <f>W177/'ФОТ, МТР, макро'!AZ$15/(W122/W117)</f>
        <v>#DIV/0!</v>
      </c>
      <c r="X197" s="103" t="e">
        <f>X177/'ФОТ, МТР, макро'!BA$15/(X122/X117)</f>
        <v>#DIV/0!</v>
      </c>
      <c r="Y197" s="103" t="e">
        <f>Y177/'ФОТ, МТР, макро'!BB$15/(Y122/Y117)</f>
        <v>#DIV/0!</v>
      </c>
      <c r="Z197" s="103" t="e">
        <f>Z177/'ФОТ, МТР, макро'!BC$15/(Z122/Z117)</f>
        <v>#DIV/0!</v>
      </c>
      <c r="AA197" s="175"/>
      <c r="AC197" s="104" cm="1">
        <f t="array" ref="AC197">INDEX(G197:Z197,1,$C197)</f>
        <v>8.4320750408740448</v>
      </c>
    </row>
    <row r="198" spans="1:29" outlineLevel="1" x14ac:dyDescent="0.25">
      <c r="A198" s="36" t="str">
        <f t="shared" si="316"/>
        <v>Sunward SWDRT270SM</v>
      </c>
      <c r="B198" s="36" t="str">
        <f t="shared" si="359"/>
        <v>Смазочные</v>
      </c>
      <c r="C198" s="36">
        <f t="shared" ref="C198:C208" si="360">C197</f>
        <v>12</v>
      </c>
      <c r="D198" s="100" t="str">
        <f t="shared" ref="D198:D205" si="361">D178</f>
        <v>Смазочные</v>
      </c>
      <c r="E198" s="101" t="str">
        <f t="shared" ref="E198:E205" si="362">E197</f>
        <v>руб/м3</v>
      </c>
      <c r="F198" s="102"/>
      <c r="G198" s="103">
        <f>G178/'ФОТ, МТР, макро'!AJ$15/(G122/G117)</f>
        <v>0</v>
      </c>
      <c r="H198" s="103">
        <f>H178/'ФОТ, МТР, макро'!AK$15/(H122/H117)</f>
        <v>0</v>
      </c>
      <c r="I198" s="103">
        <f>I178/'ФОТ, МТР, макро'!AL$15/(I122/I117)</f>
        <v>0</v>
      </c>
      <c r="J198" s="103">
        <f>J178/'ФОТ, МТР, макро'!AM$15/(J122/J117)</f>
        <v>0</v>
      </c>
      <c r="K198" s="103">
        <f>K178/'ФОТ, МТР, макро'!AN$15/(K122/K117)</f>
        <v>0</v>
      </c>
      <c r="L198" s="103">
        <f>L178/'ФОТ, МТР, макро'!AO$15/(L122/L117)</f>
        <v>0</v>
      </c>
      <c r="M198" s="103">
        <f>M178/'ФОТ, МТР, макро'!AP$15/(M122/M117)</f>
        <v>0</v>
      </c>
      <c r="N198" s="103">
        <f>N178/'ФОТ, МТР, макро'!AQ$15/(N122/N117)</f>
        <v>0</v>
      </c>
      <c r="O198" s="103">
        <f>O178/'ФОТ, МТР, макро'!AR$15/(O122/O117)</f>
        <v>0</v>
      </c>
      <c r="P198" s="103">
        <f>P178/'ФОТ, МТР, макро'!AS$15/(P122/P117)</f>
        <v>0</v>
      </c>
      <c r="Q198" s="103">
        <f>Q178/'ФОТ, МТР, макро'!AT$15/(Q122/Q117)</f>
        <v>0</v>
      </c>
      <c r="R198" s="103">
        <f>R178/'ФОТ, МТР, макро'!AU$15/(R122/R117)</f>
        <v>0</v>
      </c>
      <c r="S198" s="103" t="e">
        <f>S178/'ФОТ, МТР, макро'!AV$15/(S122/S117)</f>
        <v>#DIV/0!</v>
      </c>
      <c r="T198" s="103" t="e">
        <f>T178/'ФОТ, МТР, макро'!AW$15/(T122/T117)</f>
        <v>#DIV/0!</v>
      </c>
      <c r="U198" s="103" t="e">
        <f>U178/'ФОТ, МТР, макро'!AX$15/(U122/U117)</f>
        <v>#DIV/0!</v>
      </c>
      <c r="V198" s="103" t="e">
        <f>V178/'ФОТ, МТР, макро'!AY$15/(V122/V117)</f>
        <v>#DIV/0!</v>
      </c>
      <c r="W198" s="103" t="e">
        <f>W178/'ФОТ, МТР, макро'!AZ$15/(W122/W117)</f>
        <v>#DIV/0!</v>
      </c>
      <c r="X198" s="103" t="e">
        <f>X178/'ФОТ, МТР, макро'!BA$15/(X122/X117)</f>
        <v>#DIV/0!</v>
      </c>
      <c r="Y198" s="103" t="e">
        <f>Y178/'ФОТ, МТР, макро'!BB$15/(Y122/Y117)</f>
        <v>#DIV/0!</v>
      </c>
      <c r="Z198" s="103" t="e">
        <f>Z178/'ФОТ, МТР, макро'!BC$15/(Z122/Z117)</f>
        <v>#DIV/0!</v>
      </c>
      <c r="AA198" s="175"/>
      <c r="AC198" s="104" cm="1">
        <f t="array" ref="AC198">INDEX(G198:Z198,1,$C198)</f>
        <v>0</v>
      </c>
    </row>
    <row r="199" spans="1:29" outlineLevel="1" x14ac:dyDescent="0.25">
      <c r="A199" s="36" t="str">
        <f t="shared" si="316"/>
        <v>Sunward SWDRT270SM</v>
      </c>
      <c r="B199" s="36" t="str">
        <f t="shared" si="359"/>
        <v>Долота</v>
      </c>
      <c r="C199" s="36">
        <f t="shared" si="360"/>
        <v>12</v>
      </c>
      <c r="D199" s="100" t="str">
        <f t="shared" si="361"/>
        <v>Долота</v>
      </c>
      <c r="E199" s="101" t="str">
        <f t="shared" si="362"/>
        <v>руб/м3</v>
      </c>
      <c r="F199" s="102"/>
      <c r="G199" s="103">
        <f>G179/'ФОТ, МТР, макро'!AJ$15/(G122/G117)</f>
        <v>0</v>
      </c>
      <c r="H199" s="103">
        <f>H179/'ФОТ, МТР, макро'!AK$15/(H122/H117)</f>
        <v>0</v>
      </c>
      <c r="I199" s="103">
        <f>I179/'ФОТ, МТР, макро'!AL$15/(I122/I117)</f>
        <v>0</v>
      </c>
      <c r="J199" s="103">
        <f>J179/'ФОТ, МТР, макро'!AM$15/(J122/J117)</f>
        <v>0</v>
      </c>
      <c r="K199" s="103">
        <f>K179/'ФОТ, МТР, макро'!AN$15/(K122/K117)</f>
        <v>0</v>
      </c>
      <c r="L199" s="103">
        <f>L179/'ФОТ, МТР, макро'!AO$15/(L122/L117)</f>
        <v>0</v>
      </c>
      <c r="M199" s="103">
        <f>M179/'ФОТ, МТР, макро'!AP$15/(M122/M117)</f>
        <v>0</v>
      </c>
      <c r="N199" s="103">
        <f>N179/'ФОТ, МТР, макро'!AQ$15/(N122/N117)</f>
        <v>0</v>
      </c>
      <c r="O199" s="103">
        <f>O179/'ФОТ, МТР, макро'!AR$15/(O122/O117)</f>
        <v>0</v>
      </c>
      <c r="P199" s="103">
        <f>P179/'ФОТ, МТР, макро'!AS$15/(P122/P117)</f>
        <v>0</v>
      </c>
      <c r="Q199" s="103">
        <f>Q179/'ФОТ, МТР, макро'!AT$15/(Q122/Q117)</f>
        <v>0</v>
      </c>
      <c r="R199" s="103">
        <f>R179/'ФОТ, МТР, макро'!AU$15/(R122/R117)</f>
        <v>0</v>
      </c>
      <c r="S199" s="103" t="e">
        <f>S179/'ФОТ, МТР, макро'!AV$15/(S122/S117)</f>
        <v>#DIV/0!</v>
      </c>
      <c r="T199" s="103" t="e">
        <f>T179/'ФОТ, МТР, макро'!AW$15/(T122/T117)</f>
        <v>#DIV/0!</v>
      </c>
      <c r="U199" s="103" t="e">
        <f>U179/'ФОТ, МТР, макро'!AX$15/(U122/U117)</f>
        <v>#DIV/0!</v>
      </c>
      <c r="V199" s="103" t="e">
        <f>V179/'ФОТ, МТР, макро'!AY$15/(V122/V117)</f>
        <v>#DIV/0!</v>
      </c>
      <c r="W199" s="103" t="e">
        <f>W179/'ФОТ, МТР, макро'!AZ$15/(W122/W117)</f>
        <v>#DIV/0!</v>
      </c>
      <c r="X199" s="103" t="e">
        <f>X179/'ФОТ, МТР, макро'!BA$15/(X122/X117)</f>
        <v>#DIV/0!</v>
      </c>
      <c r="Y199" s="103" t="e">
        <f>Y179/'ФОТ, МТР, макро'!BB$15/(Y122/Y117)</f>
        <v>#DIV/0!</v>
      </c>
      <c r="Z199" s="103" t="e">
        <f>Z179/'ФОТ, МТР, макро'!BC$15/(Z122/Z117)</f>
        <v>#DIV/0!</v>
      </c>
      <c r="AA199" s="175"/>
      <c r="AC199" s="104" cm="1">
        <f t="array" ref="AC199">INDEX(G199:Z199,1,$C199)</f>
        <v>0</v>
      </c>
    </row>
    <row r="200" spans="1:29" outlineLevel="1" x14ac:dyDescent="0.25">
      <c r="A200" s="36" t="str">
        <f t="shared" si="316"/>
        <v>Sunward SWDRT270SM</v>
      </c>
      <c r="B200" s="36" t="str">
        <f t="shared" si="359"/>
        <v>Штанги буровые</v>
      </c>
      <c r="C200" s="36">
        <f t="shared" si="360"/>
        <v>12</v>
      </c>
      <c r="D200" s="100" t="str">
        <f t="shared" si="361"/>
        <v>Штанги буровые</v>
      </c>
      <c r="E200" s="101" t="str">
        <f t="shared" si="362"/>
        <v>руб/м3</v>
      </c>
      <c r="F200" s="102"/>
      <c r="G200" s="103">
        <f>G180/'ФОТ, МТР, макро'!AJ$15/(G122/G117)</f>
        <v>0</v>
      </c>
      <c r="H200" s="103">
        <f>H180/'ФОТ, МТР, макро'!AK$15/(H122/H117)</f>
        <v>0</v>
      </c>
      <c r="I200" s="103">
        <f>I180/'ФОТ, МТР, макро'!AL$15/(I122/I117)</f>
        <v>0</v>
      </c>
      <c r="J200" s="103">
        <f>J180/'ФОТ, МТР, макро'!AM$15/(J122/J117)</f>
        <v>0</v>
      </c>
      <c r="K200" s="103">
        <f>K180/'ФОТ, МТР, макро'!AN$15/(K122/K117)</f>
        <v>0</v>
      </c>
      <c r="L200" s="103">
        <f>L180/'ФОТ, МТР, макро'!AO$15/(L122/L117)</f>
        <v>0</v>
      </c>
      <c r="M200" s="103">
        <f>M180/'ФОТ, МТР, макро'!AP$15/(M122/M117)</f>
        <v>0</v>
      </c>
      <c r="N200" s="103">
        <f>N180/'ФОТ, МТР, макро'!AQ$15/(N122/N117)</f>
        <v>0</v>
      </c>
      <c r="O200" s="103">
        <f>O180/'ФОТ, МТР, макро'!AR$15/(O122/O117)</f>
        <v>0</v>
      </c>
      <c r="P200" s="103">
        <f>P180/'ФОТ, МТР, макро'!AS$15/(P122/P117)</f>
        <v>0</v>
      </c>
      <c r="Q200" s="103">
        <f>Q180/'ФОТ, МТР, макро'!AT$15/(Q122/Q117)</f>
        <v>0</v>
      </c>
      <c r="R200" s="103">
        <f>R180/'ФОТ, МТР, макро'!AU$15/(R122/R117)</f>
        <v>0</v>
      </c>
      <c r="S200" s="103" t="e">
        <f>S180/'ФОТ, МТР, макро'!AV$15/(S122/S117)</f>
        <v>#DIV/0!</v>
      </c>
      <c r="T200" s="103" t="e">
        <f>T180/'ФОТ, МТР, макро'!AW$15/(T122/T117)</f>
        <v>#DIV/0!</v>
      </c>
      <c r="U200" s="103" t="e">
        <f>U180/'ФОТ, МТР, макро'!AX$15/(U122/U117)</f>
        <v>#DIV/0!</v>
      </c>
      <c r="V200" s="103" t="e">
        <f>V180/'ФОТ, МТР, макро'!AY$15/(V122/V117)</f>
        <v>#DIV/0!</v>
      </c>
      <c r="W200" s="103" t="e">
        <f>W180/'ФОТ, МТР, макро'!AZ$15/(W122/W117)</f>
        <v>#DIV/0!</v>
      </c>
      <c r="X200" s="103" t="e">
        <f>X180/'ФОТ, МТР, макро'!BA$15/(X122/X117)</f>
        <v>#DIV/0!</v>
      </c>
      <c r="Y200" s="103" t="e">
        <f>Y180/'ФОТ, МТР, макро'!BB$15/(Y122/Y117)</f>
        <v>#DIV/0!</v>
      </c>
      <c r="Z200" s="103" t="e">
        <f>Z180/'ФОТ, МТР, макро'!BC$15/(Z122/Z117)</f>
        <v>#DIV/0!</v>
      </c>
      <c r="AA200" s="175"/>
      <c r="AC200" s="104" cm="1">
        <f t="array" ref="AC200">INDEX(G200:Z200,1,$C200)</f>
        <v>0</v>
      </c>
    </row>
    <row r="201" spans="1:29" outlineLevel="1" x14ac:dyDescent="0.25">
      <c r="A201" s="36" t="str">
        <f t="shared" si="316"/>
        <v>Sunward SWDRT270SM</v>
      </c>
      <c r="B201" s="36" t="str">
        <f t="shared" si="359"/>
        <v>Расходники</v>
      </c>
      <c r="C201" s="36">
        <f t="shared" si="360"/>
        <v>12</v>
      </c>
      <c r="D201" s="100" t="str">
        <f t="shared" si="361"/>
        <v>Расходники</v>
      </c>
      <c r="E201" s="101" t="str">
        <f t="shared" si="362"/>
        <v>руб/м3</v>
      </c>
      <c r="F201" s="102"/>
      <c r="G201" s="103">
        <f>G181/'ФОТ, МТР, макро'!AJ$15/(G122/G117)</f>
        <v>0</v>
      </c>
      <c r="H201" s="103">
        <f>H181/'ФОТ, МТР, макро'!AK$15/(H122/H117)</f>
        <v>0</v>
      </c>
      <c r="I201" s="103">
        <f>I181/'ФОТ, МТР, макро'!AL$15/(I122/I117)</f>
        <v>0</v>
      </c>
      <c r="J201" s="103">
        <f>J181/'ФОТ, МТР, макро'!AM$15/(J122/J117)</f>
        <v>0</v>
      </c>
      <c r="K201" s="103">
        <f>K181/'ФОТ, МТР, макро'!AN$15/(K122/K117)</f>
        <v>0</v>
      </c>
      <c r="L201" s="103">
        <f>L181/'ФОТ, МТР, макро'!AO$15/(L122/L117)</f>
        <v>0</v>
      </c>
      <c r="M201" s="103">
        <f>M181/'ФОТ, МТР, макро'!AP$15/(M122/M117)</f>
        <v>0</v>
      </c>
      <c r="N201" s="103">
        <f>N181/'ФОТ, МТР, макро'!AQ$15/(N122/N117)</f>
        <v>0</v>
      </c>
      <c r="O201" s="103">
        <f>O181/'ФОТ, МТР, макро'!AR$15/(O122/O117)</f>
        <v>0</v>
      </c>
      <c r="P201" s="103">
        <f>P181/'ФОТ, МТР, макро'!AS$15/(P122/P117)</f>
        <v>0</v>
      </c>
      <c r="Q201" s="103">
        <f>Q181/'ФОТ, МТР, макро'!AT$15/(Q122/Q117)</f>
        <v>0</v>
      </c>
      <c r="R201" s="103">
        <f>R181/'ФОТ, МТР, макро'!AU$15/(R122/R117)</f>
        <v>0</v>
      </c>
      <c r="S201" s="103" t="e">
        <f>S181/'ФОТ, МТР, макро'!AV$15/(S122/S117)</f>
        <v>#DIV/0!</v>
      </c>
      <c r="T201" s="103" t="e">
        <f>T181/'ФОТ, МТР, макро'!AW$15/(T122/T117)</f>
        <v>#DIV/0!</v>
      </c>
      <c r="U201" s="103" t="e">
        <f>U181/'ФОТ, МТР, макро'!AX$15/(U122/U117)</f>
        <v>#DIV/0!</v>
      </c>
      <c r="V201" s="103" t="e">
        <f>V181/'ФОТ, МТР, макро'!AY$15/(V122/V117)</f>
        <v>#DIV/0!</v>
      </c>
      <c r="W201" s="103" t="e">
        <f>W181/'ФОТ, МТР, макро'!AZ$15/(W122/W117)</f>
        <v>#DIV/0!</v>
      </c>
      <c r="X201" s="103" t="e">
        <f>X181/'ФОТ, МТР, макро'!BA$15/(X122/X117)</f>
        <v>#DIV/0!</v>
      </c>
      <c r="Y201" s="103" t="e">
        <f>Y181/'ФОТ, МТР, макро'!BB$15/(Y122/Y117)</f>
        <v>#DIV/0!</v>
      </c>
      <c r="Z201" s="103" t="e">
        <f>Z181/'ФОТ, МТР, макро'!BC$15/(Z122/Z117)</f>
        <v>#DIV/0!</v>
      </c>
      <c r="AA201" s="175"/>
      <c r="AC201" s="104" cm="1">
        <f t="array" ref="AC201">INDEX(G201:Z201,1,$C201)</f>
        <v>0</v>
      </c>
    </row>
    <row r="202" spans="1:29" outlineLevel="1" x14ac:dyDescent="0.25">
      <c r="A202" s="36" t="str">
        <f t="shared" si="316"/>
        <v>Sunward SWDRT270SM</v>
      </c>
      <c r="B202" s="36" t="str">
        <f t="shared" si="359"/>
        <v>Топливо/Электроэнергия</v>
      </c>
      <c r="C202" s="36">
        <f t="shared" si="360"/>
        <v>12</v>
      </c>
      <c r="D202" s="100" t="str">
        <f t="shared" si="361"/>
        <v>Топливо/Электроэнергия</v>
      </c>
      <c r="E202" s="101" t="str">
        <f t="shared" si="362"/>
        <v>руб/м3</v>
      </c>
      <c r="F202" s="102"/>
      <c r="G202" s="103">
        <f>G182/'ФОТ, МТР, макро'!AJ$15/(G122/G117)</f>
        <v>4.847077590276653</v>
      </c>
      <c r="H202" s="103">
        <f>H182/'ФОТ, МТР, макро'!AK$15/(H122/H117)</f>
        <v>4.8955783140441378</v>
      </c>
      <c r="I202" s="103">
        <f>I182/'ФОТ, МТР, макро'!AL$15/(I122/I117)</f>
        <v>5.0113419314154628</v>
      </c>
      <c r="J202" s="103">
        <f>J182/'ФОТ, МТР, макро'!AM$15/(J122/J117)</f>
        <v>4.9861425200832477</v>
      </c>
      <c r="K202" s="103">
        <f>K182/'ФОТ, МТР, макро'!AN$15/(K122/K117)</f>
        <v>4.9616433135433669</v>
      </c>
      <c r="L202" s="103">
        <f>L182/'ФОТ, МТР, макро'!AO$15/(L122/L117)</f>
        <v>5.0310199275524985</v>
      </c>
      <c r="M202" s="103">
        <f>M182/'ФОТ, МТР, макро'!AP$15/(M122/M117)</f>
        <v>5.0706060421733286</v>
      </c>
      <c r="N202" s="103">
        <f>N182/'ФОТ, МТР, макро'!AQ$15/(N122/N117)</f>
        <v>5.0324268817984938</v>
      </c>
      <c r="O202" s="103">
        <f>O182/'ФОТ, МТР, макро'!AR$15/(O122/O117)</f>
        <v>5.048839798584333</v>
      </c>
      <c r="P202" s="103">
        <f>P182/'ФОТ, МТР, макро'!AS$15/(P122/P117)</f>
        <v>5.0732151643362045</v>
      </c>
      <c r="Q202" s="103">
        <f>Q182/'ФОТ, МТР, макро'!AT$15/(Q122/Q117)</f>
        <v>5.0447170915699715</v>
      </c>
      <c r="R202" s="103">
        <f>R182/'ФОТ, МТР, макро'!AU$15/(R122/R117)</f>
        <v>5.005789073424344</v>
      </c>
      <c r="S202" s="103" t="e">
        <f>S182/'ФОТ, МТР, макро'!AV$15/(S122/S117)</f>
        <v>#DIV/0!</v>
      </c>
      <c r="T202" s="103" t="e">
        <f>T182/'ФОТ, МТР, макро'!AW$15/(T122/T117)</f>
        <v>#DIV/0!</v>
      </c>
      <c r="U202" s="103" t="e">
        <f>U182/'ФОТ, МТР, макро'!AX$15/(U122/U117)</f>
        <v>#DIV/0!</v>
      </c>
      <c r="V202" s="103" t="e">
        <f>V182/'ФОТ, МТР, макро'!AY$15/(V122/V117)</f>
        <v>#DIV/0!</v>
      </c>
      <c r="W202" s="103" t="e">
        <f>W182/'ФОТ, МТР, макро'!AZ$15/(W122/W117)</f>
        <v>#DIV/0!</v>
      </c>
      <c r="X202" s="103" t="e">
        <f>X182/'ФОТ, МТР, макро'!BA$15/(X122/X117)</f>
        <v>#DIV/0!</v>
      </c>
      <c r="Y202" s="103" t="e">
        <f>Y182/'ФОТ, МТР, макро'!BB$15/(Y122/Y117)</f>
        <v>#DIV/0!</v>
      </c>
      <c r="Z202" s="103" t="e">
        <f>Z182/'ФОТ, МТР, макро'!BC$15/(Z122/Z117)</f>
        <v>#DIV/0!</v>
      </c>
      <c r="AA202" s="175"/>
      <c r="AC202" s="104" cm="1">
        <f t="array" ref="AC202">INDEX(G202:Z202,1,$C202)</f>
        <v>5.005789073424344</v>
      </c>
    </row>
    <row r="203" spans="1:29" outlineLevel="1" x14ac:dyDescent="0.25">
      <c r="A203" s="36" t="str">
        <f t="shared" si="316"/>
        <v>Sunward SWDRT270SM</v>
      </c>
      <c r="B203" s="36" t="str">
        <f t="shared" si="359"/>
        <v>Затраты на персонал</v>
      </c>
      <c r="C203" s="36">
        <f t="shared" si="360"/>
        <v>12</v>
      </c>
      <c r="D203" s="100" t="str">
        <f t="shared" si="361"/>
        <v>Затраты на персонал</v>
      </c>
      <c r="E203" s="101" t="str">
        <f t="shared" si="362"/>
        <v>руб/м3</v>
      </c>
      <c r="F203" s="102"/>
      <c r="G203" s="103">
        <f>G183/'ФОТ, МТР, макро'!AJ$15/(G122/G117)</f>
        <v>2.5009170125874429</v>
      </c>
      <c r="H203" s="103">
        <f>H183/'ФОТ, МТР, макро'!AK$15/(H122/H117)</f>
        <v>2.5657209698286834</v>
      </c>
      <c r="I203" s="103">
        <f>I183/'ФОТ, МТР, макро'!AL$15/(I122/I117)</f>
        <v>2.6581497468837032</v>
      </c>
      <c r="J203" s="103">
        <f>J183/'ФОТ, МТР, макро'!AM$15/(J122/J117)</f>
        <v>2.6419757086811524</v>
      </c>
      <c r="K203" s="103">
        <f>K183/'ФОТ, МТР, макро'!AN$15/(K122/K117)</f>
        <v>2.6318176863372087</v>
      </c>
      <c r="L203" s="103">
        <f>L183/'ФОТ, МТР, макро'!AO$15/(L122/L117)</f>
        <v>2.6789335476689424</v>
      </c>
      <c r="M203" s="103">
        <f>M183/'ФОТ, МТР, макро'!AP$15/(M122/M117)</f>
        <v>2.7015508066112601</v>
      </c>
      <c r="N203" s="103">
        <f>N183/'ФОТ, МТР, макро'!AQ$15/(N122/N117)</f>
        <v>2.6815007506677055</v>
      </c>
      <c r="O203" s="103">
        <f>O183/'ФОТ, МТР, макро'!AR$15/(O122/O117)</f>
        <v>2.6937393957055589</v>
      </c>
      <c r="P203" s="103">
        <f>P183/'ФОТ, МТР, макро'!AS$15/(P122/P117)</f>
        <v>2.7087135544147705</v>
      </c>
      <c r="Q203" s="103">
        <f>Q183/'ФОТ, МТР, макро'!AT$15/(Q122/Q117)</f>
        <v>2.6950685341252547</v>
      </c>
      <c r="R203" s="103">
        <f>R183/'ФОТ, МТР, макро'!AU$15/(R122/R117)</f>
        <v>2.675542558450196</v>
      </c>
      <c r="S203" s="103" t="e">
        <f>S183/'ФОТ, МТР, макро'!AV$15/(S122/S117)</f>
        <v>#DIV/0!</v>
      </c>
      <c r="T203" s="103" t="e">
        <f>T183/'ФОТ, МТР, макро'!AW$15/(T122/T117)</f>
        <v>#DIV/0!</v>
      </c>
      <c r="U203" s="103" t="e">
        <f>U183/'ФОТ, МТР, макро'!AX$15/(U122/U117)</f>
        <v>#DIV/0!</v>
      </c>
      <c r="V203" s="103" t="e">
        <f>V183/'ФОТ, МТР, макро'!AY$15/(V122/V117)</f>
        <v>#DIV/0!</v>
      </c>
      <c r="W203" s="103" t="e">
        <f>W183/'ФОТ, МТР, макро'!AZ$15/(W122/W117)</f>
        <v>#DIV/0!</v>
      </c>
      <c r="X203" s="103" t="e">
        <f>X183/'ФОТ, МТР, макро'!BA$15/(X122/X117)</f>
        <v>#DIV/0!</v>
      </c>
      <c r="Y203" s="103" t="e">
        <f>Y183/'ФОТ, МТР, макро'!BB$15/(Y122/Y117)</f>
        <v>#DIV/0!</v>
      </c>
      <c r="Z203" s="103" t="e">
        <f>Z183/'ФОТ, МТР, макро'!BC$15/(Z122/Z117)</f>
        <v>#DIV/0!</v>
      </c>
      <c r="AA203" s="175"/>
      <c r="AC203" s="104" cm="1">
        <f t="array" ref="AC203">INDEX(G203:Z203,1,$C203)</f>
        <v>2.675542558450196</v>
      </c>
    </row>
    <row r="204" spans="1:29" outlineLevel="1" x14ac:dyDescent="0.25">
      <c r="A204" s="36" t="str">
        <f t="shared" si="316"/>
        <v>Sunward SWDRT270SM</v>
      </c>
      <c r="B204" s="36" t="str">
        <f t="shared" si="359"/>
        <v>Транспортный налог</v>
      </c>
      <c r="C204" s="36">
        <f t="shared" si="360"/>
        <v>12</v>
      </c>
      <c r="D204" s="100" t="str">
        <f t="shared" si="361"/>
        <v>Транспортный налог</v>
      </c>
      <c r="E204" s="101" t="str">
        <f t="shared" si="362"/>
        <v>руб/м3</v>
      </c>
      <c r="F204" s="102"/>
      <c r="G204" s="103">
        <f>G184/'ФОТ, МТР, макро'!AJ$15/(G122/G117)</f>
        <v>1.9102973187554442E-3</v>
      </c>
      <c r="H204" s="103">
        <f>H184/'ФОТ, МТР, макро'!AK$15/(H122/H117)</f>
        <v>1.9597970922943533E-3</v>
      </c>
      <c r="I204" s="103">
        <f>I184/'ФОТ, МТР, макро'!AL$15/(I122/I117)</f>
        <v>2.0303977736025962E-3</v>
      </c>
      <c r="J204" s="103">
        <f>J184/'ФОТ, МТР, макро'!AM$15/(J122/J117)</f>
        <v>2.0180434165182662E-3</v>
      </c>
      <c r="K204" s="103">
        <f>K184/'ФОТ, МТР, макро'!AN$15/(K122/K117)</f>
        <v>2.0102843254529382E-3</v>
      </c>
      <c r="L204" s="103">
        <f>L184/'ФОТ, МТР, макро'!AO$15/(L122/L117)</f>
        <v>2.0462732459648365E-3</v>
      </c>
      <c r="M204" s="103">
        <f>M184/'ФОТ, МТР, макро'!AP$15/(M122/M117)</f>
        <v>2.0635491847095641E-3</v>
      </c>
      <c r="N204" s="103">
        <f>N184/'ФОТ, МТР, макро'!AQ$15/(N122/N117)</f>
        <v>2.0482341750882563E-3</v>
      </c>
      <c r="O204" s="103">
        <f>O184/'ФОТ, МТР, макро'!AR$15/(O122/O117)</f>
        <v>2.0575825263863356E-3</v>
      </c>
      <c r="P204" s="103">
        <f>P184/'ФОТ, МТР, макро'!AS$15/(P122/P117)</f>
        <v>2.0690203690211981E-3</v>
      </c>
      <c r="Q204" s="103">
        <f>Q184/'ФОТ, МТР, макро'!AT$15/(Q122/Q117)</f>
        <v>2.058597773812228E-3</v>
      </c>
      <c r="R204" s="103">
        <f>R184/'ФОТ, МТР, макро'!AU$15/(R122/R117)</f>
        <v>2.0436830770068528E-3</v>
      </c>
      <c r="S204" s="103" t="e">
        <f>S184/'ФОТ, МТР, макро'!AV$15/(S122/S117)</f>
        <v>#DIV/0!</v>
      </c>
      <c r="T204" s="103" t="e">
        <f>T184/'ФОТ, МТР, макро'!AW$15/(T122/T117)</f>
        <v>#DIV/0!</v>
      </c>
      <c r="U204" s="103" t="e">
        <f>U184/'ФОТ, МТР, макро'!AX$15/(U122/U117)</f>
        <v>#DIV/0!</v>
      </c>
      <c r="V204" s="103" t="e">
        <f>V184/'ФОТ, МТР, макро'!AY$15/(V122/V117)</f>
        <v>#DIV/0!</v>
      </c>
      <c r="W204" s="103" t="e">
        <f>W184/'ФОТ, МТР, макро'!AZ$15/(W122/W117)</f>
        <v>#DIV/0!</v>
      </c>
      <c r="X204" s="103" t="e">
        <f>X184/'ФОТ, МТР, макро'!BA$15/(X122/X117)</f>
        <v>#DIV/0!</v>
      </c>
      <c r="Y204" s="103" t="e">
        <f>Y184/'ФОТ, МТР, макро'!BB$15/(Y122/Y117)</f>
        <v>#DIV/0!</v>
      </c>
      <c r="Z204" s="103" t="e">
        <f>Z184/'ФОТ, МТР, макро'!BC$15/(Z122/Z117)</f>
        <v>#DIV/0!</v>
      </c>
      <c r="AA204" s="175"/>
      <c r="AC204" s="104" cm="1">
        <f t="array" ref="AC204">INDEX(G204:Z204,1,$C204)</f>
        <v>2.0436830770068528E-3</v>
      </c>
    </row>
    <row r="205" spans="1:29" outlineLevel="1" x14ac:dyDescent="0.25">
      <c r="A205" s="36" t="str">
        <f t="shared" si="316"/>
        <v>Sunward SWDRT270SM</v>
      </c>
      <c r="B205" s="36" t="str">
        <f t="shared" si="359"/>
        <v>Налог на прибыль</v>
      </c>
      <c r="C205" s="36">
        <f t="shared" si="360"/>
        <v>12</v>
      </c>
      <c r="D205" s="100" t="str">
        <f t="shared" si="361"/>
        <v>Налог на прибыль</v>
      </c>
      <c r="E205" s="101" t="str">
        <f t="shared" si="362"/>
        <v>руб/м3</v>
      </c>
      <c r="F205" s="29"/>
      <c r="G205" s="103">
        <f>G185/'ФОТ, МТР, макро'!AJ$15/(G122/G117)</f>
        <v>-3.1774823914183976</v>
      </c>
      <c r="H205" s="103">
        <f>H185/'ФОТ, МТР, макро'!AK$15/(H122/H117)</f>
        <v>-3.6943470885157432</v>
      </c>
      <c r="I205" s="103">
        <f>I185/'ФОТ, МТР, макро'!AL$15/(I122/I117)</f>
        <v>-3.9970093580882193</v>
      </c>
      <c r="J205" s="103">
        <f>J185/'ФОТ, МТР, макро'!AM$15/(J122/J117)</f>
        <v>-3.9188903727179878</v>
      </c>
      <c r="K205" s="103">
        <f>K185/'ФОТ, МТР, макро'!AN$15/(K122/K117)</f>
        <v>-3.9427891510479771</v>
      </c>
      <c r="L205" s="103">
        <f>L185/'ФОТ, МТР, макро'!AO$15/(L122/L117)</f>
        <v>-4.082044938894998</v>
      </c>
      <c r="M205" s="103">
        <f>M185/'ФОТ, МТР, макро'!AP$15/(M122/M117)</f>
        <v>-4.0707019104017226</v>
      </c>
      <c r="N205" s="103">
        <f>N185/'ФОТ, МТР, макро'!AQ$15/(N122/N117)</f>
        <v>-4.0683789469463632</v>
      </c>
      <c r="O205" s="103">
        <f>O185/'ФОТ, МТР, макро'!AR$15/(O122/O117)</f>
        <v>-4.0981119805802484</v>
      </c>
      <c r="P205" s="103">
        <f>P185/'ФОТ, МТР, макро'!AS$15/(P122/P117)</f>
        <v>-4.1014280722612337</v>
      </c>
      <c r="Q205" s="103">
        <f>Q185/'ФОТ, МТР, макро'!AT$15/(Q122/Q117)</f>
        <v>-4.0882318332750076</v>
      </c>
      <c r="R205" s="103">
        <f>R185/'ФОТ, МТР, макро'!AU$15/(R122/R117)</f>
        <v>-4.0288625889563976</v>
      </c>
      <c r="S205" s="103" t="e">
        <f>S185/'ФОТ, МТР, макро'!AV$15/(S122/S117)</f>
        <v>#DIV/0!</v>
      </c>
      <c r="T205" s="103" t="e">
        <f>T185/'ФОТ, МТР, макро'!AW$15/(T122/T117)</f>
        <v>#DIV/0!</v>
      </c>
      <c r="U205" s="103" t="e">
        <f>U185/'ФОТ, МТР, макро'!AX$15/(U122/U117)</f>
        <v>#DIV/0!</v>
      </c>
      <c r="V205" s="103" t="e">
        <f>V185/'ФОТ, МТР, макро'!AY$15/(V122/V117)</f>
        <v>#DIV/0!</v>
      </c>
      <c r="W205" s="103" t="e">
        <f>W185/'ФОТ, МТР, макро'!AZ$15/(W122/W117)</f>
        <v>#DIV/0!</v>
      </c>
      <c r="X205" s="103" t="e">
        <f>X185/'ФОТ, МТР, макро'!BA$15/(X122/X117)</f>
        <v>#DIV/0!</v>
      </c>
      <c r="Y205" s="103" t="e">
        <f>Y185/'ФОТ, МТР, макро'!BB$15/(Y122/Y117)</f>
        <v>#DIV/0!</v>
      </c>
      <c r="Z205" s="103" t="e">
        <f>Z185/'ФОТ, МТР, макро'!BC$15/(Z122/Z117)</f>
        <v>#DIV/0!</v>
      </c>
      <c r="AA205" s="175"/>
      <c r="AC205" s="104" cm="1">
        <f t="array" ref="AC205">INDEX(G205:Z205,1,$C205)</f>
        <v>-4.0288625889563976</v>
      </c>
    </row>
    <row r="206" spans="1:29" outlineLevel="1" x14ac:dyDescent="0.25">
      <c r="A206" s="36" t="str">
        <f t="shared" si="316"/>
        <v>Sunward SWDRT270SM</v>
      </c>
      <c r="B206" s="36" t="str">
        <f t="shared" si="359"/>
        <v>Аннуитет инвестиционный</v>
      </c>
      <c r="C206" s="36">
        <f t="shared" si="360"/>
        <v>12</v>
      </c>
      <c r="D206" s="95" t="s">
        <v>74</v>
      </c>
      <c r="E206" s="105" t="str">
        <f>E196</f>
        <v>руб/м3</v>
      </c>
      <c r="F206" s="106"/>
      <c r="G206" s="98">
        <f>G190/'ФОТ, МТР, макро'!AJ$15/(G122/G117)</f>
        <v>0</v>
      </c>
      <c r="H206" s="98">
        <f>H190/'ФОТ, МТР, макро'!AK$15/(H122/H117)</f>
        <v>0</v>
      </c>
      <c r="I206" s="98">
        <f>I190/'ФОТ, МТР, макро'!AL$15/(I122/I117)</f>
        <v>0</v>
      </c>
      <c r="J206" s="98">
        <f>J190/'ФОТ, МТР, макро'!AM$15/(J122/J117)</f>
        <v>0</v>
      </c>
      <c r="K206" s="98">
        <f>K190/'ФОТ, МТР, макро'!AN$15/(K122/K117)</f>
        <v>0</v>
      </c>
      <c r="L206" s="98">
        <f>L190/'ФОТ, МТР, макро'!AO$15/(L122/L117)</f>
        <v>0</v>
      </c>
      <c r="M206" s="98">
        <f>M190/'ФОТ, МТР, макро'!AP$15/(M122/M117)</f>
        <v>0</v>
      </c>
      <c r="N206" s="98">
        <f>N190/'ФОТ, МТР, макро'!AQ$15/(N122/N117)</f>
        <v>0</v>
      </c>
      <c r="O206" s="98">
        <f>O190/'ФОТ, МТР, макро'!AR$15/(O122/O117)</f>
        <v>0</v>
      </c>
      <c r="P206" s="98">
        <f>P190/'ФОТ, МТР, макро'!AS$15/(P122/P117)</f>
        <v>0</v>
      </c>
      <c r="Q206" s="98">
        <f>Q190/'ФОТ, МТР, макро'!AT$15/(Q122/Q117)</f>
        <v>0</v>
      </c>
      <c r="R206" s="98">
        <f>R190/'ФОТ, МТР, макро'!AU$15/(R122/R117)</f>
        <v>0</v>
      </c>
      <c r="S206" s="98" t="e">
        <f>S190/'ФОТ, МТР, макро'!AV$15/(S122/S117)</f>
        <v>#DIV/0!</v>
      </c>
      <c r="T206" s="98" t="e">
        <f>T190/'ФОТ, МТР, макро'!AW$15/(T122/T117)</f>
        <v>#DIV/0!</v>
      </c>
      <c r="U206" s="98" t="e">
        <f>U190/'ФОТ, МТР, макро'!AX$15/(U122/U117)</f>
        <v>#DIV/0!</v>
      </c>
      <c r="V206" s="98" t="e">
        <f>V190/'ФОТ, МТР, макро'!AY$15/(V122/V117)</f>
        <v>#DIV/0!</v>
      </c>
      <c r="W206" s="98" t="e">
        <f>W190/'ФОТ, МТР, макро'!AZ$15/(W122/W117)</f>
        <v>#DIV/0!</v>
      </c>
      <c r="X206" s="98" t="e">
        <f>X190/'ФОТ, МТР, макро'!BA$15/(X122/X117)</f>
        <v>#DIV/0!</v>
      </c>
      <c r="Y206" s="98" t="e">
        <f>Y190/'ФОТ, МТР, макро'!BB$15/(Y122/Y117)</f>
        <v>#DIV/0!</v>
      </c>
      <c r="Z206" s="98" t="e">
        <f>Z190/'ФОТ, МТР, макро'!BC$15/(Z122/Z117)</f>
        <v>#DIV/0!</v>
      </c>
      <c r="AA206" s="175"/>
      <c r="AC206" s="99" cm="1">
        <f t="array" ref="AC206">INDEX(G206:Z206,1,$C206)</f>
        <v>0</v>
      </c>
    </row>
    <row r="207" spans="1:29" outlineLevel="1" x14ac:dyDescent="0.25">
      <c r="A207" s="36" t="str">
        <f t="shared" si="316"/>
        <v>Sunward SWDRT270SM</v>
      </c>
      <c r="B207" s="36" t="str">
        <f t="shared" si="359"/>
        <v>Буровой станок</v>
      </c>
      <c r="C207" s="36">
        <f t="shared" si="360"/>
        <v>12</v>
      </c>
      <c r="D207" s="88" t="str">
        <f>D191</f>
        <v>Буровой станок</v>
      </c>
      <c r="E207" s="9" t="str">
        <f>E206</f>
        <v>руб/м3</v>
      </c>
      <c r="F207" s="29"/>
      <c r="G207" s="107">
        <f>G191/'ФОТ, МТР, макро'!AJ$15/(G122/G117)</f>
        <v>0</v>
      </c>
      <c r="H207" s="107">
        <f>H191/'ФОТ, МТР, макро'!AK$15/(H122/H117)</f>
        <v>0</v>
      </c>
      <c r="I207" s="107">
        <f>I191/'ФОТ, МТР, макро'!AL$15/(I122/I117)</f>
        <v>0</v>
      </c>
      <c r="J207" s="107">
        <f>J191/'ФОТ, МТР, макро'!AM$15/(J122/J117)</f>
        <v>0</v>
      </c>
      <c r="K207" s="107">
        <f>K191/'ФОТ, МТР, макро'!AN$15/(K122/K117)</f>
        <v>0</v>
      </c>
      <c r="L207" s="107">
        <f>L191/'ФОТ, МТР, макро'!AO$15/(L122/L117)</f>
        <v>0</v>
      </c>
      <c r="M207" s="107">
        <f>M191/'ФОТ, МТР, макро'!AP$15/(M122/M117)</f>
        <v>0</v>
      </c>
      <c r="N207" s="107">
        <f>N191/'ФОТ, МТР, макро'!AQ$15/(N122/N117)</f>
        <v>0</v>
      </c>
      <c r="O207" s="107">
        <f>O191/'ФОТ, МТР, макро'!AR$15/(O122/O117)</f>
        <v>0</v>
      </c>
      <c r="P207" s="107">
        <f>P191/'ФОТ, МТР, макро'!AS$15/(P122/P117)</f>
        <v>0</v>
      </c>
      <c r="Q207" s="107">
        <f>Q191/'ФОТ, МТР, макро'!AT$15/(Q122/Q117)</f>
        <v>0</v>
      </c>
      <c r="R207" s="107">
        <f>R191/'ФОТ, МТР, макро'!AU$15/(R122/R117)</f>
        <v>0</v>
      </c>
      <c r="S207" s="107" t="e">
        <f>S191/'ФОТ, МТР, макро'!AV$15/(S122/S117)</f>
        <v>#DIV/0!</v>
      </c>
      <c r="T207" s="107" t="e">
        <f>T191/'ФОТ, МТР, макро'!AW$15/(T122/T117)</f>
        <v>#DIV/0!</v>
      </c>
      <c r="U207" s="107" t="e">
        <f>U191/'ФОТ, МТР, макро'!AX$15/(U122/U117)</f>
        <v>#DIV/0!</v>
      </c>
      <c r="V207" s="107" t="e">
        <f>V191/'ФОТ, МТР, макро'!AY$15/(V122/V117)</f>
        <v>#DIV/0!</v>
      </c>
      <c r="W207" s="107" t="e">
        <f>W191/'ФОТ, МТР, макро'!AZ$15/(W122/W117)</f>
        <v>#DIV/0!</v>
      </c>
      <c r="X207" s="107" t="e">
        <f>X191/'ФОТ, МТР, макро'!BA$15/(X122/X117)</f>
        <v>#DIV/0!</v>
      </c>
      <c r="Y207" s="107" t="e">
        <f>Y191/'ФОТ, МТР, макро'!BB$15/(Y122/Y117)</f>
        <v>#DIV/0!</v>
      </c>
      <c r="Z207" s="107" t="e">
        <f>Z191/'ФОТ, МТР, макро'!BC$15/(Z122/Z117)</f>
        <v>#DIV/0!</v>
      </c>
      <c r="AA207" s="175"/>
      <c r="AC207" s="104" cm="1">
        <f t="array" ref="AC207">INDEX(G207:Z207,1,$C207)</f>
        <v>0</v>
      </c>
    </row>
    <row r="208" spans="1:29" outlineLevel="1" x14ac:dyDescent="0.25">
      <c r="A208" s="36" t="str">
        <f t="shared" si="316"/>
        <v>Sunward SWDRT270SM</v>
      </c>
      <c r="B208" s="36" t="str">
        <f t="shared" si="359"/>
        <v>Аннуитет общий</v>
      </c>
      <c r="C208" s="36">
        <f t="shared" si="360"/>
        <v>12</v>
      </c>
      <c r="D208" s="95" t="s">
        <v>75</v>
      </c>
      <c r="E208" s="105" t="str">
        <f>E196</f>
        <v>руб/м3</v>
      </c>
      <c r="F208" s="106"/>
      <c r="G208" s="98">
        <f>G194/'ФОТ, МТР, макро'!AJ$15/(G122/G117)</f>
        <v>9.5324471742551928</v>
      </c>
      <c r="H208" s="98">
        <f>H194/'ФОТ, МТР, макро'!AK$15/(H122/H117)</f>
        <v>11.08304126554723</v>
      </c>
      <c r="I208" s="98">
        <f>I194/'ФОТ, МТР, макро'!AL$15/(I122/I117)</f>
        <v>11.991028074264657</v>
      </c>
      <c r="J208" s="98">
        <f>J194/'ФОТ, МТР, макро'!AM$15/(J122/J117)</f>
        <v>11.756671118153964</v>
      </c>
      <c r="K208" s="98">
        <f>K194/'ФОТ, МТР, макро'!AN$15/(K122/K117)</f>
        <v>11.828367453143928</v>
      </c>
      <c r="L208" s="98">
        <f>L194/'ФОТ, МТР, макро'!AO$15/(L122/L117)</f>
        <v>12.246134816684993</v>
      </c>
      <c r="M208" s="98">
        <f>M194/'ФОТ, МТР, макро'!AP$15/(M122/M117)</f>
        <v>12.212105731205167</v>
      </c>
      <c r="N208" s="98">
        <f>N194/'ФОТ, МТР, макро'!AQ$15/(N122/N117)</f>
        <v>12.205136840839092</v>
      </c>
      <c r="O208" s="98">
        <f>O194/'ФОТ, МТР, макро'!AR$15/(O122/O117)</f>
        <v>12.294335941740746</v>
      </c>
      <c r="P208" s="98">
        <f>P194/'ФОТ, МТР, макро'!AS$15/(P122/P117)</f>
        <v>12.304284216783701</v>
      </c>
      <c r="Q208" s="98">
        <f>Q194/'ФОТ, МТР, макро'!AT$15/(Q122/Q117)</f>
        <v>12.264695499825022</v>
      </c>
      <c r="R208" s="98">
        <f>R194/'ФОТ, МТР, макро'!AU$15/(R122/R117)</f>
        <v>12.086587766869194</v>
      </c>
      <c r="S208" s="98" t="e">
        <f>S194/'ФОТ, МТР, макро'!AV$15/(S122/S117)</f>
        <v>#DIV/0!</v>
      </c>
      <c r="T208" s="98" t="e">
        <f>T194/'ФОТ, МТР, макро'!AW$15/(T122/T117)</f>
        <v>#DIV/0!</v>
      </c>
      <c r="U208" s="98" t="e">
        <f>U194/'ФОТ, МТР, макро'!AX$15/(U122/U117)</f>
        <v>#DIV/0!</v>
      </c>
      <c r="V208" s="98" t="e">
        <f>V194/'ФОТ, МТР, макро'!AY$15/(V122/V117)</f>
        <v>#DIV/0!</v>
      </c>
      <c r="W208" s="98" t="e">
        <f>W194/'ФОТ, МТР, макро'!AZ$15/(W122/W117)</f>
        <v>#DIV/0!</v>
      </c>
      <c r="X208" s="98" t="e">
        <f>X194/'ФОТ, МТР, макро'!BA$15/(X122/X117)</f>
        <v>#DIV/0!</v>
      </c>
      <c r="Y208" s="98" t="e">
        <f>Y194/'ФОТ, МТР, макро'!BB$15/(Y122/Y117)</f>
        <v>#DIV/0!</v>
      </c>
      <c r="Z208" s="98" t="e">
        <f>Z194/'ФОТ, МТР, макро'!BC$15/(Z122/Z117)</f>
        <v>#DIV/0!</v>
      </c>
      <c r="AA208" s="175"/>
      <c r="AC208" s="99" cm="1">
        <f t="array" ref="AC208">INDEX(G208:Z208,1,$C208)</f>
        <v>12.086587766869194</v>
      </c>
    </row>
    <row r="209" spans="1:27" outlineLevel="1" x14ac:dyDescent="0.25">
      <c r="A209" s="36" t="str">
        <f t="shared" si="316"/>
        <v>Sunward SWDRT270SM</v>
      </c>
      <c r="B209" s="36"/>
      <c r="D209" s="108"/>
      <c r="E209" s="12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75"/>
    </row>
    <row r="210" spans="1:27" outlineLevel="1" x14ac:dyDescent="0.25">
      <c r="A210" s="36" t="str">
        <f t="shared" si="316"/>
        <v>Sunward SWDRT270SM</v>
      </c>
      <c r="B210" s="36"/>
      <c r="D210" s="110" t="s">
        <v>67</v>
      </c>
      <c r="E210" s="111"/>
      <c r="F210" s="112"/>
      <c r="G210" s="113">
        <f>G208-G196-G206+G196-SUM(G197:G205)+G206-G207</f>
        <v>0</v>
      </c>
      <c r="H210" s="113">
        <f t="shared" ref="H210:Z210" si="363">H208-H196-H206+H196-SUM(H197:H205)+H206-H207</f>
        <v>3.5527136788005009E-15</v>
      </c>
      <c r="I210" s="113">
        <f t="shared" si="363"/>
        <v>1.7763568394002505E-15</v>
      </c>
      <c r="J210" s="113">
        <f t="shared" si="363"/>
        <v>3.5527136788005009E-15</v>
      </c>
      <c r="K210" s="113">
        <f t="shared" si="363"/>
        <v>0</v>
      </c>
      <c r="L210" s="113">
        <f t="shared" si="363"/>
        <v>0</v>
      </c>
      <c r="M210" s="113">
        <f t="shared" si="363"/>
        <v>7.1054273576010019E-15</v>
      </c>
      <c r="N210" s="113">
        <f t="shared" si="363"/>
        <v>3.5527136788005009E-15</v>
      </c>
      <c r="O210" s="113">
        <f t="shared" si="363"/>
        <v>1.7763568394002505E-15</v>
      </c>
      <c r="P210" s="113">
        <f t="shared" si="363"/>
        <v>0</v>
      </c>
      <c r="Q210" s="113">
        <f t="shared" si="363"/>
        <v>-1.7763568394002505E-15</v>
      </c>
      <c r="R210" s="113">
        <f t="shared" si="363"/>
        <v>0</v>
      </c>
      <c r="S210" s="113" t="e">
        <f t="shared" si="363"/>
        <v>#DIV/0!</v>
      </c>
      <c r="T210" s="113" t="e">
        <f t="shared" si="363"/>
        <v>#DIV/0!</v>
      </c>
      <c r="U210" s="113" t="e">
        <f t="shared" si="363"/>
        <v>#DIV/0!</v>
      </c>
      <c r="V210" s="113" t="e">
        <f t="shared" si="363"/>
        <v>#DIV/0!</v>
      </c>
      <c r="W210" s="113" t="e">
        <f t="shared" si="363"/>
        <v>#DIV/0!</v>
      </c>
      <c r="X210" s="113" t="e">
        <f t="shared" si="363"/>
        <v>#DIV/0!</v>
      </c>
      <c r="Y210" s="113" t="e">
        <f t="shared" si="363"/>
        <v>#DIV/0!</v>
      </c>
      <c r="Z210" s="113" t="e">
        <f t="shared" si="363"/>
        <v>#DIV/0!</v>
      </c>
      <c r="AA210" s="175"/>
    </row>
    <row r="211" spans="1:27" outlineLevel="1" x14ac:dyDescent="0.25">
      <c r="A211" s="36" t="str">
        <f t="shared" si="316"/>
        <v>Sunward SWDRT270SM</v>
      </c>
      <c r="B211" s="36"/>
      <c r="D211" s="112"/>
      <c r="E211" s="111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75"/>
    </row>
    <row r="212" spans="1:27" outlineLevel="1" x14ac:dyDescent="0.25">
      <c r="A212" s="36" t="str">
        <f t="shared" si="316"/>
        <v>Sunward SWDRT270SM</v>
      </c>
      <c r="B212" s="36"/>
      <c r="D212" s="114" t="s">
        <v>76</v>
      </c>
      <c r="E212" s="115" t="str">
        <f>E208</f>
        <v>руб/м3</v>
      </c>
      <c r="F212" s="116"/>
      <c r="G212" s="117">
        <f>SUM(G213:G220)</f>
        <v>12.70992956567359</v>
      </c>
      <c r="H212" s="117">
        <f t="shared" ref="H212:Z212" si="364">SUM(H213:H220)</f>
        <v>17.168964167752154</v>
      </c>
      <c r="I212" s="117">
        <f t="shared" si="364"/>
        <v>18.96500505627753</v>
      </c>
      <c r="J212" s="117">
        <f t="shared" si="364"/>
        <v>14.595840588583791</v>
      </c>
      <c r="K212" s="117">
        <f t="shared" si="364"/>
        <v>16.353965715907908</v>
      </c>
      <c r="L212" s="117">
        <f t="shared" si="364"/>
        <v>20.079991400339491</v>
      </c>
      <c r="M212" s="117">
        <f t="shared" si="364"/>
        <v>15.397443650133459</v>
      </c>
      <c r="N212" s="117">
        <f t="shared" si="364"/>
        <v>16.668103932825854</v>
      </c>
      <c r="O212" s="117">
        <f t="shared" si="364"/>
        <v>17.652173735382483</v>
      </c>
      <c r="P212" s="117">
        <f t="shared" si="364"/>
        <v>15.913385768701298</v>
      </c>
      <c r="Q212" s="117">
        <f t="shared" si="364"/>
        <v>16.127366511120162</v>
      </c>
      <c r="R212" s="117">
        <f t="shared" si="364"/>
        <v>12.376296459276505</v>
      </c>
      <c r="S212" s="117" t="e">
        <f t="shared" si="364"/>
        <v>#DIV/0!</v>
      </c>
      <c r="T212" s="117" t="e">
        <f t="shared" si="364"/>
        <v>#DIV/0!</v>
      </c>
      <c r="U212" s="117" t="e">
        <f t="shared" si="364"/>
        <v>#DIV/0!</v>
      </c>
      <c r="V212" s="117" t="e">
        <f t="shared" si="364"/>
        <v>#DIV/0!</v>
      </c>
      <c r="W212" s="117" t="e">
        <f t="shared" si="364"/>
        <v>#DIV/0!</v>
      </c>
      <c r="X212" s="117" t="e">
        <f t="shared" si="364"/>
        <v>#DIV/0!</v>
      </c>
      <c r="Y212" s="117" t="e">
        <f t="shared" si="364"/>
        <v>#DIV/0!</v>
      </c>
      <c r="Z212" s="117" t="e">
        <f t="shared" si="364"/>
        <v>#DIV/0!</v>
      </c>
      <c r="AA212" s="175"/>
    </row>
    <row r="213" spans="1:27" outlineLevel="1" x14ac:dyDescent="0.25">
      <c r="A213" s="36" t="str">
        <f t="shared" si="316"/>
        <v>Sunward SWDRT270SM</v>
      </c>
      <c r="B213" s="36"/>
      <c r="D213" s="100" t="str">
        <f>D197</f>
        <v>ТО, ТР, ППР</v>
      </c>
      <c r="E213" s="101" t="str">
        <f>E212</f>
        <v>руб/м3</v>
      </c>
      <c r="F213" s="102"/>
      <c r="G213" s="103">
        <f t="shared" ref="G213:Z213" si="365">G125/G121</f>
        <v>5.3600246654907391</v>
      </c>
      <c r="H213" s="103">
        <f t="shared" si="365"/>
        <v>9.5958179141790829</v>
      </c>
      <c r="I213" s="103">
        <f t="shared" si="365"/>
        <v>10.852895526647089</v>
      </c>
      <c r="J213" s="103">
        <f t="shared" si="365"/>
        <v>7.0828429544777718</v>
      </c>
      <c r="K213" s="103">
        <f t="shared" si="365"/>
        <v>8.9016281742426742</v>
      </c>
      <c r="L213" s="103">
        <f t="shared" si="365"/>
        <v>11.761794427334067</v>
      </c>
      <c r="M213" s="103">
        <f t="shared" si="365"/>
        <v>7.2360594257853172</v>
      </c>
      <c r="N213" s="103">
        <f t="shared" si="365"/>
        <v>9.3390626850159304</v>
      </c>
      <c r="O213" s="103">
        <f t="shared" si="365"/>
        <v>9.7077720807106189</v>
      </c>
      <c r="P213" s="103">
        <f t="shared" si="365"/>
        <v>7.7837358175842857</v>
      </c>
      <c r="Q213" s="103">
        <f t="shared" si="365"/>
        <v>8.8118609935842134</v>
      </c>
      <c r="R213" s="103">
        <f t="shared" si="365"/>
        <v>5.3110201051147072</v>
      </c>
      <c r="S213" s="103" t="e">
        <f t="shared" si="365"/>
        <v>#DIV/0!</v>
      </c>
      <c r="T213" s="103" t="e">
        <f t="shared" si="365"/>
        <v>#DIV/0!</v>
      </c>
      <c r="U213" s="103" t="e">
        <f t="shared" si="365"/>
        <v>#DIV/0!</v>
      </c>
      <c r="V213" s="103" t="e">
        <f t="shared" si="365"/>
        <v>#DIV/0!</v>
      </c>
      <c r="W213" s="103" t="e">
        <f t="shared" si="365"/>
        <v>#DIV/0!</v>
      </c>
      <c r="X213" s="103" t="e">
        <f t="shared" si="365"/>
        <v>#DIV/0!</v>
      </c>
      <c r="Y213" s="103" t="e">
        <f t="shared" si="365"/>
        <v>#DIV/0!</v>
      </c>
      <c r="Z213" s="103" t="e">
        <f t="shared" si="365"/>
        <v>#DIV/0!</v>
      </c>
      <c r="AA213" s="175"/>
    </row>
    <row r="214" spans="1:27" outlineLevel="1" x14ac:dyDescent="0.25">
      <c r="A214" s="36" t="str">
        <f t="shared" si="316"/>
        <v>Sunward SWDRT270SM</v>
      </c>
      <c r="B214" s="36"/>
      <c r="D214" s="100" t="str">
        <f t="shared" ref="D214:D220" si="366">D198</f>
        <v>Смазочные</v>
      </c>
      <c r="E214" s="101" t="str">
        <f t="shared" ref="E214:E220" si="367">E213</f>
        <v>руб/м3</v>
      </c>
      <c r="F214" s="102"/>
      <c r="G214" s="103">
        <f t="shared" ref="G214:Z214" si="368">G130/G121</f>
        <v>0</v>
      </c>
      <c r="H214" s="103">
        <f t="shared" si="368"/>
        <v>0</v>
      </c>
      <c r="I214" s="103">
        <f t="shared" si="368"/>
        <v>0</v>
      </c>
      <c r="J214" s="103">
        <f t="shared" si="368"/>
        <v>0</v>
      </c>
      <c r="K214" s="103">
        <f t="shared" si="368"/>
        <v>0</v>
      </c>
      <c r="L214" s="103">
        <f t="shared" si="368"/>
        <v>0</v>
      </c>
      <c r="M214" s="103">
        <f t="shared" si="368"/>
        <v>0</v>
      </c>
      <c r="N214" s="103">
        <f t="shared" si="368"/>
        <v>0</v>
      </c>
      <c r="O214" s="103">
        <f t="shared" si="368"/>
        <v>0</v>
      </c>
      <c r="P214" s="103">
        <f t="shared" si="368"/>
        <v>0</v>
      </c>
      <c r="Q214" s="103">
        <f t="shared" si="368"/>
        <v>0</v>
      </c>
      <c r="R214" s="103">
        <f t="shared" si="368"/>
        <v>0</v>
      </c>
      <c r="S214" s="103" t="e">
        <f t="shared" si="368"/>
        <v>#DIV/0!</v>
      </c>
      <c r="T214" s="103" t="e">
        <f t="shared" si="368"/>
        <v>#DIV/0!</v>
      </c>
      <c r="U214" s="103" t="e">
        <f t="shared" si="368"/>
        <v>#DIV/0!</v>
      </c>
      <c r="V214" s="103" t="e">
        <f t="shared" si="368"/>
        <v>#DIV/0!</v>
      </c>
      <c r="W214" s="103" t="e">
        <f t="shared" si="368"/>
        <v>#DIV/0!</v>
      </c>
      <c r="X214" s="103" t="e">
        <f t="shared" si="368"/>
        <v>#DIV/0!</v>
      </c>
      <c r="Y214" s="103" t="e">
        <f t="shared" si="368"/>
        <v>#DIV/0!</v>
      </c>
      <c r="Z214" s="103" t="e">
        <f t="shared" si="368"/>
        <v>#DIV/0!</v>
      </c>
      <c r="AA214" s="175"/>
    </row>
    <row r="215" spans="1:27" outlineLevel="1" x14ac:dyDescent="0.25">
      <c r="A215" s="36" t="str">
        <f t="shared" si="316"/>
        <v>Sunward SWDRT270SM</v>
      </c>
      <c r="B215" s="36"/>
      <c r="D215" s="100" t="str">
        <f t="shared" si="366"/>
        <v>Долота</v>
      </c>
      <c r="E215" s="101" t="str">
        <f t="shared" si="367"/>
        <v>руб/м3</v>
      </c>
      <c r="F215" s="102"/>
      <c r="G215" s="103">
        <f t="shared" ref="G215:Z215" si="369">G132/G121</f>
        <v>0</v>
      </c>
      <c r="H215" s="103">
        <f t="shared" si="369"/>
        <v>0</v>
      </c>
      <c r="I215" s="103">
        <f t="shared" si="369"/>
        <v>0</v>
      </c>
      <c r="J215" s="103">
        <f t="shared" si="369"/>
        <v>0</v>
      </c>
      <c r="K215" s="103">
        <f t="shared" si="369"/>
        <v>0</v>
      </c>
      <c r="L215" s="103">
        <f t="shared" si="369"/>
        <v>0</v>
      </c>
      <c r="M215" s="103">
        <f t="shared" si="369"/>
        <v>0</v>
      </c>
      <c r="N215" s="103">
        <f t="shared" si="369"/>
        <v>0</v>
      </c>
      <c r="O215" s="103">
        <f t="shared" si="369"/>
        <v>0</v>
      </c>
      <c r="P215" s="103">
        <f t="shared" si="369"/>
        <v>0</v>
      </c>
      <c r="Q215" s="103">
        <f t="shared" si="369"/>
        <v>0</v>
      </c>
      <c r="R215" s="103">
        <f t="shared" si="369"/>
        <v>0</v>
      </c>
      <c r="S215" s="103" t="e">
        <f t="shared" si="369"/>
        <v>#DIV/0!</v>
      </c>
      <c r="T215" s="103" t="e">
        <f t="shared" si="369"/>
        <v>#DIV/0!</v>
      </c>
      <c r="U215" s="103" t="e">
        <f t="shared" si="369"/>
        <v>#DIV/0!</v>
      </c>
      <c r="V215" s="103" t="e">
        <f t="shared" si="369"/>
        <v>#DIV/0!</v>
      </c>
      <c r="W215" s="103" t="e">
        <f t="shared" si="369"/>
        <v>#DIV/0!</v>
      </c>
      <c r="X215" s="103" t="e">
        <f t="shared" si="369"/>
        <v>#DIV/0!</v>
      </c>
      <c r="Y215" s="103" t="e">
        <f t="shared" si="369"/>
        <v>#DIV/0!</v>
      </c>
      <c r="Z215" s="103" t="e">
        <f t="shared" si="369"/>
        <v>#DIV/0!</v>
      </c>
      <c r="AA215" s="175"/>
    </row>
    <row r="216" spans="1:27" outlineLevel="1" x14ac:dyDescent="0.25">
      <c r="A216" s="36" t="str">
        <f t="shared" si="316"/>
        <v>Sunward SWDRT270SM</v>
      </c>
      <c r="B216" s="36"/>
      <c r="D216" s="100" t="str">
        <f t="shared" si="366"/>
        <v>Штанги буровые</v>
      </c>
      <c r="E216" s="101" t="str">
        <f t="shared" si="367"/>
        <v>руб/м3</v>
      </c>
      <c r="F216" s="102"/>
      <c r="G216" s="103">
        <f t="shared" ref="G216:Z216" si="370">G136/G121</f>
        <v>0</v>
      </c>
      <c r="H216" s="103">
        <f t="shared" si="370"/>
        <v>0</v>
      </c>
      <c r="I216" s="103">
        <f t="shared" si="370"/>
        <v>0</v>
      </c>
      <c r="J216" s="103">
        <f t="shared" si="370"/>
        <v>0</v>
      </c>
      <c r="K216" s="103">
        <f t="shared" si="370"/>
        <v>0</v>
      </c>
      <c r="L216" s="103">
        <f t="shared" si="370"/>
        <v>0</v>
      </c>
      <c r="M216" s="103">
        <f t="shared" si="370"/>
        <v>0</v>
      </c>
      <c r="N216" s="103">
        <f t="shared" si="370"/>
        <v>0</v>
      </c>
      <c r="O216" s="103">
        <f t="shared" si="370"/>
        <v>0</v>
      </c>
      <c r="P216" s="103">
        <f t="shared" si="370"/>
        <v>0</v>
      </c>
      <c r="Q216" s="103">
        <f t="shared" si="370"/>
        <v>0</v>
      </c>
      <c r="R216" s="103">
        <f t="shared" si="370"/>
        <v>0</v>
      </c>
      <c r="S216" s="103" t="e">
        <f t="shared" si="370"/>
        <v>#DIV/0!</v>
      </c>
      <c r="T216" s="103" t="e">
        <f t="shared" si="370"/>
        <v>#DIV/0!</v>
      </c>
      <c r="U216" s="103" t="e">
        <f t="shared" si="370"/>
        <v>#DIV/0!</v>
      </c>
      <c r="V216" s="103" t="e">
        <f t="shared" si="370"/>
        <v>#DIV/0!</v>
      </c>
      <c r="W216" s="103" t="e">
        <f t="shared" si="370"/>
        <v>#DIV/0!</v>
      </c>
      <c r="X216" s="103" t="e">
        <f t="shared" si="370"/>
        <v>#DIV/0!</v>
      </c>
      <c r="Y216" s="103" t="e">
        <f t="shared" si="370"/>
        <v>#DIV/0!</v>
      </c>
      <c r="Z216" s="103" t="e">
        <f t="shared" si="370"/>
        <v>#DIV/0!</v>
      </c>
      <c r="AA216" s="175"/>
    </row>
    <row r="217" spans="1:27" outlineLevel="1" x14ac:dyDescent="0.25">
      <c r="A217" s="36" t="str">
        <f t="shared" si="316"/>
        <v>Sunward SWDRT270SM</v>
      </c>
      <c r="B217" s="36"/>
      <c r="D217" s="100" t="str">
        <f t="shared" si="366"/>
        <v>Расходники</v>
      </c>
      <c r="E217" s="101" t="str">
        <f t="shared" si="367"/>
        <v>руб/м3</v>
      </c>
      <c r="F217" s="102"/>
      <c r="G217" s="103">
        <f t="shared" ref="G217:Z217" si="371">G140/G121</f>
        <v>0</v>
      </c>
      <c r="H217" s="103">
        <f t="shared" si="371"/>
        <v>0</v>
      </c>
      <c r="I217" s="103">
        <f t="shared" si="371"/>
        <v>0</v>
      </c>
      <c r="J217" s="103">
        <f t="shared" si="371"/>
        <v>0</v>
      </c>
      <c r="K217" s="103">
        <f t="shared" si="371"/>
        <v>0</v>
      </c>
      <c r="L217" s="103">
        <f t="shared" si="371"/>
        <v>0</v>
      </c>
      <c r="M217" s="103">
        <f t="shared" si="371"/>
        <v>0</v>
      </c>
      <c r="N217" s="103">
        <f t="shared" si="371"/>
        <v>0</v>
      </c>
      <c r="O217" s="103">
        <f t="shared" si="371"/>
        <v>0</v>
      </c>
      <c r="P217" s="103">
        <f t="shared" si="371"/>
        <v>0</v>
      </c>
      <c r="Q217" s="103">
        <f t="shared" si="371"/>
        <v>0</v>
      </c>
      <c r="R217" s="103">
        <f t="shared" si="371"/>
        <v>0</v>
      </c>
      <c r="S217" s="103" t="e">
        <f t="shared" si="371"/>
        <v>#DIV/0!</v>
      </c>
      <c r="T217" s="103" t="e">
        <f t="shared" si="371"/>
        <v>#DIV/0!</v>
      </c>
      <c r="U217" s="103" t="e">
        <f t="shared" si="371"/>
        <v>#DIV/0!</v>
      </c>
      <c r="V217" s="103" t="e">
        <f t="shared" si="371"/>
        <v>#DIV/0!</v>
      </c>
      <c r="W217" s="103" t="e">
        <f t="shared" si="371"/>
        <v>#DIV/0!</v>
      </c>
      <c r="X217" s="103" t="e">
        <f t="shared" si="371"/>
        <v>#DIV/0!</v>
      </c>
      <c r="Y217" s="103" t="e">
        <f t="shared" si="371"/>
        <v>#DIV/0!</v>
      </c>
      <c r="Z217" s="103" t="e">
        <f t="shared" si="371"/>
        <v>#DIV/0!</v>
      </c>
      <c r="AA217" s="175"/>
    </row>
    <row r="218" spans="1:27" outlineLevel="1" x14ac:dyDescent="0.25">
      <c r="A218" s="36" t="str">
        <f t="shared" si="316"/>
        <v>Sunward SWDRT270SM</v>
      </c>
      <c r="B218" s="36"/>
      <c r="D218" s="100" t="str">
        <f t="shared" si="366"/>
        <v>Топливо/Электроэнергия</v>
      </c>
      <c r="E218" s="101" t="str">
        <f t="shared" si="367"/>
        <v>руб/м3</v>
      </c>
      <c r="F218" s="102"/>
      <c r="G218" s="103">
        <f t="shared" ref="G218:Z218" si="372">G142/G121</f>
        <v>4.847077590276653</v>
      </c>
      <c r="H218" s="103">
        <f t="shared" si="372"/>
        <v>4.9371616473604272</v>
      </c>
      <c r="I218" s="103">
        <f t="shared" si="372"/>
        <v>5.2453848214392336</v>
      </c>
      <c r="J218" s="103">
        <f t="shared" si="372"/>
        <v>4.9164023752230044</v>
      </c>
      <c r="K218" s="103">
        <f t="shared" si="372"/>
        <v>4.858402817261644</v>
      </c>
      <c r="L218" s="103">
        <f t="shared" si="372"/>
        <v>5.3736443069457254</v>
      </c>
      <c r="M218" s="103">
        <f t="shared" si="372"/>
        <v>5.3135084070820628</v>
      </c>
      <c r="N218" s="103">
        <f t="shared" si="372"/>
        <v>4.7780222577290834</v>
      </c>
      <c r="O218" s="103">
        <f t="shared" si="372"/>
        <v>5.146443321111958</v>
      </c>
      <c r="P218" s="103">
        <f t="shared" si="372"/>
        <v>5.2761048915643736</v>
      </c>
      <c r="Q218" s="103">
        <f t="shared" si="372"/>
        <v>4.7477289523436763</v>
      </c>
      <c r="R218" s="103">
        <f t="shared" si="372"/>
        <v>4.585331392691181</v>
      </c>
      <c r="S218" s="103" t="e">
        <f t="shared" si="372"/>
        <v>#DIV/0!</v>
      </c>
      <c r="T218" s="103" t="e">
        <f t="shared" si="372"/>
        <v>#DIV/0!</v>
      </c>
      <c r="U218" s="103" t="e">
        <f t="shared" si="372"/>
        <v>#DIV/0!</v>
      </c>
      <c r="V218" s="103" t="e">
        <f t="shared" si="372"/>
        <v>#DIV/0!</v>
      </c>
      <c r="W218" s="103" t="e">
        <f t="shared" si="372"/>
        <v>#DIV/0!</v>
      </c>
      <c r="X218" s="103" t="e">
        <f t="shared" si="372"/>
        <v>#DIV/0!</v>
      </c>
      <c r="Y218" s="103" t="e">
        <f t="shared" si="372"/>
        <v>#DIV/0!</v>
      </c>
      <c r="Z218" s="103" t="e">
        <f t="shared" si="372"/>
        <v>#DIV/0!</v>
      </c>
      <c r="AA218" s="175"/>
    </row>
    <row r="219" spans="1:27" outlineLevel="1" x14ac:dyDescent="0.25">
      <c r="A219" s="36" t="str">
        <f t="shared" si="316"/>
        <v>Sunward SWDRT270SM</v>
      </c>
      <c r="B219" s="36"/>
      <c r="D219" s="100" t="str">
        <f t="shared" si="366"/>
        <v>Затраты на персонал</v>
      </c>
      <c r="E219" s="101" t="str">
        <f t="shared" si="367"/>
        <v>руб/м3</v>
      </c>
      <c r="F219" s="102"/>
      <c r="G219" s="103">
        <f t="shared" ref="G219:Z219" si="373">G151/G121</f>
        <v>2.5009170125874429</v>
      </c>
      <c r="H219" s="103">
        <f t="shared" si="373"/>
        <v>2.633972675822724</v>
      </c>
      <c r="I219" s="103">
        <f t="shared" si="373"/>
        <v>2.8645366640932415</v>
      </c>
      <c r="J219" s="103">
        <f t="shared" si="373"/>
        <v>2.594613392638665</v>
      </c>
      <c r="K219" s="103">
        <f t="shared" si="373"/>
        <v>2.5919548888274639</v>
      </c>
      <c r="L219" s="103">
        <f t="shared" si="373"/>
        <v>2.9423052193259034</v>
      </c>
      <c r="M219" s="103">
        <f t="shared" si="373"/>
        <v>2.8457021596923671</v>
      </c>
      <c r="N219" s="103">
        <f t="shared" si="373"/>
        <v>2.5490719101854138</v>
      </c>
      <c r="O219" s="103">
        <f t="shared" si="373"/>
        <v>2.7958227757923217</v>
      </c>
      <c r="P219" s="103">
        <f t="shared" si="373"/>
        <v>2.85136707489719</v>
      </c>
      <c r="Q219" s="103">
        <f t="shared" si="373"/>
        <v>2.5658166949813981</v>
      </c>
      <c r="R219" s="103">
        <f t="shared" si="373"/>
        <v>2.4780521292357234</v>
      </c>
      <c r="S219" s="103" t="e">
        <f t="shared" si="373"/>
        <v>#DIV/0!</v>
      </c>
      <c r="T219" s="103" t="e">
        <f t="shared" si="373"/>
        <v>#DIV/0!</v>
      </c>
      <c r="U219" s="103" t="e">
        <f t="shared" si="373"/>
        <v>#DIV/0!</v>
      </c>
      <c r="V219" s="103" t="e">
        <f t="shared" si="373"/>
        <v>#DIV/0!</v>
      </c>
      <c r="W219" s="103" t="e">
        <f t="shared" si="373"/>
        <v>#DIV/0!</v>
      </c>
      <c r="X219" s="103" t="e">
        <f t="shared" si="373"/>
        <v>#DIV/0!</v>
      </c>
      <c r="Y219" s="103" t="e">
        <f t="shared" si="373"/>
        <v>#DIV/0!</v>
      </c>
      <c r="Z219" s="103" t="e">
        <f t="shared" si="373"/>
        <v>#DIV/0!</v>
      </c>
      <c r="AA219" s="175"/>
    </row>
    <row r="220" spans="1:27" outlineLevel="1" x14ac:dyDescent="0.25">
      <c r="A220" s="36" t="str">
        <f t="shared" si="316"/>
        <v>Sunward SWDRT270SM</v>
      </c>
      <c r="B220" s="36"/>
      <c r="D220" s="100" t="str">
        <f t="shared" si="366"/>
        <v>Транспортный налог</v>
      </c>
      <c r="E220" s="101" t="str">
        <f t="shared" si="367"/>
        <v>руб/м3</v>
      </c>
      <c r="F220" s="102"/>
      <c r="G220" s="103">
        <f t="shared" ref="G220:Z220" si="374">G154/G121</f>
        <v>1.9102973187554442E-3</v>
      </c>
      <c r="H220" s="103">
        <f t="shared" si="374"/>
        <v>2.0119303899226535E-3</v>
      </c>
      <c r="I220" s="103">
        <f t="shared" si="374"/>
        <v>2.1880440979657073E-3</v>
      </c>
      <c r="J220" s="103">
        <f t="shared" si="374"/>
        <v>1.9818662443487644E-3</v>
      </c>
      <c r="K220" s="103">
        <f t="shared" si="374"/>
        <v>1.9798355761271175E-3</v>
      </c>
      <c r="L220" s="103">
        <f t="shared" si="374"/>
        <v>2.2474467337975689E-3</v>
      </c>
      <c r="M220" s="103">
        <f t="shared" si="374"/>
        <v>2.1736575737124082E-3</v>
      </c>
      <c r="N220" s="103">
        <f t="shared" si="374"/>
        <v>1.94707989542766E-3</v>
      </c>
      <c r="O220" s="103">
        <f t="shared" si="374"/>
        <v>2.1355577675829557E-3</v>
      </c>
      <c r="P220" s="103">
        <f t="shared" si="374"/>
        <v>2.1779846554477408E-3</v>
      </c>
      <c r="Q220" s="103">
        <f t="shared" si="374"/>
        <v>1.9598702108751171E-3</v>
      </c>
      <c r="R220" s="103">
        <f t="shared" si="374"/>
        <v>1.892832234891963E-3</v>
      </c>
      <c r="S220" s="103" t="e">
        <f t="shared" si="374"/>
        <v>#DIV/0!</v>
      </c>
      <c r="T220" s="103" t="e">
        <f t="shared" si="374"/>
        <v>#DIV/0!</v>
      </c>
      <c r="U220" s="103" t="e">
        <f t="shared" si="374"/>
        <v>#DIV/0!</v>
      </c>
      <c r="V220" s="103" t="e">
        <f t="shared" si="374"/>
        <v>#DIV/0!</v>
      </c>
      <c r="W220" s="103" t="e">
        <f t="shared" si="374"/>
        <v>#DIV/0!</v>
      </c>
      <c r="X220" s="103" t="e">
        <f t="shared" si="374"/>
        <v>#DIV/0!</v>
      </c>
      <c r="Y220" s="103" t="e">
        <f t="shared" si="374"/>
        <v>#DIV/0!</v>
      </c>
      <c r="Z220" s="103" t="e">
        <f t="shared" si="374"/>
        <v>#DIV/0!</v>
      </c>
      <c r="AA220" s="175"/>
    </row>
    <row r="221" spans="1:27" outlineLevel="1" x14ac:dyDescent="0.25">
      <c r="A221" s="36" t="str">
        <f t="shared" si="316"/>
        <v>Sunward SWDRT270SM</v>
      </c>
      <c r="B221" s="36"/>
      <c r="D221" s="108"/>
      <c r="E221" s="12"/>
      <c r="F221" s="109"/>
      <c r="G221" s="118">
        <f t="shared" ref="G221:Z221" si="375">G212-(G124-G159)/G121</f>
        <v>0</v>
      </c>
      <c r="H221" s="118">
        <f t="shared" si="375"/>
        <v>0</v>
      </c>
      <c r="I221" s="118">
        <f t="shared" si="375"/>
        <v>0</v>
      </c>
      <c r="J221" s="118">
        <f t="shared" si="375"/>
        <v>0</v>
      </c>
      <c r="K221" s="118">
        <f t="shared" si="375"/>
        <v>0</v>
      </c>
      <c r="L221" s="118">
        <f t="shared" si="375"/>
        <v>0</v>
      </c>
      <c r="M221" s="118">
        <f t="shared" si="375"/>
        <v>0</v>
      </c>
      <c r="N221" s="118">
        <f t="shared" si="375"/>
        <v>0</v>
      </c>
      <c r="O221" s="118">
        <f t="shared" si="375"/>
        <v>0</v>
      </c>
      <c r="P221" s="118">
        <f t="shared" si="375"/>
        <v>0</v>
      </c>
      <c r="Q221" s="118">
        <f t="shared" si="375"/>
        <v>0</v>
      </c>
      <c r="R221" s="118">
        <f t="shared" si="375"/>
        <v>0</v>
      </c>
      <c r="S221" s="118" t="e">
        <f t="shared" si="375"/>
        <v>#DIV/0!</v>
      </c>
      <c r="T221" s="118" t="e">
        <f t="shared" si="375"/>
        <v>#DIV/0!</v>
      </c>
      <c r="U221" s="118" t="e">
        <f t="shared" si="375"/>
        <v>#DIV/0!</v>
      </c>
      <c r="V221" s="118" t="e">
        <f t="shared" si="375"/>
        <v>#DIV/0!</v>
      </c>
      <c r="W221" s="118" t="e">
        <f t="shared" si="375"/>
        <v>#DIV/0!</v>
      </c>
      <c r="X221" s="118" t="e">
        <f t="shared" si="375"/>
        <v>#DIV/0!</v>
      </c>
      <c r="Y221" s="118" t="e">
        <f t="shared" si="375"/>
        <v>#DIV/0!</v>
      </c>
      <c r="Z221" s="118" t="e">
        <f t="shared" si="375"/>
        <v>#DIV/0!</v>
      </c>
      <c r="AA221" s="175"/>
    </row>
    <row r="222" spans="1:27" outlineLevel="1" x14ac:dyDescent="0.25">
      <c r="A222" s="2" t="s">
        <v>34</v>
      </c>
      <c r="AA222" s="175"/>
    </row>
    <row r="223" spans="1:27" x14ac:dyDescent="0.25">
      <c r="A223" s="2" t="s">
        <v>34</v>
      </c>
      <c r="AA223" s="175"/>
    </row>
    <row r="224" spans="1:27" ht="14.3" x14ac:dyDescent="0.25">
      <c r="A224" s="2" t="s">
        <v>34</v>
      </c>
      <c r="C224" s="54" t="e">
        <f>SUM(F284:Z284,F298:Z298,F319:Z319,AA266)</f>
        <v>#DIV/0!</v>
      </c>
      <c r="D224" s="673" t="str">
        <f>'Свод_250-270_диз'!H19</f>
        <v>Sunward SWDRT250SM</v>
      </c>
      <c r="E224" s="55">
        <f>SUMIFS(Производительность!$Y$7:$Y$34,Производительность!$C$7:$C$34,$D224)</f>
        <v>12</v>
      </c>
      <c r="F224" s="56" t="str">
        <f>$F$2</f>
        <v>лет</v>
      </c>
      <c r="AA224" s="175"/>
    </row>
    <row r="225" spans="1:28" outlineLevel="1" x14ac:dyDescent="0.25">
      <c r="A225" s="2" t="s">
        <v>34</v>
      </c>
      <c r="AA225" s="175"/>
    </row>
    <row r="226" spans="1:28" outlineLevel="1" x14ac:dyDescent="0.25">
      <c r="A226" s="57" t="str">
        <f>D224</f>
        <v>Sunward SWDRT250SM</v>
      </c>
      <c r="D226" s="58" t="str">
        <f>D$1</f>
        <v>Показатель</v>
      </c>
      <c r="E226" s="58" t="str">
        <f t="shared" ref="E226:Z226" si="376">E$1</f>
        <v>Ед. изм.</v>
      </c>
      <c r="F226" s="58">
        <f t="shared" si="376"/>
        <v>0</v>
      </c>
      <c r="G226" s="58">
        <f t="shared" si="376"/>
        <v>1</v>
      </c>
      <c r="H226" s="58">
        <f t="shared" si="376"/>
        <v>2</v>
      </c>
      <c r="I226" s="58">
        <f t="shared" si="376"/>
        <v>3</v>
      </c>
      <c r="J226" s="58">
        <f t="shared" si="376"/>
        <v>4</v>
      </c>
      <c r="K226" s="58">
        <f t="shared" si="376"/>
        <v>5</v>
      </c>
      <c r="L226" s="58">
        <f t="shared" si="376"/>
        <v>6</v>
      </c>
      <c r="M226" s="58">
        <f t="shared" si="376"/>
        <v>7</v>
      </c>
      <c r="N226" s="58">
        <f t="shared" si="376"/>
        <v>8</v>
      </c>
      <c r="O226" s="58">
        <f t="shared" si="376"/>
        <v>9</v>
      </c>
      <c r="P226" s="58">
        <f t="shared" si="376"/>
        <v>10</v>
      </c>
      <c r="Q226" s="58">
        <f t="shared" si="376"/>
        <v>11</v>
      </c>
      <c r="R226" s="58">
        <f t="shared" si="376"/>
        <v>12</v>
      </c>
      <c r="S226" s="58">
        <f t="shared" si="376"/>
        <v>13</v>
      </c>
      <c r="T226" s="58">
        <f t="shared" si="376"/>
        <v>14</v>
      </c>
      <c r="U226" s="58">
        <f t="shared" si="376"/>
        <v>15</v>
      </c>
      <c r="V226" s="58">
        <f t="shared" si="376"/>
        <v>16</v>
      </c>
      <c r="W226" s="58">
        <f t="shared" si="376"/>
        <v>17</v>
      </c>
      <c r="X226" s="58">
        <f t="shared" si="376"/>
        <v>18</v>
      </c>
      <c r="Y226" s="58">
        <f t="shared" si="376"/>
        <v>19</v>
      </c>
      <c r="Z226" s="58">
        <f t="shared" si="376"/>
        <v>20</v>
      </c>
      <c r="AA226" s="175"/>
    </row>
    <row r="227" spans="1:28" outlineLevel="1" x14ac:dyDescent="0.25">
      <c r="A227" s="36" t="str">
        <f>A226</f>
        <v>Sunward SWDRT250SM</v>
      </c>
      <c r="B227" s="36"/>
      <c r="D227" s="59" t="s">
        <v>39</v>
      </c>
      <c r="E227" s="60" t="s">
        <v>40</v>
      </c>
      <c r="F227" s="61"/>
      <c r="G227" s="62">
        <f>SUMIFS(Производительность!E$7:E$34,Производительность!$C$7:$C$34,$A227)</f>
        <v>0.89479459982242504</v>
      </c>
      <c r="H227" s="62">
        <f>SUMIFS(Производительность!F$7:F$34,Производительность!$C$7:$C$34,$A227)</f>
        <v>0.86538376775748349</v>
      </c>
      <c r="I227" s="62">
        <f>SUMIFS(Производительность!G$7:G$34,Производительность!$C$7:$C$34,$A227)</f>
        <v>0.84540659880771174</v>
      </c>
      <c r="J227" s="62">
        <f>SUMIFS(Производительность!H$7:H$34,Производительность!$C$7:$C$34,$A227)</f>
        <v>0.8748174308726534</v>
      </c>
      <c r="K227" s="62">
        <f>SUMIFS(Производительность!I$7:I$34,Производительность!$C$7:$C$34,$A227)</f>
        <v>0.86538376775748349</v>
      </c>
      <c r="L227" s="62">
        <f>SUMIFS(Производительность!J$7:J$34,Производительность!$C$7:$C$34,$A227)</f>
        <v>0.84318691336884821</v>
      </c>
      <c r="M227" s="62">
        <f>SUMIFS(Производительность!K$7:K$34,Производительность!$C$7:$C$34,$A227)</f>
        <v>0.86205423959918825</v>
      </c>
      <c r="N227" s="62">
        <f>SUMIFS(Производительность!L$7:L$34,Производительность!$C$7:$C$34,$A227)</f>
        <v>0.86538376775748349</v>
      </c>
      <c r="O227" s="62">
        <f>SUMIFS(Производительность!M$7:M$34,Производительность!$C$7:$C$34,$A227)</f>
        <v>0.8498459696854388</v>
      </c>
      <c r="P227" s="62">
        <f>SUMIFS(Производительность!N$7:N$34,Производительность!$C$7:$C$34,$A227)</f>
        <v>0.85428534056316585</v>
      </c>
      <c r="Q227" s="62">
        <f>SUMIFS(Производительность!O$7:O$34,Производительность!$C$7:$C$34,$A227)</f>
        <v>0.85428534056316585</v>
      </c>
      <c r="R227" s="62">
        <f>SUMIFS(Производительность!P$7:P$34,Производительность!$C$7:$C$34,$A227)</f>
        <v>0.85428534056316585</v>
      </c>
      <c r="S227" s="62">
        <f>SUMIFS(Производительность!Q$7:Q$34,Производительность!$C$7:$C$34,$A227)</f>
        <v>0</v>
      </c>
      <c r="T227" s="62">
        <f>SUMIFS(Производительность!R$7:R$34,Производительность!$C$7:$C$34,$A227)</f>
        <v>0</v>
      </c>
      <c r="U227" s="62">
        <f>SUMIFS(Производительность!S$7:S$34,Производительность!$C$7:$C$34,$A227)</f>
        <v>0</v>
      </c>
      <c r="V227" s="62">
        <f>SUMIFS(Производительность!T$7:T$34,Производительность!$C$7:$C$34,$A227)</f>
        <v>0</v>
      </c>
      <c r="W227" s="62">
        <f>SUMIFS(Производительность!U$7:U$34,Производительность!$C$7:$C$34,$A227)</f>
        <v>0</v>
      </c>
      <c r="X227" s="62">
        <f>SUMIFS(Производительность!V$7:V$34,Производительность!$C$7:$C$34,$A227)</f>
        <v>0</v>
      </c>
      <c r="Y227" s="62">
        <f>SUMIFS(Производительность!W$7:W$34,Производительность!$C$7:$C$34,$A227)</f>
        <v>0</v>
      </c>
      <c r="Z227" s="62">
        <f>SUMIFS(Производительность!X$7:X$34,Производительность!$C$7:$C$34,$A227)</f>
        <v>0</v>
      </c>
      <c r="AA227" s="175"/>
    </row>
    <row r="228" spans="1:28" outlineLevel="1" x14ac:dyDescent="0.25">
      <c r="A228" s="36" t="str">
        <f t="shared" ref="A228:A291" si="377">A227</f>
        <v>Sunward SWDRT250SM</v>
      </c>
      <c r="B228" s="36"/>
      <c r="D228" s="59" t="s">
        <v>41</v>
      </c>
      <c r="E228" s="60" t="str">
        <f>E227</f>
        <v>%</v>
      </c>
      <c r="F228" s="61"/>
      <c r="G228" s="62">
        <f>SUMIFS(Производительность!E$115:E$142,Производительность!$C$115:$C$142,$A228)</f>
        <v>0.72339077239211158</v>
      </c>
      <c r="H228" s="62">
        <f>SUMIFS(Производительность!F$115:F$142,Производительность!$C$115:$C$142,$A228)</f>
        <v>0.69961377985284623</v>
      </c>
      <c r="I228" s="62">
        <f>SUMIFS(Производительность!G$115:G$142,Производительность!$C$115:$C$142,$A228)</f>
        <v>0.68346336982617528</v>
      </c>
      <c r="J228" s="62">
        <f>SUMIFS(Производительность!H$115:H$142,Производительность!$C$115:$C$142,$A228)</f>
        <v>0.70724036236544086</v>
      </c>
      <c r="K228" s="62">
        <f>SUMIFS(Производительность!I$115:I$142,Производительность!$C$115:$C$142,$A228)</f>
        <v>0.69961377985284623</v>
      </c>
      <c r="L228" s="62">
        <f>SUMIFS(Производительность!J$115:J$142,Производительность!$C$115:$C$142,$A228)</f>
        <v>0.68166887982321189</v>
      </c>
      <c r="M228" s="62">
        <f>SUMIFS(Производительность!K$115:K$142,Производительность!$C$115:$C$142,$A228)</f>
        <v>0.69692204484840115</v>
      </c>
      <c r="N228" s="62">
        <f>SUMIFS(Производительность!L$115:L$142,Производительность!$C$115:$C$142,$A228)</f>
        <v>0.69961377985284623</v>
      </c>
      <c r="O228" s="62">
        <f>SUMIFS(Производительность!M$115:M$142,Производительность!$C$115:$C$142,$A228)</f>
        <v>0.68705234983210217</v>
      </c>
      <c r="P228" s="62">
        <f>SUMIFS(Производительность!N$115:N$142,Производительность!$C$115:$C$142,$A228)</f>
        <v>0.69064132983802906</v>
      </c>
      <c r="Q228" s="62">
        <f>SUMIFS(Производительность!O$115:O$142,Производительность!$C$115:$C$142,$A228)</f>
        <v>0.69064132983802906</v>
      </c>
      <c r="R228" s="62">
        <f>SUMIFS(Производительность!P$115:P$142,Производительность!$C$115:$C$142,$A228)</f>
        <v>0.69064132983802906</v>
      </c>
      <c r="S228" s="62">
        <f>SUMIFS(Производительность!Q$115:Q$142,Производительность!$C$115:$C$142,$A228)</f>
        <v>0</v>
      </c>
      <c r="T228" s="62">
        <f>SUMIFS(Производительность!R$115:R$142,Производительность!$C$115:$C$142,$A228)</f>
        <v>0</v>
      </c>
      <c r="U228" s="62">
        <f>SUMIFS(Производительность!S$115:S$142,Производительность!$C$115:$C$142,$A228)</f>
        <v>0</v>
      </c>
      <c r="V228" s="62">
        <f>SUMIFS(Производительность!T$115:T$142,Производительность!$C$115:$C$142,$A228)</f>
        <v>0</v>
      </c>
      <c r="W228" s="62">
        <f>SUMIFS(Производительность!U$115:U$142,Производительность!$C$115:$C$142,$A228)</f>
        <v>0</v>
      </c>
      <c r="X228" s="62">
        <f>SUMIFS(Производительность!V$115:V$142,Производительность!$C$115:$C$142,$A228)</f>
        <v>0</v>
      </c>
      <c r="Y228" s="62">
        <f>SUMIFS(Производительность!W$115:W$142,Производительность!$C$115:$C$142,$A228)</f>
        <v>0</v>
      </c>
      <c r="Z228" s="62">
        <f>SUMIFS(Производительность!X$115:X$142,Производительность!$C$115:$C$142,$A228)</f>
        <v>0</v>
      </c>
      <c r="AA228" s="175"/>
    </row>
    <row r="229" spans="1:28" outlineLevel="1" x14ac:dyDescent="0.25">
      <c r="A229" s="36" t="str">
        <f t="shared" si="377"/>
        <v>Sunward SWDRT250SM</v>
      </c>
      <c r="B229" s="36"/>
      <c r="D229" s="63" t="s">
        <v>177</v>
      </c>
      <c r="E229" s="64" t="s">
        <v>171</v>
      </c>
      <c r="F229" s="65"/>
      <c r="G229" s="65">
        <f>SUMIFS(Производительность!E$196:E$223,Производительность!$C$196:$C$223,$A229)</f>
        <v>111.48286255466817</v>
      </c>
      <c r="H229" s="65">
        <f>SUMIFS(Производительность!F$196:F$223,Производительность!$C$196:$C$223,$A229)</f>
        <v>107.81855372964287</v>
      </c>
      <c r="I229" s="65">
        <f>SUMIFS(Производительность!G$196:G$223,Производительность!$C$196:$C$223,$A229)</f>
        <v>105.32958924472</v>
      </c>
      <c r="J229" s="65">
        <f>SUMIFS(Производительность!H$196:H$223,Производительность!$C$196:$C$223,$A229)</f>
        <v>108.99389806974534</v>
      </c>
      <c r="K229" s="65">
        <f>SUMIFS(Производительность!I$196:I$223,Производительность!$C$196:$C$223,$A229)</f>
        <v>107.81855372964287</v>
      </c>
      <c r="L229" s="65">
        <f>SUMIFS(Производительность!J$196:J$223,Производительность!$C$196:$C$223,$A229)</f>
        <v>105.05303763528413</v>
      </c>
      <c r="M229" s="65">
        <f>SUMIFS(Производительность!K$196:K$223,Производительность!$C$196:$C$223,$A229)</f>
        <v>107.40372631548908</v>
      </c>
      <c r="N229" s="65">
        <f>SUMIFS(Производительность!L$196:L$223,Производительность!$C$196:$C$223,$A229)</f>
        <v>107.81855372964287</v>
      </c>
      <c r="O229" s="65">
        <f>SUMIFS(Производительность!M$196:M$223,Производительность!$C$196:$C$223,$A229)</f>
        <v>105.88269246359175</v>
      </c>
      <c r="P229" s="65">
        <f>SUMIFS(Производительность!N$196:N$223,Производительность!$C$196:$C$223,$A229)</f>
        <v>106.43579568246351</v>
      </c>
      <c r="Q229" s="65">
        <f>SUMIFS(Производительность!O$196:O$223,Производительность!$C$196:$C$223,$A229)</f>
        <v>106.43579568246351</v>
      </c>
      <c r="R229" s="65">
        <f>SUMIFS(Производительность!P$196:P$223,Производительность!$C$196:$C$223,$A229)</f>
        <v>106.43579568246351</v>
      </c>
      <c r="S229" s="65">
        <f>SUMIFS(Производительность!Q$196:Q$223,Производительность!$C$196:$C$223,$A229)</f>
        <v>0</v>
      </c>
      <c r="T229" s="65">
        <f>SUMIFS(Производительность!R$196:R$223,Производительность!$C$196:$C$223,$A229)</f>
        <v>0</v>
      </c>
      <c r="U229" s="65">
        <f>SUMIFS(Производительность!S$196:S$223,Производительность!$C$196:$C$223,$A229)</f>
        <v>0</v>
      </c>
      <c r="V229" s="65">
        <f>SUMIFS(Производительность!T$196:T$223,Производительность!$C$196:$C$223,$A229)</f>
        <v>0</v>
      </c>
      <c r="W229" s="65">
        <f>SUMIFS(Производительность!U$196:U$223,Производительность!$C$196:$C$223,$A229)</f>
        <v>0</v>
      </c>
      <c r="X229" s="65">
        <f>SUMIFS(Производительность!V$196:V$223,Производительность!$C$196:$C$223,$A229)</f>
        <v>0</v>
      </c>
      <c r="Y229" s="65">
        <f>SUMIFS(Производительность!W$196:W$223,Производительность!$C$196:$C$223,$A229)</f>
        <v>0</v>
      </c>
      <c r="Z229" s="65">
        <f>SUMIFS(Производительность!X$196:X$223,Производительность!$C$196:$C$223,$A229)</f>
        <v>0</v>
      </c>
      <c r="AA229" s="175"/>
    </row>
    <row r="230" spans="1:28" outlineLevel="1" x14ac:dyDescent="0.25">
      <c r="A230" s="36" t="str">
        <f t="shared" si="377"/>
        <v>Sunward SWDRT250SM</v>
      </c>
      <c r="B230" s="36"/>
      <c r="D230" s="63" t="s">
        <v>178</v>
      </c>
      <c r="E230" s="64" t="s">
        <v>175</v>
      </c>
      <c r="F230" s="65"/>
      <c r="G230" s="65">
        <f>SUMIFS(Производительность!E$250:E$277,Производительность!$C$250:$C$277,$A230)</f>
        <v>5514.52767729466</v>
      </c>
      <c r="H230" s="65">
        <f>SUMIFS(Производительность!F$250:F$277,Производительность!$C$250:$C$277,$A230)</f>
        <v>5235.9601946982157</v>
      </c>
      <c r="I230" s="65">
        <f>SUMIFS(Производительность!G$250:G$277,Производительность!$C$250:$C$277,$A230)</f>
        <v>4814.5224522361423</v>
      </c>
      <c r="J230" s="65">
        <f>SUMIFS(Производительность!H$250:H$277,Производительность!$C$250:$C$277,$A230)</f>
        <v>5315.3876888398408</v>
      </c>
      <c r="K230" s="65">
        <f>SUMIFS(Производительность!I$250:I$277,Производительность!$C$250:$C$277,$A230)</f>
        <v>5320.8395500931756</v>
      </c>
      <c r="L230" s="65">
        <f>SUMIFS(Производительность!J$250:J$277,Производительность!$C$250:$C$277,$A230)</f>
        <v>4687.2690140862414</v>
      </c>
      <c r="M230" s="65">
        <f>SUMIFS(Производительность!K$250:K$277,Производительность!$C$250:$C$277,$A230)</f>
        <v>4846.3877491738067</v>
      </c>
      <c r="N230" s="65">
        <f>SUMIFS(Производительность!L$250:L$277,Производительность!$C$250:$C$277,$A230)</f>
        <v>5410.351912562317</v>
      </c>
      <c r="O230" s="65">
        <f>SUMIFS(Производительность!M$250:M$277,Производительность!$C$250:$C$277,$A230)</f>
        <v>4932.8506098252701</v>
      </c>
      <c r="P230" s="65">
        <f>SUMIFS(Производительность!N$250:N$277,Производительность!$C$250:$C$277,$A230)</f>
        <v>4836.7592534636378</v>
      </c>
      <c r="Q230" s="65">
        <f>SUMIFS(Производительность!O$250:O$277,Производительность!$C$250:$C$277,$A230)</f>
        <v>5375.0433971007105</v>
      </c>
      <c r="R230" s="65">
        <f>SUMIFS(Производительность!P$250:P$277,Производительность!$C$250:$C$277,$A230)</f>
        <v>5565.4099935274744</v>
      </c>
      <c r="S230" s="65">
        <f>SUMIFS(Производительность!Q$250:Q$277,Производительность!$C$250:$C$277,$A230)</f>
        <v>0</v>
      </c>
      <c r="T230" s="65">
        <f>SUMIFS(Производительность!R$250:R$277,Производительность!$C$250:$C$277,$A230)</f>
        <v>0</v>
      </c>
      <c r="U230" s="65">
        <f>SUMIFS(Производительность!S$250:S$277,Производительность!$C$250:$C$277,$A230)</f>
        <v>0</v>
      </c>
      <c r="V230" s="65">
        <f>SUMIFS(Производительность!T$250:T$277,Производительность!$C$250:$C$277,$A230)</f>
        <v>0</v>
      </c>
      <c r="W230" s="65">
        <f>SUMIFS(Производительность!U$250:U$277,Производительность!$C$250:$C$277,$A230)</f>
        <v>0</v>
      </c>
      <c r="X230" s="65">
        <f>SUMIFS(Производительность!V$250:V$277,Производительность!$C$250:$C$277,$A230)</f>
        <v>0</v>
      </c>
      <c r="Y230" s="65">
        <f>SUMIFS(Производительность!W$250:W$277,Производительность!$C$250:$C$277,$A230)</f>
        <v>0</v>
      </c>
      <c r="Z230" s="65">
        <f>SUMIFS(Производительность!X$250:X$277,Производительность!$C$250:$C$277,$A230)</f>
        <v>0</v>
      </c>
      <c r="AA230" s="175"/>
    </row>
    <row r="231" spans="1:28" outlineLevel="1" x14ac:dyDescent="0.25">
      <c r="A231" s="36" t="str">
        <f t="shared" si="377"/>
        <v>Sunward SWDRT250SM</v>
      </c>
      <c r="B231" s="36"/>
      <c r="D231" s="179" t="s">
        <v>179</v>
      </c>
      <c r="E231" s="60" t="str">
        <f>E230</f>
        <v>тыс. м3</v>
      </c>
      <c r="F231" s="61"/>
      <c r="G231" s="320">
        <f>G230</f>
        <v>5514.52767729466</v>
      </c>
      <c r="H231" s="61">
        <f>IF(H230=0,0,G231+H230)</f>
        <v>10750.487871992875</v>
      </c>
      <c r="I231" s="61">
        <f t="shared" ref="I231" si="378">IF(I230=0,0,H231+I230)</f>
        <v>15565.010324229017</v>
      </c>
      <c r="J231" s="61">
        <f t="shared" ref="J231" si="379">IF(J230=0,0,I231+J230)</f>
        <v>20880.398013068858</v>
      </c>
      <c r="K231" s="61">
        <f t="shared" ref="K231" si="380">IF(K230=0,0,J231+K230)</f>
        <v>26201.237563162034</v>
      </c>
      <c r="L231" s="61">
        <f t="shared" ref="L231" si="381">IF(L230=0,0,K231+L230)</f>
        <v>30888.506577248278</v>
      </c>
      <c r="M231" s="61">
        <f t="shared" ref="M231" si="382">IF(M230=0,0,L231+M230)</f>
        <v>35734.894326422087</v>
      </c>
      <c r="N231" s="61">
        <f t="shared" ref="N231" si="383">IF(N230=0,0,M231+N230)</f>
        <v>41145.2462389844</v>
      </c>
      <c r="O231" s="61">
        <f t="shared" ref="O231" si="384">IF(O230=0,0,N231+O230)</f>
        <v>46078.09684880967</v>
      </c>
      <c r="P231" s="61">
        <f t="shared" ref="P231" si="385">IF(P230=0,0,O231+P230)</f>
        <v>50914.856102273305</v>
      </c>
      <c r="Q231" s="61">
        <f t="shared" ref="Q231" si="386">IF(Q230=0,0,P231+Q230)</f>
        <v>56289.899499374013</v>
      </c>
      <c r="R231" s="61">
        <f t="shared" ref="R231" si="387">IF(R230=0,0,Q231+R230)</f>
        <v>61855.309492901484</v>
      </c>
      <c r="S231" s="61">
        <f t="shared" ref="S231" si="388">IF(S230=0,0,R231+S230)</f>
        <v>0</v>
      </c>
      <c r="T231" s="61">
        <f t="shared" ref="T231" si="389">IF(T230=0,0,S231+T230)</f>
        <v>0</v>
      </c>
      <c r="U231" s="61">
        <f t="shared" ref="U231" si="390">IF(U230=0,0,T231+U230)</f>
        <v>0</v>
      </c>
      <c r="V231" s="61">
        <f t="shared" ref="V231" si="391">IF(V230=0,0,U231+V230)</f>
        <v>0</v>
      </c>
      <c r="W231" s="61">
        <f t="shared" ref="W231" si="392">IF(W230=0,0,V231+W230)</f>
        <v>0</v>
      </c>
      <c r="X231" s="61">
        <f t="shared" ref="X231" si="393">IF(X230=0,0,W231+X230)</f>
        <v>0</v>
      </c>
      <c r="Y231" s="61">
        <f t="shared" ref="Y231" si="394">IF(Y230=0,0,X231+Y230)</f>
        <v>0</v>
      </c>
      <c r="Z231" s="61">
        <f t="shared" ref="Z231" si="395">IF(Z230=0,0,Y231+Z230)</f>
        <v>0</v>
      </c>
      <c r="AA231" s="175"/>
    </row>
    <row r="232" spans="1:28" outlineLevel="1" x14ac:dyDescent="0.25">
      <c r="A232" s="36" t="str">
        <f t="shared" si="377"/>
        <v>Sunward SWDRT250SM</v>
      </c>
      <c r="B232" s="36"/>
      <c r="D232" s="30"/>
      <c r="E232" s="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175"/>
    </row>
    <row r="233" spans="1:28" outlineLevel="1" x14ac:dyDescent="0.25">
      <c r="A233" s="36" t="str">
        <f t="shared" si="377"/>
        <v>Sunward SWDRT250SM</v>
      </c>
      <c r="B233" s="36"/>
      <c r="D233" s="66" t="s">
        <v>42</v>
      </c>
      <c r="E233" s="67" t="s">
        <v>21</v>
      </c>
      <c r="F233" s="68">
        <f>F267+F268-F266</f>
        <v>0</v>
      </c>
      <c r="G233" s="68">
        <f t="shared" ref="G233:Z233" si="396">G267+G268-G266</f>
        <v>59880.399227899674</v>
      </c>
      <c r="H233" s="68">
        <f t="shared" si="396"/>
        <v>76802.198666381199</v>
      </c>
      <c r="I233" s="68">
        <f t="shared" si="396"/>
        <v>78008.046394123856</v>
      </c>
      <c r="J233" s="68">
        <f t="shared" si="396"/>
        <v>66282.255763642344</v>
      </c>
      <c r="K233" s="68">
        <f t="shared" si="396"/>
        <v>74342.381366381203</v>
      </c>
      <c r="L233" s="68">
        <f t="shared" si="396"/>
        <v>80411.215040317475</v>
      </c>
      <c r="M233" s="68">
        <f t="shared" si="396"/>
        <v>63752.908704255715</v>
      </c>
      <c r="N233" s="68">
        <f t="shared" si="396"/>
        <v>77045.084666381197</v>
      </c>
      <c r="O233" s="68">
        <f t="shared" si="396"/>
        <v>74392.538581736604</v>
      </c>
      <c r="P233" s="68">
        <f t="shared" si="396"/>
        <v>65758.255715933425</v>
      </c>
      <c r="Q233" s="68">
        <f t="shared" si="396"/>
        <v>74059.138097349351</v>
      </c>
      <c r="R233" s="68">
        <f t="shared" si="396"/>
        <v>58846.561295933418</v>
      </c>
      <c r="S233" s="68">
        <f t="shared" si="396"/>
        <v>0</v>
      </c>
      <c r="T233" s="68">
        <f t="shared" si="396"/>
        <v>0</v>
      </c>
      <c r="U233" s="68">
        <f t="shared" si="396"/>
        <v>0</v>
      </c>
      <c r="V233" s="68">
        <f t="shared" si="396"/>
        <v>0</v>
      </c>
      <c r="W233" s="68">
        <f t="shared" si="396"/>
        <v>0</v>
      </c>
      <c r="X233" s="68">
        <f t="shared" si="396"/>
        <v>0</v>
      </c>
      <c r="Y233" s="68">
        <f t="shared" si="396"/>
        <v>0</v>
      </c>
      <c r="Z233" s="68">
        <f t="shared" si="396"/>
        <v>0</v>
      </c>
      <c r="AA233" s="175"/>
    </row>
    <row r="234" spans="1:28" outlineLevel="1" x14ac:dyDescent="0.25">
      <c r="A234" s="36" t="str">
        <f t="shared" si="377"/>
        <v>Sunward SWDRT250SM</v>
      </c>
      <c r="B234" s="36"/>
      <c r="D234" s="686" t="s">
        <v>43</v>
      </c>
      <c r="E234" s="64" t="str">
        <f>E233</f>
        <v>тыс. руб.</v>
      </c>
      <c r="F234" s="70"/>
      <c r="G234" s="677">
        <f>(G235+G236+G237)*'ФОТ, МТР, макро'!AJ$7</f>
        <v>33670.306372933323</v>
      </c>
      <c r="H234" s="677">
        <f>(H235+H236+H237)*'ФОТ, МТР, макро'!AK$7</f>
        <v>57233.498508154553</v>
      </c>
      <c r="I234" s="677">
        <f>(I235+I236+I237)*'ФОТ, МТР, макро'!AL$7</f>
        <v>59521.079324154562</v>
      </c>
      <c r="J234" s="677">
        <f>(J235+J236+J237)*'ФОТ, МТР, макро'!AM$7</f>
        <v>42885.898932933327</v>
      </c>
      <c r="K234" s="677">
        <f>(K235+K236+K237)*'ФОТ, МТР, макро'!AN$7</f>
        <v>53953.742108154562</v>
      </c>
      <c r="L234" s="677">
        <f>(L235+L236+L237)*'ФОТ, МТР, макро'!AO$7</f>
        <v>62800.835724154545</v>
      </c>
      <c r="M234" s="677">
        <f>(M235+M236+M237)*'ФОТ, МТР, макро'!AP$7</f>
        <v>39947.74253293332</v>
      </c>
      <c r="N234" s="677">
        <f>(N235+N236+N237)*'ФОТ, МТР, макро'!AQ$7</f>
        <v>57557.346508154558</v>
      </c>
      <c r="O234" s="677">
        <f>(O235+O236+O237)*'ФОТ, МТР, макро'!AR$7</f>
        <v>54549.33916415456</v>
      </c>
      <c r="P234" s="677">
        <f>(P235+P236+P237)*'ФОТ, МТР, макро'!AS$7</f>
        <v>42885.898932933327</v>
      </c>
      <c r="Q234" s="677">
        <f>(Q235+Q236+Q237)*'ФОТ, МТР, макро'!AT$7</f>
        <v>53953.742108154562</v>
      </c>
      <c r="R234" s="677">
        <f>(R235+R236+R237)*'ФОТ, МТР, макро'!AU$7</f>
        <v>33670.306372933323</v>
      </c>
      <c r="S234" s="677"/>
      <c r="T234" s="677"/>
      <c r="U234" s="677"/>
      <c r="V234" s="677"/>
      <c r="W234" s="677"/>
      <c r="X234" s="677"/>
      <c r="Y234" s="677"/>
      <c r="Z234" s="677"/>
      <c r="AA234" s="175"/>
      <c r="AB234" s="679">
        <f>SUM(F234:Z234,F239:Z239)/E224</f>
        <v>49385.811382479042</v>
      </c>
    </row>
    <row r="235" spans="1:28" outlineLevel="1" x14ac:dyDescent="0.25">
      <c r="A235" s="36" t="str">
        <f t="shared" si="377"/>
        <v>Sunward SWDRT250SM</v>
      </c>
      <c r="B235" s="36"/>
      <c r="D235" s="674" t="s">
        <v>44</v>
      </c>
      <c r="E235" s="675" t="s">
        <v>654</v>
      </c>
      <c r="F235" s="29"/>
      <c r="G235" s="676">
        <f>SWDRT250SM!E29</f>
        <v>300.62090926166655</v>
      </c>
      <c r="H235" s="676">
        <f>SWDRT250SM!F29</f>
        <v>300.62090926166655</v>
      </c>
      <c r="I235" s="676">
        <f>SWDRT250SM!G29</f>
        <v>300.62090926166655</v>
      </c>
      <c r="J235" s="676">
        <f>SWDRT250SM!H29</f>
        <v>300.62090926166655</v>
      </c>
      <c r="K235" s="676">
        <f>SWDRT250SM!I29</f>
        <v>300.62090926166655</v>
      </c>
      <c r="L235" s="676">
        <f>SWDRT250SM!J29</f>
        <v>300.62090926166655</v>
      </c>
      <c r="M235" s="676">
        <f>SWDRT250SM!K29</f>
        <v>300.62090926166655</v>
      </c>
      <c r="N235" s="676">
        <f>SWDRT250SM!L29</f>
        <v>300.62090926166655</v>
      </c>
      <c r="O235" s="676">
        <f>SWDRT250SM!M29</f>
        <v>300.62090926166655</v>
      </c>
      <c r="P235" s="676">
        <f>SWDRT250SM!N29</f>
        <v>300.62090926166655</v>
      </c>
      <c r="Q235" s="676">
        <f>SWDRT250SM!O29</f>
        <v>300.62090926166655</v>
      </c>
      <c r="R235" s="676">
        <f>SWDRT250SM!P29</f>
        <v>300.62090926166655</v>
      </c>
      <c r="S235" s="676"/>
      <c r="T235" s="676"/>
      <c r="U235" s="676"/>
      <c r="V235" s="676"/>
      <c r="W235" s="676"/>
      <c r="X235" s="676"/>
      <c r="Y235" s="676"/>
      <c r="Z235" s="676"/>
      <c r="AA235" s="175"/>
    </row>
    <row r="236" spans="1:28" outlineLevel="1" x14ac:dyDescent="0.25">
      <c r="A236" s="36" t="str">
        <f t="shared" si="377"/>
        <v>Sunward SWDRT250SM</v>
      </c>
      <c r="B236" s="36"/>
      <c r="D236" s="674" t="s">
        <v>45</v>
      </c>
      <c r="E236" s="675" t="s">
        <v>654</v>
      </c>
      <c r="F236" s="29"/>
      <c r="G236" s="676">
        <f>SWDRT250SM!E30+SWDRT250SM!E31</f>
        <v>89.132770399999998</v>
      </c>
      <c r="H236" s="676">
        <f>SWDRT250SM!F30+SWDRT250SM!F31</f>
        <v>355.11267209026539</v>
      </c>
      <c r="I236" s="676">
        <f>SWDRT250SM!G30+SWDRT250SM!G31</f>
        <v>380.90743229026543</v>
      </c>
      <c r="J236" s="676">
        <f>SWDRT250SM!H30+SWDRT250SM!H31</f>
        <v>186.25647740000002</v>
      </c>
      <c r="K236" s="676">
        <f>SWDRT250SM!I30+SWDRT250SM!I31</f>
        <v>317.61571709026543</v>
      </c>
      <c r="L236" s="676">
        <f>SWDRT250SM!J30+SWDRT250SM!J31</f>
        <v>418.40438729026539</v>
      </c>
      <c r="M236" s="676">
        <f>SWDRT250SM!K30+SWDRT250SM!K31</f>
        <v>148.75952239999998</v>
      </c>
      <c r="N236" s="676">
        <f>SWDRT250SM!L30+SWDRT250SM!L31</f>
        <v>360.49077209026547</v>
      </c>
      <c r="O236" s="676">
        <f>SWDRT250SM!M30+SWDRT250SM!M31</f>
        <v>321.28068029026548</v>
      </c>
      <c r="P236" s="676">
        <f>SWDRT250SM!N30+SWDRT250SM!N31</f>
        <v>186.25647740000002</v>
      </c>
      <c r="Q236" s="676">
        <f>SWDRT250SM!O30+SWDRT250SM!O31</f>
        <v>317.61571709026543</v>
      </c>
      <c r="R236" s="676">
        <f>SWDRT250SM!P30+SWDRT250SM!P31</f>
        <v>89.132770399999998</v>
      </c>
      <c r="S236" s="676"/>
      <c r="T236" s="676"/>
      <c r="U236" s="676"/>
      <c r="V236" s="676"/>
      <c r="W236" s="676"/>
      <c r="X236" s="676"/>
      <c r="Y236" s="676"/>
      <c r="Z236" s="676"/>
      <c r="AA236" s="175"/>
    </row>
    <row r="237" spans="1:28" outlineLevel="1" x14ac:dyDescent="0.25">
      <c r="A237" s="36" t="str">
        <f t="shared" si="377"/>
        <v>Sunward SWDRT250SM</v>
      </c>
      <c r="B237" s="36"/>
      <c r="D237" s="674" t="s">
        <v>46</v>
      </c>
      <c r="E237" s="675" t="s">
        <v>654</v>
      </c>
      <c r="F237" s="29"/>
      <c r="G237" s="676">
        <f>SWDRT250SM!E32+SWDRT250SM!E33</f>
        <v>31.125149999999998</v>
      </c>
      <c r="H237" s="676">
        <f>SWDRT250SM!F32+SWDRT250SM!F33</f>
        <v>59.68515</v>
      </c>
      <c r="I237" s="676">
        <f>SWDRT250SM!G32+SWDRT250SM!G33</f>
        <v>62.485149999999997</v>
      </c>
      <c r="J237" s="676">
        <f>SWDRT250SM!H32+SWDRT250SM!H33</f>
        <v>49.196349999999995</v>
      </c>
      <c r="K237" s="676">
        <f>SWDRT250SM!I32+SWDRT250SM!I33</f>
        <v>56.18515</v>
      </c>
      <c r="L237" s="676">
        <f>SWDRT250SM!J32+SWDRT250SM!J33</f>
        <v>65.985150000000004</v>
      </c>
      <c r="M237" s="676">
        <f>SWDRT250SM!K32+SWDRT250SM!K33</f>
        <v>49.966349999999998</v>
      </c>
      <c r="N237" s="676">
        <f>SWDRT250SM!L32+SWDRT250SM!L33</f>
        <v>58.355150000000002</v>
      </c>
      <c r="O237" s="676">
        <f>SWDRT250SM!M32+SWDRT250SM!M33</f>
        <v>59.965150000000001</v>
      </c>
      <c r="P237" s="676">
        <f>SWDRT250SM!N32+SWDRT250SM!N33</f>
        <v>49.196349999999995</v>
      </c>
      <c r="Q237" s="676">
        <f>SWDRT250SM!O32+SWDRT250SM!O33</f>
        <v>56.18515</v>
      </c>
      <c r="R237" s="676">
        <f>SWDRT250SM!P32+SWDRT250SM!P33</f>
        <v>31.125149999999998</v>
      </c>
      <c r="S237" s="676"/>
      <c r="T237" s="676"/>
      <c r="U237" s="676"/>
      <c r="V237" s="676"/>
      <c r="W237" s="676"/>
      <c r="X237" s="676"/>
      <c r="Y237" s="676"/>
      <c r="Z237" s="676"/>
      <c r="AA237" s="175"/>
    </row>
    <row r="238" spans="1:28" outlineLevel="1" x14ac:dyDescent="0.25">
      <c r="A238" s="36" t="str">
        <f t="shared" si="377"/>
        <v>Sunward SWDRT250SM</v>
      </c>
      <c r="B238" s="36"/>
      <c r="D238" s="76" t="s">
        <v>47</v>
      </c>
      <c r="E238" s="77"/>
      <c r="F238" s="78"/>
      <c r="G238" s="79" t="e">
        <f t="shared" ref="G238:Z238" si="397">G234/$F271</f>
        <v>#DIV/0!</v>
      </c>
      <c r="H238" s="79" t="e">
        <f t="shared" si="397"/>
        <v>#DIV/0!</v>
      </c>
      <c r="I238" s="79" t="e">
        <f t="shared" si="397"/>
        <v>#DIV/0!</v>
      </c>
      <c r="J238" s="79" t="e">
        <f t="shared" si="397"/>
        <v>#DIV/0!</v>
      </c>
      <c r="K238" s="79" t="e">
        <f t="shared" si="397"/>
        <v>#DIV/0!</v>
      </c>
      <c r="L238" s="79" t="e">
        <f t="shared" si="397"/>
        <v>#DIV/0!</v>
      </c>
      <c r="M238" s="79" t="e">
        <f t="shared" si="397"/>
        <v>#DIV/0!</v>
      </c>
      <c r="N238" s="79" t="e">
        <f t="shared" si="397"/>
        <v>#DIV/0!</v>
      </c>
      <c r="O238" s="79" t="e">
        <f t="shared" si="397"/>
        <v>#DIV/0!</v>
      </c>
      <c r="P238" s="79" t="e">
        <f t="shared" si="397"/>
        <v>#DIV/0!</v>
      </c>
      <c r="Q238" s="79" t="e">
        <f t="shared" si="397"/>
        <v>#DIV/0!</v>
      </c>
      <c r="R238" s="79" t="e">
        <f t="shared" si="397"/>
        <v>#DIV/0!</v>
      </c>
      <c r="S238" s="79" t="e">
        <f t="shared" si="397"/>
        <v>#DIV/0!</v>
      </c>
      <c r="T238" s="79" t="e">
        <f t="shared" si="397"/>
        <v>#DIV/0!</v>
      </c>
      <c r="U238" s="79" t="e">
        <f t="shared" si="397"/>
        <v>#DIV/0!</v>
      </c>
      <c r="V238" s="79" t="e">
        <f t="shared" si="397"/>
        <v>#DIV/0!</v>
      </c>
      <c r="W238" s="79" t="e">
        <f t="shared" si="397"/>
        <v>#DIV/0!</v>
      </c>
      <c r="X238" s="79" t="e">
        <f t="shared" si="397"/>
        <v>#DIV/0!</v>
      </c>
      <c r="Y238" s="79" t="e">
        <f t="shared" si="397"/>
        <v>#DIV/0!</v>
      </c>
      <c r="Z238" s="79" t="e">
        <f t="shared" si="397"/>
        <v>#DIV/0!</v>
      </c>
      <c r="AA238" s="182" t="e">
        <f>SUM(F234:Z234)/$F271</f>
        <v>#DIV/0!</v>
      </c>
    </row>
    <row r="239" spans="1:28" outlineLevel="1" x14ac:dyDescent="0.25">
      <c r="A239" s="36" t="str">
        <f t="shared" si="377"/>
        <v>Sunward SWDRT250SM</v>
      </c>
      <c r="B239" s="36"/>
      <c r="D239" s="183" t="s">
        <v>54</v>
      </c>
      <c r="E239" s="64" t="str">
        <f>E233</f>
        <v>тыс. руб.</v>
      </c>
      <c r="F239" s="29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175"/>
    </row>
    <row r="240" spans="1:28" outlineLevel="1" x14ac:dyDescent="0.25">
      <c r="A240" s="36" t="str">
        <f t="shared" si="377"/>
        <v>Sunward SWDRT250SM</v>
      </c>
      <c r="B240" s="36"/>
      <c r="D240" s="63"/>
      <c r="E240" s="64"/>
      <c r="F240" s="29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175"/>
    </row>
    <row r="241" spans="1:27" outlineLevel="1" x14ac:dyDescent="0.25">
      <c r="A241" s="36" t="str">
        <f t="shared" si="377"/>
        <v>Sunward SWDRT250SM</v>
      </c>
      <c r="B241" s="36"/>
      <c r="D241" s="183" t="s">
        <v>183</v>
      </c>
      <c r="E241" s="64" t="str">
        <f>E233</f>
        <v>тыс. руб.</v>
      </c>
      <c r="F241" s="70"/>
      <c r="G241" s="80">
        <f>G243*G244</f>
        <v>0</v>
      </c>
      <c r="H241" s="80">
        <f t="shared" ref="H241:Z241" si="398">H243*H244</f>
        <v>0</v>
      </c>
      <c r="I241" s="80">
        <f t="shared" si="398"/>
        <v>0</v>
      </c>
      <c r="J241" s="80">
        <f t="shared" si="398"/>
        <v>0</v>
      </c>
      <c r="K241" s="80">
        <f t="shared" si="398"/>
        <v>0</v>
      </c>
      <c r="L241" s="80">
        <f t="shared" si="398"/>
        <v>0</v>
      </c>
      <c r="M241" s="80">
        <f t="shared" si="398"/>
        <v>0</v>
      </c>
      <c r="N241" s="80">
        <f t="shared" si="398"/>
        <v>0</v>
      </c>
      <c r="O241" s="80">
        <f t="shared" si="398"/>
        <v>0</v>
      </c>
      <c r="P241" s="80">
        <f t="shared" si="398"/>
        <v>0</v>
      </c>
      <c r="Q241" s="80">
        <f t="shared" si="398"/>
        <v>0</v>
      </c>
      <c r="R241" s="80">
        <f t="shared" si="398"/>
        <v>0</v>
      </c>
      <c r="S241" s="80">
        <f t="shared" si="398"/>
        <v>0</v>
      </c>
      <c r="T241" s="80">
        <f t="shared" si="398"/>
        <v>0</v>
      </c>
      <c r="U241" s="80">
        <f t="shared" si="398"/>
        <v>0</v>
      </c>
      <c r="V241" s="80">
        <f t="shared" si="398"/>
        <v>0</v>
      </c>
      <c r="W241" s="80">
        <f t="shared" si="398"/>
        <v>0</v>
      </c>
      <c r="X241" s="80">
        <f t="shared" si="398"/>
        <v>0</v>
      </c>
      <c r="Y241" s="80">
        <f t="shared" si="398"/>
        <v>0</v>
      </c>
      <c r="Z241" s="80">
        <f t="shared" si="398"/>
        <v>0</v>
      </c>
      <c r="AA241" s="175"/>
    </row>
    <row r="242" spans="1:27" outlineLevel="1" x14ac:dyDescent="0.25">
      <c r="A242" s="36" t="str">
        <f t="shared" si="377"/>
        <v>Sunward SWDRT250SM</v>
      </c>
      <c r="B242" s="36"/>
      <c r="D242" s="187" t="s">
        <v>48</v>
      </c>
      <c r="E242" s="9" t="s">
        <v>185</v>
      </c>
      <c r="F242" s="81">
        <f>SUMIFS('ФОТ, МТР, макро'!$B$4:$B$31,'ФОТ, МТР, макро'!$A$4:$A$31,$A242)</f>
        <v>0</v>
      </c>
      <c r="G242" s="82">
        <f>F242</f>
        <v>0</v>
      </c>
      <c r="H242" s="82">
        <f t="shared" ref="H242" si="399">G242</f>
        <v>0</v>
      </c>
      <c r="I242" s="82">
        <f t="shared" ref="I242" si="400">H242</f>
        <v>0</v>
      </c>
      <c r="J242" s="82">
        <f t="shared" ref="J242" si="401">I242</f>
        <v>0</v>
      </c>
      <c r="K242" s="82">
        <f t="shared" ref="K242" si="402">J242</f>
        <v>0</v>
      </c>
      <c r="L242" s="82">
        <f t="shared" ref="L242" si="403">K242</f>
        <v>0</v>
      </c>
      <c r="M242" s="82">
        <f t="shared" ref="M242" si="404">L242</f>
        <v>0</v>
      </c>
      <c r="N242" s="82">
        <f t="shared" ref="N242" si="405">M242</f>
        <v>0</v>
      </c>
      <c r="O242" s="82">
        <f t="shared" ref="O242" si="406">N242</f>
        <v>0</v>
      </c>
      <c r="P242" s="82">
        <f t="shared" ref="P242" si="407">O242</f>
        <v>0</v>
      </c>
      <c r="Q242" s="82">
        <f t="shared" ref="Q242" si="408">P242</f>
        <v>0</v>
      </c>
      <c r="R242" s="82">
        <f t="shared" ref="R242" si="409">Q242</f>
        <v>0</v>
      </c>
      <c r="S242" s="82">
        <f t="shared" ref="S242" si="410">R242</f>
        <v>0</v>
      </c>
      <c r="T242" s="82">
        <f t="shared" ref="T242" si="411">S242</f>
        <v>0</v>
      </c>
      <c r="U242" s="82">
        <f t="shared" ref="U242" si="412">T242</f>
        <v>0</v>
      </c>
      <c r="V242" s="82">
        <f t="shared" ref="V242" si="413">U242</f>
        <v>0</v>
      </c>
      <c r="W242" s="82">
        <f t="shared" ref="W242" si="414">V242</f>
        <v>0</v>
      </c>
      <c r="X242" s="82">
        <f t="shared" ref="X242" si="415">W242</f>
        <v>0</v>
      </c>
      <c r="Y242" s="82">
        <f t="shared" ref="Y242" si="416">X242</f>
        <v>0</v>
      </c>
      <c r="Z242" s="82">
        <f t="shared" ref="Z242" si="417">Y242</f>
        <v>0</v>
      </c>
      <c r="AA242" s="175"/>
    </row>
    <row r="243" spans="1:27" outlineLevel="1" x14ac:dyDescent="0.25">
      <c r="A243" s="36" t="str">
        <f t="shared" si="377"/>
        <v>Sunward SWDRT250SM</v>
      </c>
      <c r="B243" s="36"/>
      <c r="D243" s="187" t="s">
        <v>49</v>
      </c>
      <c r="E243" s="9" t="s">
        <v>50</v>
      </c>
      <c r="F243" s="70"/>
      <c r="G243" s="74">
        <f>G229*G242</f>
        <v>0</v>
      </c>
      <c r="H243" s="74">
        <f t="shared" ref="H243:Z243" si="418">H229*H242</f>
        <v>0</v>
      </c>
      <c r="I243" s="74">
        <f t="shared" si="418"/>
        <v>0</v>
      </c>
      <c r="J243" s="74">
        <f t="shared" si="418"/>
        <v>0</v>
      </c>
      <c r="K243" s="74">
        <f t="shared" si="418"/>
        <v>0</v>
      </c>
      <c r="L243" s="74">
        <f t="shared" si="418"/>
        <v>0</v>
      </c>
      <c r="M243" s="74">
        <f t="shared" si="418"/>
        <v>0</v>
      </c>
      <c r="N243" s="74">
        <f t="shared" si="418"/>
        <v>0</v>
      </c>
      <c r="O243" s="74">
        <f t="shared" si="418"/>
        <v>0</v>
      </c>
      <c r="P243" s="74">
        <f t="shared" si="418"/>
        <v>0</v>
      </c>
      <c r="Q243" s="74">
        <f t="shared" si="418"/>
        <v>0</v>
      </c>
      <c r="R243" s="74">
        <f t="shared" si="418"/>
        <v>0</v>
      </c>
      <c r="S243" s="74">
        <f t="shared" si="418"/>
        <v>0</v>
      </c>
      <c r="T243" s="74">
        <f t="shared" si="418"/>
        <v>0</v>
      </c>
      <c r="U243" s="74">
        <f t="shared" si="418"/>
        <v>0</v>
      </c>
      <c r="V243" s="74">
        <f t="shared" si="418"/>
        <v>0</v>
      </c>
      <c r="W243" s="74">
        <f t="shared" si="418"/>
        <v>0</v>
      </c>
      <c r="X243" s="74">
        <f t="shared" si="418"/>
        <v>0</v>
      </c>
      <c r="Y243" s="74">
        <f t="shared" si="418"/>
        <v>0</v>
      </c>
      <c r="Z243" s="74">
        <f t="shared" si="418"/>
        <v>0</v>
      </c>
      <c r="AA243" s="175"/>
    </row>
    <row r="244" spans="1:27" outlineLevel="1" x14ac:dyDescent="0.25">
      <c r="A244" s="36" t="str">
        <f t="shared" si="377"/>
        <v>Sunward SWDRT250SM</v>
      </c>
      <c r="B244" s="36"/>
      <c r="D244" s="187" t="s">
        <v>51</v>
      </c>
      <c r="E244" s="9" t="s">
        <v>52</v>
      </c>
      <c r="F244" s="74">
        <f>SUMIFS('ФОТ, МТР, макро'!$C$4:$C$31,'ФОТ, МТР, макро'!$A$4:$A$31,$A244)</f>
        <v>0</v>
      </c>
      <c r="G244" s="83">
        <f>F244</f>
        <v>0</v>
      </c>
      <c r="H244" s="83">
        <f t="shared" ref="H244" si="419">G244</f>
        <v>0</v>
      </c>
      <c r="I244" s="83">
        <f t="shared" ref="I244" si="420">H244</f>
        <v>0</v>
      </c>
      <c r="J244" s="83">
        <f t="shared" ref="J244" si="421">I244</f>
        <v>0</v>
      </c>
      <c r="K244" s="83">
        <f t="shared" ref="K244" si="422">J244</f>
        <v>0</v>
      </c>
      <c r="L244" s="83">
        <f t="shared" ref="L244" si="423">K244</f>
        <v>0</v>
      </c>
      <c r="M244" s="83">
        <f t="shared" ref="M244" si="424">L244</f>
        <v>0</v>
      </c>
      <c r="N244" s="83">
        <f t="shared" ref="N244" si="425">M244</f>
        <v>0</v>
      </c>
      <c r="O244" s="83">
        <f t="shared" ref="O244" si="426">N244</f>
        <v>0</v>
      </c>
      <c r="P244" s="83">
        <f t="shared" ref="P244" si="427">O244</f>
        <v>0</v>
      </c>
      <c r="Q244" s="83">
        <f t="shared" ref="Q244" si="428">P244</f>
        <v>0</v>
      </c>
      <c r="R244" s="83">
        <f t="shared" ref="R244" si="429">Q244</f>
        <v>0</v>
      </c>
      <c r="S244" s="83">
        <f t="shared" ref="S244" si="430">R244</f>
        <v>0</v>
      </c>
      <c r="T244" s="83">
        <f t="shared" ref="T244" si="431">S244</f>
        <v>0</v>
      </c>
      <c r="U244" s="83">
        <f t="shared" ref="U244" si="432">T244</f>
        <v>0</v>
      </c>
      <c r="V244" s="83">
        <f t="shared" ref="V244" si="433">U244</f>
        <v>0</v>
      </c>
      <c r="W244" s="83">
        <f t="shared" ref="W244" si="434">V244</f>
        <v>0</v>
      </c>
      <c r="X244" s="83">
        <f t="shared" ref="X244" si="435">W244</f>
        <v>0</v>
      </c>
      <c r="Y244" s="83">
        <f t="shared" ref="Y244" si="436">X244</f>
        <v>0</v>
      </c>
      <c r="Z244" s="83">
        <f t="shared" ref="Z244" si="437">Y244</f>
        <v>0</v>
      </c>
      <c r="AA244" s="175"/>
    </row>
    <row r="245" spans="1:27" outlineLevel="1" x14ac:dyDescent="0.25">
      <c r="A245" s="36" t="str">
        <f t="shared" si="377"/>
        <v>Sunward SWDRT250SM</v>
      </c>
      <c r="B245" s="36"/>
      <c r="D245" s="183" t="s">
        <v>184</v>
      </c>
      <c r="E245" s="64" t="str">
        <f>E233</f>
        <v>тыс. руб.</v>
      </c>
      <c r="F245" s="70"/>
      <c r="G245" s="80">
        <f>G247*G248</f>
        <v>0</v>
      </c>
      <c r="H245" s="80">
        <f t="shared" ref="H245:Z245" si="438">H247*H248</f>
        <v>0</v>
      </c>
      <c r="I245" s="80">
        <f t="shared" si="438"/>
        <v>0</v>
      </c>
      <c r="J245" s="80">
        <f t="shared" si="438"/>
        <v>0</v>
      </c>
      <c r="K245" s="80">
        <f t="shared" si="438"/>
        <v>0</v>
      </c>
      <c r="L245" s="80">
        <f t="shared" si="438"/>
        <v>0</v>
      </c>
      <c r="M245" s="80">
        <f t="shared" si="438"/>
        <v>0</v>
      </c>
      <c r="N245" s="80">
        <f t="shared" si="438"/>
        <v>0</v>
      </c>
      <c r="O245" s="80">
        <f t="shared" si="438"/>
        <v>0</v>
      </c>
      <c r="P245" s="80">
        <f t="shared" si="438"/>
        <v>0</v>
      </c>
      <c r="Q245" s="80">
        <f t="shared" si="438"/>
        <v>0</v>
      </c>
      <c r="R245" s="80">
        <f t="shared" si="438"/>
        <v>0</v>
      </c>
      <c r="S245" s="80">
        <f t="shared" si="438"/>
        <v>0</v>
      </c>
      <c r="T245" s="80">
        <f t="shared" si="438"/>
        <v>0</v>
      </c>
      <c r="U245" s="80">
        <f t="shared" si="438"/>
        <v>0</v>
      </c>
      <c r="V245" s="80">
        <f t="shared" si="438"/>
        <v>0</v>
      </c>
      <c r="W245" s="80">
        <f t="shared" si="438"/>
        <v>0</v>
      </c>
      <c r="X245" s="80">
        <f t="shared" si="438"/>
        <v>0</v>
      </c>
      <c r="Y245" s="80">
        <f t="shared" si="438"/>
        <v>0</v>
      </c>
      <c r="Z245" s="80">
        <f t="shared" si="438"/>
        <v>0</v>
      </c>
      <c r="AA245" s="175"/>
    </row>
    <row r="246" spans="1:27" outlineLevel="1" x14ac:dyDescent="0.25">
      <c r="A246" s="36" t="str">
        <f t="shared" si="377"/>
        <v>Sunward SWDRT250SM</v>
      </c>
      <c r="B246" s="36"/>
      <c r="D246" s="187" t="s">
        <v>48</v>
      </c>
      <c r="E246" s="9" t="s">
        <v>185</v>
      </c>
      <c r="F246" s="81">
        <f>SUMIFS('ФОТ, МТР, макро'!$E$4:$E$31,'ФОТ, МТР, макро'!$A$4:$A$31,$A246)</f>
        <v>0</v>
      </c>
      <c r="G246" s="82">
        <f>F246</f>
        <v>0</v>
      </c>
      <c r="H246" s="82">
        <f t="shared" ref="H246" si="439">G246</f>
        <v>0</v>
      </c>
      <c r="I246" s="82">
        <f t="shared" ref="I246" si="440">H246</f>
        <v>0</v>
      </c>
      <c r="J246" s="82">
        <f t="shared" ref="J246" si="441">I246</f>
        <v>0</v>
      </c>
      <c r="K246" s="82">
        <f t="shared" ref="K246" si="442">J246</f>
        <v>0</v>
      </c>
      <c r="L246" s="82">
        <f t="shared" ref="L246" si="443">K246</f>
        <v>0</v>
      </c>
      <c r="M246" s="82">
        <f t="shared" ref="M246" si="444">L246</f>
        <v>0</v>
      </c>
      <c r="N246" s="82">
        <f t="shared" ref="N246" si="445">M246</f>
        <v>0</v>
      </c>
      <c r="O246" s="82">
        <f t="shared" ref="O246" si="446">N246</f>
        <v>0</v>
      </c>
      <c r="P246" s="82">
        <f t="shared" ref="P246" si="447">O246</f>
        <v>0</v>
      </c>
      <c r="Q246" s="82">
        <f t="shared" ref="Q246" si="448">P246</f>
        <v>0</v>
      </c>
      <c r="R246" s="82">
        <f t="shared" ref="R246" si="449">Q246</f>
        <v>0</v>
      </c>
      <c r="S246" s="82">
        <f t="shared" ref="S246" si="450">R246</f>
        <v>0</v>
      </c>
      <c r="T246" s="82">
        <f t="shared" ref="T246" si="451">S246</f>
        <v>0</v>
      </c>
      <c r="U246" s="82">
        <f t="shared" ref="U246" si="452">T246</f>
        <v>0</v>
      </c>
      <c r="V246" s="82">
        <f t="shared" ref="V246" si="453">U246</f>
        <v>0</v>
      </c>
      <c r="W246" s="82">
        <f t="shared" ref="W246" si="454">V246</f>
        <v>0</v>
      </c>
      <c r="X246" s="82">
        <f t="shared" ref="X246" si="455">W246</f>
        <v>0</v>
      </c>
      <c r="Y246" s="82">
        <f t="shared" ref="Y246" si="456">X246</f>
        <v>0</v>
      </c>
      <c r="Z246" s="82">
        <f t="shared" ref="Z246" si="457">Y246</f>
        <v>0</v>
      </c>
      <c r="AA246" s="175"/>
    </row>
    <row r="247" spans="1:27" outlineLevel="1" x14ac:dyDescent="0.25">
      <c r="A247" s="36" t="str">
        <f t="shared" si="377"/>
        <v>Sunward SWDRT250SM</v>
      </c>
      <c r="B247" s="36"/>
      <c r="D247" s="187" t="s">
        <v>49</v>
      </c>
      <c r="E247" s="9" t="s">
        <v>50</v>
      </c>
      <c r="F247" s="70"/>
      <c r="G247" s="74">
        <f>G229*G246</f>
        <v>0</v>
      </c>
      <c r="H247" s="74">
        <f t="shared" ref="H247:Z247" si="458">H229*H246</f>
        <v>0</v>
      </c>
      <c r="I247" s="74">
        <f t="shared" si="458"/>
        <v>0</v>
      </c>
      <c r="J247" s="74">
        <f t="shared" si="458"/>
        <v>0</v>
      </c>
      <c r="K247" s="74">
        <f t="shared" si="458"/>
        <v>0</v>
      </c>
      <c r="L247" s="74">
        <f t="shared" si="458"/>
        <v>0</v>
      </c>
      <c r="M247" s="74">
        <f t="shared" si="458"/>
        <v>0</v>
      </c>
      <c r="N247" s="74">
        <f t="shared" si="458"/>
        <v>0</v>
      </c>
      <c r="O247" s="74">
        <f t="shared" si="458"/>
        <v>0</v>
      </c>
      <c r="P247" s="74">
        <f t="shared" si="458"/>
        <v>0</v>
      </c>
      <c r="Q247" s="74">
        <f t="shared" si="458"/>
        <v>0</v>
      </c>
      <c r="R247" s="74">
        <f t="shared" si="458"/>
        <v>0</v>
      </c>
      <c r="S247" s="74">
        <f t="shared" si="458"/>
        <v>0</v>
      </c>
      <c r="T247" s="74">
        <f t="shared" si="458"/>
        <v>0</v>
      </c>
      <c r="U247" s="74">
        <f t="shared" si="458"/>
        <v>0</v>
      </c>
      <c r="V247" s="74">
        <f t="shared" si="458"/>
        <v>0</v>
      </c>
      <c r="W247" s="74">
        <f t="shared" si="458"/>
        <v>0</v>
      </c>
      <c r="X247" s="74">
        <f t="shared" si="458"/>
        <v>0</v>
      </c>
      <c r="Y247" s="74">
        <f t="shared" si="458"/>
        <v>0</v>
      </c>
      <c r="Z247" s="74">
        <f t="shared" si="458"/>
        <v>0</v>
      </c>
      <c r="AA247" s="175"/>
    </row>
    <row r="248" spans="1:27" outlineLevel="1" x14ac:dyDescent="0.25">
      <c r="A248" s="36" t="str">
        <f t="shared" si="377"/>
        <v>Sunward SWDRT250SM</v>
      </c>
      <c r="B248" s="36"/>
      <c r="D248" s="187" t="s">
        <v>51</v>
      </c>
      <c r="E248" s="9" t="s">
        <v>52</v>
      </c>
      <c r="F248" s="74">
        <f>SUMIFS('ФОТ, МТР, макро'!$F$4:$F$31,'ФОТ, МТР, макро'!$A$4:$A$31,$A248)</f>
        <v>0</v>
      </c>
      <c r="G248" s="83">
        <f>F248</f>
        <v>0</v>
      </c>
      <c r="H248" s="83">
        <f t="shared" ref="H248" si="459">G248</f>
        <v>0</v>
      </c>
      <c r="I248" s="83">
        <f t="shared" ref="I248" si="460">H248</f>
        <v>0</v>
      </c>
      <c r="J248" s="83">
        <f t="shared" ref="J248" si="461">I248</f>
        <v>0</v>
      </c>
      <c r="K248" s="83">
        <f t="shared" ref="K248" si="462">J248</f>
        <v>0</v>
      </c>
      <c r="L248" s="83">
        <f t="shared" ref="L248" si="463">K248</f>
        <v>0</v>
      </c>
      <c r="M248" s="83">
        <f t="shared" ref="M248" si="464">L248</f>
        <v>0</v>
      </c>
      <c r="N248" s="83">
        <f t="shared" ref="N248" si="465">M248</f>
        <v>0</v>
      </c>
      <c r="O248" s="83">
        <f t="shared" ref="O248" si="466">N248</f>
        <v>0</v>
      </c>
      <c r="P248" s="83">
        <f t="shared" ref="P248" si="467">O248</f>
        <v>0</v>
      </c>
      <c r="Q248" s="83">
        <f t="shared" ref="Q248" si="468">P248</f>
        <v>0</v>
      </c>
      <c r="R248" s="83">
        <f t="shared" ref="R248" si="469">Q248</f>
        <v>0</v>
      </c>
      <c r="S248" s="83">
        <f t="shared" ref="S248" si="470">R248</f>
        <v>0</v>
      </c>
      <c r="T248" s="83">
        <f t="shared" ref="T248" si="471">S248</f>
        <v>0</v>
      </c>
      <c r="U248" s="83">
        <f t="shared" ref="U248" si="472">T248</f>
        <v>0</v>
      </c>
      <c r="V248" s="83">
        <f t="shared" ref="V248" si="473">U248</f>
        <v>0</v>
      </c>
      <c r="W248" s="83">
        <f t="shared" ref="W248" si="474">V248</f>
        <v>0</v>
      </c>
      <c r="X248" s="83">
        <f t="shared" ref="X248" si="475">W248</f>
        <v>0</v>
      </c>
      <c r="Y248" s="83">
        <f t="shared" ref="Y248" si="476">X248</f>
        <v>0</v>
      </c>
      <c r="Z248" s="83">
        <f t="shared" ref="Z248" si="477">Y248</f>
        <v>0</v>
      </c>
      <c r="AA248" s="175"/>
    </row>
    <row r="249" spans="1:27" outlineLevel="1" x14ac:dyDescent="0.25">
      <c r="A249" s="36" t="str">
        <f t="shared" si="377"/>
        <v>Sunward SWDRT250SM</v>
      </c>
      <c r="B249" s="36"/>
      <c r="D249" s="183" t="s">
        <v>187</v>
      </c>
      <c r="E249" s="64" t="str">
        <f>E233</f>
        <v>тыс. руб.</v>
      </c>
      <c r="F249" s="70"/>
      <c r="G249" s="80">
        <f>G229*G250</f>
        <v>0</v>
      </c>
      <c r="H249" s="80">
        <f t="shared" ref="H249:Z249" si="478">H229*H250</f>
        <v>0</v>
      </c>
      <c r="I249" s="80">
        <f t="shared" si="478"/>
        <v>0</v>
      </c>
      <c r="J249" s="80">
        <f t="shared" si="478"/>
        <v>0</v>
      </c>
      <c r="K249" s="80">
        <f t="shared" si="478"/>
        <v>0</v>
      </c>
      <c r="L249" s="80">
        <f t="shared" si="478"/>
        <v>0</v>
      </c>
      <c r="M249" s="80">
        <f t="shared" si="478"/>
        <v>0</v>
      </c>
      <c r="N249" s="80">
        <f t="shared" si="478"/>
        <v>0</v>
      </c>
      <c r="O249" s="80">
        <f t="shared" si="478"/>
        <v>0</v>
      </c>
      <c r="P249" s="80">
        <f t="shared" si="478"/>
        <v>0</v>
      </c>
      <c r="Q249" s="80">
        <f t="shared" si="478"/>
        <v>0</v>
      </c>
      <c r="R249" s="80">
        <f t="shared" si="478"/>
        <v>0</v>
      </c>
      <c r="S249" s="80">
        <f t="shared" si="478"/>
        <v>0</v>
      </c>
      <c r="T249" s="80">
        <f t="shared" si="478"/>
        <v>0</v>
      </c>
      <c r="U249" s="80">
        <f t="shared" si="478"/>
        <v>0</v>
      </c>
      <c r="V249" s="80">
        <f t="shared" si="478"/>
        <v>0</v>
      </c>
      <c r="W249" s="80">
        <f t="shared" si="478"/>
        <v>0</v>
      </c>
      <c r="X249" s="80">
        <f t="shared" si="478"/>
        <v>0</v>
      </c>
      <c r="Y249" s="80">
        <f t="shared" si="478"/>
        <v>0</v>
      </c>
      <c r="Z249" s="80">
        <f t="shared" si="478"/>
        <v>0</v>
      </c>
      <c r="AA249" s="175"/>
    </row>
    <row r="250" spans="1:27" outlineLevel="1" x14ac:dyDescent="0.25">
      <c r="A250" s="36" t="str">
        <f t="shared" si="377"/>
        <v>Sunward SWDRT250SM</v>
      </c>
      <c r="B250" s="36"/>
      <c r="D250" s="187" t="s">
        <v>48</v>
      </c>
      <c r="E250" s="9" t="s">
        <v>188</v>
      </c>
      <c r="F250" s="74">
        <f>SUMIFS('ФОТ, МТР, макро'!$H$4:$H$31,'ФОТ, МТР, макро'!$A$4:$A$31,$A250)</f>
        <v>0</v>
      </c>
      <c r="G250" s="83">
        <f>F250</f>
        <v>0</v>
      </c>
      <c r="H250" s="83">
        <f t="shared" ref="H250" si="479">G250</f>
        <v>0</v>
      </c>
      <c r="I250" s="83">
        <f t="shared" ref="I250" si="480">H250</f>
        <v>0</v>
      </c>
      <c r="J250" s="83">
        <f t="shared" ref="J250" si="481">I250</f>
        <v>0</v>
      </c>
      <c r="K250" s="83">
        <f t="shared" ref="K250" si="482">J250</f>
        <v>0</v>
      </c>
      <c r="L250" s="83">
        <f t="shared" ref="L250" si="483">K250</f>
        <v>0</v>
      </c>
      <c r="M250" s="83">
        <f t="shared" ref="M250" si="484">L250</f>
        <v>0</v>
      </c>
      <c r="N250" s="83">
        <f t="shared" ref="N250" si="485">M250</f>
        <v>0</v>
      </c>
      <c r="O250" s="83">
        <f t="shared" ref="O250" si="486">N250</f>
        <v>0</v>
      </c>
      <c r="P250" s="83">
        <f t="shared" ref="P250" si="487">O250</f>
        <v>0</v>
      </c>
      <c r="Q250" s="83">
        <f t="shared" ref="Q250" si="488">P250</f>
        <v>0</v>
      </c>
      <c r="R250" s="83">
        <f t="shared" ref="R250" si="489">Q250</f>
        <v>0</v>
      </c>
      <c r="S250" s="83">
        <f t="shared" ref="S250" si="490">R250</f>
        <v>0</v>
      </c>
      <c r="T250" s="83">
        <f t="shared" ref="T250" si="491">S250</f>
        <v>0</v>
      </c>
      <c r="U250" s="83">
        <f t="shared" ref="U250" si="492">T250</f>
        <v>0</v>
      </c>
      <c r="V250" s="83">
        <f t="shared" ref="V250" si="493">U250</f>
        <v>0</v>
      </c>
      <c r="W250" s="83">
        <f t="shared" ref="W250" si="494">V250</f>
        <v>0</v>
      </c>
      <c r="X250" s="83">
        <f t="shared" ref="X250" si="495">W250</f>
        <v>0</v>
      </c>
      <c r="Y250" s="83">
        <f t="shared" ref="Y250" si="496">X250</f>
        <v>0</v>
      </c>
      <c r="Z250" s="83">
        <f t="shared" ref="Z250" si="497">Y250</f>
        <v>0</v>
      </c>
      <c r="AA250" s="175"/>
    </row>
    <row r="251" spans="1:27" outlineLevel="1" x14ac:dyDescent="0.25">
      <c r="A251" s="36" t="str">
        <f t="shared" si="377"/>
        <v>Sunward SWDRT250SM</v>
      </c>
      <c r="B251" s="36"/>
      <c r="C251" s="193">
        <f>SUMIFS('ФОТ, МТР, макро'!$N$4:$N$31,'ФОТ, МТР, макро'!$J$4:$J$31,$A251)</f>
        <v>1</v>
      </c>
      <c r="D251" s="63" t="s">
        <v>189</v>
      </c>
      <c r="E251" s="64" t="str">
        <f>E233</f>
        <v>тыс. руб.</v>
      </c>
      <c r="F251" s="83"/>
      <c r="G251" s="80">
        <f>IF($C251=1,G252,G256)</f>
        <v>30448.103817270814</v>
      </c>
      <c r="H251" s="80">
        <f t="shared" ref="H251:Z251" si="498">IF($C251=1,H252,H256)</f>
        <v>29447.310933358269</v>
      </c>
      <c r="I251" s="80">
        <f t="shared" si="498"/>
        <v>28767.527087681814</v>
      </c>
      <c r="J251" s="80">
        <f t="shared" si="498"/>
        <v>29768.31997159437</v>
      </c>
      <c r="K251" s="80">
        <f t="shared" si="498"/>
        <v>29447.310933358269</v>
      </c>
      <c r="L251" s="80">
        <f t="shared" si="498"/>
        <v>28691.995549273321</v>
      </c>
      <c r="M251" s="80">
        <f t="shared" si="498"/>
        <v>29334.013625745531</v>
      </c>
      <c r="N251" s="80">
        <f t="shared" si="498"/>
        <v>29447.310933358269</v>
      </c>
      <c r="O251" s="80">
        <f t="shared" si="498"/>
        <v>28918.590164498804</v>
      </c>
      <c r="P251" s="80">
        <f t="shared" si="498"/>
        <v>29069.653241315795</v>
      </c>
      <c r="Q251" s="80">
        <f t="shared" si="498"/>
        <v>29069.653241315795</v>
      </c>
      <c r="R251" s="80">
        <f t="shared" si="498"/>
        <v>29069.653241315795</v>
      </c>
      <c r="S251" s="80">
        <f t="shared" si="498"/>
        <v>0</v>
      </c>
      <c r="T251" s="80">
        <f t="shared" si="498"/>
        <v>0</v>
      </c>
      <c r="U251" s="80">
        <f t="shared" si="498"/>
        <v>0</v>
      </c>
      <c r="V251" s="80">
        <f t="shared" si="498"/>
        <v>0</v>
      </c>
      <c r="W251" s="80">
        <f t="shared" si="498"/>
        <v>0</v>
      </c>
      <c r="X251" s="80">
        <f t="shared" si="498"/>
        <v>0</v>
      </c>
      <c r="Y251" s="80">
        <f t="shared" si="498"/>
        <v>0</v>
      </c>
      <c r="Z251" s="80">
        <f t="shared" si="498"/>
        <v>0</v>
      </c>
      <c r="AA251" s="175"/>
    </row>
    <row r="252" spans="1:27" outlineLevel="1" x14ac:dyDescent="0.25">
      <c r="A252" s="36" t="str">
        <f t="shared" si="377"/>
        <v>Sunward SWDRT250SM</v>
      </c>
      <c r="B252" s="36"/>
      <c r="D252" s="192" t="s">
        <v>190</v>
      </c>
      <c r="E252" s="188" t="str">
        <f>E251</f>
        <v>тыс. руб.</v>
      </c>
      <c r="F252" s="189"/>
      <c r="G252" s="190">
        <f>G254*G255</f>
        <v>30448.103817270814</v>
      </c>
      <c r="H252" s="190">
        <f t="shared" ref="H252:Z252" si="499">H254*H255</f>
        <v>29447.310933358269</v>
      </c>
      <c r="I252" s="190">
        <f t="shared" si="499"/>
        <v>28767.527087681814</v>
      </c>
      <c r="J252" s="190">
        <f t="shared" si="499"/>
        <v>29768.31997159437</v>
      </c>
      <c r="K252" s="190">
        <f t="shared" si="499"/>
        <v>29447.310933358269</v>
      </c>
      <c r="L252" s="190">
        <f t="shared" si="499"/>
        <v>28691.995549273321</v>
      </c>
      <c r="M252" s="190">
        <f t="shared" si="499"/>
        <v>29334.013625745531</v>
      </c>
      <c r="N252" s="190">
        <f t="shared" si="499"/>
        <v>29447.310933358269</v>
      </c>
      <c r="O252" s="190">
        <f t="shared" si="499"/>
        <v>28918.590164498804</v>
      </c>
      <c r="P252" s="190">
        <f t="shared" si="499"/>
        <v>29069.653241315795</v>
      </c>
      <c r="Q252" s="190">
        <f t="shared" si="499"/>
        <v>29069.653241315795</v>
      </c>
      <c r="R252" s="190">
        <f t="shared" si="499"/>
        <v>29069.653241315795</v>
      </c>
      <c r="S252" s="190">
        <f t="shared" si="499"/>
        <v>0</v>
      </c>
      <c r="T252" s="190">
        <f t="shared" si="499"/>
        <v>0</v>
      </c>
      <c r="U252" s="190">
        <f t="shared" si="499"/>
        <v>0</v>
      </c>
      <c r="V252" s="190">
        <f t="shared" si="499"/>
        <v>0</v>
      </c>
      <c r="W252" s="190">
        <f t="shared" si="499"/>
        <v>0</v>
      </c>
      <c r="X252" s="190">
        <f t="shared" si="499"/>
        <v>0</v>
      </c>
      <c r="Y252" s="190">
        <f t="shared" si="499"/>
        <v>0</v>
      </c>
      <c r="Z252" s="190">
        <f t="shared" si="499"/>
        <v>0</v>
      </c>
      <c r="AA252" s="175"/>
    </row>
    <row r="253" spans="1:27" outlineLevel="1" x14ac:dyDescent="0.25">
      <c r="A253" s="36" t="str">
        <f t="shared" si="377"/>
        <v>Sunward SWDRT250SM</v>
      </c>
      <c r="B253" s="36"/>
      <c r="D253" s="187" t="s">
        <v>48</v>
      </c>
      <c r="E253" s="73" t="str">
        <f>VLOOKUP($A253,'ФОТ, МТР, макро'!$J$4:$N$31,2,FALSE)</f>
        <v>кг/час</v>
      </c>
      <c r="F253" s="74">
        <f>SUMIFS('ФОТ, МТР, макро'!$L$4:$L$31,'ФОТ, МТР, макро'!$J$4:$J$31,$A253)</f>
        <v>72.780455432499437</v>
      </c>
      <c r="G253" s="83">
        <f>F253</f>
        <v>72.780455432499437</v>
      </c>
      <c r="H253" s="83">
        <f t="shared" ref="H253" si="500">G253</f>
        <v>72.780455432499437</v>
      </c>
      <c r="I253" s="83">
        <f t="shared" ref="I253" si="501">H253</f>
        <v>72.780455432499437</v>
      </c>
      <c r="J253" s="83">
        <f t="shared" ref="J253" si="502">I253</f>
        <v>72.780455432499437</v>
      </c>
      <c r="K253" s="83">
        <f t="shared" ref="K253" si="503">J253</f>
        <v>72.780455432499437</v>
      </c>
      <c r="L253" s="83">
        <f t="shared" ref="L253" si="504">K253</f>
        <v>72.780455432499437</v>
      </c>
      <c r="M253" s="83">
        <f t="shared" ref="M253" si="505">L253</f>
        <v>72.780455432499437</v>
      </c>
      <c r="N253" s="83">
        <f t="shared" ref="N253" si="506">M253</f>
        <v>72.780455432499437</v>
      </c>
      <c r="O253" s="83">
        <f t="shared" ref="O253" si="507">N253</f>
        <v>72.780455432499437</v>
      </c>
      <c r="P253" s="83">
        <f t="shared" ref="P253" si="508">O253</f>
        <v>72.780455432499437</v>
      </c>
      <c r="Q253" s="83">
        <f t="shared" ref="Q253" si="509">P253</f>
        <v>72.780455432499437</v>
      </c>
      <c r="R253" s="83">
        <f t="shared" ref="R253" si="510">Q253</f>
        <v>72.780455432499437</v>
      </c>
      <c r="S253" s="83">
        <f t="shared" ref="S253" si="511">R253</f>
        <v>72.780455432499437</v>
      </c>
      <c r="T253" s="83">
        <f t="shared" ref="T253" si="512">S253</f>
        <v>72.780455432499437</v>
      </c>
      <c r="U253" s="83">
        <f t="shared" ref="U253" si="513">T253</f>
        <v>72.780455432499437</v>
      </c>
      <c r="V253" s="83">
        <f t="shared" ref="V253" si="514">U253</f>
        <v>72.780455432499437</v>
      </c>
      <c r="W253" s="83">
        <f t="shared" ref="W253" si="515">V253</f>
        <v>72.780455432499437</v>
      </c>
      <c r="X253" s="83">
        <f t="shared" ref="X253" si="516">W253</f>
        <v>72.780455432499437</v>
      </c>
      <c r="Y253" s="83">
        <f t="shared" ref="Y253" si="517">X253</f>
        <v>72.780455432499437</v>
      </c>
      <c r="Z253" s="83">
        <f t="shared" ref="Z253" si="518">Y253</f>
        <v>72.780455432499437</v>
      </c>
      <c r="AA253" s="175"/>
    </row>
    <row r="254" spans="1:27" outlineLevel="1" x14ac:dyDescent="0.25">
      <c r="A254" s="36" t="str">
        <f t="shared" si="377"/>
        <v>Sunward SWDRT250SM</v>
      </c>
      <c r="B254" s="36"/>
      <c r="D254" s="187" t="s">
        <v>49</v>
      </c>
      <c r="E254" s="73" t="str">
        <f>IF(E253="кг/час","т","тыс. кВт*ч")</f>
        <v>т</v>
      </c>
      <c r="F254" s="83"/>
      <c r="G254" s="74">
        <f>G$3*G228*G253/1000</f>
        <v>461.20269846440107</v>
      </c>
      <c r="H254" s="74">
        <f t="shared" ref="H254:Z254" si="519">H$3*H228*H253/1000</f>
        <v>446.04351543499274</v>
      </c>
      <c r="I254" s="74">
        <f t="shared" si="519"/>
        <v>435.7467118678473</v>
      </c>
      <c r="J254" s="74">
        <f t="shared" si="519"/>
        <v>450.90589489725579</v>
      </c>
      <c r="K254" s="74">
        <f t="shared" si="519"/>
        <v>446.04351543499274</v>
      </c>
      <c r="L254" s="74">
        <f t="shared" si="519"/>
        <v>434.60262258260894</v>
      </c>
      <c r="M254" s="74">
        <f t="shared" si="519"/>
        <v>444.32738150713521</v>
      </c>
      <c r="N254" s="74">
        <f t="shared" si="519"/>
        <v>446.04351543499274</v>
      </c>
      <c r="O254" s="74">
        <f t="shared" si="519"/>
        <v>438.03489043832406</v>
      </c>
      <c r="P254" s="74">
        <f t="shared" si="519"/>
        <v>440.32306900880081</v>
      </c>
      <c r="Q254" s="74">
        <f t="shared" si="519"/>
        <v>440.32306900880081</v>
      </c>
      <c r="R254" s="74">
        <f t="shared" si="519"/>
        <v>440.32306900880081</v>
      </c>
      <c r="S254" s="74">
        <f t="shared" si="519"/>
        <v>0</v>
      </c>
      <c r="T254" s="74">
        <f t="shared" si="519"/>
        <v>0</v>
      </c>
      <c r="U254" s="74">
        <f t="shared" si="519"/>
        <v>0</v>
      </c>
      <c r="V254" s="74">
        <f t="shared" si="519"/>
        <v>0</v>
      </c>
      <c r="W254" s="74">
        <f t="shared" si="519"/>
        <v>0</v>
      </c>
      <c r="X254" s="74">
        <f t="shared" si="519"/>
        <v>0</v>
      </c>
      <c r="Y254" s="74">
        <f t="shared" si="519"/>
        <v>0</v>
      </c>
      <c r="Z254" s="74">
        <f t="shared" si="519"/>
        <v>0</v>
      </c>
      <c r="AA254" s="175"/>
    </row>
    <row r="255" spans="1:27" outlineLevel="1" x14ac:dyDescent="0.25">
      <c r="A255" s="36" t="str">
        <f t="shared" si="377"/>
        <v>Sunward SWDRT250SM</v>
      </c>
      <c r="B255" s="36"/>
      <c r="D255" s="187" t="s">
        <v>51</v>
      </c>
      <c r="E255" s="73" t="str">
        <f>IF(E254="т","тыс. руб./т","руб./кВт*ч")</f>
        <v>тыс. руб./т</v>
      </c>
      <c r="F255" s="74">
        <f>IF(E254="т",'ФОТ, МТР, макро'!$Q$2,'ФОТ, МТР, макро'!$Q$15)</f>
        <v>66.018919487352079</v>
      </c>
      <c r="G255" s="83">
        <f>F255</f>
        <v>66.018919487352079</v>
      </c>
      <c r="H255" s="83">
        <f t="shared" ref="H255" si="520">G255</f>
        <v>66.018919487352079</v>
      </c>
      <c r="I255" s="83">
        <f t="shared" ref="I255" si="521">H255</f>
        <v>66.018919487352079</v>
      </c>
      <c r="J255" s="83">
        <f t="shared" ref="J255" si="522">I255</f>
        <v>66.018919487352079</v>
      </c>
      <c r="K255" s="83">
        <f t="shared" ref="K255" si="523">J255</f>
        <v>66.018919487352079</v>
      </c>
      <c r="L255" s="83">
        <f t="shared" ref="L255" si="524">K255</f>
        <v>66.018919487352079</v>
      </c>
      <c r="M255" s="83">
        <f t="shared" ref="M255" si="525">L255</f>
        <v>66.018919487352079</v>
      </c>
      <c r="N255" s="83">
        <f t="shared" ref="N255" si="526">M255</f>
        <v>66.018919487352079</v>
      </c>
      <c r="O255" s="83">
        <f t="shared" ref="O255" si="527">N255</f>
        <v>66.018919487352079</v>
      </c>
      <c r="P255" s="83">
        <f t="shared" ref="P255" si="528">O255</f>
        <v>66.018919487352079</v>
      </c>
      <c r="Q255" s="83">
        <f t="shared" ref="Q255" si="529">P255</f>
        <v>66.018919487352079</v>
      </c>
      <c r="R255" s="83">
        <f t="shared" ref="R255" si="530">Q255</f>
        <v>66.018919487352079</v>
      </c>
      <c r="S255" s="83">
        <f t="shared" ref="S255" si="531">R255</f>
        <v>66.018919487352079</v>
      </c>
      <c r="T255" s="83">
        <f t="shared" ref="T255" si="532">S255</f>
        <v>66.018919487352079</v>
      </c>
      <c r="U255" s="83">
        <f t="shared" ref="U255" si="533">T255</f>
        <v>66.018919487352079</v>
      </c>
      <c r="V255" s="83">
        <f t="shared" ref="V255" si="534">U255</f>
        <v>66.018919487352079</v>
      </c>
      <c r="W255" s="83">
        <f t="shared" ref="W255" si="535">V255</f>
        <v>66.018919487352079</v>
      </c>
      <c r="X255" s="83">
        <f t="shared" ref="X255" si="536">W255</f>
        <v>66.018919487352079</v>
      </c>
      <c r="Y255" s="83">
        <f t="shared" ref="Y255" si="537">X255</f>
        <v>66.018919487352079</v>
      </c>
      <c r="Z255" s="83">
        <f t="shared" ref="Z255" si="538">Y255</f>
        <v>66.018919487352079</v>
      </c>
      <c r="AA255" s="175"/>
    </row>
    <row r="256" spans="1:27" outlineLevel="1" x14ac:dyDescent="0.25">
      <c r="A256" s="36" t="str">
        <f t="shared" si="377"/>
        <v>Sunward SWDRT250SM</v>
      </c>
      <c r="B256" s="36"/>
      <c r="D256" s="192" t="s">
        <v>191</v>
      </c>
      <c r="E256" s="188" t="str">
        <f>E252</f>
        <v>тыс. руб.</v>
      </c>
      <c r="F256" s="83"/>
      <c r="G256" s="190">
        <f>G258*G259</f>
        <v>16191.951879875589</v>
      </c>
      <c r="H256" s="190">
        <f t="shared" ref="H256:Z256" si="539">H258*H259</f>
        <v>15659.741719424082</v>
      </c>
      <c r="I256" s="190">
        <f t="shared" si="539"/>
        <v>15298.240478362679</v>
      </c>
      <c r="J256" s="190">
        <f t="shared" si="539"/>
        <v>15830.450638814189</v>
      </c>
      <c r="K256" s="190">
        <f t="shared" si="539"/>
        <v>15659.741719424082</v>
      </c>
      <c r="L256" s="190">
        <f t="shared" si="539"/>
        <v>15258.073673800302</v>
      </c>
      <c r="M256" s="190">
        <f t="shared" si="539"/>
        <v>15599.491512580518</v>
      </c>
      <c r="N256" s="190">
        <f t="shared" si="539"/>
        <v>15659.741719424082</v>
      </c>
      <c r="O256" s="190">
        <f t="shared" si="539"/>
        <v>15378.574087487434</v>
      </c>
      <c r="P256" s="190">
        <f t="shared" si="539"/>
        <v>15458.907696612194</v>
      </c>
      <c r="Q256" s="190">
        <f t="shared" si="539"/>
        <v>15458.907696612194</v>
      </c>
      <c r="R256" s="190">
        <f t="shared" si="539"/>
        <v>15458.907696612194</v>
      </c>
      <c r="S256" s="190">
        <f t="shared" si="539"/>
        <v>0</v>
      </c>
      <c r="T256" s="190">
        <f t="shared" si="539"/>
        <v>0</v>
      </c>
      <c r="U256" s="190">
        <f t="shared" si="539"/>
        <v>0</v>
      </c>
      <c r="V256" s="190">
        <f t="shared" si="539"/>
        <v>0</v>
      </c>
      <c r="W256" s="190">
        <f t="shared" si="539"/>
        <v>0</v>
      </c>
      <c r="X256" s="190">
        <f t="shared" si="539"/>
        <v>0</v>
      </c>
      <c r="Y256" s="190">
        <f t="shared" si="539"/>
        <v>0</v>
      </c>
      <c r="Z256" s="190">
        <f t="shared" si="539"/>
        <v>0</v>
      </c>
      <c r="AA256" s="175"/>
    </row>
    <row r="257" spans="1:28" outlineLevel="1" x14ac:dyDescent="0.25">
      <c r="A257" s="36" t="str">
        <f t="shared" si="377"/>
        <v>Sunward SWDRT250SM</v>
      </c>
      <c r="B257" s="36"/>
      <c r="D257" s="187" t="s">
        <v>48</v>
      </c>
      <c r="E257" s="196" t="str">
        <f>E253</f>
        <v>кг/час</v>
      </c>
      <c r="F257" s="74">
        <f>SUMIFS('ФОТ, МТР, макро'!$M$4:$M$31,'ФОТ, МТР, макро'!$J$4:$J$31,$A257)</f>
        <v>38.703810234974782</v>
      </c>
      <c r="G257" s="83">
        <f>F257</f>
        <v>38.703810234974782</v>
      </c>
      <c r="H257" s="83">
        <f t="shared" ref="H257" si="540">G257</f>
        <v>38.703810234974782</v>
      </c>
      <c r="I257" s="83">
        <f t="shared" ref="I257" si="541">H257</f>
        <v>38.703810234974782</v>
      </c>
      <c r="J257" s="83">
        <f t="shared" ref="J257" si="542">I257</f>
        <v>38.703810234974782</v>
      </c>
      <c r="K257" s="83">
        <f t="shared" ref="K257" si="543">J257</f>
        <v>38.703810234974782</v>
      </c>
      <c r="L257" s="83">
        <f t="shared" ref="L257" si="544">K257</f>
        <v>38.703810234974782</v>
      </c>
      <c r="M257" s="83">
        <f t="shared" ref="M257" si="545">L257</f>
        <v>38.703810234974782</v>
      </c>
      <c r="N257" s="83">
        <f t="shared" ref="N257" si="546">M257</f>
        <v>38.703810234974782</v>
      </c>
      <c r="O257" s="83">
        <f t="shared" ref="O257" si="547">N257</f>
        <v>38.703810234974782</v>
      </c>
      <c r="P257" s="83">
        <f t="shared" ref="P257" si="548">O257</f>
        <v>38.703810234974782</v>
      </c>
      <c r="Q257" s="83">
        <f t="shared" ref="Q257" si="549">P257</f>
        <v>38.703810234974782</v>
      </c>
      <c r="R257" s="83">
        <f t="shared" ref="R257" si="550">Q257</f>
        <v>38.703810234974782</v>
      </c>
      <c r="S257" s="83">
        <f t="shared" ref="S257" si="551">R257</f>
        <v>38.703810234974782</v>
      </c>
      <c r="T257" s="83">
        <f t="shared" ref="T257" si="552">S257</f>
        <v>38.703810234974782</v>
      </c>
      <c r="U257" s="83">
        <f t="shared" ref="U257" si="553">T257</f>
        <v>38.703810234974782</v>
      </c>
      <c r="V257" s="83">
        <f t="shared" ref="V257" si="554">U257</f>
        <v>38.703810234974782</v>
      </c>
      <c r="W257" s="83">
        <f t="shared" ref="W257" si="555">V257</f>
        <v>38.703810234974782</v>
      </c>
      <c r="X257" s="83">
        <f t="shared" ref="X257" si="556">W257</f>
        <v>38.703810234974782</v>
      </c>
      <c r="Y257" s="83">
        <f t="shared" ref="Y257" si="557">X257</f>
        <v>38.703810234974782</v>
      </c>
      <c r="Z257" s="83">
        <f t="shared" ref="Z257" si="558">Y257</f>
        <v>38.703810234974782</v>
      </c>
      <c r="AA257" s="175"/>
    </row>
    <row r="258" spans="1:28" outlineLevel="1" x14ac:dyDescent="0.25">
      <c r="A258" s="36" t="str">
        <f t="shared" si="377"/>
        <v>Sunward SWDRT250SM</v>
      </c>
      <c r="B258" s="36"/>
      <c r="D258" s="187" t="s">
        <v>49</v>
      </c>
      <c r="E258" s="196" t="str">
        <f t="shared" ref="E258:E259" si="559">E254</f>
        <v>т</v>
      </c>
      <c r="F258" s="83"/>
      <c r="G258" s="74">
        <f>G$3*G228*G257/1000</f>
        <v>245.26229762027</v>
      </c>
      <c r="H258" s="74">
        <f t="shared" ref="H258:Z258" si="560">H$3*H228*H257/1000</f>
        <v>237.20081820521435</v>
      </c>
      <c r="I258" s="74">
        <f t="shared" si="560"/>
        <v>231.72509633838402</v>
      </c>
      <c r="J258" s="74">
        <f t="shared" si="560"/>
        <v>239.78657575343976</v>
      </c>
      <c r="K258" s="74">
        <f t="shared" si="560"/>
        <v>237.20081820521435</v>
      </c>
      <c r="L258" s="74">
        <f t="shared" si="560"/>
        <v>231.11668279762512</v>
      </c>
      <c r="M258" s="74">
        <f t="shared" si="560"/>
        <v>236.28819789407601</v>
      </c>
      <c r="N258" s="74">
        <f t="shared" si="560"/>
        <v>237.20081820521435</v>
      </c>
      <c r="O258" s="74">
        <f t="shared" si="560"/>
        <v>232.94192341990185</v>
      </c>
      <c r="P258" s="74">
        <f t="shared" si="560"/>
        <v>234.15875050141975</v>
      </c>
      <c r="Q258" s="74">
        <f t="shared" si="560"/>
        <v>234.15875050141975</v>
      </c>
      <c r="R258" s="74">
        <f t="shared" si="560"/>
        <v>234.15875050141975</v>
      </c>
      <c r="S258" s="74">
        <f t="shared" si="560"/>
        <v>0</v>
      </c>
      <c r="T258" s="74">
        <f t="shared" si="560"/>
        <v>0</v>
      </c>
      <c r="U258" s="74">
        <f t="shared" si="560"/>
        <v>0</v>
      </c>
      <c r="V258" s="74">
        <f t="shared" si="560"/>
        <v>0</v>
      </c>
      <c r="W258" s="74">
        <f t="shared" si="560"/>
        <v>0</v>
      </c>
      <c r="X258" s="74">
        <f t="shared" si="560"/>
        <v>0</v>
      </c>
      <c r="Y258" s="74">
        <f t="shared" si="560"/>
        <v>0</v>
      </c>
      <c r="Z258" s="74">
        <f t="shared" si="560"/>
        <v>0</v>
      </c>
      <c r="AA258" s="175"/>
    </row>
    <row r="259" spans="1:28" outlineLevel="1" x14ac:dyDescent="0.25">
      <c r="A259" s="36" t="str">
        <f t="shared" si="377"/>
        <v>Sunward SWDRT250SM</v>
      </c>
      <c r="B259" s="36"/>
      <c r="D259" s="187" t="s">
        <v>51</v>
      </c>
      <c r="E259" s="196" t="str">
        <f t="shared" si="559"/>
        <v>тыс. руб./т</v>
      </c>
      <c r="F259" s="83"/>
      <c r="G259" s="83">
        <f>G255</f>
        <v>66.018919487352079</v>
      </c>
      <c r="H259" s="83">
        <f t="shared" ref="H259:Z259" si="561">H255</f>
        <v>66.018919487352079</v>
      </c>
      <c r="I259" s="83">
        <f t="shared" si="561"/>
        <v>66.018919487352079</v>
      </c>
      <c r="J259" s="83">
        <f t="shared" si="561"/>
        <v>66.018919487352079</v>
      </c>
      <c r="K259" s="83">
        <f t="shared" si="561"/>
        <v>66.018919487352079</v>
      </c>
      <c r="L259" s="83">
        <f t="shared" si="561"/>
        <v>66.018919487352079</v>
      </c>
      <c r="M259" s="83">
        <f t="shared" si="561"/>
        <v>66.018919487352079</v>
      </c>
      <c r="N259" s="83">
        <f t="shared" si="561"/>
        <v>66.018919487352079</v>
      </c>
      <c r="O259" s="83">
        <f t="shared" si="561"/>
        <v>66.018919487352079</v>
      </c>
      <c r="P259" s="83">
        <f t="shared" si="561"/>
        <v>66.018919487352079</v>
      </c>
      <c r="Q259" s="83">
        <f t="shared" si="561"/>
        <v>66.018919487352079</v>
      </c>
      <c r="R259" s="83">
        <f t="shared" si="561"/>
        <v>66.018919487352079</v>
      </c>
      <c r="S259" s="83">
        <f t="shared" si="561"/>
        <v>66.018919487352079</v>
      </c>
      <c r="T259" s="83">
        <f t="shared" si="561"/>
        <v>66.018919487352079</v>
      </c>
      <c r="U259" s="83">
        <f t="shared" si="561"/>
        <v>66.018919487352079</v>
      </c>
      <c r="V259" s="83">
        <f t="shared" si="561"/>
        <v>66.018919487352079</v>
      </c>
      <c r="W259" s="83">
        <f t="shared" si="561"/>
        <v>66.018919487352079</v>
      </c>
      <c r="X259" s="83">
        <f t="shared" si="561"/>
        <v>66.018919487352079</v>
      </c>
      <c r="Y259" s="83">
        <f t="shared" si="561"/>
        <v>66.018919487352079</v>
      </c>
      <c r="Z259" s="83">
        <f t="shared" si="561"/>
        <v>66.018919487352079</v>
      </c>
      <c r="AA259" s="175"/>
    </row>
    <row r="260" spans="1:28" outlineLevel="1" x14ac:dyDescent="0.25">
      <c r="A260" s="36" t="str">
        <f t="shared" si="377"/>
        <v>Sunward SWDRT250SM</v>
      </c>
      <c r="B260" s="36"/>
      <c r="D260" s="63" t="s">
        <v>55</v>
      </c>
      <c r="E260" s="64" t="str">
        <f>E233</f>
        <v>тыс. руб.</v>
      </c>
      <c r="F260" s="70"/>
      <c r="G260" s="80">
        <f>G261+G262</f>
        <v>15710.122113662099</v>
      </c>
      <c r="H260" s="80">
        <f t="shared" ref="H260:Z260" si="562">H261+H262</f>
        <v>15710.122113662099</v>
      </c>
      <c r="I260" s="80">
        <f t="shared" si="562"/>
        <v>15710.122113662099</v>
      </c>
      <c r="J260" s="80">
        <f t="shared" si="562"/>
        <v>15710.122113662099</v>
      </c>
      <c r="K260" s="80">
        <f t="shared" si="562"/>
        <v>15710.122113662099</v>
      </c>
      <c r="L260" s="80">
        <f t="shared" si="562"/>
        <v>15710.122113662099</v>
      </c>
      <c r="M260" s="80">
        <f t="shared" si="562"/>
        <v>15710.122113662099</v>
      </c>
      <c r="N260" s="80">
        <f t="shared" si="562"/>
        <v>15710.122113662099</v>
      </c>
      <c r="O260" s="80">
        <f t="shared" si="562"/>
        <v>15710.122113662099</v>
      </c>
      <c r="P260" s="80">
        <f t="shared" si="562"/>
        <v>15710.122113662099</v>
      </c>
      <c r="Q260" s="80">
        <f t="shared" si="562"/>
        <v>15710.122113662099</v>
      </c>
      <c r="R260" s="80">
        <f t="shared" si="562"/>
        <v>15710.122113662099</v>
      </c>
      <c r="S260" s="80">
        <f t="shared" si="562"/>
        <v>0</v>
      </c>
      <c r="T260" s="80">
        <f t="shared" si="562"/>
        <v>0</v>
      </c>
      <c r="U260" s="80">
        <f t="shared" si="562"/>
        <v>0</v>
      </c>
      <c r="V260" s="80">
        <f t="shared" si="562"/>
        <v>0</v>
      </c>
      <c r="W260" s="80">
        <f t="shared" si="562"/>
        <v>0</v>
      </c>
      <c r="X260" s="80">
        <f t="shared" si="562"/>
        <v>0</v>
      </c>
      <c r="Y260" s="80">
        <f t="shared" si="562"/>
        <v>0</v>
      </c>
      <c r="Z260" s="80">
        <f t="shared" si="562"/>
        <v>0</v>
      </c>
      <c r="AA260" s="175"/>
    </row>
    <row r="261" spans="1:28" outlineLevel="1" x14ac:dyDescent="0.25">
      <c r="A261" s="36" t="str">
        <f t="shared" si="377"/>
        <v>Sunward SWDRT250SM</v>
      </c>
      <c r="B261" s="36"/>
      <c r="D261" s="187" t="s">
        <v>213</v>
      </c>
      <c r="E261" s="9" t="str">
        <f>E260</f>
        <v>тыс. руб.</v>
      </c>
      <c r="F261" s="74">
        <f>SUMIFS('ФОТ, МТР, макро'!$X$4:$X$31,'ФОТ, МТР, макро'!$W$4:$W$31,$A261)</f>
        <v>12529.553373000001</v>
      </c>
      <c r="G261" s="83">
        <f>IF(G229=0,0,$F261)</f>
        <v>12529.553373000001</v>
      </c>
      <c r="H261" s="83">
        <f t="shared" ref="H261:Z261" si="563">IF(H229=0,0,$F261)</f>
        <v>12529.553373000001</v>
      </c>
      <c r="I261" s="83">
        <f t="shared" si="563"/>
        <v>12529.553373000001</v>
      </c>
      <c r="J261" s="83">
        <f t="shared" si="563"/>
        <v>12529.553373000001</v>
      </c>
      <c r="K261" s="83">
        <f t="shared" si="563"/>
        <v>12529.553373000001</v>
      </c>
      <c r="L261" s="83">
        <f t="shared" si="563"/>
        <v>12529.553373000001</v>
      </c>
      <c r="M261" s="83">
        <f t="shared" si="563"/>
        <v>12529.553373000001</v>
      </c>
      <c r="N261" s="83">
        <f t="shared" si="563"/>
        <v>12529.553373000001</v>
      </c>
      <c r="O261" s="83">
        <f t="shared" si="563"/>
        <v>12529.553373000001</v>
      </c>
      <c r="P261" s="83">
        <f t="shared" si="563"/>
        <v>12529.553373000001</v>
      </c>
      <c r="Q261" s="83">
        <f t="shared" si="563"/>
        <v>12529.553373000001</v>
      </c>
      <c r="R261" s="83">
        <f t="shared" si="563"/>
        <v>12529.553373000001</v>
      </c>
      <c r="S261" s="83">
        <f t="shared" si="563"/>
        <v>0</v>
      </c>
      <c r="T261" s="83">
        <f t="shared" si="563"/>
        <v>0</v>
      </c>
      <c r="U261" s="83">
        <f t="shared" si="563"/>
        <v>0</v>
      </c>
      <c r="V261" s="83">
        <f t="shared" si="563"/>
        <v>0</v>
      </c>
      <c r="W261" s="83">
        <f t="shared" si="563"/>
        <v>0</v>
      </c>
      <c r="X261" s="83">
        <f t="shared" si="563"/>
        <v>0</v>
      </c>
      <c r="Y261" s="83">
        <f t="shared" si="563"/>
        <v>0</v>
      </c>
      <c r="Z261" s="83">
        <f t="shared" si="563"/>
        <v>0</v>
      </c>
      <c r="AA261" s="175"/>
    </row>
    <row r="262" spans="1:28" outlineLevel="1" x14ac:dyDescent="0.25">
      <c r="A262" s="36" t="str">
        <f t="shared" si="377"/>
        <v>Sunward SWDRT250SM</v>
      </c>
      <c r="B262" s="36"/>
      <c r="D262" s="187" t="s">
        <v>56</v>
      </c>
      <c r="E262" s="9"/>
      <c r="F262" s="74">
        <f>SUMIFS('ФОТ, МТР, макро'!$Y$4:$Y$31,'ФОТ, МТР, макро'!$W$4:$W$31,$A262)</f>
        <v>3180.5687406620973</v>
      </c>
      <c r="G262" s="83">
        <f t="shared" ref="G262:Z262" si="564">IF(G229=0,0,$F262)</f>
        <v>3180.5687406620973</v>
      </c>
      <c r="H262" s="83">
        <f t="shared" si="564"/>
        <v>3180.5687406620973</v>
      </c>
      <c r="I262" s="83">
        <f t="shared" si="564"/>
        <v>3180.5687406620973</v>
      </c>
      <c r="J262" s="83">
        <f t="shared" si="564"/>
        <v>3180.5687406620973</v>
      </c>
      <c r="K262" s="83">
        <f t="shared" si="564"/>
        <v>3180.5687406620973</v>
      </c>
      <c r="L262" s="83">
        <f t="shared" si="564"/>
        <v>3180.5687406620973</v>
      </c>
      <c r="M262" s="83">
        <f t="shared" si="564"/>
        <v>3180.5687406620973</v>
      </c>
      <c r="N262" s="83">
        <f t="shared" si="564"/>
        <v>3180.5687406620973</v>
      </c>
      <c r="O262" s="83">
        <f t="shared" si="564"/>
        <v>3180.5687406620973</v>
      </c>
      <c r="P262" s="83">
        <f t="shared" si="564"/>
        <v>3180.5687406620973</v>
      </c>
      <c r="Q262" s="83">
        <f t="shared" si="564"/>
        <v>3180.5687406620973</v>
      </c>
      <c r="R262" s="83">
        <f t="shared" si="564"/>
        <v>3180.5687406620973</v>
      </c>
      <c r="S262" s="83">
        <f t="shared" si="564"/>
        <v>0</v>
      </c>
      <c r="T262" s="83">
        <f t="shared" si="564"/>
        <v>0</v>
      </c>
      <c r="U262" s="83">
        <f t="shared" si="564"/>
        <v>0</v>
      </c>
      <c r="V262" s="83">
        <f t="shared" si="564"/>
        <v>0</v>
      </c>
      <c r="W262" s="83">
        <f t="shared" si="564"/>
        <v>0</v>
      </c>
      <c r="X262" s="83">
        <f t="shared" si="564"/>
        <v>0</v>
      </c>
      <c r="Y262" s="83">
        <f t="shared" si="564"/>
        <v>0</v>
      </c>
      <c r="Z262" s="83">
        <f t="shared" si="564"/>
        <v>0</v>
      </c>
      <c r="AA262" s="175"/>
    </row>
    <row r="263" spans="1:28" outlineLevel="1" x14ac:dyDescent="0.25">
      <c r="A263" s="36" t="str">
        <f t="shared" si="377"/>
        <v>Sunward SWDRT250SM</v>
      </c>
      <c r="B263" s="36"/>
      <c r="D263" s="85" t="s">
        <v>57</v>
      </c>
      <c r="E263" s="64" t="str">
        <f>E233</f>
        <v>тыс. руб.</v>
      </c>
      <c r="F263" s="70"/>
      <c r="G263" s="80">
        <f t="shared" ref="G263:Z263" si="565">IF(G229=0,0,G264*G265/1000)</f>
        <v>12</v>
      </c>
      <c r="H263" s="80">
        <f t="shared" si="565"/>
        <v>12</v>
      </c>
      <c r="I263" s="80">
        <f t="shared" si="565"/>
        <v>12</v>
      </c>
      <c r="J263" s="80">
        <f t="shared" si="565"/>
        <v>12</v>
      </c>
      <c r="K263" s="80">
        <f t="shared" si="565"/>
        <v>12</v>
      </c>
      <c r="L263" s="80">
        <f t="shared" si="565"/>
        <v>12</v>
      </c>
      <c r="M263" s="80">
        <f t="shared" si="565"/>
        <v>12</v>
      </c>
      <c r="N263" s="80">
        <f t="shared" si="565"/>
        <v>12</v>
      </c>
      <c r="O263" s="80">
        <f t="shared" si="565"/>
        <v>12</v>
      </c>
      <c r="P263" s="80">
        <f t="shared" si="565"/>
        <v>12</v>
      </c>
      <c r="Q263" s="80">
        <f t="shared" si="565"/>
        <v>12</v>
      </c>
      <c r="R263" s="80">
        <f t="shared" si="565"/>
        <v>12</v>
      </c>
      <c r="S263" s="80">
        <f t="shared" si="565"/>
        <v>0</v>
      </c>
      <c r="T263" s="80">
        <f t="shared" si="565"/>
        <v>0</v>
      </c>
      <c r="U263" s="80">
        <f t="shared" si="565"/>
        <v>0</v>
      </c>
      <c r="V263" s="80">
        <f t="shared" si="565"/>
        <v>0</v>
      </c>
      <c r="W263" s="80">
        <f t="shared" si="565"/>
        <v>0</v>
      </c>
      <c r="X263" s="80">
        <f t="shared" si="565"/>
        <v>0</v>
      </c>
      <c r="Y263" s="80">
        <f t="shared" si="565"/>
        <v>0</v>
      </c>
      <c r="Z263" s="80">
        <f t="shared" si="565"/>
        <v>0</v>
      </c>
      <c r="AA263" s="175"/>
    </row>
    <row r="264" spans="1:28" outlineLevel="1" x14ac:dyDescent="0.25">
      <c r="A264" s="36" t="str">
        <f t="shared" si="377"/>
        <v>Sunward SWDRT250SM</v>
      </c>
      <c r="B264" s="36"/>
      <c r="D264" s="30" t="s">
        <v>58</v>
      </c>
      <c r="E264" s="9" t="s">
        <v>10</v>
      </c>
      <c r="F264" s="74">
        <f>SUMIFS('ФОТ, МТР, макро'!$AB$4:$AB$31,'ФОТ, МТР, макро'!$W$4:$W$31,$A264)</f>
        <v>800</v>
      </c>
      <c r="G264" s="83">
        <f>F264</f>
        <v>800</v>
      </c>
      <c r="H264" s="83">
        <f t="shared" ref="H264:H265" si="566">G264</f>
        <v>800</v>
      </c>
      <c r="I264" s="83">
        <f t="shared" ref="I264:I265" si="567">H264</f>
        <v>800</v>
      </c>
      <c r="J264" s="83">
        <f t="shared" ref="J264:J265" si="568">I264</f>
        <v>800</v>
      </c>
      <c r="K264" s="83">
        <f t="shared" ref="K264:K265" si="569">J264</f>
        <v>800</v>
      </c>
      <c r="L264" s="83">
        <f t="shared" ref="L264:L265" si="570">K264</f>
        <v>800</v>
      </c>
      <c r="M264" s="83">
        <f t="shared" ref="M264:M265" si="571">L264</f>
        <v>800</v>
      </c>
      <c r="N264" s="83">
        <f t="shared" ref="N264:N265" si="572">M264</f>
        <v>800</v>
      </c>
      <c r="O264" s="83">
        <f t="shared" ref="O264:O265" si="573">N264</f>
        <v>800</v>
      </c>
      <c r="P264" s="83">
        <f t="shared" ref="P264:P265" si="574">O264</f>
        <v>800</v>
      </c>
      <c r="Q264" s="83">
        <f t="shared" ref="Q264:Q265" si="575">P264</f>
        <v>800</v>
      </c>
      <c r="R264" s="83">
        <f t="shared" ref="R264:R265" si="576">Q264</f>
        <v>800</v>
      </c>
      <c r="S264" s="83">
        <f t="shared" ref="S264:S265" si="577">R264</f>
        <v>800</v>
      </c>
      <c r="T264" s="83">
        <f t="shared" ref="T264:T265" si="578">S264</f>
        <v>800</v>
      </c>
      <c r="U264" s="83">
        <f t="shared" ref="U264:U265" si="579">T264</f>
        <v>800</v>
      </c>
      <c r="V264" s="83">
        <f t="shared" ref="V264:V265" si="580">U264</f>
        <v>800</v>
      </c>
      <c r="W264" s="83">
        <f t="shared" ref="W264:W265" si="581">V264</f>
        <v>800</v>
      </c>
      <c r="X264" s="83">
        <f t="shared" ref="X264:X265" si="582">W264</f>
        <v>800</v>
      </c>
      <c r="Y264" s="83">
        <f t="shared" ref="Y264:Y265" si="583">X264</f>
        <v>800</v>
      </c>
      <c r="Z264" s="83">
        <f t="shared" ref="Z264:Z265" si="584">Y264</f>
        <v>800</v>
      </c>
      <c r="AA264" s="175"/>
    </row>
    <row r="265" spans="1:28" outlineLevel="1" x14ac:dyDescent="0.25">
      <c r="A265" s="36" t="str">
        <f t="shared" si="377"/>
        <v>Sunward SWDRT250SM</v>
      </c>
      <c r="B265" s="36"/>
      <c r="D265" s="30" t="s">
        <v>59</v>
      </c>
      <c r="E265" s="9" t="s">
        <v>60</v>
      </c>
      <c r="F265" s="74">
        <f>SUMIFS('ФОТ, МТР, макро'!$AC$4:$AC$31,'ФОТ, МТР, макро'!$W$4:$W$31,$A265)</f>
        <v>15</v>
      </c>
      <c r="G265" s="83">
        <f>F265</f>
        <v>15</v>
      </c>
      <c r="H265" s="83">
        <f t="shared" si="566"/>
        <v>15</v>
      </c>
      <c r="I265" s="83">
        <f t="shared" si="567"/>
        <v>15</v>
      </c>
      <c r="J265" s="83">
        <f t="shared" si="568"/>
        <v>15</v>
      </c>
      <c r="K265" s="83">
        <f t="shared" si="569"/>
        <v>15</v>
      </c>
      <c r="L265" s="83">
        <f t="shared" si="570"/>
        <v>15</v>
      </c>
      <c r="M265" s="83">
        <f t="shared" si="571"/>
        <v>15</v>
      </c>
      <c r="N265" s="83">
        <f t="shared" si="572"/>
        <v>15</v>
      </c>
      <c r="O265" s="83">
        <f t="shared" si="573"/>
        <v>15</v>
      </c>
      <c r="P265" s="83">
        <f t="shared" si="574"/>
        <v>15</v>
      </c>
      <c r="Q265" s="83">
        <f t="shared" si="575"/>
        <v>15</v>
      </c>
      <c r="R265" s="83">
        <f t="shared" si="576"/>
        <v>15</v>
      </c>
      <c r="S265" s="83">
        <f t="shared" si="577"/>
        <v>15</v>
      </c>
      <c r="T265" s="83">
        <f t="shared" si="578"/>
        <v>15</v>
      </c>
      <c r="U265" s="83">
        <f t="shared" si="579"/>
        <v>15</v>
      </c>
      <c r="V265" s="83">
        <f t="shared" si="580"/>
        <v>15</v>
      </c>
      <c r="W265" s="83">
        <f t="shared" si="581"/>
        <v>15</v>
      </c>
      <c r="X265" s="83">
        <f t="shared" si="582"/>
        <v>15</v>
      </c>
      <c r="Y265" s="83">
        <f t="shared" si="583"/>
        <v>15</v>
      </c>
      <c r="Z265" s="83">
        <f t="shared" si="584"/>
        <v>15</v>
      </c>
      <c r="AA265" s="175"/>
    </row>
    <row r="266" spans="1:28" outlineLevel="1" x14ac:dyDescent="0.25">
      <c r="A266" s="36" t="str">
        <f t="shared" si="377"/>
        <v>Sunward SWDRT250SM</v>
      </c>
      <c r="B266" s="36"/>
      <c r="C266" s="86">
        <f>SUMIFS('ФОТ, МТР, макро'!$AF$4:$AF$31,'ФОТ, МТР, макро'!$W$4:$W$31,$A266)</f>
        <v>19.672131147540984</v>
      </c>
      <c r="D266" s="85" t="s">
        <v>61</v>
      </c>
      <c r="E266" s="64" t="str">
        <f>E233</f>
        <v>тыс. руб.</v>
      </c>
      <c r="F266" s="80"/>
      <c r="G266" s="87">
        <f>IF(G226&lt;=$C267,$F271*$C266%,"ОШИБКА")</f>
        <v>0</v>
      </c>
      <c r="H266" s="71">
        <f>IF(H226&lt;=$C267,$F271*$C266%,$F271-SUM($G266:G266))</f>
        <v>0</v>
      </c>
      <c r="I266" s="71">
        <f>IF(I226&lt;=$C267,$F271*$C266%,$F271-SUM($G266:H266))</f>
        <v>0</v>
      </c>
      <c r="J266" s="71">
        <f>IF(J226&lt;=$C267,$F271*$C266%,$F271-SUM($G266:I266))</f>
        <v>0</v>
      </c>
      <c r="K266" s="71">
        <f>IF(K226&lt;=$C267,$F271*$C266%,$F271-SUM($G266:J266))</f>
        <v>0</v>
      </c>
      <c r="L266" s="71">
        <f>IF(L226&lt;=$C267,$F271*$C266%,$F271-SUM($G266:K266))</f>
        <v>0</v>
      </c>
      <c r="M266" s="71">
        <f>IF(M226&lt;=$C267,$F271*$C266%,$F271-SUM($G266:L266))</f>
        <v>0</v>
      </c>
      <c r="N266" s="71">
        <f>IF(N226&lt;=$C267,$F271*$C266%,$F271-SUM($G266:M266))</f>
        <v>0</v>
      </c>
      <c r="O266" s="71">
        <f>IF(O226&lt;=$C267,$F271*$C266%,$F271-SUM($G266:N266))</f>
        <v>0</v>
      </c>
      <c r="P266" s="71">
        <f>IF(P226&lt;=$C267,$F271*$C266%,$F271-SUM($G266:O266))</f>
        <v>0</v>
      </c>
      <c r="Q266" s="71">
        <f>IF(Q226&lt;=$C267,$F271*$C266%,$F271-SUM($G266:P266))</f>
        <v>0</v>
      </c>
      <c r="R266" s="71">
        <f>IF(R226&lt;=$C267,$F271*$C266%,$F271-SUM($G266:Q266))</f>
        <v>0</v>
      </c>
      <c r="S266" s="71">
        <f>IF(S226&lt;=$C267,$F271*$C266%,$F271-SUM($G266:R266))</f>
        <v>0</v>
      </c>
      <c r="T266" s="71">
        <f>IF(T226&lt;=$C267,$F271*$C266%,$F271-SUM($G266:S266))</f>
        <v>0</v>
      </c>
      <c r="U266" s="71">
        <f>IF(U226&lt;=$C267,$F271*$C266%,$F271-SUM($G266:T266))</f>
        <v>0</v>
      </c>
      <c r="V266" s="71">
        <f>IF(V226&lt;=$C267,$F271*$C266%,$F271-SUM($G266:U266))</f>
        <v>0</v>
      </c>
      <c r="W266" s="71">
        <f>IF(W226&lt;=$C267,$F271*$C266%,$F271-SUM($G266:V266))</f>
        <v>0</v>
      </c>
      <c r="X266" s="71">
        <f>IF(X226&lt;=$C267,$F271*$C266%,$F271-SUM($G266:W266))</f>
        <v>0</v>
      </c>
      <c r="Y266" s="71">
        <f>IF(Y226&lt;=$C267,$F271*$C266%,$F271-SUM($G266:X266))</f>
        <v>0</v>
      </c>
      <c r="Z266" s="71">
        <f>IF(Z226&lt;=$C267,$F271*$C266%,$F271-SUM($G266:Y266))</f>
        <v>0</v>
      </c>
      <c r="AA266" s="175"/>
    </row>
    <row r="267" spans="1:28" outlineLevel="1" x14ac:dyDescent="0.25">
      <c r="A267" s="36" t="str">
        <f t="shared" si="377"/>
        <v>Sunward SWDRT250SM</v>
      </c>
      <c r="B267" s="36"/>
      <c r="C267" s="86">
        <f>SUMIFS('ФОТ, МТР, макро'!$AE$4:$AE$31,'ФОТ, МТР, макро'!$W$4:$W$31,$A267)/12</f>
        <v>5.083333333333333</v>
      </c>
      <c r="D267" s="85" t="s">
        <v>62</v>
      </c>
      <c r="E267" s="64" t="str">
        <f>E233</f>
        <v>тыс. руб.</v>
      </c>
      <c r="F267" s="65"/>
      <c r="G267" s="65">
        <f t="shared" ref="G267:Z267" si="585">SUM(G234,G239,G241,G245,G249,G251,G260,G263,G266)</f>
        <v>79840.532303866232</v>
      </c>
      <c r="H267" s="65">
        <f t="shared" si="585"/>
        <v>102402.93155517493</v>
      </c>
      <c r="I267" s="65">
        <f t="shared" si="585"/>
        <v>104010.72852549847</v>
      </c>
      <c r="J267" s="65">
        <f t="shared" si="585"/>
        <v>88376.341018189793</v>
      </c>
      <c r="K267" s="65">
        <f t="shared" si="585"/>
        <v>99123.175155174933</v>
      </c>
      <c r="L267" s="65">
        <f t="shared" si="585"/>
        <v>107214.95338708998</v>
      </c>
      <c r="M267" s="65">
        <f t="shared" si="585"/>
        <v>85003.878272340953</v>
      </c>
      <c r="N267" s="65">
        <f t="shared" si="585"/>
        <v>102726.77955517493</v>
      </c>
      <c r="O267" s="65">
        <f t="shared" si="585"/>
        <v>99190.051442315467</v>
      </c>
      <c r="P267" s="65">
        <f t="shared" si="585"/>
        <v>87677.674287911228</v>
      </c>
      <c r="Q267" s="65">
        <f t="shared" si="585"/>
        <v>98745.517463132463</v>
      </c>
      <c r="R267" s="65">
        <f t="shared" si="585"/>
        <v>78462.081727911223</v>
      </c>
      <c r="S267" s="65">
        <f t="shared" si="585"/>
        <v>0</v>
      </c>
      <c r="T267" s="65">
        <f t="shared" si="585"/>
        <v>0</v>
      </c>
      <c r="U267" s="65">
        <f t="shared" si="585"/>
        <v>0</v>
      </c>
      <c r="V267" s="65">
        <f t="shared" si="585"/>
        <v>0</v>
      </c>
      <c r="W267" s="65">
        <f t="shared" si="585"/>
        <v>0</v>
      </c>
      <c r="X267" s="65">
        <f t="shared" si="585"/>
        <v>0</v>
      </c>
      <c r="Y267" s="65">
        <f t="shared" si="585"/>
        <v>0</v>
      </c>
      <c r="Z267" s="65">
        <f t="shared" si="585"/>
        <v>0</v>
      </c>
      <c r="AA267" s="175"/>
      <c r="AB267" s="39"/>
    </row>
    <row r="268" spans="1:28" outlineLevel="1" x14ac:dyDescent="0.25">
      <c r="A268" s="36" t="str">
        <f t="shared" si="377"/>
        <v>Sunward SWDRT250SM</v>
      </c>
      <c r="B268" s="36"/>
      <c r="D268" s="85" t="s">
        <v>63</v>
      </c>
      <c r="E268" s="64" t="str">
        <f>E233</f>
        <v>тыс. руб.</v>
      </c>
      <c r="F268" s="65"/>
      <c r="G268" s="65">
        <f>-G267*'ФОТ, МТР, макро'!AJ$12</f>
        <v>-19960.133075966558</v>
      </c>
      <c r="H268" s="65">
        <f>-H267*'ФОТ, МТР, макро'!AK$12</f>
        <v>-25600.732888793733</v>
      </c>
      <c r="I268" s="65">
        <f>-I267*'ФОТ, МТР, макро'!AL$12</f>
        <v>-26002.682131374619</v>
      </c>
      <c r="J268" s="65">
        <f>-J267*'ФОТ, МТР, макро'!AM$12</f>
        <v>-22094.085254547448</v>
      </c>
      <c r="K268" s="65">
        <f>-K267*'ФОТ, МТР, макро'!AN$12</f>
        <v>-24780.793788793733</v>
      </c>
      <c r="L268" s="65">
        <f>-L267*'ФОТ, МТР, макро'!AO$12</f>
        <v>-26803.738346772494</v>
      </c>
      <c r="M268" s="65">
        <f>-M267*'ФОТ, МТР, макро'!AP$12</f>
        <v>-21250.969568085238</v>
      </c>
      <c r="N268" s="65">
        <f>-N267*'ФОТ, МТР, макро'!AQ$12</f>
        <v>-25681.694888793732</v>
      </c>
      <c r="O268" s="65">
        <f>-O267*'ФОТ, МТР, макро'!AR$12</f>
        <v>-24797.512860578867</v>
      </c>
      <c r="P268" s="65">
        <f>-P267*'ФОТ, МТР, макро'!AS$12</f>
        <v>-21919.418571977807</v>
      </c>
      <c r="Q268" s="65">
        <f>-Q267*'ФОТ, МТР, макро'!AT$12</f>
        <v>-24686.379365783116</v>
      </c>
      <c r="R268" s="65">
        <f>-R267*'ФОТ, МТР, макро'!AU$12</f>
        <v>-19615.520431977806</v>
      </c>
      <c r="S268" s="65">
        <f>-S267*'ФОТ, МТР, макро'!AV$12</f>
        <v>0</v>
      </c>
      <c r="T268" s="65">
        <f>-T267*'ФОТ, МТР, макро'!AW$12</f>
        <v>0</v>
      </c>
      <c r="U268" s="65">
        <f>-U267*'ФОТ, МТР, макро'!AX$12</f>
        <v>0</v>
      </c>
      <c r="V268" s="65">
        <f>-V267*'ФОТ, МТР, макро'!AY$12</f>
        <v>0</v>
      </c>
      <c r="W268" s="65">
        <f>-W267*'ФОТ, МТР, макро'!AZ$12</f>
        <v>0</v>
      </c>
      <c r="X268" s="65">
        <f>-X267*'ФОТ, МТР, макро'!BA$12</f>
        <v>0</v>
      </c>
      <c r="Y268" s="65">
        <f>-Y267*'ФОТ, МТР, макро'!BB$12</f>
        <v>0</v>
      </c>
      <c r="Z268" s="65">
        <f>-Z267*'ФОТ, МТР, макро'!BC$12</f>
        <v>0</v>
      </c>
      <c r="AA268" s="175"/>
    </row>
    <row r="269" spans="1:28" outlineLevel="1" x14ac:dyDescent="0.25">
      <c r="A269" s="36" t="str">
        <f t="shared" si="377"/>
        <v>Sunward SWDRT250SM</v>
      </c>
      <c r="B269" s="36"/>
      <c r="D269" s="88"/>
      <c r="E269" s="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175"/>
    </row>
    <row r="270" spans="1:28" outlineLevel="1" x14ac:dyDescent="0.25">
      <c r="A270" s="36" t="str">
        <f t="shared" si="377"/>
        <v>Sunward SWDRT250SM</v>
      </c>
      <c r="B270" s="36"/>
      <c r="D270" s="66" t="s">
        <v>64</v>
      </c>
      <c r="E270" s="67" t="str">
        <f>E233</f>
        <v>тыс. руб.</v>
      </c>
      <c r="F270" s="68">
        <f>F271</f>
        <v>0</v>
      </c>
      <c r="G270" s="68">
        <f t="shared" ref="G270:Z270" si="586">G271</f>
        <v>0</v>
      </c>
      <c r="H270" s="68">
        <f t="shared" si="586"/>
        <v>0</v>
      </c>
      <c r="I270" s="68">
        <f t="shared" si="586"/>
        <v>0</v>
      </c>
      <c r="J270" s="68">
        <f t="shared" si="586"/>
        <v>0</v>
      </c>
      <c r="K270" s="68">
        <f t="shared" si="586"/>
        <v>0</v>
      </c>
      <c r="L270" s="68">
        <f t="shared" si="586"/>
        <v>0</v>
      </c>
      <c r="M270" s="68">
        <f t="shared" si="586"/>
        <v>0</v>
      </c>
      <c r="N270" s="68">
        <f t="shared" si="586"/>
        <v>0</v>
      </c>
      <c r="O270" s="68">
        <f t="shared" si="586"/>
        <v>0</v>
      </c>
      <c r="P270" s="68">
        <f t="shared" si="586"/>
        <v>0</v>
      </c>
      <c r="Q270" s="68">
        <f t="shared" si="586"/>
        <v>0</v>
      </c>
      <c r="R270" s="68">
        <f t="shared" si="586"/>
        <v>0</v>
      </c>
      <c r="S270" s="68">
        <f t="shared" si="586"/>
        <v>0</v>
      </c>
      <c r="T270" s="68">
        <f t="shared" si="586"/>
        <v>0</v>
      </c>
      <c r="U270" s="68">
        <f t="shared" si="586"/>
        <v>0</v>
      </c>
      <c r="V270" s="68">
        <f t="shared" si="586"/>
        <v>0</v>
      </c>
      <c r="W270" s="68">
        <f t="shared" si="586"/>
        <v>0</v>
      </c>
      <c r="X270" s="68">
        <f t="shared" si="586"/>
        <v>0</v>
      </c>
      <c r="Y270" s="68">
        <f t="shared" si="586"/>
        <v>0</v>
      </c>
      <c r="Z270" s="68">
        <f t="shared" si="586"/>
        <v>0</v>
      </c>
      <c r="AA270" s="175"/>
    </row>
    <row r="271" spans="1:28" outlineLevel="1" x14ac:dyDescent="0.25">
      <c r="A271" s="36" t="str">
        <f t="shared" si="377"/>
        <v>Sunward SWDRT250SM</v>
      </c>
      <c r="B271" s="36"/>
      <c r="D271" s="88" t="s">
        <v>206</v>
      </c>
      <c r="E271" s="9" t="str">
        <f>E270</f>
        <v>тыс. руб.</v>
      </c>
      <c r="F271" s="74">
        <f>SUMIFS('Свод_250-270_диз'!$D$33:$P$33,'Свод_250-270_диз'!$D$19:$P$19,$A271)</f>
        <v>0</v>
      </c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175"/>
    </row>
    <row r="272" spans="1:28" outlineLevel="1" x14ac:dyDescent="0.25">
      <c r="A272" s="36" t="str">
        <f t="shared" si="377"/>
        <v>Sunward SWDRT250SM</v>
      </c>
      <c r="B272" s="36"/>
      <c r="D272" s="88"/>
      <c r="E272" s="9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175"/>
    </row>
    <row r="273" spans="1:27" outlineLevel="1" x14ac:dyDescent="0.25">
      <c r="A273" s="36" t="str">
        <f t="shared" si="377"/>
        <v>Sunward SWDRT250SM</v>
      </c>
      <c r="B273" s="36"/>
      <c r="D273" s="66" t="s">
        <v>65</v>
      </c>
      <c r="E273" s="67" t="str">
        <f>E233</f>
        <v>тыс. руб.</v>
      </c>
      <c r="F273" s="68">
        <f t="shared" ref="F273:Z273" si="587">F233+F270</f>
        <v>0</v>
      </c>
      <c r="G273" s="68">
        <f t="shared" si="587"/>
        <v>59880.399227899674</v>
      </c>
      <c r="H273" s="68">
        <f t="shared" si="587"/>
        <v>76802.198666381199</v>
      </c>
      <c r="I273" s="68">
        <f t="shared" si="587"/>
        <v>78008.046394123856</v>
      </c>
      <c r="J273" s="68">
        <f t="shared" si="587"/>
        <v>66282.255763642344</v>
      </c>
      <c r="K273" s="68">
        <f t="shared" si="587"/>
        <v>74342.381366381203</v>
      </c>
      <c r="L273" s="68">
        <f t="shared" si="587"/>
        <v>80411.215040317475</v>
      </c>
      <c r="M273" s="68">
        <f t="shared" si="587"/>
        <v>63752.908704255715</v>
      </c>
      <c r="N273" s="68">
        <f t="shared" si="587"/>
        <v>77045.084666381197</v>
      </c>
      <c r="O273" s="68">
        <f t="shared" si="587"/>
        <v>74392.538581736604</v>
      </c>
      <c r="P273" s="68">
        <f t="shared" si="587"/>
        <v>65758.255715933425</v>
      </c>
      <c r="Q273" s="68">
        <f t="shared" si="587"/>
        <v>74059.138097349351</v>
      </c>
      <c r="R273" s="68">
        <f t="shared" si="587"/>
        <v>58846.561295933418</v>
      </c>
      <c r="S273" s="68">
        <f t="shared" si="587"/>
        <v>0</v>
      </c>
      <c r="T273" s="68">
        <f t="shared" si="587"/>
        <v>0</v>
      </c>
      <c r="U273" s="68">
        <f t="shared" si="587"/>
        <v>0</v>
      </c>
      <c r="V273" s="68">
        <f t="shared" si="587"/>
        <v>0</v>
      </c>
      <c r="W273" s="68">
        <f t="shared" si="587"/>
        <v>0</v>
      </c>
      <c r="X273" s="68">
        <f t="shared" si="587"/>
        <v>0</v>
      </c>
      <c r="Y273" s="68">
        <f t="shared" si="587"/>
        <v>0</v>
      </c>
      <c r="Z273" s="68">
        <f t="shared" si="587"/>
        <v>0</v>
      </c>
      <c r="AA273" s="175"/>
    </row>
    <row r="274" spans="1:27" ht="27.2" outlineLevel="1" x14ac:dyDescent="0.25">
      <c r="A274" s="36" t="str">
        <f t="shared" si="377"/>
        <v>Sunward SWDRT250SM</v>
      </c>
      <c r="B274" s="36"/>
      <c r="D274" s="63" t="s">
        <v>66</v>
      </c>
      <c r="E274" s="64" t="str">
        <f>E273</f>
        <v>тыс. руб.</v>
      </c>
      <c r="F274" s="89"/>
      <c r="G274" s="65">
        <f>G233*'ФОТ, МТР, макро'!AJ$14</f>
        <v>53464.642167767561</v>
      </c>
      <c r="H274" s="65">
        <f>H233*'ФОТ, МТР, макро'!AK$14</f>
        <v>61226.242559296224</v>
      </c>
      <c r="I274" s="65">
        <f>I233*'ФОТ, МТР, макро'!AL$14</f>
        <v>55524.586593849534</v>
      </c>
      <c r="J274" s="65">
        <f>J233*'ФОТ, МТР, макро'!AM$14</f>
        <v>42123.571815247524</v>
      </c>
      <c r="K274" s="65">
        <f>K233*'ФОТ, МТР, макро'!AN$14</f>
        <v>42183.863705358664</v>
      </c>
      <c r="L274" s="65">
        <f>L233*'ФОТ, МТР, макро'!AO$14</f>
        <v>40738.824031106677</v>
      </c>
      <c r="M274" s="65">
        <f>M233*'ФОТ, МТР, макро'!AP$14</f>
        <v>28838.578227814676</v>
      </c>
      <c r="N274" s="65">
        <f>N233*'ФОТ, МТР, макро'!AQ$14</f>
        <v>31117.217495001831</v>
      </c>
      <c r="O274" s="65">
        <f>O233*'ФОТ, МТР, макро'!AR$14</f>
        <v>26826.695196403154</v>
      </c>
      <c r="P274" s="65">
        <f>P233*'ФОТ, МТР, макро'!AS$14</f>
        <v>21172.398425417719</v>
      </c>
      <c r="Q274" s="65">
        <f>Q233*'ФОТ, МТР, макро'!AT$14</f>
        <v>21290.232493143649</v>
      </c>
      <c r="R274" s="65">
        <f>R233*'ФОТ, МТР, макро'!AU$14</f>
        <v>15104.446590150241</v>
      </c>
      <c r="S274" s="65">
        <f>S233*'ФОТ, МТР, макро'!AV$14</f>
        <v>0</v>
      </c>
      <c r="T274" s="65">
        <f>T233*'ФОТ, МТР, макро'!AW$14</f>
        <v>0</v>
      </c>
      <c r="U274" s="65">
        <f>U233*'ФОТ, МТР, макро'!AX$14</f>
        <v>0</v>
      </c>
      <c r="V274" s="65">
        <f>V233*'ФОТ, МТР, макро'!AY$14</f>
        <v>0</v>
      </c>
      <c r="W274" s="65">
        <f>W233*'ФОТ, МТР, макро'!AZ$14</f>
        <v>0</v>
      </c>
      <c r="X274" s="65">
        <f>X233*'ФОТ, МТР, макро'!BA$14</f>
        <v>0</v>
      </c>
      <c r="Y274" s="65">
        <f>Y233*'ФОТ, МТР, макро'!BB$14</f>
        <v>0</v>
      </c>
      <c r="Z274" s="65">
        <f>Z233*'ФОТ, МТР, макро'!BC$14</f>
        <v>0</v>
      </c>
      <c r="AA274" s="175"/>
    </row>
    <row r="275" spans="1:27" outlineLevel="1" x14ac:dyDescent="0.25">
      <c r="A275" s="36" t="str">
        <f t="shared" si="377"/>
        <v>Sunward SWDRT250SM</v>
      </c>
      <c r="B275" s="36"/>
      <c r="D275" s="17" t="str">
        <f>D234</f>
        <v>ТО, ТР, ППР</v>
      </c>
      <c r="E275" s="9" t="str">
        <f>E274</f>
        <v>тыс. руб.</v>
      </c>
      <c r="F275" s="90"/>
      <c r="G275" s="70">
        <f>G234*'ФОТ, МТР, макро'!AJ$14</f>
        <v>30062.773547261892</v>
      </c>
      <c r="H275" s="70">
        <f>H234*'ФОТ, МТР, макро'!AK$14</f>
        <v>45626.194601526258</v>
      </c>
      <c r="I275" s="70">
        <f>I234*'ФОТ, МТР, макро'!AL$14</f>
        <v>42365.928591468422</v>
      </c>
      <c r="J275" s="70">
        <f>J234*'ФОТ, МТР, макро'!AM$14</f>
        <v>27254.764080521585</v>
      </c>
      <c r="K275" s="70">
        <f>K234*'ФОТ, МТР, макро'!AN$14</f>
        <v>30614.802238682329</v>
      </c>
      <c r="L275" s="70">
        <f>L234*'ФОТ, МТР, макро'!AO$14</f>
        <v>31816.857813801151</v>
      </c>
      <c r="M275" s="70">
        <f>M234*'ФОТ, МТР, макро'!AP$14</f>
        <v>18070.32998925263</v>
      </c>
      <c r="N275" s="70">
        <f>N234*'ФОТ, МТР, макро'!AQ$14</f>
        <v>23246.446901640531</v>
      </c>
      <c r="O275" s="70">
        <f>O234*'ФОТ, МТР, макро'!AR$14</f>
        <v>19671.03855871443</v>
      </c>
      <c r="P275" s="70">
        <f>P234*'ФОТ, МТР, макро'!AS$14</f>
        <v>13808.111683538018</v>
      </c>
      <c r="Q275" s="70">
        <f>Q234*'ФОТ, МТР, макро'!AT$14</f>
        <v>15510.411582805575</v>
      </c>
      <c r="R275" s="70">
        <f>R234*'ФОТ, МТР, макро'!AU$14</f>
        <v>8642.3290177723829</v>
      </c>
      <c r="S275" s="70">
        <f>S234*'ФОТ, МТР, макро'!AV$14</f>
        <v>0</v>
      </c>
      <c r="T275" s="70">
        <f>T234*'ФОТ, МТР, макро'!AW$14</f>
        <v>0</v>
      </c>
      <c r="U275" s="70">
        <f>U234*'ФОТ, МТР, макро'!AX$14</f>
        <v>0</v>
      </c>
      <c r="V275" s="70">
        <f>V234*'ФОТ, МТР, макро'!AY$14</f>
        <v>0</v>
      </c>
      <c r="W275" s="70">
        <f>W234*'ФОТ, МТР, макро'!AZ$14</f>
        <v>0</v>
      </c>
      <c r="X275" s="70">
        <f>X234*'ФОТ, МТР, макро'!BA$14</f>
        <v>0</v>
      </c>
      <c r="Y275" s="70">
        <f>Y234*'ФОТ, МТР, макро'!BB$14</f>
        <v>0</v>
      </c>
      <c r="Z275" s="70">
        <f>Z234*'ФОТ, МТР, макро'!BC$14</f>
        <v>0</v>
      </c>
      <c r="AA275" s="175"/>
    </row>
    <row r="276" spans="1:27" outlineLevel="1" x14ac:dyDescent="0.25">
      <c r="A276" s="36" t="str">
        <f t="shared" si="377"/>
        <v>Sunward SWDRT250SM</v>
      </c>
      <c r="B276" s="36"/>
      <c r="D276" s="17" t="str">
        <f>D239</f>
        <v>Смазочные</v>
      </c>
      <c r="E276" s="9" t="str">
        <f t="shared" ref="E276:E283" si="588">E275</f>
        <v>тыс. руб.</v>
      </c>
      <c r="F276" s="90"/>
      <c r="G276" s="70">
        <f>G239*'ФОТ, МТР, макро'!AJ$14</f>
        <v>0</v>
      </c>
      <c r="H276" s="70">
        <f>H239*'ФОТ, МТР, макро'!AK$14</f>
        <v>0</v>
      </c>
      <c r="I276" s="70">
        <f>I239*'ФОТ, МТР, макро'!AL$14</f>
        <v>0</v>
      </c>
      <c r="J276" s="70">
        <f>J239*'ФОТ, МТР, макро'!AM$14</f>
        <v>0</v>
      </c>
      <c r="K276" s="70">
        <f>K239*'ФОТ, МТР, макро'!AN$14</f>
        <v>0</v>
      </c>
      <c r="L276" s="70">
        <f>L239*'ФОТ, МТР, макро'!AO$14</f>
        <v>0</v>
      </c>
      <c r="M276" s="70">
        <f>M239*'ФОТ, МТР, макро'!AP$14</f>
        <v>0</v>
      </c>
      <c r="N276" s="70">
        <f>N239*'ФОТ, МТР, макро'!AQ$14</f>
        <v>0</v>
      </c>
      <c r="O276" s="70">
        <f>O239*'ФОТ, МТР, макро'!AR$14</f>
        <v>0</v>
      </c>
      <c r="P276" s="70">
        <f>P239*'ФОТ, МТР, макро'!AS$14</f>
        <v>0</v>
      </c>
      <c r="Q276" s="70">
        <f>Q239*'ФОТ, МТР, макро'!AT$14</f>
        <v>0</v>
      </c>
      <c r="R276" s="70">
        <f>R239*'ФОТ, МТР, макро'!AU$14</f>
        <v>0</v>
      </c>
      <c r="S276" s="70">
        <f>S239*'ФОТ, МТР, макро'!AV$14</f>
        <v>0</v>
      </c>
      <c r="T276" s="70">
        <f>T239*'ФОТ, МТР, макро'!AW$14</f>
        <v>0</v>
      </c>
      <c r="U276" s="70">
        <f>U239*'ФОТ, МТР, макро'!AX$14</f>
        <v>0</v>
      </c>
      <c r="V276" s="70">
        <f>V239*'ФОТ, МТР, макро'!AY$14</f>
        <v>0</v>
      </c>
      <c r="W276" s="70">
        <f>W239*'ФОТ, МТР, макро'!AZ$14</f>
        <v>0</v>
      </c>
      <c r="X276" s="70">
        <f>X239*'ФОТ, МТР, макро'!BA$14</f>
        <v>0</v>
      </c>
      <c r="Y276" s="70">
        <f>Y239*'ФОТ, МТР, макро'!BB$14</f>
        <v>0</v>
      </c>
      <c r="Z276" s="70">
        <f>Z239*'ФОТ, МТР, макро'!BC$14</f>
        <v>0</v>
      </c>
      <c r="AA276" s="175"/>
    </row>
    <row r="277" spans="1:27" outlineLevel="1" x14ac:dyDescent="0.25">
      <c r="A277" s="36" t="str">
        <f t="shared" si="377"/>
        <v>Sunward SWDRT250SM</v>
      </c>
      <c r="B277" s="36"/>
      <c r="D277" s="17" t="str">
        <f>D241</f>
        <v>Долота</v>
      </c>
      <c r="E277" s="9" t="str">
        <f t="shared" si="588"/>
        <v>тыс. руб.</v>
      </c>
      <c r="F277" s="90"/>
      <c r="G277" s="70">
        <f>G241*'ФОТ, МТР, макро'!AJ$14</f>
        <v>0</v>
      </c>
      <c r="H277" s="70">
        <f>H241*'ФОТ, МТР, макро'!AK$14</f>
        <v>0</v>
      </c>
      <c r="I277" s="70">
        <f>I241*'ФОТ, МТР, макро'!AL$14</f>
        <v>0</v>
      </c>
      <c r="J277" s="70">
        <f>J241*'ФОТ, МТР, макро'!AM$14</f>
        <v>0</v>
      </c>
      <c r="K277" s="70">
        <f>K241*'ФОТ, МТР, макро'!AN$14</f>
        <v>0</v>
      </c>
      <c r="L277" s="70">
        <f>L241*'ФОТ, МТР, макро'!AO$14</f>
        <v>0</v>
      </c>
      <c r="M277" s="70">
        <f>M241*'ФОТ, МТР, макро'!AP$14</f>
        <v>0</v>
      </c>
      <c r="N277" s="70">
        <f>N241*'ФОТ, МТР, макро'!AQ$14</f>
        <v>0</v>
      </c>
      <c r="O277" s="70">
        <f>O241*'ФОТ, МТР, макро'!AR$14</f>
        <v>0</v>
      </c>
      <c r="P277" s="70">
        <f>P241*'ФОТ, МТР, макро'!AS$14</f>
        <v>0</v>
      </c>
      <c r="Q277" s="70">
        <f>Q241*'ФОТ, МТР, макро'!AT$14</f>
        <v>0</v>
      </c>
      <c r="R277" s="70">
        <f>R241*'ФОТ, МТР, макро'!AU$14</f>
        <v>0</v>
      </c>
      <c r="S277" s="70">
        <f>S241*'ФОТ, МТР, макро'!AV$14</f>
        <v>0</v>
      </c>
      <c r="T277" s="70">
        <f>T241*'ФОТ, МТР, макро'!AW$14</f>
        <v>0</v>
      </c>
      <c r="U277" s="70">
        <f>U241*'ФОТ, МТР, макро'!AX$14</f>
        <v>0</v>
      </c>
      <c r="V277" s="70">
        <f>V241*'ФОТ, МТР, макро'!AY$14</f>
        <v>0</v>
      </c>
      <c r="W277" s="70">
        <f>W241*'ФОТ, МТР, макро'!AZ$14</f>
        <v>0</v>
      </c>
      <c r="X277" s="70">
        <f>X241*'ФОТ, МТР, макро'!BA$14</f>
        <v>0</v>
      </c>
      <c r="Y277" s="70">
        <f>Y241*'ФОТ, МТР, макро'!BB$14</f>
        <v>0</v>
      </c>
      <c r="Z277" s="70">
        <f>Z241*'ФОТ, МТР, макро'!BC$14</f>
        <v>0</v>
      </c>
      <c r="AA277" s="175"/>
    </row>
    <row r="278" spans="1:27" outlineLevel="1" x14ac:dyDescent="0.25">
      <c r="A278" s="36" t="str">
        <f t="shared" si="377"/>
        <v>Sunward SWDRT250SM</v>
      </c>
      <c r="B278" s="36"/>
      <c r="D278" s="17" t="str">
        <f>D245</f>
        <v>Штанги буровые</v>
      </c>
      <c r="E278" s="9" t="str">
        <f t="shared" si="588"/>
        <v>тыс. руб.</v>
      </c>
      <c r="F278" s="90"/>
      <c r="G278" s="70">
        <f>G245*'ФОТ, МТР, макро'!AJ$14</f>
        <v>0</v>
      </c>
      <c r="H278" s="70">
        <f>H245*'ФОТ, МТР, макро'!AK$14</f>
        <v>0</v>
      </c>
      <c r="I278" s="70">
        <f>I245*'ФОТ, МТР, макро'!AL$14</f>
        <v>0</v>
      </c>
      <c r="J278" s="70">
        <f>J245*'ФОТ, МТР, макро'!AM$14</f>
        <v>0</v>
      </c>
      <c r="K278" s="70">
        <f>K245*'ФОТ, МТР, макро'!AN$14</f>
        <v>0</v>
      </c>
      <c r="L278" s="70">
        <f>L245*'ФОТ, МТР, макро'!AO$14</f>
        <v>0</v>
      </c>
      <c r="M278" s="70">
        <f>M245*'ФОТ, МТР, макро'!AP$14</f>
        <v>0</v>
      </c>
      <c r="N278" s="70">
        <f>N245*'ФОТ, МТР, макро'!AQ$14</f>
        <v>0</v>
      </c>
      <c r="O278" s="70">
        <f>O245*'ФОТ, МТР, макро'!AR$14</f>
        <v>0</v>
      </c>
      <c r="P278" s="70">
        <f>P245*'ФОТ, МТР, макро'!AS$14</f>
        <v>0</v>
      </c>
      <c r="Q278" s="70">
        <f>Q245*'ФОТ, МТР, макро'!AT$14</f>
        <v>0</v>
      </c>
      <c r="R278" s="70">
        <f>R245*'ФОТ, МТР, макро'!AU$14</f>
        <v>0</v>
      </c>
      <c r="S278" s="70">
        <f>S245*'ФОТ, МТР, макро'!AV$14</f>
        <v>0</v>
      </c>
      <c r="T278" s="70">
        <f>T245*'ФОТ, МТР, макро'!AW$14</f>
        <v>0</v>
      </c>
      <c r="U278" s="70">
        <f>U245*'ФОТ, МТР, макро'!AX$14</f>
        <v>0</v>
      </c>
      <c r="V278" s="70">
        <f>V245*'ФОТ, МТР, макро'!AY$14</f>
        <v>0</v>
      </c>
      <c r="W278" s="70">
        <f>W245*'ФОТ, МТР, макро'!AZ$14</f>
        <v>0</v>
      </c>
      <c r="X278" s="70">
        <f>X245*'ФОТ, МТР, макро'!BA$14</f>
        <v>0</v>
      </c>
      <c r="Y278" s="70">
        <f>Y245*'ФОТ, МТР, макро'!BB$14</f>
        <v>0</v>
      </c>
      <c r="Z278" s="70">
        <f>Z245*'ФОТ, МТР, макро'!BC$14</f>
        <v>0</v>
      </c>
      <c r="AA278" s="175"/>
    </row>
    <row r="279" spans="1:27" outlineLevel="1" x14ac:dyDescent="0.25">
      <c r="A279" s="36" t="str">
        <f t="shared" si="377"/>
        <v>Sunward SWDRT250SM</v>
      </c>
      <c r="B279" s="36"/>
      <c r="D279" s="17" t="str">
        <f>D249</f>
        <v>Расходники</v>
      </c>
      <c r="E279" s="9" t="str">
        <f t="shared" si="588"/>
        <v>тыс. руб.</v>
      </c>
      <c r="F279" s="90"/>
      <c r="G279" s="70">
        <f>G249*'ФОТ, МТР, макро'!AJ$14</f>
        <v>0</v>
      </c>
      <c r="H279" s="70">
        <f>H249*'ФОТ, МТР, макро'!AK$14</f>
        <v>0</v>
      </c>
      <c r="I279" s="70">
        <f>I249*'ФОТ, МТР, макро'!AL$14</f>
        <v>0</v>
      </c>
      <c r="J279" s="70">
        <f>J249*'ФОТ, МТР, макро'!AM$14</f>
        <v>0</v>
      </c>
      <c r="K279" s="70">
        <f>K249*'ФОТ, МТР, макро'!AN$14</f>
        <v>0</v>
      </c>
      <c r="L279" s="70">
        <f>L249*'ФОТ, МТР, макро'!AO$14</f>
        <v>0</v>
      </c>
      <c r="M279" s="70">
        <f>M249*'ФОТ, МТР, макро'!AP$14</f>
        <v>0</v>
      </c>
      <c r="N279" s="70">
        <f>N249*'ФОТ, МТР, макро'!AQ$14</f>
        <v>0</v>
      </c>
      <c r="O279" s="70">
        <f>O249*'ФОТ, МТР, макро'!AR$14</f>
        <v>0</v>
      </c>
      <c r="P279" s="70">
        <f>P249*'ФОТ, МТР, макро'!AS$14</f>
        <v>0</v>
      </c>
      <c r="Q279" s="70">
        <f>Q249*'ФОТ, МТР, макро'!AT$14</f>
        <v>0</v>
      </c>
      <c r="R279" s="70">
        <f>R249*'ФОТ, МТР, макро'!AU$14</f>
        <v>0</v>
      </c>
      <c r="S279" s="70">
        <f>S249*'ФОТ, МТР, макро'!AV$14</f>
        <v>0</v>
      </c>
      <c r="T279" s="70">
        <f>T249*'ФОТ, МТР, макро'!AW$14</f>
        <v>0</v>
      </c>
      <c r="U279" s="70">
        <f>U249*'ФОТ, МТР, макро'!AX$14</f>
        <v>0</v>
      </c>
      <c r="V279" s="70">
        <f>V249*'ФОТ, МТР, макро'!AY$14</f>
        <v>0</v>
      </c>
      <c r="W279" s="70">
        <f>W249*'ФОТ, МТР, макро'!AZ$14</f>
        <v>0</v>
      </c>
      <c r="X279" s="70">
        <f>X249*'ФОТ, МТР, макро'!BA$14</f>
        <v>0</v>
      </c>
      <c r="Y279" s="70">
        <f>Y249*'ФОТ, МТР, макро'!BB$14</f>
        <v>0</v>
      </c>
      <c r="Z279" s="70">
        <f>Z249*'ФОТ, МТР, макро'!BC$14</f>
        <v>0</v>
      </c>
      <c r="AA279" s="175"/>
    </row>
    <row r="280" spans="1:27" outlineLevel="1" x14ac:dyDescent="0.25">
      <c r="A280" s="36" t="str">
        <f t="shared" si="377"/>
        <v>Sunward SWDRT250SM</v>
      </c>
      <c r="B280" s="36"/>
      <c r="D280" s="17" t="str">
        <f>D251</f>
        <v>Топливо/Электроэнергия</v>
      </c>
      <c r="E280" s="9" t="str">
        <f t="shared" si="588"/>
        <v>тыс. руб.</v>
      </c>
      <c r="F280" s="90"/>
      <c r="G280" s="70">
        <f>G251*'ФОТ, МТР, макро'!AJ$14</f>
        <v>27185.806979706082</v>
      </c>
      <c r="H280" s="70">
        <f>H251*'ФОТ, МТР, макро'!AK$14</f>
        <v>23475.215986414431</v>
      </c>
      <c r="I280" s="70">
        <f>I251*'ФОТ, МТР, макро'!AL$14</f>
        <v>20476.157559449173</v>
      </c>
      <c r="J280" s="70">
        <f>J251*'ФОТ, МТР, макро'!AM$14</f>
        <v>18918.305505687811</v>
      </c>
      <c r="K280" s="70">
        <f>K251*'ФОТ, МТР, макро'!AN$14</f>
        <v>16709.195052283412</v>
      </c>
      <c r="L280" s="70">
        <f>L251*'ФОТ, МТР, макро'!AO$14</f>
        <v>14536.257873943037</v>
      </c>
      <c r="M280" s="70">
        <f>M251*'ФОТ, МТР, макро'!AP$14</f>
        <v>13269.218046287731</v>
      </c>
      <c r="N280" s="70">
        <f>N251*'ФОТ, МТР, макро'!AQ$14</f>
        <v>11893.274995076907</v>
      </c>
      <c r="O280" s="70">
        <f>O251*'ФОТ, МТР, макро'!AR$14</f>
        <v>10428.333521651974</v>
      </c>
      <c r="P280" s="70">
        <f>P251*'ФОТ, МТР, макро'!AS$14</f>
        <v>9359.6503406756638</v>
      </c>
      <c r="Q280" s="70">
        <f>Q251*'ФОТ, МТР, макро'!AT$14</f>
        <v>8356.8306613175555</v>
      </c>
      <c r="R280" s="70">
        <f>R251*'ФОТ, МТР, макро'!AU$14</f>
        <v>7461.4559476049599</v>
      </c>
      <c r="S280" s="70">
        <f>S251*'ФОТ, МТР, макро'!AV$14</f>
        <v>0</v>
      </c>
      <c r="T280" s="70">
        <f>T251*'ФОТ, МТР, макро'!AW$14</f>
        <v>0</v>
      </c>
      <c r="U280" s="70">
        <f>U251*'ФОТ, МТР, макро'!AX$14</f>
        <v>0</v>
      </c>
      <c r="V280" s="70">
        <f>V251*'ФОТ, МТР, макро'!AY$14</f>
        <v>0</v>
      </c>
      <c r="W280" s="70">
        <f>W251*'ФОТ, МТР, макро'!AZ$14</f>
        <v>0</v>
      </c>
      <c r="X280" s="70">
        <f>X251*'ФОТ, МТР, макро'!BA$14</f>
        <v>0</v>
      </c>
      <c r="Y280" s="70">
        <f>Y251*'ФОТ, МТР, макро'!BB$14</f>
        <v>0</v>
      </c>
      <c r="Z280" s="70">
        <f>Z251*'ФОТ, МТР, макро'!BC$14</f>
        <v>0</v>
      </c>
      <c r="AA280" s="175"/>
    </row>
    <row r="281" spans="1:27" outlineLevel="1" x14ac:dyDescent="0.25">
      <c r="A281" s="36" t="str">
        <f t="shared" si="377"/>
        <v>Sunward SWDRT250SM</v>
      </c>
      <c r="B281" s="36"/>
      <c r="D281" s="17" t="str">
        <f>D260</f>
        <v>Затраты на персонал</v>
      </c>
      <c r="E281" s="9" t="str">
        <f t="shared" si="588"/>
        <v>тыс. руб.</v>
      </c>
      <c r="F281" s="90"/>
      <c r="G281" s="70">
        <f>G260*'ФОТ, МТР, макро'!AJ$14</f>
        <v>14026.894744341158</v>
      </c>
      <c r="H281" s="70">
        <f>H260*'ФОТ, МТР, макро'!AK$14</f>
        <v>12524.013164590318</v>
      </c>
      <c r="I281" s="70">
        <f>I260*'ФОТ, МТР, макро'!AL$14</f>
        <v>11182.154611241354</v>
      </c>
      <c r="J281" s="70">
        <f>J260*'ФОТ, МТР, макро'!AM$14</f>
        <v>9984.0666171797802</v>
      </c>
      <c r="K281" s="70">
        <f>K260*'ФОТ, МТР, макро'!AN$14</f>
        <v>8914.345193910518</v>
      </c>
      <c r="L281" s="70">
        <f>L260*'ФОТ, МТР, макро'!AO$14</f>
        <v>7959.2367802772478</v>
      </c>
      <c r="M281" s="70">
        <f>M260*'ФОТ, МТР, макро'!AP$14</f>
        <v>7106.4614109618278</v>
      </c>
      <c r="N281" s="70">
        <f>N260*'ФОТ, МТР, макро'!AQ$14</f>
        <v>6345.0548312159171</v>
      </c>
      <c r="O281" s="70">
        <f>O260*'ФОТ, МТР, макро'!AR$14</f>
        <v>5665.2275278713541</v>
      </c>
      <c r="P281" s="70">
        <f>P260*'ФОТ, МТР, макро'!AS$14</f>
        <v>5058.2388641708521</v>
      </c>
      <c r="Q281" s="70">
        <f>Q260*'ФОТ, МТР, макро'!AT$14</f>
        <v>4516.2847001525461</v>
      </c>
      <c r="R281" s="70">
        <f>R260*'ФОТ, МТР, макро'!AU$14</f>
        <v>4032.3970537076302</v>
      </c>
      <c r="S281" s="70">
        <f>S260*'ФОТ, МТР, макро'!AV$14</f>
        <v>0</v>
      </c>
      <c r="T281" s="70">
        <f>T260*'ФОТ, МТР, макро'!AW$14</f>
        <v>0</v>
      </c>
      <c r="U281" s="70">
        <f>U260*'ФОТ, МТР, макро'!AX$14</f>
        <v>0</v>
      </c>
      <c r="V281" s="70">
        <f>V260*'ФОТ, МТР, макро'!AY$14</f>
        <v>0</v>
      </c>
      <c r="W281" s="70">
        <f>W260*'ФОТ, МТР, макро'!AZ$14</f>
        <v>0</v>
      </c>
      <c r="X281" s="70">
        <f>X260*'ФОТ, МТР, макро'!BA$14</f>
        <v>0</v>
      </c>
      <c r="Y281" s="70">
        <f>Y260*'ФОТ, МТР, макро'!BB$14</f>
        <v>0</v>
      </c>
      <c r="Z281" s="70">
        <f>Z260*'ФОТ, МТР, макро'!BC$14</f>
        <v>0</v>
      </c>
      <c r="AA281" s="175"/>
    </row>
    <row r="282" spans="1:27" outlineLevel="1" x14ac:dyDescent="0.25">
      <c r="A282" s="36" t="str">
        <f t="shared" si="377"/>
        <v>Sunward SWDRT250SM</v>
      </c>
      <c r="B282" s="36"/>
      <c r="D282" s="17" t="str">
        <f>D263</f>
        <v>Транспортный налог</v>
      </c>
      <c r="E282" s="9" t="str">
        <f t="shared" si="588"/>
        <v>тыс. руб.</v>
      </c>
      <c r="F282" s="90"/>
      <c r="G282" s="70">
        <f>G263*'ФОТ, МТР, макро'!AJ$14</f>
        <v>10.714285714285714</v>
      </c>
      <c r="H282" s="70">
        <f>H263*'ФОТ, МТР, макро'!AK$14</f>
        <v>9.5663265306122423</v>
      </c>
      <c r="I282" s="70">
        <f>I263*'ФОТ, МТР, макро'!AL$14</f>
        <v>8.5413629737609309</v>
      </c>
      <c r="J282" s="70">
        <f>J263*'ФОТ, МТР, макро'!AM$14</f>
        <v>7.6262169408579732</v>
      </c>
      <c r="K282" s="70">
        <f>K263*'ФОТ, МТР, макро'!AN$14</f>
        <v>6.8091222686231898</v>
      </c>
      <c r="L282" s="70">
        <f>L263*'ФОТ, МТР, макро'!AO$14</f>
        <v>6.0795734541278481</v>
      </c>
      <c r="M282" s="70">
        <f>M263*'ФОТ, МТР, макро'!AP$14</f>
        <v>5.4281905840427207</v>
      </c>
      <c r="N282" s="70">
        <f>N263*'ФОТ, МТР, макро'!AQ$14</f>
        <v>4.8465987357524289</v>
      </c>
      <c r="O282" s="70">
        <f>O263*'ФОТ, МТР, макро'!AR$14</f>
        <v>4.3273202997789539</v>
      </c>
      <c r="P282" s="70">
        <f>P263*'ФОТ, МТР, макро'!AS$14</f>
        <v>3.8636788390883519</v>
      </c>
      <c r="Q282" s="70">
        <f>Q263*'ФОТ, МТР, макро'!AT$14</f>
        <v>3.4497132491860283</v>
      </c>
      <c r="R282" s="70">
        <f>R263*'ФОТ, МТР, макро'!AU$14</f>
        <v>3.080101115344668</v>
      </c>
      <c r="S282" s="70">
        <f>S263*'ФОТ, МТР, макро'!AV$14</f>
        <v>0</v>
      </c>
      <c r="T282" s="70">
        <f>T263*'ФОТ, МТР, макро'!AW$14</f>
        <v>0</v>
      </c>
      <c r="U282" s="70">
        <f>U263*'ФОТ, МТР, макро'!AX$14</f>
        <v>0</v>
      </c>
      <c r="V282" s="70">
        <f>V263*'ФОТ, МТР, макро'!AY$14</f>
        <v>0</v>
      </c>
      <c r="W282" s="70">
        <f>W263*'ФОТ, МТР, макро'!AZ$14</f>
        <v>0</v>
      </c>
      <c r="X282" s="70">
        <f>X263*'ФОТ, МТР, макро'!BA$14</f>
        <v>0</v>
      </c>
      <c r="Y282" s="70">
        <f>Y263*'ФОТ, МТР, макро'!BB$14</f>
        <v>0</v>
      </c>
      <c r="Z282" s="70">
        <f>Z263*'ФОТ, МТР, макро'!BC$14</f>
        <v>0</v>
      </c>
      <c r="AA282" s="175"/>
    </row>
    <row r="283" spans="1:27" outlineLevel="1" x14ac:dyDescent="0.25">
      <c r="A283" s="36" t="str">
        <f t="shared" si="377"/>
        <v>Sunward SWDRT250SM</v>
      </c>
      <c r="B283" s="36"/>
      <c r="D283" s="17" t="str">
        <f>D268</f>
        <v>Налог на прибыль</v>
      </c>
      <c r="E283" s="9" t="str">
        <f t="shared" si="588"/>
        <v>тыс. руб.</v>
      </c>
      <c r="F283" s="90"/>
      <c r="G283" s="70">
        <f>G268*'ФОТ, МТР, макро'!AJ$14</f>
        <v>-17821.547389255855</v>
      </c>
      <c r="H283" s="70">
        <f>H268*'ФОТ, МТР, макро'!AK$14</f>
        <v>-20408.747519765406</v>
      </c>
      <c r="I283" s="70">
        <f>I268*'ФОТ, МТР, макро'!AL$14</f>
        <v>-18508.195531283178</v>
      </c>
      <c r="J283" s="70">
        <f>J268*'ФОТ, МТР, макро'!AM$14</f>
        <v>-14041.190605082507</v>
      </c>
      <c r="K283" s="70">
        <f>K268*'ФОТ, МТР, макро'!AN$14</f>
        <v>-14061.287901786221</v>
      </c>
      <c r="L283" s="70">
        <f>L268*'ФОТ, МТР, макро'!AO$14</f>
        <v>-13579.608010368893</v>
      </c>
      <c r="M283" s="70">
        <f>M268*'ФОТ, МТР, макро'!AP$14</f>
        <v>-9612.8594092715593</v>
      </c>
      <c r="N283" s="70">
        <f>N268*'ФОТ, МТР, макро'!AQ$14</f>
        <v>-10372.405831667276</v>
      </c>
      <c r="O283" s="70">
        <f>O268*'ФОТ, МТР, макро'!AR$14</f>
        <v>-8942.2317321343853</v>
      </c>
      <c r="P283" s="70">
        <f>P268*'ФОТ, МТР, макро'!AS$14</f>
        <v>-7057.4661418059059</v>
      </c>
      <c r="Q283" s="70">
        <f>Q268*'ФОТ, МТР, макро'!AT$14</f>
        <v>-7096.7441643812163</v>
      </c>
      <c r="R283" s="70">
        <f>R268*'ФОТ, МТР, макро'!AU$14</f>
        <v>-5034.8155300500803</v>
      </c>
      <c r="S283" s="70">
        <f>S268*'ФОТ, МТР, макро'!AV$14</f>
        <v>0</v>
      </c>
      <c r="T283" s="70">
        <f>T268*'ФОТ, МТР, макро'!AW$14</f>
        <v>0</v>
      </c>
      <c r="U283" s="70">
        <f>U268*'ФОТ, МТР, макро'!AX$14</f>
        <v>0</v>
      </c>
      <c r="V283" s="70">
        <f>V268*'ФОТ, МТР, макро'!AY$14</f>
        <v>0</v>
      </c>
      <c r="W283" s="70">
        <f>W268*'ФОТ, МТР, макро'!AZ$14</f>
        <v>0</v>
      </c>
      <c r="X283" s="70">
        <f>X268*'ФОТ, МТР, макро'!BA$14</f>
        <v>0</v>
      </c>
      <c r="Y283" s="70">
        <f>Y268*'ФОТ, МТР, макро'!BB$14</f>
        <v>0</v>
      </c>
      <c r="Z283" s="70">
        <f>Z268*'ФОТ, МТР, макро'!BC$14</f>
        <v>0</v>
      </c>
      <c r="AA283" s="175"/>
    </row>
    <row r="284" spans="1:27" outlineLevel="1" x14ac:dyDescent="0.25">
      <c r="A284" s="36" t="str">
        <f t="shared" si="377"/>
        <v>Sunward SWDRT250SM</v>
      </c>
      <c r="B284" s="36"/>
      <c r="D284" s="91" t="s">
        <v>67</v>
      </c>
      <c r="E284" s="9"/>
      <c r="F284" s="92"/>
      <c r="G284" s="93">
        <f>G274-SUM(G275:G283)</f>
        <v>0</v>
      </c>
      <c r="H284" s="93">
        <f t="shared" ref="H284:Z284" si="589">H274-SUM(H275:H283)</f>
        <v>0</v>
      </c>
      <c r="I284" s="93">
        <f t="shared" si="589"/>
        <v>0</v>
      </c>
      <c r="J284" s="93">
        <f t="shared" si="589"/>
        <v>0</v>
      </c>
      <c r="K284" s="93">
        <f t="shared" si="589"/>
        <v>0</v>
      </c>
      <c r="L284" s="93">
        <f t="shared" si="589"/>
        <v>0</v>
      </c>
      <c r="M284" s="93">
        <f t="shared" si="589"/>
        <v>0</v>
      </c>
      <c r="N284" s="93">
        <f t="shared" si="589"/>
        <v>0</v>
      </c>
      <c r="O284" s="93">
        <f t="shared" si="589"/>
        <v>0</v>
      </c>
      <c r="P284" s="93">
        <f t="shared" si="589"/>
        <v>0</v>
      </c>
      <c r="Q284" s="93">
        <f t="shared" si="589"/>
        <v>0</v>
      </c>
      <c r="R284" s="93">
        <f t="shared" si="589"/>
        <v>0</v>
      </c>
      <c r="S284" s="93">
        <f t="shared" si="589"/>
        <v>0</v>
      </c>
      <c r="T284" s="93">
        <f t="shared" si="589"/>
        <v>0</v>
      </c>
      <c r="U284" s="93">
        <f t="shared" si="589"/>
        <v>0</v>
      </c>
      <c r="V284" s="93">
        <f t="shared" si="589"/>
        <v>0</v>
      </c>
      <c r="W284" s="93">
        <f t="shared" si="589"/>
        <v>0</v>
      </c>
      <c r="X284" s="93">
        <f t="shared" si="589"/>
        <v>0</v>
      </c>
      <c r="Y284" s="93">
        <f t="shared" si="589"/>
        <v>0</v>
      </c>
      <c r="Z284" s="93">
        <f t="shared" si="589"/>
        <v>0</v>
      </c>
      <c r="AA284" s="175"/>
    </row>
    <row r="285" spans="1:27" ht="27.2" outlineLevel="1" x14ac:dyDescent="0.25">
      <c r="A285" s="36" t="str">
        <f t="shared" si="377"/>
        <v>Sunward SWDRT250SM</v>
      </c>
      <c r="B285" s="36"/>
      <c r="D285" s="94" t="s">
        <v>68</v>
      </c>
      <c r="E285" s="64" t="str">
        <f>E274</f>
        <v>тыс. руб.</v>
      </c>
      <c r="F285" s="65">
        <f>F274</f>
        <v>0</v>
      </c>
      <c r="G285" s="65">
        <f>F285+G274</f>
        <v>53464.642167767561</v>
      </c>
      <c r="H285" s="65">
        <f t="shared" ref="H285:H294" si="590">G285+H274</f>
        <v>114690.88472706379</v>
      </c>
      <c r="I285" s="65">
        <f t="shared" ref="I285:I294" si="591">H285+I274</f>
        <v>170215.47132091332</v>
      </c>
      <c r="J285" s="65">
        <f t="shared" ref="J285:J294" si="592">I285+J274</f>
        <v>212339.04313616085</v>
      </c>
      <c r="K285" s="65">
        <f t="shared" ref="K285:K294" si="593">J285+K274</f>
        <v>254522.90684151952</v>
      </c>
      <c r="L285" s="65">
        <f t="shared" ref="L285:L294" si="594">K285+L274</f>
        <v>295261.73087262618</v>
      </c>
      <c r="M285" s="65">
        <f t="shared" ref="M285:M294" si="595">L285+M274</f>
        <v>324100.30910044088</v>
      </c>
      <c r="N285" s="65">
        <f t="shared" ref="N285:N294" si="596">M285+N274</f>
        <v>355217.52659544273</v>
      </c>
      <c r="O285" s="65">
        <f t="shared" ref="O285:O294" si="597">N285+O274</f>
        <v>382044.22179184586</v>
      </c>
      <c r="P285" s="65">
        <f t="shared" ref="P285:P294" si="598">O285+P274</f>
        <v>403216.62021726358</v>
      </c>
      <c r="Q285" s="65">
        <f t="shared" ref="Q285:Q294" si="599">P285+Q274</f>
        <v>424506.85271040723</v>
      </c>
      <c r="R285" s="65">
        <f t="shared" ref="R285:R294" si="600">Q285+R274</f>
        <v>439611.29930055747</v>
      </c>
      <c r="S285" s="65">
        <f t="shared" ref="S285:S294" si="601">R285+S274</f>
        <v>439611.29930055747</v>
      </c>
      <c r="T285" s="65">
        <f t="shared" ref="T285:T294" si="602">S285+T274</f>
        <v>439611.29930055747</v>
      </c>
      <c r="U285" s="65">
        <f t="shared" ref="U285:U294" si="603">T285+U274</f>
        <v>439611.29930055747</v>
      </c>
      <c r="V285" s="65">
        <f t="shared" ref="V285:V294" si="604">U285+V274</f>
        <v>439611.29930055747</v>
      </c>
      <c r="W285" s="65">
        <f t="shared" ref="W285:W294" si="605">V285+W274</f>
        <v>439611.29930055747</v>
      </c>
      <c r="X285" s="65">
        <f t="shared" ref="X285:X294" si="606">W285+X274</f>
        <v>439611.29930055747</v>
      </c>
      <c r="Y285" s="65">
        <f t="shared" ref="Y285:Y294" si="607">X285+Y274</f>
        <v>439611.29930055747</v>
      </c>
      <c r="Z285" s="65">
        <f t="shared" ref="Z285:Z294" si="608">Y285+Z274</f>
        <v>439611.29930055747</v>
      </c>
      <c r="AA285" s="175"/>
    </row>
    <row r="286" spans="1:27" outlineLevel="1" x14ac:dyDescent="0.25">
      <c r="A286" s="36" t="str">
        <f t="shared" si="377"/>
        <v>Sunward SWDRT250SM</v>
      </c>
      <c r="B286" s="36"/>
      <c r="D286" s="201" t="str">
        <f>D275</f>
        <v>ТО, ТР, ППР</v>
      </c>
      <c r="E286" s="196" t="str">
        <f>E275</f>
        <v>тыс. руб.</v>
      </c>
      <c r="F286" s="83">
        <f>F275</f>
        <v>0</v>
      </c>
      <c r="G286" s="83">
        <f>F286+G275</f>
        <v>30062.773547261892</v>
      </c>
      <c r="H286" s="83">
        <f t="shared" si="590"/>
        <v>75688.968148788146</v>
      </c>
      <c r="I286" s="83">
        <f t="shared" si="591"/>
        <v>118054.89674025658</v>
      </c>
      <c r="J286" s="83">
        <f t="shared" si="592"/>
        <v>145309.66082077817</v>
      </c>
      <c r="K286" s="83">
        <f t="shared" si="593"/>
        <v>175924.46305946051</v>
      </c>
      <c r="L286" s="83">
        <f t="shared" si="594"/>
        <v>207741.32087326166</v>
      </c>
      <c r="M286" s="83">
        <f t="shared" si="595"/>
        <v>225811.6508625143</v>
      </c>
      <c r="N286" s="83">
        <f t="shared" si="596"/>
        <v>249058.09776415484</v>
      </c>
      <c r="O286" s="83">
        <f t="shared" si="597"/>
        <v>268729.13632286928</v>
      </c>
      <c r="P286" s="83">
        <f t="shared" si="598"/>
        <v>282537.24800640729</v>
      </c>
      <c r="Q286" s="83">
        <f t="shared" si="599"/>
        <v>298047.65958921285</v>
      </c>
      <c r="R286" s="83">
        <f t="shared" si="600"/>
        <v>306689.98860698525</v>
      </c>
      <c r="S286" s="83">
        <f t="shared" si="601"/>
        <v>306689.98860698525</v>
      </c>
      <c r="T286" s="83">
        <f t="shared" si="602"/>
        <v>306689.98860698525</v>
      </c>
      <c r="U286" s="83">
        <f t="shared" si="603"/>
        <v>306689.98860698525</v>
      </c>
      <c r="V286" s="83">
        <f t="shared" si="604"/>
        <v>306689.98860698525</v>
      </c>
      <c r="W286" s="83">
        <f t="shared" si="605"/>
        <v>306689.98860698525</v>
      </c>
      <c r="X286" s="83">
        <f t="shared" si="606"/>
        <v>306689.98860698525</v>
      </c>
      <c r="Y286" s="83">
        <f t="shared" si="607"/>
        <v>306689.98860698525</v>
      </c>
      <c r="Z286" s="83">
        <f t="shared" si="608"/>
        <v>306689.98860698525</v>
      </c>
      <c r="AA286" s="175"/>
    </row>
    <row r="287" spans="1:27" outlineLevel="1" x14ac:dyDescent="0.25">
      <c r="A287" s="36" t="str">
        <f t="shared" si="377"/>
        <v>Sunward SWDRT250SM</v>
      </c>
      <c r="B287" s="36"/>
      <c r="D287" s="201" t="str">
        <f t="shared" ref="D287:F287" si="609">D276</f>
        <v>Смазочные</v>
      </c>
      <c r="E287" s="196" t="str">
        <f t="shared" si="609"/>
        <v>тыс. руб.</v>
      </c>
      <c r="F287" s="83">
        <f t="shared" si="609"/>
        <v>0</v>
      </c>
      <c r="G287" s="83">
        <f t="shared" ref="G287:G294" si="610">F287+G276</f>
        <v>0</v>
      </c>
      <c r="H287" s="83">
        <f t="shared" si="590"/>
        <v>0</v>
      </c>
      <c r="I287" s="83">
        <f t="shared" si="591"/>
        <v>0</v>
      </c>
      <c r="J287" s="83">
        <f t="shared" si="592"/>
        <v>0</v>
      </c>
      <c r="K287" s="83">
        <f t="shared" si="593"/>
        <v>0</v>
      </c>
      <c r="L287" s="83">
        <f t="shared" si="594"/>
        <v>0</v>
      </c>
      <c r="M287" s="83">
        <f t="shared" si="595"/>
        <v>0</v>
      </c>
      <c r="N287" s="83">
        <f t="shared" si="596"/>
        <v>0</v>
      </c>
      <c r="O287" s="83">
        <f t="shared" si="597"/>
        <v>0</v>
      </c>
      <c r="P287" s="83">
        <f t="shared" si="598"/>
        <v>0</v>
      </c>
      <c r="Q287" s="83">
        <f t="shared" si="599"/>
        <v>0</v>
      </c>
      <c r="R287" s="83">
        <f t="shared" si="600"/>
        <v>0</v>
      </c>
      <c r="S287" s="83">
        <f t="shared" si="601"/>
        <v>0</v>
      </c>
      <c r="T287" s="83">
        <f t="shared" si="602"/>
        <v>0</v>
      </c>
      <c r="U287" s="83">
        <f t="shared" si="603"/>
        <v>0</v>
      </c>
      <c r="V287" s="83">
        <f t="shared" si="604"/>
        <v>0</v>
      </c>
      <c r="W287" s="83">
        <f t="shared" si="605"/>
        <v>0</v>
      </c>
      <c r="X287" s="83">
        <f t="shared" si="606"/>
        <v>0</v>
      </c>
      <c r="Y287" s="83">
        <f t="shared" si="607"/>
        <v>0</v>
      </c>
      <c r="Z287" s="83">
        <f t="shared" si="608"/>
        <v>0</v>
      </c>
      <c r="AA287" s="175"/>
    </row>
    <row r="288" spans="1:27" outlineLevel="1" x14ac:dyDescent="0.25">
      <c r="A288" s="36" t="str">
        <f t="shared" si="377"/>
        <v>Sunward SWDRT250SM</v>
      </c>
      <c r="B288" s="36"/>
      <c r="D288" s="201" t="str">
        <f t="shared" ref="D288:F288" si="611">D277</f>
        <v>Долота</v>
      </c>
      <c r="E288" s="196" t="str">
        <f t="shared" si="611"/>
        <v>тыс. руб.</v>
      </c>
      <c r="F288" s="83">
        <f t="shared" si="611"/>
        <v>0</v>
      </c>
      <c r="G288" s="83">
        <f t="shared" si="610"/>
        <v>0</v>
      </c>
      <c r="H288" s="83">
        <f t="shared" si="590"/>
        <v>0</v>
      </c>
      <c r="I288" s="83">
        <f t="shared" si="591"/>
        <v>0</v>
      </c>
      <c r="J288" s="83">
        <f t="shared" si="592"/>
        <v>0</v>
      </c>
      <c r="K288" s="83">
        <f t="shared" si="593"/>
        <v>0</v>
      </c>
      <c r="L288" s="83">
        <f t="shared" si="594"/>
        <v>0</v>
      </c>
      <c r="M288" s="83">
        <f t="shared" si="595"/>
        <v>0</v>
      </c>
      <c r="N288" s="83">
        <f t="shared" si="596"/>
        <v>0</v>
      </c>
      <c r="O288" s="83">
        <f t="shared" si="597"/>
        <v>0</v>
      </c>
      <c r="P288" s="83">
        <f t="shared" si="598"/>
        <v>0</v>
      </c>
      <c r="Q288" s="83">
        <f t="shared" si="599"/>
        <v>0</v>
      </c>
      <c r="R288" s="83">
        <f t="shared" si="600"/>
        <v>0</v>
      </c>
      <c r="S288" s="83">
        <f t="shared" si="601"/>
        <v>0</v>
      </c>
      <c r="T288" s="83">
        <f t="shared" si="602"/>
        <v>0</v>
      </c>
      <c r="U288" s="83">
        <f t="shared" si="603"/>
        <v>0</v>
      </c>
      <c r="V288" s="83">
        <f t="shared" si="604"/>
        <v>0</v>
      </c>
      <c r="W288" s="83">
        <f t="shared" si="605"/>
        <v>0</v>
      </c>
      <c r="X288" s="83">
        <f t="shared" si="606"/>
        <v>0</v>
      </c>
      <c r="Y288" s="83">
        <f t="shared" si="607"/>
        <v>0</v>
      </c>
      <c r="Z288" s="83">
        <f t="shared" si="608"/>
        <v>0</v>
      </c>
      <c r="AA288" s="175"/>
    </row>
    <row r="289" spans="1:27" outlineLevel="1" x14ac:dyDescent="0.25">
      <c r="A289" s="36" t="str">
        <f t="shared" si="377"/>
        <v>Sunward SWDRT250SM</v>
      </c>
      <c r="B289" s="36"/>
      <c r="D289" s="201" t="str">
        <f t="shared" ref="D289:F289" si="612">D278</f>
        <v>Штанги буровые</v>
      </c>
      <c r="E289" s="196" t="str">
        <f t="shared" si="612"/>
        <v>тыс. руб.</v>
      </c>
      <c r="F289" s="83">
        <f t="shared" si="612"/>
        <v>0</v>
      </c>
      <c r="G289" s="83">
        <f t="shared" si="610"/>
        <v>0</v>
      </c>
      <c r="H289" s="83">
        <f t="shared" si="590"/>
        <v>0</v>
      </c>
      <c r="I289" s="83">
        <f t="shared" si="591"/>
        <v>0</v>
      </c>
      <c r="J289" s="83">
        <f t="shared" si="592"/>
        <v>0</v>
      </c>
      <c r="K289" s="83">
        <f t="shared" si="593"/>
        <v>0</v>
      </c>
      <c r="L289" s="83">
        <f t="shared" si="594"/>
        <v>0</v>
      </c>
      <c r="M289" s="83">
        <f t="shared" si="595"/>
        <v>0</v>
      </c>
      <c r="N289" s="83">
        <f t="shared" si="596"/>
        <v>0</v>
      </c>
      <c r="O289" s="83">
        <f t="shared" si="597"/>
        <v>0</v>
      </c>
      <c r="P289" s="83">
        <f t="shared" si="598"/>
        <v>0</v>
      </c>
      <c r="Q289" s="83">
        <f t="shared" si="599"/>
        <v>0</v>
      </c>
      <c r="R289" s="83">
        <f t="shared" si="600"/>
        <v>0</v>
      </c>
      <c r="S289" s="83">
        <f t="shared" si="601"/>
        <v>0</v>
      </c>
      <c r="T289" s="83">
        <f t="shared" si="602"/>
        <v>0</v>
      </c>
      <c r="U289" s="83">
        <f t="shared" si="603"/>
        <v>0</v>
      </c>
      <c r="V289" s="83">
        <f t="shared" si="604"/>
        <v>0</v>
      </c>
      <c r="W289" s="83">
        <f t="shared" si="605"/>
        <v>0</v>
      </c>
      <c r="X289" s="83">
        <f t="shared" si="606"/>
        <v>0</v>
      </c>
      <c r="Y289" s="83">
        <f t="shared" si="607"/>
        <v>0</v>
      </c>
      <c r="Z289" s="83">
        <f t="shared" si="608"/>
        <v>0</v>
      </c>
      <c r="AA289" s="175"/>
    </row>
    <row r="290" spans="1:27" outlineLevel="1" x14ac:dyDescent="0.25">
      <c r="A290" s="36" t="str">
        <f t="shared" si="377"/>
        <v>Sunward SWDRT250SM</v>
      </c>
      <c r="B290" s="36"/>
      <c r="D290" s="201" t="str">
        <f t="shared" ref="D290:F290" si="613">D279</f>
        <v>Расходники</v>
      </c>
      <c r="E290" s="196" t="str">
        <f t="shared" si="613"/>
        <v>тыс. руб.</v>
      </c>
      <c r="F290" s="83">
        <f t="shared" si="613"/>
        <v>0</v>
      </c>
      <c r="G290" s="83">
        <f t="shared" si="610"/>
        <v>0</v>
      </c>
      <c r="H290" s="83">
        <f t="shared" si="590"/>
        <v>0</v>
      </c>
      <c r="I290" s="83">
        <f t="shared" si="591"/>
        <v>0</v>
      </c>
      <c r="J290" s="83">
        <f t="shared" si="592"/>
        <v>0</v>
      </c>
      <c r="K290" s="83">
        <f t="shared" si="593"/>
        <v>0</v>
      </c>
      <c r="L290" s="83">
        <f t="shared" si="594"/>
        <v>0</v>
      </c>
      <c r="M290" s="83">
        <f t="shared" si="595"/>
        <v>0</v>
      </c>
      <c r="N290" s="83">
        <f t="shared" si="596"/>
        <v>0</v>
      </c>
      <c r="O290" s="83">
        <f t="shared" si="597"/>
        <v>0</v>
      </c>
      <c r="P290" s="83">
        <f t="shared" si="598"/>
        <v>0</v>
      </c>
      <c r="Q290" s="83">
        <f t="shared" si="599"/>
        <v>0</v>
      </c>
      <c r="R290" s="83">
        <f t="shared" si="600"/>
        <v>0</v>
      </c>
      <c r="S290" s="83">
        <f t="shared" si="601"/>
        <v>0</v>
      </c>
      <c r="T290" s="83">
        <f t="shared" si="602"/>
        <v>0</v>
      </c>
      <c r="U290" s="83">
        <f t="shared" si="603"/>
        <v>0</v>
      </c>
      <c r="V290" s="83">
        <f t="shared" si="604"/>
        <v>0</v>
      </c>
      <c r="W290" s="83">
        <f t="shared" si="605"/>
        <v>0</v>
      </c>
      <c r="X290" s="83">
        <f t="shared" si="606"/>
        <v>0</v>
      </c>
      <c r="Y290" s="83">
        <f t="shared" si="607"/>
        <v>0</v>
      </c>
      <c r="Z290" s="83">
        <f t="shared" si="608"/>
        <v>0</v>
      </c>
      <c r="AA290" s="175"/>
    </row>
    <row r="291" spans="1:27" outlineLevel="1" x14ac:dyDescent="0.25">
      <c r="A291" s="36" t="str">
        <f t="shared" si="377"/>
        <v>Sunward SWDRT250SM</v>
      </c>
      <c r="B291" s="36"/>
      <c r="D291" s="201" t="str">
        <f t="shared" ref="D291:F291" si="614">D280</f>
        <v>Топливо/Электроэнергия</v>
      </c>
      <c r="E291" s="196" t="str">
        <f t="shared" si="614"/>
        <v>тыс. руб.</v>
      </c>
      <c r="F291" s="83">
        <f t="shared" si="614"/>
        <v>0</v>
      </c>
      <c r="G291" s="83">
        <f t="shared" si="610"/>
        <v>27185.806979706082</v>
      </c>
      <c r="H291" s="83">
        <f t="shared" si="590"/>
        <v>50661.022966120508</v>
      </c>
      <c r="I291" s="83">
        <f t="shared" si="591"/>
        <v>71137.180525569682</v>
      </c>
      <c r="J291" s="83">
        <f t="shared" si="592"/>
        <v>90055.486031257489</v>
      </c>
      <c r="K291" s="83">
        <f t="shared" si="593"/>
        <v>106764.6810835409</v>
      </c>
      <c r="L291" s="83">
        <f t="shared" si="594"/>
        <v>121300.93895748393</v>
      </c>
      <c r="M291" s="83">
        <f t="shared" si="595"/>
        <v>134570.15700377166</v>
      </c>
      <c r="N291" s="83">
        <f t="shared" si="596"/>
        <v>146463.43199884857</v>
      </c>
      <c r="O291" s="83">
        <f t="shared" si="597"/>
        <v>156891.76552050054</v>
      </c>
      <c r="P291" s="83">
        <f t="shared" si="598"/>
        <v>166251.41586117621</v>
      </c>
      <c r="Q291" s="83">
        <f t="shared" si="599"/>
        <v>174608.24652249378</v>
      </c>
      <c r="R291" s="83">
        <f t="shared" si="600"/>
        <v>182069.70247009874</v>
      </c>
      <c r="S291" s="83">
        <f t="shared" si="601"/>
        <v>182069.70247009874</v>
      </c>
      <c r="T291" s="83">
        <f t="shared" si="602"/>
        <v>182069.70247009874</v>
      </c>
      <c r="U291" s="83">
        <f t="shared" si="603"/>
        <v>182069.70247009874</v>
      </c>
      <c r="V291" s="83">
        <f t="shared" si="604"/>
        <v>182069.70247009874</v>
      </c>
      <c r="W291" s="83">
        <f t="shared" si="605"/>
        <v>182069.70247009874</v>
      </c>
      <c r="X291" s="83">
        <f t="shared" si="606"/>
        <v>182069.70247009874</v>
      </c>
      <c r="Y291" s="83">
        <f t="shared" si="607"/>
        <v>182069.70247009874</v>
      </c>
      <c r="Z291" s="83">
        <f t="shared" si="608"/>
        <v>182069.70247009874</v>
      </c>
      <c r="AA291" s="175"/>
    </row>
    <row r="292" spans="1:27" outlineLevel="1" x14ac:dyDescent="0.25">
      <c r="A292" s="36" t="str">
        <f t="shared" ref="A292:A330" si="615">A291</f>
        <v>Sunward SWDRT250SM</v>
      </c>
      <c r="B292" s="36"/>
      <c r="D292" s="201" t="str">
        <f t="shared" ref="D292:F292" si="616">D281</f>
        <v>Затраты на персонал</v>
      </c>
      <c r="E292" s="196" t="str">
        <f t="shared" si="616"/>
        <v>тыс. руб.</v>
      </c>
      <c r="F292" s="83">
        <f t="shared" si="616"/>
        <v>0</v>
      </c>
      <c r="G292" s="83">
        <f t="shared" si="610"/>
        <v>14026.894744341158</v>
      </c>
      <c r="H292" s="83">
        <f t="shared" si="590"/>
        <v>26550.907908931476</v>
      </c>
      <c r="I292" s="83">
        <f t="shared" si="591"/>
        <v>37733.062520172833</v>
      </c>
      <c r="J292" s="83">
        <f t="shared" si="592"/>
        <v>47717.129137352611</v>
      </c>
      <c r="K292" s="83">
        <f t="shared" si="593"/>
        <v>56631.474331263133</v>
      </c>
      <c r="L292" s="83">
        <f t="shared" si="594"/>
        <v>64590.711111540382</v>
      </c>
      <c r="M292" s="83">
        <f t="shared" si="595"/>
        <v>71697.172522502209</v>
      </c>
      <c r="N292" s="83">
        <f t="shared" si="596"/>
        <v>78042.227353718132</v>
      </c>
      <c r="O292" s="83">
        <f t="shared" si="597"/>
        <v>83707.454881589481</v>
      </c>
      <c r="P292" s="83">
        <f t="shared" si="598"/>
        <v>88765.693745760334</v>
      </c>
      <c r="Q292" s="83">
        <f t="shared" si="599"/>
        <v>93281.978445912886</v>
      </c>
      <c r="R292" s="83">
        <f t="shared" si="600"/>
        <v>97314.37549962051</v>
      </c>
      <c r="S292" s="83">
        <f t="shared" si="601"/>
        <v>97314.37549962051</v>
      </c>
      <c r="T292" s="83">
        <f t="shared" si="602"/>
        <v>97314.37549962051</v>
      </c>
      <c r="U292" s="83">
        <f t="shared" si="603"/>
        <v>97314.37549962051</v>
      </c>
      <c r="V292" s="83">
        <f t="shared" si="604"/>
        <v>97314.37549962051</v>
      </c>
      <c r="W292" s="83">
        <f t="shared" si="605"/>
        <v>97314.37549962051</v>
      </c>
      <c r="X292" s="83">
        <f t="shared" si="606"/>
        <v>97314.37549962051</v>
      </c>
      <c r="Y292" s="83">
        <f t="shared" si="607"/>
        <v>97314.37549962051</v>
      </c>
      <c r="Z292" s="83">
        <f t="shared" si="608"/>
        <v>97314.37549962051</v>
      </c>
      <c r="AA292" s="175"/>
    </row>
    <row r="293" spans="1:27" outlineLevel="1" x14ac:dyDescent="0.25">
      <c r="A293" s="36" t="str">
        <f t="shared" si="615"/>
        <v>Sunward SWDRT250SM</v>
      </c>
      <c r="B293" s="36"/>
      <c r="D293" s="201" t="str">
        <f t="shared" ref="D293:F293" si="617">D282</f>
        <v>Транспортный налог</v>
      </c>
      <c r="E293" s="196" t="str">
        <f t="shared" si="617"/>
        <v>тыс. руб.</v>
      </c>
      <c r="F293" s="83">
        <f t="shared" si="617"/>
        <v>0</v>
      </c>
      <c r="G293" s="83">
        <f t="shared" si="610"/>
        <v>10.714285714285714</v>
      </c>
      <c r="H293" s="83">
        <f t="shared" si="590"/>
        <v>20.280612244897956</v>
      </c>
      <c r="I293" s="83">
        <f t="shared" si="591"/>
        <v>28.821975218658885</v>
      </c>
      <c r="J293" s="83">
        <f t="shared" si="592"/>
        <v>36.448192159516857</v>
      </c>
      <c r="K293" s="83">
        <f t="shared" si="593"/>
        <v>43.257314428140049</v>
      </c>
      <c r="L293" s="83">
        <f t="shared" si="594"/>
        <v>49.336887882267895</v>
      </c>
      <c r="M293" s="83">
        <f t="shared" si="595"/>
        <v>54.765078466310612</v>
      </c>
      <c r="N293" s="83">
        <f t="shared" si="596"/>
        <v>59.611677202063042</v>
      </c>
      <c r="O293" s="83">
        <f t="shared" si="597"/>
        <v>63.938997501841996</v>
      </c>
      <c r="P293" s="83">
        <f t="shared" si="598"/>
        <v>67.802676340930347</v>
      </c>
      <c r="Q293" s="83">
        <f t="shared" si="599"/>
        <v>71.25238959011638</v>
      </c>
      <c r="R293" s="83">
        <f t="shared" si="600"/>
        <v>74.332490705461055</v>
      </c>
      <c r="S293" s="83">
        <f t="shared" si="601"/>
        <v>74.332490705461055</v>
      </c>
      <c r="T293" s="83">
        <f t="shared" si="602"/>
        <v>74.332490705461055</v>
      </c>
      <c r="U293" s="83">
        <f t="shared" si="603"/>
        <v>74.332490705461055</v>
      </c>
      <c r="V293" s="83">
        <f t="shared" si="604"/>
        <v>74.332490705461055</v>
      </c>
      <c r="W293" s="83">
        <f t="shared" si="605"/>
        <v>74.332490705461055</v>
      </c>
      <c r="X293" s="83">
        <f t="shared" si="606"/>
        <v>74.332490705461055</v>
      </c>
      <c r="Y293" s="83">
        <f t="shared" si="607"/>
        <v>74.332490705461055</v>
      </c>
      <c r="Z293" s="83">
        <f t="shared" si="608"/>
        <v>74.332490705461055</v>
      </c>
      <c r="AA293" s="175"/>
    </row>
    <row r="294" spans="1:27" outlineLevel="1" x14ac:dyDescent="0.25">
      <c r="A294" s="36" t="str">
        <f t="shared" si="615"/>
        <v>Sunward SWDRT250SM</v>
      </c>
      <c r="B294" s="36"/>
      <c r="D294" s="201" t="str">
        <f t="shared" ref="D294:F294" si="618">D283</f>
        <v>Налог на прибыль</v>
      </c>
      <c r="E294" s="196" t="str">
        <f t="shared" si="618"/>
        <v>тыс. руб.</v>
      </c>
      <c r="F294" s="83">
        <f t="shared" si="618"/>
        <v>0</v>
      </c>
      <c r="G294" s="83">
        <f t="shared" si="610"/>
        <v>-17821.547389255855</v>
      </c>
      <c r="H294" s="83">
        <f t="shared" si="590"/>
        <v>-38230.294909021264</v>
      </c>
      <c r="I294" s="83">
        <f t="shared" si="591"/>
        <v>-56738.490440304442</v>
      </c>
      <c r="J294" s="83">
        <f t="shared" si="592"/>
        <v>-70779.681045386955</v>
      </c>
      <c r="K294" s="83">
        <f t="shared" si="593"/>
        <v>-84840.968947173184</v>
      </c>
      <c r="L294" s="83">
        <f t="shared" si="594"/>
        <v>-98420.576957542071</v>
      </c>
      <c r="M294" s="83">
        <f t="shared" si="595"/>
        <v>-108033.43636681364</v>
      </c>
      <c r="N294" s="83">
        <f t="shared" si="596"/>
        <v>-118405.84219848091</v>
      </c>
      <c r="O294" s="83">
        <f t="shared" si="597"/>
        <v>-127348.0739306153</v>
      </c>
      <c r="P294" s="83">
        <f t="shared" si="598"/>
        <v>-134405.54007242119</v>
      </c>
      <c r="Q294" s="83">
        <f t="shared" si="599"/>
        <v>-141502.2842368024</v>
      </c>
      <c r="R294" s="83">
        <f t="shared" si="600"/>
        <v>-146537.09976685248</v>
      </c>
      <c r="S294" s="83">
        <f t="shared" si="601"/>
        <v>-146537.09976685248</v>
      </c>
      <c r="T294" s="83">
        <f t="shared" si="602"/>
        <v>-146537.09976685248</v>
      </c>
      <c r="U294" s="83">
        <f t="shared" si="603"/>
        <v>-146537.09976685248</v>
      </c>
      <c r="V294" s="83">
        <f t="shared" si="604"/>
        <v>-146537.09976685248</v>
      </c>
      <c r="W294" s="83">
        <f t="shared" si="605"/>
        <v>-146537.09976685248</v>
      </c>
      <c r="X294" s="83">
        <f t="shared" si="606"/>
        <v>-146537.09976685248</v>
      </c>
      <c r="Y294" s="83">
        <f t="shared" si="607"/>
        <v>-146537.09976685248</v>
      </c>
      <c r="Z294" s="83">
        <f t="shared" si="608"/>
        <v>-146537.09976685248</v>
      </c>
      <c r="AA294" s="175"/>
    </row>
    <row r="295" spans="1:27" outlineLevel="1" x14ac:dyDescent="0.25">
      <c r="A295" s="36" t="str">
        <f t="shared" si="615"/>
        <v>Sunward SWDRT250SM</v>
      </c>
      <c r="B295" s="36"/>
      <c r="D295" s="88"/>
      <c r="E295" s="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175"/>
    </row>
    <row r="296" spans="1:27" outlineLevel="1" x14ac:dyDescent="0.25">
      <c r="A296" s="36" t="str">
        <f t="shared" si="615"/>
        <v>Sunward SWDRT250SM</v>
      </c>
      <c r="B296" s="36"/>
      <c r="D296" s="63" t="s">
        <v>69</v>
      </c>
      <c r="E296" s="64" t="str">
        <f>E273</f>
        <v>тыс. руб.</v>
      </c>
      <c r="F296" s="65">
        <f>F270*'ФОТ, МТР, макро'!AI$14</f>
        <v>0</v>
      </c>
      <c r="G296" s="65">
        <f>G270*'ФОТ, МТР, макро'!AJ$14</f>
        <v>0</v>
      </c>
      <c r="H296" s="65">
        <f>H270*'ФОТ, МТР, макро'!AK$14</f>
        <v>0</v>
      </c>
      <c r="I296" s="65">
        <f>I270*'ФОТ, МТР, макро'!AL$14</f>
        <v>0</v>
      </c>
      <c r="J296" s="65">
        <f>J270*'ФОТ, МТР, макро'!AM$14</f>
        <v>0</v>
      </c>
      <c r="K296" s="65">
        <f>K270*'ФОТ, МТР, макро'!AN$14</f>
        <v>0</v>
      </c>
      <c r="L296" s="65">
        <f>L270*'ФОТ, МТР, макро'!AO$14</f>
        <v>0</v>
      </c>
      <c r="M296" s="65">
        <f>M270*'ФОТ, МТР, макро'!AP$14</f>
        <v>0</v>
      </c>
      <c r="N296" s="65">
        <f>N270*'ФОТ, МТР, макро'!AQ$14</f>
        <v>0</v>
      </c>
      <c r="O296" s="65">
        <f>O270*'ФОТ, МТР, макро'!AR$14</f>
        <v>0</v>
      </c>
      <c r="P296" s="65">
        <f>P270*'ФОТ, МТР, макро'!AS$14</f>
        <v>0</v>
      </c>
      <c r="Q296" s="65">
        <f>Q270*'ФОТ, МТР, макро'!AT$14</f>
        <v>0</v>
      </c>
      <c r="R296" s="65">
        <f>R270*'ФОТ, МТР, макро'!AU$14</f>
        <v>0</v>
      </c>
      <c r="S296" s="65">
        <f>S270*'ФОТ, МТР, макро'!AV$14</f>
        <v>0</v>
      </c>
      <c r="T296" s="65">
        <f>T270*'ФОТ, МТР, макро'!AW$14</f>
        <v>0</v>
      </c>
      <c r="U296" s="65">
        <f>U270*'ФОТ, МТР, макро'!AX$14</f>
        <v>0</v>
      </c>
      <c r="V296" s="65">
        <f>V270*'ФОТ, МТР, макро'!AY$14</f>
        <v>0</v>
      </c>
      <c r="W296" s="65">
        <f>W270*'ФОТ, МТР, макро'!AZ$14</f>
        <v>0</v>
      </c>
      <c r="X296" s="65">
        <f>X270*'ФОТ, МТР, макро'!BA$14</f>
        <v>0</v>
      </c>
      <c r="Y296" s="65">
        <f>Y270*'ФОТ, МТР, макро'!BB$14</f>
        <v>0</v>
      </c>
      <c r="Z296" s="65">
        <f>Z270*'ФОТ, МТР, макро'!BC$14</f>
        <v>0</v>
      </c>
      <c r="AA296" s="175"/>
    </row>
    <row r="297" spans="1:27" outlineLevel="1" x14ac:dyDescent="0.25">
      <c r="A297" s="36" t="str">
        <f t="shared" si="615"/>
        <v>Sunward SWDRT250SM</v>
      </c>
      <c r="B297" s="36"/>
      <c r="D297" s="88" t="str">
        <f>D271</f>
        <v>Буровой станок</v>
      </c>
      <c r="E297" s="9" t="str">
        <f>E296</f>
        <v>тыс. руб.</v>
      </c>
      <c r="F297" s="70">
        <f>F271*'ФОТ, МТР, макро'!AI$14</f>
        <v>0</v>
      </c>
      <c r="G297" s="70">
        <f>G271*'ФОТ, МТР, макро'!AJ$14</f>
        <v>0</v>
      </c>
      <c r="H297" s="70">
        <f>H271*'ФОТ, МТР, макро'!AK$14</f>
        <v>0</v>
      </c>
      <c r="I297" s="70">
        <f>I271*'ФОТ, МТР, макро'!AL$14</f>
        <v>0</v>
      </c>
      <c r="J297" s="70">
        <f>J271*'ФОТ, МТР, макро'!AM$14</f>
        <v>0</v>
      </c>
      <c r="K297" s="70">
        <f>K271*'ФОТ, МТР, макро'!AN$14</f>
        <v>0</v>
      </c>
      <c r="L297" s="70">
        <f>L271*'ФОТ, МТР, макро'!AO$14</f>
        <v>0</v>
      </c>
      <c r="M297" s="70">
        <f>M271*'ФОТ, МТР, макро'!AP$14</f>
        <v>0</v>
      </c>
      <c r="N297" s="70">
        <f>N271*'ФОТ, МТР, макро'!AQ$14</f>
        <v>0</v>
      </c>
      <c r="O297" s="70">
        <f>O271*'ФОТ, МТР, макро'!AR$14</f>
        <v>0</v>
      </c>
      <c r="P297" s="70">
        <f>P271*'ФОТ, МТР, макро'!AS$14</f>
        <v>0</v>
      </c>
      <c r="Q297" s="70">
        <f>Q271*'ФОТ, МТР, макро'!AT$14</f>
        <v>0</v>
      </c>
      <c r="R297" s="70">
        <f>R271*'ФОТ, МТР, макро'!AU$14</f>
        <v>0</v>
      </c>
      <c r="S297" s="70">
        <f>S271*'ФОТ, МТР, макро'!AV$14</f>
        <v>0</v>
      </c>
      <c r="T297" s="70">
        <f>T271*'ФОТ, МТР, макро'!AW$14</f>
        <v>0</v>
      </c>
      <c r="U297" s="70">
        <f>U271*'ФОТ, МТР, макро'!AX$14</f>
        <v>0</v>
      </c>
      <c r="V297" s="70">
        <f>V271*'ФОТ, МТР, макро'!AY$14</f>
        <v>0</v>
      </c>
      <c r="W297" s="70">
        <f>W271*'ФОТ, МТР, макро'!AZ$14</f>
        <v>0</v>
      </c>
      <c r="X297" s="70">
        <f>X271*'ФОТ, МТР, макро'!BA$14</f>
        <v>0</v>
      </c>
      <c r="Y297" s="70">
        <f>Y271*'ФОТ, МТР, макро'!BB$14</f>
        <v>0</v>
      </c>
      <c r="Z297" s="70">
        <f>Z271*'ФОТ, МТР, макро'!BC$14</f>
        <v>0</v>
      </c>
      <c r="AA297" s="175"/>
    </row>
    <row r="298" spans="1:27" outlineLevel="1" x14ac:dyDescent="0.25">
      <c r="A298" s="36" t="str">
        <f t="shared" si="615"/>
        <v>Sunward SWDRT250SM</v>
      </c>
      <c r="B298" s="36"/>
      <c r="D298" s="91" t="s">
        <v>67</v>
      </c>
      <c r="E298" s="9"/>
      <c r="F298" s="93">
        <f>F296-F297</f>
        <v>0</v>
      </c>
      <c r="G298" s="93">
        <f t="shared" ref="G298:Z298" si="619">G296-G297</f>
        <v>0</v>
      </c>
      <c r="H298" s="93">
        <f t="shared" si="619"/>
        <v>0</v>
      </c>
      <c r="I298" s="93">
        <f t="shared" si="619"/>
        <v>0</v>
      </c>
      <c r="J298" s="93">
        <f t="shared" si="619"/>
        <v>0</v>
      </c>
      <c r="K298" s="93">
        <f t="shared" si="619"/>
        <v>0</v>
      </c>
      <c r="L298" s="93">
        <f t="shared" si="619"/>
        <v>0</v>
      </c>
      <c r="M298" s="93">
        <f t="shared" si="619"/>
        <v>0</v>
      </c>
      <c r="N298" s="93">
        <f t="shared" si="619"/>
        <v>0</v>
      </c>
      <c r="O298" s="93">
        <f t="shared" si="619"/>
        <v>0</v>
      </c>
      <c r="P298" s="93">
        <f t="shared" si="619"/>
        <v>0</v>
      </c>
      <c r="Q298" s="93">
        <f t="shared" si="619"/>
        <v>0</v>
      </c>
      <c r="R298" s="93">
        <f t="shared" si="619"/>
        <v>0</v>
      </c>
      <c r="S298" s="93">
        <f t="shared" si="619"/>
        <v>0</v>
      </c>
      <c r="T298" s="93">
        <f t="shared" si="619"/>
        <v>0</v>
      </c>
      <c r="U298" s="93">
        <f t="shared" si="619"/>
        <v>0</v>
      </c>
      <c r="V298" s="93">
        <f t="shared" si="619"/>
        <v>0</v>
      </c>
      <c r="W298" s="93">
        <f t="shared" si="619"/>
        <v>0</v>
      </c>
      <c r="X298" s="93">
        <f t="shared" si="619"/>
        <v>0</v>
      </c>
      <c r="Y298" s="93">
        <f t="shared" si="619"/>
        <v>0</v>
      </c>
      <c r="Z298" s="93">
        <f t="shared" si="619"/>
        <v>0</v>
      </c>
      <c r="AA298" s="175"/>
    </row>
    <row r="299" spans="1:27" outlineLevel="1" x14ac:dyDescent="0.25">
      <c r="A299" s="36" t="str">
        <f t="shared" si="615"/>
        <v>Sunward SWDRT250SM</v>
      </c>
      <c r="B299" s="36"/>
      <c r="D299" s="94" t="s">
        <v>70</v>
      </c>
      <c r="E299" s="64" t="str">
        <f>E296</f>
        <v>тыс. руб.</v>
      </c>
      <c r="F299" s="65">
        <f>F296</f>
        <v>0</v>
      </c>
      <c r="G299" s="65">
        <f>F299+G296</f>
        <v>0</v>
      </c>
      <c r="H299" s="65">
        <f t="shared" ref="H299:H300" si="620">G299+H296</f>
        <v>0</v>
      </c>
      <c r="I299" s="65">
        <f t="shared" ref="I299:I300" si="621">H299+I296</f>
        <v>0</v>
      </c>
      <c r="J299" s="65">
        <f t="shared" ref="J299:J300" si="622">I299+J296</f>
        <v>0</v>
      </c>
      <c r="K299" s="65">
        <f t="shared" ref="K299:K300" si="623">J299+K296</f>
        <v>0</v>
      </c>
      <c r="L299" s="65">
        <f t="shared" ref="L299:L300" si="624">K299+L296</f>
        <v>0</v>
      </c>
      <c r="M299" s="65">
        <f t="shared" ref="M299:M300" si="625">L299+M296</f>
        <v>0</v>
      </c>
      <c r="N299" s="65">
        <f t="shared" ref="N299:N300" si="626">M299+N296</f>
        <v>0</v>
      </c>
      <c r="O299" s="65">
        <f t="shared" ref="O299:O300" si="627">N299+O296</f>
        <v>0</v>
      </c>
      <c r="P299" s="65">
        <f t="shared" ref="P299:P300" si="628">O299+P296</f>
        <v>0</v>
      </c>
      <c r="Q299" s="65">
        <f t="shared" ref="Q299:Q300" si="629">P299+Q296</f>
        <v>0</v>
      </c>
      <c r="R299" s="65">
        <f t="shared" ref="R299:R300" si="630">Q299+R296</f>
        <v>0</v>
      </c>
      <c r="S299" s="65">
        <f t="shared" ref="S299:S300" si="631">R299+S296</f>
        <v>0</v>
      </c>
      <c r="T299" s="65">
        <f t="shared" ref="T299:T300" si="632">S299+T296</f>
        <v>0</v>
      </c>
      <c r="U299" s="65">
        <f t="shared" ref="U299:U300" si="633">T299+U296</f>
        <v>0</v>
      </c>
      <c r="V299" s="65">
        <f t="shared" ref="V299:V300" si="634">U299+V296</f>
        <v>0</v>
      </c>
      <c r="W299" s="65">
        <f t="shared" ref="W299:W300" si="635">V299+W296</f>
        <v>0</v>
      </c>
      <c r="X299" s="65">
        <f t="shared" ref="X299:X300" si="636">W299+X296</f>
        <v>0</v>
      </c>
      <c r="Y299" s="65">
        <f t="shared" ref="Y299:Y300" si="637">X299+Y296</f>
        <v>0</v>
      </c>
      <c r="Z299" s="65">
        <f t="shared" ref="Z299:Z300" si="638">Y299+Z296</f>
        <v>0</v>
      </c>
      <c r="AA299" s="175"/>
    </row>
    <row r="300" spans="1:27" outlineLevel="1" x14ac:dyDescent="0.25">
      <c r="A300" s="36" t="str">
        <f t="shared" si="615"/>
        <v>Sunward SWDRT250SM</v>
      </c>
      <c r="B300" s="36"/>
      <c r="D300" s="88" t="str">
        <f>D297</f>
        <v>Буровой станок</v>
      </c>
      <c r="E300" s="9" t="str">
        <f>E297</f>
        <v>тыс. руб.</v>
      </c>
      <c r="F300" s="70">
        <f>F297</f>
        <v>0</v>
      </c>
      <c r="G300" s="70">
        <f>F300+G297</f>
        <v>0</v>
      </c>
      <c r="H300" s="70">
        <f t="shared" si="620"/>
        <v>0</v>
      </c>
      <c r="I300" s="70">
        <f t="shared" si="621"/>
        <v>0</v>
      </c>
      <c r="J300" s="70">
        <f t="shared" si="622"/>
        <v>0</v>
      </c>
      <c r="K300" s="70">
        <f t="shared" si="623"/>
        <v>0</v>
      </c>
      <c r="L300" s="70">
        <f t="shared" si="624"/>
        <v>0</v>
      </c>
      <c r="M300" s="70">
        <f t="shared" si="625"/>
        <v>0</v>
      </c>
      <c r="N300" s="70">
        <f t="shared" si="626"/>
        <v>0</v>
      </c>
      <c r="O300" s="70">
        <f t="shared" si="627"/>
        <v>0</v>
      </c>
      <c r="P300" s="70">
        <f t="shared" si="628"/>
        <v>0</v>
      </c>
      <c r="Q300" s="70">
        <f t="shared" si="629"/>
        <v>0</v>
      </c>
      <c r="R300" s="70">
        <f t="shared" si="630"/>
        <v>0</v>
      </c>
      <c r="S300" s="70">
        <f t="shared" si="631"/>
        <v>0</v>
      </c>
      <c r="T300" s="70">
        <f t="shared" si="632"/>
        <v>0</v>
      </c>
      <c r="U300" s="70">
        <f t="shared" si="633"/>
        <v>0</v>
      </c>
      <c r="V300" s="70">
        <f t="shared" si="634"/>
        <v>0</v>
      </c>
      <c r="W300" s="70">
        <f t="shared" si="635"/>
        <v>0</v>
      </c>
      <c r="X300" s="70">
        <f t="shared" si="636"/>
        <v>0</v>
      </c>
      <c r="Y300" s="70">
        <f t="shared" si="637"/>
        <v>0</v>
      </c>
      <c r="Z300" s="70">
        <f t="shared" si="638"/>
        <v>0</v>
      </c>
      <c r="AA300" s="175"/>
    </row>
    <row r="301" spans="1:27" outlineLevel="1" x14ac:dyDescent="0.25">
      <c r="A301" s="36" t="str">
        <f t="shared" si="615"/>
        <v>Sunward SWDRT250SM</v>
      </c>
      <c r="B301" s="36"/>
      <c r="D301" s="88"/>
      <c r="E301" s="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175"/>
    </row>
    <row r="302" spans="1:27" outlineLevel="1" x14ac:dyDescent="0.25">
      <c r="A302" s="36" t="str">
        <f t="shared" si="615"/>
        <v>Sunward SWDRT250SM</v>
      </c>
      <c r="B302" s="36"/>
      <c r="D302" s="63" t="s">
        <v>71</v>
      </c>
      <c r="E302" s="64" t="str">
        <f>E273</f>
        <v>тыс. руб.</v>
      </c>
      <c r="F302" s="65">
        <f>F273*'ФОТ, МТР, макро'!AI$14</f>
        <v>0</v>
      </c>
      <c r="G302" s="65">
        <f>G273*'ФОТ, МТР, макро'!AJ$14</f>
        <v>53464.642167767561</v>
      </c>
      <c r="H302" s="65">
        <f>H273*'ФОТ, МТР, макро'!AK$14</f>
        <v>61226.242559296224</v>
      </c>
      <c r="I302" s="65">
        <f>I273*'ФОТ, МТР, макро'!AL$14</f>
        <v>55524.586593849534</v>
      </c>
      <c r="J302" s="65">
        <f>J273*'ФОТ, МТР, макро'!AM$14</f>
        <v>42123.571815247524</v>
      </c>
      <c r="K302" s="65">
        <f>K273*'ФОТ, МТР, макро'!AN$14</f>
        <v>42183.863705358664</v>
      </c>
      <c r="L302" s="65">
        <f>L273*'ФОТ, МТР, макро'!AO$14</f>
        <v>40738.824031106677</v>
      </c>
      <c r="M302" s="65">
        <f>M273*'ФОТ, МТР, макро'!AP$14</f>
        <v>28838.578227814676</v>
      </c>
      <c r="N302" s="65">
        <f>N273*'ФОТ, МТР, макро'!AQ$14</f>
        <v>31117.217495001831</v>
      </c>
      <c r="O302" s="65">
        <f>O273*'ФОТ, МТР, макро'!AR$14</f>
        <v>26826.695196403154</v>
      </c>
      <c r="P302" s="65">
        <f>P273*'ФОТ, МТР, макро'!AS$14</f>
        <v>21172.398425417719</v>
      </c>
      <c r="Q302" s="65">
        <f>Q273*'ФОТ, МТР, макро'!AT$14</f>
        <v>21290.232493143649</v>
      </c>
      <c r="R302" s="65">
        <f>R273*'ФОТ, МТР, макро'!AU$14</f>
        <v>15104.446590150241</v>
      </c>
      <c r="S302" s="65">
        <f>S273*'ФОТ, МТР, макро'!AV$14</f>
        <v>0</v>
      </c>
      <c r="T302" s="65">
        <f>T273*'ФОТ, МТР, макро'!AW$14</f>
        <v>0</v>
      </c>
      <c r="U302" s="65">
        <f>U273*'ФОТ, МТР, макро'!AX$14</f>
        <v>0</v>
      </c>
      <c r="V302" s="65">
        <f>V273*'ФОТ, МТР, макро'!AY$14</f>
        <v>0</v>
      </c>
      <c r="W302" s="65">
        <f>W273*'ФОТ, МТР, макро'!AZ$14</f>
        <v>0</v>
      </c>
      <c r="X302" s="65">
        <f>X273*'ФОТ, МТР, макро'!BA$14</f>
        <v>0</v>
      </c>
      <c r="Y302" s="65">
        <f>Y273*'ФОТ, МТР, макро'!BB$14</f>
        <v>0</v>
      </c>
      <c r="Z302" s="65">
        <f>Z273*'ФОТ, МТР, макро'!BC$14</f>
        <v>0</v>
      </c>
      <c r="AA302" s="175"/>
    </row>
    <row r="303" spans="1:27" outlineLevel="1" x14ac:dyDescent="0.25">
      <c r="A303" s="36" t="str">
        <f t="shared" si="615"/>
        <v>Sunward SWDRT250SM</v>
      </c>
      <c r="B303" s="36"/>
      <c r="D303" s="94" t="s">
        <v>72</v>
      </c>
      <c r="E303" s="64" t="str">
        <f>E302</f>
        <v>тыс. руб.</v>
      </c>
      <c r="F303" s="65">
        <f>F302</f>
        <v>0</v>
      </c>
      <c r="G303" s="65">
        <f>F303+G302</f>
        <v>53464.642167767561</v>
      </c>
      <c r="H303" s="65">
        <f t="shared" ref="H303" si="639">G303+H302</f>
        <v>114690.88472706379</v>
      </c>
      <c r="I303" s="65">
        <f t="shared" ref="I303" si="640">H303+I302</f>
        <v>170215.47132091332</v>
      </c>
      <c r="J303" s="65">
        <f t="shared" ref="J303" si="641">I303+J302</f>
        <v>212339.04313616085</v>
      </c>
      <c r="K303" s="65">
        <f t="shared" ref="K303" si="642">J303+K302</f>
        <v>254522.90684151952</v>
      </c>
      <c r="L303" s="65">
        <f t="shared" ref="L303" si="643">K303+L302</f>
        <v>295261.73087262618</v>
      </c>
      <c r="M303" s="65">
        <f t="shared" ref="M303" si="644">L303+M302</f>
        <v>324100.30910044088</v>
      </c>
      <c r="N303" s="65">
        <f t="shared" ref="N303" si="645">M303+N302</f>
        <v>355217.52659544273</v>
      </c>
      <c r="O303" s="65">
        <f t="shared" ref="O303" si="646">N303+O302</f>
        <v>382044.22179184586</v>
      </c>
      <c r="P303" s="65">
        <f t="shared" ref="P303" si="647">O303+P302</f>
        <v>403216.62021726358</v>
      </c>
      <c r="Q303" s="65">
        <f t="shared" ref="Q303" si="648">P303+Q302</f>
        <v>424506.85271040723</v>
      </c>
      <c r="R303" s="65">
        <f t="shared" ref="R303" si="649">Q303+R302</f>
        <v>439611.29930055747</v>
      </c>
      <c r="S303" s="65">
        <f t="shared" ref="S303" si="650">R303+S302</f>
        <v>439611.29930055747</v>
      </c>
      <c r="T303" s="65">
        <f t="shared" ref="T303" si="651">S303+T302</f>
        <v>439611.29930055747</v>
      </c>
      <c r="U303" s="65">
        <f t="shared" ref="U303" si="652">T303+U302</f>
        <v>439611.29930055747</v>
      </c>
      <c r="V303" s="65">
        <f t="shared" ref="V303" si="653">U303+V302</f>
        <v>439611.29930055747</v>
      </c>
      <c r="W303" s="65">
        <f t="shared" ref="W303" si="654">V303+W302</f>
        <v>439611.29930055747</v>
      </c>
      <c r="X303" s="65">
        <f t="shared" ref="X303" si="655">W303+X302</f>
        <v>439611.29930055747</v>
      </c>
      <c r="Y303" s="65">
        <f t="shared" ref="Y303" si="656">X303+Y302</f>
        <v>439611.29930055747</v>
      </c>
      <c r="Z303" s="65">
        <f t="shared" ref="Z303" si="657">Y303+Z302</f>
        <v>439611.29930055747</v>
      </c>
      <c r="AA303" s="175"/>
    </row>
    <row r="304" spans="1:27" outlineLevel="1" x14ac:dyDescent="0.25">
      <c r="A304" s="36" t="str">
        <f t="shared" si="615"/>
        <v>Sunward SWDRT250SM</v>
      </c>
      <c r="B304" s="36"/>
      <c r="D304" s="88"/>
      <c r="E304" s="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175"/>
    </row>
    <row r="305" spans="1:29" outlineLevel="1" x14ac:dyDescent="0.25">
      <c r="A305" s="36" t="str">
        <f t="shared" si="615"/>
        <v>Sunward SWDRT250SM</v>
      </c>
      <c r="B305" s="36" t="str">
        <f>D305</f>
        <v>Аннуитет операционный</v>
      </c>
      <c r="C305" s="57">
        <f>E224</f>
        <v>12</v>
      </c>
      <c r="D305" s="95" t="s">
        <v>73</v>
      </c>
      <c r="E305" s="96" t="s">
        <v>207</v>
      </c>
      <c r="F305" s="97"/>
      <c r="G305" s="98">
        <f>G285/'ФОТ, МТР, макро'!AJ$15/(G231/G226)</f>
        <v>10.858663285787705</v>
      </c>
      <c r="H305" s="98">
        <f>H285/'ФОТ, МТР, макро'!AK$15/(H231/H226)</f>
        <v>12.624986122146648</v>
      </c>
      <c r="I305" s="98">
        <f>I285/'ФОТ, МТР, макро'!AL$15/(I231/I226)</f>
        <v>13.659297967107891</v>
      </c>
      <c r="J305" s="98">
        <f>J285/'ФОТ, МТР, макро'!AM$15/(J231/J226)</f>
        <v>13.39233574549065</v>
      </c>
      <c r="K305" s="98">
        <f>K285/'ФОТ, МТР, макро'!AN$15/(K231/K226)</f>
        <v>13.474006941380795</v>
      </c>
      <c r="L305" s="98">
        <f>L285/'ФОТ, МТР, макро'!AO$15/(L231/L226)</f>
        <v>13.949896820396894</v>
      </c>
      <c r="M305" s="98">
        <f>M285/'ФОТ, МТР, макро'!AP$15/(M231/M226)</f>
        <v>13.911133386999994</v>
      </c>
      <c r="N305" s="98">
        <f>N285/'ФОТ, МТР, макро'!AQ$15/(N231/N226)</f>
        <v>13.903194939235485</v>
      </c>
      <c r="O305" s="98">
        <f>O285/'ФОТ, МТР, макро'!AR$15/(O231/O226)</f>
        <v>14.004803999782075</v>
      </c>
      <c r="P305" s="98">
        <f>P285/'ФОТ, МТР, макро'!AS$15/(P231/P226)</f>
        <v>14.016136343616891</v>
      </c>
      <c r="Q305" s="98">
        <f>Q285/'ФОТ, МТР, макро'!AT$15/(Q231/Q226)</f>
        <v>13.971039786614018</v>
      </c>
      <c r="R305" s="98">
        <f>R285/'ФОТ, МТР, макро'!AU$15/(R231/R226)</f>
        <v>13.768152546285467</v>
      </c>
      <c r="S305" s="98" t="e">
        <f>S285/'ФОТ, МТР, макро'!AV$15/(S231/S226)</f>
        <v>#DIV/0!</v>
      </c>
      <c r="T305" s="98" t="e">
        <f>T285/'ФОТ, МТР, макро'!AW$15/(T231/T226)</f>
        <v>#DIV/0!</v>
      </c>
      <c r="U305" s="98" t="e">
        <f>U285/'ФОТ, МТР, макро'!AX$15/(U231/U226)</f>
        <v>#DIV/0!</v>
      </c>
      <c r="V305" s="98" t="e">
        <f>V285/'ФОТ, МТР, макро'!AY$15/(V231/V226)</f>
        <v>#DIV/0!</v>
      </c>
      <c r="W305" s="98" t="e">
        <f>W285/'ФОТ, МТР, макро'!AZ$15/(W231/W226)</f>
        <v>#DIV/0!</v>
      </c>
      <c r="X305" s="98" t="e">
        <f>X285/'ФОТ, МТР, макро'!BA$15/(X231/X226)</f>
        <v>#DIV/0!</v>
      </c>
      <c r="Y305" s="98" t="e">
        <f>Y285/'ФОТ, МТР, макро'!BB$15/(Y231/Y226)</f>
        <v>#DIV/0!</v>
      </c>
      <c r="Z305" s="98" t="e">
        <f>Z285/'ФОТ, МТР, макро'!BC$15/(Z231/Z226)</f>
        <v>#DIV/0!</v>
      </c>
      <c r="AA305" s="175"/>
      <c r="AC305" s="99" cm="1">
        <f t="array" ref="AC305">INDEX(G305:Z305,1,$C305)</f>
        <v>13.768152546285467</v>
      </c>
    </row>
    <row r="306" spans="1:29" outlineLevel="1" x14ac:dyDescent="0.25">
      <c r="A306" s="36" t="str">
        <f t="shared" si="615"/>
        <v>Sunward SWDRT250SM</v>
      </c>
      <c r="B306" s="36" t="str">
        <f t="shared" ref="B306:B317" si="658">D306</f>
        <v>ТО, ТР, ППР</v>
      </c>
      <c r="C306" s="36">
        <f>C305</f>
        <v>12</v>
      </c>
      <c r="D306" s="100" t="str">
        <f>D286</f>
        <v>ТО, ТР, ППР</v>
      </c>
      <c r="E306" s="101" t="str">
        <f>E305</f>
        <v>руб/м3</v>
      </c>
      <c r="F306" s="102"/>
      <c r="G306" s="103">
        <f>G286/'ФОТ, МТР, макро'!AJ$15/(G231/G226)</f>
        <v>6.1057461931991686</v>
      </c>
      <c r="H306" s="103">
        <f>H286/'ФОТ, МТР, макро'!AK$15/(H231/H226)</f>
        <v>8.3317185559434606</v>
      </c>
      <c r="I306" s="103">
        <f>I286/'ФОТ, МТР, макро'!AL$15/(I231/I226)</f>
        <v>9.4735631170161145</v>
      </c>
      <c r="J306" s="103">
        <f>J286/'ФОТ, МТР, макро'!AM$15/(J231/J226)</f>
        <v>9.1647571545631781</v>
      </c>
      <c r="K306" s="103">
        <f>K286/'ФОТ, МТР, макро'!AN$15/(K231/K226)</f>
        <v>9.3131398892038071</v>
      </c>
      <c r="L306" s="103">
        <f>L286/'ФОТ, МТР, макро'!AO$15/(L231/L226)</f>
        <v>9.8149190650281994</v>
      </c>
      <c r="M306" s="103">
        <f>M286/'ФОТ, МТР, макро'!AP$15/(M231/M226)</f>
        <v>9.6923572958197948</v>
      </c>
      <c r="N306" s="103">
        <f>N286/'ФОТ, МТР, макро'!AQ$15/(N231/N226)</f>
        <v>9.7481205885257083</v>
      </c>
      <c r="O306" s="103">
        <f>O286/'ФОТ, МТР, макро'!AR$15/(O231/O226)</f>
        <v>9.8509509333268177</v>
      </c>
      <c r="P306" s="103">
        <f>P286/'ФОТ, МТР, макро'!AS$15/(P231/P226)</f>
        <v>9.8212236094690493</v>
      </c>
      <c r="Q306" s="103">
        <f>Q286/'ФОТ, МТР, макро'!AT$15/(Q231/Q226)</f>
        <v>9.8091130539858025</v>
      </c>
      <c r="R306" s="103">
        <f>R286/'ФОТ, МТР, макро'!AU$15/(R231/R226)</f>
        <v>9.6052002172778774</v>
      </c>
      <c r="S306" s="103" t="e">
        <f>S286/'ФОТ, МТР, макро'!AV$15/(S231/S226)</f>
        <v>#DIV/0!</v>
      </c>
      <c r="T306" s="103" t="e">
        <f>T286/'ФОТ, МТР, макро'!AW$15/(T231/T226)</f>
        <v>#DIV/0!</v>
      </c>
      <c r="U306" s="103" t="e">
        <f>U286/'ФОТ, МТР, макро'!AX$15/(U231/U226)</f>
        <v>#DIV/0!</v>
      </c>
      <c r="V306" s="103" t="e">
        <f>V286/'ФОТ, МТР, макро'!AY$15/(V231/V226)</f>
        <v>#DIV/0!</v>
      </c>
      <c r="W306" s="103" t="e">
        <f>W286/'ФОТ, МТР, макро'!AZ$15/(W231/W226)</f>
        <v>#DIV/0!</v>
      </c>
      <c r="X306" s="103" t="e">
        <f>X286/'ФОТ, МТР, макро'!BA$15/(X231/X226)</f>
        <v>#DIV/0!</v>
      </c>
      <c r="Y306" s="103" t="e">
        <f>Y286/'ФОТ, МТР, макро'!BB$15/(Y231/Y226)</f>
        <v>#DIV/0!</v>
      </c>
      <c r="Z306" s="103" t="e">
        <f>Z286/'ФОТ, МТР, макро'!BC$15/(Z231/Z226)</f>
        <v>#DIV/0!</v>
      </c>
      <c r="AA306" s="175"/>
      <c r="AC306" s="104" cm="1">
        <f t="array" ref="AC306">INDEX(G306:Z306,1,$C306)</f>
        <v>9.6052002172778774</v>
      </c>
    </row>
    <row r="307" spans="1:29" outlineLevel="1" x14ac:dyDescent="0.25">
      <c r="A307" s="36" t="str">
        <f t="shared" si="615"/>
        <v>Sunward SWDRT250SM</v>
      </c>
      <c r="B307" s="36" t="str">
        <f t="shared" si="658"/>
        <v>Смазочные</v>
      </c>
      <c r="C307" s="36">
        <f t="shared" ref="C307:C317" si="659">C306</f>
        <v>12</v>
      </c>
      <c r="D307" s="100" t="str">
        <f t="shared" ref="D307:D314" si="660">D287</f>
        <v>Смазочные</v>
      </c>
      <c r="E307" s="101" t="str">
        <f t="shared" ref="E307:E314" si="661">E306</f>
        <v>руб/м3</v>
      </c>
      <c r="F307" s="102"/>
      <c r="G307" s="103">
        <f>G287/'ФОТ, МТР, макро'!AJ$15/(G231/G226)</f>
        <v>0</v>
      </c>
      <c r="H307" s="103">
        <f>H287/'ФОТ, МТР, макро'!AK$15/(H231/H226)</f>
        <v>0</v>
      </c>
      <c r="I307" s="103">
        <f>I287/'ФОТ, МТР, макро'!AL$15/(I231/I226)</f>
        <v>0</v>
      </c>
      <c r="J307" s="103">
        <f>J287/'ФОТ, МТР, макро'!AM$15/(J231/J226)</f>
        <v>0</v>
      </c>
      <c r="K307" s="103">
        <f>K287/'ФОТ, МТР, макро'!AN$15/(K231/K226)</f>
        <v>0</v>
      </c>
      <c r="L307" s="103">
        <f>L287/'ФОТ, МТР, макро'!AO$15/(L231/L226)</f>
        <v>0</v>
      </c>
      <c r="M307" s="103">
        <f>M287/'ФОТ, МТР, макро'!AP$15/(M231/M226)</f>
        <v>0</v>
      </c>
      <c r="N307" s="103">
        <f>N287/'ФОТ, МТР, макро'!AQ$15/(N231/N226)</f>
        <v>0</v>
      </c>
      <c r="O307" s="103">
        <f>O287/'ФОТ, МТР, макро'!AR$15/(O231/O226)</f>
        <v>0</v>
      </c>
      <c r="P307" s="103">
        <f>P287/'ФОТ, МТР, макро'!AS$15/(P231/P226)</f>
        <v>0</v>
      </c>
      <c r="Q307" s="103">
        <f>Q287/'ФОТ, МТР, макро'!AT$15/(Q231/Q226)</f>
        <v>0</v>
      </c>
      <c r="R307" s="103">
        <f>R287/'ФОТ, МТР, макро'!AU$15/(R231/R226)</f>
        <v>0</v>
      </c>
      <c r="S307" s="103" t="e">
        <f>S287/'ФОТ, МТР, макро'!AV$15/(S231/S226)</f>
        <v>#DIV/0!</v>
      </c>
      <c r="T307" s="103" t="e">
        <f>T287/'ФОТ, МТР, макро'!AW$15/(T231/T226)</f>
        <v>#DIV/0!</v>
      </c>
      <c r="U307" s="103" t="e">
        <f>U287/'ФОТ, МТР, макро'!AX$15/(U231/U226)</f>
        <v>#DIV/0!</v>
      </c>
      <c r="V307" s="103" t="e">
        <f>V287/'ФОТ, МТР, макро'!AY$15/(V231/V226)</f>
        <v>#DIV/0!</v>
      </c>
      <c r="W307" s="103" t="e">
        <f>W287/'ФОТ, МТР, макро'!AZ$15/(W231/W226)</f>
        <v>#DIV/0!</v>
      </c>
      <c r="X307" s="103" t="e">
        <f>X287/'ФОТ, МТР, макро'!BA$15/(X231/X226)</f>
        <v>#DIV/0!</v>
      </c>
      <c r="Y307" s="103" t="e">
        <f>Y287/'ФОТ, МТР, макро'!BB$15/(Y231/Y226)</f>
        <v>#DIV/0!</v>
      </c>
      <c r="Z307" s="103" t="e">
        <f>Z287/'ФОТ, МТР, макро'!BC$15/(Z231/Z226)</f>
        <v>#DIV/0!</v>
      </c>
      <c r="AA307" s="175"/>
      <c r="AC307" s="104" cm="1">
        <f t="array" ref="AC307">INDEX(G307:Z307,1,$C307)</f>
        <v>0</v>
      </c>
    </row>
    <row r="308" spans="1:29" outlineLevel="1" x14ac:dyDescent="0.25">
      <c r="A308" s="36" t="str">
        <f t="shared" si="615"/>
        <v>Sunward SWDRT250SM</v>
      </c>
      <c r="B308" s="36" t="str">
        <f t="shared" si="658"/>
        <v>Долота</v>
      </c>
      <c r="C308" s="36">
        <f t="shared" si="659"/>
        <v>12</v>
      </c>
      <c r="D308" s="100" t="str">
        <f t="shared" si="660"/>
        <v>Долота</v>
      </c>
      <c r="E308" s="101" t="str">
        <f t="shared" si="661"/>
        <v>руб/м3</v>
      </c>
      <c r="F308" s="102"/>
      <c r="G308" s="103">
        <f>G288/'ФОТ, МТР, макро'!AJ$15/(G231/G226)</f>
        <v>0</v>
      </c>
      <c r="H308" s="103">
        <f>H288/'ФОТ, МТР, макро'!AK$15/(H231/H226)</f>
        <v>0</v>
      </c>
      <c r="I308" s="103">
        <f>I288/'ФОТ, МТР, макро'!AL$15/(I231/I226)</f>
        <v>0</v>
      </c>
      <c r="J308" s="103">
        <f>J288/'ФОТ, МТР, макро'!AM$15/(J231/J226)</f>
        <v>0</v>
      </c>
      <c r="K308" s="103">
        <f>K288/'ФОТ, МТР, макро'!AN$15/(K231/K226)</f>
        <v>0</v>
      </c>
      <c r="L308" s="103">
        <f>L288/'ФОТ, МТР, макро'!AO$15/(L231/L226)</f>
        <v>0</v>
      </c>
      <c r="M308" s="103">
        <f>M288/'ФОТ, МТР, макро'!AP$15/(M231/M226)</f>
        <v>0</v>
      </c>
      <c r="N308" s="103">
        <f>N288/'ФОТ, МТР, макро'!AQ$15/(N231/N226)</f>
        <v>0</v>
      </c>
      <c r="O308" s="103">
        <f>O288/'ФОТ, МТР, макро'!AR$15/(O231/O226)</f>
        <v>0</v>
      </c>
      <c r="P308" s="103">
        <f>P288/'ФОТ, МТР, макро'!AS$15/(P231/P226)</f>
        <v>0</v>
      </c>
      <c r="Q308" s="103">
        <f>Q288/'ФОТ, МТР, макро'!AT$15/(Q231/Q226)</f>
        <v>0</v>
      </c>
      <c r="R308" s="103">
        <f>R288/'ФОТ, МТР, макро'!AU$15/(R231/R226)</f>
        <v>0</v>
      </c>
      <c r="S308" s="103" t="e">
        <f>S288/'ФОТ, МТР, макро'!AV$15/(S231/S226)</f>
        <v>#DIV/0!</v>
      </c>
      <c r="T308" s="103" t="e">
        <f>T288/'ФОТ, МТР, макро'!AW$15/(T231/T226)</f>
        <v>#DIV/0!</v>
      </c>
      <c r="U308" s="103" t="e">
        <f>U288/'ФОТ, МТР, макро'!AX$15/(U231/U226)</f>
        <v>#DIV/0!</v>
      </c>
      <c r="V308" s="103" t="e">
        <f>V288/'ФОТ, МТР, макро'!AY$15/(V231/V226)</f>
        <v>#DIV/0!</v>
      </c>
      <c r="W308" s="103" t="e">
        <f>W288/'ФОТ, МТР, макро'!AZ$15/(W231/W226)</f>
        <v>#DIV/0!</v>
      </c>
      <c r="X308" s="103" t="e">
        <f>X288/'ФОТ, МТР, макро'!BA$15/(X231/X226)</f>
        <v>#DIV/0!</v>
      </c>
      <c r="Y308" s="103" t="e">
        <f>Y288/'ФОТ, МТР, макро'!BB$15/(Y231/Y226)</f>
        <v>#DIV/0!</v>
      </c>
      <c r="Z308" s="103" t="e">
        <f>Z288/'ФОТ, МТР, макро'!BC$15/(Z231/Z226)</f>
        <v>#DIV/0!</v>
      </c>
      <c r="AA308" s="175"/>
      <c r="AC308" s="104" cm="1">
        <f t="array" ref="AC308">INDEX(G308:Z308,1,$C308)</f>
        <v>0</v>
      </c>
    </row>
    <row r="309" spans="1:29" outlineLevel="1" x14ac:dyDescent="0.25">
      <c r="A309" s="36" t="str">
        <f t="shared" si="615"/>
        <v>Sunward SWDRT250SM</v>
      </c>
      <c r="B309" s="36" t="str">
        <f t="shared" si="658"/>
        <v>Штанги буровые</v>
      </c>
      <c r="C309" s="36">
        <f t="shared" si="659"/>
        <v>12</v>
      </c>
      <c r="D309" s="100" t="str">
        <f t="shared" si="660"/>
        <v>Штанги буровые</v>
      </c>
      <c r="E309" s="101" t="str">
        <f t="shared" si="661"/>
        <v>руб/м3</v>
      </c>
      <c r="F309" s="102"/>
      <c r="G309" s="103">
        <f>G289/'ФОТ, МТР, макро'!AJ$15/(G231/G226)</f>
        <v>0</v>
      </c>
      <c r="H309" s="103">
        <f>H289/'ФОТ, МТР, макро'!AK$15/(H231/H226)</f>
        <v>0</v>
      </c>
      <c r="I309" s="103">
        <f>I289/'ФОТ, МТР, макро'!AL$15/(I231/I226)</f>
        <v>0</v>
      </c>
      <c r="J309" s="103">
        <f>J289/'ФОТ, МТР, макро'!AM$15/(J231/J226)</f>
        <v>0</v>
      </c>
      <c r="K309" s="103">
        <f>K289/'ФОТ, МТР, макро'!AN$15/(K231/K226)</f>
        <v>0</v>
      </c>
      <c r="L309" s="103">
        <f>L289/'ФОТ, МТР, макро'!AO$15/(L231/L226)</f>
        <v>0</v>
      </c>
      <c r="M309" s="103">
        <f>M289/'ФОТ, МТР, макро'!AP$15/(M231/M226)</f>
        <v>0</v>
      </c>
      <c r="N309" s="103">
        <f>N289/'ФОТ, МТР, макро'!AQ$15/(N231/N226)</f>
        <v>0</v>
      </c>
      <c r="O309" s="103">
        <f>O289/'ФОТ, МТР, макро'!AR$15/(O231/O226)</f>
        <v>0</v>
      </c>
      <c r="P309" s="103">
        <f>P289/'ФОТ, МТР, макро'!AS$15/(P231/P226)</f>
        <v>0</v>
      </c>
      <c r="Q309" s="103">
        <f>Q289/'ФОТ, МТР, макро'!AT$15/(Q231/Q226)</f>
        <v>0</v>
      </c>
      <c r="R309" s="103">
        <f>R289/'ФОТ, МТР, макро'!AU$15/(R231/R226)</f>
        <v>0</v>
      </c>
      <c r="S309" s="103" t="e">
        <f>S289/'ФОТ, МТР, макро'!AV$15/(S231/S226)</f>
        <v>#DIV/0!</v>
      </c>
      <c r="T309" s="103" t="e">
        <f>T289/'ФОТ, МТР, макро'!AW$15/(T231/T226)</f>
        <v>#DIV/0!</v>
      </c>
      <c r="U309" s="103" t="e">
        <f>U289/'ФОТ, МТР, макро'!AX$15/(U231/U226)</f>
        <v>#DIV/0!</v>
      </c>
      <c r="V309" s="103" t="e">
        <f>V289/'ФОТ, МТР, макро'!AY$15/(V231/V226)</f>
        <v>#DIV/0!</v>
      </c>
      <c r="W309" s="103" t="e">
        <f>W289/'ФОТ, МТР, макро'!AZ$15/(W231/W226)</f>
        <v>#DIV/0!</v>
      </c>
      <c r="X309" s="103" t="e">
        <f>X289/'ФОТ, МТР, макро'!BA$15/(X231/X226)</f>
        <v>#DIV/0!</v>
      </c>
      <c r="Y309" s="103" t="e">
        <f>Y289/'ФОТ, МТР, макро'!BB$15/(Y231/Y226)</f>
        <v>#DIV/0!</v>
      </c>
      <c r="Z309" s="103" t="e">
        <f>Z289/'ФОТ, МТР, макро'!BC$15/(Z231/Z226)</f>
        <v>#DIV/0!</v>
      </c>
      <c r="AA309" s="175"/>
      <c r="AC309" s="104" cm="1">
        <f t="array" ref="AC309">INDEX(G309:Z309,1,$C309)</f>
        <v>0</v>
      </c>
    </row>
    <row r="310" spans="1:29" outlineLevel="1" x14ac:dyDescent="0.25">
      <c r="A310" s="36" t="str">
        <f t="shared" si="615"/>
        <v>Sunward SWDRT250SM</v>
      </c>
      <c r="B310" s="36" t="str">
        <f t="shared" si="658"/>
        <v>Расходники</v>
      </c>
      <c r="C310" s="36">
        <f t="shared" si="659"/>
        <v>12</v>
      </c>
      <c r="D310" s="100" t="str">
        <f t="shared" si="660"/>
        <v>Расходники</v>
      </c>
      <c r="E310" s="101" t="str">
        <f t="shared" si="661"/>
        <v>руб/м3</v>
      </c>
      <c r="F310" s="102"/>
      <c r="G310" s="103">
        <f>G290/'ФОТ, МТР, макро'!AJ$15/(G231/G226)</f>
        <v>0</v>
      </c>
      <c r="H310" s="103">
        <f>H290/'ФОТ, МТР, макро'!AK$15/(H231/H226)</f>
        <v>0</v>
      </c>
      <c r="I310" s="103">
        <f>I290/'ФОТ, МТР, макро'!AL$15/(I231/I226)</f>
        <v>0</v>
      </c>
      <c r="J310" s="103">
        <f>J290/'ФОТ, МТР, макро'!AM$15/(J231/J226)</f>
        <v>0</v>
      </c>
      <c r="K310" s="103">
        <f>K290/'ФОТ, МТР, макро'!AN$15/(K231/K226)</f>
        <v>0</v>
      </c>
      <c r="L310" s="103">
        <f>L290/'ФОТ, МТР, макро'!AO$15/(L231/L226)</f>
        <v>0</v>
      </c>
      <c r="M310" s="103">
        <f>M290/'ФОТ, МТР, макро'!AP$15/(M231/M226)</f>
        <v>0</v>
      </c>
      <c r="N310" s="103">
        <f>N290/'ФОТ, МТР, макро'!AQ$15/(N231/N226)</f>
        <v>0</v>
      </c>
      <c r="O310" s="103">
        <f>O290/'ФОТ, МТР, макро'!AR$15/(O231/O226)</f>
        <v>0</v>
      </c>
      <c r="P310" s="103">
        <f>P290/'ФОТ, МТР, макро'!AS$15/(P231/P226)</f>
        <v>0</v>
      </c>
      <c r="Q310" s="103">
        <f>Q290/'ФОТ, МТР, макро'!AT$15/(Q231/Q226)</f>
        <v>0</v>
      </c>
      <c r="R310" s="103">
        <f>R290/'ФОТ, МТР, макро'!AU$15/(R231/R226)</f>
        <v>0</v>
      </c>
      <c r="S310" s="103" t="e">
        <f>S290/'ФОТ, МТР, макро'!AV$15/(S231/S226)</f>
        <v>#DIV/0!</v>
      </c>
      <c r="T310" s="103" t="e">
        <f>T290/'ФОТ, МТР, макро'!AW$15/(T231/T226)</f>
        <v>#DIV/0!</v>
      </c>
      <c r="U310" s="103" t="e">
        <f>U290/'ФОТ, МТР, макро'!AX$15/(U231/U226)</f>
        <v>#DIV/0!</v>
      </c>
      <c r="V310" s="103" t="e">
        <f>V290/'ФОТ, МТР, макро'!AY$15/(V231/V226)</f>
        <v>#DIV/0!</v>
      </c>
      <c r="W310" s="103" t="e">
        <f>W290/'ФОТ, МТР, макро'!AZ$15/(W231/W226)</f>
        <v>#DIV/0!</v>
      </c>
      <c r="X310" s="103" t="e">
        <f>X290/'ФОТ, МТР, макро'!BA$15/(X231/X226)</f>
        <v>#DIV/0!</v>
      </c>
      <c r="Y310" s="103" t="e">
        <f>Y290/'ФОТ, МТР, макро'!BB$15/(Y231/Y226)</f>
        <v>#DIV/0!</v>
      </c>
      <c r="Z310" s="103" t="e">
        <f>Z290/'ФОТ, МТР, макро'!BC$15/(Z231/Z226)</f>
        <v>#DIV/0!</v>
      </c>
      <c r="AA310" s="175"/>
      <c r="AC310" s="104" cm="1">
        <f t="array" ref="AC310">INDEX(G310:Z310,1,$C310)</f>
        <v>0</v>
      </c>
    </row>
    <row r="311" spans="1:29" outlineLevel="1" x14ac:dyDescent="0.25">
      <c r="A311" s="36" t="str">
        <f t="shared" si="615"/>
        <v>Sunward SWDRT250SM</v>
      </c>
      <c r="B311" s="36" t="str">
        <f t="shared" si="658"/>
        <v>Топливо/Электроэнергия</v>
      </c>
      <c r="C311" s="36">
        <f t="shared" si="659"/>
        <v>12</v>
      </c>
      <c r="D311" s="100" t="str">
        <f t="shared" si="660"/>
        <v>Топливо/Электроэнергия</v>
      </c>
      <c r="E311" s="101" t="str">
        <f t="shared" si="661"/>
        <v>руб/м3</v>
      </c>
      <c r="F311" s="102"/>
      <c r="G311" s="103">
        <f>G291/'ФОТ, МТР, макро'!AJ$15/(G231/G226)</f>
        <v>5.521434581358049</v>
      </c>
      <c r="H311" s="103">
        <f>H291/'ФОТ, МТР, макро'!AK$15/(H231/H226)</f>
        <v>5.5766830415782627</v>
      </c>
      <c r="I311" s="103">
        <f>I291/'ФОТ, МТР, макро'!AL$15/(I231/I226)</f>
        <v>5.7085524470731013</v>
      </c>
      <c r="J311" s="103">
        <f>J291/'ФОТ, МТР, макро'!AM$15/(J231/J226)</f>
        <v>5.6798471295764985</v>
      </c>
      <c r="K311" s="103">
        <f>K291/'ФОТ, МТР, макро'!AN$15/(K231/K226)</f>
        <v>5.651939433921596</v>
      </c>
      <c r="L311" s="103">
        <f>L291/'ФОТ, МТР, макро'!AO$15/(L231/L226)</f>
        <v>5.7309681741455964</v>
      </c>
      <c r="M311" s="103">
        <f>M291/'ФОТ, МТР, макро'!AP$15/(M231/M226)</f>
        <v>5.7760617667564347</v>
      </c>
      <c r="N311" s="103">
        <f>N291/'ФОТ, МТР, макро'!AQ$15/(N231/N226)</f>
        <v>5.7325708730262201</v>
      </c>
      <c r="O311" s="103">
        <f>O291/'ФОТ, МТР, макро'!AR$15/(O231/O226)</f>
        <v>5.7512672616510017</v>
      </c>
      <c r="P311" s="103">
        <f>P291/'ФОТ, МТР, макро'!AS$15/(P231/P226)</f>
        <v>5.7790338869812059</v>
      </c>
      <c r="Q311" s="103">
        <f>Q291/'ФОТ, МТР, макро'!AT$15/(Q231/Q226)</f>
        <v>5.7465709767960682</v>
      </c>
      <c r="R311" s="103">
        <f>R291/'ФОТ, МТР, макро'!AU$15/(R231/R226)</f>
        <v>5.7022270393265773</v>
      </c>
      <c r="S311" s="103" t="e">
        <f>S291/'ФОТ, МТР, макро'!AV$15/(S231/S226)</f>
        <v>#DIV/0!</v>
      </c>
      <c r="T311" s="103" t="e">
        <f>T291/'ФОТ, МТР, макро'!AW$15/(T231/T226)</f>
        <v>#DIV/0!</v>
      </c>
      <c r="U311" s="103" t="e">
        <f>U291/'ФОТ, МТР, макро'!AX$15/(U231/U226)</f>
        <v>#DIV/0!</v>
      </c>
      <c r="V311" s="103" t="e">
        <f>V291/'ФОТ, МТР, макро'!AY$15/(V231/V226)</f>
        <v>#DIV/0!</v>
      </c>
      <c r="W311" s="103" t="e">
        <f>W291/'ФОТ, МТР, макро'!AZ$15/(W231/W226)</f>
        <v>#DIV/0!</v>
      </c>
      <c r="X311" s="103" t="e">
        <f>X291/'ФОТ, МТР, макро'!BA$15/(X231/X226)</f>
        <v>#DIV/0!</v>
      </c>
      <c r="Y311" s="103" t="e">
        <f>Y291/'ФОТ, МТР, макро'!BB$15/(Y231/Y226)</f>
        <v>#DIV/0!</v>
      </c>
      <c r="Z311" s="103" t="e">
        <f>Z291/'ФОТ, МТР, макро'!BC$15/(Z231/Z226)</f>
        <v>#DIV/0!</v>
      </c>
      <c r="AA311" s="175"/>
      <c r="AC311" s="104" cm="1">
        <f t="array" ref="AC311">INDEX(G311:Z311,1,$C311)</f>
        <v>5.7022270393265773</v>
      </c>
    </row>
    <row r="312" spans="1:29" outlineLevel="1" x14ac:dyDescent="0.25">
      <c r="A312" s="36" t="str">
        <f t="shared" si="615"/>
        <v>Sunward SWDRT250SM</v>
      </c>
      <c r="B312" s="36" t="str">
        <f t="shared" si="658"/>
        <v>Затраты на персонал</v>
      </c>
      <c r="C312" s="36">
        <f t="shared" si="659"/>
        <v>12</v>
      </c>
      <c r="D312" s="100" t="str">
        <f t="shared" si="660"/>
        <v>Затраты на персонал</v>
      </c>
      <c r="E312" s="101" t="str">
        <f t="shared" si="661"/>
        <v>руб/м3</v>
      </c>
      <c r="F312" s="102"/>
      <c r="G312" s="103">
        <f>G292/'ФОТ, МТР, макро'!AJ$15/(G231/G226)</f>
        <v>2.8488608695077282</v>
      </c>
      <c r="H312" s="103">
        <f>H292/'ФОТ, МТР, макро'!AK$15/(H231/H226)</f>
        <v>2.9226807751841739</v>
      </c>
      <c r="I312" s="103">
        <f>I292/'ФОТ, МТР, макро'!AL$15/(I231/I226)</f>
        <v>3.0279688454572748</v>
      </c>
      <c r="J312" s="103">
        <f>J292/'ФОТ, МТР, макро'!AM$15/(J231/J226)</f>
        <v>3.0095445697594982</v>
      </c>
      <c r="K312" s="103">
        <f>K292/'ФОТ, МТР, макро'!AN$15/(K231/K226)</f>
        <v>2.9979732972136302</v>
      </c>
      <c r="L312" s="103">
        <f>L292/'ФОТ, МТР, макро'!AO$15/(L231/L226)</f>
        <v>3.0516442239199337</v>
      </c>
      <c r="M312" s="103">
        <f>M292/'ФОТ, МТР, макро'!AP$15/(M231/M226)</f>
        <v>3.0774081431751474</v>
      </c>
      <c r="N312" s="103">
        <f>N292/'ФОТ, МТР, макро'!AQ$15/(N231/N226)</f>
        <v>3.0545685929135669</v>
      </c>
      <c r="O312" s="103">
        <f>O292/'ФОТ, МТР, макро'!AR$15/(O231/O226)</f>
        <v>3.068509957928339</v>
      </c>
      <c r="P312" s="103">
        <f>P292/'ФОТ, МТР, макро'!AS$15/(P231/P226)</f>
        <v>3.0855674190858915</v>
      </c>
      <c r="Q312" s="103">
        <f>Q292/'ФОТ, МТР, макро'!AT$15/(Q231/Q226)</f>
        <v>3.0700240147382902</v>
      </c>
      <c r="R312" s="103">
        <f>R292/'ФОТ, МТР, макро'!AU$15/(R231/R226)</f>
        <v>3.047781458204164</v>
      </c>
      <c r="S312" s="103" t="e">
        <f>S292/'ФОТ, МТР, макро'!AV$15/(S231/S226)</f>
        <v>#DIV/0!</v>
      </c>
      <c r="T312" s="103" t="e">
        <f>T292/'ФОТ, МТР, макро'!AW$15/(T231/T226)</f>
        <v>#DIV/0!</v>
      </c>
      <c r="U312" s="103" t="e">
        <f>U292/'ФОТ, МТР, макро'!AX$15/(U231/U226)</f>
        <v>#DIV/0!</v>
      </c>
      <c r="V312" s="103" t="e">
        <f>V292/'ФОТ, МТР, макро'!AY$15/(V231/V226)</f>
        <v>#DIV/0!</v>
      </c>
      <c r="W312" s="103" t="e">
        <f>W292/'ФОТ, МТР, макро'!AZ$15/(W231/W226)</f>
        <v>#DIV/0!</v>
      </c>
      <c r="X312" s="103" t="e">
        <f>X292/'ФОТ, МТР, макро'!BA$15/(X231/X226)</f>
        <v>#DIV/0!</v>
      </c>
      <c r="Y312" s="103" t="e">
        <f>Y292/'ФОТ, МТР, макро'!BB$15/(Y231/Y226)</f>
        <v>#DIV/0!</v>
      </c>
      <c r="Z312" s="103" t="e">
        <f>Z292/'ФОТ, МТР, макро'!BC$15/(Z231/Z226)</f>
        <v>#DIV/0!</v>
      </c>
      <c r="AA312" s="175"/>
      <c r="AC312" s="104" cm="1">
        <f t="array" ref="AC312">INDEX(G312:Z312,1,$C312)</f>
        <v>3.047781458204164</v>
      </c>
    </row>
    <row r="313" spans="1:29" outlineLevel="1" x14ac:dyDescent="0.25">
      <c r="A313" s="36" t="str">
        <f t="shared" si="615"/>
        <v>Sunward SWDRT250SM</v>
      </c>
      <c r="B313" s="36" t="str">
        <f t="shared" si="658"/>
        <v>Транспортный налог</v>
      </c>
      <c r="C313" s="36">
        <f t="shared" si="659"/>
        <v>12</v>
      </c>
      <c r="D313" s="100" t="str">
        <f t="shared" si="660"/>
        <v>Транспортный налог</v>
      </c>
      <c r="E313" s="101" t="str">
        <f t="shared" si="661"/>
        <v>руб/м3</v>
      </c>
      <c r="F313" s="102"/>
      <c r="G313" s="103">
        <f>G293/'ФОТ, МТР, макро'!AJ$15/(G231/G226)</f>
        <v>2.176070318661817E-3</v>
      </c>
      <c r="H313" s="103">
        <f>H293/'ФОТ, МТР, макро'!AK$15/(H231/H226)</f>
        <v>2.2324568229619324E-3</v>
      </c>
      <c r="I313" s="103">
        <f>I293/'ФОТ, МТР, макро'!AL$15/(I231/I226)</f>
        <v>2.3128799306969421E-3</v>
      </c>
      <c r="J313" s="103">
        <f>J293/'ФОТ, МТР, макро'!AM$15/(J231/J226)</f>
        <v>2.2988067550224482E-3</v>
      </c>
      <c r="K313" s="103">
        <f>K293/'ФОТ, МТР, макро'!AN$15/(K231/K226)</f>
        <v>2.2899681686928317E-3</v>
      </c>
      <c r="L313" s="103">
        <f>L293/'ФОТ, МТР, макро'!AO$15/(L231/L226)</f>
        <v>2.3309641021309019E-3</v>
      </c>
      <c r="M313" s="103">
        <f>M293/'ФОТ, МТР, макро'!AP$15/(M231/M226)</f>
        <v>2.3506435819481654E-3</v>
      </c>
      <c r="N313" s="103">
        <f>N293/'ФОТ, МТР, макро'!AQ$15/(N231/N226)</f>
        <v>2.3331978484805293E-3</v>
      </c>
      <c r="O313" s="103">
        <f>O293/'ФОТ, МТР, макро'!AR$15/(O231/O226)</f>
        <v>2.3438468032732983E-3</v>
      </c>
      <c r="P313" s="103">
        <f>P293/'ФОТ, МТР, макро'!AS$15/(P231/P226)</f>
        <v>2.3568759530411807E-3</v>
      </c>
      <c r="Q313" s="103">
        <f>Q293/'ФОТ, МТР, макро'!AT$15/(Q231/Q226)</f>
        <v>2.3450032985308121E-3</v>
      </c>
      <c r="R313" s="103">
        <f>R293/'ФОТ, МТР, макро'!AU$15/(R231/R226)</f>
        <v>2.3280135720042824E-3</v>
      </c>
      <c r="S313" s="103" t="e">
        <f>S293/'ФОТ, МТР, макро'!AV$15/(S231/S226)</f>
        <v>#DIV/0!</v>
      </c>
      <c r="T313" s="103" t="e">
        <f>T293/'ФОТ, МТР, макро'!AW$15/(T231/T226)</f>
        <v>#DIV/0!</v>
      </c>
      <c r="U313" s="103" t="e">
        <f>U293/'ФОТ, МТР, макро'!AX$15/(U231/U226)</f>
        <v>#DIV/0!</v>
      </c>
      <c r="V313" s="103" t="e">
        <f>V293/'ФОТ, МТР, макро'!AY$15/(V231/V226)</f>
        <v>#DIV/0!</v>
      </c>
      <c r="W313" s="103" t="e">
        <f>W293/'ФОТ, МТР, макро'!AZ$15/(W231/W226)</f>
        <v>#DIV/0!</v>
      </c>
      <c r="X313" s="103" t="e">
        <f>X293/'ФОТ, МТР, макро'!BA$15/(X231/X226)</f>
        <v>#DIV/0!</v>
      </c>
      <c r="Y313" s="103" t="e">
        <f>Y293/'ФОТ, МТР, макро'!BB$15/(Y231/Y226)</f>
        <v>#DIV/0!</v>
      </c>
      <c r="Z313" s="103" t="e">
        <f>Z293/'ФОТ, МТР, макро'!BC$15/(Z231/Z226)</f>
        <v>#DIV/0!</v>
      </c>
      <c r="AA313" s="175"/>
      <c r="AC313" s="104" cm="1">
        <f t="array" ref="AC313">INDEX(G313:Z313,1,$C313)</f>
        <v>2.3280135720042824E-3</v>
      </c>
    </row>
    <row r="314" spans="1:29" outlineLevel="1" x14ac:dyDescent="0.25">
      <c r="A314" s="36" t="str">
        <f t="shared" si="615"/>
        <v>Sunward SWDRT250SM</v>
      </c>
      <c r="B314" s="36" t="str">
        <f t="shared" si="658"/>
        <v>Налог на прибыль</v>
      </c>
      <c r="C314" s="36">
        <f t="shared" si="659"/>
        <v>12</v>
      </c>
      <c r="D314" s="100" t="str">
        <f t="shared" si="660"/>
        <v>Налог на прибыль</v>
      </c>
      <c r="E314" s="101" t="str">
        <f t="shared" si="661"/>
        <v>руб/м3</v>
      </c>
      <c r="F314" s="29"/>
      <c r="G314" s="103">
        <f>G294/'ФОТ, МТР, макро'!AJ$15/(G231/G226)</f>
        <v>-3.6195544285959018</v>
      </c>
      <c r="H314" s="103">
        <f>H294/'ФОТ, МТР, макро'!AK$15/(H231/H226)</f>
        <v>-4.2083287073822158</v>
      </c>
      <c r="I314" s="103">
        <f>I294/'ФОТ, МТР, макро'!AL$15/(I231/I226)</f>
        <v>-4.5530993223692979</v>
      </c>
      <c r="J314" s="103">
        <f>J294/'ФОТ, МТР, макро'!AM$15/(J231/J226)</f>
        <v>-4.4641119151635502</v>
      </c>
      <c r="K314" s="103">
        <f>K294/'ФОТ, МТР, макро'!AN$15/(K231/K226)</f>
        <v>-4.4913356471269328</v>
      </c>
      <c r="L314" s="103">
        <f>L294/'ФОТ, МТР, макро'!AO$15/(L231/L226)</f>
        <v>-4.6499656067989656</v>
      </c>
      <c r="M314" s="103">
        <f>M294/'ФОТ, МТР, макро'!AP$15/(M231/M226)</f>
        <v>-4.637044462333332</v>
      </c>
      <c r="N314" s="103">
        <f>N294/'ФОТ, МТР, макро'!AQ$15/(N231/N226)</f>
        <v>-4.6343983130784947</v>
      </c>
      <c r="O314" s="103">
        <f>O294/'ФОТ, МТР, макро'!AR$15/(O231/O226)</f>
        <v>-4.668267999927358</v>
      </c>
      <c r="P314" s="103">
        <f>P294/'ФОТ, МТР, макро'!AS$15/(P231/P226)</f>
        <v>-4.6720454478722973</v>
      </c>
      <c r="Q314" s="103">
        <f>Q294/'ФОТ, МТР, макро'!AT$15/(Q231/Q226)</f>
        <v>-4.6570132622046732</v>
      </c>
      <c r="R314" s="103">
        <f>R294/'ФОТ, МТР, макро'!AU$15/(R231/R226)</f>
        <v>-4.5893841820951558</v>
      </c>
      <c r="S314" s="103" t="e">
        <f>S294/'ФОТ, МТР, макро'!AV$15/(S231/S226)</f>
        <v>#DIV/0!</v>
      </c>
      <c r="T314" s="103" t="e">
        <f>T294/'ФОТ, МТР, макро'!AW$15/(T231/T226)</f>
        <v>#DIV/0!</v>
      </c>
      <c r="U314" s="103" t="e">
        <f>U294/'ФОТ, МТР, макро'!AX$15/(U231/U226)</f>
        <v>#DIV/0!</v>
      </c>
      <c r="V314" s="103" t="e">
        <f>V294/'ФОТ, МТР, макро'!AY$15/(V231/V226)</f>
        <v>#DIV/0!</v>
      </c>
      <c r="W314" s="103" t="e">
        <f>W294/'ФОТ, МТР, макро'!AZ$15/(W231/W226)</f>
        <v>#DIV/0!</v>
      </c>
      <c r="X314" s="103" t="e">
        <f>X294/'ФОТ, МТР, макро'!BA$15/(X231/X226)</f>
        <v>#DIV/0!</v>
      </c>
      <c r="Y314" s="103" t="e">
        <f>Y294/'ФОТ, МТР, макро'!BB$15/(Y231/Y226)</f>
        <v>#DIV/0!</v>
      </c>
      <c r="Z314" s="103" t="e">
        <f>Z294/'ФОТ, МТР, макро'!BC$15/(Z231/Z226)</f>
        <v>#DIV/0!</v>
      </c>
      <c r="AA314" s="175"/>
      <c r="AC314" s="104" cm="1">
        <f t="array" ref="AC314">INDEX(G314:Z314,1,$C314)</f>
        <v>-4.5893841820951558</v>
      </c>
    </row>
    <row r="315" spans="1:29" outlineLevel="1" x14ac:dyDescent="0.25">
      <c r="A315" s="36" t="str">
        <f t="shared" si="615"/>
        <v>Sunward SWDRT250SM</v>
      </c>
      <c r="B315" s="36" t="str">
        <f t="shared" si="658"/>
        <v>Аннуитет инвестиционный</v>
      </c>
      <c r="C315" s="36">
        <f t="shared" si="659"/>
        <v>12</v>
      </c>
      <c r="D315" s="95" t="s">
        <v>74</v>
      </c>
      <c r="E315" s="105" t="str">
        <f>E305</f>
        <v>руб/м3</v>
      </c>
      <c r="F315" s="106"/>
      <c r="G315" s="98">
        <f>G299/'ФОТ, МТР, макро'!AJ$15/(G231/G226)</f>
        <v>0</v>
      </c>
      <c r="H315" s="98">
        <f>H299/'ФОТ, МТР, макро'!AK$15/(H231/H226)</f>
        <v>0</v>
      </c>
      <c r="I315" s="98">
        <f>I299/'ФОТ, МТР, макро'!AL$15/(I231/I226)</f>
        <v>0</v>
      </c>
      <c r="J315" s="98">
        <f>J299/'ФОТ, МТР, макро'!AM$15/(J231/J226)</f>
        <v>0</v>
      </c>
      <c r="K315" s="98">
        <f>K299/'ФОТ, МТР, макро'!AN$15/(K231/K226)</f>
        <v>0</v>
      </c>
      <c r="L315" s="98">
        <f>L299/'ФОТ, МТР, макро'!AO$15/(L231/L226)</f>
        <v>0</v>
      </c>
      <c r="M315" s="98">
        <f>M299/'ФОТ, МТР, макро'!AP$15/(M231/M226)</f>
        <v>0</v>
      </c>
      <c r="N315" s="98">
        <f>N299/'ФОТ, МТР, макро'!AQ$15/(N231/N226)</f>
        <v>0</v>
      </c>
      <c r="O315" s="98">
        <f>O299/'ФОТ, МТР, макро'!AR$15/(O231/O226)</f>
        <v>0</v>
      </c>
      <c r="P315" s="98">
        <f>P299/'ФОТ, МТР, макро'!AS$15/(P231/P226)</f>
        <v>0</v>
      </c>
      <c r="Q315" s="98">
        <f>Q299/'ФОТ, МТР, макро'!AT$15/(Q231/Q226)</f>
        <v>0</v>
      </c>
      <c r="R315" s="98">
        <f>R299/'ФОТ, МТР, макро'!AU$15/(R231/R226)</f>
        <v>0</v>
      </c>
      <c r="S315" s="98" t="e">
        <f>S299/'ФОТ, МТР, макро'!AV$15/(S231/S226)</f>
        <v>#DIV/0!</v>
      </c>
      <c r="T315" s="98" t="e">
        <f>T299/'ФОТ, МТР, макро'!AW$15/(T231/T226)</f>
        <v>#DIV/0!</v>
      </c>
      <c r="U315" s="98" t="e">
        <f>U299/'ФОТ, МТР, макро'!AX$15/(U231/U226)</f>
        <v>#DIV/0!</v>
      </c>
      <c r="V315" s="98" t="e">
        <f>V299/'ФОТ, МТР, макро'!AY$15/(V231/V226)</f>
        <v>#DIV/0!</v>
      </c>
      <c r="W315" s="98" t="e">
        <f>W299/'ФОТ, МТР, макро'!AZ$15/(W231/W226)</f>
        <v>#DIV/0!</v>
      </c>
      <c r="X315" s="98" t="e">
        <f>X299/'ФОТ, МТР, макро'!BA$15/(X231/X226)</f>
        <v>#DIV/0!</v>
      </c>
      <c r="Y315" s="98" t="e">
        <f>Y299/'ФОТ, МТР, макро'!BB$15/(Y231/Y226)</f>
        <v>#DIV/0!</v>
      </c>
      <c r="Z315" s="98" t="e">
        <f>Z299/'ФОТ, МТР, макро'!BC$15/(Z231/Z226)</f>
        <v>#DIV/0!</v>
      </c>
      <c r="AA315" s="175"/>
      <c r="AC315" s="99" cm="1">
        <f t="array" ref="AC315">INDEX(G315:Z315,1,$C315)</f>
        <v>0</v>
      </c>
    </row>
    <row r="316" spans="1:29" outlineLevel="1" x14ac:dyDescent="0.25">
      <c r="A316" s="36" t="str">
        <f t="shared" si="615"/>
        <v>Sunward SWDRT250SM</v>
      </c>
      <c r="B316" s="36" t="str">
        <f t="shared" si="658"/>
        <v>Буровой станок</v>
      </c>
      <c r="C316" s="36">
        <f t="shared" si="659"/>
        <v>12</v>
      </c>
      <c r="D316" s="88" t="str">
        <f>D300</f>
        <v>Буровой станок</v>
      </c>
      <c r="E316" s="9" t="str">
        <f>E315</f>
        <v>руб/м3</v>
      </c>
      <c r="F316" s="29"/>
      <c r="G316" s="107">
        <f>G300/'ФОТ, МТР, макро'!AJ$15/(G231/G226)</f>
        <v>0</v>
      </c>
      <c r="H316" s="107">
        <f>H300/'ФОТ, МТР, макро'!AK$15/(H231/H226)</f>
        <v>0</v>
      </c>
      <c r="I316" s="107">
        <f>I300/'ФОТ, МТР, макро'!AL$15/(I231/I226)</f>
        <v>0</v>
      </c>
      <c r="J316" s="107">
        <f>J300/'ФОТ, МТР, макро'!AM$15/(J231/J226)</f>
        <v>0</v>
      </c>
      <c r="K316" s="107">
        <f>K300/'ФОТ, МТР, макро'!AN$15/(K231/K226)</f>
        <v>0</v>
      </c>
      <c r="L316" s="107">
        <f>L300/'ФОТ, МТР, макро'!AO$15/(L231/L226)</f>
        <v>0</v>
      </c>
      <c r="M316" s="107">
        <f>M300/'ФОТ, МТР, макро'!AP$15/(M231/M226)</f>
        <v>0</v>
      </c>
      <c r="N316" s="107">
        <f>N300/'ФОТ, МТР, макро'!AQ$15/(N231/N226)</f>
        <v>0</v>
      </c>
      <c r="O316" s="107">
        <f>O300/'ФОТ, МТР, макро'!AR$15/(O231/O226)</f>
        <v>0</v>
      </c>
      <c r="P316" s="107">
        <f>P300/'ФОТ, МТР, макро'!AS$15/(P231/P226)</f>
        <v>0</v>
      </c>
      <c r="Q316" s="107">
        <f>Q300/'ФОТ, МТР, макро'!AT$15/(Q231/Q226)</f>
        <v>0</v>
      </c>
      <c r="R316" s="107">
        <f>R300/'ФОТ, МТР, макро'!AU$15/(R231/R226)</f>
        <v>0</v>
      </c>
      <c r="S316" s="107" t="e">
        <f>S300/'ФОТ, МТР, макро'!AV$15/(S231/S226)</f>
        <v>#DIV/0!</v>
      </c>
      <c r="T316" s="107" t="e">
        <f>T300/'ФОТ, МТР, макро'!AW$15/(T231/T226)</f>
        <v>#DIV/0!</v>
      </c>
      <c r="U316" s="107" t="e">
        <f>U300/'ФОТ, МТР, макро'!AX$15/(U231/U226)</f>
        <v>#DIV/0!</v>
      </c>
      <c r="V316" s="107" t="e">
        <f>V300/'ФОТ, МТР, макро'!AY$15/(V231/V226)</f>
        <v>#DIV/0!</v>
      </c>
      <c r="W316" s="107" t="e">
        <f>W300/'ФОТ, МТР, макро'!AZ$15/(W231/W226)</f>
        <v>#DIV/0!</v>
      </c>
      <c r="X316" s="107" t="e">
        <f>X300/'ФОТ, МТР, макро'!BA$15/(X231/X226)</f>
        <v>#DIV/0!</v>
      </c>
      <c r="Y316" s="107" t="e">
        <f>Y300/'ФОТ, МТР, макро'!BB$15/(Y231/Y226)</f>
        <v>#DIV/0!</v>
      </c>
      <c r="Z316" s="107" t="e">
        <f>Z300/'ФОТ, МТР, макро'!BC$15/(Z231/Z226)</f>
        <v>#DIV/0!</v>
      </c>
      <c r="AA316" s="175"/>
      <c r="AC316" s="104" cm="1">
        <f t="array" ref="AC316">INDEX(G316:Z316,1,$C316)</f>
        <v>0</v>
      </c>
    </row>
    <row r="317" spans="1:29" outlineLevel="1" x14ac:dyDescent="0.25">
      <c r="A317" s="36" t="str">
        <f t="shared" si="615"/>
        <v>Sunward SWDRT250SM</v>
      </c>
      <c r="B317" s="36" t="str">
        <f t="shared" si="658"/>
        <v>Аннуитет общий</v>
      </c>
      <c r="C317" s="36">
        <f t="shared" si="659"/>
        <v>12</v>
      </c>
      <c r="D317" s="95" t="s">
        <v>75</v>
      </c>
      <c r="E317" s="105" t="str">
        <f>E305</f>
        <v>руб/м3</v>
      </c>
      <c r="F317" s="106"/>
      <c r="G317" s="98">
        <f>G303/'ФОТ, МТР, макро'!AJ$15/(G231/G226)</f>
        <v>10.858663285787705</v>
      </c>
      <c r="H317" s="98">
        <f>H303/'ФОТ, МТР, макро'!AK$15/(H231/H226)</f>
        <v>12.624986122146648</v>
      </c>
      <c r="I317" s="98">
        <f>I303/'ФОТ, МТР, макро'!AL$15/(I231/I226)</f>
        <v>13.659297967107891</v>
      </c>
      <c r="J317" s="98">
        <f>J303/'ФОТ, МТР, макро'!AM$15/(J231/J226)</f>
        <v>13.39233574549065</v>
      </c>
      <c r="K317" s="98">
        <f>K303/'ФОТ, МТР, макро'!AN$15/(K231/K226)</f>
        <v>13.474006941380795</v>
      </c>
      <c r="L317" s="98">
        <f>L303/'ФОТ, МТР, макро'!AO$15/(L231/L226)</f>
        <v>13.949896820396894</v>
      </c>
      <c r="M317" s="98">
        <f>M303/'ФОТ, МТР, макро'!AP$15/(M231/M226)</f>
        <v>13.911133386999994</v>
      </c>
      <c r="N317" s="98">
        <f>N303/'ФОТ, МТР, макро'!AQ$15/(N231/N226)</f>
        <v>13.903194939235485</v>
      </c>
      <c r="O317" s="98">
        <f>O303/'ФОТ, МТР, макро'!AR$15/(O231/O226)</f>
        <v>14.004803999782075</v>
      </c>
      <c r="P317" s="98">
        <f>P303/'ФОТ, МТР, макро'!AS$15/(P231/P226)</f>
        <v>14.016136343616891</v>
      </c>
      <c r="Q317" s="98">
        <f>Q303/'ФОТ, МТР, макро'!AT$15/(Q231/Q226)</f>
        <v>13.971039786614018</v>
      </c>
      <c r="R317" s="98">
        <f>R303/'ФОТ, МТР, макро'!AU$15/(R231/R226)</f>
        <v>13.768152546285467</v>
      </c>
      <c r="S317" s="98" t="e">
        <f>S303/'ФОТ, МТР, макро'!AV$15/(S231/S226)</f>
        <v>#DIV/0!</v>
      </c>
      <c r="T317" s="98" t="e">
        <f>T303/'ФОТ, МТР, макро'!AW$15/(T231/T226)</f>
        <v>#DIV/0!</v>
      </c>
      <c r="U317" s="98" t="e">
        <f>U303/'ФОТ, МТР, макро'!AX$15/(U231/U226)</f>
        <v>#DIV/0!</v>
      </c>
      <c r="V317" s="98" t="e">
        <f>V303/'ФОТ, МТР, макро'!AY$15/(V231/V226)</f>
        <v>#DIV/0!</v>
      </c>
      <c r="W317" s="98" t="e">
        <f>W303/'ФОТ, МТР, макро'!AZ$15/(W231/W226)</f>
        <v>#DIV/0!</v>
      </c>
      <c r="X317" s="98" t="e">
        <f>X303/'ФОТ, МТР, макро'!BA$15/(X231/X226)</f>
        <v>#DIV/0!</v>
      </c>
      <c r="Y317" s="98" t="e">
        <f>Y303/'ФОТ, МТР, макро'!BB$15/(Y231/Y226)</f>
        <v>#DIV/0!</v>
      </c>
      <c r="Z317" s="98" t="e">
        <f>Z303/'ФОТ, МТР, макро'!BC$15/(Z231/Z226)</f>
        <v>#DIV/0!</v>
      </c>
      <c r="AA317" s="175"/>
      <c r="AC317" s="99" cm="1">
        <f t="array" ref="AC317">INDEX(G317:Z317,1,$C317)</f>
        <v>13.768152546285467</v>
      </c>
    </row>
    <row r="318" spans="1:29" outlineLevel="1" x14ac:dyDescent="0.25">
      <c r="A318" s="36" t="str">
        <f t="shared" si="615"/>
        <v>Sunward SWDRT250SM</v>
      </c>
      <c r="B318" s="36"/>
      <c r="D318" s="108"/>
      <c r="E318" s="12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75"/>
    </row>
    <row r="319" spans="1:29" outlineLevel="1" x14ac:dyDescent="0.25">
      <c r="A319" s="36" t="str">
        <f t="shared" si="615"/>
        <v>Sunward SWDRT250SM</v>
      </c>
      <c r="B319" s="36"/>
      <c r="D319" s="110" t="s">
        <v>67</v>
      </c>
      <c r="E319" s="111"/>
      <c r="F319" s="112"/>
      <c r="G319" s="113">
        <f>G317-G305-G315+G305-SUM(G306:G314)+G315-G316</f>
        <v>-1.7763568394002505E-15</v>
      </c>
      <c r="H319" s="113">
        <f t="shared" ref="H319:Z319" si="662">H317-H305-H315+H305-SUM(H306:H314)+H315-H316</f>
        <v>3.5527136788005009E-15</v>
      </c>
      <c r="I319" s="113">
        <f t="shared" si="662"/>
        <v>5.3290705182007514E-15</v>
      </c>
      <c r="J319" s="113">
        <f t="shared" si="662"/>
        <v>1.7763568394002505E-15</v>
      </c>
      <c r="K319" s="113">
        <f t="shared" si="662"/>
        <v>0</v>
      </c>
      <c r="L319" s="113">
        <f t="shared" si="662"/>
        <v>-3.5527136788005009E-15</v>
      </c>
      <c r="M319" s="113">
        <f t="shared" si="662"/>
        <v>1.7763568394002505E-15</v>
      </c>
      <c r="N319" s="113">
        <f t="shared" si="662"/>
        <v>5.3290705182007514E-15</v>
      </c>
      <c r="O319" s="113">
        <f t="shared" si="662"/>
        <v>1.7763568394002505E-15</v>
      </c>
      <c r="P319" s="113">
        <f t="shared" si="662"/>
        <v>1.7763568394002505E-15</v>
      </c>
      <c r="Q319" s="113">
        <f t="shared" si="662"/>
        <v>1.7763568394002505E-15</v>
      </c>
      <c r="R319" s="113">
        <f t="shared" si="662"/>
        <v>0</v>
      </c>
      <c r="S319" s="113" t="e">
        <f t="shared" si="662"/>
        <v>#DIV/0!</v>
      </c>
      <c r="T319" s="113" t="e">
        <f t="shared" si="662"/>
        <v>#DIV/0!</v>
      </c>
      <c r="U319" s="113" t="e">
        <f t="shared" si="662"/>
        <v>#DIV/0!</v>
      </c>
      <c r="V319" s="113" t="e">
        <f t="shared" si="662"/>
        <v>#DIV/0!</v>
      </c>
      <c r="W319" s="113" t="e">
        <f t="shared" si="662"/>
        <v>#DIV/0!</v>
      </c>
      <c r="X319" s="113" t="e">
        <f t="shared" si="662"/>
        <v>#DIV/0!</v>
      </c>
      <c r="Y319" s="113" t="e">
        <f t="shared" si="662"/>
        <v>#DIV/0!</v>
      </c>
      <c r="Z319" s="113" t="e">
        <f t="shared" si="662"/>
        <v>#DIV/0!</v>
      </c>
      <c r="AA319" s="175"/>
    </row>
    <row r="320" spans="1:29" outlineLevel="1" x14ac:dyDescent="0.25">
      <c r="A320" s="36" t="str">
        <f t="shared" si="615"/>
        <v>Sunward SWDRT250SM</v>
      </c>
      <c r="B320" s="36"/>
      <c r="D320" s="112"/>
      <c r="E320" s="111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75"/>
    </row>
    <row r="321" spans="1:27" outlineLevel="1" x14ac:dyDescent="0.25">
      <c r="A321" s="36" t="str">
        <f t="shared" si="615"/>
        <v>Sunward SWDRT250SM</v>
      </c>
      <c r="B321" s="36"/>
      <c r="D321" s="114" t="s">
        <v>76</v>
      </c>
      <c r="E321" s="115" t="str">
        <f>E317</f>
        <v>руб/м3</v>
      </c>
      <c r="F321" s="116"/>
      <c r="G321" s="117">
        <f>SUM(G322:G329)</f>
        <v>14.478217714383607</v>
      </c>
      <c r="H321" s="117">
        <f t="shared" ref="H321:Z321" si="663">SUM(H322:H329)</f>
        <v>19.557622240685713</v>
      </c>
      <c r="I321" s="117">
        <f t="shared" si="663"/>
        <v>21.603540030681522</v>
      </c>
      <c r="J321" s="117">
        <f t="shared" si="663"/>
        <v>16.626508956956101</v>
      </c>
      <c r="K321" s="117">
        <f t="shared" si="663"/>
        <v>18.629235898203159</v>
      </c>
      <c r="L321" s="117">
        <f t="shared" si="663"/>
        <v>22.873650534007371</v>
      </c>
      <c r="M321" s="117">
        <f t="shared" si="663"/>
        <v>17.539636255236093</v>
      </c>
      <c r="N321" s="117">
        <f t="shared" si="663"/>
        <v>18.987079069044146</v>
      </c>
      <c r="O321" s="117">
        <f t="shared" si="663"/>
        <v>20.108059069283055</v>
      </c>
      <c r="P321" s="117">
        <f t="shared" si="663"/>
        <v>18.127359600361462</v>
      </c>
      <c r="Q321" s="117">
        <f t="shared" si="663"/>
        <v>18.371110736779467</v>
      </c>
      <c r="R321" s="117">
        <f t="shared" si="663"/>
        <v>14.09816739811837</v>
      </c>
      <c r="S321" s="117" t="e">
        <f t="shared" si="663"/>
        <v>#DIV/0!</v>
      </c>
      <c r="T321" s="117" t="e">
        <f t="shared" si="663"/>
        <v>#DIV/0!</v>
      </c>
      <c r="U321" s="117" t="e">
        <f t="shared" si="663"/>
        <v>#DIV/0!</v>
      </c>
      <c r="V321" s="117" t="e">
        <f t="shared" si="663"/>
        <v>#DIV/0!</v>
      </c>
      <c r="W321" s="117" t="e">
        <f t="shared" si="663"/>
        <v>#DIV/0!</v>
      </c>
      <c r="X321" s="117" t="e">
        <f t="shared" si="663"/>
        <v>#DIV/0!</v>
      </c>
      <c r="Y321" s="117" t="e">
        <f t="shared" si="663"/>
        <v>#DIV/0!</v>
      </c>
      <c r="Z321" s="117" t="e">
        <f t="shared" si="663"/>
        <v>#DIV/0!</v>
      </c>
      <c r="AA321" s="175"/>
    </row>
    <row r="322" spans="1:27" outlineLevel="1" x14ac:dyDescent="0.25">
      <c r="A322" s="36" t="str">
        <f t="shared" si="615"/>
        <v>Sunward SWDRT250SM</v>
      </c>
      <c r="B322" s="36"/>
      <c r="D322" s="100" t="str">
        <f>D306</f>
        <v>ТО, ТР, ППР</v>
      </c>
      <c r="E322" s="101" t="str">
        <f>E321</f>
        <v>руб/м3</v>
      </c>
      <c r="F322" s="102"/>
      <c r="G322" s="103">
        <f t="shared" ref="G322:Z322" si="664">G234/G230</f>
        <v>6.1057461931991686</v>
      </c>
      <c r="H322" s="103">
        <f t="shared" si="664"/>
        <v>10.930850575622703</v>
      </c>
      <c r="I322" s="103">
        <f t="shared" si="664"/>
        <v>12.362821009695267</v>
      </c>
      <c r="J322" s="103">
        <f t="shared" si="664"/>
        <v>8.0682541788957991</v>
      </c>
      <c r="K322" s="103">
        <f t="shared" si="664"/>
        <v>10.140080639569323</v>
      </c>
      <c r="L322" s="103">
        <f t="shared" si="664"/>
        <v>13.398171842799007</v>
      </c>
      <c r="M322" s="103">
        <f t="shared" si="664"/>
        <v>8.2427871232019054</v>
      </c>
      <c r="N322" s="103">
        <f t="shared" si="664"/>
        <v>10.638373887382803</v>
      </c>
      <c r="O322" s="103">
        <f t="shared" si="664"/>
        <v>11.058380534675626</v>
      </c>
      <c r="P322" s="103">
        <f t="shared" si="664"/>
        <v>8.8666598202551494</v>
      </c>
      <c r="Q322" s="103">
        <f t="shared" si="664"/>
        <v>10.037824464311697</v>
      </c>
      <c r="R322" s="103">
        <f t="shared" si="664"/>
        <v>6.0499237993412178</v>
      </c>
      <c r="S322" s="103" t="e">
        <f t="shared" si="664"/>
        <v>#DIV/0!</v>
      </c>
      <c r="T322" s="103" t="e">
        <f t="shared" si="664"/>
        <v>#DIV/0!</v>
      </c>
      <c r="U322" s="103" t="e">
        <f t="shared" si="664"/>
        <v>#DIV/0!</v>
      </c>
      <c r="V322" s="103" t="e">
        <f t="shared" si="664"/>
        <v>#DIV/0!</v>
      </c>
      <c r="W322" s="103" t="e">
        <f t="shared" si="664"/>
        <v>#DIV/0!</v>
      </c>
      <c r="X322" s="103" t="e">
        <f t="shared" si="664"/>
        <v>#DIV/0!</v>
      </c>
      <c r="Y322" s="103" t="e">
        <f t="shared" si="664"/>
        <v>#DIV/0!</v>
      </c>
      <c r="Z322" s="103" t="e">
        <f t="shared" si="664"/>
        <v>#DIV/0!</v>
      </c>
      <c r="AA322" s="175"/>
    </row>
    <row r="323" spans="1:27" outlineLevel="1" x14ac:dyDescent="0.25">
      <c r="A323" s="36" t="str">
        <f t="shared" si="615"/>
        <v>Sunward SWDRT250SM</v>
      </c>
      <c r="B323" s="36"/>
      <c r="D323" s="100" t="str">
        <f t="shared" ref="D323:D329" si="665">D307</f>
        <v>Смазочные</v>
      </c>
      <c r="E323" s="101" t="str">
        <f t="shared" ref="E323:E329" si="666">E322</f>
        <v>руб/м3</v>
      </c>
      <c r="F323" s="102"/>
      <c r="G323" s="103">
        <f t="shared" ref="G323:Z323" si="667">G239/G230</f>
        <v>0</v>
      </c>
      <c r="H323" s="103">
        <f t="shared" si="667"/>
        <v>0</v>
      </c>
      <c r="I323" s="103">
        <f t="shared" si="667"/>
        <v>0</v>
      </c>
      <c r="J323" s="103">
        <f t="shared" si="667"/>
        <v>0</v>
      </c>
      <c r="K323" s="103">
        <f t="shared" si="667"/>
        <v>0</v>
      </c>
      <c r="L323" s="103">
        <f t="shared" si="667"/>
        <v>0</v>
      </c>
      <c r="M323" s="103">
        <f t="shared" si="667"/>
        <v>0</v>
      </c>
      <c r="N323" s="103">
        <f t="shared" si="667"/>
        <v>0</v>
      </c>
      <c r="O323" s="103">
        <f t="shared" si="667"/>
        <v>0</v>
      </c>
      <c r="P323" s="103">
        <f t="shared" si="667"/>
        <v>0</v>
      </c>
      <c r="Q323" s="103">
        <f t="shared" si="667"/>
        <v>0</v>
      </c>
      <c r="R323" s="103">
        <f t="shared" si="667"/>
        <v>0</v>
      </c>
      <c r="S323" s="103" t="e">
        <f t="shared" si="667"/>
        <v>#DIV/0!</v>
      </c>
      <c r="T323" s="103" t="e">
        <f t="shared" si="667"/>
        <v>#DIV/0!</v>
      </c>
      <c r="U323" s="103" t="e">
        <f t="shared" si="667"/>
        <v>#DIV/0!</v>
      </c>
      <c r="V323" s="103" t="e">
        <f t="shared" si="667"/>
        <v>#DIV/0!</v>
      </c>
      <c r="W323" s="103" t="e">
        <f t="shared" si="667"/>
        <v>#DIV/0!</v>
      </c>
      <c r="X323" s="103" t="e">
        <f t="shared" si="667"/>
        <v>#DIV/0!</v>
      </c>
      <c r="Y323" s="103" t="e">
        <f t="shared" si="667"/>
        <v>#DIV/0!</v>
      </c>
      <c r="Z323" s="103" t="e">
        <f t="shared" si="667"/>
        <v>#DIV/0!</v>
      </c>
      <c r="AA323" s="175"/>
    </row>
    <row r="324" spans="1:27" outlineLevel="1" x14ac:dyDescent="0.25">
      <c r="A324" s="36" t="str">
        <f t="shared" si="615"/>
        <v>Sunward SWDRT250SM</v>
      </c>
      <c r="B324" s="36"/>
      <c r="D324" s="100" t="str">
        <f t="shared" si="665"/>
        <v>Долота</v>
      </c>
      <c r="E324" s="101" t="str">
        <f t="shared" si="666"/>
        <v>руб/м3</v>
      </c>
      <c r="F324" s="102"/>
      <c r="G324" s="103">
        <f t="shared" ref="G324:Z324" si="668">G241/G230</f>
        <v>0</v>
      </c>
      <c r="H324" s="103">
        <f t="shared" si="668"/>
        <v>0</v>
      </c>
      <c r="I324" s="103">
        <f t="shared" si="668"/>
        <v>0</v>
      </c>
      <c r="J324" s="103">
        <f t="shared" si="668"/>
        <v>0</v>
      </c>
      <c r="K324" s="103">
        <f t="shared" si="668"/>
        <v>0</v>
      </c>
      <c r="L324" s="103">
        <f t="shared" si="668"/>
        <v>0</v>
      </c>
      <c r="M324" s="103">
        <f t="shared" si="668"/>
        <v>0</v>
      </c>
      <c r="N324" s="103">
        <f t="shared" si="668"/>
        <v>0</v>
      </c>
      <c r="O324" s="103">
        <f t="shared" si="668"/>
        <v>0</v>
      </c>
      <c r="P324" s="103">
        <f t="shared" si="668"/>
        <v>0</v>
      </c>
      <c r="Q324" s="103">
        <f t="shared" si="668"/>
        <v>0</v>
      </c>
      <c r="R324" s="103">
        <f t="shared" si="668"/>
        <v>0</v>
      </c>
      <c r="S324" s="103" t="e">
        <f t="shared" si="668"/>
        <v>#DIV/0!</v>
      </c>
      <c r="T324" s="103" t="e">
        <f t="shared" si="668"/>
        <v>#DIV/0!</v>
      </c>
      <c r="U324" s="103" t="e">
        <f t="shared" si="668"/>
        <v>#DIV/0!</v>
      </c>
      <c r="V324" s="103" t="e">
        <f t="shared" si="668"/>
        <v>#DIV/0!</v>
      </c>
      <c r="W324" s="103" t="e">
        <f t="shared" si="668"/>
        <v>#DIV/0!</v>
      </c>
      <c r="X324" s="103" t="e">
        <f t="shared" si="668"/>
        <v>#DIV/0!</v>
      </c>
      <c r="Y324" s="103" t="e">
        <f t="shared" si="668"/>
        <v>#DIV/0!</v>
      </c>
      <c r="Z324" s="103" t="e">
        <f t="shared" si="668"/>
        <v>#DIV/0!</v>
      </c>
      <c r="AA324" s="175"/>
    </row>
    <row r="325" spans="1:27" outlineLevel="1" x14ac:dyDescent="0.25">
      <c r="A325" s="36" t="str">
        <f t="shared" si="615"/>
        <v>Sunward SWDRT250SM</v>
      </c>
      <c r="B325" s="36"/>
      <c r="D325" s="100" t="str">
        <f t="shared" si="665"/>
        <v>Штанги буровые</v>
      </c>
      <c r="E325" s="101" t="str">
        <f t="shared" si="666"/>
        <v>руб/м3</v>
      </c>
      <c r="F325" s="102"/>
      <c r="G325" s="103">
        <f t="shared" ref="G325:Z325" si="669">G245/G230</f>
        <v>0</v>
      </c>
      <c r="H325" s="103">
        <f t="shared" si="669"/>
        <v>0</v>
      </c>
      <c r="I325" s="103">
        <f t="shared" si="669"/>
        <v>0</v>
      </c>
      <c r="J325" s="103">
        <f t="shared" si="669"/>
        <v>0</v>
      </c>
      <c r="K325" s="103">
        <f t="shared" si="669"/>
        <v>0</v>
      </c>
      <c r="L325" s="103">
        <f t="shared" si="669"/>
        <v>0</v>
      </c>
      <c r="M325" s="103">
        <f t="shared" si="669"/>
        <v>0</v>
      </c>
      <c r="N325" s="103">
        <f t="shared" si="669"/>
        <v>0</v>
      </c>
      <c r="O325" s="103">
        <f t="shared" si="669"/>
        <v>0</v>
      </c>
      <c r="P325" s="103">
        <f t="shared" si="669"/>
        <v>0</v>
      </c>
      <c r="Q325" s="103">
        <f t="shared" si="669"/>
        <v>0</v>
      </c>
      <c r="R325" s="103">
        <f t="shared" si="669"/>
        <v>0</v>
      </c>
      <c r="S325" s="103" t="e">
        <f t="shared" si="669"/>
        <v>#DIV/0!</v>
      </c>
      <c r="T325" s="103" t="e">
        <f t="shared" si="669"/>
        <v>#DIV/0!</v>
      </c>
      <c r="U325" s="103" t="e">
        <f t="shared" si="669"/>
        <v>#DIV/0!</v>
      </c>
      <c r="V325" s="103" t="e">
        <f t="shared" si="669"/>
        <v>#DIV/0!</v>
      </c>
      <c r="W325" s="103" t="e">
        <f t="shared" si="669"/>
        <v>#DIV/0!</v>
      </c>
      <c r="X325" s="103" t="e">
        <f t="shared" si="669"/>
        <v>#DIV/0!</v>
      </c>
      <c r="Y325" s="103" t="e">
        <f t="shared" si="669"/>
        <v>#DIV/0!</v>
      </c>
      <c r="Z325" s="103" t="e">
        <f t="shared" si="669"/>
        <v>#DIV/0!</v>
      </c>
      <c r="AA325" s="175"/>
    </row>
    <row r="326" spans="1:27" outlineLevel="1" x14ac:dyDescent="0.25">
      <c r="A326" s="36" t="str">
        <f t="shared" si="615"/>
        <v>Sunward SWDRT250SM</v>
      </c>
      <c r="B326" s="36"/>
      <c r="D326" s="100" t="str">
        <f t="shared" si="665"/>
        <v>Расходники</v>
      </c>
      <c r="E326" s="101" t="str">
        <f t="shared" si="666"/>
        <v>руб/м3</v>
      </c>
      <c r="F326" s="102"/>
      <c r="G326" s="103">
        <f t="shared" ref="G326:Z326" si="670">G249/G230</f>
        <v>0</v>
      </c>
      <c r="H326" s="103">
        <f t="shared" si="670"/>
        <v>0</v>
      </c>
      <c r="I326" s="103">
        <f t="shared" si="670"/>
        <v>0</v>
      </c>
      <c r="J326" s="103">
        <f t="shared" si="670"/>
        <v>0</v>
      </c>
      <c r="K326" s="103">
        <f t="shared" si="670"/>
        <v>0</v>
      </c>
      <c r="L326" s="103">
        <f t="shared" si="670"/>
        <v>0</v>
      </c>
      <c r="M326" s="103">
        <f t="shared" si="670"/>
        <v>0</v>
      </c>
      <c r="N326" s="103">
        <f t="shared" si="670"/>
        <v>0</v>
      </c>
      <c r="O326" s="103">
        <f t="shared" si="670"/>
        <v>0</v>
      </c>
      <c r="P326" s="103">
        <f t="shared" si="670"/>
        <v>0</v>
      </c>
      <c r="Q326" s="103">
        <f t="shared" si="670"/>
        <v>0</v>
      </c>
      <c r="R326" s="103">
        <f t="shared" si="670"/>
        <v>0</v>
      </c>
      <c r="S326" s="103" t="e">
        <f t="shared" si="670"/>
        <v>#DIV/0!</v>
      </c>
      <c r="T326" s="103" t="e">
        <f t="shared" si="670"/>
        <v>#DIV/0!</v>
      </c>
      <c r="U326" s="103" t="e">
        <f t="shared" si="670"/>
        <v>#DIV/0!</v>
      </c>
      <c r="V326" s="103" t="e">
        <f t="shared" si="670"/>
        <v>#DIV/0!</v>
      </c>
      <c r="W326" s="103" t="e">
        <f t="shared" si="670"/>
        <v>#DIV/0!</v>
      </c>
      <c r="X326" s="103" t="e">
        <f t="shared" si="670"/>
        <v>#DIV/0!</v>
      </c>
      <c r="Y326" s="103" t="e">
        <f t="shared" si="670"/>
        <v>#DIV/0!</v>
      </c>
      <c r="Z326" s="103" t="e">
        <f t="shared" si="670"/>
        <v>#DIV/0!</v>
      </c>
      <c r="AA326" s="175"/>
    </row>
    <row r="327" spans="1:27" outlineLevel="1" x14ac:dyDescent="0.25">
      <c r="A327" s="36" t="str">
        <f t="shared" si="615"/>
        <v>Sunward SWDRT250SM</v>
      </c>
      <c r="B327" s="36"/>
      <c r="D327" s="100" t="str">
        <f t="shared" si="665"/>
        <v>Топливо/Электроэнергия</v>
      </c>
      <c r="E327" s="101" t="str">
        <f t="shared" si="666"/>
        <v>руб/м3</v>
      </c>
      <c r="F327" s="102"/>
      <c r="G327" s="103">
        <f t="shared" ref="G327:Z327" si="671">G251/G230</f>
        <v>5.521434581358049</v>
      </c>
      <c r="H327" s="103">
        <f t="shared" si="671"/>
        <v>5.6240517189522903</v>
      </c>
      <c r="I327" s="103">
        <f t="shared" si="671"/>
        <v>5.9751569076846893</v>
      </c>
      <c r="J327" s="103">
        <f t="shared" si="671"/>
        <v>5.6004042817226249</v>
      </c>
      <c r="K327" s="103">
        <f t="shared" si="671"/>
        <v>5.5343354476536701</v>
      </c>
      <c r="L327" s="103">
        <f t="shared" si="671"/>
        <v>6.1212606878435531</v>
      </c>
      <c r="M327" s="103">
        <f t="shared" si="671"/>
        <v>6.0527582900782706</v>
      </c>
      <c r="N327" s="103">
        <f t="shared" si="671"/>
        <v>5.442771821364234</v>
      </c>
      <c r="O327" s="103">
        <f t="shared" si="671"/>
        <v>5.8624500216768469</v>
      </c>
      <c r="P327" s="103">
        <f t="shared" si="671"/>
        <v>6.0101509539675373</v>
      </c>
      <c r="Q327" s="103">
        <f t="shared" si="671"/>
        <v>5.4082639141101483</v>
      </c>
      <c r="R327" s="103">
        <f t="shared" si="671"/>
        <v>5.2232725486754008</v>
      </c>
      <c r="S327" s="103" t="e">
        <f t="shared" si="671"/>
        <v>#DIV/0!</v>
      </c>
      <c r="T327" s="103" t="e">
        <f t="shared" si="671"/>
        <v>#DIV/0!</v>
      </c>
      <c r="U327" s="103" t="e">
        <f t="shared" si="671"/>
        <v>#DIV/0!</v>
      </c>
      <c r="V327" s="103" t="e">
        <f t="shared" si="671"/>
        <v>#DIV/0!</v>
      </c>
      <c r="W327" s="103" t="e">
        <f t="shared" si="671"/>
        <v>#DIV/0!</v>
      </c>
      <c r="X327" s="103" t="e">
        <f t="shared" si="671"/>
        <v>#DIV/0!</v>
      </c>
      <c r="Y327" s="103" t="e">
        <f t="shared" si="671"/>
        <v>#DIV/0!</v>
      </c>
      <c r="Z327" s="103" t="e">
        <f t="shared" si="671"/>
        <v>#DIV/0!</v>
      </c>
      <c r="AA327" s="175"/>
    </row>
    <row r="328" spans="1:27" outlineLevel="1" x14ac:dyDescent="0.25">
      <c r="A328" s="36" t="str">
        <f t="shared" si="615"/>
        <v>Sunward SWDRT250SM</v>
      </c>
      <c r="B328" s="36"/>
      <c r="D328" s="100" t="str">
        <f t="shared" si="665"/>
        <v>Затраты на персонал</v>
      </c>
      <c r="E328" s="101" t="str">
        <f t="shared" si="666"/>
        <v>руб/м3</v>
      </c>
      <c r="F328" s="102"/>
      <c r="G328" s="103">
        <f t="shared" ref="G328:Z328" si="672">G260/G230</f>
        <v>2.8488608695077282</v>
      </c>
      <c r="H328" s="103">
        <f t="shared" si="672"/>
        <v>3.0004281028663513</v>
      </c>
      <c r="I328" s="103">
        <f t="shared" si="672"/>
        <v>3.2630696542635107</v>
      </c>
      <c r="J328" s="103">
        <f t="shared" si="672"/>
        <v>2.9555928999585461</v>
      </c>
      <c r="K328" s="103">
        <f t="shared" si="672"/>
        <v>2.9525645277890389</v>
      </c>
      <c r="L328" s="103">
        <f t="shared" si="672"/>
        <v>3.3516578772094876</v>
      </c>
      <c r="M328" s="103">
        <f t="shared" si="672"/>
        <v>3.2416147709890319</v>
      </c>
      <c r="N328" s="103">
        <f t="shared" si="672"/>
        <v>2.9037153899702357</v>
      </c>
      <c r="O328" s="103">
        <f t="shared" si="672"/>
        <v>3.1847958424628997</v>
      </c>
      <c r="P328" s="103">
        <f t="shared" si="672"/>
        <v>3.2480678260783744</v>
      </c>
      <c r="Q328" s="103">
        <f t="shared" si="672"/>
        <v>2.9227898182433489</v>
      </c>
      <c r="R328" s="103">
        <f t="shared" si="672"/>
        <v>2.8228148747231274</v>
      </c>
      <c r="S328" s="103" t="e">
        <f t="shared" si="672"/>
        <v>#DIV/0!</v>
      </c>
      <c r="T328" s="103" t="e">
        <f t="shared" si="672"/>
        <v>#DIV/0!</v>
      </c>
      <c r="U328" s="103" t="e">
        <f t="shared" si="672"/>
        <v>#DIV/0!</v>
      </c>
      <c r="V328" s="103" t="e">
        <f t="shared" si="672"/>
        <v>#DIV/0!</v>
      </c>
      <c r="W328" s="103" t="e">
        <f t="shared" si="672"/>
        <v>#DIV/0!</v>
      </c>
      <c r="X328" s="103" t="e">
        <f t="shared" si="672"/>
        <v>#DIV/0!</v>
      </c>
      <c r="Y328" s="103" t="e">
        <f t="shared" si="672"/>
        <v>#DIV/0!</v>
      </c>
      <c r="Z328" s="103" t="e">
        <f t="shared" si="672"/>
        <v>#DIV/0!</v>
      </c>
      <c r="AA328" s="175"/>
    </row>
    <row r="329" spans="1:27" outlineLevel="1" x14ac:dyDescent="0.25">
      <c r="A329" s="36" t="str">
        <f t="shared" si="615"/>
        <v>Sunward SWDRT250SM</v>
      </c>
      <c r="B329" s="36"/>
      <c r="D329" s="100" t="str">
        <f t="shared" si="665"/>
        <v>Транспортный налог</v>
      </c>
      <c r="E329" s="101" t="str">
        <f t="shared" si="666"/>
        <v>руб/м3</v>
      </c>
      <c r="F329" s="102"/>
      <c r="G329" s="103">
        <f t="shared" ref="G329:Z329" si="673">G263/G230</f>
        <v>2.176070318661817E-3</v>
      </c>
      <c r="H329" s="103">
        <f t="shared" si="673"/>
        <v>2.2918432443682171E-3</v>
      </c>
      <c r="I329" s="103">
        <f t="shared" si="673"/>
        <v>2.4924590380561019E-3</v>
      </c>
      <c r="J329" s="103">
        <f t="shared" si="673"/>
        <v>2.2575963791305635E-3</v>
      </c>
      <c r="K329" s="103">
        <f t="shared" si="673"/>
        <v>2.2552831911253294E-3</v>
      </c>
      <c r="L329" s="103">
        <f t="shared" si="673"/>
        <v>2.5601261553235893E-3</v>
      </c>
      <c r="M329" s="103">
        <f t="shared" si="673"/>
        <v>2.4760709668857415E-3</v>
      </c>
      <c r="N329" s="103">
        <f t="shared" si="673"/>
        <v>2.2179703268722971E-3</v>
      </c>
      <c r="O329" s="103">
        <f t="shared" si="673"/>
        <v>2.4326704676801594E-3</v>
      </c>
      <c r="P329" s="103">
        <f t="shared" si="673"/>
        <v>2.481000060403402E-3</v>
      </c>
      <c r="Q329" s="103">
        <f t="shared" si="673"/>
        <v>2.2325401142756877E-3</v>
      </c>
      <c r="R329" s="103">
        <f t="shared" si="673"/>
        <v>2.1561753786254563E-3</v>
      </c>
      <c r="S329" s="103" t="e">
        <f t="shared" si="673"/>
        <v>#DIV/0!</v>
      </c>
      <c r="T329" s="103" t="e">
        <f t="shared" si="673"/>
        <v>#DIV/0!</v>
      </c>
      <c r="U329" s="103" t="e">
        <f t="shared" si="673"/>
        <v>#DIV/0!</v>
      </c>
      <c r="V329" s="103" t="e">
        <f t="shared" si="673"/>
        <v>#DIV/0!</v>
      </c>
      <c r="W329" s="103" t="e">
        <f t="shared" si="673"/>
        <v>#DIV/0!</v>
      </c>
      <c r="X329" s="103" t="e">
        <f t="shared" si="673"/>
        <v>#DIV/0!</v>
      </c>
      <c r="Y329" s="103" t="e">
        <f t="shared" si="673"/>
        <v>#DIV/0!</v>
      </c>
      <c r="Z329" s="103" t="e">
        <f t="shared" si="673"/>
        <v>#DIV/0!</v>
      </c>
      <c r="AA329" s="175"/>
    </row>
    <row r="330" spans="1:27" outlineLevel="1" x14ac:dyDescent="0.25">
      <c r="A330" s="36" t="str">
        <f t="shared" si="615"/>
        <v>Sunward SWDRT250SM</v>
      </c>
      <c r="B330" s="36"/>
      <c r="D330" s="108"/>
      <c r="E330" s="12"/>
      <c r="F330" s="109"/>
      <c r="G330" s="118">
        <f t="shared" ref="G330:Z330" si="674">G321-(G233-G268)/G230</f>
        <v>0</v>
      </c>
      <c r="H330" s="118">
        <f t="shared" si="674"/>
        <v>0</v>
      </c>
      <c r="I330" s="118">
        <f t="shared" si="674"/>
        <v>0</v>
      </c>
      <c r="J330" s="118">
        <f t="shared" si="674"/>
        <v>0</v>
      </c>
      <c r="K330" s="118">
        <f t="shared" si="674"/>
        <v>0</v>
      </c>
      <c r="L330" s="118">
        <f t="shared" si="674"/>
        <v>0</v>
      </c>
      <c r="M330" s="118">
        <f t="shared" si="674"/>
        <v>0</v>
      </c>
      <c r="N330" s="118">
        <f t="shared" si="674"/>
        <v>0</v>
      </c>
      <c r="O330" s="118">
        <f t="shared" si="674"/>
        <v>0</v>
      </c>
      <c r="P330" s="118">
        <f t="shared" si="674"/>
        <v>0</v>
      </c>
      <c r="Q330" s="118">
        <f t="shared" si="674"/>
        <v>0</v>
      </c>
      <c r="R330" s="118">
        <f t="shared" si="674"/>
        <v>0</v>
      </c>
      <c r="S330" s="118" t="e">
        <f t="shared" si="674"/>
        <v>#DIV/0!</v>
      </c>
      <c r="T330" s="118" t="e">
        <f t="shared" si="674"/>
        <v>#DIV/0!</v>
      </c>
      <c r="U330" s="118" t="e">
        <f t="shared" si="674"/>
        <v>#DIV/0!</v>
      </c>
      <c r="V330" s="118" t="e">
        <f t="shared" si="674"/>
        <v>#DIV/0!</v>
      </c>
      <c r="W330" s="118" t="e">
        <f t="shared" si="674"/>
        <v>#DIV/0!</v>
      </c>
      <c r="X330" s="118" t="e">
        <f t="shared" si="674"/>
        <v>#DIV/0!</v>
      </c>
      <c r="Y330" s="118" t="e">
        <f t="shared" si="674"/>
        <v>#DIV/0!</v>
      </c>
      <c r="Z330" s="118" t="e">
        <f t="shared" si="674"/>
        <v>#DIV/0!</v>
      </c>
      <c r="AA330" s="175"/>
    </row>
    <row r="331" spans="1:27" outlineLevel="1" x14ac:dyDescent="0.25">
      <c r="A331" s="2" t="s">
        <v>34</v>
      </c>
      <c r="AA331" s="175"/>
    </row>
    <row r="332" spans="1:27" x14ac:dyDescent="0.25">
      <c r="A332" s="2" t="s">
        <v>34</v>
      </c>
      <c r="AA332" s="175"/>
    </row>
    <row r="333" spans="1:27" ht="14.3" x14ac:dyDescent="0.25">
      <c r="A333" s="2" t="s">
        <v>34</v>
      </c>
      <c r="C333" s="54" t="e">
        <f>SUM(F393:Z393,F407:Z407,F428:Z428,AA375)</f>
        <v>#DIV/0!</v>
      </c>
      <c r="D333" s="673" t="str">
        <f>'Свод_250-270_диз'!I19</f>
        <v>YANGZI DR75</v>
      </c>
      <c r="E333" s="55">
        <f>SUMIFS(Производительность!$Y$7:$Y$34,Производительность!$C$7:$C$34,$D333)</f>
        <v>12</v>
      </c>
      <c r="F333" s="56" t="str">
        <f>$F$2</f>
        <v>лет</v>
      </c>
      <c r="AA333" s="175"/>
    </row>
    <row r="334" spans="1:27" outlineLevel="1" x14ac:dyDescent="0.25">
      <c r="A334" s="2" t="s">
        <v>34</v>
      </c>
      <c r="AA334" s="175"/>
    </row>
    <row r="335" spans="1:27" outlineLevel="1" x14ac:dyDescent="0.25">
      <c r="A335" s="57" t="str">
        <f>D333</f>
        <v>YANGZI DR75</v>
      </c>
      <c r="D335" s="58" t="str">
        <f>D$1</f>
        <v>Показатель</v>
      </c>
      <c r="E335" s="58" t="str">
        <f t="shared" ref="E335:Z335" si="675">E$1</f>
        <v>Ед. изм.</v>
      </c>
      <c r="F335" s="58">
        <f t="shared" si="675"/>
        <v>0</v>
      </c>
      <c r="G335" s="58">
        <f t="shared" si="675"/>
        <v>1</v>
      </c>
      <c r="H335" s="58">
        <f t="shared" si="675"/>
        <v>2</v>
      </c>
      <c r="I335" s="58">
        <f t="shared" si="675"/>
        <v>3</v>
      </c>
      <c r="J335" s="58">
        <f t="shared" si="675"/>
        <v>4</v>
      </c>
      <c r="K335" s="58">
        <f t="shared" si="675"/>
        <v>5</v>
      </c>
      <c r="L335" s="58">
        <f t="shared" si="675"/>
        <v>6</v>
      </c>
      <c r="M335" s="58">
        <f t="shared" si="675"/>
        <v>7</v>
      </c>
      <c r="N335" s="58">
        <f t="shared" si="675"/>
        <v>8</v>
      </c>
      <c r="O335" s="58">
        <f t="shared" si="675"/>
        <v>9</v>
      </c>
      <c r="P335" s="58">
        <f t="shared" si="675"/>
        <v>10</v>
      </c>
      <c r="Q335" s="58">
        <f t="shared" si="675"/>
        <v>11</v>
      </c>
      <c r="R335" s="58">
        <f t="shared" si="675"/>
        <v>12</v>
      </c>
      <c r="S335" s="58">
        <f t="shared" si="675"/>
        <v>13</v>
      </c>
      <c r="T335" s="58">
        <f t="shared" si="675"/>
        <v>14</v>
      </c>
      <c r="U335" s="58">
        <f t="shared" si="675"/>
        <v>15</v>
      </c>
      <c r="V335" s="58">
        <f t="shared" si="675"/>
        <v>16</v>
      </c>
      <c r="W335" s="58">
        <f t="shared" si="675"/>
        <v>17</v>
      </c>
      <c r="X335" s="58">
        <f t="shared" si="675"/>
        <v>18</v>
      </c>
      <c r="Y335" s="58">
        <f t="shared" si="675"/>
        <v>19</v>
      </c>
      <c r="Z335" s="58">
        <f t="shared" si="675"/>
        <v>20</v>
      </c>
      <c r="AA335" s="175"/>
    </row>
    <row r="336" spans="1:27" outlineLevel="1" x14ac:dyDescent="0.25">
      <c r="A336" s="36" t="str">
        <f>A335</f>
        <v>YANGZI DR75</v>
      </c>
      <c r="B336" s="36"/>
      <c r="D336" s="59" t="s">
        <v>39</v>
      </c>
      <c r="E336" s="60" t="s">
        <v>40</v>
      </c>
      <c r="F336" s="61"/>
      <c r="G336" s="62">
        <f>SUMIFS(Производительность!E$7:E$34,Производительность!$C$7:$C$34,$A336)</f>
        <v>0.93093607305936077</v>
      </c>
      <c r="H336" s="62">
        <f>SUMIFS(Производительность!F$7:F$34,Производительность!$C$7:$C$34,$A336)</f>
        <v>0.91717402333840692</v>
      </c>
      <c r="I336" s="62">
        <f>SUMIFS(Производительность!G$7:G$34,Производительность!$C$7:$C$34,$A336)</f>
        <v>0.93093607305936077</v>
      </c>
      <c r="J336" s="62">
        <f>SUMIFS(Производительность!H$7:H$34,Производительность!$C$7:$C$34,$A336)</f>
        <v>0.91717402333840692</v>
      </c>
      <c r="K336" s="62">
        <f>SUMIFS(Производительность!I$7:I$34,Производительность!$C$7:$C$34,$A336)</f>
        <v>0.88654236428209032</v>
      </c>
      <c r="L336" s="62">
        <f>SUMIFS(Производительность!J$7:J$34,Производительность!$C$7:$C$34,$A336)</f>
        <v>0.91717402333840692</v>
      </c>
      <c r="M336" s="62">
        <f>SUMIFS(Производительность!K$7:K$34,Производительность!$C$7:$C$34,$A336)</f>
        <v>0.8505834601725013</v>
      </c>
      <c r="N336" s="62">
        <f>SUMIFS(Производительность!L$7:L$34,Производительность!$C$7:$C$34,$A336)</f>
        <v>0.91983764586504313</v>
      </c>
      <c r="O336" s="62">
        <f>SUMIFS(Производительность!M$7:M$34,Производительность!$C$7:$C$34,$A336)</f>
        <v>0.92827245053272456</v>
      </c>
      <c r="P336" s="62">
        <f>SUMIFS(Производительность!N$7:N$34,Производительность!$C$7:$C$34,$A336)</f>
        <v>0.85324708269913752</v>
      </c>
      <c r="Q336" s="62">
        <f>SUMIFS(Производительность!O$7:O$34,Производительность!$C$7:$C$34,$A336)</f>
        <v>0.92827245053272456</v>
      </c>
      <c r="R336" s="62">
        <f>SUMIFS(Производительность!P$7:P$34,Производительность!$C$7:$C$34,$A336)</f>
        <v>0.91717402333840692</v>
      </c>
      <c r="S336" s="62">
        <f>SUMIFS(Производительность!Q$7:Q$34,Производительность!$C$7:$C$34,$A336)</f>
        <v>0</v>
      </c>
      <c r="T336" s="62">
        <f>SUMIFS(Производительность!R$7:R$34,Производительность!$C$7:$C$34,$A336)</f>
        <v>0</v>
      </c>
      <c r="U336" s="62">
        <f>SUMIFS(Производительность!S$7:S$34,Производительность!$C$7:$C$34,$A336)</f>
        <v>0</v>
      </c>
      <c r="V336" s="62">
        <f>SUMIFS(Производительность!T$7:T$34,Производительность!$C$7:$C$34,$A336)</f>
        <v>0</v>
      </c>
      <c r="W336" s="62">
        <f>SUMIFS(Производительность!U$7:U$34,Производительность!$C$7:$C$34,$A336)</f>
        <v>0</v>
      </c>
      <c r="X336" s="62">
        <f>SUMIFS(Производительность!V$7:V$34,Производительность!$C$7:$C$34,$A336)</f>
        <v>0</v>
      </c>
      <c r="Y336" s="62">
        <f>SUMIFS(Производительность!W$7:W$34,Производительность!$C$7:$C$34,$A336)</f>
        <v>0</v>
      </c>
      <c r="Z336" s="62">
        <f>SUMIFS(Производительность!X$7:X$34,Производительность!$C$7:$C$34,$A336)</f>
        <v>0</v>
      </c>
      <c r="AA336" s="175"/>
    </row>
    <row r="337" spans="1:28" outlineLevel="1" x14ac:dyDescent="0.25">
      <c r="A337" s="36" t="str">
        <f t="shared" ref="A337:A400" si="676">A336</f>
        <v>YANGZI DR75</v>
      </c>
      <c r="B337" s="36"/>
      <c r="D337" s="59" t="s">
        <v>41</v>
      </c>
      <c r="E337" s="60" t="str">
        <f>E336</f>
        <v>%</v>
      </c>
      <c r="F337" s="61"/>
      <c r="G337" s="62">
        <f>SUMIFS(Производительность!E$115:E$142,Производительность!$C$115:$C$142,$A337)</f>
        <v>0.75260910724286301</v>
      </c>
      <c r="H337" s="62">
        <f>SUMIFS(Производительность!F$115:F$142,Производительность!$C$115:$C$142,$A337)</f>
        <v>0.74148326922448982</v>
      </c>
      <c r="I337" s="62">
        <f>SUMIFS(Производительность!G$115:G$142,Производительность!$C$115:$C$142,$A337)</f>
        <v>0.75260910724286301</v>
      </c>
      <c r="J337" s="62">
        <f>SUMIFS(Производительность!H$115:H$142,Производительность!$C$115:$C$142,$A337)</f>
        <v>0.74148326922448982</v>
      </c>
      <c r="K337" s="62">
        <f>SUMIFS(Производительность!I$115:I$142,Производительность!$C$115:$C$142,$A337)</f>
        <v>0.71671930718359445</v>
      </c>
      <c r="L337" s="62">
        <f>SUMIFS(Производительность!J$115:J$142,Производительность!$C$115:$C$142,$A337)</f>
        <v>0.74148326922448982</v>
      </c>
      <c r="M337" s="62">
        <f>SUMIFS(Производительность!K$115:K$142,Производительность!$C$115:$C$142,$A337)</f>
        <v>0.68764856913558692</v>
      </c>
      <c r="N337" s="62">
        <f>SUMIFS(Производительность!L$115:L$142,Производительность!$C$115:$C$142,$A337)</f>
        <v>0.74363665722804595</v>
      </c>
      <c r="O337" s="62">
        <f>SUMIFS(Производительность!M$115:M$142,Производительность!$C$115:$C$142,$A337)</f>
        <v>0.75045571923930687</v>
      </c>
      <c r="P337" s="62">
        <f>SUMIFS(Производительность!N$115:N$142,Производительность!$C$115:$C$142,$A337)</f>
        <v>0.68980195713914294</v>
      </c>
      <c r="Q337" s="62">
        <f>SUMIFS(Производительность!O$115:O$142,Производительность!$C$115:$C$142,$A337)</f>
        <v>0.75045571923930687</v>
      </c>
      <c r="R337" s="62">
        <f>SUMIFS(Производительность!P$115:P$142,Производительность!$C$115:$C$142,$A337)</f>
        <v>0.74148326922448982</v>
      </c>
      <c r="S337" s="62">
        <f>SUMIFS(Производительность!Q$115:Q$142,Производительность!$C$115:$C$142,$A337)</f>
        <v>0</v>
      </c>
      <c r="T337" s="62">
        <f>SUMIFS(Производительность!R$115:R$142,Производительность!$C$115:$C$142,$A337)</f>
        <v>0</v>
      </c>
      <c r="U337" s="62">
        <f>SUMIFS(Производительность!S$115:S$142,Производительность!$C$115:$C$142,$A337)</f>
        <v>0</v>
      </c>
      <c r="V337" s="62">
        <f>SUMIFS(Производительность!T$115:T$142,Производительность!$C$115:$C$142,$A337)</f>
        <v>0</v>
      </c>
      <c r="W337" s="62">
        <f>SUMIFS(Производительность!U$115:U$142,Производительность!$C$115:$C$142,$A337)</f>
        <v>0</v>
      </c>
      <c r="X337" s="62">
        <f>SUMIFS(Производительность!V$115:V$142,Производительность!$C$115:$C$142,$A337)</f>
        <v>0</v>
      </c>
      <c r="Y337" s="62">
        <f>SUMIFS(Производительность!W$115:W$142,Производительность!$C$115:$C$142,$A337)</f>
        <v>0</v>
      </c>
      <c r="Z337" s="62">
        <f>SUMIFS(Производительность!X$115:X$142,Производительность!$C$115:$C$142,$A337)</f>
        <v>0</v>
      </c>
      <c r="AA337" s="175"/>
    </row>
    <row r="338" spans="1:28" outlineLevel="1" x14ac:dyDescent="0.25">
      <c r="A338" s="36" t="str">
        <f t="shared" si="676"/>
        <v>YANGZI DR75</v>
      </c>
      <c r="B338" s="36"/>
      <c r="D338" s="63" t="s">
        <v>177</v>
      </c>
      <c r="E338" s="64" t="s">
        <v>171</v>
      </c>
      <c r="F338" s="65"/>
      <c r="G338" s="65">
        <f>SUMIFS(Производительность!E$196:E$223,Производительность!$C$196:$C$223,$A338)</f>
        <v>107.5345930894011</v>
      </c>
      <c r="H338" s="65">
        <f>SUMIFS(Производительность!F$196:F$223,Производительность!$C$196:$C$223,$A338)</f>
        <v>105.94490668703037</v>
      </c>
      <c r="I338" s="65">
        <f>SUMIFS(Производительность!G$196:G$223,Производительность!$C$196:$C$223,$A338)</f>
        <v>107.5345930894011</v>
      </c>
      <c r="J338" s="65">
        <f>SUMIFS(Производительность!H$196:H$223,Производительность!$C$196:$C$223,$A338)</f>
        <v>105.94490668703037</v>
      </c>
      <c r="K338" s="65">
        <f>SUMIFS(Производительность!I$196:I$223,Производительность!$C$196:$C$223,$A338)</f>
        <v>102.40657243659228</v>
      </c>
      <c r="L338" s="65">
        <f>SUMIFS(Производительность!J$196:J$223,Производительность!$C$196:$C$223,$A338)</f>
        <v>105.94490668703037</v>
      </c>
      <c r="M338" s="65">
        <f>SUMIFS(Производительность!K$196:K$223,Производительность!$C$196:$C$223,$A338)</f>
        <v>98.25287570781714</v>
      </c>
      <c r="N338" s="65">
        <f>SUMIFS(Производительность!L$196:L$223,Производительность!$C$196:$C$223,$A338)</f>
        <v>106.25258792619891</v>
      </c>
      <c r="O338" s="65">
        <f>SUMIFS(Производительность!M$196:M$223,Производительность!$C$196:$C$223,$A338)</f>
        <v>107.22691185023257</v>
      </c>
      <c r="P338" s="65">
        <f>SUMIFS(Производительность!N$196:N$223,Производительность!$C$196:$C$223,$A338)</f>
        <v>98.560556946985656</v>
      </c>
      <c r="Q338" s="65">
        <f>SUMIFS(Производительность!O$196:O$223,Производительность!$C$196:$C$223,$A338)</f>
        <v>107.22691185023257</v>
      </c>
      <c r="R338" s="65">
        <f>SUMIFS(Производительность!P$196:P$223,Производительность!$C$196:$C$223,$A338)</f>
        <v>105.94490668703037</v>
      </c>
      <c r="S338" s="65">
        <f>SUMIFS(Производительность!Q$196:Q$223,Производительность!$C$196:$C$223,$A338)</f>
        <v>0</v>
      </c>
      <c r="T338" s="65">
        <f>SUMIFS(Производительность!R$196:R$223,Производительность!$C$196:$C$223,$A338)</f>
        <v>0</v>
      </c>
      <c r="U338" s="65">
        <f>SUMIFS(Производительность!S$196:S$223,Производительность!$C$196:$C$223,$A338)</f>
        <v>0</v>
      </c>
      <c r="V338" s="65">
        <f>SUMIFS(Производительность!T$196:T$223,Производительность!$C$196:$C$223,$A338)</f>
        <v>0</v>
      </c>
      <c r="W338" s="65">
        <f>SUMIFS(Производительность!U$196:U$223,Производительность!$C$196:$C$223,$A338)</f>
        <v>0</v>
      </c>
      <c r="X338" s="65">
        <f>SUMIFS(Производительность!V$196:V$223,Производительность!$C$196:$C$223,$A338)</f>
        <v>0</v>
      </c>
      <c r="Y338" s="65">
        <f>SUMIFS(Производительность!W$196:W$223,Производительность!$C$196:$C$223,$A338)</f>
        <v>0</v>
      </c>
      <c r="Z338" s="65">
        <f>SUMIFS(Производительность!X$196:X$223,Производительность!$C$196:$C$223,$A338)</f>
        <v>0</v>
      </c>
      <c r="AA338" s="175"/>
    </row>
    <row r="339" spans="1:28" outlineLevel="1" x14ac:dyDescent="0.25">
      <c r="A339" s="36" t="str">
        <f t="shared" si="676"/>
        <v>YANGZI DR75</v>
      </c>
      <c r="B339" s="36"/>
      <c r="D339" s="63" t="s">
        <v>178</v>
      </c>
      <c r="E339" s="64" t="s">
        <v>175</v>
      </c>
      <c r="F339" s="65"/>
      <c r="G339" s="65">
        <f>SUMIFS(Производительность!E$250:E$277,Производительность!$C$250:$C$277,$A339)</f>
        <v>5319.2255407626353</v>
      </c>
      <c r="H339" s="65">
        <f>SUMIFS(Производительность!F$250:F$277,Производительность!$C$250:$C$277,$A339)</f>
        <v>5144.9708334549487</v>
      </c>
      <c r="I339" s="65">
        <f>SUMIFS(Производительность!G$250:G$277,Производительность!$C$250:$C$277,$A339)</f>
        <v>4915.3112295740957</v>
      </c>
      <c r="J339" s="65">
        <f>SUMIFS(Производительность!H$250:H$277,Производительность!$C$250:$C$277,$A339)</f>
        <v>5166.6952248939115</v>
      </c>
      <c r="K339" s="65">
        <f>SUMIFS(Производительность!I$250:I$277,Производительность!$C$250:$C$277,$A339)</f>
        <v>5053.7585782909091</v>
      </c>
      <c r="L339" s="65">
        <f>SUMIFS(Производительность!J$250:J$277,Производительность!$C$250:$C$277,$A339)</f>
        <v>4727.0625342449448</v>
      </c>
      <c r="M339" s="65">
        <f>SUMIFS(Производительность!K$250:K$277,Производительность!$C$250:$C$277,$A339)</f>
        <v>4433.4731157534452</v>
      </c>
      <c r="N339" s="65">
        <f>SUMIFS(Производительность!L$250:L$277,Производительность!$C$250:$C$277,$A339)</f>
        <v>5331.7715032858678</v>
      </c>
      <c r="O339" s="65">
        <f>SUMIFS(Производительность!M$250:M$277,Производительность!$C$250:$C$277,$A339)</f>
        <v>4995.4749468802629</v>
      </c>
      <c r="P339" s="65">
        <f>SUMIFS(Производительность!N$250:N$277,Производительность!$C$250:$C$277,$A339)</f>
        <v>4478.8849727029074</v>
      </c>
      <c r="Q339" s="65">
        <f>SUMIFS(Производительность!O$250:O$277,Производительность!$C$250:$C$277,$A339)</f>
        <v>5414.9950290365759</v>
      </c>
      <c r="R339" s="65">
        <f>SUMIFS(Производительность!P$250:P$277,Производительность!$C$250:$C$277,$A339)</f>
        <v>5539.7419510857499</v>
      </c>
      <c r="S339" s="65">
        <f>SUMIFS(Производительность!Q$250:Q$277,Производительность!$C$250:$C$277,$A339)</f>
        <v>0</v>
      </c>
      <c r="T339" s="65">
        <f>SUMIFS(Производительность!R$250:R$277,Производительность!$C$250:$C$277,$A339)</f>
        <v>0</v>
      </c>
      <c r="U339" s="65">
        <f>SUMIFS(Производительность!S$250:S$277,Производительность!$C$250:$C$277,$A339)</f>
        <v>0</v>
      </c>
      <c r="V339" s="65">
        <f>SUMIFS(Производительность!T$250:T$277,Производительность!$C$250:$C$277,$A339)</f>
        <v>0</v>
      </c>
      <c r="W339" s="65">
        <f>SUMIFS(Производительность!U$250:U$277,Производительность!$C$250:$C$277,$A339)</f>
        <v>0</v>
      </c>
      <c r="X339" s="65">
        <f>SUMIFS(Производительность!V$250:V$277,Производительность!$C$250:$C$277,$A339)</f>
        <v>0</v>
      </c>
      <c r="Y339" s="65">
        <f>SUMIFS(Производительность!W$250:W$277,Производительность!$C$250:$C$277,$A339)</f>
        <v>0</v>
      </c>
      <c r="Z339" s="65">
        <f>SUMIFS(Производительность!X$250:X$277,Производительность!$C$250:$C$277,$A339)</f>
        <v>0</v>
      </c>
      <c r="AA339" s="175"/>
    </row>
    <row r="340" spans="1:28" outlineLevel="1" x14ac:dyDescent="0.25">
      <c r="A340" s="36" t="str">
        <f t="shared" si="676"/>
        <v>YANGZI DR75</v>
      </c>
      <c r="B340" s="36"/>
      <c r="D340" s="179" t="s">
        <v>179</v>
      </c>
      <c r="E340" s="60" t="str">
        <f>E339</f>
        <v>тыс. м3</v>
      </c>
      <c r="F340" s="61"/>
      <c r="G340" s="320">
        <f>G339</f>
        <v>5319.2255407626353</v>
      </c>
      <c r="H340" s="61">
        <f>IF(H339=0,0,G340+H339)</f>
        <v>10464.196374217583</v>
      </c>
      <c r="I340" s="61">
        <f t="shared" ref="I340" si="677">IF(I339=0,0,H340+I339)</f>
        <v>15379.507603791679</v>
      </c>
      <c r="J340" s="61">
        <f t="shared" ref="J340" si="678">IF(J339=0,0,I340+J339)</f>
        <v>20546.202828685589</v>
      </c>
      <c r="K340" s="61">
        <f t="shared" ref="K340" si="679">IF(K339=0,0,J340+K339)</f>
        <v>25599.961406976498</v>
      </c>
      <c r="L340" s="61">
        <f t="shared" ref="L340" si="680">IF(L339=0,0,K340+L339)</f>
        <v>30327.023941221443</v>
      </c>
      <c r="M340" s="61">
        <f t="shared" ref="M340" si="681">IF(M339=0,0,L340+M339)</f>
        <v>34760.497056974891</v>
      </c>
      <c r="N340" s="61">
        <f t="shared" ref="N340" si="682">IF(N339=0,0,M340+N339)</f>
        <v>40092.26856026076</v>
      </c>
      <c r="O340" s="61">
        <f t="shared" ref="O340" si="683">IF(O339=0,0,N340+O339)</f>
        <v>45087.743507141022</v>
      </c>
      <c r="P340" s="61">
        <f t="shared" ref="P340" si="684">IF(P339=0,0,O340+P339)</f>
        <v>49566.62847984393</v>
      </c>
      <c r="Q340" s="61">
        <f t="shared" ref="Q340" si="685">IF(Q339=0,0,P340+Q339)</f>
        <v>54981.623508880504</v>
      </c>
      <c r="R340" s="61">
        <f t="shared" ref="R340" si="686">IF(R339=0,0,Q340+R339)</f>
        <v>60521.365459966255</v>
      </c>
      <c r="S340" s="61">
        <f t="shared" ref="S340" si="687">IF(S339=0,0,R340+S339)</f>
        <v>0</v>
      </c>
      <c r="T340" s="61">
        <f t="shared" ref="T340" si="688">IF(T339=0,0,S340+T339)</f>
        <v>0</v>
      </c>
      <c r="U340" s="61">
        <f t="shared" ref="U340" si="689">IF(U339=0,0,T340+U339)</f>
        <v>0</v>
      </c>
      <c r="V340" s="61">
        <f t="shared" ref="V340" si="690">IF(V339=0,0,U340+V339)</f>
        <v>0</v>
      </c>
      <c r="W340" s="61">
        <f t="shared" ref="W340" si="691">IF(W339=0,0,V340+W339)</f>
        <v>0</v>
      </c>
      <c r="X340" s="61">
        <f t="shared" ref="X340" si="692">IF(X339=0,0,W340+X339)</f>
        <v>0</v>
      </c>
      <c r="Y340" s="61">
        <f t="shared" ref="Y340" si="693">IF(Y339=0,0,X340+Y339)</f>
        <v>0</v>
      </c>
      <c r="Z340" s="61">
        <f t="shared" ref="Z340" si="694">IF(Z339=0,0,Y340+Z339)</f>
        <v>0</v>
      </c>
      <c r="AA340" s="175"/>
    </row>
    <row r="341" spans="1:28" outlineLevel="1" x14ac:dyDescent="0.25">
      <c r="A341" s="36" t="str">
        <f t="shared" si="676"/>
        <v>YANGZI DR75</v>
      </c>
      <c r="B341" s="36"/>
      <c r="D341" s="30"/>
      <c r="E341" s="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175"/>
    </row>
    <row r="342" spans="1:28" outlineLevel="1" x14ac:dyDescent="0.25">
      <c r="A342" s="36" t="str">
        <f t="shared" si="676"/>
        <v>YANGZI DR75</v>
      </c>
      <c r="B342" s="36"/>
      <c r="D342" s="66" t="s">
        <v>42</v>
      </c>
      <c r="E342" s="67" t="s">
        <v>21</v>
      </c>
      <c r="F342" s="68">
        <f>F376+F377-F375</f>
        <v>0</v>
      </c>
      <c r="G342" s="68">
        <f t="shared" ref="G342:Z342" si="695">G376+G377-G375</f>
        <v>46401.636991638472</v>
      </c>
      <c r="H342" s="68">
        <f t="shared" si="695"/>
        <v>55226.81533803897</v>
      </c>
      <c r="I342" s="68">
        <f t="shared" si="695"/>
        <v>60837.636991638472</v>
      </c>
      <c r="J342" s="68">
        <f t="shared" si="695"/>
        <v>56726.81533803897</v>
      </c>
      <c r="K342" s="68">
        <f t="shared" si="695"/>
        <v>51958.663915511061</v>
      </c>
      <c r="L342" s="68">
        <f t="shared" si="695"/>
        <v>63116.815338038985</v>
      </c>
      <c r="M342" s="68">
        <f t="shared" si="695"/>
        <v>53917.355723847853</v>
      </c>
      <c r="N342" s="68">
        <f t="shared" si="695"/>
        <v>59804.393722606619</v>
      </c>
      <c r="O342" s="68">
        <f t="shared" si="695"/>
        <v>58264.058607070823</v>
      </c>
      <c r="P342" s="68">
        <f t="shared" si="695"/>
        <v>57474.934108415488</v>
      </c>
      <c r="Q342" s="68">
        <f t="shared" si="695"/>
        <v>54610.058607070823</v>
      </c>
      <c r="R342" s="68">
        <f t="shared" si="695"/>
        <v>58646.81533803897</v>
      </c>
      <c r="S342" s="68">
        <f t="shared" si="695"/>
        <v>0</v>
      </c>
      <c r="T342" s="68">
        <f t="shared" si="695"/>
        <v>0</v>
      </c>
      <c r="U342" s="68">
        <f t="shared" si="695"/>
        <v>0</v>
      </c>
      <c r="V342" s="68">
        <f t="shared" si="695"/>
        <v>0</v>
      </c>
      <c r="W342" s="68">
        <f t="shared" si="695"/>
        <v>0</v>
      </c>
      <c r="X342" s="68">
        <f t="shared" si="695"/>
        <v>0</v>
      </c>
      <c r="Y342" s="68">
        <f t="shared" si="695"/>
        <v>0</v>
      </c>
      <c r="Z342" s="68">
        <f t="shared" si="695"/>
        <v>0</v>
      </c>
      <c r="AA342" s="175"/>
    </row>
    <row r="343" spans="1:28" outlineLevel="1" x14ac:dyDescent="0.25">
      <c r="A343" s="36" t="str">
        <f t="shared" si="676"/>
        <v>YANGZI DR75</v>
      </c>
      <c r="B343" s="36"/>
      <c r="D343" s="686" t="s">
        <v>43</v>
      </c>
      <c r="E343" s="64" t="str">
        <f>E342</f>
        <v>тыс. руб.</v>
      </c>
      <c r="F343" s="70"/>
      <c r="G343" s="677">
        <f>(G344+G345+G346)*'ФОТ, МТР, макро'!AJ$7</f>
        <v>14468.8</v>
      </c>
      <c r="H343" s="677">
        <f>(H344+H345+H346)*'ФОТ, МТР, макро'!AK$7</f>
        <v>26704.000000000007</v>
      </c>
      <c r="I343" s="677">
        <f>(I344+I345+I346)*'ФОТ, МТР, макро'!AL$7</f>
        <v>33716.800000000003</v>
      </c>
      <c r="J343" s="677">
        <f>(J344+J345+J346)*'ФОТ, МТР, макро'!AM$7</f>
        <v>28704.000000000007</v>
      </c>
      <c r="K343" s="677">
        <f>(K344+K345+K346)*'ФОТ, МТР, макро'!AN$7</f>
        <v>23388.800000000003</v>
      </c>
      <c r="L343" s="677">
        <f>(L344+L345+L346)*'ФОТ, МТР, макро'!AO$7</f>
        <v>37224.000000000007</v>
      </c>
      <c r="M343" s="677">
        <f>(M344+M345+M346)*'ФОТ, МТР, макро'!AP$7</f>
        <v>27224.000000000007</v>
      </c>
      <c r="N343" s="677">
        <f>(N344+N345+N346)*'ФОТ, МТР, макро'!AQ$7</f>
        <v>32716.800000000003</v>
      </c>
      <c r="O343" s="677">
        <f>(O344+O345+O346)*'ФОТ, МТР, макро'!AR$7</f>
        <v>30376.000000000004</v>
      </c>
      <c r="P343" s="677">
        <f>(P344+P345+P346)*'ФОТ, МТР, макро'!AS$7</f>
        <v>31876.800000000003</v>
      </c>
      <c r="Q343" s="677">
        <f>(Q344+Q345+Q346)*'ФОТ, МТР, макро'!AT$7</f>
        <v>25504.000000000007</v>
      </c>
      <c r="R343" s="677">
        <f>(R344+R345+R346)*'ФОТ, МТР, макро'!AU$7</f>
        <v>31264.000000000007</v>
      </c>
      <c r="S343" s="677"/>
      <c r="T343" s="677"/>
      <c r="U343" s="677"/>
      <c r="V343" s="677"/>
      <c r="W343" s="677"/>
      <c r="X343" s="677"/>
      <c r="Y343" s="677"/>
      <c r="Z343" s="677"/>
      <c r="AA343" s="175"/>
      <c r="AB343" s="679">
        <f>SUM(F343:Z343,F348:Z348)/E333</f>
        <v>28597.333333333332</v>
      </c>
    </row>
    <row r="344" spans="1:28" outlineLevel="1" x14ac:dyDescent="0.25">
      <c r="A344" s="36" t="str">
        <f t="shared" si="676"/>
        <v>YANGZI DR75</v>
      </c>
      <c r="B344" s="36"/>
      <c r="D344" s="674" t="s">
        <v>44</v>
      </c>
      <c r="E344" s="675" t="s">
        <v>654</v>
      </c>
      <c r="F344" s="29"/>
      <c r="G344" s="676">
        <f>'DR-75'!E29</f>
        <v>70.12</v>
      </c>
      <c r="H344" s="676">
        <f>'DR-75'!F29</f>
        <v>72.78</v>
      </c>
      <c r="I344" s="676">
        <f>'DR-75'!G29</f>
        <v>70.12</v>
      </c>
      <c r="J344" s="676">
        <f>'DR-75'!H29</f>
        <v>72.78</v>
      </c>
      <c r="K344" s="676">
        <f>'DR-75'!I29</f>
        <v>70.12</v>
      </c>
      <c r="L344" s="676">
        <f>'DR-75'!J29</f>
        <v>72.78</v>
      </c>
      <c r="M344" s="676">
        <f>'DR-75'!K29</f>
        <v>72.78</v>
      </c>
      <c r="N344" s="676">
        <f>'DR-75'!L29</f>
        <v>70.12</v>
      </c>
      <c r="O344" s="676">
        <f>'DR-75'!M29</f>
        <v>72.78</v>
      </c>
      <c r="P344" s="676">
        <f>'DR-75'!N29</f>
        <v>70.12</v>
      </c>
      <c r="Q344" s="676">
        <f>'DR-75'!O29</f>
        <v>72.78</v>
      </c>
      <c r="R344" s="676">
        <f>'DR-75'!P29</f>
        <v>72.78</v>
      </c>
      <c r="S344" s="676"/>
      <c r="T344" s="676"/>
      <c r="U344" s="676"/>
      <c r="V344" s="676"/>
      <c r="W344" s="676"/>
      <c r="X344" s="676"/>
      <c r="Y344" s="676"/>
      <c r="Z344" s="676"/>
      <c r="AA344" s="175"/>
    </row>
    <row r="345" spans="1:28" outlineLevel="1" x14ac:dyDescent="0.25">
      <c r="A345" s="36" t="str">
        <f t="shared" si="676"/>
        <v>YANGZI DR75</v>
      </c>
      <c r="B345" s="36"/>
      <c r="D345" s="674" t="s">
        <v>45</v>
      </c>
      <c r="E345" s="675" t="s">
        <v>654</v>
      </c>
      <c r="F345" s="29"/>
      <c r="G345" s="676">
        <f>'DR-75'!E30+'DR-75'!E31</f>
        <v>84.7</v>
      </c>
      <c r="H345" s="676">
        <f>'DR-75'!F30+'DR-75'!F31</f>
        <v>226.3</v>
      </c>
      <c r="I345" s="676">
        <f>'DR-75'!G30+'DR-75'!G31</f>
        <v>325.3</v>
      </c>
      <c r="J345" s="676">
        <f>'DR-75'!H30+'DR-75'!H31</f>
        <v>251.3</v>
      </c>
      <c r="K345" s="676">
        <f>'DR-75'!I30+'DR-75'!I31</f>
        <v>154.19999999999999</v>
      </c>
      <c r="L345" s="676">
        <f>'DR-75'!J30+'DR-75'!J31</f>
        <v>357.8</v>
      </c>
      <c r="M345" s="676">
        <f>'DR-75'!K30+'DR-75'!K31</f>
        <v>190.8</v>
      </c>
      <c r="N345" s="676">
        <f>'DR-75'!L30+'DR-75'!L31</f>
        <v>305.8</v>
      </c>
      <c r="O345" s="676">
        <f>'DR-75'!M30+'DR-75'!M31</f>
        <v>279.2</v>
      </c>
      <c r="P345" s="676">
        <f>'DR-75'!N30+'DR-75'!N31</f>
        <v>253.3</v>
      </c>
      <c r="Q345" s="676">
        <f>'DR-75'!O30+'DR-75'!O31</f>
        <v>218.3</v>
      </c>
      <c r="R345" s="676">
        <f>'DR-75'!P30+'DR-75'!P31</f>
        <v>283.3</v>
      </c>
      <c r="S345" s="676"/>
      <c r="T345" s="676"/>
      <c r="U345" s="676"/>
      <c r="V345" s="676"/>
      <c r="W345" s="676"/>
      <c r="X345" s="676"/>
      <c r="Y345" s="676"/>
      <c r="Z345" s="676"/>
      <c r="AA345" s="175"/>
    </row>
    <row r="346" spans="1:28" outlineLevel="1" x14ac:dyDescent="0.25">
      <c r="A346" s="36" t="str">
        <f t="shared" si="676"/>
        <v>YANGZI DR75</v>
      </c>
      <c r="B346" s="36"/>
      <c r="D346" s="674" t="s">
        <v>46</v>
      </c>
      <c r="E346" s="675" t="s">
        <v>654</v>
      </c>
      <c r="F346" s="29"/>
      <c r="G346" s="676">
        <f>'DR-75'!E32+'DR-75'!E33</f>
        <v>26.04</v>
      </c>
      <c r="H346" s="676">
        <f>'DR-75'!F32+'DR-75'!F33</f>
        <v>34.72</v>
      </c>
      <c r="I346" s="676">
        <f>'DR-75'!G32+'DR-75'!G33</f>
        <v>26.04</v>
      </c>
      <c r="J346" s="676">
        <f>'DR-75'!H32+'DR-75'!H33</f>
        <v>34.72</v>
      </c>
      <c r="K346" s="676">
        <f>'DR-75'!I32+'DR-75'!I33</f>
        <v>68.039999999999992</v>
      </c>
      <c r="L346" s="676">
        <f>'DR-75'!J32+'DR-75'!J33</f>
        <v>34.72</v>
      </c>
      <c r="M346" s="676">
        <f>'DR-75'!K32+'DR-75'!K33</f>
        <v>76.72</v>
      </c>
      <c r="N346" s="676">
        <f>'DR-75'!L32+'DR-75'!L33</f>
        <v>33.04</v>
      </c>
      <c r="O346" s="676">
        <f>'DR-75'!M32+'DR-75'!M33</f>
        <v>27.72</v>
      </c>
      <c r="P346" s="676">
        <f>'DR-75'!N32+'DR-75'!N33</f>
        <v>75.039999999999992</v>
      </c>
      <c r="Q346" s="676">
        <f>'DR-75'!O32+'DR-75'!O33</f>
        <v>27.72</v>
      </c>
      <c r="R346" s="676">
        <f>'DR-75'!P32+'DR-75'!P33</f>
        <v>34.72</v>
      </c>
      <c r="S346" s="676"/>
      <c r="T346" s="676"/>
      <c r="U346" s="676"/>
      <c r="V346" s="676"/>
      <c r="W346" s="676"/>
      <c r="X346" s="676"/>
      <c r="Y346" s="676"/>
      <c r="Z346" s="676"/>
      <c r="AA346" s="175"/>
    </row>
    <row r="347" spans="1:28" outlineLevel="1" x14ac:dyDescent="0.25">
      <c r="A347" s="36" t="str">
        <f t="shared" si="676"/>
        <v>YANGZI DR75</v>
      </c>
      <c r="B347" s="36"/>
      <c r="D347" s="76" t="s">
        <v>47</v>
      </c>
      <c r="E347" s="77"/>
      <c r="F347" s="78"/>
      <c r="G347" s="79" t="e">
        <f t="shared" ref="G347:Z347" si="696">G343/$F380</f>
        <v>#DIV/0!</v>
      </c>
      <c r="H347" s="79" t="e">
        <f t="shared" si="696"/>
        <v>#DIV/0!</v>
      </c>
      <c r="I347" s="79" t="e">
        <f t="shared" si="696"/>
        <v>#DIV/0!</v>
      </c>
      <c r="J347" s="79" t="e">
        <f t="shared" si="696"/>
        <v>#DIV/0!</v>
      </c>
      <c r="K347" s="79" t="e">
        <f t="shared" si="696"/>
        <v>#DIV/0!</v>
      </c>
      <c r="L347" s="79" t="e">
        <f t="shared" si="696"/>
        <v>#DIV/0!</v>
      </c>
      <c r="M347" s="79" t="e">
        <f t="shared" si="696"/>
        <v>#DIV/0!</v>
      </c>
      <c r="N347" s="79" t="e">
        <f t="shared" si="696"/>
        <v>#DIV/0!</v>
      </c>
      <c r="O347" s="79" t="e">
        <f t="shared" si="696"/>
        <v>#DIV/0!</v>
      </c>
      <c r="P347" s="79" t="e">
        <f t="shared" si="696"/>
        <v>#DIV/0!</v>
      </c>
      <c r="Q347" s="79" t="e">
        <f t="shared" si="696"/>
        <v>#DIV/0!</v>
      </c>
      <c r="R347" s="79" t="e">
        <f t="shared" si="696"/>
        <v>#DIV/0!</v>
      </c>
      <c r="S347" s="79" t="e">
        <f t="shared" si="696"/>
        <v>#DIV/0!</v>
      </c>
      <c r="T347" s="79" t="e">
        <f t="shared" si="696"/>
        <v>#DIV/0!</v>
      </c>
      <c r="U347" s="79" t="e">
        <f t="shared" si="696"/>
        <v>#DIV/0!</v>
      </c>
      <c r="V347" s="79" t="e">
        <f t="shared" si="696"/>
        <v>#DIV/0!</v>
      </c>
      <c r="W347" s="79" t="e">
        <f t="shared" si="696"/>
        <v>#DIV/0!</v>
      </c>
      <c r="X347" s="79" t="e">
        <f t="shared" si="696"/>
        <v>#DIV/0!</v>
      </c>
      <c r="Y347" s="79" t="e">
        <f t="shared" si="696"/>
        <v>#DIV/0!</v>
      </c>
      <c r="Z347" s="79" t="e">
        <f t="shared" si="696"/>
        <v>#DIV/0!</v>
      </c>
      <c r="AA347" s="182" t="e">
        <f>SUM(F343:Z343)/$F380</f>
        <v>#DIV/0!</v>
      </c>
    </row>
    <row r="348" spans="1:28" outlineLevel="1" x14ac:dyDescent="0.25">
      <c r="A348" s="36" t="str">
        <f t="shared" si="676"/>
        <v>YANGZI DR75</v>
      </c>
      <c r="B348" s="36"/>
      <c r="D348" s="183" t="s">
        <v>54</v>
      </c>
      <c r="E348" s="64" t="str">
        <f>E342</f>
        <v>тыс. руб.</v>
      </c>
      <c r="F348" s="29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175"/>
    </row>
    <row r="349" spans="1:28" outlineLevel="1" x14ac:dyDescent="0.25">
      <c r="A349" s="36" t="str">
        <f t="shared" si="676"/>
        <v>YANGZI DR75</v>
      </c>
      <c r="B349" s="36"/>
      <c r="D349" s="63"/>
      <c r="E349" s="64"/>
      <c r="F349" s="29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175"/>
    </row>
    <row r="350" spans="1:28" outlineLevel="1" x14ac:dyDescent="0.25">
      <c r="A350" s="36" t="str">
        <f t="shared" si="676"/>
        <v>YANGZI DR75</v>
      </c>
      <c r="B350" s="36"/>
      <c r="D350" s="183" t="s">
        <v>183</v>
      </c>
      <c r="E350" s="64" t="str">
        <f>E342</f>
        <v>тыс. руб.</v>
      </c>
      <c r="F350" s="70"/>
      <c r="G350" s="80">
        <f>G352*G353</f>
        <v>0</v>
      </c>
      <c r="H350" s="80">
        <f t="shared" ref="H350:Z350" si="697">H352*H353</f>
        <v>0</v>
      </c>
      <c r="I350" s="80">
        <f t="shared" si="697"/>
        <v>0</v>
      </c>
      <c r="J350" s="80">
        <f t="shared" si="697"/>
        <v>0</v>
      </c>
      <c r="K350" s="80">
        <f t="shared" si="697"/>
        <v>0</v>
      </c>
      <c r="L350" s="80">
        <f t="shared" si="697"/>
        <v>0</v>
      </c>
      <c r="M350" s="80">
        <f t="shared" si="697"/>
        <v>0</v>
      </c>
      <c r="N350" s="80">
        <f t="shared" si="697"/>
        <v>0</v>
      </c>
      <c r="O350" s="80">
        <f t="shared" si="697"/>
        <v>0</v>
      </c>
      <c r="P350" s="80">
        <f t="shared" si="697"/>
        <v>0</v>
      </c>
      <c r="Q350" s="80">
        <f t="shared" si="697"/>
        <v>0</v>
      </c>
      <c r="R350" s="80">
        <f t="shared" si="697"/>
        <v>0</v>
      </c>
      <c r="S350" s="80">
        <f t="shared" si="697"/>
        <v>0</v>
      </c>
      <c r="T350" s="80">
        <f t="shared" si="697"/>
        <v>0</v>
      </c>
      <c r="U350" s="80">
        <f t="shared" si="697"/>
        <v>0</v>
      </c>
      <c r="V350" s="80">
        <f t="shared" si="697"/>
        <v>0</v>
      </c>
      <c r="W350" s="80">
        <f t="shared" si="697"/>
        <v>0</v>
      </c>
      <c r="X350" s="80">
        <f t="shared" si="697"/>
        <v>0</v>
      </c>
      <c r="Y350" s="80">
        <f t="shared" si="697"/>
        <v>0</v>
      </c>
      <c r="Z350" s="80">
        <f t="shared" si="697"/>
        <v>0</v>
      </c>
      <c r="AA350" s="175"/>
    </row>
    <row r="351" spans="1:28" outlineLevel="1" x14ac:dyDescent="0.25">
      <c r="A351" s="36" t="str">
        <f t="shared" si="676"/>
        <v>YANGZI DR75</v>
      </c>
      <c r="B351" s="36"/>
      <c r="D351" s="187" t="s">
        <v>48</v>
      </c>
      <c r="E351" s="9" t="s">
        <v>185</v>
      </c>
      <c r="F351" s="81">
        <f>SUMIFS('ФОТ, МТР, макро'!$B$4:$B$31,'ФОТ, МТР, макро'!$A$4:$A$31,$A351)</f>
        <v>0</v>
      </c>
      <c r="G351" s="82">
        <f>F351</f>
        <v>0</v>
      </c>
      <c r="H351" s="82">
        <f t="shared" ref="H351" si="698">G351</f>
        <v>0</v>
      </c>
      <c r="I351" s="82">
        <f t="shared" ref="I351" si="699">H351</f>
        <v>0</v>
      </c>
      <c r="J351" s="82">
        <f t="shared" ref="J351" si="700">I351</f>
        <v>0</v>
      </c>
      <c r="K351" s="82">
        <f t="shared" ref="K351" si="701">J351</f>
        <v>0</v>
      </c>
      <c r="L351" s="82">
        <f t="shared" ref="L351" si="702">K351</f>
        <v>0</v>
      </c>
      <c r="M351" s="82">
        <f t="shared" ref="M351" si="703">L351</f>
        <v>0</v>
      </c>
      <c r="N351" s="82">
        <f t="shared" ref="N351" si="704">M351</f>
        <v>0</v>
      </c>
      <c r="O351" s="82">
        <f t="shared" ref="O351" si="705">N351</f>
        <v>0</v>
      </c>
      <c r="P351" s="82">
        <f t="shared" ref="P351" si="706">O351</f>
        <v>0</v>
      </c>
      <c r="Q351" s="82">
        <f t="shared" ref="Q351" si="707">P351</f>
        <v>0</v>
      </c>
      <c r="R351" s="82">
        <f t="shared" ref="R351" si="708">Q351</f>
        <v>0</v>
      </c>
      <c r="S351" s="82">
        <f t="shared" ref="S351" si="709">R351</f>
        <v>0</v>
      </c>
      <c r="T351" s="82">
        <f t="shared" ref="T351" si="710">S351</f>
        <v>0</v>
      </c>
      <c r="U351" s="82">
        <f t="shared" ref="U351" si="711">T351</f>
        <v>0</v>
      </c>
      <c r="V351" s="82">
        <f t="shared" ref="V351" si="712">U351</f>
        <v>0</v>
      </c>
      <c r="W351" s="82">
        <f t="shared" ref="W351" si="713">V351</f>
        <v>0</v>
      </c>
      <c r="X351" s="82">
        <f t="shared" ref="X351" si="714">W351</f>
        <v>0</v>
      </c>
      <c r="Y351" s="82">
        <f t="shared" ref="Y351" si="715">X351</f>
        <v>0</v>
      </c>
      <c r="Z351" s="82">
        <f t="shared" ref="Z351" si="716">Y351</f>
        <v>0</v>
      </c>
      <c r="AA351" s="175"/>
    </row>
    <row r="352" spans="1:28" outlineLevel="1" x14ac:dyDescent="0.25">
      <c r="A352" s="36" t="str">
        <f t="shared" si="676"/>
        <v>YANGZI DR75</v>
      </c>
      <c r="B352" s="36"/>
      <c r="D352" s="187" t="s">
        <v>49</v>
      </c>
      <c r="E352" s="9" t="s">
        <v>50</v>
      </c>
      <c r="F352" s="70"/>
      <c r="G352" s="74">
        <f>G338*G351</f>
        <v>0</v>
      </c>
      <c r="H352" s="74">
        <f t="shared" ref="H352:Z352" si="717">H338*H351</f>
        <v>0</v>
      </c>
      <c r="I352" s="74">
        <f t="shared" si="717"/>
        <v>0</v>
      </c>
      <c r="J352" s="74">
        <f t="shared" si="717"/>
        <v>0</v>
      </c>
      <c r="K352" s="74">
        <f t="shared" si="717"/>
        <v>0</v>
      </c>
      <c r="L352" s="74">
        <f t="shared" si="717"/>
        <v>0</v>
      </c>
      <c r="M352" s="74">
        <f t="shared" si="717"/>
        <v>0</v>
      </c>
      <c r="N352" s="74">
        <f t="shared" si="717"/>
        <v>0</v>
      </c>
      <c r="O352" s="74">
        <f t="shared" si="717"/>
        <v>0</v>
      </c>
      <c r="P352" s="74">
        <f t="shared" si="717"/>
        <v>0</v>
      </c>
      <c r="Q352" s="74">
        <f t="shared" si="717"/>
        <v>0</v>
      </c>
      <c r="R352" s="74">
        <f t="shared" si="717"/>
        <v>0</v>
      </c>
      <c r="S352" s="74">
        <f t="shared" si="717"/>
        <v>0</v>
      </c>
      <c r="T352" s="74">
        <f t="shared" si="717"/>
        <v>0</v>
      </c>
      <c r="U352" s="74">
        <f t="shared" si="717"/>
        <v>0</v>
      </c>
      <c r="V352" s="74">
        <f t="shared" si="717"/>
        <v>0</v>
      </c>
      <c r="W352" s="74">
        <f t="shared" si="717"/>
        <v>0</v>
      </c>
      <c r="X352" s="74">
        <f t="shared" si="717"/>
        <v>0</v>
      </c>
      <c r="Y352" s="74">
        <f t="shared" si="717"/>
        <v>0</v>
      </c>
      <c r="Z352" s="74">
        <f t="shared" si="717"/>
        <v>0</v>
      </c>
      <c r="AA352" s="175"/>
    </row>
    <row r="353" spans="1:27" outlineLevel="1" x14ac:dyDescent="0.25">
      <c r="A353" s="36" t="str">
        <f t="shared" si="676"/>
        <v>YANGZI DR75</v>
      </c>
      <c r="B353" s="36"/>
      <c r="D353" s="187" t="s">
        <v>51</v>
      </c>
      <c r="E353" s="9" t="s">
        <v>52</v>
      </c>
      <c r="F353" s="74">
        <f>SUMIFS('ФОТ, МТР, макро'!$C$4:$C$31,'ФОТ, МТР, макро'!$A$4:$A$31,$A353)</f>
        <v>0</v>
      </c>
      <c r="G353" s="83">
        <f>F353</f>
        <v>0</v>
      </c>
      <c r="H353" s="83">
        <f t="shared" ref="H353" si="718">G353</f>
        <v>0</v>
      </c>
      <c r="I353" s="83">
        <f t="shared" ref="I353" si="719">H353</f>
        <v>0</v>
      </c>
      <c r="J353" s="83">
        <f t="shared" ref="J353" si="720">I353</f>
        <v>0</v>
      </c>
      <c r="K353" s="83">
        <f t="shared" ref="K353" si="721">J353</f>
        <v>0</v>
      </c>
      <c r="L353" s="83">
        <f t="shared" ref="L353" si="722">K353</f>
        <v>0</v>
      </c>
      <c r="M353" s="83">
        <f t="shared" ref="M353" si="723">L353</f>
        <v>0</v>
      </c>
      <c r="N353" s="83">
        <f t="shared" ref="N353" si="724">M353</f>
        <v>0</v>
      </c>
      <c r="O353" s="83">
        <f t="shared" ref="O353" si="725">N353</f>
        <v>0</v>
      </c>
      <c r="P353" s="83">
        <f t="shared" ref="P353" si="726">O353</f>
        <v>0</v>
      </c>
      <c r="Q353" s="83">
        <f t="shared" ref="Q353" si="727">P353</f>
        <v>0</v>
      </c>
      <c r="R353" s="83">
        <f t="shared" ref="R353" si="728">Q353</f>
        <v>0</v>
      </c>
      <c r="S353" s="83">
        <f t="shared" ref="S353" si="729">R353</f>
        <v>0</v>
      </c>
      <c r="T353" s="83">
        <f t="shared" ref="T353" si="730">S353</f>
        <v>0</v>
      </c>
      <c r="U353" s="83">
        <f t="shared" ref="U353" si="731">T353</f>
        <v>0</v>
      </c>
      <c r="V353" s="83">
        <f t="shared" ref="V353" si="732">U353</f>
        <v>0</v>
      </c>
      <c r="W353" s="83">
        <f t="shared" ref="W353" si="733">V353</f>
        <v>0</v>
      </c>
      <c r="X353" s="83">
        <f t="shared" ref="X353" si="734">W353</f>
        <v>0</v>
      </c>
      <c r="Y353" s="83">
        <f t="shared" ref="Y353" si="735">X353</f>
        <v>0</v>
      </c>
      <c r="Z353" s="83">
        <f t="shared" ref="Z353" si="736">Y353</f>
        <v>0</v>
      </c>
      <c r="AA353" s="175"/>
    </row>
    <row r="354" spans="1:27" outlineLevel="1" x14ac:dyDescent="0.25">
      <c r="A354" s="36" t="str">
        <f t="shared" si="676"/>
        <v>YANGZI DR75</v>
      </c>
      <c r="B354" s="36"/>
      <c r="D354" s="183" t="s">
        <v>184</v>
      </c>
      <c r="E354" s="64" t="str">
        <f>E342</f>
        <v>тыс. руб.</v>
      </c>
      <c r="F354" s="70"/>
      <c r="G354" s="80">
        <f>G356*G357</f>
        <v>0</v>
      </c>
      <c r="H354" s="80">
        <f t="shared" ref="H354:Z354" si="737">H356*H357</f>
        <v>0</v>
      </c>
      <c r="I354" s="80">
        <f t="shared" si="737"/>
        <v>0</v>
      </c>
      <c r="J354" s="80">
        <f t="shared" si="737"/>
        <v>0</v>
      </c>
      <c r="K354" s="80">
        <f t="shared" si="737"/>
        <v>0</v>
      </c>
      <c r="L354" s="80">
        <f t="shared" si="737"/>
        <v>0</v>
      </c>
      <c r="M354" s="80">
        <f t="shared" si="737"/>
        <v>0</v>
      </c>
      <c r="N354" s="80">
        <f t="shared" si="737"/>
        <v>0</v>
      </c>
      <c r="O354" s="80">
        <f t="shared" si="737"/>
        <v>0</v>
      </c>
      <c r="P354" s="80">
        <f t="shared" si="737"/>
        <v>0</v>
      </c>
      <c r="Q354" s="80">
        <f t="shared" si="737"/>
        <v>0</v>
      </c>
      <c r="R354" s="80">
        <f t="shared" si="737"/>
        <v>0</v>
      </c>
      <c r="S354" s="80">
        <f t="shared" si="737"/>
        <v>0</v>
      </c>
      <c r="T354" s="80">
        <f t="shared" si="737"/>
        <v>0</v>
      </c>
      <c r="U354" s="80">
        <f t="shared" si="737"/>
        <v>0</v>
      </c>
      <c r="V354" s="80">
        <f t="shared" si="737"/>
        <v>0</v>
      </c>
      <c r="W354" s="80">
        <f t="shared" si="737"/>
        <v>0</v>
      </c>
      <c r="X354" s="80">
        <f t="shared" si="737"/>
        <v>0</v>
      </c>
      <c r="Y354" s="80">
        <f t="shared" si="737"/>
        <v>0</v>
      </c>
      <c r="Z354" s="80">
        <f t="shared" si="737"/>
        <v>0</v>
      </c>
      <c r="AA354" s="175"/>
    </row>
    <row r="355" spans="1:27" outlineLevel="1" x14ac:dyDescent="0.25">
      <c r="A355" s="36" t="str">
        <f t="shared" si="676"/>
        <v>YANGZI DR75</v>
      </c>
      <c r="B355" s="36"/>
      <c r="D355" s="187" t="s">
        <v>48</v>
      </c>
      <c r="E355" s="9" t="s">
        <v>185</v>
      </c>
      <c r="F355" s="81">
        <f>SUMIFS('ФОТ, МТР, макро'!$E$4:$E$31,'ФОТ, МТР, макро'!$A$4:$A$31,$A355)</f>
        <v>0</v>
      </c>
      <c r="G355" s="82">
        <f>F355</f>
        <v>0</v>
      </c>
      <c r="H355" s="82">
        <f t="shared" ref="H355" si="738">G355</f>
        <v>0</v>
      </c>
      <c r="I355" s="82">
        <f t="shared" ref="I355" si="739">H355</f>
        <v>0</v>
      </c>
      <c r="J355" s="82">
        <f t="shared" ref="J355" si="740">I355</f>
        <v>0</v>
      </c>
      <c r="K355" s="82">
        <f t="shared" ref="K355" si="741">J355</f>
        <v>0</v>
      </c>
      <c r="L355" s="82">
        <f t="shared" ref="L355" si="742">K355</f>
        <v>0</v>
      </c>
      <c r="M355" s="82">
        <f t="shared" ref="M355" si="743">L355</f>
        <v>0</v>
      </c>
      <c r="N355" s="82">
        <f t="shared" ref="N355" si="744">M355</f>
        <v>0</v>
      </c>
      <c r="O355" s="82">
        <f t="shared" ref="O355" si="745">N355</f>
        <v>0</v>
      </c>
      <c r="P355" s="82">
        <f t="shared" ref="P355" si="746">O355</f>
        <v>0</v>
      </c>
      <c r="Q355" s="82">
        <f t="shared" ref="Q355" si="747">P355</f>
        <v>0</v>
      </c>
      <c r="R355" s="82">
        <f t="shared" ref="R355" si="748">Q355</f>
        <v>0</v>
      </c>
      <c r="S355" s="82">
        <f t="shared" ref="S355" si="749">R355</f>
        <v>0</v>
      </c>
      <c r="T355" s="82">
        <f t="shared" ref="T355" si="750">S355</f>
        <v>0</v>
      </c>
      <c r="U355" s="82">
        <f t="shared" ref="U355" si="751">T355</f>
        <v>0</v>
      </c>
      <c r="V355" s="82">
        <f t="shared" ref="V355" si="752">U355</f>
        <v>0</v>
      </c>
      <c r="W355" s="82">
        <f t="shared" ref="W355" si="753">V355</f>
        <v>0</v>
      </c>
      <c r="X355" s="82">
        <f t="shared" ref="X355" si="754">W355</f>
        <v>0</v>
      </c>
      <c r="Y355" s="82">
        <f t="shared" ref="Y355" si="755">X355</f>
        <v>0</v>
      </c>
      <c r="Z355" s="82">
        <f t="shared" ref="Z355" si="756">Y355</f>
        <v>0</v>
      </c>
      <c r="AA355" s="175"/>
    </row>
    <row r="356" spans="1:27" outlineLevel="1" x14ac:dyDescent="0.25">
      <c r="A356" s="36" t="str">
        <f t="shared" si="676"/>
        <v>YANGZI DR75</v>
      </c>
      <c r="B356" s="36"/>
      <c r="D356" s="187" t="s">
        <v>49</v>
      </c>
      <c r="E356" s="9" t="s">
        <v>50</v>
      </c>
      <c r="F356" s="70"/>
      <c r="G356" s="74">
        <f>G338*G355</f>
        <v>0</v>
      </c>
      <c r="H356" s="74">
        <f t="shared" ref="H356:Z356" si="757">H338*H355</f>
        <v>0</v>
      </c>
      <c r="I356" s="74">
        <f t="shared" si="757"/>
        <v>0</v>
      </c>
      <c r="J356" s="74">
        <f t="shared" si="757"/>
        <v>0</v>
      </c>
      <c r="K356" s="74">
        <f t="shared" si="757"/>
        <v>0</v>
      </c>
      <c r="L356" s="74">
        <f t="shared" si="757"/>
        <v>0</v>
      </c>
      <c r="M356" s="74">
        <f t="shared" si="757"/>
        <v>0</v>
      </c>
      <c r="N356" s="74">
        <f t="shared" si="757"/>
        <v>0</v>
      </c>
      <c r="O356" s="74">
        <f t="shared" si="757"/>
        <v>0</v>
      </c>
      <c r="P356" s="74">
        <f t="shared" si="757"/>
        <v>0</v>
      </c>
      <c r="Q356" s="74">
        <f t="shared" si="757"/>
        <v>0</v>
      </c>
      <c r="R356" s="74">
        <f t="shared" si="757"/>
        <v>0</v>
      </c>
      <c r="S356" s="74">
        <f t="shared" si="757"/>
        <v>0</v>
      </c>
      <c r="T356" s="74">
        <f t="shared" si="757"/>
        <v>0</v>
      </c>
      <c r="U356" s="74">
        <f t="shared" si="757"/>
        <v>0</v>
      </c>
      <c r="V356" s="74">
        <f t="shared" si="757"/>
        <v>0</v>
      </c>
      <c r="W356" s="74">
        <f t="shared" si="757"/>
        <v>0</v>
      </c>
      <c r="X356" s="74">
        <f t="shared" si="757"/>
        <v>0</v>
      </c>
      <c r="Y356" s="74">
        <f t="shared" si="757"/>
        <v>0</v>
      </c>
      <c r="Z356" s="74">
        <f t="shared" si="757"/>
        <v>0</v>
      </c>
      <c r="AA356" s="175"/>
    </row>
    <row r="357" spans="1:27" outlineLevel="1" x14ac:dyDescent="0.25">
      <c r="A357" s="36" t="str">
        <f t="shared" si="676"/>
        <v>YANGZI DR75</v>
      </c>
      <c r="B357" s="36"/>
      <c r="D357" s="187" t="s">
        <v>51</v>
      </c>
      <c r="E357" s="9" t="s">
        <v>52</v>
      </c>
      <c r="F357" s="74">
        <f>SUMIFS('ФОТ, МТР, макро'!$F$4:$F$31,'ФОТ, МТР, макро'!$A$4:$A$31,$A357)</f>
        <v>0</v>
      </c>
      <c r="G357" s="83">
        <f>F357</f>
        <v>0</v>
      </c>
      <c r="H357" s="83">
        <f t="shared" ref="H357" si="758">G357</f>
        <v>0</v>
      </c>
      <c r="I357" s="83">
        <f t="shared" ref="I357" si="759">H357</f>
        <v>0</v>
      </c>
      <c r="J357" s="83">
        <f t="shared" ref="J357" si="760">I357</f>
        <v>0</v>
      </c>
      <c r="K357" s="83">
        <f t="shared" ref="K357" si="761">J357</f>
        <v>0</v>
      </c>
      <c r="L357" s="83">
        <f t="shared" ref="L357" si="762">K357</f>
        <v>0</v>
      </c>
      <c r="M357" s="83">
        <f t="shared" ref="M357" si="763">L357</f>
        <v>0</v>
      </c>
      <c r="N357" s="83">
        <f t="shared" ref="N357" si="764">M357</f>
        <v>0</v>
      </c>
      <c r="O357" s="83">
        <f t="shared" ref="O357" si="765">N357</f>
        <v>0</v>
      </c>
      <c r="P357" s="83">
        <f t="shared" ref="P357" si="766">O357</f>
        <v>0</v>
      </c>
      <c r="Q357" s="83">
        <f t="shared" ref="Q357" si="767">P357</f>
        <v>0</v>
      </c>
      <c r="R357" s="83">
        <f t="shared" ref="R357" si="768">Q357</f>
        <v>0</v>
      </c>
      <c r="S357" s="83">
        <f t="shared" ref="S357" si="769">R357</f>
        <v>0</v>
      </c>
      <c r="T357" s="83">
        <f t="shared" ref="T357" si="770">S357</f>
        <v>0</v>
      </c>
      <c r="U357" s="83">
        <f t="shared" ref="U357" si="771">T357</f>
        <v>0</v>
      </c>
      <c r="V357" s="83">
        <f t="shared" ref="V357" si="772">U357</f>
        <v>0</v>
      </c>
      <c r="W357" s="83">
        <f t="shared" ref="W357" si="773">V357</f>
        <v>0</v>
      </c>
      <c r="X357" s="83">
        <f t="shared" ref="X357" si="774">W357</f>
        <v>0</v>
      </c>
      <c r="Y357" s="83">
        <f t="shared" ref="Y357" si="775">X357</f>
        <v>0</v>
      </c>
      <c r="Z357" s="83">
        <f t="shared" ref="Z357" si="776">Y357</f>
        <v>0</v>
      </c>
      <c r="AA357" s="175"/>
    </row>
    <row r="358" spans="1:27" outlineLevel="1" x14ac:dyDescent="0.25">
      <c r="A358" s="36" t="str">
        <f t="shared" si="676"/>
        <v>YANGZI DR75</v>
      </c>
      <c r="B358" s="36"/>
      <c r="D358" s="183" t="s">
        <v>187</v>
      </c>
      <c r="E358" s="64" t="str">
        <f>E342</f>
        <v>тыс. руб.</v>
      </c>
      <c r="F358" s="70"/>
      <c r="G358" s="80">
        <f>G338*G359</f>
        <v>0</v>
      </c>
      <c r="H358" s="80">
        <f t="shared" ref="H358:Z358" si="777">H338*H359</f>
        <v>0</v>
      </c>
      <c r="I358" s="80">
        <f t="shared" si="777"/>
        <v>0</v>
      </c>
      <c r="J358" s="80">
        <f t="shared" si="777"/>
        <v>0</v>
      </c>
      <c r="K358" s="80">
        <f t="shared" si="777"/>
        <v>0</v>
      </c>
      <c r="L358" s="80">
        <f t="shared" si="777"/>
        <v>0</v>
      </c>
      <c r="M358" s="80">
        <f t="shared" si="777"/>
        <v>0</v>
      </c>
      <c r="N358" s="80">
        <f t="shared" si="777"/>
        <v>0</v>
      </c>
      <c r="O358" s="80">
        <f t="shared" si="777"/>
        <v>0</v>
      </c>
      <c r="P358" s="80">
        <f t="shared" si="777"/>
        <v>0</v>
      </c>
      <c r="Q358" s="80">
        <f t="shared" si="777"/>
        <v>0</v>
      </c>
      <c r="R358" s="80">
        <f t="shared" si="777"/>
        <v>0</v>
      </c>
      <c r="S358" s="80">
        <f t="shared" si="777"/>
        <v>0</v>
      </c>
      <c r="T358" s="80">
        <f t="shared" si="777"/>
        <v>0</v>
      </c>
      <c r="U358" s="80">
        <f t="shared" si="777"/>
        <v>0</v>
      </c>
      <c r="V358" s="80">
        <f t="shared" si="777"/>
        <v>0</v>
      </c>
      <c r="W358" s="80">
        <f t="shared" si="777"/>
        <v>0</v>
      </c>
      <c r="X358" s="80">
        <f t="shared" si="777"/>
        <v>0</v>
      </c>
      <c r="Y358" s="80">
        <f t="shared" si="777"/>
        <v>0</v>
      </c>
      <c r="Z358" s="80">
        <f t="shared" si="777"/>
        <v>0</v>
      </c>
      <c r="AA358" s="175"/>
    </row>
    <row r="359" spans="1:27" outlineLevel="1" x14ac:dyDescent="0.25">
      <c r="A359" s="36" t="str">
        <f t="shared" si="676"/>
        <v>YANGZI DR75</v>
      </c>
      <c r="B359" s="36"/>
      <c r="D359" s="187" t="s">
        <v>48</v>
      </c>
      <c r="E359" s="9" t="s">
        <v>188</v>
      </c>
      <c r="F359" s="74">
        <f>SUMIFS('ФОТ, МТР, макро'!$H$4:$H$31,'ФОТ, МТР, макро'!$A$4:$A$31,$A359)</f>
        <v>0</v>
      </c>
      <c r="G359" s="83">
        <f>F359</f>
        <v>0</v>
      </c>
      <c r="H359" s="83">
        <f t="shared" ref="H359" si="778">G359</f>
        <v>0</v>
      </c>
      <c r="I359" s="83">
        <f t="shared" ref="I359" si="779">H359</f>
        <v>0</v>
      </c>
      <c r="J359" s="83">
        <f t="shared" ref="J359" si="780">I359</f>
        <v>0</v>
      </c>
      <c r="K359" s="83">
        <f t="shared" ref="K359" si="781">J359</f>
        <v>0</v>
      </c>
      <c r="L359" s="83">
        <f t="shared" ref="L359" si="782">K359</f>
        <v>0</v>
      </c>
      <c r="M359" s="83">
        <f t="shared" ref="M359" si="783">L359</f>
        <v>0</v>
      </c>
      <c r="N359" s="83">
        <f t="shared" ref="N359" si="784">M359</f>
        <v>0</v>
      </c>
      <c r="O359" s="83">
        <f t="shared" ref="O359" si="785">N359</f>
        <v>0</v>
      </c>
      <c r="P359" s="83">
        <f t="shared" ref="P359" si="786">O359</f>
        <v>0</v>
      </c>
      <c r="Q359" s="83">
        <f t="shared" ref="Q359" si="787">P359</f>
        <v>0</v>
      </c>
      <c r="R359" s="83">
        <f t="shared" ref="R359" si="788">Q359</f>
        <v>0</v>
      </c>
      <c r="S359" s="83">
        <f t="shared" ref="S359" si="789">R359</f>
        <v>0</v>
      </c>
      <c r="T359" s="83">
        <f t="shared" ref="T359" si="790">S359</f>
        <v>0</v>
      </c>
      <c r="U359" s="83">
        <f t="shared" ref="U359" si="791">T359</f>
        <v>0</v>
      </c>
      <c r="V359" s="83">
        <f t="shared" ref="V359" si="792">U359</f>
        <v>0</v>
      </c>
      <c r="W359" s="83">
        <f t="shared" ref="W359" si="793">V359</f>
        <v>0</v>
      </c>
      <c r="X359" s="83">
        <f t="shared" ref="X359" si="794">W359</f>
        <v>0</v>
      </c>
      <c r="Y359" s="83">
        <f t="shared" ref="Y359" si="795">X359</f>
        <v>0</v>
      </c>
      <c r="Z359" s="83">
        <f t="shared" ref="Z359" si="796">Y359</f>
        <v>0</v>
      </c>
      <c r="AA359" s="175"/>
    </row>
    <row r="360" spans="1:27" outlineLevel="1" x14ac:dyDescent="0.25">
      <c r="A360" s="36" t="str">
        <f t="shared" si="676"/>
        <v>YANGZI DR75</v>
      </c>
      <c r="B360" s="36"/>
      <c r="C360" s="193">
        <f>SUMIFS('ФОТ, МТР, макро'!$N$4:$N$31,'ФОТ, МТР, макро'!$J$4:$J$31,$A360)</f>
        <v>1</v>
      </c>
      <c r="D360" s="63" t="s">
        <v>189</v>
      </c>
      <c r="E360" s="64" t="str">
        <f>E342</f>
        <v>тыс. руб.</v>
      </c>
      <c r="F360" s="83"/>
      <c r="G360" s="80">
        <f>IF($C360=1,G361,G365)</f>
        <v>31677.927208522524</v>
      </c>
      <c r="H360" s="80">
        <f t="shared" ref="H360:Z360" si="797">IF($C360=1,H361,H365)</f>
        <v>31209.631670389863</v>
      </c>
      <c r="I360" s="80">
        <f t="shared" si="797"/>
        <v>31677.927208522524</v>
      </c>
      <c r="J360" s="80">
        <f t="shared" si="797"/>
        <v>31209.631670389863</v>
      </c>
      <c r="K360" s="80">
        <f t="shared" si="797"/>
        <v>30167.296440352642</v>
      </c>
      <c r="L360" s="80">
        <f t="shared" si="797"/>
        <v>31209.631670389863</v>
      </c>
      <c r="M360" s="80">
        <f t="shared" si="797"/>
        <v>28943.685518135029</v>
      </c>
      <c r="N360" s="80">
        <f t="shared" si="797"/>
        <v>31300.269516480061</v>
      </c>
      <c r="O360" s="80">
        <f t="shared" si="797"/>
        <v>31587.28936243233</v>
      </c>
      <c r="P360" s="80">
        <f t="shared" si="797"/>
        <v>29034.323364225223</v>
      </c>
      <c r="Q360" s="80">
        <f t="shared" si="797"/>
        <v>31587.28936243233</v>
      </c>
      <c r="R360" s="80">
        <f t="shared" si="797"/>
        <v>31209.631670389863</v>
      </c>
      <c r="S360" s="80">
        <f t="shared" si="797"/>
        <v>0</v>
      </c>
      <c r="T360" s="80">
        <f t="shared" si="797"/>
        <v>0</v>
      </c>
      <c r="U360" s="80">
        <f t="shared" si="797"/>
        <v>0</v>
      </c>
      <c r="V360" s="80">
        <f t="shared" si="797"/>
        <v>0</v>
      </c>
      <c r="W360" s="80">
        <f t="shared" si="797"/>
        <v>0</v>
      </c>
      <c r="X360" s="80">
        <f t="shared" si="797"/>
        <v>0</v>
      </c>
      <c r="Y360" s="80">
        <f t="shared" si="797"/>
        <v>0</v>
      </c>
      <c r="Z360" s="80">
        <f t="shared" si="797"/>
        <v>0</v>
      </c>
      <c r="AA360" s="175"/>
    </row>
    <row r="361" spans="1:27" outlineLevel="1" x14ac:dyDescent="0.25">
      <c r="A361" s="36" t="str">
        <f t="shared" si="676"/>
        <v>YANGZI DR75</v>
      </c>
      <c r="B361" s="36"/>
      <c r="D361" s="192" t="s">
        <v>190</v>
      </c>
      <c r="E361" s="188" t="str">
        <f>E360</f>
        <v>тыс. руб.</v>
      </c>
      <c r="F361" s="189"/>
      <c r="G361" s="190">
        <f>G363*G364</f>
        <v>31677.927208522524</v>
      </c>
      <c r="H361" s="190">
        <f t="shared" ref="H361:Z361" si="798">H363*H364</f>
        <v>31209.631670389863</v>
      </c>
      <c r="I361" s="190">
        <f t="shared" si="798"/>
        <v>31677.927208522524</v>
      </c>
      <c r="J361" s="190">
        <f t="shared" si="798"/>
        <v>31209.631670389863</v>
      </c>
      <c r="K361" s="190">
        <f t="shared" si="798"/>
        <v>30167.296440352642</v>
      </c>
      <c r="L361" s="190">
        <f t="shared" si="798"/>
        <v>31209.631670389863</v>
      </c>
      <c r="M361" s="190">
        <f t="shared" si="798"/>
        <v>28943.685518135029</v>
      </c>
      <c r="N361" s="190">
        <f t="shared" si="798"/>
        <v>31300.269516480061</v>
      </c>
      <c r="O361" s="190">
        <f t="shared" si="798"/>
        <v>31587.28936243233</v>
      </c>
      <c r="P361" s="190">
        <f t="shared" si="798"/>
        <v>29034.323364225223</v>
      </c>
      <c r="Q361" s="190">
        <f t="shared" si="798"/>
        <v>31587.28936243233</v>
      </c>
      <c r="R361" s="190">
        <f t="shared" si="798"/>
        <v>31209.631670389863</v>
      </c>
      <c r="S361" s="190">
        <f t="shared" si="798"/>
        <v>0</v>
      </c>
      <c r="T361" s="190">
        <f t="shared" si="798"/>
        <v>0</v>
      </c>
      <c r="U361" s="190">
        <f t="shared" si="798"/>
        <v>0</v>
      </c>
      <c r="V361" s="190">
        <f t="shared" si="798"/>
        <v>0</v>
      </c>
      <c r="W361" s="190">
        <f t="shared" si="798"/>
        <v>0</v>
      </c>
      <c r="X361" s="190">
        <f t="shared" si="798"/>
        <v>0</v>
      </c>
      <c r="Y361" s="190">
        <f t="shared" si="798"/>
        <v>0</v>
      </c>
      <c r="Z361" s="190">
        <f t="shared" si="798"/>
        <v>0</v>
      </c>
      <c r="AA361" s="175"/>
    </row>
    <row r="362" spans="1:27" outlineLevel="1" x14ac:dyDescent="0.25">
      <c r="A362" s="36" t="str">
        <f t="shared" si="676"/>
        <v>YANGZI DR75</v>
      </c>
      <c r="B362" s="36"/>
      <c r="D362" s="187" t="s">
        <v>48</v>
      </c>
      <c r="E362" s="73" t="str">
        <f>VLOOKUP($A362,'ФОТ, МТР, макро'!$J$4:$N$31,2,FALSE)</f>
        <v>кг/час</v>
      </c>
      <c r="F362" s="74">
        <f>SUMIFS('ФОТ, МТР, макро'!$L$4:$L$31,'ФОТ, МТР, макро'!$J$4:$J$31,$A362)</f>
        <v>72.780455432499437</v>
      </c>
      <c r="G362" s="83">
        <f>F362</f>
        <v>72.780455432499437</v>
      </c>
      <c r="H362" s="83">
        <f t="shared" ref="H362" si="799">G362</f>
        <v>72.780455432499437</v>
      </c>
      <c r="I362" s="83">
        <f t="shared" ref="I362" si="800">H362</f>
        <v>72.780455432499437</v>
      </c>
      <c r="J362" s="83">
        <f t="shared" ref="J362" si="801">I362</f>
        <v>72.780455432499437</v>
      </c>
      <c r="K362" s="83">
        <f t="shared" ref="K362" si="802">J362</f>
        <v>72.780455432499437</v>
      </c>
      <c r="L362" s="83">
        <f t="shared" ref="L362" si="803">K362</f>
        <v>72.780455432499437</v>
      </c>
      <c r="M362" s="83">
        <f t="shared" ref="M362" si="804">L362</f>
        <v>72.780455432499437</v>
      </c>
      <c r="N362" s="83">
        <f t="shared" ref="N362" si="805">M362</f>
        <v>72.780455432499437</v>
      </c>
      <c r="O362" s="83">
        <f t="shared" ref="O362" si="806">N362</f>
        <v>72.780455432499437</v>
      </c>
      <c r="P362" s="83">
        <f t="shared" ref="P362" si="807">O362</f>
        <v>72.780455432499437</v>
      </c>
      <c r="Q362" s="83">
        <f t="shared" ref="Q362" si="808">P362</f>
        <v>72.780455432499437</v>
      </c>
      <c r="R362" s="83">
        <f t="shared" ref="R362" si="809">Q362</f>
        <v>72.780455432499437</v>
      </c>
      <c r="S362" s="83">
        <f t="shared" ref="S362" si="810">R362</f>
        <v>72.780455432499437</v>
      </c>
      <c r="T362" s="83">
        <f t="shared" ref="T362" si="811">S362</f>
        <v>72.780455432499437</v>
      </c>
      <c r="U362" s="83">
        <f t="shared" ref="U362" si="812">T362</f>
        <v>72.780455432499437</v>
      </c>
      <c r="V362" s="83">
        <f t="shared" ref="V362" si="813">U362</f>
        <v>72.780455432499437</v>
      </c>
      <c r="W362" s="83">
        <f t="shared" ref="W362" si="814">V362</f>
        <v>72.780455432499437</v>
      </c>
      <c r="X362" s="83">
        <f t="shared" ref="X362" si="815">W362</f>
        <v>72.780455432499437</v>
      </c>
      <c r="Y362" s="83">
        <f t="shared" ref="Y362" si="816">X362</f>
        <v>72.780455432499437</v>
      </c>
      <c r="Z362" s="83">
        <f t="shared" ref="Z362" si="817">Y362</f>
        <v>72.780455432499437</v>
      </c>
      <c r="AA362" s="175"/>
    </row>
    <row r="363" spans="1:27" outlineLevel="1" x14ac:dyDescent="0.25">
      <c r="A363" s="36" t="str">
        <f t="shared" si="676"/>
        <v>YANGZI DR75</v>
      </c>
      <c r="B363" s="36"/>
      <c r="D363" s="187" t="s">
        <v>49</v>
      </c>
      <c r="E363" s="73" t="str">
        <f>IF(E362="кг/час","т","тыс. кВт*ч")</f>
        <v>т</v>
      </c>
      <c r="F363" s="83"/>
      <c r="G363" s="74">
        <f>G$3*G337*G362/1000</f>
        <v>479.83104622897366</v>
      </c>
      <c r="H363" s="74">
        <f t="shared" ref="H363:Z363" si="818">H$3*H337*H362/1000</f>
        <v>472.73769266049578</v>
      </c>
      <c r="I363" s="74">
        <f t="shared" si="818"/>
        <v>479.83104622897366</v>
      </c>
      <c r="J363" s="74">
        <f t="shared" si="818"/>
        <v>472.73769266049578</v>
      </c>
      <c r="K363" s="74">
        <f t="shared" si="818"/>
        <v>456.94926052420624</v>
      </c>
      <c r="L363" s="74">
        <f t="shared" si="818"/>
        <v>472.73769266049578</v>
      </c>
      <c r="M363" s="74">
        <f t="shared" si="818"/>
        <v>438.41501410334456</v>
      </c>
      <c r="N363" s="74">
        <f t="shared" si="818"/>
        <v>474.11059980278191</v>
      </c>
      <c r="O363" s="74">
        <f t="shared" si="818"/>
        <v>478.45813908668759</v>
      </c>
      <c r="P363" s="74">
        <f t="shared" si="818"/>
        <v>439.78792124563063</v>
      </c>
      <c r="Q363" s="74">
        <f t="shared" si="818"/>
        <v>478.45813908668759</v>
      </c>
      <c r="R363" s="74">
        <f t="shared" si="818"/>
        <v>472.73769266049578</v>
      </c>
      <c r="S363" s="74">
        <f t="shared" si="818"/>
        <v>0</v>
      </c>
      <c r="T363" s="74">
        <f t="shared" si="818"/>
        <v>0</v>
      </c>
      <c r="U363" s="74">
        <f t="shared" si="818"/>
        <v>0</v>
      </c>
      <c r="V363" s="74">
        <f t="shared" si="818"/>
        <v>0</v>
      </c>
      <c r="W363" s="74">
        <f t="shared" si="818"/>
        <v>0</v>
      </c>
      <c r="X363" s="74">
        <f t="shared" si="818"/>
        <v>0</v>
      </c>
      <c r="Y363" s="74">
        <f t="shared" si="818"/>
        <v>0</v>
      </c>
      <c r="Z363" s="74">
        <f t="shared" si="818"/>
        <v>0</v>
      </c>
      <c r="AA363" s="175"/>
    </row>
    <row r="364" spans="1:27" outlineLevel="1" x14ac:dyDescent="0.25">
      <c r="A364" s="36" t="str">
        <f t="shared" si="676"/>
        <v>YANGZI DR75</v>
      </c>
      <c r="B364" s="36"/>
      <c r="D364" s="187" t="s">
        <v>51</v>
      </c>
      <c r="E364" s="73" t="str">
        <f>IF(E363="т","тыс. руб./т","руб./кВт*ч")</f>
        <v>тыс. руб./т</v>
      </c>
      <c r="F364" s="74">
        <f>IF(E363="т",'ФОТ, МТР, макро'!$Q$2,'ФОТ, МТР, макро'!$Q$15)</f>
        <v>66.018919487352079</v>
      </c>
      <c r="G364" s="83">
        <f>F364</f>
        <v>66.018919487352079</v>
      </c>
      <c r="H364" s="83">
        <f t="shared" ref="H364" si="819">G364</f>
        <v>66.018919487352079</v>
      </c>
      <c r="I364" s="83">
        <f t="shared" ref="I364" si="820">H364</f>
        <v>66.018919487352079</v>
      </c>
      <c r="J364" s="83">
        <f t="shared" ref="J364" si="821">I364</f>
        <v>66.018919487352079</v>
      </c>
      <c r="K364" s="83">
        <f t="shared" ref="K364" si="822">J364</f>
        <v>66.018919487352079</v>
      </c>
      <c r="L364" s="83">
        <f t="shared" ref="L364" si="823">K364</f>
        <v>66.018919487352079</v>
      </c>
      <c r="M364" s="83">
        <f t="shared" ref="M364" si="824">L364</f>
        <v>66.018919487352079</v>
      </c>
      <c r="N364" s="83">
        <f t="shared" ref="N364" si="825">M364</f>
        <v>66.018919487352079</v>
      </c>
      <c r="O364" s="83">
        <f t="shared" ref="O364" si="826">N364</f>
        <v>66.018919487352079</v>
      </c>
      <c r="P364" s="83">
        <f t="shared" ref="P364" si="827">O364</f>
        <v>66.018919487352079</v>
      </c>
      <c r="Q364" s="83">
        <f t="shared" ref="Q364" si="828">P364</f>
        <v>66.018919487352079</v>
      </c>
      <c r="R364" s="83">
        <f t="shared" ref="R364" si="829">Q364</f>
        <v>66.018919487352079</v>
      </c>
      <c r="S364" s="83">
        <f t="shared" ref="S364" si="830">R364</f>
        <v>66.018919487352079</v>
      </c>
      <c r="T364" s="83">
        <f t="shared" ref="T364" si="831">S364</f>
        <v>66.018919487352079</v>
      </c>
      <c r="U364" s="83">
        <f t="shared" ref="U364" si="832">T364</f>
        <v>66.018919487352079</v>
      </c>
      <c r="V364" s="83">
        <f t="shared" ref="V364" si="833">U364</f>
        <v>66.018919487352079</v>
      </c>
      <c r="W364" s="83">
        <f t="shared" ref="W364" si="834">V364</f>
        <v>66.018919487352079</v>
      </c>
      <c r="X364" s="83">
        <f t="shared" ref="X364" si="835">W364</f>
        <v>66.018919487352079</v>
      </c>
      <c r="Y364" s="83">
        <f t="shared" ref="Y364" si="836">X364</f>
        <v>66.018919487352079</v>
      </c>
      <c r="Z364" s="83">
        <f t="shared" ref="Z364" si="837">Y364</f>
        <v>66.018919487352079</v>
      </c>
      <c r="AA364" s="175"/>
    </row>
    <row r="365" spans="1:27" outlineLevel="1" x14ac:dyDescent="0.25">
      <c r="A365" s="36" t="str">
        <f t="shared" si="676"/>
        <v>YANGZI DR75</v>
      </c>
      <c r="B365" s="36"/>
      <c r="D365" s="192" t="s">
        <v>191</v>
      </c>
      <c r="E365" s="188" t="str">
        <f>E361</f>
        <v>тыс. руб.</v>
      </c>
      <c r="F365" s="83"/>
      <c r="G365" s="190">
        <f>G367*G368</f>
        <v>28857.288147542946</v>
      </c>
      <c r="H365" s="190">
        <f t="shared" ref="H365:Z365" si="838">H367*H368</f>
        <v>28430.69018255781</v>
      </c>
      <c r="I365" s="190">
        <f t="shared" si="838"/>
        <v>28857.288147542946</v>
      </c>
      <c r="J365" s="190">
        <f t="shared" si="838"/>
        <v>28430.69018255781</v>
      </c>
      <c r="K365" s="190">
        <f t="shared" si="838"/>
        <v>27481.165679848953</v>
      </c>
      <c r="L365" s="190">
        <f t="shared" si="838"/>
        <v>28430.69018255781</v>
      </c>
      <c r="M365" s="190">
        <f t="shared" si="838"/>
        <v>26366.506481016822</v>
      </c>
      <c r="N365" s="190">
        <f t="shared" si="838"/>
        <v>28513.257530619452</v>
      </c>
      <c r="O365" s="190">
        <f t="shared" si="838"/>
        <v>28774.720799481307</v>
      </c>
      <c r="P365" s="190">
        <f t="shared" si="838"/>
        <v>26449.073829078465</v>
      </c>
      <c r="Q365" s="190">
        <f t="shared" si="838"/>
        <v>28774.720799481307</v>
      </c>
      <c r="R365" s="190">
        <f t="shared" si="838"/>
        <v>28430.69018255781</v>
      </c>
      <c r="S365" s="190">
        <f t="shared" si="838"/>
        <v>0</v>
      </c>
      <c r="T365" s="190">
        <f t="shared" si="838"/>
        <v>0</v>
      </c>
      <c r="U365" s="190">
        <f t="shared" si="838"/>
        <v>0</v>
      </c>
      <c r="V365" s="190">
        <f t="shared" si="838"/>
        <v>0</v>
      </c>
      <c r="W365" s="190">
        <f t="shared" si="838"/>
        <v>0</v>
      </c>
      <c r="X365" s="190">
        <f t="shared" si="838"/>
        <v>0</v>
      </c>
      <c r="Y365" s="190">
        <f t="shared" si="838"/>
        <v>0</v>
      </c>
      <c r="Z365" s="190">
        <f t="shared" si="838"/>
        <v>0</v>
      </c>
      <c r="AA365" s="175"/>
    </row>
    <row r="366" spans="1:27" outlineLevel="1" x14ac:dyDescent="0.25">
      <c r="A366" s="36" t="str">
        <f t="shared" si="676"/>
        <v>YANGZI DR75</v>
      </c>
      <c r="B366" s="36"/>
      <c r="D366" s="187" t="s">
        <v>48</v>
      </c>
      <c r="E366" s="196" t="str">
        <f>E362</f>
        <v>кг/час</v>
      </c>
      <c r="F366" s="74">
        <f>SUMIFS('ФОТ, МТР, макро'!$M$4:$M$31,'ФОТ, МТР, макро'!$J$4:$J$31,$A366)</f>
        <v>66.3</v>
      </c>
      <c r="G366" s="83">
        <f>F366</f>
        <v>66.3</v>
      </c>
      <c r="H366" s="83">
        <f t="shared" ref="H366" si="839">G366</f>
        <v>66.3</v>
      </c>
      <c r="I366" s="83">
        <f t="shared" ref="I366" si="840">H366</f>
        <v>66.3</v>
      </c>
      <c r="J366" s="83">
        <f t="shared" ref="J366" si="841">I366</f>
        <v>66.3</v>
      </c>
      <c r="K366" s="83">
        <f t="shared" ref="K366" si="842">J366</f>
        <v>66.3</v>
      </c>
      <c r="L366" s="83">
        <f t="shared" ref="L366" si="843">K366</f>
        <v>66.3</v>
      </c>
      <c r="M366" s="83">
        <f t="shared" ref="M366" si="844">L366</f>
        <v>66.3</v>
      </c>
      <c r="N366" s="83">
        <f t="shared" ref="N366" si="845">M366</f>
        <v>66.3</v>
      </c>
      <c r="O366" s="83">
        <f t="shared" ref="O366" si="846">N366</f>
        <v>66.3</v>
      </c>
      <c r="P366" s="83">
        <f t="shared" ref="P366" si="847">O366</f>
        <v>66.3</v>
      </c>
      <c r="Q366" s="83">
        <f t="shared" ref="Q366" si="848">P366</f>
        <v>66.3</v>
      </c>
      <c r="R366" s="83">
        <f t="shared" ref="R366" si="849">Q366</f>
        <v>66.3</v>
      </c>
      <c r="S366" s="83">
        <f t="shared" ref="S366" si="850">R366</f>
        <v>66.3</v>
      </c>
      <c r="T366" s="83">
        <f t="shared" ref="T366" si="851">S366</f>
        <v>66.3</v>
      </c>
      <c r="U366" s="83">
        <f t="shared" ref="U366" si="852">T366</f>
        <v>66.3</v>
      </c>
      <c r="V366" s="83">
        <f t="shared" ref="V366" si="853">U366</f>
        <v>66.3</v>
      </c>
      <c r="W366" s="83">
        <f t="shared" ref="W366" si="854">V366</f>
        <v>66.3</v>
      </c>
      <c r="X366" s="83">
        <f t="shared" ref="X366" si="855">W366</f>
        <v>66.3</v>
      </c>
      <c r="Y366" s="83">
        <f t="shared" ref="Y366" si="856">X366</f>
        <v>66.3</v>
      </c>
      <c r="Z366" s="83">
        <f t="shared" ref="Z366" si="857">Y366</f>
        <v>66.3</v>
      </c>
      <c r="AA366" s="175"/>
    </row>
    <row r="367" spans="1:27" outlineLevel="1" x14ac:dyDescent="0.25">
      <c r="A367" s="36" t="str">
        <f t="shared" si="676"/>
        <v>YANGZI DR75</v>
      </c>
      <c r="B367" s="36"/>
      <c r="D367" s="187" t="s">
        <v>49</v>
      </c>
      <c r="E367" s="196" t="str">
        <f t="shared" ref="E367:E368" si="858">E363</f>
        <v>т</v>
      </c>
      <c r="F367" s="83"/>
      <c r="G367" s="74">
        <f>G$3*G337*G366/1000</f>
        <v>437.10633817736795</v>
      </c>
      <c r="H367" s="74">
        <f t="shared" ref="H367:Z367" si="859">H$3*H337*H366/1000</f>
        <v>430.64458496635297</v>
      </c>
      <c r="I367" s="74">
        <f t="shared" si="859"/>
        <v>437.10633817736795</v>
      </c>
      <c r="J367" s="74">
        <f t="shared" si="859"/>
        <v>430.64458496635297</v>
      </c>
      <c r="K367" s="74">
        <f t="shared" si="859"/>
        <v>416.26197298054541</v>
      </c>
      <c r="L367" s="74">
        <f t="shared" si="859"/>
        <v>430.64458496635297</v>
      </c>
      <c r="M367" s="74">
        <f t="shared" si="859"/>
        <v>399.37803717111916</v>
      </c>
      <c r="N367" s="74">
        <f t="shared" si="859"/>
        <v>431.89524687816237</v>
      </c>
      <c r="O367" s="74">
        <f t="shared" si="859"/>
        <v>435.8556762655586</v>
      </c>
      <c r="P367" s="74">
        <f t="shared" si="859"/>
        <v>400.62869908292856</v>
      </c>
      <c r="Q367" s="74">
        <f t="shared" si="859"/>
        <v>435.8556762655586</v>
      </c>
      <c r="R367" s="74">
        <f t="shared" si="859"/>
        <v>430.64458496635297</v>
      </c>
      <c r="S367" s="74">
        <f t="shared" si="859"/>
        <v>0</v>
      </c>
      <c r="T367" s="74">
        <f t="shared" si="859"/>
        <v>0</v>
      </c>
      <c r="U367" s="74">
        <f t="shared" si="859"/>
        <v>0</v>
      </c>
      <c r="V367" s="74">
        <f t="shared" si="859"/>
        <v>0</v>
      </c>
      <c r="W367" s="74">
        <f t="shared" si="859"/>
        <v>0</v>
      </c>
      <c r="X367" s="74">
        <f t="shared" si="859"/>
        <v>0</v>
      </c>
      <c r="Y367" s="74">
        <f t="shared" si="859"/>
        <v>0</v>
      </c>
      <c r="Z367" s="74">
        <f t="shared" si="859"/>
        <v>0</v>
      </c>
      <c r="AA367" s="175"/>
    </row>
    <row r="368" spans="1:27" outlineLevel="1" x14ac:dyDescent="0.25">
      <c r="A368" s="36" t="str">
        <f t="shared" si="676"/>
        <v>YANGZI DR75</v>
      </c>
      <c r="B368" s="36"/>
      <c r="D368" s="187" t="s">
        <v>51</v>
      </c>
      <c r="E368" s="196" t="str">
        <f t="shared" si="858"/>
        <v>тыс. руб./т</v>
      </c>
      <c r="F368" s="83"/>
      <c r="G368" s="83">
        <f>G364</f>
        <v>66.018919487352079</v>
      </c>
      <c r="H368" s="83">
        <f t="shared" ref="H368:Z368" si="860">H364</f>
        <v>66.018919487352079</v>
      </c>
      <c r="I368" s="83">
        <f t="shared" si="860"/>
        <v>66.018919487352079</v>
      </c>
      <c r="J368" s="83">
        <f t="shared" si="860"/>
        <v>66.018919487352079</v>
      </c>
      <c r="K368" s="83">
        <f t="shared" si="860"/>
        <v>66.018919487352079</v>
      </c>
      <c r="L368" s="83">
        <f t="shared" si="860"/>
        <v>66.018919487352079</v>
      </c>
      <c r="M368" s="83">
        <f t="shared" si="860"/>
        <v>66.018919487352079</v>
      </c>
      <c r="N368" s="83">
        <f t="shared" si="860"/>
        <v>66.018919487352079</v>
      </c>
      <c r="O368" s="83">
        <f t="shared" si="860"/>
        <v>66.018919487352079</v>
      </c>
      <c r="P368" s="83">
        <f t="shared" si="860"/>
        <v>66.018919487352079</v>
      </c>
      <c r="Q368" s="83">
        <f t="shared" si="860"/>
        <v>66.018919487352079</v>
      </c>
      <c r="R368" s="83">
        <f t="shared" si="860"/>
        <v>66.018919487352079</v>
      </c>
      <c r="S368" s="83">
        <f t="shared" si="860"/>
        <v>66.018919487352079</v>
      </c>
      <c r="T368" s="83">
        <f t="shared" si="860"/>
        <v>66.018919487352079</v>
      </c>
      <c r="U368" s="83">
        <f t="shared" si="860"/>
        <v>66.018919487352079</v>
      </c>
      <c r="V368" s="83">
        <f t="shared" si="860"/>
        <v>66.018919487352079</v>
      </c>
      <c r="W368" s="83">
        <f t="shared" si="860"/>
        <v>66.018919487352079</v>
      </c>
      <c r="X368" s="83">
        <f t="shared" si="860"/>
        <v>66.018919487352079</v>
      </c>
      <c r="Y368" s="83">
        <f t="shared" si="860"/>
        <v>66.018919487352079</v>
      </c>
      <c r="Z368" s="83">
        <f t="shared" si="860"/>
        <v>66.018919487352079</v>
      </c>
      <c r="AA368" s="175"/>
    </row>
    <row r="369" spans="1:28" outlineLevel="1" x14ac:dyDescent="0.25">
      <c r="A369" s="36" t="str">
        <f t="shared" si="676"/>
        <v>YANGZI DR75</v>
      </c>
      <c r="B369" s="36"/>
      <c r="D369" s="63" t="s">
        <v>55</v>
      </c>
      <c r="E369" s="64" t="str">
        <f>E342</f>
        <v>тыс. руб.</v>
      </c>
      <c r="F369" s="70"/>
      <c r="G369" s="80">
        <f>G370+G371</f>
        <v>15710.122113662099</v>
      </c>
      <c r="H369" s="80">
        <f t="shared" ref="H369:Z369" si="861">H370+H371</f>
        <v>15710.122113662099</v>
      </c>
      <c r="I369" s="80">
        <f t="shared" si="861"/>
        <v>15710.122113662099</v>
      </c>
      <c r="J369" s="80">
        <f t="shared" si="861"/>
        <v>15710.122113662099</v>
      </c>
      <c r="K369" s="80">
        <f t="shared" si="861"/>
        <v>15710.122113662099</v>
      </c>
      <c r="L369" s="80">
        <f t="shared" si="861"/>
        <v>15710.122113662099</v>
      </c>
      <c r="M369" s="80">
        <f t="shared" si="861"/>
        <v>15710.122113662099</v>
      </c>
      <c r="N369" s="80">
        <f t="shared" si="861"/>
        <v>15710.122113662099</v>
      </c>
      <c r="O369" s="80">
        <f t="shared" si="861"/>
        <v>15710.122113662099</v>
      </c>
      <c r="P369" s="80">
        <f t="shared" si="861"/>
        <v>15710.122113662099</v>
      </c>
      <c r="Q369" s="80">
        <f t="shared" si="861"/>
        <v>15710.122113662099</v>
      </c>
      <c r="R369" s="80">
        <f t="shared" si="861"/>
        <v>15710.122113662099</v>
      </c>
      <c r="S369" s="80">
        <f t="shared" si="861"/>
        <v>0</v>
      </c>
      <c r="T369" s="80">
        <f t="shared" si="861"/>
        <v>0</v>
      </c>
      <c r="U369" s="80">
        <f t="shared" si="861"/>
        <v>0</v>
      </c>
      <c r="V369" s="80">
        <f t="shared" si="861"/>
        <v>0</v>
      </c>
      <c r="W369" s="80">
        <f t="shared" si="861"/>
        <v>0</v>
      </c>
      <c r="X369" s="80">
        <f t="shared" si="861"/>
        <v>0</v>
      </c>
      <c r="Y369" s="80">
        <f t="shared" si="861"/>
        <v>0</v>
      </c>
      <c r="Z369" s="80">
        <f t="shared" si="861"/>
        <v>0</v>
      </c>
      <c r="AA369" s="175"/>
    </row>
    <row r="370" spans="1:28" outlineLevel="1" x14ac:dyDescent="0.25">
      <c r="A370" s="36" t="str">
        <f t="shared" si="676"/>
        <v>YANGZI DR75</v>
      </c>
      <c r="B370" s="36"/>
      <c r="D370" s="187" t="s">
        <v>213</v>
      </c>
      <c r="E370" s="9" t="str">
        <f>E369</f>
        <v>тыс. руб.</v>
      </c>
      <c r="F370" s="74">
        <f>SUMIFS('ФОТ, МТР, макро'!$X$4:$X$31,'ФОТ, МТР, макро'!$W$4:$W$31,$A370)</f>
        <v>12529.553373000001</v>
      </c>
      <c r="G370" s="83">
        <f>IF(G338=0,0,$F370)</f>
        <v>12529.553373000001</v>
      </c>
      <c r="H370" s="83">
        <f t="shared" ref="H370:Z370" si="862">IF(H338=0,0,$F370)</f>
        <v>12529.553373000001</v>
      </c>
      <c r="I370" s="83">
        <f t="shared" si="862"/>
        <v>12529.553373000001</v>
      </c>
      <c r="J370" s="83">
        <f t="shared" si="862"/>
        <v>12529.553373000001</v>
      </c>
      <c r="K370" s="83">
        <f t="shared" si="862"/>
        <v>12529.553373000001</v>
      </c>
      <c r="L370" s="83">
        <f t="shared" si="862"/>
        <v>12529.553373000001</v>
      </c>
      <c r="M370" s="83">
        <f t="shared" si="862"/>
        <v>12529.553373000001</v>
      </c>
      <c r="N370" s="83">
        <f t="shared" si="862"/>
        <v>12529.553373000001</v>
      </c>
      <c r="O370" s="83">
        <f t="shared" si="862"/>
        <v>12529.553373000001</v>
      </c>
      <c r="P370" s="83">
        <f t="shared" si="862"/>
        <v>12529.553373000001</v>
      </c>
      <c r="Q370" s="83">
        <f t="shared" si="862"/>
        <v>12529.553373000001</v>
      </c>
      <c r="R370" s="83">
        <f t="shared" si="862"/>
        <v>12529.553373000001</v>
      </c>
      <c r="S370" s="83">
        <f t="shared" si="862"/>
        <v>0</v>
      </c>
      <c r="T370" s="83">
        <f t="shared" si="862"/>
        <v>0</v>
      </c>
      <c r="U370" s="83">
        <f t="shared" si="862"/>
        <v>0</v>
      </c>
      <c r="V370" s="83">
        <f t="shared" si="862"/>
        <v>0</v>
      </c>
      <c r="W370" s="83">
        <f t="shared" si="862"/>
        <v>0</v>
      </c>
      <c r="X370" s="83">
        <f t="shared" si="862"/>
        <v>0</v>
      </c>
      <c r="Y370" s="83">
        <f t="shared" si="862"/>
        <v>0</v>
      </c>
      <c r="Z370" s="83">
        <f t="shared" si="862"/>
        <v>0</v>
      </c>
      <c r="AA370" s="175"/>
    </row>
    <row r="371" spans="1:28" outlineLevel="1" x14ac:dyDescent="0.25">
      <c r="A371" s="36" t="str">
        <f t="shared" si="676"/>
        <v>YANGZI DR75</v>
      </c>
      <c r="B371" s="36"/>
      <c r="D371" s="187" t="s">
        <v>56</v>
      </c>
      <c r="E371" s="9"/>
      <c r="F371" s="74">
        <f>SUMIFS('ФОТ, МТР, макро'!$Y$4:$Y$31,'ФОТ, МТР, макро'!$W$4:$W$31,$A371)</f>
        <v>3180.5687406620973</v>
      </c>
      <c r="G371" s="83">
        <f t="shared" ref="G371:Z371" si="863">IF(G338=0,0,$F371)</f>
        <v>3180.5687406620973</v>
      </c>
      <c r="H371" s="83">
        <f t="shared" si="863"/>
        <v>3180.5687406620973</v>
      </c>
      <c r="I371" s="83">
        <f t="shared" si="863"/>
        <v>3180.5687406620973</v>
      </c>
      <c r="J371" s="83">
        <f t="shared" si="863"/>
        <v>3180.5687406620973</v>
      </c>
      <c r="K371" s="83">
        <f t="shared" si="863"/>
        <v>3180.5687406620973</v>
      </c>
      <c r="L371" s="83">
        <f t="shared" si="863"/>
        <v>3180.5687406620973</v>
      </c>
      <c r="M371" s="83">
        <f t="shared" si="863"/>
        <v>3180.5687406620973</v>
      </c>
      <c r="N371" s="83">
        <f t="shared" si="863"/>
        <v>3180.5687406620973</v>
      </c>
      <c r="O371" s="83">
        <f t="shared" si="863"/>
        <v>3180.5687406620973</v>
      </c>
      <c r="P371" s="83">
        <f t="shared" si="863"/>
        <v>3180.5687406620973</v>
      </c>
      <c r="Q371" s="83">
        <f t="shared" si="863"/>
        <v>3180.5687406620973</v>
      </c>
      <c r="R371" s="83">
        <f t="shared" si="863"/>
        <v>3180.5687406620973</v>
      </c>
      <c r="S371" s="83">
        <f t="shared" si="863"/>
        <v>0</v>
      </c>
      <c r="T371" s="83">
        <f t="shared" si="863"/>
        <v>0</v>
      </c>
      <c r="U371" s="83">
        <f t="shared" si="863"/>
        <v>0</v>
      </c>
      <c r="V371" s="83">
        <f t="shared" si="863"/>
        <v>0</v>
      </c>
      <c r="W371" s="83">
        <f t="shared" si="863"/>
        <v>0</v>
      </c>
      <c r="X371" s="83">
        <f t="shared" si="863"/>
        <v>0</v>
      </c>
      <c r="Y371" s="83">
        <f t="shared" si="863"/>
        <v>0</v>
      </c>
      <c r="Z371" s="83">
        <f t="shared" si="863"/>
        <v>0</v>
      </c>
      <c r="AA371" s="175"/>
    </row>
    <row r="372" spans="1:28" outlineLevel="1" x14ac:dyDescent="0.25">
      <c r="A372" s="36" t="str">
        <f t="shared" si="676"/>
        <v>YANGZI DR75</v>
      </c>
      <c r="B372" s="36"/>
      <c r="D372" s="85" t="s">
        <v>57</v>
      </c>
      <c r="E372" s="64" t="str">
        <f>E342</f>
        <v>тыс. руб.</v>
      </c>
      <c r="F372" s="70"/>
      <c r="G372" s="80">
        <f t="shared" ref="G372:Z372" si="864">IF(G338=0,0,G373*G374/1000)</f>
        <v>12</v>
      </c>
      <c r="H372" s="80">
        <f t="shared" si="864"/>
        <v>12</v>
      </c>
      <c r="I372" s="80">
        <f t="shared" si="864"/>
        <v>12</v>
      </c>
      <c r="J372" s="80">
        <f t="shared" si="864"/>
        <v>12</v>
      </c>
      <c r="K372" s="80">
        <f t="shared" si="864"/>
        <v>12</v>
      </c>
      <c r="L372" s="80">
        <f t="shared" si="864"/>
        <v>12</v>
      </c>
      <c r="M372" s="80">
        <f t="shared" si="864"/>
        <v>12</v>
      </c>
      <c r="N372" s="80">
        <f t="shared" si="864"/>
        <v>12</v>
      </c>
      <c r="O372" s="80">
        <f t="shared" si="864"/>
        <v>12</v>
      </c>
      <c r="P372" s="80">
        <f t="shared" si="864"/>
        <v>12</v>
      </c>
      <c r="Q372" s="80">
        <f t="shared" si="864"/>
        <v>12</v>
      </c>
      <c r="R372" s="80">
        <f t="shared" si="864"/>
        <v>12</v>
      </c>
      <c r="S372" s="80">
        <f t="shared" si="864"/>
        <v>0</v>
      </c>
      <c r="T372" s="80">
        <f t="shared" si="864"/>
        <v>0</v>
      </c>
      <c r="U372" s="80">
        <f t="shared" si="864"/>
        <v>0</v>
      </c>
      <c r="V372" s="80">
        <f t="shared" si="864"/>
        <v>0</v>
      </c>
      <c r="W372" s="80">
        <f t="shared" si="864"/>
        <v>0</v>
      </c>
      <c r="X372" s="80">
        <f t="shared" si="864"/>
        <v>0</v>
      </c>
      <c r="Y372" s="80">
        <f t="shared" si="864"/>
        <v>0</v>
      </c>
      <c r="Z372" s="80">
        <f t="shared" si="864"/>
        <v>0</v>
      </c>
      <c r="AA372" s="175"/>
    </row>
    <row r="373" spans="1:28" outlineLevel="1" x14ac:dyDescent="0.25">
      <c r="A373" s="36" t="str">
        <f t="shared" si="676"/>
        <v>YANGZI DR75</v>
      </c>
      <c r="B373" s="36"/>
      <c r="D373" s="30" t="s">
        <v>58</v>
      </c>
      <c r="E373" s="9" t="s">
        <v>10</v>
      </c>
      <c r="F373" s="74">
        <f>SUMIFS('ФОТ, МТР, макро'!$AB$4:$AB$31,'ФОТ, МТР, макро'!$W$4:$W$31,$A373)</f>
        <v>800</v>
      </c>
      <c r="G373" s="83">
        <f>F373</f>
        <v>800</v>
      </c>
      <c r="H373" s="83">
        <f t="shared" ref="H373:H374" si="865">G373</f>
        <v>800</v>
      </c>
      <c r="I373" s="83">
        <f t="shared" ref="I373:I374" si="866">H373</f>
        <v>800</v>
      </c>
      <c r="J373" s="83">
        <f t="shared" ref="J373:J374" si="867">I373</f>
        <v>800</v>
      </c>
      <c r="K373" s="83">
        <f t="shared" ref="K373:K374" si="868">J373</f>
        <v>800</v>
      </c>
      <c r="L373" s="83">
        <f t="shared" ref="L373:L374" si="869">K373</f>
        <v>800</v>
      </c>
      <c r="M373" s="83">
        <f t="shared" ref="M373:M374" si="870">L373</f>
        <v>800</v>
      </c>
      <c r="N373" s="83">
        <f t="shared" ref="N373:N374" si="871">M373</f>
        <v>800</v>
      </c>
      <c r="O373" s="83">
        <f t="shared" ref="O373:O374" si="872">N373</f>
        <v>800</v>
      </c>
      <c r="P373" s="83">
        <f t="shared" ref="P373:P374" si="873">O373</f>
        <v>800</v>
      </c>
      <c r="Q373" s="83">
        <f t="shared" ref="Q373:Q374" si="874">P373</f>
        <v>800</v>
      </c>
      <c r="R373" s="83">
        <f t="shared" ref="R373:R374" si="875">Q373</f>
        <v>800</v>
      </c>
      <c r="S373" s="83">
        <f t="shared" ref="S373:S374" si="876">R373</f>
        <v>800</v>
      </c>
      <c r="T373" s="83">
        <f t="shared" ref="T373:T374" si="877">S373</f>
        <v>800</v>
      </c>
      <c r="U373" s="83">
        <f t="shared" ref="U373:U374" si="878">T373</f>
        <v>800</v>
      </c>
      <c r="V373" s="83">
        <f t="shared" ref="V373:V374" si="879">U373</f>
        <v>800</v>
      </c>
      <c r="W373" s="83">
        <f t="shared" ref="W373:W374" si="880">V373</f>
        <v>800</v>
      </c>
      <c r="X373" s="83">
        <f t="shared" ref="X373:X374" si="881">W373</f>
        <v>800</v>
      </c>
      <c r="Y373" s="83">
        <f t="shared" ref="Y373:Y374" si="882">X373</f>
        <v>800</v>
      </c>
      <c r="Z373" s="83">
        <f t="shared" ref="Z373:Z374" si="883">Y373</f>
        <v>800</v>
      </c>
      <c r="AA373" s="175"/>
    </row>
    <row r="374" spans="1:28" outlineLevel="1" x14ac:dyDescent="0.25">
      <c r="A374" s="36" t="str">
        <f t="shared" si="676"/>
        <v>YANGZI DR75</v>
      </c>
      <c r="B374" s="36"/>
      <c r="D374" s="30" t="s">
        <v>59</v>
      </c>
      <c r="E374" s="9" t="s">
        <v>60</v>
      </c>
      <c r="F374" s="74">
        <f>SUMIFS('ФОТ, МТР, макро'!$AC$4:$AC$31,'ФОТ, МТР, макро'!$W$4:$W$31,$A374)</f>
        <v>15</v>
      </c>
      <c r="G374" s="83">
        <f>F374</f>
        <v>15</v>
      </c>
      <c r="H374" s="83">
        <f t="shared" si="865"/>
        <v>15</v>
      </c>
      <c r="I374" s="83">
        <f t="shared" si="866"/>
        <v>15</v>
      </c>
      <c r="J374" s="83">
        <f t="shared" si="867"/>
        <v>15</v>
      </c>
      <c r="K374" s="83">
        <f t="shared" si="868"/>
        <v>15</v>
      </c>
      <c r="L374" s="83">
        <f t="shared" si="869"/>
        <v>15</v>
      </c>
      <c r="M374" s="83">
        <f t="shared" si="870"/>
        <v>15</v>
      </c>
      <c r="N374" s="83">
        <f t="shared" si="871"/>
        <v>15</v>
      </c>
      <c r="O374" s="83">
        <f t="shared" si="872"/>
        <v>15</v>
      </c>
      <c r="P374" s="83">
        <f t="shared" si="873"/>
        <v>15</v>
      </c>
      <c r="Q374" s="83">
        <f t="shared" si="874"/>
        <v>15</v>
      </c>
      <c r="R374" s="83">
        <f t="shared" si="875"/>
        <v>15</v>
      </c>
      <c r="S374" s="83">
        <f t="shared" si="876"/>
        <v>15</v>
      </c>
      <c r="T374" s="83">
        <f t="shared" si="877"/>
        <v>15</v>
      </c>
      <c r="U374" s="83">
        <f t="shared" si="878"/>
        <v>15</v>
      </c>
      <c r="V374" s="83">
        <f t="shared" si="879"/>
        <v>15</v>
      </c>
      <c r="W374" s="83">
        <f t="shared" si="880"/>
        <v>15</v>
      </c>
      <c r="X374" s="83">
        <f t="shared" si="881"/>
        <v>15</v>
      </c>
      <c r="Y374" s="83">
        <f t="shared" si="882"/>
        <v>15</v>
      </c>
      <c r="Z374" s="83">
        <f t="shared" si="883"/>
        <v>15</v>
      </c>
      <c r="AA374" s="175"/>
    </row>
    <row r="375" spans="1:28" outlineLevel="1" x14ac:dyDescent="0.25">
      <c r="A375" s="36" t="str">
        <f t="shared" si="676"/>
        <v>YANGZI DR75</v>
      </c>
      <c r="B375" s="36"/>
      <c r="C375" s="86">
        <f>SUMIFS('ФОТ, МТР, макро'!$AF$4:$AF$31,'ФОТ, МТР, макро'!$W$4:$W$31,$A375)</f>
        <v>19.672131147540984</v>
      </c>
      <c r="D375" s="85" t="s">
        <v>61</v>
      </c>
      <c r="E375" s="64" t="str">
        <f>E342</f>
        <v>тыс. руб.</v>
      </c>
      <c r="F375" s="80"/>
      <c r="G375" s="87">
        <f>IF(G335&lt;=$C376,$F380*$C375%,"ОШИБКА")</f>
        <v>0</v>
      </c>
      <c r="H375" s="71">
        <f>IF(H335&lt;=$C376,$F380*$C375%,$F380-SUM($G375:G375))</f>
        <v>0</v>
      </c>
      <c r="I375" s="71">
        <f>IF(I335&lt;=$C376,$F380*$C375%,$F380-SUM($G375:H375))</f>
        <v>0</v>
      </c>
      <c r="J375" s="71">
        <f>IF(J335&lt;=$C376,$F380*$C375%,$F380-SUM($G375:I375))</f>
        <v>0</v>
      </c>
      <c r="K375" s="71">
        <f>IF(K335&lt;=$C376,$F380*$C375%,$F380-SUM($G375:J375))</f>
        <v>0</v>
      </c>
      <c r="L375" s="71">
        <f>IF(L335&lt;=$C376,$F380*$C375%,$F380-SUM($G375:K375))</f>
        <v>0</v>
      </c>
      <c r="M375" s="71">
        <f>IF(M335&lt;=$C376,$F380*$C375%,$F380-SUM($G375:L375))</f>
        <v>0</v>
      </c>
      <c r="N375" s="71">
        <f>IF(N335&lt;=$C376,$F380*$C375%,$F380-SUM($G375:M375))</f>
        <v>0</v>
      </c>
      <c r="O375" s="71">
        <f>IF(O335&lt;=$C376,$F380*$C375%,$F380-SUM($G375:N375))</f>
        <v>0</v>
      </c>
      <c r="P375" s="71">
        <f>IF(P335&lt;=$C376,$F380*$C375%,$F380-SUM($G375:O375))</f>
        <v>0</v>
      </c>
      <c r="Q375" s="71">
        <f>IF(Q335&lt;=$C376,$F380*$C375%,$F380-SUM($G375:P375))</f>
        <v>0</v>
      </c>
      <c r="R375" s="71">
        <f>IF(R335&lt;=$C376,$F380*$C375%,$F380-SUM($G375:Q375))</f>
        <v>0</v>
      </c>
      <c r="S375" s="71">
        <f>IF(S335&lt;=$C376,$F380*$C375%,$F380-SUM($G375:R375))</f>
        <v>0</v>
      </c>
      <c r="T375" s="71">
        <f>IF(T335&lt;=$C376,$F380*$C375%,$F380-SUM($G375:S375))</f>
        <v>0</v>
      </c>
      <c r="U375" s="71">
        <f>IF(U335&lt;=$C376,$F380*$C375%,$F380-SUM($G375:T375))</f>
        <v>0</v>
      </c>
      <c r="V375" s="71">
        <f>IF(V335&lt;=$C376,$F380*$C375%,$F380-SUM($G375:U375))</f>
        <v>0</v>
      </c>
      <c r="W375" s="71">
        <f>IF(W335&lt;=$C376,$F380*$C375%,$F380-SUM($G375:V375))</f>
        <v>0</v>
      </c>
      <c r="X375" s="71">
        <f>IF(X335&lt;=$C376,$F380*$C375%,$F380-SUM($G375:W375))</f>
        <v>0</v>
      </c>
      <c r="Y375" s="71">
        <f>IF(Y335&lt;=$C376,$F380*$C375%,$F380-SUM($G375:X375))</f>
        <v>0</v>
      </c>
      <c r="Z375" s="71">
        <f>IF(Z335&lt;=$C376,$F380*$C375%,$F380-SUM($G375:Y375))</f>
        <v>0</v>
      </c>
      <c r="AA375" s="175"/>
    </row>
    <row r="376" spans="1:28" outlineLevel="1" x14ac:dyDescent="0.25">
      <c r="A376" s="36" t="str">
        <f t="shared" si="676"/>
        <v>YANGZI DR75</v>
      </c>
      <c r="B376" s="36"/>
      <c r="C376" s="86">
        <f>SUMIFS('ФОТ, МТР, макро'!$AE$4:$AE$31,'ФОТ, МТР, макро'!$W$4:$W$31,$A376)/12</f>
        <v>5.083333333333333</v>
      </c>
      <c r="D376" s="85" t="s">
        <v>62</v>
      </c>
      <c r="E376" s="64" t="str">
        <f>E342</f>
        <v>тыс. руб.</v>
      </c>
      <c r="F376" s="65"/>
      <c r="G376" s="65">
        <f t="shared" ref="G376:Z376" si="884">SUM(G343,G348,G350,G354,G358,G360,G369,G372,G375)</f>
        <v>61868.849322184629</v>
      </c>
      <c r="H376" s="65">
        <f t="shared" si="884"/>
        <v>73635.753784051965</v>
      </c>
      <c r="I376" s="65">
        <f t="shared" si="884"/>
        <v>81116.849322184629</v>
      </c>
      <c r="J376" s="65">
        <f t="shared" si="884"/>
        <v>75635.753784051965</v>
      </c>
      <c r="K376" s="65">
        <f t="shared" si="884"/>
        <v>69278.218554014747</v>
      </c>
      <c r="L376" s="65">
        <f t="shared" si="884"/>
        <v>84155.75378405198</v>
      </c>
      <c r="M376" s="65">
        <f t="shared" si="884"/>
        <v>71889.807631797143</v>
      </c>
      <c r="N376" s="65">
        <f t="shared" si="884"/>
        <v>79739.191630142159</v>
      </c>
      <c r="O376" s="65">
        <f t="shared" si="884"/>
        <v>77685.411476094436</v>
      </c>
      <c r="P376" s="65">
        <f t="shared" si="884"/>
        <v>76633.245477887322</v>
      </c>
      <c r="Q376" s="65">
        <f t="shared" si="884"/>
        <v>72813.411476094436</v>
      </c>
      <c r="R376" s="65">
        <f t="shared" si="884"/>
        <v>78195.753784051965</v>
      </c>
      <c r="S376" s="65">
        <f t="shared" si="884"/>
        <v>0</v>
      </c>
      <c r="T376" s="65">
        <f t="shared" si="884"/>
        <v>0</v>
      </c>
      <c r="U376" s="65">
        <f t="shared" si="884"/>
        <v>0</v>
      </c>
      <c r="V376" s="65">
        <f t="shared" si="884"/>
        <v>0</v>
      </c>
      <c r="W376" s="65">
        <f t="shared" si="884"/>
        <v>0</v>
      </c>
      <c r="X376" s="65">
        <f t="shared" si="884"/>
        <v>0</v>
      </c>
      <c r="Y376" s="65">
        <f t="shared" si="884"/>
        <v>0</v>
      </c>
      <c r="Z376" s="65">
        <f t="shared" si="884"/>
        <v>0</v>
      </c>
      <c r="AA376" s="175"/>
      <c r="AB376" s="39"/>
    </row>
    <row r="377" spans="1:28" outlineLevel="1" x14ac:dyDescent="0.25">
      <c r="A377" s="36" t="str">
        <f t="shared" si="676"/>
        <v>YANGZI DR75</v>
      </c>
      <c r="B377" s="36"/>
      <c r="D377" s="85" t="s">
        <v>63</v>
      </c>
      <c r="E377" s="64" t="str">
        <f>E342</f>
        <v>тыс. руб.</v>
      </c>
      <c r="F377" s="65"/>
      <c r="G377" s="65">
        <f>-G376*'ФОТ, МТР, макро'!AJ$12</f>
        <v>-15467.212330546157</v>
      </c>
      <c r="H377" s="65">
        <f>-H376*'ФОТ, МТР, макро'!AK$12</f>
        <v>-18408.938446012991</v>
      </c>
      <c r="I377" s="65">
        <f>-I376*'ФОТ, МТР, макро'!AL$12</f>
        <v>-20279.212330546157</v>
      </c>
      <c r="J377" s="65">
        <f>-J376*'ФОТ, МТР, макро'!AM$12</f>
        <v>-18908.938446012991</v>
      </c>
      <c r="K377" s="65">
        <f>-K376*'ФОТ, МТР, макро'!AN$12</f>
        <v>-17319.554638503687</v>
      </c>
      <c r="L377" s="65">
        <f>-L376*'ФОТ, МТР, макро'!AO$12</f>
        <v>-21038.938446012995</v>
      </c>
      <c r="M377" s="65">
        <f>-M376*'ФОТ, МТР, макро'!AP$12</f>
        <v>-17972.451907949286</v>
      </c>
      <c r="N377" s="65">
        <f>-N376*'ФОТ, МТР, макро'!AQ$12</f>
        <v>-19934.79790753554</v>
      </c>
      <c r="O377" s="65">
        <f>-O376*'ФОТ, МТР, макро'!AR$12</f>
        <v>-19421.352869023609</v>
      </c>
      <c r="P377" s="65">
        <f>-P376*'ФОТ, МТР, макро'!AS$12</f>
        <v>-19158.31136947183</v>
      </c>
      <c r="Q377" s="65">
        <f>-Q376*'ФОТ, МТР, макро'!AT$12</f>
        <v>-18203.352869023609</v>
      </c>
      <c r="R377" s="65">
        <f>-R376*'ФОТ, МТР, макро'!AU$12</f>
        <v>-19548.938446012991</v>
      </c>
      <c r="S377" s="65">
        <f>-S376*'ФОТ, МТР, макро'!AV$12</f>
        <v>0</v>
      </c>
      <c r="T377" s="65">
        <f>-T376*'ФОТ, МТР, макро'!AW$12</f>
        <v>0</v>
      </c>
      <c r="U377" s="65">
        <f>-U376*'ФОТ, МТР, макро'!AX$12</f>
        <v>0</v>
      </c>
      <c r="V377" s="65">
        <f>-V376*'ФОТ, МТР, макро'!AY$12</f>
        <v>0</v>
      </c>
      <c r="W377" s="65">
        <f>-W376*'ФОТ, МТР, макро'!AZ$12</f>
        <v>0</v>
      </c>
      <c r="X377" s="65">
        <f>-X376*'ФОТ, МТР, макро'!BA$12</f>
        <v>0</v>
      </c>
      <c r="Y377" s="65">
        <f>-Y376*'ФОТ, МТР, макро'!BB$12</f>
        <v>0</v>
      </c>
      <c r="Z377" s="65">
        <f>-Z376*'ФОТ, МТР, макро'!BC$12</f>
        <v>0</v>
      </c>
      <c r="AA377" s="175"/>
    </row>
    <row r="378" spans="1:28" outlineLevel="1" x14ac:dyDescent="0.25">
      <c r="A378" s="36" t="str">
        <f t="shared" si="676"/>
        <v>YANGZI DR75</v>
      </c>
      <c r="B378" s="36"/>
      <c r="D378" s="88"/>
      <c r="E378" s="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175"/>
    </row>
    <row r="379" spans="1:28" outlineLevel="1" x14ac:dyDescent="0.25">
      <c r="A379" s="36" t="str">
        <f t="shared" si="676"/>
        <v>YANGZI DR75</v>
      </c>
      <c r="B379" s="36"/>
      <c r="D379" s="66" t="s">
        <v>64</v>
      </c>
      <c r="E379" s="67" t="str">
        <f>E342</f>
        <v>тыс. руб.</v>
      </c>
      <c r="F379" s="68">
        <f>F380</f>
        <v>0</v>
      </c>
      <c r="G379" s="68">
        <f t="shared" ref="G379:Z379" si="885">G380</f>
        <v>0</v>
      </c>
      <c r="H379" s="68">
        <f t="shared" si="885"/>
        <v>0</v>
      </c>
      <c r="I379" s="68">
        <f t="shared" si="885"/>
        <v>0</v>
      </c>
      <c r="J379" s="68">
        <f t="shared" si="885"/>
        <v>0</v>
      </c>
      <c r="K379" s="68">
        <f t="shared" si="885"/>
        <v>0</v>
      </c>
      <c r="L379" s="68">
        <f t="shared" si="885"/>
        <v>0</v>
      </c>
      <c r="M379" s="68">
        <f t="shared" si="885"/>
        <v>0</v>
      </c>
      <c r="N379" s="68">
        <f t="shared" si="885"/>
        <v>0</v>
      </c>
      <c r="O379" s="68">
        <f t="shared" si="885"/>
        <v>0</v>
      </c>
      <c r="P379" s="68">
        <f t="shared" si="885"/>
        <v>0</v>
      </c>
      <c r="Q379" s="68">
        <f t="shared" si="885"/>
        <v>0</v>
      </c>
      <c r="R379" s="68">
        <f t="shared" si="885"/>
        <v>0</v>
      </c>
      <c r="S379" s="68">
        <f t="shared" si="885"/>
        <v>0</v>
      </c>
      <c r="T379" s="68">
        <f t="shared" si="885"/>
        <v>0</v>
      </c>
      <c r="U379" s="68">
        <f t="shared" si="885"/>
        <v>0</v>
      </c>
      <c r="V379" s="68">
        <f t="shared" si="885"/>
        <v>0</v>
      </c>
      <c r="W379" s="68">
        <f t="shared" si="885"/>
        <v>0</v>
      </c>
      <c r="X379" s="68">
        <f t="shared" si="885"/>
        <v>0</v>
      </c>
      <c r="Y379" s="68">
        <f t="shared" si="885"/>
        <v>0</v>
      </c>
      <c r="Z379" s="68">
        <f t="shared" si="885"/>
        <v>0</v>
      </c>
      <c r="AA379" s="175"/>
    </row>
    <row r="380" spans="1:28" outlineLevel="1" x14ac:dyDescent="0.25">
      <c r="A380" s="36" t="str">
        <f t="shared" si="676"/>
        <v>YANGZI DR75</v>
      </c>
      <c r="B380" s="36"/>
      <c r="D380" s="88" t="s">
        <v>206</v>
      </c>
      <c r="E380" s="9" t="str">
        <f>E379</f>
        <v>тыс. руб.</v>
      </c>
      <c r="F380" s="74">
        <f>SUMIFS('Свод_250-270_диз'!$D$33:$P$33,'Свод_250-270_диз'!$D$19:$P$19,$A380)</f>
        <v>0</v>
      </c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175"/>
    </row>
    <row r="381" spans="1:28" outlineLevel="1" x14ac:dyDescent="0.25">
      <c r="A381" s="36" t="str">
        <f t="shared" si="676"/>
        <v>YANGZI DR75</v>
      </c>
      <c r="B381" s="36"/>
      <c r="D381" s="88"/>
      <c r="E381" s="9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175"/>
    </row>
    <row r="382" spans="1:28" outlineLevel="1" x14ac:dyDescent="0.25">
      <c r="A382" s="36" t="str">
        <f t="shared" si="676"/>
        <v>YANGZI DR75</v>
      </c>
      <c r="B382" s="36"/>
      <c r="D382" s="66" t="s">
        <v>65</v>
      </c>
      <c r="E382" s="67" t="str">
        <f>E342</f>
        <v>тыс. руб.</v>
      </c>
      <c r="F382" s="68">
        <f t="shared" ref="F382:Z382" si="886">F342+F379</f>
        <v>0</v>
      </c>
      <c r="G382" s="68">
        <f t="shared" si="886"/>
        <v>46401.636991638472</v>
      </c>
      <c r="H382" s="68">
        <f t="shared" si="886"/>
        <v>55226.81533803897</v>
      </c>
      <c r="I382" s="68">
        <f t="shared" si="886"/>
        <v>60837.636991638472</v>
      </c>
      <c r="J382" s="68">
        <f t="shared" si="886"/>
        <v>56726.81533803897</v>
      </c>
      <c r="K382" s="68">
        <f t="shared" si="886"/>
        <v>51958.663915511061</v>
      </c>
      <c r="L382" s="68">
        <f t="shared" si="886"/>
        <v>63116.815338038985</v>
      </c>
      <c r="M382" s="68">
        <f t="shared" si="886"/>
        <v>53917.355723847853</v>
      </c>
      <c r="N382" s="68">
        <f t="shared" si="886"/>
        <v>59804.393722606619</v>
      </c>
      <c r="O382" s="68">
        <f t="shared" si="886"/>
        <v>58264.058607070823</v>
      </c>
      <c r="P382" s="68">
        <f t="shared" si="886"/>
        <v>57474.934108415488</v>
      </c>
      <c r="Q382" s="68">
        <f t="shared" si="886"/>
        <v>54610.058607070823</v>
      </c>
      <c r="R382" s="68">
        <f t="shared" si="886"/>
        <v>58646.81533803897</v>
      </c>
      <c r="S382" s="68">
        <f t="shared" si="886"/>
        <v>0</v>
      </c>
      <c r="T382" s="68">
        <f t="shared" si="886"/>
        <v>0</v>
      </c>
      <c r="U382" s="68">
        <f t="shared" si="886"/>
        <v>0</v>
      </c>
      <c r="V382" s="68">
        <f t="shared" si="886"/>
        <v>0</v>
      </c>
      <c r="W382" s="68">
        <f t="shared" si="886"/>
        <v>0</v>
      </c>
      <c r="X382" s="68">
        <f t="shared" si="886"/>
        <v>0</v>
      </c>
      <c r="Y382" s="68">
        <f t="shared" si="886"/>
        <v>0</v>
      </c>
      <c r="Z382" s="68">
        <f t="shared" si="886"/>
        <v>0</v>
      </c>
      <c r="AA382" s="175"/>
    </row>
    <row r="383" spans="1:28" ht="27.2" outlineLevel="1" x14ac:dyDescent="0.25">
      <c r="A383" s="36" t="str">
        <f t="shared" si="676"/>
        <v>YANGZI DR75</v>
      </c>
      <c r="B383" s="36"/>
      <c r="D383" s="63" t="s">
        <v>66</v>
      </c>
      <c r="E383" s="64" t="str">
        <f>E382</f>
        <v>тыс. руб.</v>
      </c>
      <c r="F383" s="89"/>
      <c r="G383" s="65">
        <f>G342*'ФОТ, МТР, макро'!AJ$14</f>
        <v>41430.033028248632</v>
      </c>
      <c r="H383" s="65">
        <f>H342*'ФОТ, МТР, макро'!AK$14</f>
        <v>44026.479064125444</v>
      </c>
      <c r="I383" s="65">
        <f>I342*'ФОТ, МТР, макро'!AL$14</f>
        <v>43303.028334290764</v>
      </c>
      <c r="J383" s="65">
        <f>J342*'ФОТ, МТР, макро'!AM$14</f>
        <v>36050.916677656227</v>
      </c>
      <c r="K383" s="65">
        <f>K342*'ФОТ, МТР, макро'!AN$14</f>
        <v>29482.741292917879</v>
      </c>
      <c r="L383" s="65">
        <f>L342*'ФОТ, МТР, макро'!AO$14</f>
        <v>31976.942919852601</v>
      </c>
      <c r="M383" s="65">
        <f>M342*'ФОТ, МТР, макро'!AP$14</f>
        <v>24389.473554722736</v>
      </c>
      <c r="N383" s="65">
        <f>N342*'ФОТ, МТР, макро'!AQ$14</f>
        <v>24153.991584035481</v>
      </c>
      <c r="O383" s="65">
        <f>O342*'ФОТ, МТР, макро'!AR$14</f>
        <v>21010.603629824021</v>
      </c>
      <c r="P383" s="65">
        <f>P342*'ФОТ, МТР, макро'!AS$14</f>
        <v>18505.390557723524</v>
      </c>
      <c r="Q383" s="65">
        <f>Q342*'ФОТ, МТР, макро'!AT$14</f>
        <v>15699.086892969808</v>
      </c>
      <c r="R383" s="65">
        <f>R342*'ФОТ, МТР, макро'!AU$14</f>
        <v>15053.176777842216</v>
      </c>
      <c r="S383" s="65">
        <f>S342*'ФОТ, МТР, макро'!AV$14</f>
        <v>0</v>
      </c>
      <c r="T383" s="65">
        <f>T342*'ФОТ, МТР, макро'!AW$14</f>
        <v>0</v>
      </c>
      <c r="U383" s="65">
        <f>U342*'ФОТ, МТР, макро'!AX$14</f>
        <v>0</v>
      </c>
      <c r="V383" s="65">
        <f>V342*'ФОТ, МТР, макро'!AY$14</f>
        <v>0</v>
      </c>
      <c r="W383" s="65">
        <f>W342*'ФОТ, МТР, макро'!AZ$14</f>
        <v>0</v>
      </c>
      <c r="X383" s="65">
        <f>X342*'ФОТ, МТР, макро'!BA$14</f>
        <v>0</v>
      </c>
      <c r="Y383" s="65">
        <f>Y342*'ФОТ, МТР, макро'!BB$14</f>
        <v>0</v>
      </c>
      <c r="Z383" s="65">
        <f>Z342*'ФОТ, МТР, макро'!BC$14</f>
        <v>0</v>
      </c>
      <c r="AA383" s="175"/>
    </row>
    <row r="384" spans="1:28" outlineLevel="1" x14ac:dyDescent="0.25">
      <c r="A384" s="36" t="str">
        <f t="shared" si="676"/>
        <v>YANGZI DR75</v>
      </c>
      <c r="B384" s="36"/>
      <c r="D384" s="17" t="str">
        <f>D343</f>
        <v>ТО, ТР, ППР</v>
      </c>
      <c r="E384" s="9" t="str">
        <f>E383</f>
        <v>тыс. руб.</v>
      </c>
      <c r="F384" s="90"/>
      <c r="G384" s="70">
        <f>G343*'ФОТ, МТР, макро'!AJ$14</f>
        <v>12918.571428571428</v>
      </c>
      <c r="H384" s="70">
        <f>H343*'ФОТ, МТР, макро'!AK$14</f>
        <v>21288.265306122448</v>
      </c>
      <c r="I384" s="70">
        <f>I343*'ФОТ, МТР, макро'!AL$14</f>
        <v>23998.952259475212</v>
      </c>
      <c r="J384" s="70">
        <f>J343*'ФОТ, МТР, макро'!AM$14</f>
        <v>18241.910922532275</v>
      </c>
      <c r="K384" s="70">
        <f>K343*'ФОТ, МТР, макро'!AN$14</f>
        <v>13271.433243031175</v>
      </c>
      <c r="L384" s="70">
        <f>L343*'ФОТ, МТР, макро'!AO$14</f>
        <v>18858.83685470459</v>
      </c>
      <c r="M384" s="70">
        <f>M343*'ФОТ, МТР, макро'!AP$14</f>
        <v>12314.75503833159</v>
      </c>
      <c r="N384" s="70">
        <f>N343*'ФОТ, МТР, макро'!AQ$14</f>
        <v>13213.766793155424</v>
      </c>
      <c r="O384" s="70">
        <f>O343*'ФОТ, МТР, макро'!AR$14</f>
        <v>10953.89011884046</v>
      </c>
      <c r="P384" s="70">
        <f>P343*'ФОТ, МТР, макро'!AS$14</f>
        <v>10263.476468154298</v>
      </c>
      <c r="Q384" s="70">
        <f>Q343*'ФОТ, МТР, макро'!AT$14</f>
        <v>7331.7905589367074</v>
      </c>
      <c r="R384" s="70">
        <f>R343*'ФОТ, МТР, макро'!AU$14</f>
        <v>8024.6901058446429</v>
      </c>
      <c r="S384" s="70">
        <f>S343*'ФОТ, МТР, макро'!AV$14</f>
        <v>0</v>
      </c>
      <c r="T384" s="70">
        <f>T343*'ФОТ, МТР, макро'!AW$14</f>
        <v>0</v>
      </c>
      <c r="U384" s="70">
        <f>U343*'ФОТ, МТР, макро'!AX$14</f>
        <v>0</v>
      </c>
      <c r="V384" s="70">
        <f>V343*'ФОТ, МТР, макро'!AY$14</f>
        <v>0</v>
      </c>
      <c r="W384" s="70">
        <f>W343*'ФОТ, МТР, макро'!AZ$14</f>
        <v>0</v>
      </c>
      <c r="X384" s="70">
        <f>X343*'ФОТ, МТР, макро'!BA$14</f>
        <v>0</v>
      </c>
      <c r="Y384" s="70">
        <f>Y343*'ФОТ, МТР, макро'!BB$14</f>
        <v>0</v>
      </c>
      <c r="Z384" s="70">
        <f>Z343*'ФОТ, МТР, макро'!BC$14</f>
        <v>0</v>
      </c>
      <c r="AA384" s="175"/>
    </row>
    <row r="385" spans="1:27" outlineLevel="1" x14ac:dyDescent="0.25">
      <c r="A385" s="36" t="str">
        <f t="shared" si="676"/>
        <v>YANGZI DR75</v>
      </c>
      <c r="B385" s="36"/>
      <c r="D385" s="17" t="str">
        <f>D348</f>
        <v>Смазочные</v>
      </c>
      <c r="E385" s="9" t="str">
        <f t="shared" ref="E385:E392" si="887">E384</f>
        <v>тыс. руб.</v>
      </c>
      <c r="F385" s="90"/>
      <c r="G385" s="70">
        <f>G348*'ФОТ, МТР, макро'!AJ$14</f>
        <v>0</v>
      </c>
      <c r="H385" s="70">
        <f>H348*'ФОТ, МТР, макро'!AK$14</f>
        <v>0</v>
      </c>
      <c r="I385" s="70">
        <f>I348*'ФОТ, МТР, макро'!AL$14</f>
        <v>0</v>
      </c>
      <c r="J385" s="70">
        <f>J348*'ФОТ, МТР, макро'!AM$14</f>
        <v>0</v>
      </c>
      <c r="K385" s="70">
        <f>K348*'ФОТ, МТР, макро'!AN$14</f>
        <v>0</v>
      </c>
      <c r="L385" s="70">
        <f>L348*'ФОТ, МТР, макро'!AO$14</f>
        <v>0</v>
      </c>
      <c r="M385" s="70">
        <f>M348*'ФОТ, МТР, макро'!AP$14</f>
        <v>0</v>
      </c>
      <c r="N385" s="70">
        <f>N348*'ФОТ, МТР, макро'!AQ$14</f>
        <v>0</v>
      </c>
      <c r="O385" s="70">
        <f>O348*'ФОТ, МТР, макро'!AR$14</f>
        <v>0</v>
      </c>
      <c r="P385" s="70">
        <f>P348*'ФОТ, МТР, макро'!AS$14</f>
        <v>0</v>
      </c>
      <c r="Q385" s="70">
        <f>Q348*'ФОТ, МТР, макро'!AT$14</f>
        <v>0</v>
      </c>
      <c r="R385" s="70">
        <f>R348*'ФОТ, МТР, макро'!AU$14</f>
        <v>0</v>
      </c>
      <c r="S385" s="70">
        <f>S348*'ФОТ, МТР, макро'!AV$14</f>
        <v>0</v>
      </c>
      <c r="T385" s="70">
        <f>T348*'ФОТ, МТР, макро'!AW$14</f>
        <v>0</v>
      </c>
      <c r="U385" s="70">
        <f>U348*'ФОТ, МТР, макро'!AX$14</f>
        <v>0</v>
      </c>
      <c r="V385" s="70">
        <f>V348*'ФОТ, МТР, макро'!AY$14</f>
        <v>0</v>
      </c>
      <c r="W385" s="70">
        <f>W348*'ФОТ, МТР, макро'!AZ$14</f>
        <v>0</v>
      </c>
      <c r="X385" s="70">
        <f>X348*'ФОТ, МТР, макро'!BA$14</f>
        <v>0</v>
      </c>
      <c r="Y385" s="70">
        <f>Y348*'ФОТ, МТР, макро'!BB$14</f>
        <v>0</v>
      </c>
      <c r="Z385" s="70">
        <f>Z348*'ФОТ, МТР, макро'!BC$14</f>
        <v>0</v>
      </c>
      <c r="AA385" s="175"/>
    </row>
    <row r="386" spans="1:27" outlineLevel="1" x14ac:dyDescent="0.25">
      <c r="A386" s="36" t="str">
        <f t="shared" si="676"/>
        <v>YANGZI DR75</v>
      </c>
      <c r="B386" s="36"/>
      <c r="D386" s="17" t="str">
        <f>D350</f>
        <v>Долота</v>
      </c>
      <c r="E386" s="9" t="str">
        <f t="shared" si="887"/>
        <v>тыс. руб.</v>
      </c>
      <c r="F386" s="90"/>
      <c r="G386" s="70">
        <f>G350*'ФОТ, МТР, макро'!AJ$14</f>
        <v>0</v>
      </c>
      <c r="H386" s="70">
        <f>H350*'ФОТ, МТР, макро'!AK$14</f>
        <v>0</v>
      </c>
      <c r="I386" s="70">
        <f>I350*'ФОТ, МТР, макро'!AL$14</f>
        <v>0</v>
      </c>
      <c r="J386" s="70">
        <f>J350*'ФОТ, МТР, макро'!AM$14</f>
        <v>0</v>
      </c>
      <c r="K386" s="70">
        <f>K350*'ФОТ, МТР, макро'!AN$14</f>
        <v>0</v>
      </c>
      <c r="L386" s="70">
        <f>L350*'ФОТ, МТР, макро'!AO$14</f>
        <v>0</v>
      </c>
      <c r="M386" s="70">
        <f>M350*'ФОТ, МТР, макро'!AP$14</f>
        <v>0</v>
      </c>
      <c r="N386" s="70">
        <f>N350*'ФОТ, МТР, макро'!AQ$14</f>
        <v>0</v>
      </c>
      <c r="O386" s="70">
        <f>O350*'ФОТ, МТР, макро'!AR$14</f>
        <v>0</v>
      </c>
      <c r="P386" s="70">
        <f>P350*'ФОТ, МТР, макро'!AS$14</f>
        <v>0</v>
      </c>
      <c r="Q386" s="70">
        <f>Q350*'ФОТ, МТР, макро'!AT$14</f>
        <v>0</v>
      </c>
      <c r="R386" s="70">
        <f>R350*'ФОТ, МТР, макро'!AU$14</f>
        <v>0</v>
      </c>
      <c r="S386" s="70">
        <f>S350*'ФОТ, МТР, макро'!AV$14</f>
        <v>0</v>
      </c>
      <c r="T386" s="70">
        <f>T350*'ФОТ, МТР, макро'!AW$14</f>
        <v>0</v>
      </c>
      <c r="U386" s="70">
        <f>U350*'ФОТ, МТР, макро'!AX$14</f>
        <v>0</v>
      </c>
      <c r="V386" s="70">
        <f>V350*'ФОТ, МТР, макро'!AY$14</f>
        <v>0</v>
      </c>
      <c r="W386" s="70">
        <f>W350*'ФОТ, МТР, макро'!AZ$14</f>
        <v>0</v>
      </c>
      <c r="X386" s="70">
        <f>X350*'ФОТ, МТР, макро'!BA$14</f>
        <v>0</v>
      </c>
      <c r="Y386" s="70">
        <f>Y350*'ФОТ, МТР, макро'!BB$14</f>
        <v>0</v>
      </c>
      <c r="Z386" s="70">
        <f>Z350*'ФОТ, МТР, макро'!BC$14</f>
        <v>0</v>
      </c>
      <c r="AA386" s="175"/>
    </row>
    <row r="387" spans="1:27" outlineLevel="1" x14ac:dyDescent="0.25">
      <c r="A387" s="36" t="str">
        <f t="shared" si="676"/>
        <v>YANGZI DR75</v>
      </c>
      <c r="B387" s="36"/>
      <c r="D387" s="17" t="str">
        <f>D354</f>
        <v>Штанги буровые</v>
      </c>
      <c r="E387" s="9" t="str">
        <f t="shared" si="887"/>
        <v>тыс. руб.</v>
      </c>
      <c r="F387" s="90"/>
      <c r="G387" s="70">
        <f>G354*'ФОТ, МТР, макро'!AJ$14</f>
        <v>0</v>
      </c>
      <c r="H387" s="70">
        <f>H354*'ФОТ, МТР, макро'!AK$14</f>
        <v>0</v>
      </c>
      <c r="I387" s="70">
        <f>I354*'ФОТ, МТР, макро'!AL$14</f>
        <v>0</v>
      </c>
      <c r="J387" s="70">
        <f>J354*'ФОТ, МТР, макро'!AM$14</f>
        <v>0</v>
      </c>
      <c r="K387" s="70">
        <f>K354*'ФОТ, МТР, макро'!AN$14</f>
        <v>0</v>
      </c>
      <c r="L387" s="70">
        <f>L354*'ФОТ, МТР, макро'!AO$14</f>
        <v>0</v>
      </c>
      <c r="M387" s="70">
        <f>M354*'ФОТ, МТР, макро'!AP$14</f>
        <v>0</v>
      </c>
      <c r="N387" s="70">
        <f>N354*'ФОТ, МТР, макро'!AQ$14</f>
        <v>0</v>
      </c>
      <c r="O387" s="70">
        <f>O354*'ФОТ, МТР, макро'!AR$14</f>
        <v>0</v>
      </c>
      <c r="P387" s="70">
        <f>P354*'ФОТ, МТР, макро'!AS$14</f>
        <v>0</v>
      </c>
      <c r="Q387" s="70">
        <f>Q354*'ФОТ, МТР, макро'!AT$14</f>
        <v>0</v>
      </c>
      <c r="R387" s="70">
        <f>R354*'ФОТ, МТР, макро'!AU$14</f>
        <v>0</v>
      </c>
      <c r="S387" s="70">
        <f>S354*'ФОТ, МТР, макро'!AV$14</f>
        <v>0</v>
      </c>
      <c r="T387" s="70">
        <f>T354*'ФОТ, МТР, макро'!AW$14</f>
        <v>0</v>
      </c>
      <c r="U387" s="70">
        <f>U354*'ФОТ, МТР, макро'!AX$14</f>
        <v>0</v>
      </c>
      <c r="V387" s="70">
        <f>V354*'ФОТ, МТР, макро'!AY$14</f>
        <v>0</v>
      </c>
      <c r="W387" s="70">
        <f>W354*'ФОТ, МТР, макро'!AZ$14</f>
        <v>0</v>
      </c>
      <c r="X387" s="70">
        <f>X354*'ФОТ, МТР, макро'!BA$14</f>
        <v>0</v>
      </c>
      <c r="Y387" s="70">
        <f>Y354*'ФОТ, МТР, макро'!BB$14</f>
        <v>0</v>
      </c>
      <c r="Z387" s="70">
        <f>Z354*'ФОТ, МТР, макро'!BC$14</f>
        <v>0</v>
      </c>
      <c r="AA387" s="175"/>
    </row>
    <row r="388" spans="1:27" outlineLevel="1" x14ac:dyDescent="0.25">
      <c r="A388" s="36" t="str">
        <f t="shared" si="676"/>
        <v>YANGZI DR75</v>
      </c>
      <c r="B388" s="36"/>
      <c r="D388" s="17" t="str">
        <f>D358</f>
        <v>Расходники</v>
      </c>
      <c r="E388" s="9" t="str">
        <f t="shared" si="887"/>
        <v>тыс. руб.</v>
      </c>
      <c r="F388" s="90"/>
      <c r="G388" s="70">
        <f>G358*'ФОТ, МТР, макро'!AJ$14</f>
        <v>0</v>
      </c>
      <c r="H388" s="70">
        <f>H358*'ФОТ, МТР, макро'!AK$14</f>
        <v>0</v>
      </c>
      <c r="I388" s="70">
        <f>I358*'ФОТ, МТР, макро'!AL$14</f>
        <v>0</v>
      </c>
      <c r="J388" s="70">
        <f>J358*'ФОТ, МТР, макро'!AM$14</f>
        <v>0</v>
      </c>
      <c r="K388" s="70">
        <f>K358*'ФОТ, МТР, макро'!AN$14</f>
        <v>0</v>
      </c>
      <c r="L388" s="70">
        <f>L358*'ФОТ, МТР, макро'!AO$14</f>
        <v>0</v>
      </c>
      <c r="M388" s="70">
        <f>M358*'ФОТ, МТР, макро'!AP$14</f>
        <v>0</v>
      </c>
      <c r="N388" s="70">
        <f>N358*'ФОТ, МТР, макро'!AQ$14</f>
        <v>0</v>
      </c>
      <c r="O388" s="70">
        <f>O358*'ФОТ, МТР, макро'!AR$14</f>
        <v>0</v>
      </c>
      <c r="P388" s="70">
        <f>P358*'ФОТ, МТР, макро'!AS$14</f>
        <v>0</v>
      </c>
      <c r="Q388" s="70">
        <f>Q358*'ФОТ, МТР, макро'!AT$14</f>
        <v>0</v>
      </c>
      <c r="R388" s="70">
        <f>R358*'ФОТ, МТР, макро'!AU$14</f>
        <v>0</v>
      </c>
      <c r="S388" s="70">
        <f>S358*'ФОТ, МТР, макро'!AV$14</f>
        <v>0</v>
      </c>
      <c r="T388" s="70">
        <f>T358*'ФОТ, МТР, макро'!AW$14</f>
        <v>0</v>
      </c>
      <c r="U388" s="70">
        <f>U358*'ФОТ, МТР, макро'!AX$14</f>
        <v>0</v>
      </c>
      <c r="V388" s="70">
        <f>V358*'ФОТ, МТР, макро'!AY$14</f>
        <v>0</v>
      </c>
      <c r="W388" s="70">
        <f>W358*'ФОТ, МТР, макро'!AZ$14</f>
        <v>0</v>
      </c>
      <c r="X388" s="70">
        <f>X358*'ФОТ, МТР, макро'!BA$14</f>
        <v>0</v>
      </c>
      <c r="Y388" s="70">
        <f>Y358*'ФОТ, МТР, макро'!BB$14</f>
        <v>0</v>
      </c>
      <c r="Z388" s="70">
        <f>Z358*'ФОТ, МТР, макро'!BC$14</f>
        <v>0</v>
      </c>
      <c r="AA388" s="175"/>
    </row>
    <row r="389" spans="1:27" outlineLevel="1" x14ac:dyDescent="0.25">
      <c r="A389" s="36" t="str">
        <f t="shared" si="676"/>
        <v>YANGZI DR75</v>
      </c>
      <c r="B389" s="36"/>
      <c r="D389" s="17" t="str">
        <f>D360</f>
        <v>Топливо/Электроэнергия</v>
      </c>
      <c r="E389" s="9" t="str">
        <f t="shared" si="887"/>
        <v>тыс. руб.</v>
      </c>
      <c r="F389" s="90"/>
      <c r="G389" s="70">
        <f>G360*'ФОТ, МТР, макро'!AJ$14</f>
        <v>28283.863579037967</v>
      </c>
      <c r="H389" s="70">
        <f>H360*'ФОТ, МТР, макро'!AK$14</f>
        <v>24880.127288257219</v>
      </c>
      <c r="I389" s="70">
        <f>I360*'ФОТ, МТР, макро'!AL$14</f>
        <v>22547.722878697354</v>
      </c>
      <c r="J389" s="70">
        <f>J360*'ФОТ, МТР, макро'!AM$14</f>
        <v>19834.285146888724</v>
      </c>
      <c r="K389" s="70">
        <f>K360*'ФОТ, МТР, макро'!AN$14</f>
        <v>17117.734164680191</v>
      </c>
      <c r="L389" s="70">
        <f>L360*'ФОТ, МТР, макро'!AO$14</f>
        <v>15811.770684700832</v>
      </c>
      <c r="M389" s="70">
        <f>M360*'ФОТ, МТР, макро'!AP$14</f>
        <v>13092.653433086187</v>
      </c>
      <c r="N389" s="70">
        <f>N360*'ФОТ, МТР, макро'!AQ$14</f>
        <v>12641.653888940213</v>
      </c>
      <c r="O389" s="70">
        <f>O360*'ФОТ, МТР, макро'!AR$14</f>
        <v>11390.693206087104</v>
      </c>
      <c r="P389" s="70">
        <f>P360*'ФОТ, МТР, макро'!AS$14</f>
        <v>9348.2750658004607</v>
      </c>
      <c r="Q389" s="70">
        <f>Q360*'ФОТ, МТР, макро'!AT$14</f>
        <v>9080.5908849546413</v>
      </c>
      <c r="R389" s="70">
        <f>R360*'ФОТ, МТР, макро'!AU$14</f>
        <v>8010.735109788674</v>
      </c>
      <c r="S389" s="70">
        <f>S360*'ФОТ, МТР, макро'!AV$14</f>
        <v>0</v>
      </c>
      <c r="T389" s="70">
        <f>T360*'ФОТ, МТР, макро'!AW$14</f>
        <v>0</v>
      </c>
      <c r="U389" s="70">
        <f>U360*'ФОТ, МТР, макро'!AX$14</f>
        <v>0</v>
      </c>
      <c r="V389" s="70">
        <f>V360*'ФОТ, МТР, макро'!AY$14</f>
        <v>0</v>
      </c>
      <c r="W389" s="70">
        <f>W360*'ФОТ, МТР, макро'!AZ$14</f>
        <v>0</v>
      </c>
      <c r="X389" s="70">
        <f>X360*'ФОТ, МТР, макро'!BA$14</f>
        <v>0</v>
      </c>
      <c r="Y389" s="70">
        <f>Y360*'ФОТ, МТР, макро'!BB$14</f>
        <v>0</v>
      </c>
      <c r="Z389" s="70">
        <f>Z360*'ФОТ, МТР, макро'!BC$14</f>
        <v>0</v>
      </c>
      <c r="AA389" s="175"/>
    </row>
    <row r="390" spans="1:27" outlineLevel="1" x14ac:dyDescent="0.25">
      <c r="A390" s="36" t="str">
        <f t="shared" si="676"/>
        <v>YANGZI DR75</v>
      </c>
      <c r="B390" s="36"/>
      <c r="D390" s="17" t="str">
        <f>D369</f>
        <v>Затраты на персонал</v>
      </c>
      <c r="E390" s="9" t="str">
        <f t="shared" si="887"/>
        <v>тыс. руб.</v>
      </c>
      <c r="F390" s="90"/>
      <c r="G390" s="70">
        <f>G369*'ФОТ, МТР, макро'!AJ$14</f>
        <v>14026.894744341158</v>
      </c>
      <c r="H390" s="70">
        <f>H369*'ФОТ, МТР, макро'!AK$14</f>
        <v>12524.013164590318</v>
      </c>
      <c r="I390" s="70">
        <f>I369*'ФОТ, МТР, макро'!AL$14</f>
        <v>11182.154611241354</v>
      </c>
      <c r="J390" s="70">
        <f>J369*'ФОТ, МТР, макро'!AM$14</f>
        <v>9984.0666171797802</v>
      </c>
      <c r="K390" s="70">
        <f>K369*'ФОТ, МТР, макро'!AN$14</f>
        <v>8914.345193910518</v>
      </c>
      <c r="L390" s="70">
        <f>L369*'ФОТ, МТР, макро'!AO$14</f>
        <v>7959.2367802772478</v>
      </c>
      <c r="M390" s="70">
        <f>M369*'ФОТ, МТР, макро'!AP$14</f>
        <v>7106.4614109618278</v>
      </c>
      <c r="N390" s="70">
        <f>N369*'ФОТ, МТР, макро'!AQ$14</f>
        <v>6345.0548312159171</v>
      </c>
      <c r="O390" s="70">
        <f>O369*'ФОТ, МТР, макро'!AR$14</f>
        <v>5665.2275278713541</v>
      </c>
      <c r="P390" s="70">
        <f>P369*'ФОТ, МТР, макро'!AS$14</f>
        <v>5058.2388641708521</v>
      </c>
      <c r="Q390" s="70">
        <f>Q369*'ФОТ, МТР, макро'!AT$14</f>
        <v>4516.2847001525461</v>
      </c>
      <c r="R390" s="70">
        <f>R369*'ФОТ, МТР, макро'!AU$14</f>
        <v>4032.3970537076302</v>
      </c>
      <c r="S390" s="70">
        <f>S369*'ФОТ, МТР, макро'!AV$14</f>
        <v>0</v>
      </c>
      <c r="T390" s="70">
        <f>T369*'ФОТ, МТР, макро'!AW$14</f>
        <v>0</v>
      </c>
      <c r="U390" s="70">
        <f>U369*'ФОТ, МТР, макро'!AX$14</f>
        <v>0</v>
      </c>
      <c r="V390" s="70">
        <f>V369*'ФОТ, МТР, макро'!AY$14</f>
        <v>0</v>
      </c>
      <c r="W390" s="70">
        <f>W369*'ФОТ, МТР, макро'!AZ$14</f>
        <v>0</v>
      </c>
      <c r="X390" s="70">
        <f>X369*'ФОТ, МТР, макро'!BA$14</f>
        <v>0</v>
      </c>
      <c r="Y390" s="70">
        <f>Y369*'ФОТ, МТР, макро'!BB$14</f>
        <v>0</v>
      </c>
      <c r="Z390" s="70">
        <f>Z369*'ФОТ, МТР, макро'!BC$14</f>
        <v>0</v>
      </c>
      <c r="AA390" s="175"/>
    </row>
    <row r="391" spans="1:27" outlineLevel="1" x14ac:dyDescent="0.25">
      <c r="A391" s="36" t="str">
        <f t="shared" si="676"/>
        <v>YANGZI DR75</v>
      </c>
      <c r="B391" s="36"/>
      <c r="D391" s="17" t="str">
        <f>D372</f>
        <v>Транспортный налог</v>
      </c>
      <c r="E391" s="9" t="str">
        <f t="shared" si="887"/>
        <v>тыс. руб.</v>
      </c>
      <c r="F391" s="90"/>
      <c r="G391" s="70">
        <f>G372*'ФОТ, МТР, макро'!AJ$14</f>
        <v>10.714285714285714</v>
      </c>
      <c r="H391" s="70">
        <f>H372*'ФОТ, МТР, макро'!AK$14</f>
        <v>9.5663265306122423</v>
      </c>
      <c r="I391" s="70">
        <f>I372*'ФОТ, МТР, макро'!AL$14</f>
        <v>8.5413629737609309</v>
      </c>
      <c r="J391" s="70">
        <f>J372*'ФОТ, МТР, макро'!AM$14</f>
        <v>7.6262169408579732</v>
      </c>
      <c r="K391" s="70">
        <f>K372*'ФОТ, МТР, макро'!AN$14</f>
        <v>6.8091222686231898</v>
      </c>
      <c r="L391" s="70">
        <f>L372*'ФОТ, МТР, макро'!AO$14</f>
        <v>6.0795734541278481</v>
      </c>
      <c r="M391" s="70">
        <f>M372*'ФОТ, МТР, макро'!AP$14</f>
        <v>5.4281905840427207</v>
      </c>
      <c r="N391" s="70">
        <f>N372*'ФОТ, МТР, макро'!AQ$14</f>
        <v>4.8465987357524289</v>
      </c>
      <c r="O391" s="70">
        <f>O372*'ФОТ, МТР, макро'!AR$14</f>
        <v>4.3273202997789539</v>
      </c>
      <c r="P391" s="70">
        <f>P372*'ФОТ, МТР, макро'!AS$14</f>
        <v>3.8636788390883519</v>
      </c>
      <c r="Q391" s="70">
        <f>Q372*'ФОТ, МТР, макро'!AT$14</f>
        <v>3.4497132491860283</v>
      </c>
      <c r="R391" s="70">
        <f>R372*'ФОТ, МТР, макро'!AU$14</f>
        <v>3.080101115344668</v>
      </c>
      <c r="S391" s="70">
        <f>S372*'ФОТ, МТР, макро'!AV$14</f>
        <v>0</v>
      </c>
      <c r="T391" s="70">
        <f>T372*'ФОТ, МТР, макро'!AW$14</f>
        <v>0</v>
      </c>
      <c r="U391" s="70">
        <f>U372*'ФОТ, МТР, макро'!AX$14</f>
        <v>0</v>
      </c>
      <c r="V391" s="70">
        <f>V372*'ФОТ, МТР, макро'!AY$14</f>
        <v>0</v>
      </c>
      <c r="W391" s="70">
        <f>W372*'ФОТ, МТР, макро'!AZ$14</f>
        <v>0</v>
      </c>
      <c r="X391" s="70">
        <f>X372*'ФОТ, МТР, макро'!BA$14</f>
        <v>0</v>
      </c>
      <c r="Y391" s="70">
        <f>Y372*'ФОТ, МТР, макро'!BB$14</f>
        <v>0</v>
      </c>
      <c r="Z391" s="70">
        <f>Z372*'ФОТ, МТР, макро'!BC$14</f>
        <v>0</v>
      </c>
      <c r="AA391" s="175"/>
    </row>
    <row r="392" spans="1:27" outlineLevel="1" x14ac:dyDescent="0.25">
      <c r="A392" s="36" t="str">
        <f t="shared" si="676"/>
        <v>YANGZI DR75</v>
      </c>
      <c r="B392" s="36"/>
      <c r="D392" s="17" t="str">
        <f>D377</f>
        <v>Налог на прибыль</v>
      </c>
      <c r="E392" s="9" t="str">
        <f t="shared" si="887"/>
        <v>тыс. руб.</v>
      </c>
      <c r="F392" s="90"/>
      <c r="G392" s="70">
        <f>G377*'ФОТ, МТР, макро'!AJ$14</f>
        <v>-13810.01100941621</v>
      </c>
      <c r="H392" s="70">
        <f>H377*'ФОТ, МТР, макро'!AK$14</f>
        <v>-14675.493021375149</v>
      </c>
      <c r="I392" s="70">
        <f>I377*'ФОТ, МТР, макро'!AL$14</f>
        <v>-14434.342778096921</v>
      </c>
      <c r="J392" s="70">
        <f>J377*'ФОТ, МТР, макро'!AM$14</f>
        <v>-12016.972225885409</v>
      </c>
      <c r="K392" s="70">
        <f>K377*'ФОТ, МТР, макро'!AN$14</f>
        <v>-9827.5804309726263</v>
      </c>
      <c r="L392" s="70">
        <f>L377*'ФОТ, МТР, макро'!AO$14</f>
        <v>-10658.9809732842</v>
      </c>
      <c r="M392" s="70">
        <f>M377*'ФОТ, МТР, макро'!AP$14</f>
        <v>-8129.8245182409128</v>
      </c>
      <c r="N392" s="70">
        <f>N377*'ФОТ, МТР, макро'!AQ$14</f>
        <v>-8051.3305280118266</v>
      </c>
      <c r="O392" s="70">
        <f>O377*'ФОТ, МТР, макро'!AR$14</f>
        <v>-7003.5345432746744</v>
      </c>
      <c r="P392" s="70">
        <f>P377*'ФОТ, МТР, макро'!AS$14</f>
        <v>-6168.4635192411743</v>
      </c>
      <c r="Q392" s="70">
        <f>Q377*'ФОТ, МТР, макро'!AT$14</f>
        <v>-5233.02896432327</v>
      </c>
      <c r="R392" s="70">
        <f>R377*'ФОТ, МТР, макро'!AU$14</f>
        <v>-5017.7255926140724</v>
      </c>
      <c r="S392" s="70">
        <f>S377*'ФОТ, МТР, макро'!AV$14</f>
        <v>0</v>
      </c>
      <c r="T392" s="70">
        <f>T377*'ФОТ, МТР, макро'!AW$14</f>
        <v>0</v>
      </c>
      <c r="U392" s="70">
        <f>U377*'ФОТ, МТР, макро'!AX$14</f>
        <v>0</v>
      </c>
      <c r="V392" s="70">
        <f>V377*'ФОТ, МТР, макро'!AY$14</f>
        <v>0</v>
      </c>
      <c r="W392" s="70">
        <f>W377*'ФОТ, МТР, макро'!AZ$14</f>
        <v>0</v>
      </c>
      <c r="X392" s="70">
        <f>X377*'ФОТ, МТР, макро'!BA$14</f>
        <v>0</v>
      </c>
      <c r="Y392" s="70">
        <f>Y377*'ФОТ, МТР, макро'!BB$14</f>
        <v>0</v>
      </c>
      <c r="Z392" s="70">
        <f>Z377*'ФОТ, МТР, макро'!BC$14</f>
        <v>0</v>
      </c>
      <c r="AA392" s="175"/>
    </row>
    <row r="393" spans="1:27" outlineLevel="1" x14ac:dyDescent="0.25">
      <c r="A393" s="36" t="str">
        <f t="shared" si="676"/>
        <v>YANGZI DR75</v>
      </c>
      <c r="B393" s="36"/>
      <c r="D393" s="91" t="s">
        <v>67</v>
      </c>
      <c r="E393" s="9"/>
      <c r="F393" s="92"/>
      <c r="G393" s="93">
        <f>G383-SUM(G384:G392)</f>
        <v>0</v>
      </c>
      <c r="H393" s="93">
        <f t="shared" ref="H393:Z393" si="888">H383-SUM(H384:H392)</f>
        <v>0</v>
      </c>
      <c r="I393" s="93">
        <f t="shared" si="888"/>
        <v>0</v>
      </c>
      <c r="J393" s="93">
        <f t="shared" si="888"/>
        <v>0</v>
      </c>
      <c r="K393" s="93">
        <f t="shared" si="888"/>
        <v>0</v>
      </c>
      <c r="L393" s="93">
        <f t="shared" si="888"/>
        <v>0</v>
      </c>
      <c r="M393" s="93">
        <f t="shared" si="888"/>
        <v>0</v>
      </c>
      <c r="N393" s="93">
        <f t="shared" si="888"/>
        <v>0</v>
      </c>
      <c r="O393" s="93">
        <f t="shared" si="888"/>
        <v>0</v>
      </c>
      <c r="P393" s="93">
        <f t="shared" si="888"/>
        <v>0</v>
      </c>
      <c r="Q393" s="93">
        <f t="shared" si="888"/>
        <v>0</v>
      </c>
      <c r="R393" s="93">
        <f t="shared" si="888"/>
        <v>0</v>
      </c>
      <c r="S393" s="93">
        <f t="shared" si="888"/>
        <v>0</v>
      </c>
      <c r="T393" s="93">
        <f t="shared" si="888"/>
        <v>0</v>
      </c>
      <c r="U393" s="93">
        <f t="shared" si="888"/>
        <v>0</v>
      </c>
      <c r="V393" s="93">
        <f t="shared" si="888"/>
        <v>0</v>
      </c>
      <c r="W393" s="93">
        <f t="shared" si="888"/>
        <v>0</v>
      </c>
      <c r="X393" s="93">
        <f t="shared" si="888"/>
        <v>0</v>
      </c>
      <c r="Y393" s="93">
        <f t="shared" si="888"/>
        <v>0</v>
      </c>
      <c r="Z393" s="93">
        <f t="shared" si="888"/>
        <v>0</v>
      </c>
      <c r="AA393" s="175"/>
    </row>
    <row r="394" spans="1:27" ht="27.2" outlineLevel="1" x14ac:dyDescent="0.25">
      <c r="A394" s="36" t="str">
        <f t="shared" si="676"/>
        <v>YANGZI DR75</v>
      </c>
      <c r="B394" s="36"/>
      <c r="D394" s="94" t="s">
        <v>68</v>
      </c>
      <c r="E394" s="64" t="str">
        <f>E383</f>
        <v>тыс. руб.</v>
      </c>
      <c r="F394" s="65">
        <f>F383</f>
        <v>0</v>
      </c>
      <c r="G394" s="65">
        <f>F394+G383</f>
        <v>41430.033028248632</v>
      </c>
      <c r="H394" s="65">
        <f t="shared" ref="H394:H403" si="889">G394+H383</f>
        <v>85456.512092374076</v>
      </c>
      <c r="I394" s="65">
        <f t="shared" ref="I394:I403" si="890">H394+I383</f>
        <v>128759.54042666484</v>
      </c>
      <c r="J394" s="65">
        <f t="shared" ref="J394:J403" si="891">I394+J383</f>
        <v>164810.45710432107</v>
      </c>
      <c r="K394" s="65">
        <f t="shared" ref="K394:K403" si="892">J394+K383</f>
        <v>194293.19839723894</v>
      </c>
      <c r="L394" s="65">
        <f t="shared" ref="L394:L403" si="893">K394+L383</f>
        <v>226270.14131709153</v>
      </c>
      <c r="M394" s="65">
        <f t="shared" ref="M394:M403" si="894">L394+M383</f>
        <v>250659.61487181426</v>
      </c>
      <c r="N394" s="65">
        <f t="shared" ref="N394:N403" si="895">M394+N383</f>
        <v>274813.60645584972</v>
      </c>
      <c r="O394" s="65">
        <f t="shared" ref="O394:O403" si="896">N394+O383</f>
        <v>295824.21008567372</v>
      </c>
      <c r="P394" s="65">
        <f t="shared" ref="P394:P403" si="897">O394+P383</f>
        <v>314329.60064339725</v>
      </c>
      <c r="Q394" s="65">
        <f t="shared" ref="Q394:Q403" si="898">P394+Q383</f>
        <v>330028.68753636704</v>
      </c>
      <c r="R394" s="65">
        <f t="shared" ref="R394:R403" si="899">Q394+R383</f>
        <v>345081.86431420926</v>
      </c>
      <c r="S394" s="65">
        <f t="shared" ref="S394:S403" si="900">R394+S383</f>
        <v>345081.86431420926</v>
      </c>
      <c r="T394" s="65">
        <f t="shared" ref="T394:T403" si="901">S394+T383</f>
        <v>345081.86431420926</v>
      </c>
      <c r="U394" s="65">
        <f t="shared" ref="U394:U403" si="902">T394+U383</f>
        <v>345081.86431420926</v>
      </c>
      <c r="V394" s="65">
        <f t="shared" ref="V394:V403" si="903">U394+V383</f>
        <v>345081.86431420926</v>
      </c>
      <c r="W394" s="65">
        <f t="shared" ref="W394:W403" si="904">V394+W383</f>
        <v>345081.86431420926</v>
      </c>
      <c r="X394" s="65">
        <f t="shared" ref="X394:X403" si="905">W394+X383</f>
        <v>345081.86431420926</v>
      </c>
      <c r="Y394" s="65">
        <f t="shared" ref="Y394:Y403" si="906">X394+Y383</f>
        <v>345081.86431420926</v>
      </c>
      <c r="Z394" s="65">
        <f t="shared" ref="Z394:Z403" si="907">Y394+Z383</f>
        <v>345081.86431420926</v>
      </c>
      <c r="AA394" s="175"/>
    </row>
    <row r="395" spans="1:27" outlineLevel="1" x14ac:dyDescent="0.25">
      <c r="A395" s="36" t="str">
        <f t="shared" si="676"/>
        <v>YANGZI DR75</v>
      </c>
      <c r="B395" s="36"/>
      <c r="D395" s="201" t="str">
        <f>D384</f>
        <v>ТО, ТР, ППР</v>
      </c>
      <c r="E395" s="196" t="str">
        <f>E384</f>
        <v>тыс. руб.</v>
      </c>
      <c r="F395" s="83">
        <f>F384</f>
        <v>0</v>
      </c>
      <c r="G395" s="83">
        <f>F395+G384</f>
        <v>12918.571428571428</v>
      </c>
      <c r="H395" s="83">
        <f t="shared" si="889"/>
        <v>34206.836734693876</v>
      </c>
      <c r="I395" s="83">
        <f t="shared" si="890"/>
        <v>58205.788994169088</v>
      </c>
      <c r="J395" s="83">
        <f t="shared" si="891"/>
        <v>76447.699916701356</v>
      </c>
      <c r="K395" s="83">
        <f t="shared" si="892"/>
        <v>89719.133159732533</v>
      </c>
      <c r="L395" s="83">
        <f t="shared" si="893"/>
        <v>108577.97001443713</v>
      </c>
      <c r="M395" s="83">
        <f t="shared" si="894"/>
        <v>120892.72505276871</v>
      </c>
      <c r="N395" s="83">
        <f t="shared" si="895"/>
        <v>134106.49184592415</v>
      </c>
      <c r="O395" s="83">
        <f t="shared" si="896"/>
        <v>145060.38196476462</v>
      </c>
      <c r="P395" s="83">
        <f t="shared" si="897"/>
        <v>155323.8584329189</v>
      </c>
      <c r="Q395" s="83">
        <f t="shared" si="898"/>
        <v>162655.64899185562</v>
      </c>
      <c r="R395" s="83">
        <f t="shared" si="899"/>
        <v>170680.33909770026</v>
      </c>
      <c r="S395" s="83">
        <f t="shared" si="900"/>
        <v>170680.33909770026</v>
      </c>
      <c r="T395" s="83">
        <f t="shared" si="901"/>
        <v>170680.33909770026</v>
      </c>
      <c r="U395" s="83">
        <f t="shared" si="902"/>
        <v>170680.33909770026</v>
      </c>
      <c r="V395" s="83">
        <f t="shared" si="903"/>
        <v>170680.33909770026</v>
      </c>
      <c r="W395" s="83">
        <f t="shared" si="904"/>
        <v>170680.33909770026</v>
      </c>
      <c r="X395" s="83">
        <f t="shared" si="905"/>
        <v>170680.33909770026</v>
      </c>
      <c r="Y395" s="83">
        <f t="shared" si="906"/>
        <v>170680.33909770026</v>
      </c>
      <c r="Z395" s="83">
        <f t="shared" si="907"/>
        <v>170680.33909770026</v>
      </c>
      <c r="AA395" s="175"/>
    </row>
    <row r="396" spans="1:27" outlineLevel="1" x14ac:dyDescent="0.25">
      <c r="A396" s="36" t="str">
        <f t="shared" si="676"/>
        <v>YANGZI DR75</v>
      </c>
      <c r="B396" s="36"/>
      <c r="D396" s="201" t="str">
        <f t="shared" ref="D396:F396" si="908">D385</f>
        <v>Смазочные</v>
      </c>
      <c r="E396" s="196" t="str">
        <f t="shared" si="908"/>
        <v>тыс. руб.</v>
      </c>
      <c r="F396" s="83">
        <f t="shared" si="908"/>
        <v>0</v>
      </c>
      <c r="G396" s="83">
        <f t="shared" ref="G396:G403" si="909">F396+G385</f>
        <v>0</v>
      </c>
      <c r="H396" s="83">
        <f t="shared" si="889"/>
        <v>0</v>
      </c>
      <c r="I396" s="83">
        <f t="shared" si="890"/>
        <v>0</v>
      </c>
      <c r="J396" s="83">
        <f t="shared" si="891"/>
        <v>0</v>
      </c>
      <c r="K396" s="83">
        <f t="shared" si="892"/>
        <v>0</v>
      </c>
      <c r="L396" s="83">
        <f t="shared" si="893"/>
        <v>0</v>
      </c>
      <c r="M396" s="83">
        <f t="shared" si="894"/>
        <v>0</v>
      </c>
      <c r="N396" s="83">
        <f t="shared" si="895"/>
        <v>0</v>
      </c>
      <c r="O396" s="83">
        <f t="shared" si="896"/>
        <v>0</v>
      </c>
      <c r="P396" s="83">
        <f t="shared" si="897"/>
        <v>0</v>
      </c>
      <c r="Q396" s="83">
        <f t="shared" si="898"/>
        <v>0</v>
      </c>
      <c r="R396" s="83">
        <f t="shared" si="899"/>
        <v>0</v>
      </c>
      <c r="S396" s="83">
        <f t="shared" si="900"/>
        <v>0</v>
      </c>
      <c r="T396" s="83">
        <f t="shared" si="901"/>
        <v>0</v>
      </c>
      <c r="U396" s="83">
        <f t="shared" si="902"/>
        <v>0</v>
      </c>
      <c r="V396" s="83">
        <f t="shared" si="903"/>
        <v>0</v>
      </c>
      <c r="W396" s="83">
        <f t="shared" si="904"/>
        <v>0</v>
      </c>
      <c r="X396" s="83">
        <f t="shared" si="905"/>
        <v>0</v>
      </c>
      <c r="Y396" s="83">
        <f t="shared" si="906"/>
        <v>0</v>
      </c>
      <c r="Z396" s="83">
        <f t="shared" si="907"/>
        <v>0</v>
      </c>
      <c r="AA396" s="175"/>
    </row>
    <row r="397" spans="1:27" outlineLevel="1" x14ac:dyDescent="0.25">
      <c r="A397" s="36" t="str">
        <f t="shared" si="676"/>
        <v>YANGZI DR75</v>
      </c>
      <c r="B397" s="36"/>
      <c r="D397" s="201" t="str">
        <f t="shared" ref="D397:F397" si="910">D386</f>
        <v>Долота</v>
      </c>
      <c r="E397" s="196" t="str">
        <f t="shared" si="910"/>
        <v>тыс. руб.</v>
      </c>
      <c r="F397" s="83">
        <f t="shared" si="910"/>
        <v>0</v>
      </c>
      <c r="G397" s="83">
        <f t="shared" si="909"/>
        <v>0</v>
      </c>
      <c r="H397" s="83">
        <f t="shared" si="889"/>
        <v>0</v>
      </c>
      <c r="I397" s="83">
        <f t="shared" si="890"/>
        <v>0</v>
      </c>
      <c r="J397" s="83">
        <f t="shared" si="891"/>
        <v>0</v>
      </c>
      <c r="K397" s="83">
        <f t="shared" si="892"/>
        <v>0</v>
      </c>
      <c r="L397" s="83">
        <f t="shared" si="893"/>
        <v>0</v>
      </c>
      <c r="M397" s="83">
        <f t="shared" si="894"/>
        <v>0</v>
      </c>
      <c r="N397" s="83">
        <f t="shared" si="895"/>
        <v>0</v>
      </c>
      <c r="O397" s="83">
        <f t="shared" si="896"/>
        <v>0</v>
      </c>
      <c r="P397" s="83">
        <f t="shared" si="897"/>
        <v>0</v>
      </c>
      <c r="Q397" s="83">
        <f t="shared" si="898"/>
        <v>0</v>
      </c>
      <c r="R397" s="83">
        <f t="shared" si="899"/>
        <v>0</v>
      </c>
      <c r="S397" s="83">
        <f t="shared" si="900"/>
        <v>0</v>
      </c>
      <c r="T397" s="83">
        <f t="shared" si="901"/>
        <v>0</v>
      </c>
      <c r="U397" s="83">
        <f t="shared" si="902"/>
        <v>0</v>
      </c>
      <c r="V397" s="83">
        <f t="shared" si="903"/>
        <v>0</v>
      </c>
      <c r="W397" s="83">
        <f t="shared" si="904"/>
        <v>0</v>
      </c>
      <c r="X397" s="83">
        <f t="shared" si="905"/>
        <v>0</v>
      </c>
      <c r="Y397" s="83">
        <f t="shared" si="906"/>
        <v>0</v>
      </c>
      <c r="Z397" s="83">
        <f t="shared" si="907"/>
        <v>0</v>
      </c>
      <c r="AA397" s="175"/>
    </row>
    <row r="398" spans="1:27" outlineLevel="1" x14ac:dyDescent="0.25">
      <c r="A398" s="36" t="str">
        <f t="shared" si="676"/>
        <v>YANGZI DR75</v>
      </c>
      <c r="B398" s="36"/>
      <c r="D398" s="201" t="str">
        <f t="shared" ref="D398:F398" si="911">D387</f>
        <v>Штанги буровые</v>
      </c>
      <c r="E398" s="196" t="str">
        <f t="shared" si="911"/>
        <v>тыс. руб.</v>
      </c>
      <c r="F398" s="83">
        <f t="shared" si="911"/>
        <v>0</v>
      </c>
      <c r="G398" s="83">
        <f t="shared" si="909"/>
        <v>0</v>
      </c>
      <c r="H398" s="83">
        <f t="shared" si="889"/>
        <v>0</v>
      </c>
      <c r="I398" s="83">
        <f t="shared" si="890"/>
        <v>0</v>
      </c>
      <c r="J398" s="83">
        <f t="shared" si="891"/>
        <v>0</v>
      </c>
      <c r="K398" s="83">
        <f t="shared" si="892"/>
        <v>0</v>
      </c>
      <c r="L398" s="83">
        <f t="shared" si="893"/>
        <v>0</v>
      </c>
      <c r="M398" s="83">
        <f t="shared" si="894"/>
        <v>0</v>
      </c>
      <c r="N398" s="83">
        <f t="shared" si="895"/>
        <v>0</v>
      </c>
      <c r="O398" s="83">
        <f t="shared" si="896"/>
        <v>0</v>
      </c>
      <c r="P398" s="83">
        <f t="shared" si="897"/>
        <v>0</v>
      </c>
      <c r="Q398" s="83">
        <f t="shared" si="898"/>
        <v>0</v>
      </c>
      <c r="R398" s="83">
        <f t="shared" si="899"/>
        <v>0</v>
      </c>
      <c r="S398" s="83">
        <f t="shared" si="900"/>
        <v>0</v>
      </c>
      <c r="T398" s="83">
        <f t="shared" si="901"/>
        <v>0</v>
      </c>
      <c r="U398" s="83">
        <f t="shared" si="902"/>
        <v>0</v>
      </c>
      <c r="V398" s="83">
        <f t="shared" si="903"/>
        <v>0</v>
      </c>
      <c r="W398" s="83">
        <f t="shared" si="904"/>
        <v>0</v>
      </c>
      <c r="X398" s="83">
        <f t="shared" si="905"/>
        <v>0</v>
      </c>
      <c r="Y398" s="83">
        <f t="shared" si="906"/>
        <v>0</v>
      </c>
      <c r="Z398" s="83">
        <f t="shared" si="907"/>
        <v>0</v>
      </c>
      <c r="AA398" s="175"/>
    </row>
    <row r="399" spans="1:27" outlineLevel="1" x14ac:dyDescent="0.25">
      <c r="A399" s="36" t="str">
        <f t="shared" si="676"/>
        <v>YANGZI DR75</v>
      </c>
      <c r="B399" s="36"/>
      <c r="D399" s="201" t="str">
        <f t="shared" ref="D399:F399" si="912">D388</f>
        <v>Расходники</v>
      </c>
      <c r="E399" s="196" t="str">
        <f t="shared" si="912"/>
        <v>тыс. руб.</v>
      </c>
      <c r="F399" s="83">
        <f t="shared" si="912"/>
        <v>0</v>
      </c>
      <c r="G399" s="83">
        <f t="shared" si="909"/>
        <v>0</v>
      </c>
      <c r="H399" s="83">
        <f t="shared" si="889"/>
        <v>0</v>
      </c>
      <c r="I399" s="83">
        <f t="shared" si="890"/>
        <v>0</v>
      </c>
      <c r="J399" s="83">
        <f t="shared" si="891"/>
        <v>0</v>
      </c>
      <c r="K399" s="83">
        <f t="shared" si="892"/>
        <v>0</v>
      </c>
      <c r="L399" s="83">
        <f t="shared" si="893"/>
        <v>0</v>
      </c>
      <c r="M399" s="83">
        <f t="shared" si="894"/>
        <v>0</v>
      </c>
      <c r="N399" s="83">
        <f t="shared" si="895"/>
        <v>0</v>
      </c>
      <c r="O399" s="83">
        <f t="shared" si="896"/>
        <v>0</v>
      </c>
      <c r="P399" s="83">
        <f t="shared" si="897"/>
        <v>0</v>
      </c>
      <c r="Q399" s="83">
        <f t="shared" si="898"/>
        <v>0</v>
      </c>
      <c r="R399" s="83">
        <f t="shared" si="899"/>
        <v>0</v>
      </c>
      <c r="S399" s="83">
        <f t="shared" si="900"/>
        <v>0</v>
      </c>
      <c r="T399" s="83">
        <f t="shared" si="901"/>
        <v>0</v>
      </c>
      <c r="U399" s="83">
        <f t="shared" si="902"/>
        <v>0</v>
      </c>
      <c r="V399" s="83">
        <f t="shared" si="903"/>
        <v>0</v>
      </c>
      <c r="W399" s="83">
        <f t="shared" si="904"/>
        <v>0</v>
      </c>
      <c r="X399" s="83">
        <f t="shared" si="905"/>
        <v>0</v>
      </c>
      <c r="Y399" s="83">
        <f t="shared" si="906"/>
        <v>0</v>
      </c>
      <c r="Z399" s="83">
        <f t="shared" si="907"/>
        <v>0</v>
      </c>
      <c r="AA399" s="175"/>
    </row>
    <row r="400" spans="1:27" outlineLevel="1" x14ac:dyDescent="0.25">
      <c r="A400" s="36" t="str">
        <f t="shared" si="676"/>
        <v>YANGZI DR75</v>
      </c>
      <c r="B400" s="36"/>
      <c r="D400" s="201" t="str">
        <f t="shared" ref="D400:F400" si="913">D389</f>
        <v>Топливо/Электроэнергия</v>
      </c>
      <c r="E400" s="196" t="str">
        <f t="shared" si="913"/>
        <v>тыс. руб.</v>
      </c>
      <c r="F400" s="83">
        <f t="shared" si="913"/>
        <v>0</v>
      </c>
      <c r="G400" s="83">
        <f t="shared" si="909"/>
        <v>28283.863579037967</v>
      </c>
      <c r="H400" s="83">
        <f t="shared" si="889"/>
        <v>53163.990867295186</v>
      </c>
      <c r="I400" s="83">
        <f t="shared" si="890"/>
        <v>75711.713745992543</v>
      </c>
      <c r="J400" s="83">
        <f t="shared" si="891"/>
        <v>95545.998892881267</v>
      </c>
      <c r="K400" s="83">
        <f t="shared" si="892"/>
        <v>112663.73305756146</v>
      </c>
      <c r="L400" s="83">
        <f t="shared" si="893"/>
        <v>128475.5037422623</v>
      </c>
      <c r="M400" s="83">
        <f t="shared" si="894"/>
        <v>141568.15717534849</v>
      </c>
      <c r="N400" s="83">
        <f t="shared" si="895"/>
        <v>154209.81106428869</v>
      </c>
      <c r="O400" s="83">
        <f t="shared" si="896"/>
        <v>165600.50427037579</v>
      </c>
      <c r="P400" s="83">
        <f t="shared" si="897"/>
        <v>174948.77933617626</v>
      </c>
      <c r="Q400" s="83">
        <f t="shared" si="898"/>
        <v>184029.3702211309</v>
      </c>
      <c r="R400" s="83">
        <f t="shared" si="899"/>
        <v>192040.10533091958</v>
      </c>
      <c r="S400" s="83">
        <f t="shared" si="900"/>
        <v>192040.10533091958</v>
      </c>
      <c r="T400" s="83">
        <f t="shared" si="901"/>
        <v>192040.10533091958</v>
      </c>
      <c r="U400" s="83">
        <f t="shared" si="902"/>
        <v>192040.10533091958</v>
      </c>
      <c r="V400" s="83">
        <f t="shared" si="903"/>
        <v>192040.10533091958</v>
      </c>
      <c r="W400" s="83">
        <f t="shared" si="904"/>
        <v>192040.10533091958</v>
      </c>
      <c r="X400" s="83">
        <f t="shared" si="905"/>
        <v>192040.10533091958</v>
      </c>
      <c r="Y400" s="83">
        <f t="shared" si="906"/>
        <v>192040.10533091958</v>
      </c>
      <c r="Z400" s="83">
        <f t="shared" si="907"/>
        <v>192040.10533091958</v>
      </c>
      <c r="AA400" s="175"/>
    </row>
    <row r="401" spans="1:29" outlineLevel="1" x14ac:dyDescent="0.25">
      <c r="A401" s="36" t="str">
        <f t="shared" ref="A401:A439" si="914">A400</f>
        <v>YANGZI DR75</v>
      </c>
      <c r="B401" s="36"/>
      <c r="D401" s="201" t="str">
        <f t="shared" ref="D401:F401" si="915">D390</f>
        <v>Затраты на персонал</v>
      </c>
      <c r="E401" s="196" t="str">
        <f t="shared" si="915"/>
        <v>тыс. руб.</v>
      </c>
      <c r="F401" s="83">
        <f t="shared" si="915"/>
        <v>0</v>
      </c>
      <c r="G401" s="83">
        <f t="shared" si="909"/>
        <v>14026.894744341158</v>
      </c>
      <c r="H401" s="83">
        <f t="shared" si="889"/>
        <v>26550.907908931476</v>
      </c>
      <c r="I401" s="83">
        <f t="shared" si="890"/>
        <v>37733.062520172833</v>
      </c>
      <c r="J401" s="83">
        <f t="shared" si="891"/>
        <v>47717.129137352611</v>
      </c>
      <c r="K401" s="83">
        <f t="shared" si="892"/>
        <v>56631.474331263133</v>
      </c>
      <c r="L401" s="83">
        <f t="shared" si="893"/>
        <v>64590.711111540382</v>
      </c>
      <c r="M401" s="83">
        <f t="shared" si="894"/>
        <v>71697.172522502209</v>
      </c>
      <c r="N401" s="83">
        <f t="shared" si="895"/>
        <v>78042.227353718132</v>
      </c>
      <c r="O401" s="83">
        <f t="shared" si="896"/>
        <v>83707.454881589481</v>
      </c>
      <c r="P401" s="83">
        <f t="shared" si="897"/>
        <v>88765.693745760334</v>
      </c>
      <c r="Q401" s="83">
        <f t="shared" si="898"/>
        <v>93281.978445912886</v>
      </c>
      <c r="R401" s="83">
        <f t="shared" si="899"/>
        <v>97314.37549962051</v>
      </c>
      <c r="S401" s="83">
        <f t="shared" si="900"/>
        <v>97314.37549962051</v>
      </c>
      <c r="T401" s="83">
        <f t="shared" si="901"/>
        <v>97314.37549962051</v>
      </c>
      <c r="U401" s="83">
        <f t="shared" si="902"/>
        <v>97314.37549962051</v>
      </c>
      <c r="V401" s="83">
        <f t="shared" si="903"/>
        <v>97314.37549962051</v>
      </c>
      <c r="W401" s="83">
        <f t="shared" si="904"/>
        <v>97314.37549962051</v>
      </c>
      <c r="X401" s="83">
        <f t="shared" si="905"/>
        <v>97314.37549962051</v>
      </c>
      <c r="Y401" s="83">
        <f t="shared" si="906"/>
        <v>97314.37549962051</v>
      </c>
      <c r="Z401" s="83">
        <f t="shared" si="907"/>
        <v>97314.37549962051</v>
      </c>
      <c r="AA401" s="175"/>
    </row>
    <row r="402" spans="1:29" outlineLevel="1" x14ac:dyDescent="0.25">
      <c r="A402" s="36" t="str">
        <f t="shared" si="914"/>
        <v>YANGZI DR75</v>
      </c>
      <c r="B402" s="36"/>
      <c r="D402" s="201" t="str">
        <f t="shared" ref="D402:F402" si="916">D391</f>
        <v>Транспортный налог</v>
      </c>
      <c r="E402" s="196" t="str">
        <f t="shared" si="916"/>
        <v>тыс. руб.</v>
      </c>
      <c r="F402" s="83">
        <f t="shared" si="916"/>
        <v>0</v>
      </c>
      <c r="G402" s="83">
        <f t="shared" si="909"/>
        <v>10.714285714285714</v>
      </c>
      <c r="H402" s="83">
        <f t="shared" si="889"/>
        <v>20.280612244897956</v>
      </c>
      <c r="I402" s="83">
        <f t="shared" si="890"/>
        <v>28.821975218658885</v>
      </c>
      <c r="J402" s="83">
        <f t="shared" si="891"/>
        <v>36.448192159516857</v>
      </c>
      <c r="K402" s="83">
        <f t="shared" si="892"/>
        <v>43.257314428140049</v>
      </c>
      <c r="L402" s="83">
        <f t="shared" si="893"/>
        <v>49.336887882267895</v>
      </c>
      <c r="M402" s="83">
        <f t="shared" si="894"/>
        <v>54.765078466310612</v>
      </c>
      <c r="N402" s="83">
        <f t="shared" si="895"/>
        <v>59.611677202063042</v>
      </c>
      <c r="O402" s="83">
        <f t="shared" si="896"/>
        <v>63.938997501841996</v>
      </c>
      <c r="P402" s="83">
        <f t="shared" si="897"/>
        <v>67.802676340930347</v>
      </c>
      <c r="Q402" s="83">
        <f t="shared" si="898"/>
        <v>71.25238959011638</v>
      </c>
      <c r="R402" s="83">
        <f t="shared" si="899"/>
        <v>74.332490705461055</v>
      </c>
      <c r="S402" s="83">
        <f t="shared" si="900"/>
        <v>74.332490705461055</v>
      </c>
      <c r="T402" s="83">
        <f t="shared" si="901"/>
        <v>74.332490705461055</v>
      </c>
      <c r="U402" s="83">
        <f t="shared" si="902"/>
        <v>74.332490705461055</v>
      </c>
      <c r="V402" s="83">
        <f t="shared" si="903"/>
        <v>74.332490705461055</v>
      </c>
      <c r="W402" s="83">
        <f t="shared" si="904"/>
        <v>74.332490705461055</v>
      </c>
      <c r="X402" s="83">
        <f t="shared" si="905"/>
        <v>74.332490705461055</v>
      </c>
      <c r="Y402" s="83">
        <f t="shared" si="906"/>
        <v>74.332490705461055</v>
      </c>
      <c r="Z402" s="83">
        <f t="shared" si="907"/>
        <v>74.332490705461055</v>
      </c>
      <c r="AA402" s="175"/>
    </row>
    <row r="403" spans="1:29" outlineLevel="1" x14ac:dyDescent="0.25">
      <c r="A403" s="36" t="str">
        <f t="shared" si="914"/>
        <v>YANGZI DR75</v>
      </c>
      <c r="B403" s="36"/>
      <c r="D403" s="201" t="str">
        <f t="shared" ref="D403:F403" si="917">D392</f>
        <v>Налог на прибыль</v>
      </c>
      <c r="E403" s="196" t="str">
        <f t="shared" si="917"/>
        <v>тыс. руб.</v>
      </c>
      <c r="F403" s="83">
        <f t="shared" si="917"/>
        <v>0</v>
      </c>
      <c r="G403" s="83">
        <f t="shared" si="909"/>
        <v>-13810.01100941621</v>
      </c>
      <c r="H403" s="83">
        <f t="shared" si="889"/>
        <v>-28485.504030791359</v>
      </c>
      <c r="I403" s="83">
        <f t="shared" si="890"/>
        <v>-42919.84680888828</v>
      </c>
      <c r="J403" s="83">
        <f t="shared" si="891"/>
        <v>-54936.819034773689</v>
      </c>
      <c r="K403" s="83">
        <f t="shared" si="892"/>
        <v>-64764.399465746319</v>
      </c>
      <c r="L403" s="83">
        <f t="shared" si="893"/>
        <v>-75423.380439030516</v>
      </c>
      <c r="M403" s="83">
        <f t="shared" si="894"/>
        <v>-83553.204957271431</v>
      </c>
      <c r="N403" s="83">
        <f t="shared" si="895"/>
        <v>-91604.535485283253</v>
      </c>
      <c r="O403" s="83">
        <f t="shared" si="896"/>
        <v>-98608.070028557922</v>
      </c>
      <c r="P403" s="83">
        <f t="shared" si="897"/>
        <v>-104776.5335477991</v>
      </c>
      <c r="Q403" s="83">
        <f t="shared" si="898"/>
        <v>-110009.56251212237</v>
      </c>
      <c r="R403" s="83">
        <f t="shared" si="899"/>
        <v>-115027.28810473645</v>
      </c>
      <c r="S403" s="83">
        <f t="shared" si="900"/>
        <v>-115027.28810473645</v>
      </c>
      <c r="T403" s="83">
        <f t="shared" si="901"/>
        <v>-115027.28810473645</v>
      </c>
      <c r="U403" s="83">
        <f t="shared" si="902"/>
        <v>-115027.28810473645</v>
      </c>
      <c r="V403" s="83">
        <f t="shared" si="903"/>
        <v>-115027.28810473645</v>
      </c>
      <c r="W403" s="83">
        <f t="shared" si="904"/>
        <v>-115027.28810473645</v>
      </c>
      <c r="X403" s="83">
        <f t="shared" si="905"/>
        <v>-115027.28810473645</v>
      </c>
      <c r="Y403" s="83">
        <f t="shared" si="906"/>
        <v>-115027.28810473645</v>
      </c>
      <c r="Z403" s="83">
        <f t="shared" si="907"/>
        <v>-115027.28810473645</v>
      </c>
      <c r="AA403" s="175"/>
    </row>
    <row r="404" spans="1:29" outlineLevel="1" x14ac:dyDescent="0.25">
      <c r="A404" s="36" t="str">
        <f t="shared" si="914"/>
        <v>YANGZI DR75</v>
      </c>
      <c r="B404" s="36"/>
      <c r="D404" s="88"/>
      <c r="E404" s="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175"/>
    </row>
    <row r="405" spans="1:29" outlineLevel="1" x14ac:dyDescent="0.25">
      <c r="A405" s="36" t="str">
        <f t="shared" si="914"/>
        <v>YANGZI DR75</v>
      </c>
      <c r="B405" s="36"/>
      <c r="D405" s="63" t="s">
        <v>69</v>
      </c>
      <c r="E405" s="64" t="str">
        <f>E382</f>
        <v>тыс. руб.</v>
      </c>
      <c r="F405" s="65">
        <f>F379*'ФОТ, МТР, макро'!AI$14</f>
        <v>0</v>
      </c>
      <c r="G405" s="65">
        <f>G379*'ФОТ, МТР, макро'!AJ$14</f>
        <v>0</v>
      </c>
      <c r="H405" s="65">
        <f>H379*'ФОТ, МТР, макро'!AK$14</f>
        <v>0</v>
      </c>
      <c r="I405" s="65">
        <f>I379*'ФОТ, МТР, макро'!AL$14</f>
        <v>0</v>
      </c>
      <c r="J405" s="65">
        <f>J379*'ФОТ, МТР, макро'!AM$14</f>
        <v>0</v>
      </c>
      <c r="K405" s="65">
        <f>K379*'ФОТ, МТР, макро'!AN$14</f>
        <v>0</v>
      </c>
      <c r="L405" s="65">
        <f>L379*'ФОТ, МТР, макро'!AO$14</f>
        <v>0</v>
      </c>
      <c r="M405" s="65">
        <f>M379*'ФОТ, МТР, макро'!AP$14</f>
        <v>0</v>
      </c>
      <c r="N405" s="65">
        <f>N379*'ФОТ, МТР, макро'!AQ$14</f>
        <v>0</v>
      </c>
      <c r="O405" s="65">
        <f>O379*'ФОТ, МТР, макро'!AR$14</f>
        <v>0</v>
      </c>
      <c r="P405" s="65">
        <f>P379*'ФОТ, МТР, макро'!AS$14</f>
        <v>0</v>
      </c>
      <c r="Q405" s="65">
        <f>Q379*'ФОТ, МТР, макро'!AT$14</f>
        <v>0</v>
      </c>
      <c r="R405" s="65">
        <f>R379*'ФОТ, МТР, макро'!AU$14</f>
        <v>0</v>
      </c>
      <c r="S405" s="65">
        <f>S379*'ФОТ, МТР, макро'!AV$14</f>
        <v>0</v>
      </c>
      <c r="T405" s="65">
        <f>T379*'ФОТ, МТР, макро'!AW$14</f>
        <v>0</v>
      </c>
      <c r="U405" s="65">
        <f>U379*'ФОТ, МТР, макро'!AX$14</f>
        <v>0</v>
      </c>
      <c r="V405" s="65">
        <f>V379*'ФОТ, МТР, макро'!AY$14</f>
        <v>0</v>
      </c>
      <c r="W405" s="65">
        <f>W379*'ФОТ, МТР, макро'!AZ$14</f>
        <v>0</v>
      </c>
      <c r="X405" s="65">
        <f>X379*'ФОТ, МТР, макро'!BA$14</f>
        <v>0</v>
      </c>
      <c r="Y405" s="65">
        <f>Y379*'ФОТ, МТР, макро'!BB$14</f>
        <v>0</v>
      </c>
      <c r="Z405" s="65">
        <f>Z379*'ФОТ, МТР, макро'!BC$14</f>
        <v>0</v>
      </c>
      <c r="AA405" s="175"/>
    </row>
    <row r="406" spans="1:29" outlineLevel="1" x14ac:dyDescent="0.25">
      <c r="A406" s="36" t="str">
        <f t="shared" si="914"/>
        <v>YANGZI DR75</v>
      </c>
      <c r="B406" s="36"/>
      <c r="D406" s="88" t="str">
        <f>D380</f>
        <v>Буровой станок</v>
      </c>
      <c r="E406" s="9" t="str">
        <f>E405</f>
        <v>тыс. руб.</v>
      </c>
      <c r="F406" s="70">
        <f>F380*'ФОТ, МТР, макро'!AI$14</f>
        <v>0</v>
      </c>
      <c r="G406" s="70">
        <f>G380*'ФОТ, МТР, макро'!AJ$14</f>
        <v>0</v>
      </c>
      <c r="H406" s="70">
        <f>H380*'ФОТ, МТР, макро'!AK$14</f>
        <v>0</v>
      </c>
      <c r="I406" s="70">
        <f>I380*'ФОТ, МТР, макро'!AL$14</f>
        <v>0</v>
      </c>
      <c r="J406" s="70">
        <f>J380*'ФОТ, МТР, макро'!AM$14</f>
        <v>0</v>
      </c>
      <c r="K406" s="70">
        <f>K380*'ФОТ, МТР, макро'!AN$14</f>
        <v>0</v>
      </c>
      <c r="L406" s="70">
        <f>L380*'ФОТ, МТР, макро'!AO$14</f>
        <v>0</v>
      </c>
      <c r="M406" s="70">
        <f>M380*'ФОТ, МТР, макро'!AP$14</f>
        <v>0</v>
      </c>
      <c r="N406" s="70">
        <f>N380*'ФОТ, МТР, макро'!AQ$14</f>
        <v>0</v>
      </c>
      <c r="O406" s="70">
        <f>O380*'ФОТ, МТР, макро'!AR$14</f>
        <v>0</v>
      </c>
      <c r="P406" s="70">
        <f>P380*'ФОТ, МТР, макро'!AS$14</f>
        <v>0</v>
      </c>
      <c r="Q406" s="70">
        <f>Q380*'ФОТ, МТР, макро'!AT$14</f>
        <v>0</v>
      </c>
      <c r="R406" s="70">
        <f>R380*'ФОТ, МТР, макро'!AU$14</f>
        <v>0</v>
      </c>
      <c r="S406" s="70">
        <f>S380*'ФОТ, МТР, макро'!AV$14</f>
        <v>0</v>
      </c>
      <c r="T406" s="70">
        <f>T380*'ФОТ, МТР, макро'!AW$14</f>
        <v>0</v>
      </c>
      <c r="U406" s="70">
        <f>U380*'ФОТ, МТР, макро'!AX$14</f>
        <v>0</v>
      </c>
      <c r="V406" s="70">
        <f>V380*'ФОТ, МТР, макро'!AY$14</f>
        <v>0</v>
      </c>
      <c r="W406" s="70">
        <f>W380*'ФОТ, МТР, макро'!AZ$14</f>
        <v>0</v>
      </c>
      <c r="X406" s="70">
        <f>X380*'ФОТ, МТР, макро'!BA$14</f>
        <v>0</v>
      </c>
      <c r="Y406" s="70">
        <f>Y380*'ФОТ, МТР, макро'!BB$14</f>
        <v>0</v>
      </c>
      <c r="Z406" s="70">
        <f>Z380*'ФОТ, МТР, макро'!BC$14</f>
        <v>0</v>
      </c>
      <c r="AA406" s="175"/>
    </row>
    <row r="407" spans="1:29" outlineLevel="1" x14ac:dyDescent="0.25">
      <c r="A407" s="36" t="str">
        <f t="shared" si="914"/>
        <v>YANGZI DR75</v>
      </c>
      <c r="B407" s="36"/>
      <c r="D407" s="91" t="s">
        <v>67</v>
      </c>
      <c r="E407" s="9"/>
      <c r="F407" s="93">
        <f>F405-F406</f>
        <v>0</v>
      </c>
      <c r="G407" s="93">
        <f t="shared" ref="G407:Z407" si="918">G405-G406</f>
        <v>0</v>
      </c>
      <c r="H407" s="93">
        <f t="shared" si="918"/>
        <v>0</v>
      </c>
      <c r="I407" s="93">
        <f t="shared" si="918"/>
        <v>0</v>
      </c>
      <c r="J407" s="93">
        <f t="shared" si="918"/>
        <v>0</v>
      </c>
      <c r="K407" s="93">
        <f t="shared" si="918"/>
        <v>0</v>
      </c>
      <c r="L407" s="93">
        <f t="shared" si="918"/>
        <v>0</v>
      </c>
      <c r="M407" s="93">
        <f t="shared" si="918"/>
        <v>0</v>
      </c>
      <c r="N407" s="93">
        <f t="shared" si="918"/>
        <v>0</v>
      </c>
      <c r="O407" s="93">
        <f t="shared" si="918"/>
        <v>0</v>
      </c>
      <c r="P407" s="93">
        <f t="shared" si="918"/>
        <v>0</v>
      </c>
      <c r="Q407" s="93">
        <f t="shared" si="918"/>
        <v>0</v>
      </c>
      <c r="R407" s="93">
        <f t="shared" si="918"/>
        <v>0</v>
      </c>
      <c r="S407" s="93">
        <f t="shared" si="918"/>
        <v>0</v>
      </c>
      <c r="T407" s="93">
        <f t="shared" si="918"/>
        <v>0</v>
      </c>
      <c r="U407" s="93">
        <f t="shared" si="918"/>
        <v>0</v>
      </c>
      <c r="V407" s="93">
        <f t="shared" si="918"/>
        <v>0</v>
      </c>
      <c r="W407" s="93">
        <f t="shared" si="918"/>
        <v>0</v>
      </c>
      <c r="X407" s="93">
        <f t="shared" si="918"/>
        <v>0</v>
      </c>
      <c r="Y407" s="93">
        <f t="shared" si="918"/>
        <v>0</v>
      </c>
      <c r="Z407" s="93">
        <f t="shared" si="918"/>
        <v>0</v>
      </c>
      <c r="AA407" s="175"/>
    </row>
    <row r="408" spans="1:29" outlineLevel="1" x14ac:dyDescent="0.25">
      <c r="A408" s="36" t="str">
        <f t="shared" si="914"/>
        <v>YANGZI DR75</v>
      </c>
      <c r="B408" s="36"/>
      <c r="D408" s="94" t="s">
        <v>70</v>
      </c>
      <c r="E408" s="64" t="str">
        <f>E405</f>
        <v>тыс. руб.</v>
      </c>
      <c r="F408" s="65">
        <f>F405</f>
        <v>0</v>
      </c>
      <c r="G408" s="65">
        <f>F408+G405</f>
        <v>0</v>
      </c>
      <c r="H408" s="65">
        <f t="shared" ref="H408:H409" si="919">G408+H405</f>
        <v>0</v>
      </c>
      <c r="I408" s="65">
        <f t="shared" ref="I408:I409" si="920">H408+I405</f>
        <v>0</v>
      </c>
      <c r="J408" s="65">
        <f t="shared" ref="J408:J409" si="921">I408+J405</f>
        <v>0</v>
      </c>
      <c r="K408" s="65">
        <f t="shared" ref="K408:K409" si="922">J408+K405</f>
        <v>0</v>
      </c>
      <c r="L408" s="65">
        <f t="shared" ref="L408:L409" si="923">K408+L405</f>
        <v>0</v>
      </c>
      <c r="M408" s="65">
        <f t="shared" ref="M408:M409" si="924">L408+M405</f>
        <v>0</v>
      </c>
      <c r="N408" s="65">
        <f t="shared" ref="N408:N409" si="925">M408+N405</f>
        <v>0</v>
      </c>
      <c r="O408" s="65">
        <f t="shared" ref="O408:O409" si="926">N408+O405</f>
        <v>0</v>
      </c>
      <c r="P408" s="65">
        <f t="shared" ref="P408:P409" si="927">O408+P405</f>
        <v>0</v>
      </c>
      <c r="Q408" s="65">
        <f t="shared" ref="Q408:Q409" si="928">P408+Q405</f>
        <v>0</v>
      </c>
      <c r="R408" s="65">
        <f t="shared" ref="R408:R409" si="929">Q408+R405</f>
        <v>0</v>
      </c>
      <c r="S408" s="65">
        <f t="shared" ref="S408:S409" si="930">R408+S405</f>
        <v>0</v>
      </c>
      <c r="T408" s="65">
        <f t="shared" ref="T408:T409" si="931">S408+T405</f>
        <v>0</v>
      </c>
      <c r="U408" s="65">
        <f t="shared" ref="U408:U409" si="932">T408+U405</f>
        <v>0</v>
      </c>
      <c r="V408" s="65">
        <f t="shared" ref="V408:V409" si="933">U408+V405</f>
        <v>0</v>
      </c>
      <c r="W408" s="65">
        <f t="shared" ref="W408:W409" si="934">V408+W405</f>
        <v>0</v>
      </c>
      <c r="X408" s="65">
        <f t="shared" ref="X408:X409" si="935">W408+X405</f>
        <v>0</v>
      </c>
      <c r="Y408" s="65">
        <f t="shared" ref="Y408:Y409" si="936">X408+Y405</f>
        <v>0</v>
      </c>
      <c r="Z408" s="65">
        <f t="shared" ref="Z408:Z409" si="937">Y408+Z405</f>
        <v>0</v>
      </c>
      <c r="AA408" s="175"/>
    </row>
    <row r="409" spans="1:29" outlineLevel="1" x14ac:dyDescent="0.25">
      <c r="A409" s="36" t="str">
        <f t="shared" si="914"/>
        <v>YANGZI DR75</v>
      </c>
      <c r="B409" s="36"/>
      <c r="D409" s="88" t="str">
        <f>D406</f>
        <v>Буровой станок</v>
      </c>
      <c r="E409" s="9" t="str">
        <f>E406</f>
        <v>тыс. руб.</v>
      </c>
      <c r="F409" s="70">
        <f>F406</f>
        <v>0</v>
      </c>
      <c r="G409" s="70">
        <f>F409+G406</f>
        <v>0</v>
      </c>
      <c r="H409" s="70">
        <f t="shared" si="919"/>
        <v>0</v>
      </c>
      <c r="I409" s="70">
        <f t="shared" si="920"/>
        <v>0</v>
      </c>
      <c r="J409" s="70">
        <f t="shared" si="921"/>
        <v>0</v>
      </c>
      <c r="K409" s="70">
        <f t="shared" si="922"/>
        <v>0</v>
      </c>
      <c r="L409" s="70">
        <f t="shared" si="923"/>
        <v>0</v>
      </c>
      <c r="M409" s="70">
        <f t="shared" si="924"/>
        <v>0</v>
      </c>
      <c r="N409" s="70">
        <f t="shared" si="925"/>
        <v>0</v>
      </c>
      <c r="O409" s="70">
        <f t="shared" si="926"/>
        <v>0</v>
      </c>
      <c r="P409" s="70">
        <f t="shared" si="927"/>
        <v>0</v>
      </c>
      <c r="Q409" s="70">
        <f t="shared" si="928"/>
        <v>0</v>
      </c>
      <c r="R409" s="70">
        <f t="shared" si="929"/>
        <v>0</v>
      </c>
      <c r="S409" s="70">
        <f t="shared" si="930"/>
        <v>0</v>
      </c>
      <c r="T409" s="70">
        <f t="shared" si="931"/>
        <v>0</v>
      </c>
      <c r="U409" s="70">
        <f t="shared" si="932"/>
        <v>0</v>
      </c>
      <c r="V409" s="70">
        <f t="shared" si="933"/>
        <v>0</v>
      </c>
      <c r="W409" s="70">
        <f t="shared" si="934"/>
        <v>0</v>
      </c>
      <c r="X409" s="70">
        <f t="shared" si="935"/>
        <v>0</v>
      </c>
      <c r="Y409" s="70">
        <f t="shared" si="936"/>
        <v>0</v>
      </c>
      <c r="Z409" s="70">
        <f t="shared" si="937"/>
        <v>0</v>
      </c>
      <c r="AA409" s="175"/>
    </row>
    <row r="410" spans="1:29" outlineLevel="1" x14ac:dyDescent="0.25">
      <c r="A410" s="36" t="str">
        <f t="shared" si="914"/>
        <v>YANGZI DR75</v>
      </c>
      <c r="B410" s="36"/>
      <c r="D410" s="88"/>
      <c r="E410" s="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175"/>
    </row>
    <row r="411" spans="1:29" outlineLevel="1" x14ac:dyDescent="0.25">
      <c r="A411" s="36" t="str">
        <f t="shared" si="914"/>
        <v>YANGZI DR75</v>
      </c>
      <c r="B411" s="36"/>
      <c r="D411" s="63" t="s">
        <v>71</v>
      </c>
      <c r="E411" s="64" t="str">
        <f>E382</f>
        <v>тыс. руб.</v>
      </c>
      <c r="F411" s="65">
        <f>F382*'ФОТ, МТР, макро'!AI$14</f>
        <v>0</v>
      </c>
      <c r="G411" s="65">
        <f>G382*'ФОТ, МТР, макро'!AJ$14</f>
        <v>41430.033028248632</v>
      </c>
      <c r="H411" s="65">
        <f>H382*'ФОТ, МТР, макро'!AK$14</f>
        <v>44026.479064125444</v>
      </c>
      <c r="I411" s="65">
        <f>I382*'ФОТ, МТР, макро'!AL$14</f>
        <v>43303.028334290764</v>
      </c>
      <c r="J411" s="65">
        <f>J382*'ФОТ, МТР, макро'!AM$14</f>
        <v>36050.916677656227</v>
      </c>
      <c r="K411" s="65">
        <f>K382*'ФОТ, МТР, макро'!AN$14</f>
        <v>29482.741292917879</v>
      </c>
      <c r="L411" s="65">
        <f>L382*'ФОТ, МТР, макро'!AO$14</f>
        <v>31976.942919852601</v>
      </c>
      <c r="M411" s="65">
        <f>M382*'ФОТ, МТР, макро'!AP$14</f>
        <v>24389.473554722736</v>
      </c>
      <c r="N411" s="65">
        <f>N382*'ФОТ, МТР, макро'!AQ$14</f>
        <v>24153.991584035481</v>
      </c>
      <c r="O411" s="65">
        <f>O382*'ФОТ, МТР, макро'!AR$14</f>
        <v>21010.603629824021</v>
      </c>
      <c r="P411" s="65">
        <f>P382*'ФОТ, МТР, макро'!AS$14</f>
        <v>18505.390557723524</v>
      </c>
      <c r="Q411" s="65">
        <f>Q382*'ФОТ, МТР, макро'!AT$14</f>
        <v>15699.086892969808</v>
      </c>
      <c r="R411" s="65">
        <f>R382*'ФОТ, МТР, макро'!AU$14</f>
        <v>15053.176777842216</v>
      </c>
      <c r="S411" s="65">
        <f>S382*'ФОТ, МТР, макро'!AV$14</f>
        <v>0</v>
      </c>
      <c r="T411" s="65">
        <f>T382*'ФОТ, МТР, макро'!AW$14</f>
        <v>0</v>
      </c>
      <c r="U411" s="65">
        <f>U382*'ФОТ, МТР, макро'!AX$14</f>
        <v>0</v>
      </c>
      <c r="V411" s="65">
        <f>V382*'ФОТ, МТР, макро'!AY$14</f>
        <v>0</v>
      </c>
      <c r="W411" s="65">
        <f>W382*'ФОТ, МТР, макро'!AZ$14</f>
        <v>0</v>
      </c>
      <c r="X411" s="65">
        <f>X382*'ФОТ, МТР, макро'!BA$14</f>
        <v>0</v>
      </c>
      <c r="Y411" s="65">
        <f>Y382*'ФОТ, МТР, макро'!BB$14</f>
        <v>0</v>
      </c>
      <c r="Z411" s="65">
        <f>Z382*'ФОТ, МТР, макро'!BC$14</f>
        <v>0</v>
      </c>
      <c r="AA411" s="175"/>
    </row>
    <row r="412" spans="1:29" outlineLevel="1" x14ac:dyDescent="0.25">
      <c r="A412" s="36" t="str">
        <f t="shared" si="914"/>
        <v>YANGZI DR75</v>
      </c>
      <c r="B412" s="36"/>
      <c r="D412" s="94" t="s">
        <v>72</v>
      </c>
      <c r="E412" s="64" t="str">
        <f>E411</f>
        <v>тыс. руб.</v>
      </c>
      <c r="F412" s="65">
        <f>F411</f>
        <v>0</v>
      </c>
      <c r="G412" s="65">
        <f>F412+G411</f>
        <v>41430.033028248632</v>
      </c>
      <c r="H412" s="65">
        <f t="shared" ref="H412" si="938">G412+H411</f>
        <v>85456.512092374076</v>
      </c>
      <c r="I412" s="65">
        <f t="shared" ref="I412" si="939">H412+I411</f>
        <v>128759.54042666484</v>
      </c>
      <c r="J412" s="65">
        <f t="shared" ref="J412" si="940">I412+J411</f>
        <v>164810.45710432107</v>
      </c>
      <c r="K412" s="65">
        <f t="shared" ref="K412" si="941">J412+K411</f>
        <v>194293.19839723894</v>
      </c>
      <c r="L412" s="65">
        <f t="shared" ref="L412" si="942">K412+L411</f>
        <v>226270.14131709153</v>
      </c>
      <c r="M412" s="65">
        <f t="shared" ref="M412" si="943">L412+M411</f>
        <v>250659.61487181426</v>
      </c>
      <c r="N412" s="65">
        <f t="shared" ref="N412" si="944">M412+N411</f>
        <v>274813.60645584972</v>
      </c>
      <c r="O412" s="65">
        <f t="shared" ref="O412" si="945">N412+O411</f>
        <v>295824.21008567372</v>
      </c>
      <c r="P412" s="65">
        <f t="shared" ref="P412" si="946">O412+P411</f>
        <v>314329.60064339725</v>
      </c>
      <c r="Q412" s="65">
        <f t="shared" ref="Q412" si="947">P412+Q411</f>
        <v>330028.68753636704</v>
      </c>
      <c r="R412" s="65">
        <f t="shared" ref="R412" si="948">Q412+R411</f>
        <v>345081.86431420926</v>
      </c>
      <c r="S412" s="65">
        <f t="shared" ref="S412" si="949">R412+S411</f>
        <v>345081.86431420926</v>
      </c>
      <c r="T412" s="65">
        <f t="shared" ref="T412" si="950">S412+T411</f>
        <v>345081.86431420926</v>
      </c>
      <c r="U412" s="65">
        <f t="shared" ref="U412" si="951">T412+U411</f>
        <v>345081.86431420926</v>
      </c>
      <c r="V412" s="65">
        <f t="shared" ref="V412" si="952">U412+V411</f>
        <v>345081.86431420926</v>
      </c>
      <c r="W412" s="65">
        <f t="shared" ref="W412" si="953">V412+W411</f>
        <v>345081.86431420926</v>
      </c>
      <c r="X412" s="65">
        <f t="shared" ref="X412" si="954">W412+X411</f>
        <v>345081.86431420926</v>
      </c>
      <c r="Y412" s="65">
        <f t="shared" ref="Y412" si="955">X412+Y411</f>
        <v>345081.86431420926</v>
      </c>
      <c r="Z412" s="65">
        <f t="shared" ref="Z412" si="956">Y412+Z411</f>
        <v>345081.86431420926</v>
      </c>
      <c r="AA412" s="175"/>
    </row>
    <row r="413" spans="1:29" outlineLevel="1" x14ac:dyDescent="0.25">
      <c r="A413" s="36" t="str">
        <f t="shared" si="914"/>
        <v>YANGZI DR75</v>
      </c>
      <c r="B413" s="36"/>
      <c r="D413" s="88"/>
      <c r="E413" s="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175"/>
    </row>
    <row r="414" spans="1:29" outlineLevel="1" x14ac:dyDescent="0.25">
      <c r="A414" s="36" t="str">
        <f t="shared" si="914"/>
        <v>YANGZI DR75</v>
      </c>
      <c r="B414" s="36" t="str">
        <f>D414</f>
        <v>Аннуитет операционный</v>
      </c>
      <c r="C414" s="57">
        <f>E333</f>
        <v>12</v>
      </c>
      <c r="D414" s="95" t="s">
        <v>73</v>
      </c>
      <c r="E414" s="96" t="s">
        <v>207</v>
      </c>
      <c r="F414" s="97"/>
      <c r="G414" s="98">
        <f>G394/'ФОТ, МТР, макро'!AJ$15/(G340/G335)</f>
        <v>8.7233821232151989</v>
      </c>
      <c r="H414" s="98">
        <f>H394/'ФОТ, МТР, макро'!AK$15/(H340/H335)</f>
        <v>9.6642790632140496</v>
      </c>
      <c r="I414" s="98">
        <f>I394/'ФОТ, МТР, макро'!AL$15/(I340/I335)</f>
        <v>10.457208015047714</v>
      </c>
      <c r="J414" s="98">
        <f>J394/'ФОТ, МТР, макро'!AM$15/(J340/J335)</f>
        <v>10.563757866980138</v>
      </c>
      <c r="K414" s="98">
        <f>K394/'ФОТ, МТР, макро'!AN$15/(K340/K335)</f>
        <v>10.527129949238633</v>
      </c>
      <c r="L414" s="98">
        <f>L394/'ФОТ, МТР, макро'!AO$15/(L340/L335)</f>
        <v>10.888252890206035</v>
      </c>
      <c r="M414" s="98">
        <f>M394/'ФОТ, МТР, макро'!AP$15/(M340/M335)</f>
        <v>11.060479670880893</v>
      </c>
      <c r="N414" s="98">
        <f>N394/'ФОТ, МТР, макро'!AQ$15/(N340/N335)</f>
        <v>11.038688867478459</v>
      </c>
      <c r="O414" s="98">
        <f>O394/'ФОТ, МТР, макро'!AR$15/(O340/O335)</f>
        <v>11.0823827564857</v>
      </c>
      <c r="P414" s="98">
        <f>P394/'ФОТ, МТР, макро'!AS$15/(P340/P335)</f>
        <v>11.223551681186374</v>
      </c>
      <c r="Q414" s="98">
        <f>Q394/'ФОТ, МТР, макро'!AT$15/(Q340/Q335)</f>
        <v>11.120098393519774</v>
      </c>
      <c r="R414" s="98">
        <f>R394/'ФОТ, МТР, макро'!AU$15/(R340/R335)</f>
        <v>11.045801252515515</v>
      </c>
      <c r="S414" s="98" t="e">
        <f>S394/'ФОТ, МТР, макро'!AV$15/(S340/S335)</f>
        <v>#DIV/0!</v>
      </c>
      <c r="T414" s="98" t="e">
        <f>T394/'ФОТ, МТР, макро'!AW$15/(T340/T335)</f>
        <v>#DIV/0!</v>
      </c>
      <c r="U414" s="98" t="e">
        <f>U394/'ФОТ, МТР, макро'!AX$15/(U340/U335)</f>
        <v>#DIV/0!</v>
      </c>
      <c r="V414" s="98" t="e">
        <f>V394/'ФОТ, МТР, макро'!AY$15/(V340/V335)</f>
        <v>#DIV/0!</v>
      </c>
      <c r="W414" s="98" t="e">
        <f>W394/'ФОТ, МТР, макро'!AZ$15/(W340/W335)</f>
        <v>#DIV/0!</v>
      </c>
      <c r="X414" s="98" t="e">
        <f>X394/'ФОТ, МТР, макро'!BA$15/(X340/X335)</f>
        <v>#DIV/0!</v>
      </c>
      <c r="Y414" s="98" t="e">
        <f>Y394/'ФОТ, МТР, макро'!BB$15/(Y340/Y335)</f>
        <v>#DIV/0!</v>
      </c>
      <c r="Z414" s="98" t="e">
        <f>Z394/'ФОТ, МТР, макро'!BC$15/(Z340/Z335)</f>
        <v>#DIV/0!</v>
      </c>
      <c r="AA414" s="175"/>
      <c r="AC414" s="99" cm="1">
        <f t="array" ref="AC414">INDEX(G414:Z414,1,$C414)</f>
        <v>11.045801252515515</v>
      </c>
    </row>
    <row r="415" spans="1:29" outlineLevel="1" x14ac:dyDescent="0.25">
      <c r="A415" s="36" t="str">
        <f t="shared" si="914"/>
        <v>YANGZI DR75</v>
      </c>
      <c r="B415" s="36" t="str">
        <f t="shared" ref="B415:B426" si="957">D415</f>
        <v>ТО, ТР, ППР</v>
      </c>
      <c r="C415" s="36">
        <f>C414</f>
        <v>12</v>
      </c>
      <c r="D415" s="100" t="str">
        <f>D395</f>
        <v>ТО, ТР, ППР</v>
      </c>
      <c r="E415" s="101" t="str">
        <f>E414</f>
        <v>руб/м3</v>
      </c>
      <c r="F415" s="102"/>
      <c r="G415" s="103">
        <f>G395/'ФОТ, МТР, макро'!AJ$15/(G340/G335)</f>
        <v>2.7200952261042044</v>
      </c>
      <c r="H415" s="103">
        <f>H395/'ФОТ, МТР, макро'!AK$15/(H340/H335)</f>
        <v>3.86845201120002</v>
      </c>
      <c r="I415" s="103">
        <f>I395/'ФОТ, МТР, макро'!AL$15/(I340/I335)</f>
        <v>4.7271840298208403</v>
      </c>
      <c r="J415" s="103">
        <f>J395/'ФОТ, МТР, макро'!AM$15/(J340/J335)</f>
        <v>4.9000227630969748</v>
      </c>
      <c r="K415" s="103">
        <f>K395/'ФОТ, МТР, макро'!AN$15/(K340/K335)</f>
        <v>4.8611324611297935</v>
      </c>
      <c r="L415" s="103">
        <f>L395/'ФОТ, МТР, макро'!AO$15/(L340/L335)</f>
        <v>5.2248360695795384</v>
      </c>
      <c r="M415" s="103">
        <f>M395/'ФОТ, МТР, макро'!AP$15/(M340/M335)</f>
        <v>5.3344513773682367</v>
      </c>
      <c r="N415" s="103">
        <f>N395/'ФОТ, МТР, макро'!AQ$15/(N340/N335)</f>
        <v>5.3867778152899479</v>
      </c>
      <c r="O415" s="103">
        <f>O395/'ФОТ, МТР, макро'!AR$15/(O340/O335)</f>
        <v>5.4343580441572197</v>
      </c>
      <c r="P415" s="103">
        <f>P395/'ФОТ, МТР, макро'!AS$15/(P340/P335)</f>
        <v>5.5460425899273647</v>
      </c>
      <c r="Q415" s="103">
        <f>Q395/'ФОТ, МТР, макро'!AT$15/(Q340/Q335)</f>
        <v>5.4805745359695059</v>
      </c>
      <c r="R415" s="103">
        <f>R395/'ФОТ, МТР, макро'!AU$15/(R340/R335)</f>
        <v>5.4633444940140841</v>
      </c>
      <c r="S415" s="103" t="e">
        <f>S395/'ФОТ, МТР, макро'!AV$15/(S340/S335)</f>
        <v>#DIV/0!</v>
      </c>
      <c r="T415" s="103" t="e">
        <f>T395/'ФОТ, МТР, макро'!AW$15/(T340/T335)</f>
        <v>#DIV/0!</v>
      </c>
      <c r="U415" s="103" t="e">
        <f>U395/'ФОТ, МТР, макро'!AX$15/(U340/U335)</f>
        <v>#DIV/0!</v>
      </c>
      <c r="V415" s="103" t="e">
        <f>V395/'ФОТ, МТР, макро'!AY$15/(V340/V335)</f>
        <v>#DIV/0!</v>
      </c>
      <c r="W415" s="103" t="e">
        <f>W395/'ФОТ, МТР, макро'!AZ$15/(W340/W335)</f>
        <v>#DIV/0!</v>
      </c>
      <c r="X415" s="103" t="e">
        <f>X395/'ФОТ, МТР, макро'!BA$15/(X340/X335)</f>
        <v>#DIV/0!</v>
      </c>
      <c r="Y415" s="103" t="e">
        <f>Y395/'ФОТ, МТР, макро'!BB$15/(Y340/Y335)</f>
        <v>#DIV/0!</v>
      </c>
      <c r="Z415" s="103" t="e">
        <f>Z395/'ФОТ, МТР, макро'!BC$15/(Z340/Z335)</f>
        <v>#DIV/0!</v>
      </c>
      <c r="AA415" s="175"/>
      <c r="AC415" s="104" cm="1">
        <f t="array" ref="AC415">INDEX(G415:Z415,1,$C415)</f>
        <v>5.4633444940140841</v>
      </c>
    </row>
    <row r="416" spans="1:29" outlineLevel="1" x14ac:dyDescent="0.25">
      <c r="A416" s="36" t="str">
        <f t="shared" si="914"/>
        <v>YANGZI DR75</v>
      </c>
      <c r="B416" s="36" t="str">
        <f t="shared" si="957"/>
        <v>Смазочные</v>
      </c>
      <c r="C416" s="36">
        <f t="shared" ref="C416:C426" si="958">C415</f>
        <v>12</v>
      </c>
      <c r="D416" s="100" t="str">
        <f t="shared" ref="D416:D423" si="959">D396</f>
        <v>Смазочные</v>
      </c>
      <c r="E416" s="101" t="str">
        <f t="shared" ref="E416:E423" si="960">E415</f>
        <v>руб/м3</v>
      </c>
      <c r="F416" s="102"/>
      <c r="G416" s="103">
        <f>G396/'ФОТ, МТР, макро'!AJ$15/(G340/G335)</f>
        <v>0</v>
      </c>
      <c r="H416" s="103">
        <f>H396/'ФОТ, МТР, макро'!AK$15/(H340/H335)</f>
        <v>0</v>
      </c>
      <c r="I416" s="103">
        <f>I396/'ФОТ, МТР, макро'!AL$15/(I340/I335)</f>
        <v>0</v>
      </c>
      <c r="J416" s="103">
        <f>J396/'ФОТ, МТР, макро'!AM$15/(J340/J335)</f>
        <v>0</v>
      </c>
      <c r="K416" s="103">
        <f>K396/'ФОТ, МТР, макро'!AN$15/(K340/K335)</f>
        <v>0</v>
      </c>
      <c r="L416" s="103">
        <f>L396/'ФОТ, МТР, макро'!AO$15/(L340/L335)</f>
        <v>0</v>
      </c>
      <c r="M416" s="103">
        <f>M396/'ФОТ, МТР, макро'!AP$15/(M340/M335)</f>
        <v>0</v>
      </c>
      <c r="N416" s="103">
        <f>N396/'ФОТ, МТР, макро'!AQ$15/(N340/N335)</f>
        <v>0</v>
      </c>
      <c r="O416" s="103">
        <f>O396/'ФОТ, МТР, макро'!AR$15/(O340/O335)</f>
        <v>0</v>
      </c>
      <c r="P416" s="103">
        <f>P396/'ФОТ, МТР, макро'!AS$15/(P340/P335)</f>
        <v>0</v>
      </c>
      <c r="Q416" s="103">
        <f>Q396/'ФОТ, МТР, макро'!AT$15/(Q340/Q335)</f>
        <v>0</v>
      </c>
      <c r="R416" s="103">
        <f>R396/'ФОТ, МТР, макро'!AU$15/(R340/R335)</f>
        <v>0</v>
      </c>
      <c r="S416" s="103" t="e">
        <f>S396/'ФОТ, МТР, макро'!AV$15/(S340/S335)</f>
        <v>#DIV/0!</v>
      </c>
      <c r="T416" s="103" t="e">
        <f>T396/'ФОТ, МТР, макро'!AW$15/(T340/T335)</f>
        <v>#DIV/0!</v>
      </c>
      <c r="U416" s="103" t="e">
        <f>U396/'ФОТ, МТР, макро'!AX$15/(U340/U335)</f>
        <v>#DIV/0!</v>
      </c>
      <c r="V416" s="103" t="e">
        <f>V396/'ФОТ, МТР, макро'!AY$15/(V340/V335)</f>
        <v>#DIV/0!</v>
      </c>
      <c r="W416" s="103" t="e">
        <f>W396/'ФОТ, МТР, макро'!AZ$15/(W340/W335)</f>
        <v>#DIV/0!</v>
      </c>
      <c r="X416" s="103" t="e">
        <f>X396/'ФОТ, МТР, макро'!BA$15/(X340/X335)</f>
        <v>#DIV/0!</v>
      </c>
      <c r="Y416" s="103" t="e">
        <f>Y396/'ФОТ, МТР, макро'!BB$15/(Y340/Y335)</f>
        <v>#DIV/0!</v>
      </c>
      <c r="Z416" s="103" t="e">
        <f>Z396/'ФОТ, МТР, макро'!BC$15/(Z340/Z335)</f>
        <v>#DIV/0!</v>
      </c>
      <c r="AA416" s="175"/>
      <c r="AC416" s="104" cm="1">
        <f t="array" ref="AC416">INDEX(G416:Z416,1,$C416)</f>
        <v>0</v>
      </c>
    </row>
    <row r="417" spans="1:29" outlineLevel="1" x14ac:dyDescent="0.25">
      <c r="A417" s="36" t="str">
        <f t="shared" si="914"/>
        <v>YANGZI DR75</v>
      </c>
      <c r="B417" s="36" t="str">
        <f t="shared" si="957"/>
        <v>Долота</v>
      </c>
      <c r="C417" s="36">
        <f t="shared" si="958"/>
        <v>12</v>
      </c>
      <c r="D417" s="100" t="str">
        <f t="shared" si="959"/>
        <v>Долота</v>
      </c>
      <c r="E417" s="101" t="str">
        <f t="shared" si="960"/>
        <v>руб/м3</v>
      </c>
      <c r="F417" s="102"/>
      <c r="G417" s="103">
        <f>G397/'ФОТ, МТР, макро'!AJ$15/(G340/G335)</f>
        <v>0</v>
      </c>
      <c r="H417" s="103">
        <f>H397/'ФОТ, МТР, макро'!AK$15/(H340/H335)</f>
        <v>0</v>
      </c>
      <c r="I417" s="103">
        <f>I397/'ФОТ, МТР, макро'!AL$15/(I340/I335)</f>
        <v>0</v>
      </c>
      <c r="J417" s="103">
        <f>J397/'ФОТ, МТР, макро'!AM$15/(J340/J335)</f>
        <v>0</v>
      </c>
      <c r="K417" s="103">
        <f>K397/'ФОТ, МТР, макро'!AN$15/(K340/K335)</f>
        <v>0</v>
      </c>
      <c r="L417" s="103">
        <f>L397/'ФОТ, МТР, макро'!AO$15/(L340/L335)</f>
        <v>0</v>
      </c>
      <c r="M417" s="103">
        <f>M397/'ФОТ, МТР, макро'!AP$15/(M340/M335)</f>
        <v>0</v>
      </c>
      <c r="N417" s="103">
        <f>N397/'ФОТ, МТР, макро'!AQ$15/(N340/N335)</f>
        <v>0</v>
      </c>
      <c r="O417" s="103">
        <f>O397/'ФОТ, МТР, макро'!AR$15/(O340/O335)</f>
        <v>0</v>
      </c>
      <c r="P417" s="103">
        <f>P397/'ФОТ, МТР, макро'!AS$15/(P340/P335)</f>
        <v>0</v>
      </c>
      <c r="Q417" s="103">
        <f>Q397/'ФОТ, МТР, макро'!AT$15/(Q340/Q335)</f>
        <v>0</v>
      </c>
      <c r="R417" s="103">
        <f>R397/'ФОТ, МТР, макро'!AU$15/(R340/R335)</f>
        <v>0</v>
      </c>
      <c r="S417" s="103" t="e">
        <f>S397/'ФОТ, МТР, макро'!AV$15/(S340/S335)</f>
        <v>#DIV/0!</v>
      </c>
      <c r="T417" s="103" t="e">
        <f>T397/'ФОТ, МТР, макро'!AW$15/(T340/T335)</f>
        <v>#DIV/0!</v>
      </c>
      <c r="U417" s="103" t="e">
        <f>U397/'ФОТ, МТР, макро'!AX$15/(U340/U335)</f>
        <v>#DIV/0!</v>
      </c>
      <c r="V417" s="103" t="e">
        <f>V397/'ФОТ, МТР, макро'!AY$15/(V340/V335)</f>
        <v>#DIV/0!</v>
      </c>
      <c r="W417" s="103" t="e">
        <f>W397/'ФОТ, МТР, макро'!AZ$15/(W340/W335)</f>
        <v>#DIV/0!</v>
      </c>
      <c r="X417" s="103" t="e">
        <f>X397/'ФОТ, МТР, макро'!BA$15/(X340/X335)</f>
        <v>#DIV/0!</v>
      </c>
      <c r="Y417" s="103" t="e">
        <f>Y397/'ФОТ, МТР, макро'!BB$15/(Y340/Y335)</f>
        <v>#DIV/0!</v>
      </c>
      <c r="Z417" s="103" t="e">
        <f>Z397/'ФОТ, МТР, макро'!BC$15/(Z340/Z335)</f>
        <v>#DIV/0!</v>
      </c>
      <c r="AA417" s="175"/>
      <c r="AC417" s="104" cm="1">
        <f t="array" ref="AC417">INDEX(G417:Z417,1,$C417)</f>
        <v>0</v>
      </c>
    </row>
    <row r="418" spans="1:29" outlineLevel="1" x14ac:dyDescent="0.25">
      <c r="A418" s="36" t="str">
        <f t="shared" si="914"/>
        <v>YANGZI DR75</v>
      </c>
      <c r="B418" s="36" t="str">
        <f t="shared" si="957"/>
        <v>Штанги буровые</v>
      </c>
      <c r="C418" s="36">
        <f t="shared" si="958"/>
        <v>12</v>
      </c>
      <c r="D418" s="100" t="str">
        <f t="shared" si="959"/>
        <v>Штанги буровые</v>
      </c>
      <c r="E418" s="101" t="str">
        <f t="shared" si="960"/>
        <v>руб/м3</v>
      </c>
      <c r="F418" s="102"/>
      <c r="G418" s="103">
        <f>G398/'ФОТ, МТР, макро'!AJ$15/(G340/G335)</f>
        <v>0</v>
      </c>
      <c r="H418" s="103">
        <f>H398/'ФОТ, МТР, макро'!AK$15/(H340/H335)</f>
        <v>0</v>
      </c>
      <c r="I418" s="103">
        <f>I398/'ФОТ, МТР, макро'!AL$15/(I340/I335)</f>
        <v>0</v>
      </c>
      <c r="J418" s="103">
        <f>J398/'ФОТ, МТР, макро'!AM$15/(J340/J335)</f>
        <v>0</v>
      </c>
      <c r="K418" s="103">
        <f>K398/'ФОТ, МТР, макро'!AN$15/(K340/K335)</f>
        <v>0</v>
      </c>
      <c r="L418" s="103">
        <f>L398/'ФОТ, МТР, макро'!AO$15/(L340/L335)</f>
        <v>0</v>
      </c>
      <c r="M418" s="103">
        <f>M398/'ФОТ, МТР, макро'!AP$15/(M340/M335)</f>
        <v>0</v>
      </c>
      <c r="N418" s="103">
        <f>N398/'ФОТ, МТР, макро'!AQ$15/(N340/N335)</f>
        <v>0</v>
      </c>
      <c r="O418" s="103">
        <f>O398/'ФОТ, МТР, макро'!AR$15/(O340/O335)</f>
        <v>0</v>
      </c>
      <c r="P418" s="103">
        <f>P398/'ФОТ, МТР, макро'!AS$15/(P340/P335)</f>
        <v>0</v>
      </c>
      <c r="Q418" s="103">
        <f>Q398/'ФОТ, МТР, макро'!AT$15/(Q340/Q335)</f>
        <v>0</v>
      </c>
      <c r="R418" s="103">
        <f>R398/'ФОТ, МТР, макро'!AU$15/(R340/R335)</f>
        <v>0</v>
      </c>
      <c r="S418" s="103" t="e">
        <f>S398/'ФОТ, МТР, макро'!AV$15/(S340/S335)</f>
        <v>#DIV/0!</v>
      </c>
      <c r="T418" s="103" t="e">
        <f>T398/'ФОТ, МТР, макро'!AW$15/(T340/T335)</f>
        <v>#DIV/0!</v>
      </c>
      <c r="U418" s="103" t="e">
        <f>U398/'ФОТ, МТР, макро'!AX$15/(U340/U335)</f>
        <v>#DIV/0!</v>
      </c>
      <c r="V418" s="103" t="e">
        <f>V398/'ФОТ, МТР, макро'!AY$15/(V340/V335)</f>
        <v>#DIV/0!</v>
      </c>
      <c r="W418" s="103" t="e">
        <f>W398/'ФОТ, МТР, макро'!AZ$15/(W340/W335)</f>
        <v>#DIV/0!</v>
      </c>
      <c r="X418" s="103" t="e">
        <f>X398/'ФОТ, МТР, макро'!BA$15/(X340/X335)</f>
        <v>#DIV/0!</v>
      </c>
      <c r="Y418" s="103" t="e">
        <f>Y398/'ФОТ, МТР, макро'!BB$15/(Y340/Y335)</f>
        <v>#DIV/0!</v>
      </c>
      <c r="Z418" s="103" t="e">
        <f>Z398/'ФОТ, МТР, макро'!BC$15/(Z340/Z335)</f>
        <v>#DIV/0!</v>
      </c>
      <c r="AA418" s="175"/>
      <c r="AC418" s="104" cm="1">
        <f t="array" ref="AC418">INDEX(G418:Z418,1,$C418)</f>
        <v>0</v>
      </c>
    </row>
    <row r="419" spans="1:29" outlineLevel="1" x14ac:dyDescent="0.25">
      <c r="A419" s="36" t="str">
        <f t="shared" si="914"/>
        <v>YANGZI DR75</v>
      </c>
      <c r="B419" s="36" t="str">
        <f t="shared" si="957"/>
        <v>Расходники</v>
      </c>
      <c r="C419" s="36">
        <f t="shared" si="958"/>
        <v>12</v>
      </c>
      <c r="D419" s="100" t="str">
        <f t="shared" si="959"/>
        <v>Расходники</v>
      </c>
      <c r="E419" s="101" t="str">
        <f t="shared" si="960"/>
        <v>руб/м3</v>
      </c>
      <c r="F419" s="102"/>
      <c r="G419" s="103">
        <f>G399/'ФОТ, МТР, макро'!AJ$15/(G340/G335)</f>
        <v>0</v>
      </c>
      <c r="H419" s="103">
        <f>H399/'ФОТ, МТР, макро'!AK$15/(H340/H335)</f>
        <v>0</v>
      </c>
      <c r="I419" s="103">
        <f>I399/'ФОТ, МТР, макро'!AL$15/(I340/I335)</f>
        <v>0</v>
      </c>
      <c r="J419" s="103">
        <f>J399/'ФОТ, МТР, макро'!AM$15/(J340/J335)</f>
        <v>0</v>
      </c>
      <c r="K419" s="103">
        <f>K399/'ФОТ, МТР, макро'!AN$15/(K340/K335)</f>
        <v>0</v>
      </c>
      <c r="L419" s="103">
        <f>L399/'ФОТ, МТР, макро'!AO$15/(L340/L335)</f>
        <v>0</v>
      </c>
      <c r="M419" s="103">
        <f>M399/'ФОТ, МТР, макро'!AP$15/(M340/M335)</f>
        <v>0</v>
      </c>
      <c r="N419" s="103">
        <f>N399/'ФОТ, МТР, макро'!AQ$15/(N340/N335)</f>
        <v>0</v>
      </c>
      <c r="O419" s="103">
        <f>O399/'ФОТ, МТР, макро'!AR$15/(O340/O335)</f>
        <v>0</v>
      </c>
      <c r="P419" s="103">
        <f>P399/'ФОТ, МТР, макро'!AS$15/(P340/P335)</f>
        <v>0</v>
      </c>
      <c r="Q419" s="103">
        <f>Q399/'ФОТ, МТР, макро'!AT$15/(Q340/Q335)</f>
        <v>0</v>
      </c>
      <c r="R419" s="103">
        <f>R399/'ФОТ, МТР, макро'!AU$15/(R340/R335)</f>
        <v>0</v>
      </c>
      <c r="S419" s="103" t="e">
        <f>S399/'ФОТ, МТР, макро'!AV$15/(S340/S335)</f>
        <v>#DIV/0!</v>
      </c>
      <c r="T419" s="103" t="e">
        <f>T399/'ФОТ, МТР, макро'!AW$15/(T340/T335)</f>
        <v>#DIV/0!</v>
      </c>
      <c r="U419" s="103" t="e">
        <f>U399/'ФОТ, МТР, макро'!AX$15/(U340/U335)</f>
        <v>#DIV/0!</v>
      </c>
      <c r="V419" s="103" t="e">
        <f>V399/'ФОТ, МТР, макро'!AY$15/(V340/V335)</f>
        <v>#DIV/0!</v>
      </c>
      <c r="W419" s="103" t="e">
        <f>W399/'ФОТ, МТР, макро'!AZ$15/(W340/W335)</f>
        <v>#DIV/0!</v>
      </c>
      <c r="X419" s="103" t="e">
        <f>X399/'ФОТ, МТР, макро'!BA$15/(X340/X335)</f>
        <v>#DIV/0!</v>
      </c>
      <c r="Y419" s="103" t="e">
        <f>Y399/'ФОТ, МТР, макро'!BB$15/(Y340/Y335)</f>
        <v>#DIV/0!</v>
      </c>
      <c r="Z419" s="103" t="e">
        <f>Z399/'ФОТ, МТР, макро'!BC$15/(Z340/Z335)</f>
        <v>#DIV/0!</v>
      </c>
      <c r="AA419" s="175"/>
      <c r="AC419" s="104" cm="1">
        <f t="array" ref="AC419">INDEX(G419:Z419,1,$C419)</f>
        <v>0</v>
      </c>
    </row>
    <row r="420" spans="1:29" outlineLevel="1" x14ac:dyDescent="0.25">
      <c r="A420" s="36" t="str">
        <f t="shared" si="914"/>
        <v>YANGZI DR75</v>
      </c>
      <c r="B420" s="36" t="str">
        <f t="shared" si="957"/>
        <v>Топливо/Электроэнергия</v>
      </c>
      <c r="C420" s="36">
        <f t="shared" si="958"/>
        <v>12</v>
      </c>
      <c r="D420" s="100" t="str">
        <f t="shared" si="959"/>
        <v>Топливо/Электроэнергия</v>
      </c>
      <c r="E420" s="101" t="str">
        <f t="shared" si="960"/>
        <v>руб/м3</v>
      </c>
      <c r="F420" s="102"/>
      <c r="G420" s="103">
        <f>G400/'ФОТ, МТР, макро'!AJ$15/(G340/G335)</f>
        <v>5.9553645480467354</v>
      </c>
      <c r="H420" s="103">
        <f>H400/'ФОТ, МТР, макро'!AK$15/(H340/H335)</f>
        <v>6.0123170402780026</v>
      </c>
      <c r="I420" s="103">
        <f>I400/'ФОТ, МТР, макро'!AL$15/(I340/I335)</f>
        <v>6.148927972203535</v>
      </c>
      <c r="J420" s="103">
        <f>J400/'ФОТ, МТР, макро'!AM$15/(J340/J335)</f>
        <v>6.1241550760597168</v>
      </c>
      <c r="K420" s="103">
        <f>K400/'ФОТ, МТР, макро'!AN$15/(K340/K335)</f>
        <v>6.1043091999464263</v>
      </c>
      <c r="L420" s="103">
        <f>L400/'ФОТ, МТР, макро'!AO$15/(L340/L335)</f>
        <v>6.1823171488720776</v>
      </c>
      <c r="M420" s="103">
        <f>M400/'ФОТ, МТР, макро'!AP$15/(M340/M335)</f>
        <v>6.2467650613871681</v>
      </c>
      <c r="N420" s="103">
        <f>N400/'ФОТ, МТР, макро'!AQ$15/(N340/N335)</f>
        <v>6.19428618038532</v>
      </c>
      <c r="O420" s="103">
        <f>O400/'ФОТ, МТР, макро'!AR$15/(O340/O335)</f>
        <v>6.2038471173804286</v>
      </c>
      <c r="P420" s="103">
        <f>P400/'ФОТ, МТР, макро'!AS$15/(P340/P335)</f>
        <v>6.2467761942269719</v>
      </c>
      <c r="Q420" s="103">
        <f>Q400/'ФОТ, МТР, макро'!AT$15/(Q340/Q335)</f>
        <v>6.2007479393164893</v>
      </c>
      <c r="R420" s="103">
        <f>R400/'ФОТ, МТР, макро'!AU$15/(R340/R335)</f>
        <v>6.1470539467876</v>
      </c>
      <c r="S420" s="103" t="e">
        <f>S400/'ФОТ, МТР, макро'!AV$15/(S340/S335)</f>
        <v>#DIV/0!</v>
      </c>
      <c r="T420" s="103" t="e">
        <f>T400/'ФОТ, МТР, макро'!AW$15/(T340/T335)</f>
        <v>#DIV/0!</v>
      </c>
      <c r="U420" s="103" t="e">
        <f>U400/'ФОТ, МТР, макро'!AX$15/(U340/U335)</f>
        <v>#DIV/0!</v>
      </c>
      <c r="V420" s="103" t="e">
        <f>V400/'ФОТ, МТР, макро'!AY$15/(V340/V335)</f>
        <v>#DIV/0!</v>
      </c>
      <c r="W420" s="103" t="e">
        <f>W400/'ФОТ, МТР, макро'!AZ$15/(W340/W335)</f>
        <v>#DIV/0!</v>
      </c>
      <c r="X420" s="103" t="e">
        <f>X400/'ФОТ, МТР, макро'!BA$15/(X340/X335)</f>
        <v>#DIV/0!</v>
      </c>
      <c r="Y420" s="103" t="e">
        <f>Y400/'ФОТ, МТР, макро'!BB$15/(Y340/Y335)</f>
        <v>#DIV/0!</v>
      </c>
      <c r="Z420" s="103" t="e">
        <f>Z400/'ФОТ, МТР, макро'!BC$15/(Z340/Z335)</f>
        <v>#DIV/0!</v>
      </c>
      <c r="AA420" s="175"/>
      <c r="AC420" s="104" cm="1">
        <f t="array" ref="AC420">INDEX(G420:Z420,1,$C420)</f>
        <v>6.1470539467876</v>
      </c>
    </row>
    <row r="421" spans="1:29" outlineLevel="1" x14ac:dyDescent="0.25">
      <c r="A421" s="36" t="str">
        <f t="shared" si="914"/>
        <v>YANGZI DR75</v>
      </c>
      <c r="B421" s="36" t="str">
        <f t="shared" si="957"/>
        <v>Затраты на персонал</v>
      </c>
      <c r="C421" s="36">
        <f t="shared" si="958"/>
        <v>12</v>
      </c>
      <c r="D421" s="100" t="str">
        <f t="shared" si="959"/>
        <v>Затраты на персонал</v>
      </c>
      <c r="E421" s="101" t="str">
        <f t="shared" si="960"/>
        <v>руб/м3</v>
      </c>
      <c r="F421" s="102"/>
      <c r="G421" s="103">
        <f>G401/'ФОТ, МТР, макро'!AJ$15/(G340/G335)</f>
        <v>2.9534604226256751</v>
      </c>
      <c r="H421" s="103">
        <f>H401/'ФОТ, МТР, макро'!AK$15/(H340/H335)</f>
        <v>3.002642831201026</v>
      </c>
      <c r="I421" s="103">
        <f>I401/'ФОТ, МТР, макро'!AL$15/(I340/I335)</f>
        <v>3.0644912408877598</v>
      </c>
      <c r="J421" s="103">
        <f>J401/'ФОТ, МТР, макро'!AM$15/(J340/J335)</f>
        <v>3.0584964520506741</v>
      </c>
      <c r="K421" s="103">
        <f>K401/'ФОТ, МТР, макро'!AN$15/(K340/K335)</f>
        <v>3.0683878510419902</v>
      </c>
      <c r="L421" s="103">
        <f>L401/'ФОТ, МТР, макро'!AO$15/(L340/L335)</f>
        <v>3.1081431816278697</v>
      </c>
      <c r="M421" s="103">
        <f>M401/'ФОТ, МТР, макро'!AP$15/(M340/M335)</f>
        <v>3.1636732528704852</v>
      </c>
      <c r="N421" s="103">
        <f>N401/'ФОТ, МТР, макро'!AQ$15/(N340/N335)</f>
        <v>3.1347933510021209</v>
      </c>
      <c r="O421" s="103">
        <f>O401/'ФОТ, МТР, макро'!AR$15/(O340/O335)</f>
        <v>3.1359098509901098</v>
      </c>
      <c r="P421" s="103">
        <f>P401/'ФОТ, МТР, макро'!AS$15/(P340/P335)</f>
        <v>3.1694958070530372</v>
      </c>
      <c r="Q421" s="103">
        <f>Q401/'ФОТ, МТР, макро'!AT$15/(Q340/Q335)</f>
        <v>3.1430745805891127</v>
      </c>
      <c r="R421" s="103">
        <f>R401/'ФОТ, МТР, макро'!AU$15/(R340/R335)</f>
        <v>3.1149572375171966</v>
      </c>
      <c r="S421" s="103" t="e">
        <f>S401/'ФОТ, МТР, макро'!AV$15/(S340/S335)</f>
        <v>#DIV/0!</v>
      </c>
      <c r="T421" s="103" t="e">
        <f>T401/'ФОТ, МТР, макро'!AW$15/(T340/T335)</f>
        <v>#DIV/0!</v>
      </c>
      <c r="U421" s="103" t="e">
        <f>U401/'ФОТ, МТР, макро'!AX$15/(U340/U335)</f>
        <v>#DIV/0!</v>
      </c>
      <c r="V421" s="103" t="e">
        <f>V401/'ФОТ, МТР, макро'!AY$15/(V340/V335)</f>
        <v>#DIV/0!</v>
      </c>
      <c r="W421" s="103" t="e">
        <f>W401/'ФОТ, МТР, макро'!AZ$15/(W340/W335)</f>
        <v>#DIV/0!</v>
      </c>
      <c r="X421" s="103" t="e">
        <f>X401/'ФОТ, МТР, макро'!BA$15/(X340/X335)</f>
        <v>#DIV/0!</v>
      </c>
      <c r="Y421" s="103" t="e">
        <f>Y401/'ФОТ, МТР, макро'!BB$15/(Y340/Y335)</f>
        <v>#DIV/0!</v>
      </c>
      <c r="Z421" s="103" t="e">
        <f>Z401/'ФОТ, МТР, макро'!BC$15/(Z340/Z335)</f>
        <v>#DIV/0!</v>
      </c>
      <c r="AA421" s="175"/>
      <c r="AC421" s="104" cm="1">
        <f t="array" ref="AC421">INDEX(G421:Z421,1,$C421)</f>
        <v>3.1149572375171966</v>
      </c>
    </row>
    <row r="422" spans="1:29" outlineLevel="1" x14ac:dyDescent="0.25">
      <c r="A422" s="36" t="str">
        <f t="shared" si="914"/>
        <v>YANGZI DR75</v>
      </c>
      <c r="B422" s="36" t="str">
        <f t="shared" si="957"/>
        <v>Транспортный налог</v>
      </c>
      <c r="C422" s="36">
        <f t="shared" si="958"/>
        <v>12</v>
      </c>
      <c r="D422" s="100" t="str">
        <f t="shared" si="959"/>
        <v>Транспортный налог</v>
      </c>
      <c r="E422" s="101" t="str">
        <f t="shared" si="960"/>
        <v>руб/м3</v>
      </c>
      <c r="F422" s="102"/>
      <c r="G422" s="103">
        <f>G402/'ФОТ, МТР, макро'!AJ$15/(G340/G335)</f>
        <v>2.2559675103153306E-3</v>
      </c>
      <c r="H422" s="103">
        <f>H402/'ФОТ, МТР, макро'!AK$15/(H340/H335)</f>
        <v>2.2935349396856573E-3</v>
      </c>
      <c r="I422" s="103">
        <f>I402/'ФОТ, МТР, макро'!AL$15/(I340/I335)</f>
        <v>2.3407771514820492E-3</v>
      </c>
      <c r="J422" s="103">
        <f>J402/'ФОТ, МТР, макро'!AM$15/(J340/J335)</f>
        <v>2.336198099484581E-3</v>
      </c>
      <c r="K422" s="103">
        <f>K402/'ФОТ, МТР, макро'!AN$15/(K340/K335)</f>
        <v>2.343753533302156E-3</v>
      </c>
      <c r="L422" s="103">
        <f>L402/'ФОТ, МТР, макро'!AO$15/(L340/L335)</f>
        <v>2.3741201952274427E-3</v>
      </c>
      <c r="M422" s="103">
        <f>M402/'ФОТ, МТР, макро'!AP$15/(M340/M335)</f>
        <v>2.4165362152997437E-3</v>
      </c>
      <c r="N422" s="103">
        <f>N402/'ФОТ, МТР, макро'!AQ$15/(N340/N335)</f>
        <v>2.3944766272256958E-3</v>
      </c>
      <c r="O422" s="103">
        <f>O402/'ФОТ, МТР, макро'!AR$15/(O340/O335)</f>
        <v>2.3953294531782209E-3</v>
      </c>
      <c r="P422" s="103">
        <f>P402/'ФОТ, МТР, макро'!AS$15/(P340/P335)</f>
        <v>2.4209837077943984E-3</v>
      </c>
      <c r="Q422" s="103">
        <f>Q402/'ФОТ, МТР, макро'!AT$15/(Q340/Q335)</f>
        <v>2.400802151262042E-3</v>
      </c>
      <c r="R422" s="103">
        <f>R402/'ФОТ, МТР, макро'!AU$15/(R340/R335)</f>
        <v>2.3793250351440481E-3</v>
      </c>
      <c r="S422" s="103" t="e">
        <f>S402/'ФОТ, МТР, макро'!AV$15/(S340/S335)</f>
        <v>#DIV/0!</v>
      </c>
      <c r="T422" s="103" t="e">
        <f>T402/'ФОТ, МТР, макро'!AW$15/(T340/T335)</f>
        <v>#DIV/0!</v>
      </c>
      <c r="U422" s="103" t="e">
        <f>U402/'ФОТ, МТР, макро'!AX$15/(U340/U335)</f>
        <v>#DIV/0!</v>
      </c>
      <c r="V422" s="103" t="e">
        <f>V402/'ФОТ, МТР, макро'!AY$15/(V340/V335)</f>
        <v>#DIV/0!</v>
      </c>
      <c r="W422" s="103" t="e">
        <f>W402/'ФОТ, МТР, макро'!AZ$15/(W340/W335)</f>
        <v>#DIV/0!</v>
      </c>
      <c r="X422" s="103" t="e">
        <f>X402/'ФОТ, МТР, макро'!BA$15/(X340/X335)</f>
        <v>#DIV/0!</v>
      </c>
      <c r="Y422" s="103" t="e">
        <f>Y402/'ФОТ, МТР, макро'!BB$15/(Y340/Y335)</f>
        <v>#DIV/0!</v>
      </c>
      <c r="Z422" s="103" t="e">
        <f>Z402/'ФОТ, МТР, макро'!BC$15/(Z340/Z335)</f>
        <v>#DIV/0!</v>
      </c>
      <c r="AA422" s="175"/>
      <c r="AC422" s="104" cm="1">
        <f t="array" ref="AC422">INDEX(G422:Z422,1,$C422)</f>
        <v>2.3793250351440481E-3</v>
      </c>
    </row>
    <row r="423" spans="1:29" outlineLevel="1" x14ac:dyDescent="0.25">
      <c r="A423" s="36" t="str">
        <f t="shared" si="914"/>
        <v>YANGZI DR75</v>
      </c>
      <c r="B423" s="36" t="str">
        <f t="shared" si="957"/>
        <v>Налог на прибыль</v>
      </c>
      <c r="C423" s="36">
        <f t="shared" si="958"/>
        <v>12</v>
      </c>
      <c r="D423" s="100" t="str">
        <f t="shared" si="959"/>
        <v>Налог на прибыль</v>
      </c>
      <c r="E423" s="101" t="str">
        <f t="shared" si="960"/>
        <v>руб/м3</v>
      </c>
      <c r="F423" s="29"/>
      <c r="G423" s="103">
        <f>G403/'ФОТ, МТР, макро'!AJ$15/(G340/G335)</f>
        <v>-2.9077940410717327</v>
      </c>
      <c r="H423" s="103">
        <f>H403/'ФОТ, МТР, макро'!AK$15/(H340/H335)</f>
        <v>-3.2214263544046835</v>
      </c>
      <c r="I423" s="103">
        <f>I403/'ФОТ, МТР, макро'!AL$15/(I340/I335)</f>
        <v>-3.4857360050159043</v>
      </c>
      <c r="J423" s="103">
        <f>J403/'ФОТ, МТР, макро'!AM$15/(J340/J335)</f>
        <v>-3.5212526223267124</v>
      </c>
      <c r="K423" s="103">
        <f>K403/'ФОТ, МТР, макро'!AN$15/(K340/K335)</f>
        <v>-3.5090433164128778</v>
      </c>
      <c r="L423" s="103">
        <f>L403/'ФОТ, МТР, макро'!AO$15/(L340/L335)</f>
        <v>-3.6294176300686778</v>
      </c>
      <c r="M423" s="103">
        <f>M403/'ФОТ, МТР, макро'!AP$15/(M340/M335)</f>
        <v>-3.6868265569602978</v>
      </c>
      <c r="N423" s="103">
        <f>N403/'ФОТ, МТР, макро'!AQ$15/(N340/N335)</f>
        <v>-3.6795629558261536</v>
      </c>
      <c r="O423" s="103">
        <f>O403/'ФОТ, МТР, макро'!AR$15/(O340/O335)</f>
        <v>-3.6941275854952336</v>
      </c>
      <c r="P423" s="103">
        <f>P403/'ФОТ, МТР, макро'!AS$15/(P340/P335)</f>
        <v>-3.7411838937287918</v>
      </c>
      <c r="Q423" s="103">
        <f>Q403/'ФОТ, МТР, макро'!AT$15/(Q340/Q335)</f>
        <v>-3.7066994645065923</v>
      </c>
      <c r="R423" s="103">
        <f>R403/'ФОТ, МТР, макро'!AU$15/(R340/R335)</f>
        <v>-3.6819337508385059</v>
      </c>
      <c r="S423" s="103" t="e">
        <f>S403/'ФОТ, МТР, макро'!AV$15/(S340/S335)</f>
        <v>#DIV/0!</v>
      </c>
      <c r="T423" s="103" t="e">
        <f>T403/'ФОТ, МТР, макро'!AW$15/(T340/T335)</f>
        <v>#DIV/0!</v>
      </c>
      <c r="U423" s="103" t="e">
        <f>U403/'ФОТ, МТР, макро'!AX$15/(U340/U335)</f>
        <v>#DIV/0!</v>
      </c>
      <c r="V423" s="103" t="e">
        <f>V403/'ФОТ, МТР, макро'!AY$15/(V340/V335)</f>
        <v>#DIV/0!</v>
      </c>
      <c r="W423" s="103" t="e">
        <f>W403/'ФОТ, МТР, макро'!AZ$15/(W340/W335)</f>
        <v>#DIV/0!</v>
      </c>
      <c r="X423" s="103" t="e">
        <f>X403/'ФОТ, МТР, макро'!BA$15/(X340/X335)</f>
        <v>#DIV/0!</v>
      </c>
      <c r="Y423" s="103" t="e">
        <f>Y403/'ФОТ, МТР, макро'!BB$15/(Y340/Y335)</f>
        <v>#DIV/0!</v>
      </c>
      <c r="Z423" s="103" t="e">
        <f>Z403/'ФОТ, МТР, макро'!BC$15/(Z340/Z335)</f>
        <v>#DIV/0!</v>
      </c>
      <c r="AA423" s="175"/>
      <c r="AC423" s="104" cm="1">
        <f t="array" ref="AC423">INDEX(G423:Z423,1,$C423)</f>
        <v>-3.6819337508385059</v>
      </c>
    </row>
    <row r="424" spans="1:29" outlineLevel="1" x14ac:dyDescent="0.25">
      <c r="A424" s="36" t="str">
        <f t="shared" si="914"/>
        <v>YANGZI DR75</v>
      </c>
      <c r="B424" s="36" t="str">
        <f t="shared" si="957"/>
        <v>Аннуитет инвестиционный</v>
      </c>
      <c r="C424" s="36">
        <f t="shared" si="958"/>
        <v>12</v>
      </c>
      <c r="D424" s="95" t="s">
        <v>74</v>
      </c>
      <c r="E424" s="105" t="str">
        <f>E414</f>
        <v>руб/м3</v>
      </c>
      <c r="F424" s="106"/>
      <c r="G424" s="98">
        <f>G408/'ФОТ, МТР, макро'!AJ$15/(G340/G335)</f>
        <v>0</v>
      </c>
      <c r="H424" s="98">
        <f>H408/'ФОТ, МТР, макро'!AK$15/(H340/H335)</f>
        <v>0</v>
      </c>
      <c r="I424" s="98">
        <f>I408/'ФОТ, МТР, макро'!AL$15/(I340/I335)</f>
        <v>0</v>
      </c>
      <c r="J424" s="98">
        <f>J408/'ФОТ, МТР, макро'!AM$15/(J340/J335)</f>
        <v>0</v>
      </c>
      <c r="K424" s="98">
        <f>K408/'ФОТ, МТР, макро'!AN$15/(K340/K335)</f>
        <v>0</v>
      </c>
      <c r="L424" s="98">
        <f>L408/'ФОТ, МТР, макро'!AO$15/(L340/L335)</f>
        <v>0</v>
      </c>
      <c r="M424" s="98">
        <f>M408/'ФОТ, МТР, макро'!AP$15/(M340/M335)</f>
        <v>0</v>
      </c>
      <c r="N424" s="98">
        <f>N408/'ФОТ, МТР, макро'!AQ$15/(N340/N335)</f>
        <v>0</v>
      </c>
      <c r="O424" s="98">
        <f>O408/'ФОТ, МТР, макро'!AR$15/(O340/O335)</f>
        <v>0</v>
      </c>
      <c r="P424" s="98">
        <f>P408/'ФОТ, МТР, макро'!AS$15/(P340/P335)</f>
        <v>0</v>
      </c>
      <c r="Q424" s="98">
        <f>Q408/'ФОТ, МТР, макро'!AT$15/(Q340/Q335)</f>
        <v>0</v>
      </c>
      <c r="R424" s="98">
        <f>R408/'ФОТ, МТР, макро'!AU$15/(R340/R335)</f>
        <v>0</v>
      </c>
      <c r="S424" s="98" t="e">
        <f>S408/'ФОТ, МТР, макро'!AV$15/(S340/S335)</f>
        <v>#DIV/0!</v>
      </c>
      <c r="T424" s="98" t="e">
        <f>T408/'ФОТ, МТР, макро'!AW$15/(T340/T335)</f>
        <v>#DIV/0!</v>
      </c>
      <c r="U424" s="98" t="e">
        <f>U408/'ФОТ, МТР, макро'!AX$15/(U340/U335)</f>
        <v>#DIV/0!</v>
      </c>
      <c r="V424" s="98" t="e">
        <f>V408/'ФОТ, МТР, макро'!AY$15/(V340/V335)</f>
        <v>#DIV/0!</v>
      </c>
      <c r="W424" s="98" t="e">
        <f>W408/'ФОТ, МТР, макро'!AZ$15/(W340/W335)</f>
        <v>#DIV/0!</v>
      </c>
      <c r="X424" s="98" t="e">
        <f>X408/'ФОТ, МТР, макро'!BA$15/(X340/X335)</f>
        <v>#DIV/0!</v>
      </c>
      <c r="Y424" s="98" t="e">
        <f>Y408/'ФОТ, МТР, макро'!BB$15/(Y340/Y335)</f>
        <v>#DIV/0!</v>
      </c>
      <c r="Z424" s="98" t="e">
        <f>Z408/'ФОТ, МТР, макро'!BC$15/(Z340/Z335)</f>
        <v>#DIV/0!</v>
      </c>
      <c r="AA424" s="175"/>
      <c r="AC424" s="99" cm="1">
        <f t="array" ref="AC424">INDEX(G424:Z424,1,$C424)</f>
        <v>0</v>
      </c>
    </row>
    <row r="425" spans="1:29" outlineLevel="1" x14ac:dyDescent="0.25">
      <c r="A425" s="36" t="str">
        <f t="shared" si="914"/>
        <v>YANGZI DR75</v>
      </c>
      <c r="B425" s="36" t="str">
        <f t="shared" si="957"/>
        <v>Буровой станок</v>
      </c>
      <c r="C425" s="36">
        <f t="shared" si="958"/>
        <v>12</v>
      </c>
      <c r="D425" s="88" t="str">
        <f>D409</f>
        <v>Буровой станок</v>
      </c>
      <c r="E425" s="9" t="str">
        <f>E424</f>
        <v>руб/м3</v>
      </c>
      <c r="F425" s="29"/>
      <c r="G425" s="107">
        <f>G409/'ФОТ, МТР, макро'!AJ$15/(G340/G335)</f>
        <v>0</v>
      </c>
      <c r="H425" s="107">
        <f>H409/'ФОТ, МТР, макро'!AK$15/(H340/H335)</f>
        <v>0</v>
      </c>
      <c r="I425" s="107">
        <f>I409/'ФОТ, МТР, макро'!AL$15/(I340/I335)</f>
        <v>0</v>
      </c>
      <c r="J425" s="107">
        <f>J409/'ФОТ, МТР, макро'!AM$15/(J340/J335)</f>
        <v>0</v>
      </c>
      <c r="K425" s="107">
        <f>K409/'ФОТ, МТР, макро'!AN$15/(K340/K335)</f>
        <v>0</v>
      </c>
      <c r="L425" s="107">
        <f>L409/'ФОТ, МТР, макро'!AO$15/(L340/L335)</f>
        <v>0</v>
      </c>
      <c r="M425" s="107">
        <f>M409/'ФОТ, МТР, макро'!AP$15/(M340/M335)</f>
        <v>0</v>
      </c>
      <c r="N425" s="107">
        <f>N409/'ФОТ, МТР, макро'!AQ$15/(N340/N335)</f>
        <v>0</v>
      </c>
      <c r="O425" s="107">
        <f>O409/'ФОТ, МТР, макро'!AR$15/(O340/O335)</f>
        <v>0</v>
      </c>
      <c r="P425" s="107">
        <f>P409/'ФОТ, МТР, макро'!AS$15/(P340/P335)</f>
        <v>0</v>
      </c>
      <c r="Q425" s="107">
        <f>Q409/'ФОТ, МТР, макро'!AT$15/(Q340/Q335)</f>
        <v>0</v>
      </c>
      <c r="R425" s="107">
        <f>R409/'ФОТ, МТР, макро'!AU$15/(R340/R335)</f>
        <v>0</v>
      </c>
      <c r="S425" s="107" t="e">
        <f>S409/'ФОТ, МТР, макро'!AV$15/(S340/S335)</f>
        <v>#DIV/0!</v>
      </c>
      <c r="T425" s="107" t="e">
        <f>T409/'ФОТ, МТР, макро'!AW$15/(T340/T335)</f>
        <v>#DIV/0!</v>
      </c>
      <c r="U425" s="107" t="e">
        <f>U409/'ФОТ, МТР, макро'!AX$15/(U340/U335)</f>
        <v>#DIV/0!</v>
      </c>
      <c r="V425" s="107" t="e">
        <f>V409/'ФОТ, МТР, макро'!AY$15/(V340/V335)</f>
        <v>#DIV/0!</v>
      </c>
      <c r="W425" s="107" t="e">
        <f>W409/'ФОТ, МТР, макро'!AZ$15/(W340/W335)</f>
        <v>#DIV/0!</v>
      </c>
      <c r="X425" s="107" t="e">
        <f>X409/'ФОТ, МТР, макро'!BA$15/(X340/X335)</f>
        <v>#DIV/0!</v>
      </c>
      <c r="Y425" s="107" t="e">
        <f>Y409/'ФОТ, МТР, макро'!BB$15/(Y340/Y335)</f>
        <v>#DIV/0!</v>
      </c>
      <c r="Z425" s="107" t="e">
        <f>Z409/'ФОТ, МТР, макро'!BC$15/(Z340/Z335)</f>
        <v>#DIV/0!</v>
      </c>
      <c r="AA425" s="175"/>
      <c r="AC425" s="104" cm="1">
        <f t="array" ref="AC425">INDEX(G425:Z425,1,$C425)</f>
        <v>0</v>
      </c>
    </row>
    <row r="426" spans="1:29" outlineLevel="1" x14ac:dyDescent="0.25">
      <c r="A426" s="36" t="str">
        <f t="shared" si="914"/>
        <v>YANGZI DR75</v>
      </c>
      <c r="B426" s="36" t="str">
        <f t="shared" si="957"/>
        <v>Аннуитет общий</v>
      </c>
      <c r="C426" s="36">
        <f t="shared" si="958"/>
        <v>12</v>
      </c>
      <c r="D426" s="95" t="s">
        <v>75</v>
      </c>
      <c r="E426" s="105" t="str">
        <f>E414</f>
        <v>руб/м3</v>
      </c>
      <c r="F426" s="106"/>
      <c r="G426" s="98">
        <f>G412/'ФОТ, МТР, макро'!AJ$15/(G340/G335)</f>
        <v>8.7233821232151989</v>
      </c>
      <c r="H426" s="98">
        <f>H412/'ФОТ, МТР, макро'!AK$15/(H340/H335)</f>
        <v>9.6642790632140496</v>
      </c>
      <c r="I426" s="98">
        <f>I412/'ФОТ, МТР, макро'!AL$15/(I340/I335)</f>
        <v>10.457208015047714</v>
      </c>
      <c r="J426" s="98">
        <f>J412/'ФОТ, МТР, макро'!AM$15/(J340/J335)</f>
        <v>10.563757866980138</v>
      </c>
      <c r="K426" s="98">
        <f>K412/'ФОТ, МТР, макро'!AN$15/(K340/K335)</f>
        <v>10.527129949238633</v>
      </c>
      <c r="L426" s="98">
        <f>L412/'ФОТ, МТР, макро'!AO$15/(L340/L335)</f>
        <v>10.888252890206035</v>
      </c>
      <c r="M426" s="98">
        <f>M412/'ФОТ, МТР, макро'!AP$15/(M340/M335)</f>
        <v>11.060479670880893</v>
      </c>
      <c r="N426" s="98">
        <f>N412/'ФОТ, МТР, макро'!AQ$15/(N340/N335)</f>
        <v>11.038688867478459</v>
      </c>
      <c r="O426" s="98">
        <f>O412/'ФОТ, МТР, макро'!AR$15/(O340/O335)</f>
        <v>11.0823827564857</v>
      </c>
      <c r="P426" s="98">
        <f>P412/'ФОТ, МТР, макро'!AS$15/(P340/P335)</f>
        <v>11.223551681186374</v>
      </c>
      <c r="Q426" s="98">
        <f>Q412/'ФОТ, МТР, макро'!AT$15/(Q340/Q335)</f>
        <v>11.120098393519774</v>
      </c>
      <c r="R426" s="98">
        <f>R412/'ФОТ, МТР, макро'!AU$15/(R340/R335)</f>
        <v>11.045801252515515</v>
      </c>
      <c r="S426" s="98" t="e">
        <f>S412/'ФОТ, МТР, макро'!AV$15/(S340/S335)</f>
        <v>#DIV/0!</v>
      </c>
      <c r="T426" s="98" t="e">
        <f>T412/'ФОТ, МТР, макро'!AW$15/(T340/T335)</f>
        <v>#DIV/0!</v>
      </c>
      <c r="U426" s="98" t="e">
        <f>U412/'ФОТ, МТР, макро'!AX$15/(U340/U335)</f>
        <v>#DIV/0!</v>
      </c>
      <c r="V426" s="98" t="e">
        <f>V412/'ФОТ, МТР, макро'!AY$15/(V340/V335)</f>
        <v>#DIV/0!</v>
      </c>
      <c r="W426" s="98" t="e">
        <f>W412/'ФОТ, МТР, макро'!AZ$15/(W340/W335)</f>
        <v>#DIV/0!</v>
      </c>
      <c r="X426" s="98" t="e">
        <f>X412/'ФОТ, МТР, макро'!BA$15/(X340/X335)</f>
        <v>#DIV/0!</v>
      </c>
      <c r="Y426" s="98" t="e">
        <f>Y412/'ФОТ, МТР, макро'!BB$15/(Y340/Y335)</f>
        <v>#DIV/0!</v>
      </c>
      <c r="Z426" s="98" t="e">
        <f>Z412/'ФОТ, МТР, макро'!BC$15/(Z340/Z335)</f>
        <v>#DIV/0!</v>
      </c>
      <c r="AA426" s="175"/>
      <c r="AC426" s="99" cm="1">
        <f t="array" ref="AC426">INDEX(G426:Z426,1,$C426)</f>
        <v>11.045801252515515</v>
      </c>
    </row>
    <row r="427" spans="1:29" outlineLevel="1" x14ac:dyDescent="0.25">
      <c r="A427" s="36" t="str">
        <f t="shared" si="914"/>
        <v>YANGZI DR75</v>
      </c>
      <c r="B427" s="36"/>
      <c r="D427" s="108"/>
      <c r="E427" s="12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75"/>
    </row>
    <row r="428" spans="1:29" outlineLevel="1" x14ac:dyDescent="0.25">
      <c r="A428" s="36" t="str">
        <f t="shared" si="914"/>
        <v>YANGZI DR75</v>
      </c>
      <c r="B428" s="36"/>
      <c r="D428" s="110" t="s">
        <v>67</v>
      </c>
      <c r="E428" s="111"/>
      <c r="F428" s="112"/>
      <c r="G428" s="113">
        <f>G426-G414-G424+G414-SUM(G415:G423)+G424-G425</f>
        <v>0</v>
      </c>
      <c r="H428" s="113">
        <f t="shared" ref="H428:Z428" si="961">H426-H414-H424+H414-SUM(H415:H423)+H424-H425</f>
        <v>0</v>
      </c>
      <c r="I428" s="113">
        <f t="shared" si="961"/>
        <v>1.7763568394002505E-15</v>
      </c>
      <c r="J428" s="113">
        <f t="shared" si="961"/>
        <v>-1.7763568394002505E-15</v>
      </c>
      <c r="K428" s="113">
        <f t="shared" si="961"/>
        <v>0</v>
      </c>
      <c r="L428" s="113">
        <f t="shared" si="961"/>
        <v>0</v>
      </c>
      <c r="M428" s="113">
        <f t="shared" si="961"/>
        <v>1.7763568394002505E-15</v>
      </c>
      <c r="N428" s="113">
        <f t="shared" si="961"/>
        <v>-1.7763568394002505E-15</v>
      </c>
      <c r="O428" s="113">
        <f t="shared" si="961"/>
        <v>-3.5527136788005009E-15</v>
      </c>
      <c r="P428" s="113">
        <f t="shared" si="961"/>
        <v>-3.5527136788005009E-15</v>
      </c>
      <c r="Q428" s="113">
        <f t="shared" si="961"/>
        <v>-5.3290705182007514E-15</v>
      </c>
      <c r="R428" s="113">
        <f t="shared" si="961"/>
        <v>-5.3290705182007514E-15</v>
      </c>
      <c r="S428" s="113" t="e">
        <f t="shared" si="961"/>
        <v>#DIV/0!</v>
      </c>
      <c r="T428" s="113" t="e">
        <f t="shared" si="961"/>
        <v>#DIV/0!</v>
      </c>
      <c r="U428" s="113" t="e">
        <f t="shared" si="961"/>
        <v>#DIV/0!</v>
      </c>
      <c r="V428" s="113" t="e">
        <f t="shared" si="961"/>
        <v>#DIV/0!</v>
      </c>
      <c r="W428" s="113" t="e">
        <f t="shared" si="961"/>
        <v>#DIV/0!</v>
      </c>
      <c r="X428" s="113" t="e">
        <f t="shared" si="961"/>
        <v>#DIV/0!</v>
      </c>
      <c r="Y428" s="113" t="e">
        <f t="shared" si="961"/>
        <v>#DIV/0!</v>
      </c>
      <c r="Z428" s="113" t="e">
        <f t="shared" si="961"/>
        <v>#DIV/0!</v>
      </c>
      <c r="AA428" s="175"/>
    </row>
    <row r="429" spans="1:29" outlineLevel="1" x14ac:dyDescent="0.25">
      <c r="A429" s="36" t="str">
        <f t="shared" si="914"/>
        <v>YANGZI DR75</v>
      </c>
      <c r="B429" s="36"/>
      <c r="D429" s="112"/>
      <c r="E429" s="111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75"/>
    </row>
    <row r="430" spans="1:29" outlineLevel="1" x14ac:dyDescent="0.25">
      <c r="A430" s="36" t="str">
        <f t="shared" si="914"/>
        <v>YANGZI DR75</v>
      </c>
      <c r="B430" s="36"/>
      <c r="D430" s="114" t="s">
        <v>76</v>
      </c>
      <c r="E430" s="115" t="str">
        <f>E426</f>
        <v>руб/м3</v>
      </c>
      <c r="F430" s="116"/>
      <c r="G430" s="117">
        <f>SUM(G431:G438)</f>
        <v>11.631176164286931</v>
      </c>
      <c r="H430" s="117">
        <f t="shared" ref="H430:Z430" si="962">SUM(H431:H438)</f>
        <v>14.312180995320457</v>
      </c>
      <c r="I430" s="117">
        <f t="shared" si="962"/>
        <v>16.502891787223263</v>
      </c>
      <c r="J430" s="117">
        <f t="shared" si="962"/>
        <v>14.639097235623185</v>
      </c>
      <c r="K430" s="117">
        <f t="shared" si="962"/>
        <v>13.708256435439662</v>
      </c>
      <c r="L430" s="117">
        <f t="shared" si="962"/>
        <v>17.802970274751019</v>
      </c>
      <c r="M430" s="117">
        <f t="shared" si="962"/>
        <v>16.215234818127421</v>
      </c>
      <c r="N430" s="117">
        <f t="shared" si="962"/>
        <v>14.955478039709773</v>
      </c>
      <c r="O430" s="117">
        <f t="shared" si="962"/>
        <v>15.551156256845998</v>
      </c>
      <c r="P430" s="117">
        <f t="shared" si="962"/>
        <v>17.109893633111295</v>
      </c>
      <c r="Q430" s="117">
        <f t="shared" si="962"/>
        <v>13.44662572830639</v>
      </c>
      <c r="R430" s="117">
        <f t="shared" si="962"/>
        <v>14.115414485818453</v>
      </c>
      <c r="S430" s="117" t="e">
        <f t="shared" si="962"/>
        <v>#DIV/0!</v>
      </c>
      <c r="T430" s="117" t="e">
        <f t="shared" si="962"/>
        <v>#DIV/0!</v>
      </c>
      <c r="U430" s="117" t="e">
        <f t="shared" si="962"/>
        <v>#DIV/0!</v>
      </c>
      <c r="V430" s="117" t="e">
        <f t="shared" si="962"/>
        <v>#DIV/0!</v>
      </c>
      <c r="W430" s="117" t="e">
        <f t="shared" si="962"/>
        <v>#DIV/0!</v>
      </c>
      <c r="X430" s="117" t="e">
        <f t="shared" si="962"/>
        <v>#DIV/0!</v>
      </c>
      <c r="Y430" s="117" t="e">
        <f t="shared" si="962"/>
        <v>#DIV/0!</v>
      </c>
      <c r="Z430" s="117" t="e">
        <f t="shared" si="962"/>
        <v>#DIV/0!</v>
      </c>
      <c r="AA430" s="175"/>
    </row>
    <row r="431" spans="1:29" outlineLevel="1" x14ac:dyDescent="0.25">
      <c r="A431" s="36" t="str">
        <f t="shared" si="914"/>
        <v>YANGZI DR75</v>
      </c>
      <c r="B431" s="36"/>
      <c r="D431" s="100" t="str">
        <f>D415</f>
        <v>ТО, ТР, ППР</v>
      </c>
      <c r="E431" s="101" t="str">
        <f>E430</f>
        <v>руб/м3</v>
      </c>
      <c r="F431" s="102"/>
      <c r="G431" s="103">
        <f t="shared" ref="G431:Z431" si="963">G343/G339</f>
        <v>2.7200952261042044</v>
      </c>
      <c r="H431" s="103">
        <f t="shared" si="963"/>
        <v>5.1903112504270013</v>
      </c>
      <c r="I431" s="103">
        <f t="shared" si="963"/>
        <v>6.8595452912798596</v>
      </c>
      <c r="J431" s="103">
        <f t="shared" si="963"/>
        <v>5.5555821953073288</v>
      </c>
      <c r="K431" s="103">
        <f t="shared" si="963"/>
        <v>4.6280010486590513</v>
      </c>
      <c r="L431" s="103">
        <f t="shared" si="963"/>
        <v>7.8746578303825654</v>
      </c>
      <c r="M431" s="103">
        <f t="shared" si="963"/>
        <v>6.140558268700234</v>
      </c>
      <c r="N431" s="103">
        <f t="shared" si="963"/>
        <v>6.136196943143057</v>
      </c>
      <c r="O431" s="103">
        <f t="shared" si="963"/>
        <v>6.0807031009073915</v>
      </c>
      <c r="P431" s="103">
        <f t="shared" si="963"/>
        <v>7.1171285251300089</v>
      </c>
      <c r="Q431" s="103">
        <f t="shared" si="963"/>
        <v>4.7098842867336153</v>
      </c>
      <c r="R431" s="103">
        <f t="shared" si="963"/>
        <v>5.6435841734239061</v>
      </c>
      <c r="S431" s="103" t="e">
        <f t="shared" si="963"/>
        <v>#DIV/0!</v>
      </c>
      <c r="T431" s="103" t="e">
        <f t="shared" si="963"/>
        <v>#DIV/0!</v>
      </c>
      <c r="U431" s="103" t="e">
        <f t="shared" si="963"/>
        <v>#DIV/0!</v>
      </c>
      <c r="V431" s="103" t="e">
        <f t="shared" si="963"/>
        <v>#DIV/0!</v>
      </c>
      <c r="W431" s="103" t="e">
        <f t="shared" si="963"/>
        <v>#DIV/0!</v>
      </c>
      <c r="X431" s="103" t="e">
        <f t="shared" si="963"/>
        <v>#DIV/0!</v>
      </c>
      <c r="Y431" s="103" t="e">
        <f t="shared" si="963"/>
        <v>#DIV/0!</v>
      </c>
      <c r="Z431" s="103" t="e">
        <f t="shared" si="963"/>
        <v>#DIV/0!</v>
      </c>
      <c r="AA431" s="175"/>
    </row>
    <row r="432" spans="1:29" outlineLevel="1" x14ac:dyDescent="0.25">
      <c r="A432" s="36" t="str">
        <f t="shared" si="914"/>
        <v>YANGZI DR75</v>
      </c>
      <c r="B432" s="36"/>
      <c r="D432" s="100" t="str">
        <f t="shared" ref="D432:D438" si="964">D416</f>
        <v>Смазочные</v>
      </c>
      <c r="E432" s="101" t="str">
        <f t="shared" ref="E432:E438" si="965">E431</f>
        <v>руб/м3</v>
      </c>
      <c r="F432" s="102"/>
      <c r="G432" s="103">
        <f t="shared" ref="G432:Z432" si="966">G348/G339</f>
        <v>0</v>
      </c>
      <c r="H432" s="103">
        <f t="shared" si="966"/>
        <v>0</v>
      </c>
      <c r="I432" s="103">
        <f t="shared" si="966"/>
        <v>0</v>
      </c>
      <c r="J432" s="103">
        <f t="shared" si="966"/>
        <v>0</v>
      </c>
      <c r="K432" s="103">
        <f t="shared" si="966"/>
        <v>0</v>
      </c>
      <c r="L432" s="103">
        <f t="shared" si="966"/>
        <v>0</v>
      </c>
      <c r="M432" s="103">
        <f t="shared" si="966"/>
        <v>0</v>
      </c>
      <c r="N432" s="103">
        <f t="shared" si="966"/>
        <v>0</v>
      </c>
      <c r="O432" s="103">
        <f t="shared" si="966"/>
        <v>0</v>
      </c>
      <c r="P432" s="103">
        <f t="shared" si="966"/>
        <v>0</v>
      </c>
      <c r="Q432" s="103">
        <f t="shared" si="966"/>
        <v>0</v>
      </c>
      <c r="R432" s="103">
        <f t="shared" si="966"/>
        <v>0</v>
      </c>
      <c r="S432" s="103" t="e">
        <f t="shared" si="966"/>
        <v>#DIV/0!</v>
      </c>
      <c r="T432" s="103" t="e">
        <f t="shared" si="966"/>
        <v>#DIV/0!</v>
      </c>
      <c r="U432" s="103" t="e">
        <f t="shared" si="966"/>
        <v>#DIV/0!</v>
      </c>
      <c r="V432" s="103" t="e">
        <f t="shared" si="966"/>
        <v>#DIV/0!</v>
      </c>
      <c r="W432" s="103" t="e">
        <f t="shared" si="966"/>
        <v>#DIV/0!</v>
      </c>
      <c r="X432" s="103" t="e">
        <f t="shared" si="966"/>
        <v>#DIV/0!</v>
      </c>
      <c r="Y432" s="103" t="e">
        <f t="shared" si="966"/>
        <v>#DIV/0!</v>
      </c>
      <c r="Z432" s="103" t="e">
        <f t="shared" si="966"/>
        <v>#DIV/0!</v>
      </c>
      <c r="AA432" s="175"/>
    </row>
    <row r="433" spans="1:27" outlineLevel="1" x14ac:dyDescent="0.25">
      <c r="A433" s="36" t="str">
        <f t="shared" si="914"/>
        <v>YANGZI DR75</v>
      </c>
      <c r="B433" s="36"/>
      <c r="D433" s="100" t="str">
        <f t="shared" si="964"/>
        <v>Долота</v>
      </c>
      <c r="E433" s="101" t="str">
        <f t="shared" si="965"/>
        <v>руб/м3</v>
      </c>
      <c r="F433" s="102"/>
      <c r="G433" s="103">
        <f t="shared" ref="G433:Z433" si="967">G350/G339</f>
        <v>0</v>
      </c>
      <c r="H433" s="103">
        <f t="shared" si="967"/>
        <v>0</v>
      </c>
      <c r="I433" s="103">
        <f t="shared" si="967"/>
        <v>0</v>
      </c>
      <c r="J433" s="103">
        <f t="shared" si="967"/>
        <v>0</v>
      </c>
      <c r="K433" s="103">
        <f t="shared" si="967"/>
        <v>0</v>
      </c>
      <c r="L433" s="103">
        <f t="shared" si="967"/>
        <v>0</v>
      </c>
      <c r="M433" s="103">
        <f t="shared" si="967"/>
        <v>0</v>
      </c>
      <c r="N433" s="103">
        <f t="shared" si="967"/>
        <v>0</v>
      </c>
      <c r="O433" s="103">
        <f t="shared" si="967"/>
        <v>0</v>
      </c>
      <c r="P433" s="103">
        <f t="shared" si="967"/>
        <v>0</v>
      </c>
      <c r="Q433" s="103">
        <f t="shared" si="967"/>
        <v>0</v>
      </c>
      <c r="R433" s="103">
        <f t="shared" si="967"/>
        <v>0</v>
      </c>
      <c r="S433" s="103" t="e">
        <f t="shared" si="967"/>
        <v>#DIV/0!</v>
      </c>
      <c r="T433" s="103" t="e">
        <f t="shared" si="967"/>
        <v>#DIV/0!</v>
      </c>
      <c r="U433" s="103" t="e">
        <f t="shared" si="967"/>
        <v>#DIV/0!</v>
      </c>
      <c r="V433" s="103" t="e">
        <f t="shared" si="967"/>
        <v>#DIV/0!</v>
      </c>
      <c r="W433" s="103" t="e">
        <f t="shared" si="967"/>
        <v>#DIV/0!</v>
      </c>
      <c r="X433" s="103" t="e">
        <f t="shared" si="967"/>
        <v>#DIV/0!</v>
      </c>
      <c r="Y433" s="103" t="e">
        <f t="shared" si="967"/>
        <v>#DIV/0!</v>
      </c>
      <c r="Z433" s="103" t="e">
        <f t="shared" si="967"/>
        <v>#DIV/0!</v>
      </c>
      <c r="AA433" s="175"/>
    </row>
    <row r="434" spans="1:27" outlineLevel="1" x14ac:dyDescent="0.25">
      <c r="A434" s="36" t="str">
        <f t="shared" si="914"/>
        <v>YANGZI DR75</v>
      </c>
      <c r="B434" s="36"/>
      <c r="D434" s="100" t="str">
        <f t="shared" si="964"/>
        <v>Штанги буровые</v>
      </c>
      <c r="E434" s="101" t="str">
        <f t="shared" si="965"/>
        <v>руб/м3</v>
      </c>
      <c r="F434" s="102"/>
      <c r="G434" s="103">
        <f t="shared" ref="G434:Z434" si="968">G354/G339</f>
        <v>0</v>
      </c>
      <c r="H434" s="103">
        <f t="shared" si="968"/>
        <v>0</v>
      </c>
      <c r="I434" s="103">
        <f t="shared" si="968"/>
        <v>0</v>
      </c>
      <c r="J434" s="103">
        <f t="shared" si="968"/>
        <v>0</v>
      </c>
      <c r="K434" s="103">
        <f t="shared" si="968"/>
        <v>0</v>
      </c>
      <c r="L434" s="103">
        <f t="shared" si="968"/>
        <v>0</v>
      </c>
      <c r="M434" s="103">
        <f t="shared" si="968"/>
        <v>0</v>
      </c>
      <c r="N434" s="103">
        <f t="shared" si="968"/>
        <v>0</v>
      </c>
      <c r="O434" s="103">
        <f t="shared" si="968"/>
        <v>0</v>
      </c>
      <c r="P434" s="103">
        <f t="shared" si="968"/>
        <v>0</v>
      </c>
      <c r="Q434" s="103">
        <f t="shared" si="968"/>
        <v>0</v>
      </c>
      <c r="R434" s="103">
        <f t="shared" si="968"/>
        <v>0</v>
      </c>
      <c r="S434" s="103" t="e">
        <f t="shared" si="968"/>
        <v>#DIV/0!</v>
      </c>
      <c r="T434" s="103" t="e">
        <f t="shared" si="968"/>
        <v>#DIV/0!</v>
      </c>
      <c r="U434" s="103" t="e">
        <f t="shared" si="968"/>
        <v>#DIV/0!</v>
      </c>
      <c r="V434" s="103" t="e">
        <f t="shared" si="968"/>
        <v>#DIV/0!</v>
      </c>
      <c r="W434" s="103" t="e">
        <f t="shared" si="968"/>
        <v>#DIV/0!</v>
      </c>
      <c r="X434" s="103" t="e">
        <f t="shared" si="968"/>
        <v>#DIV/0!</v>
      </c>
      <c r="Y434" s="103" t="e">
        <f t="shared" si="968"/>
        <v>#DIV/0!</v>
      </c>
      <c r="Z434" s="103" t="e">
        <f t="shared" si="968"/>
        <v>#DIV/0!</v>
      </c>
      <c r="AA434" s="175"/>
    </row>
    <row r="435" spans="1:27" outlineLevel="1" x14ac:dyDescent="0.25">
      <c r="A435" s="36" t="str">
        <f t="shared" si="914"/>
        <v>YANGZI DR75</v>
      </c>
      <c r="B435" s="36"/>
      <c r="D435" s="100" t="str">
        <f t="shared" si="964"/>
        <v>Расходники</v>
      </c>
      <c r="E435" s="101" t="str">
        <f t="shared" si="965"/>
        <v>руб/м3</v>
      </c>
      <c r="F435" s="102"/>
      <c r="G435" s="103">
        <f t="shared" ref="G435:Z435" si="969">G358/G339</f>
        <v>0</v>
      </c>
      <c r="H435" s="103">
        <f t="shared" si="969"/>
        <v>0</v>
      </c>
      <c r="I435" s="103">
        <f t="shared" si="969"/>
        <v>0</v>
      </c>
      <c r="J435" s="103">
        <f t="shared" si="969"/>
        <v>0</v>
      </c>
      <c r="K435" s="103">
        <f t="shared" si="969"/>
        <v>0</v>
      </c>
      <c r="L435" s="103">
        <f t="shared" si="969"/>
        <v>0</v>
      </c>
      <c r="M435" s="103">
        <f t="shared" si="969"/>
        <v>0</v>
      </c>
      <c r="N435" s="103">
        <f t="shared" si="969"/>
        <v>0</v>
      </c>
      <c r="O435" s="103">
        <f t="shared" si="969"/>
        <v>0</v>
      </c>
      <c r="P435" s="103">
        <f t="shared" si="969"/>
        <v>0</v>
      </c>
      <c r="Q435" s="103">
        <f t="shared" si="969"/>
        <v>0</v>
      </c>
      <c r="R435" s="103">
        <f t="shared" si="969"/>
        <v>0</v>
      </c>
      <c r="S435" s="103" t="e">
        <f t="shared" si="969"/>
        <v>#DIV/0!</v>
      </c>
      <c r="T435" s="103" t="e">
        <f t="shared" si="969"/>
        <v>#DIV/0!</v>
      </c>
      <c r="U435" s="103" t="e">
        <f t="shared" si="969"/>
        <v>#DIV/0!</v>
      </c>
      <c r="V435" s="103" t="e">
        <f t="shared" si="969"/>
        <v>#DIV/0!</v>
      </c>
      <c r="W435" s="103" t="e">
        <f t="shared" si="969"/>
        <v>#DIV/0!</v>
      </c>
      <c r="X435" s="103" t="e">
        <f t="shared" si="969"/>
        <v>#DIV/0!</v>
      </c>
      <c r="Y435" s="103" t="e">
        <f t="shared" si="969"/>
        <v>#DIV/0!</v>
      </c>
      <c r="Z435" s="103" t="e">
        <f t="shared" si="969"/>
        <v>#DIV/0!</v>
      </c>
      <c r="AA435" s="175"/>
    </row>
    <row r="436" spans="1:27" outlineLevel="1" x14ac:dyDescent="0.25">
      <c r="A436" s="36" t="str">
        <f t="shared" si="914"/>
        <v>YANGZI DR75</v>
      </c>
      <c r="B436" s="36"/>
      <c r="D436" s="100" t="str">
        <f t="shared" si="964"/>
        <v>Топливо/Электроэнергия</v>
      </c>
      <c r="E436" s="101" t="str">
        <f t="shared" si="965"/>
        <v>руб/м3</v>
      </c>
      <c r="F436" s="102"/>
      <c r="G436" s="103">
        <f t="shared" ref="G436:Z436" si="970">G360/G339</f>
        <v>5.9553645480467354</v>
      </c>
      <c r="H436" s="103">
        <f t="shared" si="970"/>
        <v>6.0660463743449418</v>
      </c>
      <c r="I436" s="103">
        <f t="shared" si="970"/>
        <v>6.4447449467543416</v>
      </c>
      <c r="J436" s="103">
        <f t="shared" si="970"/>
        <v>6.0405404832120118</v>
      </c>
      <c r="K436" s="103">
        <f t="shared" si="970"/>
        <v>5.9692792944127309</v>
      </c>
      <c r="L436" s="103">
        <f t="shared" si="970"/>
        <v>6.602331034187384</v>
      </c>
      <c r="M436" s="103">
        <f t="shared" si="970"/>
        <v>6.5284450277344703</v>
      </c>
      <c r="N436" s="103">
        <f t="shared" si="970"/>
        <v>5.8705196757194695</v>
      </c>
      <c r="O436" s="103">
        <f t="shared" si="970"/>
        <v>6.3231804179418392</v>
      </c>
      <c r="P436" s="103">
        <f t="shared" si="970"/>
        <v>6.4824891778150882</v>
      </c>
      <c r="Q436" s="103">
        <f t="shared" si="970"/>
        <v>5.8332997893909928</v>
      </c>
      <c r="R436" s="103">
        <f t="shared" si="970"/>
        <v>5.633769938376461</v>
      </c>
      <c r="S436" s="103" t="e">
        <f t="shared" si="970"/>
        <v>#DIV/0!</v>
      </c>
      <c r="T436" s="103" t="e">
        <f t="shared" si="970"/>
        <v>#DIV/0!</v>
      </c>
      <c r="U436" s="103" t="e">
        <f t="shared" si="970"/>
        <v>#DIV/0!</v>
      </c>
      <c r="V436" s="103" t="e">
        <f t="shared" si="970"/>
        <v>#DIV/0!</v>
      </c>
      <c r="W436" s="103" t="e">
        <f t="shared" si="970"/>
        <v>#DIV/0!</v>
      </c>
      <c r="X436" s="103" t="e">
        <f t="shared" si="970"/>
        <v>#DIV/0!</v>
      </c>
      <c r="Y436" s="103" t="e">
        <f t="shared" si="970"/>
        <v>#DIV/0!</v>
      </c>
      <c r="Z436" s="103" t="e">
        <f t="shared" si="970"/>
        <v>#DIV/0!</v>
      </c>
      <c r="AA436" s="175"/>
    </row>
    <row r="437" spans="1:27" outlineLevel="1" x14ac:dyDescent="0.25">
      <c r="A437" s="36" t="str">
        <f t="shared" si="914"/>
        <v>YANGZI DR75</v>
      </c>
      <c r="B437" s="36"/>
      <c r="D437" s="100" t="str">
        <f t="shared" si="964"/>
        <v>Затраты на персонал</v>
      </c>
      <c r="E437" s="101" t="str">
        <f t="shared" si="965"/>
        <v>руб/м3</v>
      </c>
      <c r="F437" s="102"/>
      <c r="G437" s="103">
        <f t="shared" ref="G437:Z437" si="971">G369/G339</f>
        <v>2.9534604226256751</v>
      </c>
      <c r="H437" s="103">
        <f t="shared" si="971"/>
        <v>3.053490995810455</v>
      </c>
      <c r="I437" s="103">
        <f t="shared" si="971"/>
        <v>3.1961601981861394</v>
      </c>
      <c r="J437" s="103">
        <f t="shared" si="971"/>
        <v>3.0406519892964416</v>
      </c>
      <c r="K437" s="103">
        <f t="shared" si="971"/>
        <v>3.1086016219981332</v>
      </c>
      <c r="L437" s="103">
        <f t="shared" si="971"/>
        <v>3.323442835767664</v>
      </c>
      <c r="M437" s="103">
        <f t="shared" si="971"/>
        <v>3.5435248401167416</v>
      </c>
      <c r="N437" s="103">
        <f t="shared" si="971"/>
        <v>2.9465107617571862</v>
      </c>
      <c r="O437" s="103">
        <f t="shared" si="971"/>
        <v>3.1448705640037828</v>
      </c>
      <c r="P437" s="103">
        <f t="shared" si="971"/>
        <v>3.5075966919019557</v>
      </c>
      <c r="Q437" s="103">
        <f t="shared" si="971"/>
        <v>2.9012255836654406</v>
      </c>
      <c r="R437" s="103">
        <f t="shared" si="971"/>
        <v>2.8358942081378045</v>
      </c>
      <c r="S437" s="103" t="e">
        <f t="shared" si="971"/>
        <v>#DIV/0!</v>
      </c>
      <c r="T437" s="103" t="e">
        <f t="shared" si="971"/>
        <v>#DIV/0!</v>
      </c>
      <c r="U437" s="103" t="e">
        <f t="shared" si="971"/>
        <v>#DIV/0!</v>
      </c>
      <c r="V437" s="103" t="e">
        <f t="shared" si="971"/>
        <v>#DIV/0!</v>
      </c>
      <c r="W437" s="103" t="e">
        <f t="shared" si="971"/>
        <v>#DIV/0!</v>
      </c>
      <c r="X437" s="103" t="e">
        <f t="shared" si="971"/>
        <v>#DIV/0!</v>
      </c>
      <c r="Y437" s="103" t="e">
        <f t="shared" si="971"/>
        <v>#DIV/0!</v>
      </c>
      <c r="Z437" s="103" t="e">
        <f t="shared" si="971"/>
        <v>#DIV/0!</v>
      </c>
      <c r="AA437" s="175"/>
    </row>
    <row r="438" spans="1:27" outlineLevel="1" x14ac:dyDescent="0.25">
      <c r="A438" s="36" t="str">
        <f t="shared" si="914"/>
        <v>YANGZI DR75</v>
      </c>
      <c r="B438" s="36"/>
      <c r="D438" s="100" t="str">
        <f t="shared" si="964"/>
        <v>Транспортный налог</v>
      </c>
      <c r="E438" s="101" t="str">
        <f t="shared" si="965"/>
        <v>руб/м3</v>
      </c>
      <c r="F438" s="102"/>
      <c r="G438" s="103">
        <f t="shared" ref="G438:Z438" si="972">G372/G339</f>
        <v>2.2559675103153306E-3</v>
      </c>
      <c r="H438" s="103">
        <f t="shared" si="972"/>
        <v>2.3323747380588678E-3</v>
      </c>
      <c r="I438" s="103">
        <f t="shared" si="972"/>
        <v>2.4413510029231214E-3</v>
      </c>
      <c r="J438" s="103">
        <f t="shared" si="972"/>
        <v>2.3225678074027287E-3</v>
      </c>
      <c r="K438" s="103">
        <f t="shared" si="972"/>
        <v>2.3744703697457163E-3</v>
      </c>
      <c r="L438" s="103">
        <f t="shared" si="972"/>
        <v>2.5385744134050819E-3</v>
      </c>
      <c r="M438" s="103">
        <f t="shared" si="972"/>
        <v>2.7066815759771816E-3</v>
      </c>
      <c r="N438" s="103">
        <f t="shared" si="972"/>
        <v>2.2506590900612734E-3</v>
      </c>
      <c r="O438" s="103">
        <f t="shared" si="972"/>
        <v>2.402173992984221E-3</v>
      </c>
      <c r="P438" s="103">
        <f t="shared" si="972"/>
        <v>2.6792382642410813E-3</v>
      </c>
      <c r="Q438" s="103">
        <f t="shared" si="972"/>
        <v>2.2160685163426668E-3</v>
      </c>
      <c r="R438" s="103">
        <f t="shared" si="972"/>
        <v>2.1661658802804139E-3</v>
      </c>
      <c r="S438" s="103" t="e">
        <f t="shared" si="972"/>
        <v>#DIV/0!</v>
      </c>
      <c r="T438" s="103" t="e">
        <f t="shared" si="972"/>
        <v>#DIV/0!</v>
      </c>
      <c r="U438" s="103" t="e">
        <f t="shared" si="972"/>
        <v>#DIV/0!</v>
      </c>
      <c r="V438" s="103" t="e">
        <f t="shared" si="972"/>
        <v>#DIV/0!</v>
      </c>
      <c r="W438" s="103" t="e">
        <f t="shared" si="972"/>
        <v>#DIV/0!</v>
      </c>
      <c r="X438" s="103" t="e">
        <f t="shared" si="972"/>
        <v>#DIV/0!</v>
      </c>
      <c r="Y438" s="103" t="e">
        <f t="shared" si="972"/>
        <v>#DIV/0!</v>
      </c>
      <c r="Z438" s="103" t="e">
        <f t="shared" si="972"/>
        <v>#DIV/0!</v>
      </c>
      <c r="AA438" s="175"/>
    </row>
    <row r="439" spans="1:27" outlineLevel="1" x14ac:dyDescent="0.25">
      <c r="A439" s="36" t="str">
        <f t="shared" si="914"/>
        <v>YANGZI DR75</v>
      </c>
      <c r="B439" s="36"/>
      <c r="D439" s="108"/>
      <c r="E439" s="12"/>
      <c r="F439" s="109"/>
      <c r="G439" s="118">
        <f t="shared" ref="G439:Z439" si="973">G430-(G342-G377)/G339</f>
        <v>0</v>
      </c>
      <c r="H439" s="118">
        <f t="shared" si="973"/>
        <v>0</v>
      </c>
      <c r="I439" s="118">
        <f t="shared" si="973"/>
        <v>0</v>
      </c>
      <c r="J439" s="118">
        <f t="shared" si="973"/>
        <v>0</v>
      </c>
      <c r="K439" s="118">
        <f t="shared" si="973"/>
        <v>0</v>
      </c>
      <c r="L439" s="118">
        <f t="shared" si="973"/>
        <v>0</v>
      </c>
      <c r="M439" s="118">
        <f t="shared" si="973"/>
        <v>0</v>
      </c>
      <c r="N439" s="118">
        <f t="shared" si="973"/>
        <v>0</v>
      </c>
      <c r="O439" s="118">
        <f t="shared" si="973"/>
        <v>0</v>
      </c>
      <c r="P439" s="118">
        <f t="shared" si="973"/>
        <v>0</v>
      </c>
      <c r="Q439" s="118">
        <f t="shared" si="973"/>
        <v>0</v>
      </c>
      <c r="R439" s="118">
        <f t="shared" si="973"/>
        <v>0</v>
      </c>
      <c r="S439" s="118" t="e">
        <f t="shared" si="973"/>
        <v>#DIV/0!</v>
      </c>
      <c r="T439" s="118" t="e">
        <f t="shared" si="973"/>
        <v>#DIV/0!</v>
      </c>
      <c r="U439" s="118" t="e">
        <f t="shared" si="973"/>
        <v>#DIV/0!</v>
      </c>
      <c r="V439" s="118" t="e">
        <f t="shared" si="973"/>
        <v>#DIV/0!</v>
      </c>
      <c r="W439" s="118" t="e">
        <f t="shared" si="973"/>
        <v>#DIV/0!</v>
      </c>
      <c r="X439" s="118" t="e">
        <f t="shared" si="973"/>
        <v>#DIV/0!</v>
      </c>
      <c r="Y439" s="118" t="e">
        <f t="shared" si="973"/>
        <v>#DIV/0!</v>
      </c>
      <c r="Z439" s="118" t="e">
        <f t="shared" si="973"/>
        <v>#DIV/0!</v>
      </c>
      <c r="AA439" s="175"/>
    </row>
    <row r="440" spans="1:27" outlineLevel="1" x14ac:dyDescent="0.25">
      <c r="A440" s="2" t="s">
        <v>34</v>
      </c>
      <c r="AA440" s="175"/>
    </row>
    <row r="441" spans="1:27" x14ac:dyDescent="0.25">
      <c r="A441" s="2" t="s">
        <v>34</v>
      </c>
      <c r="AA441" s="175"/>
    </row>
    <row r="442" spans="1:27" ht="14.3" x14ac:dyDescent="0.25">
      <c r="A442" s="2" t="s">
        <v>34</v>
      </c>
      <c r="C442" s="54" t="e">
        <f>SUM(F502:Z502,F516:Z516,F537:Z537,AA484)</f>
        <v>#DIV/0!</v>
      </c>
      <c r="D442" s="673" t="str">
        <f>'Свод_250-270_диз'!J19</f>
        <v>Sunward SWDRT270B</v>
      </c>
      <c r="E442" s="55">
        <f>SUMIFS(Производительность!$Y$7:$Y$34,Производительность!$C$7:$C$34,$D442)</f>
        <v>12</v>
      </c>
      <c r="F442" s="56" t="str">
        <f>$F$2</f>
        <v>лет</v>
      </c>
      <c r="AA442" s="175"/>
    </row>
    <row r="443" spans="1:27" outlineLevel="1" x14ac:dyDescent="0.25">
      <c r="A443" s="2" t="s">
        <v>34</v>
      </c>
      <c r="AA443" s="175"/>
    </row>
    <row r="444" spans="1:27" outlineLevel="1" x14ac:dyDescent="0.25">
      <c r="A444" s="57" t="str">
        <f>D442</f>
        <v>Sunward SWDRT270B</v>
      </c>
      <c r="D444" s="58" t="str">
        <f>D$1</f>
        <v>Показатель</v>
      </c>
      <c r="E444" s="58" t="str">
        <f t="shared" ref="E444:Z444" si="974">E$1</f>
        <v>Ед. изм.</v>
      </c>
      <c r="F444" s="58">
        <f t="shared" si="974"/>
        <v>0</v>
      </c>
      <c r="G444" s="58">
        <f t="shared" si="974"/>
        <v>1</v>
      </c>
      <c r="H444" s="58">
        <f t="shared" si="974"/>
        <v>2</v>
      </c>
      <c r="I444" s="58">
        <f t="shared" si="974"/>
        <v>3</v>
      </c>
      <c r="J444" s="58">
        <f t="shared" si="974"/>
        <v>4</v>
      </c>
      <c r="K444" s="58">
        <f t="shared" si="974"/>
        <v>5</v>
      </c>
      <c r="L444" s="58">
        <f t="shared" si="974"/>
        <v>6</v>
      </c>
      <c r="M444" s="58">
        <f t="shared" si="974"/>
        <v>7</v>
      </c>
      <c r="N444" s="58">
        <f t="shared" si="974"/>
        <v>8</v>
      </c>
      <c r="O444" s="58">
        <f t="shared" si="974"/>
        <v>9</v>
      </c>
      <c r="P444" s="58">
        <f t="shared" si="974"/>
        <v>10</v>
      </c>
      <c r="Q444" s="58">
        <f t="shared" si="974"/>
        <v>11</v>
      </c>
      <c r="R444" s="58">
        <f t="shared" si="974"/>
        <v>12</v>
      </c>
      <c r="S444" s="58">
        <f t="shared" si="974"/>
        <v>13</v>
      </c>
      <c r="T444" s="58">
        <f t="shared" si="974"/>
        <v>14</v>
      </c>
      <c r="U444" s="58">
        <f t="shared" si="974"/>
        <v>15</v>
      </c>
      <c r="V444" s="58">
        <f t="shared" si="974"/>
        <v>16</v>
      </c>
      <c r="W444" s="58">
        <f t="shared" si="974"/>
        <v>17</v>
      </c>
      <c r="X444" s="58">
        <f t="shared" si="974"/>
        <v>18</v>
      </c>
      <c r="Y444" s="58">
        <f t="shared" si="974"/>
        <v>19</v>
      </c>
      <c r="Z444" s="58">
        <f t="shared" si="974"/>
        <v>20</v>
      </c>
      <c r="AA444" s="175"/>
    </row>
    <row r="445" spans="1:27" outlineLevel="1" x14ac:dyDescent="0.25">
      <c r="A445" s="36" t="str">
        <f>A444</f>
        <v>Sunward SWDRT270B</v>
      </c>
      <c r="B445" s="36"/>
      <c r="D445" s="59" t="s">
        <v>39</v>
      </c>
      <c r="E445" s="60" t="s">
        <v>40</v>
      </c>
      <c r="F445" s="61"/>
      <c r="G445" s="62">
        <f>SUMIFS(Производительность!E$7:E$34,Производительность!$C$7:$C$34,$A445)</f>
        <v>0.93</v>
      </c>
      <c r="H445" s="62">
        <f>SUMIFS(Производительность!F$7:F$34,Производительность!$C$7:$C$34,$A445)</f>
        <v>0.93</v>
      </c>
      <c r="I445" s="62">
        <f>SUMIFS(Производительность!G$7:G$34,Производительность!$C$7:$C$34,$A445)</f>
        <v>0.92</v>
      </c>
      <c r="J445" s="62">
        <f>SUMIFS(Производительность!H$7:H$34,Производительность!$C$7:$C$34,$A445)</f>
        <v>0.92</v>
      </c>
      <c r="K445" s="62">
        <f>SUMIFS(Производительность!I$7:I$34,Производительность!$C$7:$C$34,$A445)</f>
        <v>0.87</v>
      </c>
      <c r="L445" s="62">
        <f>SUMIFS(Производительность!J$7:J$34,Производительность!$C$7:$C$34,$A445)</f>
        <v>0.9</v>
      </c>
      <c r="M445" s="62">
        <f>SUMIFS(Производительность!K$7:K$34,Производительность!$C$7:$C$34,$A445)</f>
        <v>0.85</v>
      </c>
      <c r="N445" s="62">
        <f>SUMIFS(Производительность!L$7:L$34,Производительность!$C$7:$C$34,$A445)</f>
        <v>0.9</v>
      </c>
      <c r="O445" s="62">
        <f>SUMIFS(Производительность!M$7:M$34,Производительность!$C$7:$C$34,$A445)</f>
        <v>0.9</v>
      </c>
      <c r="P445" s="62">
        <f>SUMIFS(Производительность!N$7:N$34,Производительность!$C$7:$C$34,$A445)</f>
        <v>0.85</v>
      </c>
      <c r="Q445" s="62">
        <f>SUMIFS(Производительность!O$7:O$34,Производительность!$C$7:$C$34,$A445)</f>
        <v>0.89</v>
      </c>
      <c r="R445" s="62">
        <f>SUMIFS(Производительность!P$7:P$34,Производительность!$C$7:$C$34,$A445)</f>
        <v>0.89</v>
      </c>
      <c r="S445" s="62">
        <f>SUMIFS(Производительность!Q$7:Q$34,Производительность!$C$7:$C$34,$A445)</f>
        <v>0</v>
      </c>
      <c r="T445" s="62">
        <f>SUMIFS(Производительность!R$7:R$34,Производительность!$C$7:$C$34,$A445)</f>
        <v>0</v>
      </c>
      <c r="U445" s="62">
        <f>SUMIFS(Производительность!S$7:S$34,Производительность!$C$7:$C$34,$A445)</f>
        <v>0</v>
      </c>
      <c r="V445" s="62">
        <f>SUMIFS(Производительность!T$7:T$34,Производительность!$C$7:$C$34,$A445)</f>
        <v>0</v>
      </c>
      <c r="W445" s="62">
        <f>SUMIFS(Производительность!U$7:U$34,Производительность!$C$7:$C$34,$A445)</f>
        <v>0</v>
      </c>
      <c r="X445" s="62">
        <f>SUMIFS(Производительность!V$7:V$34,Производительность!$C$7:$C$34,$A445)</f>
        <v>0</v>
      </c>
      <c r="Y445" s="62">
        <f>SUMIFS(Производительность!W$7:W$34,Производительность!$C$7:$C$34,$A445)</f>
        <v>0</v>
      </c>
      <c r="Z445" s="62">
        <f>SUMIFS(Производительность!X$7:X$34,Производительность!$C$7:$C$34,$A445)</f>
        <v>0</v>
      </c>
      <c r="AA445" s="175"/>
    </row>
    <row r="446" spans="1:27" outlineLevel="1" x14ac:dyDescent="0.25">
      <c r="A446" s="36" t="str">
        <f t="shared" ref="A446:A509" si="975">A445</f>
        <v>Sunward SWDRT270B</v>
      </c>
      <c r="B446" s="36"/>
      <c r="D446" s="59" t="s">
        <v>41</v>
      </c>
      <c r="E446" s="60" t="str">
        <f>E445</f>
        <v>%</v>
      </c>
      <c r="F446" s="61"/>
      <c r="G446" s="62">
        <f>SUMIFS(Производительность!E$115:E$142,Производительность!$C$115:$C$142,$A446)</f>
        <v>0.751852345173042</v>
      </c>
      <c r="H446" s="62">
        <f>SUMIFS(Производительность!F$115:F$142,Производительность!$C$115:$C$142,$A446)</f>
        <v>0.751852345173042</v>
      </c>
      <c r="I446" s="62">
        <f>SUMIFS(Производительность!G$115:G$142,Производительность!$C$115:$C$142,$A446)</f>
        <v>0.74376791135397702</v>
      </c>
      <c r="J446" s="62">
        <f>SUMIFS(Производительность!H$115:H$142,Производительность!$C$115:$C$142,$A446)</f>
        <v>0.74376791135397702</v>
      </c>
      <c r="K446" s="62">
        <f>SUMIFS(Производительность!I$115:I$142,Производительность!$C$115:$C$142,$A446)</f>
        <v>0.70334574225865198</v>
      </c>
      <c r="L446" s="62">
        <f>SUMIFS(Производительность!J$115:J$142,Производительность!$C$115:$C$142,$A446)</f>
        <v>0.72759904371584705</v>
      </c>
      <c r="M446" s="62">
        <f>SUMIFS(Производительность!K$115:K$142,Производительность!$C$115:$C$142,$A446)</f>
        <v>0.68717687462052213</v>
      </c>
      <c r="N446" s="62">
        <f>SUMIFS(Производительность!L$115:L$142,Производительность!$C$115:$C$142,$A446)</f>
        <v>0.72759904371584705</v>
      </c>
      <c r="O446" s="62">
        <f>SUMIFS(Производительность!M$115:M$142,Производительность!$C$115:$C$142,$A446)</f>
        <v>0.72759904371584705</v>
      </c>
      <c r="P446" s="62">
        <f>SUMIFS(Производительность!N$115:N$142,Производительность!$C$115:$C$142,$A446)</f>
        <v>0.68717687462052213</v>
      </c>
      <c r="Q446" s="62">
        <f>SUMIFS(Производительность!O$115:O$142,Производительность!$C$115:$C$142,$A446)</f>
        <v>0.71951460989678206</v>
      </c>
      <c r="R446" s="62">
        <f>SUMIFS(Производительность!P$115:P$142,Производительность!$C$115:$C$142,$A446)</f>
        <v>0.71951460989678206</v>
      </c>
      <c r="S446" s="62">
        <f>SUMIFS(Производительность!Q$115:Q$142,Производительность!$C$115:$C$142,$A446)</f>
        <v>0</v>
      </c>
      <c r="T446" s="62">
        <f>SUMIFS(Производительность!R$115:R$142,Производительность!$C$115:$C$142,$A446)</f>
        <v>0</v>
      </c>
      <c r="U446" s="62">
        <f>SUMIFS(Производительность!S$115:S$142,Производительность!$C$115:$C$142,$A446)</f>
        <v>0</v>
      </c>
      <c r="V446" s="62">
        <f>SUMIFS(Производительность!T$115:T$142,Производительность!$C$115:$C$142,$A446)</f>
        <v>0</v>
      </c>
      <c r="W446" s="62">
        <f>SUMIFS(Производительность!U$115:U$142,Производительность!$C$115:$C$142,$A446)</f>
        <v>0</v>
      </c>
      <c r="X446" s="62">
        <f>SUMIFS(Производительность!V$115:V$142,Производительность!$C$115:$C$142,$A446)</f>
        <v>0</v>
      </c>
      <c r="Y446" s="62">
        <f>SUMIFS(Производительность!W$115:W$142,Производительность!$C$115:$C$142,$A446)</f>
        <v>0</v>
      </c>
      <c r="Z446" s="62">
        <f>SUMIFS(Производительность!X$115:X$142,Производительность!$C$115:$C$142,$A446)</f>
        <v>0</v>
      </c>
      <c r="AA446" s="175"/>
    </row>
    <row r="447" spans="1:27" outlineLevel="1" x14ac:dyDescent="0.25">
      <c r="A447" s="36" t="str">
        <f t="shared" si="975"/>
        <v>Sunward SWDRT270B</v>
      </c>
      <c r="B447" s="36"/>
      <c r="D447" s="63" t="s">
        <v>177</v>
      </c>
      <c r="E447" s="64" t="s">
        <v>171</v>
      </c>
      <c r="F447" s="65"/>
      <c r="G447" s="65">
        <f>SUMIFS(Производительность!E$196:E$223,Производительность!$C$196:$C$223,$A447)</f>
        <v>131.98958546234024</v>
      </c>
      <c r="H447" s="65">
        <f>SUMIFS(Производительность!F$196:F$223,Производительность!$C$196:$C$223,$A447)</f>
        <v>131.98958546234024</v>
      </c>
      <c r="I447" s="65">
        <f>SUMIFS(Производительность!G$196:G$223,Производительность!$C$196:$C$223,$A447)</f>
        <v>130.57034260790647</v>
      </c>
      <c r="J447" s="65">
        <f>SUMIFS(Производительность!H$196:H$223,Производительность!$C$196:$C$223,$A447)</f>
        <v>130.57034260790647</v>
      </c>
      <c r="K447" s="65">
        <f>SUMIFS(Производительность!I$196:I$223,Производительность!$C$196:$C$223,$A447)</f>
        <v>123.4741283357376</v>
      </c>
      <c r="L447" s="65">
        <f>SUMIFS(Производительность!J$196:J$223,Производительность!$C$196:$C$223,$A447)</f>
        <v>127.73185689903895</v>
      </c>
      <c r="M447" s="65">
        <f>SUMIFS(Производительность!K$196:K$223,Производительность!$C$196:$C$223,$A447)</f>
        <v>120.63564262687012</v>
      </c>
      <c r="N447" s="65">
        <f>SUMIFS(Производительность!L$196:L$223,Производительность!$C$196:$C$223,$A447)</f>
        <v>127.73185689903895</v>
      </c>
      <c r="O447" s="65">
        <f>SUMIFS(Производительность!M$196:M$223,Производительность!$C$196:$C$223,$A447)</f>
        <v>127.73185689903895</v>
      </c>
      <c r="P447" s="65">
        <f>SUMIFS(Производительность!N$196:N$223,Производительность!$C$196:$C$223,$A447)</f>
        <v>120.63564262687012</v>
      </c>
      <c r="Q447" s="65">
        <f>SUMIFS(Производительность!O$196:O$223,Производительность!$C$196:$C$223,$A447)</f>
        <v>126.31261404460518</v>
      </c>
      <c r="R447" s="65">
        <f>SUMIFS(Производительность!P$196:P$223,Производительность!$C$196:$C$223,$A447)</f>
        <v>126.31261404460518</v>
      </c>
      <c r="S447" s="65">
        <f>SUMIFS(Производительность!Q$196:Q$223,Производительность!$C$196:$C$223,$A447)</f>
        <v>0</v>
      </c>
      <c r="T447" s="65">
        <f>SUMIFS(Производительность!R$196:R$223,Производительность!$C$196:$C$223,$A447)</f>
        <v>0</v>
      </c>
      <c r="U447" s="65">
        <f>SUMIFS(Производительность!S$196:S$223,Производительность!$C$196:$C$223,$A447)</f>
        <v>0</v>
      </c>
      <c r="V447" s="65">
        <f>SUMIFS(Производительность!T$196:T$223,Производительность!$C$196:$C$223,$A447)</f>
        <v>0</v>
      </c>
      <c r="W447" s="65">
        <f>SUMIFS(Производительность!U$196:U$223,Производительность!$C$196:$C$223,$A447)</f>
        <v>0</v>
      </c>
      <c r="X447" s="65">
        <f>SUMIFS(Производительность!V$196:V$223,Производительность!$C$196:$C$223,$A447)</f>
        <v>0</v>
      </c>
      <c r="Y447" s="65">
        <f>SUMIFS(Производительность!W$196:W$223,Производительность!$C$196:$C$223,$A447)</f>
        <v>0</v>
      </c>
      <c r="Z447" s="65">
        <f>SUMIFS(Производительность!X$196:X$223,Производительность!$C$196:$C$223,$A447)</f>
        <v>0</v>
      </c>
      <c r="AA447" s="175"/>
    </row>
    <row r="448" spans="1:27" outlineLevel="1" x14ac:dyDescent="0.25">
      <c r="A448" s="36" t="str">
        <f t="shared" si="975"/>
        <v>Sunward SWDRT270B</v>
      </c>
      <c r="B448" s="36"/>
      <c r="D448" s="63" t="s">
        <v>178</v>
      </c>
      <c r="E448" s="64" t="s">
        <v>175</v>
      </c>
      <c r="F448" s="65"/>
      <c r="G448" s="65">
        <f>SUMIFS(Производительность!E$250:E$277,Производительность!$C$250:$C$277,$A448)</f>
        <v>6528.8978545002929</v>
      </c>
      <c r="H448" s="65">
        <f>SUMIFS(Производительность!F$250:F$277,Производительность!$C$250:$C$277,$A448)</f>
        <v>6409.7707833148925</v>
      </c>
      <c r="I448" s="65">
        <f>SUMIFS(Производительность!G$250:G$277,Производительность!$C$250:$C$277,$A448)</f>
        <v>5968.254985039197</v>
      </c>
      <c r="J448" s="65">
        <f>SUMIFS(Производительность!H$250:H$277,Производительность!$C$250:$C$277,$A448)</f>
        <v>6367.6224441624627</v>
      </c>
      <c r="K448" s="65">
        <f>SUMIFS(Производительность!I$250:I$277,Производительность!$C$250:$C$277,$A448)</f>
        <v>6093.4412745832078</v>
      </c>
      <c r="L448" s="65">
        <f>SUMIFS(Производительность!J$250:J$277,Производительность!$C$250:$C$277,$A448)</f>
        <v>5699.1552879521259</v>
      </c>
      <c r="M448" s="65">
        <f>SUMIFS(Производительность!K$250:K$277,Производительность!$C$250:$C$277,$A448)</f>
        <v>5443.452667770789</v>
      </c>
      <c r="N448" s="65">
        <f>SUMIFS(Производительность!L$250:L$277,Производительность!$C$250:$C$277,$A448)</f>
        <v>6409.6045843995817</v>
      </c>
      <c r="O448" s="65">
        <f>SUMIFS(Производительность!M$250:M$277,Производительность!$C$250:$C$277,$A448)</f>
        <v>5950.7569512854525</v>
      </c>
      <c r="P448" s="65">
        <f>SUMIFS(Производительность!N$250:N$277,Производительность!$C$250:$C$277,$A448)</f>
        <v>5482.0425499875546</v>
      </c>
      <c r="Q448" s="65">
        <f>SUMIFS(Производительность!O$250:O$277,Производительность!$C$250:$C$277,$A448)</f>
        <v>6378.8293941682614</v>
      </c>
      <c r="R448" s="65">
        <f>SUMIFS(Производительность!P$250:P$277,Производительность!$C$250:$C$277,$A448)</f>
        <v>6604.7468335715994</v>
      </c>
      <c r="S448" s="65">
        <f>SUMIFS(Производительность!Q$250:Q$277,Производительность!$C$250:$C$277,$A448)</f>
        <v>0</v>
      </c>
      <c r="T448" s="65">
        <f>SUMIFS(Производительность!R$250:R$277,Производительность!$C$250:$C$277,$A448)</f>
        <v>0</v>
      </c>
      <c r="U448" s="65">
        <f>SUMIFS(Производительность!S$250:S$277,Производительность!$C$250:$C$277,$A448)</f>
        <v>0</v>
      </c>
      <c r="V448" s="65">
        <f>SUMIFS(Производительность!T$250:T$277,Производительность!$C$250:$C$277,$A448)</f>
        <v>0</v>
      </c>
      <c r="W448" s="65">
        <f>SUMIFS(Производительность!U$250:U$277,Производительность!$C$250:$C$277,$A448)</f>
        <v>0</v>
      </c>
      <c r="X448" s="65">
        <f>SUMIFS(Производительность!V$250:V$277,Производительность!$C$250:$C$277,$A448)</f>
        <v>0</v>
      </c>
      <c r="Y448" s="65">
        <f>SUMIFS(Производительность!W$250:W$277,Производительность!$C$250:$C$277,$A448)</f>
        <v>0</v>
      </c>
      <c r="Z448" s="65">
        <f>SUMIFS(Производительность!X$250:X$277,Производительность!$C$250:$C$277,$A448)</f>
        <v>0</v>
      </c>
      <c r="AA448" s="175"/>
    </row>
    <row r="449" spans="1:28" outlineLevel="1" x14ac:dyDescent="0.25">
      <c r="A449" s="36" t="str">
        <f t="shared" si="975"/>
        <v>Sunward SWDRT270B</v>
      </c>
      <c r="B449" s="36"/>
      <c r="D449" s="179" t="s">
        <v>179</v>
      </c>
      <c r="E449" s="60" t="str">
        <f>E448</f>
        <v>тыс. м3</v>
      </c>
      <c r="F449" s="61"/>
      <c r="G449" s="320">
        <f>G448</f>
        <v>6528.8978545002929</v>
      </c>
      <c r="H449" s="61">
        <f>IF(H448=0,0,G449+H448)</f>
        <v>12938.668637815186</v>
      </c>
      <c r="I449" s="61">
        <f t="shared" ref="I449" si="976">IF(I448=0,0,H449+I448)</f>
        <v>18906.923622854381</v>
      </c>
      <c r="J449" s="61">
        <f t="shared" ref="J449" si="977">IF(J448=0,0,I449+J448)</f>
        <v>25274.546067016843</v>
      </c>
      <c r="K449" s="61">
        <f t="shared" ref="K449" si="978">IF(K448=0,0,J449+K448)</f>
        <v>31367.987341600052</v>
      </c>
      <c r="L449" s="61">
        <f t="shared" ref="L449" si="979">IF(L448=0,0,K449+L448)</f>
        <v>37067.142629552181</v>
      </c>
      <c r="M449" s="61">
        <f t="shared" ref="M449" si="980">IF(M448=0,0,L449+M448)</f>
        <v>42510.595297322972</v>
      </c>
      <c r="N449" s="61">
        <f t="shared" ref="N449" si="981">IF(N448=0,0,M449+N448)</f>
        <v>48920.199881722554</v>
      </c>
      <c r="O449" s="61">
        <f t="shared" ref="O449" si="982">IF(O448=0,0,N449+O448)</f>
        <v>54870.956833008007</v>
      </c>
      <c r="P449" s="61">
        <f t="shared" ref="P449" si="983">IF(P448=0,0,O449+P448)</f>
        <v>60352.999382995564</v>
      </c>
      <c r="Q449" s="61">
        <f t="shared" ref="Q449" si="984">IF(Q448=0,0,P449+Q448)</f>
        <v>66731.828777163828</v>
      </c>
      <c r="R449" s="61">
        <f t="shared" ref="R449" si="985">IF(R448=0,0,Q449+R448)</f>
        <v>73336.575610735425</v>
      </c>
      <c r="S449" s="61">
        <f t="shared" ref="S449" si="986">IF(S448=0,0,R449+S448)</f>
        <v>0</v>
      </c>
      <c r="T449" s="61">
        <f t="shared" ref="T449" si="987">IF(T448=0,0,S449+T448)</f>
        <v>0</v>
      </c>
      <c r="U449" s="61">
        <f t="shared" ref="U449" si="988">IF(U448=0,0,T449+U448)</f>
        <v>0</v>
      </c>
      <c r="V449" s="61">
        <f t="shared" ref="V449" si="989">IF(V448=0,0,U449+V448)</f>
        <v>0</v>
      </c>
      <c r="W449" s="61">
        <f t="shared" ref="W449" si="990">IF(W448=0,0,V449+W448)</f>
        <v>0</v>
      </c>
      <c r="X449" s="61">
        <f t="shared" ref="X449" si="991">IF(X448=0,0,W449+X448)</f>
        <v>0</v>
      </c>
      <c r="Y449" s="61">
        <f t="shared" ref="Y449" si="992">IF(Y448=0,0,X449+Y448)</f>
        <v>0</v>
      </c>
      <c r="Z449" s="61">
        <f t="shared" ref="Z449" si="993">IF(Z448=0,0,Y449+Z448)</f>
        <v>0</v>
      </c>
      <c r="AA449" s="175"/>
    </row>
    <row r="450" spans="1:28" outlineLevel="1" x14ac:dyDescent="0.25">
      <c r="A450" s="36" t="str">
        <f t="shared" si="975"/>
        <v>Sunward SWDRT270B</v>
      </c>
      <c r="B450" s="36"/>
      <c r="D450" s="30"/>
      <c r="E450" s="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175"/>
    </row>
    <row r="451" spans="1:28" outlineLevel="1" x14ac:dyDescent="0.25">
      <c r="A451" s="36" t="str">
        <f t="shared" si="975"/>
        <v>Sunward SWDRT270B</v>
      </c>
      <c r="B451" s="36"/>
      <c r="D451" s="66" t="s">
        <v>42</v>
      </c>
      <c r="E451" s="67" t="s">
        <v>21</v>
      </c>
      <c r="F451" s="68">
        <f>F485+F486-F484</f>
        <v>0</v>
      </c>
      <c r="G451" s="68">
        <f t="shared" ref="G451:Z451" si="994">G485+G486-G484</f>
        <v>56313.496445061843</v>
      </c>
      <c r="H451" s="68">
        <f t="shared" si="994"/>
        <v>95392.474445061845</v>
      </c>
      <c r="I451" s="68">
        <f t="shared" si="994"/>
        <v>88576.615166999312</v>
      </c>
      <c r="J451" s="68">
        <f t="shared" si="994"/>
        <v>84069.06416699932</v>
      </c>
      <c r="K451" s="68">
        <f t="shared" si="994"/>
        <v>81250.634776686667</v>
      </c>
      <c r="L451" s="68">
        <f t="shared" si="994"/>
        <v>101074.76161087424</v>
      </c>
      <c r="M451" s="68">
        <f t="shared" si="994"/>
        <v>81752.903220561595</v>
      </c>
      <c r="N451" s="68">
        <f t="shared" si="994"/>
        <v>82941.954610874265</v>
      </c>
      <c r="O451" s="68">
        <f t="shared" si="994"/>
        <v>81554.88361087424</v>
      </c>
      <c r="P451" s="68">
        <f t="shared" si="994"/>
        <v>81418.403220561609</v>
      </c>
      <c r="Q451" s="68">
        <f t="shared" si="994"/>
        <v>83021.244332811722</v>
      </c>
      <c r="R451" s="68">
        <f t="shared" si="994"/>
        <v>100572.05133281171</v>
      </c>
      <c r="S451" s="68">
        <f t="shared" si="994"/>
        <v>0</v>
      </c>
      <c r="T451" s="68">
        <f t="shared" si="994"/>
        <v>0</v>
      </c>
      <c r="U451" s="68">
        <f t="shared" si="994"/>
        <v>0</v>
      </c>
      <c r="V451" s="68">
        <f t="shared" si="994"/>
        <v>0</v>
      </c>
      <c r="W451" s="68">
        <f t="shared" si="994"/>
        <v>0</v>
      </c>
      <c r="X451" s="68">
        <f t="shared" si="994"/>
        <v>0</v>
      </c>
      <c r="Y451" s="68">
        <f t="shared" si="994"/>
        <v>0</v>
      </c>
      <c r="Z451" s="68">
        <f t="shared" si="994"/>
        <v>0</v>
      </c>
      <c r="AA451" s="175"/>
    </row>
    <row r="452" spans="1:28" outlineLevel="1" x14ac:dyDescent="0.25">
      <c r="A452" s="36" t="str">
        <f t="shared" si="975"/>
        <v>Sunward SWDRT270B</v>
      </c>
      <c r="B452" s="36"/>
      <c r="D452" s="686" t="s">
        <v>43</v>
      </c>
      <c r="E452" s="64" t="str">
        <f>E451</f>
        <v>тыс. руб.</v>
      </c>
      <c r="F452" s="70"/>
      <c r="G452" s="677">
        <f>(G453+G454+G455)*'ФОТ, МТР, макро'!AJ$7</f>
        <v>27716.465333333334</v>
      </c>
      <c r="H452" s="677">
        <f>(H453+H454+H455)*'ФОТ, МТР, макро'!AK$7</f>
        <v>79821.76933333333</v>
      </c>
      <c r="I452" s="677">
        <f>(I453+I454+I455)*'ФОТ, МТР, макро'!AL$7</f>
        <v>71074.237333333338</v>
      </c>
      <c r="J452" s="677">
        <f>(J453+J454+J455)*'ФОТ, МТР, макро'!AM$7</f>
        <v>65064.169333333331</v>
      </c>
      <c r="K452" s="677">
        <f>(K453+K454+K455)*'ФОТ, МТР, макро'!AN$7</f>
        <v>63007.665333333338</v>
      </c>
      <c r="L452" s="677">
        <f>(L453+L454+L455)*'ФОТ, МТР, макро'!AO$7</f>
        <v>88418.993333333332</v>
      </c>
      <c r="M452" s="677">
        <f>(M453+M454+M455)*'ФОТ, МТР, макро'!AP$7</f>
        <v>64357.917333333331</v>
      </c>
      <c r="N452" s="677">
        <f>(N453+N454+N455)*'ФОТ, МТР, макро'!AQ$7</f>
        <v>64241.917333333338</v>
      </c>
      <c r="O452" s="677">
        <f>(O453+O454+O455)*'ФОТ, МТР, макро'!AR$7</f>
        <v>62392.489333333331</v>
      </c>
      <c r="P452" s="677">
        <f>(P453+P454+P455)*'ФОТ, МТР, макро'!AS$7</f>
        <v>63911.917333333338</v>
      </c>
      <c r="Q452" s="677">
        <f>(Q453+Q454+Q455)*'ФОТ, МТР, макро'!AT$7</f>
        <v>64687.917333333331</v>
      </c>
      <c r="R452" s="677">
        <f>(R453+R454+R455)*'ФОТ, МТР, макро'!AU$7</f>
        <v>88088.993333333332</v>
      </c>
      <c r="S452" s="677"/>
      <c r="T452" s="677"/>
      <c r="U452" s="677"/>
      <c r="V452" s="677"/>
      <c r="W452" s="677"/>
      <c r="X452" s="677"/>
      <c r="Y452" s="677"/>
      <c r="Z452" s="677"/>
      <c r="AA452" s="175"/>
      <c r="AB452" s="679">
        <f>SUM(F452:Z452,F457:Z457)/E442</f>
        <v>66898.704333333328</v>
      </c>
    </row>
    <row r="453" spans="1:28" outlineLevel="1" x14ac:dyDescent="0.25">
      <c r="A453" s="36" t="str">
        <f t="shared" si="975"/>
        <v>Sunward SWDRT270B</v>
      </c>
      <c r="B453" s="36"/>
      <c r="D453" s="674" t="s">
        <v>44</v>
      </c>
      <c r="E453" s="675" t="s">
        <v>654</v>
      </c>
      <c r="F453" s="29"/>
      <c r="G453" s="676">
        <f>SWDRT270B!E29</f>
        <v>122.34914999999999</v>
      </c>
      <c r="H453" s="676">
        <f>SWDRT270B!F29</f>
        <v>138.88545000000002</v>
      </c>
      <c r="I453" s="676">
        <f>SWDRT270B!G29</f>
        <v>127.74629999999999</v>
      </c>
      <c r="J453" s="676">
        <f>SWDRT270B!H29</f>
        <v>138.88545000000002</v>
      </c>
      <c r="K453" s="676">
        <f>SWDRT270B!I29</f>
        <v>122.34914999999999</v>
      </c>
      <c r="L453" s="676">
        <f>SWDRT270B!J29</f>
        <v>152.55074999999999</v>
      </c>
      <c r="M453" s="676">
        <f>SWDRT270B!K29</f>
        <v>130.6173</v>
      </c>
      <c r="N453" s="676">
        <f>SWDRT270B!L29</f>
        <v>130.6173</v>
      </c>
      <c r="O453" s="676">
        <f>SWDRT270B!M29</f>
        <v>136.01444999999998</v>
      </c>
      <c r="P453" s="676">
        <f>SWDRT270B!N29</f>
        <v>130.6173</v>
      </c>
      <c r="Q453" s="676">
        <f>SWDRT270B!O29</f>
        <v>130.6173</v>
      </c>
      <c r="R453" s="676">
        <f>SWDRT270B!P29</f>
        <v>152.55074999999999</v>
      </c>
      <c r="S453" s="676"/>
      <c r="T453" s="676"/>
      <c r="U453" s="676"/>
      <c r="V453" s="676"/>
      <c r="W453" s="676"/>
      <c r="X453" s="676"/>
      <c r="Y453" s="676"/>
      <c r="Z453" s="676"/>
      <c r="AA453" s="175"/>
    </row>
    <row r="454" spans="1:28" outlineLevel="1" x14ac:dyDescent="0.25">
      <c r="A454" s="36" t="str">
        <f t="shared" si="975"/>
        <v>Sunward SWDRT270B</v>
      </c>
      <c r="B454" s="36"/>
      <c r="D454" s="674" t="s">
        <v>45</v>
      </c>
      <c r="E454" s="675" t="s">
        <v>654</v>
      </c>
      <c r="F454" s="29"/>
      <c r="G454" s="676">
        <f>SWDRT270B!E30+SWDRT270B!E31</f>
        <v>75.344999999999999</v>
      </c>
      <c r="H454" s="676">
        <f>SWDRT270B!F30+SWDRT270B!F31</f>
        <v>707.88499999999999</v>
      </c>
      <c r="I454" s="676">
        <f>SWDRT270B!G30+SWDRT270B!G31</f>
        <v>611.36</v>
      </c>
      <c r="J454" s="676">
        <f>SWDRT270B!H30+SWDRT270B!H31</f>
        <v>523.41499999999996</v>
      </c>
      <c r="K454" s="676">
        <f>SWDRT270B!I30+SWDRT270B!I31</f>
        <v>516.48500000000001</v>
      </c>
      <c r="L454" s="676">
        <f>SWDRT270B!J30+SWDRT270B!J31</f>
        <v>800.28499999999997</v>
      </c>
      <c r="M454" s="676">
        <f>SWDRT270B!K30+SWDRT270B!K31</f>
        <v>523.41499999999996</v>
      </c>
      <c r="N454" s="676">
        <f>SWDRT270B!L30+SWDRT270B!L31</f>
        <v>523.08500000000004</v>
      </c>
      <c r="O454" s="676">
        <f>SWDRT270B!M30+SWDRT270B!M31</f>
        <v>492.89</v>
      </c>
      <c r="P454" s="676">
        <f>SWDRT270B!N30+SWDRT270B!N31</f>
        <v>518.96</v>
      </c>
      <c r="Q454" s="676">
        <f>SWDRT270B!O30+SWDRT270B!O31</f>
        <v>527.54</v>
      </c>
      <c r="R454" s="676">
        <f>SWDRT270B!P30+SWDRT270B!P31</f>
        <v>796.16</v>
      </c>
      <c r="S454" s="676"/>
      <c r="T454" s="676"/>
      <c r="U454" s="676"/>
      <c r="V454" s="676"/>
      <c r="W454" s="676"/>
      <c r="X454" s="676"/>
      <c r="Y454" s="676"/>
      <c r="Z454" s="676"/>
      <c r="AA454" s="175"/>
    </row>
    <row r="455" spans="1:28" outlineLevel="1" x14ac:dyDescent="0.25">
      <c r="A455" s="36" t="str">
        <f t="shared" si="975"/>
        <v>Sunward SWDRT270B</v>
      </c>
      <c r="B455" s="36"/>
      <c r="D455" s="674" t="s">
        <v>46</v>
      </c>
      <c r="E455" s="675" t="s">
        <v>654</v>
      </c>
      <c r="F455" s="29"/>
      <c r="G455" s="676">
        <f>SWDRT270B!E32+SWDRT270B!E33</f>
        <v>148.76166666666668</v>
      </c>
      <c r="H455" s="676">
        <f>SWDRT270B!F32+SWDRT270B!F33</f>
        <v>151.00166666666669</v>
      </c>
      <c r="I455" s="676">
        <f>SWDRT270B!G32+SWDRT270B!G33</f>
        <v>149.32166666666669</v>
      </c>
      <c r="J455" s="676">
        <f>SWDRT270B!H32+SWDRT270B!H33</f>
        <v>151.00166666666669</v>
      </c>
      <c r="K455" s="676">
        <f>SWDRT270B!I32+SWDRT270B!I33</f>
        <v>148.76166666666668</v>
      </c>
      <c r="L455" s="676">
        <f>SWDRT270B!J32+SWDRT270B!J33</f>
        <v>152.4016666666667</v>
      </c>
      <c r="M455" s="676">
        <f>SWDRT270B!K32+SWDRT270B!K33</f>
        <v>150.44166666666669</v>
      </c>
      <c r="N455" s="676">
        <f>SWDRT270B!L32+SWDRT270B!L33</f>
        <v>149.32166666666669</v>
      </c>
      <c r="O455" s="676">
        <f>SWDRT270B!M32+SWDRT270B!M33</f>
        <v>151.00166666666669</v>
      </c>
      <c r="P455" s="676">
        <f>SWDRT270B!N32+SWDRT270B!N33</f>
        <v>149.32166666666669</v>
      </c>
      <c r="Q455" s="676">
        <f>SWDRT270B!O32+SWDRT270B!O33</f>
        <v>150.44166666666669</v>
      </c>
      <c r="R455" s="676">
        <f>SWDRT270B!P32+SWDRT270B!P33</f>
        <v>152.4016666666667</v>
      </c>
      <c r="S455" s="676"/>
      <c r="T455" s="676"/>
      <c r="U455" s="676"/>
      <c r="V455" s="676"/>
      <c r="W455" s="676"/>
      <c r="X455" s="676"/>
      <c r="Y455" s="676"/>
      <c r="Z455" s="676"/>
      <c r="AA455" s="175"/>
    </row>
    <row r="456" spans="1:28" outlineLevel="1" x14ac:dyDescent="0.25">
      <c r="A456" s="36" t="str">
        <f t="shared" si="975"/>
        <v>Sunward SWDRT270B</v>
      </c>
      <c r="B456" s="36"/>
      <c r="D456" s="76" t="s">
        <v>47</v>
      </c>
      <c r="E456" s="77"/>
      <c r="F456" s="78"/>
      <c r="G456" s="79" t="e">
        <f t="shared" ref="G456:Z456" si="995">G452/$F489</f>
        <v>#DIV/0!</v>
      </c>
      <c r="H456" s="79" t="e">
        <f t="shared" si="995"/>
        <v>#DIV/0!</v>
      </c>
      <c r="I456" s="79" t="e">
        <f t="shared" si="995"/>
        <v>#DIV/0!</v>
      </c>
      <c r="J456" s="79" t="e">
        <f t="shared" si="995"/>
        <v>#DIV/0!</v>
      </c>
      <c r="K456" s="79" t="e">
        <f t="shared" si="995"/>
        <v>#DIV/0!</v>
      </c>
      <c r="L456" s="79" t="e">
        <f t="shared" si="995"/>
        <v>#DIV/0!</v>
      </c>
      <c r="M456" s="79" t="e">
        <f t="shared" si="995"/>
        <v>#DIV/0!</v>
      </c>
      <c r="N456" s="79" t="e">
        <f t="shared" si="995"/>
        <v>#DIV/0!</v>
      </c>
      <c r="O456" s="79" t="e">
        <f t="shared" si="995"/>
        <v>#DIV/0!</v>
      </c>
      <c r="P456" s="79" t="e">
        <f t="shared" si="995"/>
        <v>#DIV/0!</v>
      </c>
      <c r="Q456" s="79" t="e">
        <f t="shared" si="995"/>
        <v>#DIV/0!</v>
      </c>
      <c r="R456" s="79" t="e">
        <f t="shared" si="995"/>
        <v>#DIV/0!</v>
      </c>
      <c r="S456" s="79" t="e">
        <f t="shared" si="995"/>
        <v>#DIV/0!</v>
      </c>
      <c r="T456" s="79" t="e">
        <f t="shared" si="995"/>
        <v>#DIV/0!</v>
      </c>
      <c r="U456" s="79" t="e">
        <f t="shared" si="995"/>
        <v>#DIV/0!</v>
      </c>
      <c r="V456" s="79" t="e">
        <f t="shared" si="995"/>
        <v>#DIV/0!</v>
      </c>
      <c r="W456" s="79" t="e">
        <f t="shared" si="995"/>
        <v>#DIV/0!</v>
      </c>
      <c r="X456" s="79" t="e">
        <f t="shared" si="995"/>
        <v>#DIV/0!</v>
      </c>
      <c r="Y456" s="79" t="e">
        <f t="shared" si="995"/>
        <v>#DIV/0!</v>
      </c>
      <c r="Z456" s="79" t="e">
        <f t="shared" si="995"/>
        <v>#DIV/0!</v>
      </c>
      <c r="AA456" s="182" t="e">
        <f>SUM(F452:Z452)/$F489</f>
        <v>#DIV/0!</v>
      </c>
    </row>
    <row r="457" spans="1:28" outlineLevel="1" x14ac:dyDescent="0.25">
      <c r="A457" s="36" t="str">
        <f t="shared" si="975"/>
        <v>Sunward SWDRT270B</v>
      </c>
      <c r="B457" s="36"/>
      <c r="D457" s="183" t="s">
        <v>54</v>
      </c>
      <c r="E457" s="64" t="str">
        <f>E451</f>
        <v>тыс. руб.</v>
      </c>
      <c r="F457" s="29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175"/>
    </row>
    <row r="458" spans="1:28" outlineLevel="1" x14ac:dyDescent="0.25">
      <c r="A458" s="36" t="str">
        <f t="shared" si="975"/>
        <v>Sunward SWDRT270B</v>
      </c>
      <c r="B458" s="36"/>
      <c r="D458" s="63"/>
      <c r="E458" s="64"/>
      <c r="F458" s="29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175"/>
    </row>
    <row r="459" spans="1:28" outlineLevel="1" x14ac:dyDescent="0.25">
      <c r="A459" s="36" t="str">
        <f t="shared" si="975"/>
        <v>Sunward SWDRT270B</v>
      </c>
      <c r="B459" s="36"/>
      <c r="D459" s="183" t="s">
        <v>183</v>
      </c>
      <c r="E459" s="64" t="str">
        <f>E451</f>
        <v>тыс. руб.</v>
      </c>
      <c r="F459" s="70"/>
      <c r="G459" s="80">
        <f>G461*G462</f>
        <v>0</v>
      </c>
      <c r="H459" s="80">
        <f t="shared" ref="H459:Z459" si="996">H461*H462</f>
        <v>0</v>
      </c>
      <c r="I459" s="80">
        <f t="shared" si="996"/>
        <v>0</v>
      </c>
      <c r="J459" s="80">
        <f t="shared" si="996"/>
        <v>0</v>
      </c>
      <c r="K459" s="80">
        <f t="shared" si="996"/>
        <v>0</v>
      </c>
      <c r="L459" s="80">
        <f t="shared" si="996"/>
        <v>0</v>
      </c>
      <c r="M459" s="80">
        <f t="shared" si="996"/>
        <v>0</v>
      </c>
      <c r="N459" s="80">
        <f t="shared" si="996"/>
        <v>0</v>
      </c>
      <c r="O459" s="80">
        <f t="shared" si="996"/>
        <v>0</v>
      </c>
      <c r="P459" s="80">
        <f t="shared" si="996"/>
        <v>0</v>
      </c>
      <c r="Q459" s="80">
        <f t="shared" si="996"/>
        <v>0</v>
      </c>
      <c r="R459" s="80">
        <f t="shared" si="996"/>
        <v>0</v>
      </c>
      <c r="S459" s="80">
        <f t="shared" si="996"/>
        <v>0</v>
      </c>
      <c r="T459" s="80">
        <f t="shared" si="996"/>
        <v>0</v>
      </c>
      <c r="U459" s="80">
        <f t="shared" si="996"/>
        <v>0</v>
      </c>
      <c r="V459" s="80">
        <f t="shared" si="996"/>
        <v>0</v>
      </c>
      <c r="W459" s="80">
        <f t="shared" si="996"/>
        <v>0</v>
      </c>
      <c r="X459" s="80">
        <f t="shared" si="996"/>
        <v>0</v>
      </c>
      <c r="Y459" s="80">
        <f t="shared" si="996"/>
        <v>0</v>
      </c>
      <c r="Z459" s="80">
        <f t="shared" si="996"/>
        <v>0</v>
      </c>
      <c r="AA459" s="175"/>
    </row>
    <row r="460" spans="1:28" outlineLevel="1" x14ac:dyDescent="0.25">
      <c r="A460" s="36" t="str">
        <f t="shared" si="975"/>
        <v>Sunward SWDRT270B</v>
      </c>
      <c r="B460" s="36"/>
      <c r="D460" s="187" t="s">
        <v>48</v>
      </c>
      <c r="E460" s="9" t="s">
        <v>185</v>
      </c>
      <c r="F460" s="81">
        <f>SUMIFS('ФОТ, МТР, макро'!$B$4:$B$31,'ФОТ, МТР, макро'!$A$4:$A$31,$A460)</f>
        <v>0</v>
      </c>
      <c r="G460" s="82">
        <f>F460</f>
        <v>0</v>
      </c>
      <c r="H460" s="82">
        <f t="shared" ref="H460" si="997">G460</f>
        <v>0</v>
      </c>
      <c r="I460" s="82">
        <f t="shared" ref="I460" si="998">H460</f>
        <v>0</v>
      </c>
      <c r="J460" s="82">
        <f t="shared" ref="J460" si="999">I460</f>
        <v>0</v>
      </c>
      <c r="K460" s="82">
        <f t="shared" ref="K460" si="1000">J460</f>
        <v>0</v>
      </c>
      <c r="L460" s="82">
        <f t="shared" ref="L460" si="1001">K460</f>
        <v>0</v>
      </c>
      <c r="M460" s="82">
        <f t="shared" ref="M460" si="1002">L460</f>
        <v>0</v>
      </c>
      <c r="N460" s="82">
        <f t="shared" ref="N460" si="1003">M460</f>
        <v>0</v>
      </c>
      <c r="O460" s="82">
        <f t="shared" ref="O460" si="1004">N460</f>
        <v>0</v>
      </c>
      <c r="P460" s="82">
        <f t="shared" ref="P460" si="1005">O460</f>
        <v>0</v>
      </c>
      <c r="Q460" s="82">
        <f t="shared" ref="Q460" si="1006">P460</f>
        <v>0</v>
      </c>
      <c r="R460" s="82">
        <f t="shared" ref="R460" si="1007">Q460</f>
        <v>0</v>
      </c>
      <c r="S460" s="82">
        <f t="shared" ref="S460" si="1008">R460</f>
        <v>0</v>
      </c>
      <c r="T460" s="82">
        <f t="shared" ref="T460" si="1009">S460</f>
        <v>0</v>
      </c>
      <c r="U460" s="82">
        <f t="shared" ref="U460" si="1010">T460</f>
        <v>0</v>
      </c>
      <c r="V460" s="82">
        <f t="shared" ref="V460" si="1011">U460</f>
        <v>0</v>
      </c>
      <c r="W460" s="82">
        <f t="shared" ref="W460" si="1012">V460</f>
        <v>0</v>
      </c>
      <c r="X460" s="82">
        <f t="shared" ref="X460" si="1013">W460</f>
        <v>0</v>
      </c>
      <c r="Y460" s="82">
        <f t="shared" ref="Y460" si="1014">X460</f>
        <v>0</v>
      </c>
      <c r="Z460" s="82">
        <f t="shared" ref="Z460" si="1015">Y460</f>
        <v>0</v>
      </c>
      <c r="AA460" s="175"/>
    </row>
    <row r="461" spans="1:28" outlineLevel="1" x14ac:dyDescent="0.25">
      <c r="A461" s="36" t="str">
        <f t="shared" si="975"/>
        <v>Sunward SWDRT270B</v>
      </c>
      <c r="B461" s="36"/>
      <c r="D461" s="187" t="s">
        <v>49</v>
      </c>
      <c r="E461" s="9" t="s">
        <v>50</v>
      </c>
      <c r="F461" s="70"/>
      <c r="G461" s="74">
        <f>G447*G460</f>
        <v>0</v>
      </c>
      <c r="H461" s="74">
        <f t="shared" ref="H461:Z461" si="1016">H447*H460</f>
        <v>0</v>
      </c>
      <c r="I461" s="74">
        <f t="shared" si="1016"/>
        <v>0</v>
      </c>
      <c r="J461" s="74">
        <f t="shared" si="1016"/>
        <v>0</v>
      </c>
      <c r="K461" s="74">
        <f t="shared" si="1016"/>
        <v>0</v>
      </c>
      <c r="L461" s="74">
        <f t="shared" si="1016"/>
        <v>0</v>
      </c>
      <c r="M461" s="74">
        <f t="shared" si="1016"/>
        <v>0</v>
      </c>
      <c r="N461" s="74">
        <f t="shared" si="1016"/>
        <v>0</v>
      </c>
      <c r="O461" s="74">
        <f t="shared" si="1016"/>
        <v>0</v>
      </c>
      <c r="P461" s="74">
        <f t="shared" si="1016"/>
        <v>0</v>
      </c>
      <c r="Q461" s="74">
        <f t="shared" si="1016"/>
        <v>0</v>
      </c>
      <c r="R461" s="74">
        <f t="shared" si="1016"/>
        <v>0</v>
      </c>
      <c r="S461" s="74">
        <f t="shared" si="1016"/>
        <v>0</v>
      </c>
      <c r="T461" s="74">
        <f t="shared" si="1016"/>
        <v>0</v>
      </c>
      <c r="U461" s="74">
        <f t="shared" si="1016"/>
        <v>0</v>
      </c>
      <c r="V461" s="74">
        <f t="shared" si="1016"/>
        <v>0</v>
      </c>
      <c r="W461" s="74">
        <f t="shared" si="1016"/>
        <v>0</v>
      </c>
      <c r="X461" s="74">
        <f t="shared" si="1016"/>
        <v>0</v>
      </c>
      <c r="Y461" s="74">
        <f t="shared" si="1016"/>
        <v>0</v>
      </c>
      <c r="Z461" s="74">
        <f t="shared" si="1016"/>
        <v>0</v>
      </c>
      <c r="AA461" s="175"/>
    </row>
    <row r="462" spans="1:28" outlineLevel="1" x14ac:dyDescent="0.25">
      <c r="A462" s="36" t="str">
        <f t="shared" si="975"/>
        <v>Sunward SWDRT270B</v>
      </c>
      <c r="B462" s="36"/>
      <c r="D462" s="187" t="s">
        <v>51</v>
      </c>
      <c r="E462" s="9" t="s">
        <v>52</v>
      </c>
      <c r="F462" s="74">
        <f>SUMIFS('ФОТ, МТР, макро'!$C$4:$C$31,'ФОТ, МТР, макро'!$A$4:$A$31,$A462)</f>
        <v>0</v>
      </c>
      <c r="G462" s="83">
        <f>F462</f>
        <v>0</v>
      </c>
      <c r="H462" s="83">
        <f t="shared" ref="H462" si="1017">G462</f>
        <v>0</v>
      </c>
      <c r="I462" s="83">
        <f t="shared" ref="I462" si="1018">H462</f>
        <v>0</v>
      </c>
      <c r="J462" s="83">
        <f t="shared" ref="J462" si="1019">I462</f>
        <v>0</v>
      </c>
      <c r="K462" s="83">
        <f t="shared" ref="K462" si="1020">J462</f>
        <v>0</v>
      </c>
      <c r="L462" s="83">
        <f t="shared" ref="L462" si="1021">K462</f>
        <v>0</v>
      </c>
      <c r="M462" s="83">
        <f t="shared" ref="M462" si="1022">L462</f>
        <v>0</v>
      </c>
      <c r="N462" s="83">
        <f t="shared" ref="N462" si="1023">M462</f>
        <v>0</v>
      </c>
      <c r="O462" s="83">
        <f t="shared" ref="O462" si="1024">N462</f>
        <v>0</v>
      </c>
      <c r="P462" s="83">
        <f t="shared" ref="P462" si="1025">O462</f>
        <v>0</v>
      </c>
      <c r="Q462" s="83">
        <f t="shared" ref="Q462" si="1026">P462</f>
        <v>0</v>
      </c>
      <c r="R462" s="83">
        <f t="shared" ref="R462" si="1027">Q462</f>
        <v>0</v>
      </c>
      <c r="S462" s="83">
        <f t="shared" ref="S462" si="1028">R462</f>
        <v>0</v>
      </c>
      <c r="T462" s="83">
        <f t="shared" ref="T462" si="1029">S462</f>
        <v>0</v>
      </c>
      <c r="U462" s="83">
        <f t="shared" ref="U462" si="1030">T462</f>
        <v>0</v>
      </c>
      <c r="V462" s="83">
        <f t="shared" ref="V462" si="1031">U462</f>
        <v>0</v>
      </c>
      <c r="W462" s="83">
        <f t="shared" ref="W462" si="1032">V462</f>
        <v>0</v>
      </c>
      <c r="X462" s="83">
        <f t="shared" ref="X462" si="1033">W462</f>
        <v>0</v>
      </c>
      <c r="Y462" s="83">
        <f t="shared" ref="Y462" si="1034">X462</f>
        <v>0</v>
      </c>
      <c r="Z462" s="83">
        <f t="shared" ref="Z462" si="1035">Y462</f>
        <v>0</v>
      </c>
      <c r="AA462" s="175"/>
    </row>
    <row r="463" spans="1:28" outlineLevel="1" x14ac:dyDescent="0.25">
      <c r="A463" s="36" t="str">
        <f t="shared" si="975"/>
        <v>Sunward SWDRT270B</v>
      </c>
      <c r="B463" s="36"/>
      <c r="D463" s="183" t="s">
        <v>184</v>
      </c>
      <c r="E463" s="64" t="str">
        <f>E451</f>
        <v>тыс. руб.</v>
      </c>
      <c r="F463" s="70"/>
      <c r="G463" s="80">
        <f>G465*G466</f>
        <v>0</v>
      </c>
      <c r="H463" s="80">
        <f t="shared" ref="H463:Z463" si="1036">H465*H466</f>
        <v>0</v>
      </c>
      <c r="I463" s="80">
        <f t="shared" si="1036"/>
        <v>0</v>
      </c>
      <c r="J463" s="80">
        <f t="shared" si="1036"/>
        <v>0</v>
      </c>
      <c r="K463" s="80">
        <f t="shared" si="1036"/>
        <v>0</v>
      </c>
      <c r="L463" s="80">
        <f t="shared" si="1036"/>
        <v>0</v>
      </c>
      <c r="M463" s="80">
        <f t="shared" si="1036"/>
        <v>0</v>
      </c>
      <c r="N463" s="80">
        <f t="shared" si="1036"/>
        <v>0</v>
      </c>
      <c r="O463" s="80">
        <f t="shared" si="1036"/>
        <v>0</v>
      </c>
      <c r="P463" s="80">
        <f t="shared" si="1036"/>
        <v>0</v>
      </c>
      <c r="Q463" s="80">
        <f t="shared" si="1036"/>
        <v>0</v>
      </c>
      <c r="R463" s="80">
        <f t="shared" si="1036"/>
        <v>0</v>
      </c>
      <c r="S463" s="80">
        <f t="shared" si="1036"/>
        <v>0</v>
      </c>
      <c r="T463" s="80">
        <f t="shared" si="1036"/>
        <v>0</v>
      </c>
      <c r="U463" s="80">
        <f t="shared" si="1036"/>
        <v>0</v>
      </c>
      <c r="V463" s="80">
        <f t="shared" si="1036"/>
        <v>0</v>
      </c>
      <c r="W463" s="80">
        <f t="shared" si="1036"/>
        <v>0</v>
      </c>
      <c r="X463" s="80">
        <f t="shared" si="1036"/>
        <v>0</v>
      </c>
      <c r="Y463" s="80">
        <f t="shared" si="1036"/>
        <v>0</v>
      </c>
      <c r="Z463" s="80">
        <f t="shared" si="1036"/>
        <v>0</v>
      </c>
      <c r="AA463" s="175"/>
    </row>
    <row r="464" spans="1:28" outlineLevel="1" x14ac:dyDescent="0.25">
      <c r="A464" s="36" t="str">
        <f t="shared" si="975"/>
        <v>Sunward SWDRT270B</v>
      </c>
      <c r="B464" s="36"/>
      <c r="D464" s="187" t="s">
        <v>48</v>
      </c>
      <c r="E464" s="9" t="s">
        <v>185</v>
      </c>
      <c r="F464" s="81">
        <f>SUMIFS('ФОТ, МТР, макро'!$E$4:$E$31,'ФОТ, МТР, макро'!$A$4:$A$31,$A464)</f>
        <v>0</v>
      </c>
      <c r="G464" s="82">
        <f>F464</f>
        <v>0</v>
      </c>
      <c r="H464" s="82">
        <f t="shared" ref="H464" si="1037">G464</f>
        <v>0</v>
      </c>
      <c r="I464" s="82">
        <f t="shared" ref="I464" si="1038">H464</f>
        <v>0</v>
      </c>
      <c r="J464" s="82">
        <f t="shared" ref="J464" si="1039">I464</f>
        <v>0</v>
      </c>
      <c r="K464" s="82">
        <f t="shared" ref="K464" si="1040">J464</f>
        <v>0</v>
      </c>
      <c r="L464" s="82">
        <f t="shared" ref="L464" si="1041">K464</f>
        <v>0</v>
      </c>
      <c r="M464" s="82">
        <f t="shared" ref="M464" si="1042">L464</f>
        <v>0</v>
      </c>
      <c r="N464" s="82">
        <f t="shared" ref="N464" si="1043">M464</f>
        <v>0</v>
      </c>
      <c r="O464" s="82">
        <f t="shared" ref="O464" si="1044">N464</f>
        <v>0</v>
      </c>
      <c r="P464" s="82">
        <f t="shared" ref="P464" si="1045">O464</f>
        <v>0</v>
      </c>
      <c r="Q464" s="82">
        <f t="shared" ref="Q464" si="1046">P464</f>
        <v>0</v>
      </c>
      <c r="R464" s="82">
        <f t="shared" ref="R464" si="1047">Q464</f>
        <v>0</v>
      </c>
      <c r="S464" s="82">
        <f t="shared" ref="S464" si="1048">R464</f>
        <v>0</v>
      </c>
      <c r="T464" s="82">
        <f t="shared" ref="T464" si="1049">S464</f>
        <v>0</v>
      </c>
      <c r="U464" s="82">
        <f t="shared" ref="U464" si="1050">T464</f>
        <v>0</v>
      </c>
      <c r="V464" s="82">
        <f t="shared" ref="V464" si="1051">U464</f>
        <v>0</v>
      </c>
      <c r="W464" s="82">
        <f t="shared" ref="W464" si="1052">V464</f>
        <v>0</v>
      </c>
      <c r="X464" s="82">
        <f t="shared" ref="X464" si="1053">W464</f>
        <v>0</v>
      </c>
      <c r="Y464" s="82">
        <f t="shared" ref="Y464" si="1054">X464</f>
        <v>0</v>
      </c>
      <c r="Z464" s="82">
        <f t="shared" ref="Z464" si="1055">Y464</f>
        <v>0</v>
      </c>
      <c r="AA464" s="175"/>
    </row>
    <row r="465" spans="1:27" outlineLevel="1" x14ac:dyDescent="0.25">
      <c r="A465" s="36" t="str">
        <f t="shared" si="975"/>
        <v>Sunward SWDRT270B</v>
      </c>
      <c r="B465" s="36"/>
      <c r="D465" s="187" t="s">
        <v>49</v>
      </c>
      <c r="E465" s="9" t="s">
        <v>50</v>
      </c>
      <c r="F465" s="70"/>
      <c r="G465" s="74">
        <f>G447*G464</f>
        <v>0</v>
      </c>
      <c r="H465" s="74">
        <f t="shared" ref="H465:Z465" si="1056">H447*H464</f>
        <v>0</v>
      </c>
      <c r="I465" s="74">
        <f t="shared" si="1056"/>
        <v>0</v>
      </c>
      <c r="J465" s="74">
        <f t="shared" si="1056"/>
        <v>0</v>
      </c>
      <c r="K465" s="74">
        <f t="shared" si="1056"/>
        <v>0</v>
      </c>
      <c r="L465" s="74">
        <f t="shared" si="1056"/>
        <v>0</v>
      </c>
      <c r="M465" s="74">
        <f t="shared" si="1056"/>
        <v>0</v>
      </c>
      <c r="N465" s="74">
        <f t="shared" si="1056"/>
        <v>0</v>
      </c>
      <c r="O465" s="74">
        <f t="shared" si="1056"/>
        <v>0</v>
      </c>
      <c r="P465" s="74">
        <f t="shared" si="1056"/>
        <v>0</v>
      </c>
      <c r="Q465" s="74">
        <f t="shared" si="1056"/>
        <v>0</v>
      </c>
      <c r="R465" s="74">
        <f t="shared" si="1056"/>
        <v>0</v>
      </c>
      <c r="S465" s="74">
        <f t="shared" si="1056"/>
        <v>0</v>
      </c>
      <c r="T465" s="74">
        <f t="shared" si="1056"/>
        <v>0</v>
      </c>
      <c r="U465" s="74">
        <f t="shared" si="1056"/>
        <v>0</v>
      </c>
      <c r="V465" s="74">
        <f t="shared" si="1056"/>
        <v>0</v>
      </c>
      <c r="W465" s="74">
        <f t="shared" si="1056"/>
        <v>0</v>
      </c>
      <c r="X465" s="74">
        <f t="shared" si="1056"/>
        <v>0</v>
      </c>
      <c r="Y465" s="74">
        <f t="shared" si="1056"/>
        <v>0</v>
      </c>
      <c r="Z465" s="74">
        <f t="shared" si="1056"/>
        <v>0</v>
      </c>
      <c r="AA465" s="175"/>
    </row>
    <row r="466" spans="1:27" outlineLevel="1" x14ac:dyDescent="0.25">
      <c r="A466" s="36" t="str">
        <f t="shared" si="975"/>
        <v>Sunward SWDRT270B</v>
      </c>
      <c r="B466" s="36"/>
      <c r="D466" s="187" t="s">
        <v>51</v>
      </c>
      <c r="E466" s="9" t="s">
        <v>52</v>
      </c>
      <c r="F466" s="74">
        <f>SUMIFS('ФОТ, МТР, макро'!$F$4:$F$31,'ФОТ, МТР, макро'!$A$4:$A$31,$A466)</f>
        <v>0</v>
      </c>
      <c r="G466" s="83">
        <f>F466</f>
        <v>0</v>
      </c>
      <c r="H466" s="83">
        <f t="shared" ref="H466" si="1057">G466</f>
        <v>0</v>
      </c>
      <c r="I466" s="83">
        <f t="shared" ref="I466" si="1058">H466</f>
        <v>0</v>
      </c>
      <c r="J466" s="83">
        <f t="shared" ref="J466" si="1059">I466</f>
        <v>0</v>
      </c>
      <c r="K466" s="83">
        <f t="shared" ref="K466" si="1060">J466</f>
        <v>0</v>
      </c>
      <c r="L466" s="83">
        <f t="shared" ref="L466" si="1061">K466</f>
        <v>0</v>
      </c>
      <c r="M466" s="83">
        <f t="shared" ref="M466" si="1062">L466</f>
        <v>0</v>
      </c>
      <c r="N466" s="83">
        <f t="shared" ref="N466" si="1063">M466</f>
        <v>0</v>
      </c>
      <c r="O466" s="83">
        <f t="shared" ref="O466" si="1064">N466</f>
        <v>0</v>
      </c>
      <c r="P466" s="83">
        <f t="shared" ref="P466" si="1065">O466</f>
        <v>0</v>
      </c>
      <c r="Q466" s="83">
        <f t="shared" ref="Q466" si="1066">P466</f>
        <v>0</v>
      </c>
      <c r="R466" s="83">
        <f t="shared" ref="R466" si="1067">Q466</f>
        <v>0</v>
      </c>
      <c r="S466" s="83">
        <f t="shared" ref="S466" si="1068">R466</f>
        <v>0</v>
      </c>
      <c r="T466" s="83">
        <f t="shared" ref="T466" si="1069">S466</f>
        <v>0</v>
      </c>
      <c r="U466" s="83">
        <f t="shared" ref="U466" si="1070">T466</f>
        <v>0</v>
      </c>
      <c r="V466" s="83">
        <f t="shared" ref="V466" si="1071">U466</f>
        <v>0</v>
      </c>
      <c r="W466" s="83">
        <f t="shared" ref="W466" si="1072">V466</f>
        <v>0</v>
      </c>
      <c r="X466" s="83">
        <f t="shared" ref="X466" si="1073">W466</f>
        <v>0</v>
      </c>
      <c r="Y466" s="83">
        <f t="shared" ref="Y466" si="1074">X466</f>
        <v>0</v>
      </c>
      <c r="Z466" s="83">
        <f t="shared" ref="Z466" si="1075">Y466</f>
        <v>0</v>
      </c>
      <c r="AA466" s="175"/>
    </row>
    <row r="467" spans="1:27" outlineLevel="1" x14ac:dyDescent="0.25">
      <c r="A467" s="36" t="str">
        <f t="shared" si="975"/>
        <v>Sunward SWDRT270B</v>
      </c>
      <c r="B467" s="36"/>
      <c r="D467" s="183" t="s">
        <v>187</v>
      </c>
      <c r="E467" s="64" t="str">
        <f>E451</f>
        <v>тыс. руб.</v>
      </c>
      <c r="F467" s="70"/>
      <c r="G467" s="80">
        <f>G447*G468</f>
        <v>0</v>
      </c>
      <c r="H467" s="80">
        <f t="shared" ref="H467:Z467" si="1076">H447*H468</f>
        <v>0</v>
      </c>
      <c r="I467" s="80">
        <f t="shared" si="1076"/>
        <v>0</v>
      </c>
      <c r="J467" s="80">
        <f t="shared" si="1076"/>
        <v>0</v>
      </c>
      <c r="K467" s="80">
        <f t="shared" si="1076"/>
        <v>0</v>
      </c>
      <c r="L467" s="80">
        <f t="shared" si="1076"/>
        <v>0</v>
      </c>
      <c r="M467" s="80">
        <f t="shared" si="1076"/>
        <v>0</v>
      </c>
      <c r="N467" s="80">
        <f t="shared" si="1076"/>
        <v>0</v>
      </c>
      <c r="O467" s="80">
        <f t="shared" si="1076"/>
        <v>0</v>
      </c>
      <c r="P467" s="80">
        <f t="shared" si="1076"/>
        <v>0</v>
      </c>
      <c r="Q467" s="80">
        <f t="shared" si="1076"/>
        <v>0</v>
      </c>
      <c r="R467" s="80">
        <f t="shared" si="1076"/>
        <v>0</v>
      </c>
      <c r="S467" s="80">
        <f t="shared" si="1076"/>
        <v>0</v>
      </c>
      <c r="T467" s="80">
        <f t="shared" si="1076"/>
        <v>0</v>
      </c>
      <c r="U467" s="80">
        <f t="shared" si="1076"/>
        <v>0</v>
      </c>
      <c r="V467" s="80">
        <f t="shared" si="1076"/>
        <v>0</v>
      </c>
      <c r="W467" s="80">
        <f t="shared" si="1076"/>
        <v>0</v>
      </c>
      <c r="X467" s="80">
        <f t="shared" si="1076"/>
        <v>0</v>
      </c>
      <c r="Y467" s="80">
        <f t="shared" si="1076"/>
        <v>0</v>
      </c>
      <c r="Z467" s="80">
        <f t="shared" si="1076"/>
        <v>0</v>
      </c>
      <c r="AA467" s="175"/>
    </row>
    <row r="468" spans="1:27" outlineLevel="1" x14ac:dyDescent="0.25">
      <c r="A468" s="36" t="str">
        <f t="shared" si="975"/>
        <v>Sunward SWDRT270B</v>
      </c>
      <c r="B468" s="36"/>
      <c r="D468" s="187" t="s">
        <v>48</v>
      </c>
      <c r="E468" s="9" t="s">
        <v>188</v>
      </c>
      <c r="F468" s="74">
        <f>SUMIFS('ФОТ, МТР, макро'!$H$4:$H$31,'ФОТ, МТР, макро'!$A$4:$A$31,$A468)</f>
        <v>0</v>
      </c>
      <c r="G468" s="83">
        <f>F468</f>
        <v>0</v>
      </c>
      <c r="H468" s="83">
        <f t="shared" ref="H468" si="1077">G468</f>
        <v>0</v>
      </c>
      <c r="I468" s="83">
        <f t="shared" ref="I468" si="1078">H468</f>
        <v>0</v>
      </c>
      <c r="J468" s="83">
        <f t="shared" ref="J468" si="1079">I468</f>
        <v>0</v>
      </c>
      <c r="K468" s="83">
        <f t="shared" ref="K468" si="1080">J468</f>
        <v>0</v>
      </c>
      <c r="L468" s="83">
        <f t="shared" ref="L468" si="1081">K468</f>
        <v>0</v>
      </c>
      <c r="M468" s="83">
        <f t="shared" ref="M468" si="1082">L468</f>
        <v>0</v>
      </c>
      <c r="N468" s="83">
        <f t="shared" ref="N468" si="1083">M468</f>
        <v>0</v>
      </c>
      <c r="O468" s="83">
        <f t="shared" ref="O468" si="1084">N468</f>
        <v>0</v>
      </c>
      <c r="P468" s="83">
        <f t="shared" ref="P468" si="1085">O468</f>
        <v>0</v>
      </c>
      <c r="Q468" s="83">
        <f t="shared" ref="Q468" si="1086">P468</f>
        <v>0</v>
      </c>
      <c r="R468" s="83">
        <f t="shared" ref="R468" si="1087">Q468</f>
        <v>0</v>
      </c>
      <c r="S468" s="83">
        <f t="shared" ref="S468" si="1088">R468</f>
        <v>0</v>
      </c>
      <c r="T468" s="83">
        <f t="shared" ref="T468" si="1089">S468</f>
        <v>0</v>
      </c>
      <c r="U468" s="83">
        <f t="shared" ref="U468" si="1090">T468</f>
        <v>0</v>
      </c>
      <c r="V468" s="83">
        <f t="shared" ref="V468" si="1091">U468</f>
        <v>0</v>
      </c>
      <c r="W468" s="83">
        <f t="shared" ref="W468" si="1092">V468</f>
        <v>0</v>
      </c>
      <c r="X468" s="83">
        <f t="shared" ref="X468" si="1093">W468</f>
        <v>0</v>
      </c>
      <c r="Y468" s="83">
        <f t="shared" ref="Y468" si="1094">X468</f>
        <v>0</v>
      </c>
      <c r="Z468" s="83">
        <f t="shared" ref="Z468" si="1095">Y468</f>
        <v>0</v>
      </c>
      <c r="AA468" s="175"/>
    </row>
    <row r="469" spans="1:27" outlineLevel="1" x14ac:dyDescent="0.25">
      <c r="A469" s="36" t="str">
        <f t="shared" si="975"/>
        <v>Sunward SWDRT270B</v>
      </c>
      <c r="B469" s="36"/>
      <c r="C469" s="193">
        <f>SUMIFS('ФОТ, МТР, макро'!$N$4:$N$31,'ФОТ, МТР, макро'!$J$4:$J$31,$A469)</f>
        <v>1</v>
      </c>
      <c r="D469" s="63" t="s">
        <v>189</v>
      </c>
      <c r="E469" s="64" t="str">
        <f>E451</f>
        <v>тыс. руб.</v>
      </c>
      <c r="F469" s="83"/>
      <c r="G469" s="80">
        <f>IF($C469=1,G470,G474)</f>
        <v>31646.07447975369</v>
      </c>
      <c r="H469" s="80">
        <f t="shared" ref="H469:Z469" si="1096">IF($C469=1,H470,H474)</f>
        <v>31646.07447975369</v>
      </c>
      <c r="I469" s="80">
        <f t="shared" si="1096"/>
        <v>31305.794109003651</v>
      </c>
      <c r="J469" s="80">
        <f t="shared" si="1096"/>
        <v>31305.794109003651</v>
      </c>
      <c r="K469" s="80">
        <f t="shared" si="1096"/>
        <v>29604.392255253442</v>
      </c>
      <c r="L469" s="80">
        <f t="shared" si="1096"/>
        <v>30625.233367503566</v>
      </c>
      <c r="M469" s="80">
        <f t="shared" si="1096"/>
        <v>28923.831513753368</v>
      </c>
      <c r="N469" s="80">
        <f t="shared" si="1096"/>
        <v>30625.233367503566</v>
      </c>
      <c r="O469" s="80">
        <f t="shared" si="1096"/>
        <v>30625.233367503566</v>
      </c>
      <c r="P469" s="80">
        <f t="shared" si="1096"/>
        <v>28923.831513753368</v>
      </c>
      <c r="Q469" s="80">
        <f t="shared" si="1096"/>
        <v>30284.952996753531</v>
      </c>
      <c r="R469" s="80">
        <f t="shared" si="1096"/>
        <v>30284.952996753531</v>
      </c>
      <c r="S469" s="80">
        <f t="shared" si="1096"/>
        <v>0</v>
      </c>
      <c r="T469" s="80">
        <f t="shared" si="1096"/>
        <v>0</v>
      </c>
      <c r="U469" s="80">
        <f t="shared" si="1096"/>
        <v>0</v>
      </c>
      <c r="V469" s="80">
        <f t="shared" si="1096"/>
        <v>0</v>
      </c>
      <c r="W469" s="80">
        <f t="shared" si="1096"/>
        <v>0</v>
      </c>
      <c r="X469" s="80">
        <f t="shared" si="1096"/>
        <v>0</v>
      </c>
      <c r="Y469" s="80">
        <f t="shared" si="1096"/>
        <v>0</v>
      </c>
      <c r="Z469" s="80">
        <f t="shared" si="1096"/>
        <v>0</v>
      </c>
      <c r="AA469" s="175"/>
    </row>
    <row r="470" spans="1:27" outlineLevel="1" x14ac:dyDescent="0.25">
      <c r="A470" s="36" t="str">
        <f t="shared" si="975"/>
        <v>Sunward SWDRT270B</v>
      </c>
      <c r="B470" s="36"/>
      <c r="D470" s="192" t="s">
        <v>190</v>
      </c>
      <c r="E470" s="188" t="str">
        <f>E469</f>
        <v>тыс. руб.</v>
      </c>
      <c r="F470" s="189"/>
      <c r="G470" s="190">
        <f>G472*G473</f>
        <v>31646.07447975369</v>
      </c>
      <c r="H470" s="190">
        <f t="shared" ref="H470:Z470" si="1097">H472*H473</f>
        <v>31646.07447975369</v>
      </c>
      <c r="I470" s="190">
        <f t="shared" si="1097"/>
        <v>31305.794109003651</v>
      </c>
      <c r="J470" s="190">
        <f t="shared" si="1097"/>
        <v>31305.794109003651</v>
      </c>
      <c r="K470" s="190">
        <f t="shared" si="1097"/>
        <v>29604.392255253442</v>
      </c>
      <c r="L470" s="190">
        <f t="shared" si="1097"/>
        <v>30625.233367503566</v>
      </c>
      <c r="M470" s="190">
        <f t="shared" si="1097"/>
        <v>28923.831513753368</v>
      </c>
      <c r="N470" s="190">
        <f t="shared" si="1097"/>
        <v>30625.233367503566</v>
      </c>
      <c r="O470" s="190">
        <f t="shared" si="1097"/>
        <v>30625.233367503566</v>
      </c>
      <c r="P470" s="190">
        <f t="shared" si="1097"/>
        <v>28923.831513753368</v>
      </c>
      <c r="Q470" s="190">
        <f t="shared" si="1097"/>
        <v>30284.952996753531</v>
      </c>
      <c r="R470" s="190">
        <f t="shared" si="1097"/>
        <v>30284.952996753531</v>
      </c>
      <c r="S470" s="190">
        <f t="shared" si="1097"/>
        <v>0</v>
      </c>
      <c r="T470" s="190">
        <f t="shared" si="1097"/>
        <v>0</v>
      </c>
      <c r="U470" s="190">
        <f t="shared" si="1097"/>
        <v>0</v>
      </c>
      <c r="V470" s="190">
        <f t="shared" si="1097"/>
        <v>0</v>
      </c>
      <c r="W470" s="190">
        <f t="shared" si="1097"/>
        <v>0</v>
      </c>
      <c r="X470" s="190">
        <f t="shared" si="1097"/>
        <v>0</v>
      </c>
      <c r="Y470" s="190">
        <f t="shared" si="1097"/>
        <v>0</v>
      </c>
      <c r="Z470" s="190">
        <f t="shared" si="1097"/>
        <v>0</v>
      </c>
      <c r="AA470" s="175"/>
    </row>
    <row r="471" spans="1:27" outlineLevel="1" x14ac:dyDescent="0.25">
      <c r="A471" s="36" t="str">
        <f t="shared" si="975"/>
        <v>Sunward SWDRT270B</v>
      </c>
      <c r="B471" s="36"/>
      <c r="D471" s="187" t="s">
        <v>48</v>
      </c>
      <c r="E471" s="73" t="str">
        <f>VLOOKUP($A471,'ФОТ, МТР, макро'!$J$4:$N$31,2,FALSE)</f>
        <v>кг/час</v>
      </c>
      <c r="F471" s="74">
        <f>SUMIFS('ФОТ, МТР, макро'!$L$4:$L$31,'ФОТ, МТР, макро'!$J$4:$J$31,$A471)</f>
        <v>72.780455432499437</v>
      </c>
      <c r="G471" s="83">
        <f>F471</f>
        <v>72.780455432499437</v>
      </c>
      <c r="H471" s="83">
        <f t="shared" ref="H471" si="1098">G471</f>
        <v>72.780455432499437</v>
      </c>
      <c r="I471" s="83">
        <f t="shared" ref="I471" si="1099">H471</f>
        <v>72.780455432499437</v>
      </c>
      <c r="J471" s="83">
        <f t="shared" ref="J471" si="1100">I471</f>
        <v>72.780455432499437</v>
      </c>
      <c r="K471" s="83">
        <f t="shared" ref="K471" si="1101">J471</f>
        <v>72.780455432499437</v>
      </c>
      <c r="L471" s="83">
        <f t="shared" ref="L471" si="1102">K471</f>
        <v>72.780455432499437</v>
      </c>
      <c r="M471" s="83">
        <f t="shared" ref="M471" si="1103">L471</f>
        <v>72.780455432499437</v>
      </c>
      <c r="N471" s="83">
        <f t="shared" ref="N471" si="1104">M471</f>
        <v>72.780455432499437</v>
      </c>
      <c r="O471" s="83">
        <f t="shared" ref="O471" si="1105">N471</f>
        <v>72.780455432499437</v>
      </c>
      <c r="P471" s="83">
        <f t="shared" ref="P471" si="1106">O471</f>
        <v>72.780455432499437</v>
      </c>
      <c r="Q471" s="83">
        <f t="shared" ref="Q471" si="1107">P471</f>
        <v>72.780455432499437</v>
      </c>
      <c r="R471" s="83">
        <f t="shared" ref="R471" si="1108">Q471</f>
        <v>72.780455432499437</v>
      </c>
      <c r="S471" s="83">
        <f t="shared" ref="S471" si="1109">R471</f>
        <v>72.780455432499437</v>
      </c>
      <c r="T471" s="83">
        <f t="shared" ref="T471" si="1110">S471</f>
        <v>72.780455432499437</v>
      </c>
      <c r="U471" s="83">
        <f t="shared" ref="U471" si="1111">T471</f>
        <v>72.780455432499437</v>
      </c>
      <c r="V471" s="83">
        <f t="shared" ref="V471" si="1112">U471</f>
        <v>72.780455432499437</v>
      </c>
      <c r="W471" s="83">
        <f t="shared" ref="W471" si="1113">V471</f>
        <v>72.780455432499437</v>
      </c>
      <c r="X471" s="83">
        <f t="shared" ref="X471" si="1114">W471</f>
        <v>72.780455432499437</v>
      </c>
      <c r="Y471" s="83">
        <f t="shared" ref="Y471" si="1115">X471</f>
        <v>72.780455432499437</v>
      </c>
      <c r="Z471" s="83">
        <f t="shared" ref="Z471" si="1116">Y471</f>
        <v>72.780455432499437</v>
      </c>
      <c r="AA471" s="175"/>
    </row>
    <row r="472" spans="1:27" outlineLevel="1" x14ac:dyDescent="0.25">
      <c r="A472" s="36" t="str">
        <f t="shared" si="975"/>
        <v>Sunward SWDRT270B</v>
      </c>
      <c r="B472" s="36"/>
      <c r="D472" s="187" t="s">
        <v>49</v>
      </c>
      <c r="E472" s="73" t="str">
        <f>IF(E471="кг/час","т","тыс. кВт*ч")</f>
        <v>т</v>
      </c>
      <c r="F472" s="83"/>
      <c r="G472" s="74">
        <f>G$3*G446*G471/1000</f>
        <v>479.34856743325605</v>
      </c>
      <c r="H472" s="74">
        <f t="shared" ref="H472:Z472" si="1117">H$3*H446*H471/1000</f>
        <v>479.34856743325605</v>
      </c>
      <c r="I472" s="74">
        <f t="shared" si="1117"/>
        <v>474.19428176193071</v>
      </c>
      <c r="J472" s="74">
        <f t="shared" si="1117"/>
        <v>474.19428176193071</v>
      </c>
      <c r="K472" s="74">
        <f t="shared" si="1117"/>
        <v>448.4228534053039</v>
      </c>
      <c r="L472" s="74">
        <f t="shared" si="1117"/>
        <v>463.88571041927997</v>
      </c>
      <c r="M472" s="74">
        <f t="shared" si="1117"/>
        <v>438.11428206265333</v>
      </c>
      <c r="N472" s="74">
        <f t="shared" si="1117"/>
        <v>463.88571041927997</v>
      </c>
      <c r="O472" s="74">
        <f t="shared" si="1117"/>
        <v>463.88571041927997</v>
      </c>
      <c r="P472" s="74">
        <f t="shared" si="1117"/>
        <v>438.11428206265333</v>
      </c>
      <c r="Q472" s="74">
        <f t="shared" si="1117"/>
        <v>458.73142474795469</v>
      </c>
      <c r="R472" s="74">
        <f t="shared" si="1117"/>
        <v>458.73142474795469</v>
      </c>
      <c r="S472" s="74">
        <f t="shared" si="1117"/>
        <v>0</v>
      </c>
      <c r="T472" s="74">
        <f t="shared" si="1117"/>
        <v>0</v>
      </c>
      <c r="U472" s="74">
        <f t="shared" si="1117"/>
        <v>0</v>
      </c>
      <c r="V472" s="74">
        <f t="shared" si="1117"/>
        <v>0</v>
      </c>
      <c r="W472" s="74">
        <f t="shared" si="1117"/>
        <v>0</v>
      </c>
      <c r="X472" s="74">
        <f t="shared" si="1117"/>
        <v>0</v>
      </c>
      <c r="Y472" s="74">
        <f t="shared" si="1117"/>
        <v>0</v>
      </c>
      <c r="Z472" s="74">
        <f t="shared" si="1117"/>
        <v>0</v>
      </c>
      <c r="AA472" s="175"/>
    </row>
    <row r="473" spans="1:27" outlineLevel="1" x14ac:dyDescent="0.25">
      <c r="A473" s="36" t="str">
        <f t="shared" si="975"/>
        <v>Sunward SWDRT270B</v>
      </c>
      <c r="B473" s="36"/>
      <c r="D473" s="187" t="s">
        <v>51</v>
      </c>
      <c r="E473" s="73" t="str">
        <f>IF(E472="т","тыс. руб./т","руб./кВт*ч")</f>
        <v>тыс. руб./т</v>
      </c>
      <c r="F473" s="74">
        <f>IF(E472="т",'ФОТ, МТР, макро'!$Q$2,'ФОТ, МТР, макро'!$Q$15)</f>
        <v>66.018919487352079</v>
      </c>
      <c r="G473" s="83">
        <f>F473</f>
        <v>66.018919487352079</v>
      </c>
      <c r="H473" s="83">
        <f t="shared" ref="H473" si="1118">G473</f>
        <v>66.018919487352079</v>
      </c>
      <c r="I473" s="83">
        <f t="shared" ref="I473" si="1119">H473</f>
        <v>66.018919487352079</v>
      </c>
      <c r="J473" s="83">
        <f t="shared" ref="J473" si="1120">I473</f>
        <v>66.018919487352079</v>
      </c>
      <c r="K473" s="83">
        <f t="shared" ref="K473" si="1121">J473</f>
        <v>66.018919487352079</v>
      </c>
      <c r="L473" s="83">
        <f t="shared" ref="L473" si="1122">K473</f>
        <v>66.018919487352079</v>
      </c>
      <c r="M473" s="83">
        <f t="shared" ref="M473" si="1123">L473</f>
        <v>66.018919487352079</v>
      </c>
      <c r="N473" s="83">
        <f t="shared" ref="N473" si="1124">M473</f>
        <v>66.018919487352079</v>
      </c>
      <c r="O473" s="83">
        <f t="shared" ref="O473" si="1125">N473</f>
        <v>66.018919487352079</v>
      </c>
      <c r="P473" s="83">
        <f t="shared" ref="P473" si="1126">O473</f>
        <v>66.018919487352079</v>
      </c>
      <c r="Q473" s="83">
        <f t="shared" ref="Q473" si="1127">P473</f>
        <v>66.018919487352079</v>
      </c>
      <c r="R473" s="83">
        <f t="shared" ref="R473" si="1128">Q473</f>
        <v>66.018919487352079</v>
      </c>
      <c r="S473" s="83">
        <f t="shared" ref="S473" si="1129">R473</f>
        <v>66.018919487352079</v>
      </c>
      <c r="T473" s="83">
        <f t="shared" ref="T473" si="1130">S473</f>
        <v>66.018919487352079</v>
      </c>
      <c r="U473" s="83">
        <f t="shared" ref="U473" si="1131">T473</f>
        <v>66.018919487352079</v>
      </c>
      <c r="V473" s="83">
        <f t="shared" ref="V473" si="1132">U473</f>
        <v>66.018919487352079</v>
      </c>
      <c r="W473" s="83">
        <f t="shared" ref="W473" si="1133">V473</f>
        <v>66.018919487352079</v>
      </c>
      <c r="X473" s="83">
        <f t="shared" ref="X473" si="1134">W473</f>
        <v>66.018919487352079</v>
      </c>
      <c r="Y473" s="83">
        <f t="shared" ref="Y473" si="1135">X473</f>
        <v>66.018919487352079</v>
      </c>
      <c r="Z473" s="83">
        <f t="shared" ref="Z473" si="1136">Y473</f>
        <v>66.018919487352079</v>
      </c>
      <c r="AA473" s="175"/>
    </row>
    <row r="474" spans="1:27" outlineLevel="1" x14ac:dyDescent="0.25">
      <c r="A474" s="36" t="str">
        <f t="shared" si="975"/>
        <v>Sunward SWDRT270B</v>
      </c>
      <c r="B474" s="36"/>
      <c r="D474" s="192" t="s">
        <v>191</v>
      </c>
      <c r="E474" s="188" t="str">
        <f>E470</f>
        <v>тыс. руб.</v>
      </c>
      <c r="F474" s="83"/>
      <c r="G474" s="190">
        <f>G476*G477</f>
        <v>32524.203881644815</v>
      </c>
      <c r="H474" s="190">
        <f t="shared" ref="H474:Z474" si="1137">H476*H477</f>
        <v>32524.203881644815</v>
      </c>
      <c r="I474" s="190">
        <f t="shared" si="1137"/>
        <v>32174.481259261538</v>
      </c>
      <c r="J474" s="190">
        <f t="shared" si="1137"/>
        <v>32174.481259261538</v>
      </c>
      <c r="K474" s="190">
        <f t="shared" si="1137"/>
        <v>30425.868147345143</v>
      </c>
      <c r="L474" s="190">
        <f t="shared" si="1137"/>
        <v>31475.036014494985</v>
      </c>
      <c r="M474" s="190">
        <f t="shared" si="1137"/>
        <v>29726.422902578597</v>
      </c>
      <c r="N474" s="190">
        <f t="shared" si="1137"/>
        <v>31475.036014494985</v>
      </c>
      <c r="O474" s="190">
        <f t="shared" si="1137"/>
        <v>31475.036014494985</v>
      </c>
      <c r="P474" s="190">
        <f t="shared" si="1137"/>
        <v>29726.422902578597</v>
      </c>
      <c r="Q474" s="190">
        <f t="shared" si="1137"/>
        <v>31125.313392111711</v>
      </c>
      <c r="R474" s="190">
        <f t="shared" si="1137"/>
        <v>31125.313392111711</v>
      </c>
      <c r="S474" s="190">
        <f t="shared" si="1137"/>
        <v>0</v>
      </c>
      <c r="T474" s="190">
        <f t="shared" si="1137"/>
        <v>0</v>
      </c>
      <c r="U474" s="190">
        <f t="shared" si="1137"/>
        <v>0</v>
      </c>
      <c r="V474" s="190">
        <f t="shared" si="1137"/>
        <v>0</v>
      </c>
      <c r="W474" s="190">
        <f t="shared" si="1137"/>
        <v>0</v>
      </c>
      <c r="X474" s="190">
        <f t="shared" si="1137"/>
        <v>0</v>
      </c>
      <c r="Y474" s="190">
        <f t="shared" si="1137"/>
        <v>0</v>
      </c>
      <c r="Z474" s="190">
        <f t="shared" si="1137"/>
        <v>0</v>
      </c>
      <c r="AA474" s="175"/>
    </row>
    <row r="475" spans="1:27" outlineLevel="1" x14ac:dyDescent="0.25">
      <c r="A475" s="36" t="str">
        <f t="shared" si="975"/>
        <v>Sunward SWDRT270B</v>
      </c>
      <c r="B475" s="36"/>
      <c r="D475" s="187" t="s">
        <v>48</v>
      </c>
      <c r="E475" s="196" t="str">
        <f>E471</f>
        <v>кг/час</v>
      </c>
      <c r="F475" s="74">
        <f>SUMIFS('ФОТ, МТР, макро'!$M$4:$M$31,'ФОТ, МТР, макро'!$J$4:$J$31,$A475)</f>
        <v>74.8</v>
      </c>
      <c r="G475" s="83">
        <f>F475</f>
        <v>74.8</v>
      </c>
      <c r="H475" s="83">
        <f t="shared" ref="H475" si="1138">G475</f>
        <v>74.8</v>
      </c>
      <c r="I475" s="83">
        <f t="shared" ref="I475" si="1139">H475</f>
        <v>74.8</v>
      </c>
      <c r="J475" s="83">
        <f t="shared" ref="J475" si="1140">I475</f>
        <v>74.8</v>
      </c>
      <c r="K475" s="83">
        <f t="shared" ref="K475" si="1141">J475</f>
        <v>74.8</v>
      </c>
      <c r="L475" s="83">
        <f t="shared" ref="L475" si="1142">K475</f>
        <v>74.8</v>
      </c>
      <c r="M475" s="83">
        <f t="shared" ref="M475" si="1143">L475</f>
        <v>74.8</v>
      </c>
      <c r="N475" s="83">
        <f t="shared" ref="N475" si="1144">M475</f>
        <v>74.8</v>
      </c>
      <c r="O475" s="83">
        <f t="shared" ref="O475" si="1145">N475</f>
        <v>74.8</v>
      </c>
      <c r="P475" s="83">
        <f t="shared" ref="P475" si="1146">O475</f>
        <v>74.8</v>
      </c>
      <c r="Q475" s="83">
        <f t="shared" ref="Q475" si="1147">P475</f>
        <v>74.8</v>
      </c>
      <c r="R475" s="83">
        <f t="shared" ref="R475" si="1148">Q475</f>
        <v>74.8</v>
      </c>
      <c r="S475" s="83">
        <f t="shared" ref="S475" si="1149">R475</f>
        <v>74.8</v>
      </c>
      <c r="T475" s="83">
        <f t="shared" ref="T475" si="1150">S475</f>
        <v>74.8</v>
      </c>
      <c r="U475" s="83">
        <f t="shared" ref="U475" si="1151">T475</f>
        <v>74.8</v>
      </c>
      <c r="V475" s="83">
        <f t="shared" ref="V475" si="1152">U475</f>
        <v>74.8</v>
      </c>
      <c r="W475" s="83">
        <f t="shared" ref="W475" si="1153">V475</f>
        <v>74.8</v>
      </c>
      <c r="X475" s="83">
        <f t="shared" ref="X475" si="1154">W475</f>
        <v>74.8</v>
      </c>
      <c r="Y475" s="83">
        <f t="shared" ref="Y475" si="1155">X475</f>
        <v>74.8</v>
      </c>
      <c r="Z475" s="83">
        <f t="shared" ref="Z475" si="1156">Y475</f>
        <v>74.8</v>
      </c>
      <c r="AA475" s="175"/>
    </row>
    <row r="476" spans="1:27" outlineLevel="1" x14ac:dyDescent="0.25">
      <c r="A476" s="36" t="str">
        <f t="shared" si="975"/>
        <v>Sunward SWDRT270B</v>
      </c>
      <c r="B476" s="36"/>
      <c r="D476" s="187" t="s">
        <v>49</v>
      </c>
      <c r="E476" s="196" t="str">
        <f t="shared" ref="E476:E477" si="1157">E472</f>
        <v>т</v>
      </c>
      <c r="F476" s="83"/>
      <c r="G476" s="74">
        <f>G$3*G446*G475/1000</f>
        <v>492.64974546994534</v>
      </c>
      <c r="H476" s="74">
        <f t="shared" ref="H476:Z476" si="1158">H$3*H446*H475/1000</f>
        <v>492.64974546994534</v>
      </c>
      <c r="I476" s="74">
        <f t="shared" si="1158"/>
        <v>487.35243637887066</v>
      </c>
      <c r="J476" s="74">
        <f t="shared" si="1158"/>
        <v>487.35243637887066</v>
      </c>
      <c r="K476" s="74">
        <f t="shared" si="1158"/>
        <v>460.86589092349715</v>
      </c>
      <c r="L476" s="74">
        <f t="shared" si="1158"/>
        <v>476.7578181967213</v>
      </c>
      <c r="M476" s="74">
        <f t="shared" si="1158"/>
        <v>450.2712727413479</v>
      </c>
      <c r="N476" s="74">
        <f t="shared" si="1158"/>
        <v>476.7578181967213</v>
      </c>
      <c r="O476" s="74">
        <f t="shared" si="1158"/>
        <v>476.7578181967213</v>
      </c>
      <c r="P476" s="74">
        <f t="shared" si="1158"/>
        <v>450.2712727413479</v>
      </c>
      <c r="Q476" s="74">
        <f t="shared" si="1158"/>
        <v>471.46050910564668</v>
      </c>
      <c r="R476" s="74">
        <f t="shared" si="1158"/>
        <v>471.46050910564668</v>
      </c>
      <c r="S476" s="74">
        <f t="shared" si="1158"/>
        <v>0</v>
      </c>
      <c r="T476" s="74">
        <f t="shared" si="1158"/>
        <v>0</v>
      </c>
      <c r="U476" s="74">
        <f t="shared" si="1158"/>
        <v>0</v>
      </c>
      <c r="V476" s="74">
        <f t="shared" si="1158"/>
        <v>0</v>
      </c>
      <c r="W476" s="74">
        <f t="shared" si="1158"/>
        <v>0</v>
      </c>
      <c r="X476" s="74">
        <f t="shared" si="1158"/>
        <v>0</v>
      </c>
      <c r="Y476" s="74">
        <f t="shared" si="1158"/>
        <v>0</v>
      </c>
      <c r="Z476" s="74">
        <f t="shared" si="1158"/>
        <v>0</v>
      </c>
      <c r="AA476" s="175"/>
    </row>
    <row r="477" spans="1:27" outlineLevel="1" x14ac:dyDescent="0.25">
      <c r="A477" s="36" t="str">
        <f t="shared" si="975"/>
        <v>Sunward SWDRT270B</v>
      </c>
      <c r="B477" s="36"/>
      <c r="D477" s="187" t="s">
        <v>51</v>
      </c>
      <c r="E477" s="196" t="str">
        <f t="shared" si="1157"/>
        <v>тыс. руб./т</v>
      </c>
      <c r="F477" s="83"/>
      <c r="G477" s="83">
        <f>G473</f>
        <v>66.018919487352079</v>
      </c>
      <c r="H477" s="83">
        <f t="shared" ref="H477:Z477" si="1159">H473</f>
        <v>66.018919487352079</v>
      </c>
      <c r="I477" s="83">
        <f t="shared" si="1159"/>
        <v>66.018919487352079</v>
      </c>
      <c r="J477" s="83">
        <f t="shared" si="1159"/>
        <v>66.018919487352079</v>
      </c>
      <c r="K477" s="83">
        <f t="shared" si="1159"/>
        <v>66.018919487352079</v>
      </c>
      <c r="L477" s="83">
        <f t="shared" si="1159"/>
        <v>66.018919487352079</v>
      </c>
      <c r="M477" s="83">
        <f t="shared" si="1159"/>
        <v>66.018919487352079</v>
      </c>
      <c r="N477" s="83">
        <f t="shared" si="1159"/>
        <v>66.018919487352079</v>
      </c>
      <c r="O477" s="83">
        <f t="shared" si="1159"/>
        <v>66.018919487352079</v>
      </c>
      <c r="P477" s="83">
        <f t="shared" si="1159"/>
        <v>66.018919487352079</v>
      </c>
      <c r="Q477" s="83">
        <f t="shared" si="1159"/>
        <v>66.018919487352079</v>
      </c>
      <c r="R477" s="83">
        <f t="shared" si="1159"/>
        <v>66.018919487352079</v>
      </c>
      <c r="S477" s="83">
        <f t="shared" si="1159"/>
        <v>66.018919487352079</v>
      </c>
      <c r="T477" s="83">
        <f t="shared" si="1159"/>
        <v>66.018919487352079</v>
      </c>
      <c r="U477" s="83">
        <f t="shared" si="1159"/>
        <v>66.018919487352079</v>
      </c>
      <c r="V477" s="83">
        <f t="shared" si="1159"/>
        <v>66.018919487352079</v>
      </c>
      <c r="W477" s="83">
        <f t="shared" si="1159"/>
        <v>66.018919487352079</v>
      </c>
      <c r="X477" s="83">
        <f t="shared" si="1159"/>
        <v>66.018919487352079</v>
      </c>
      <c r="Y477" s="83">
        <f t="shared" si="1159"/>
        <v>66.018919487352079</v>
      </c>
      <c r="Z477" s="83">
        <f t="shared" si="1159"/>
        <v>66.018919487352079</v>
      </c>
      <c r="AA477" s="175"/>
    </row>
    <row r="478" spans="1:27" outlineLevel="1" x14ac:dyDescent="0.25">
      <c r="A478" s="36" t="str">
        <f t="shared" si="975"/>
        <v>Sunward SWDRT270B</v>
      </c>
      <c r="B478" s="36"/>
      <c r="D478" s="63" t="s">
        <v>55</v>
      </c>
      <c r="E478" s="64" t="str">
        <f>E451</f>
        <v>тыс. руб.</v>
      </c>
      <c r="F478" s="70"/>
      <c r="G478" s="80">
        <f>G479+G480</f>
        <v>15710.122113662099</v>
      </c>
      <c r="H478" s="80">
        <f t="shared" ref="H478:Z478" si="1160">H479+H480</f>
        <v>15710.122113662099</v>
      </c>
      <c r="I478" s="80">
        <f t="shared" si="1160"/>
        <v>15710.122113662099</v>
      </c>
      <c r="J478" s="80">
        <f t="shared" si="1160"/>
        <v>15710.122113662099</v>
      </c>
      <c r="K478" s="80">
        <f t="shared" si="1160"/>
        <v>15710.122113662099</v>
      </c>
      <c r="L478" s="80">
        <f t="shared" si="1160"/>
        <v>15710.122113662099</v>
      </c>
      <c r="M478" s="80">
        <f t="shared" si="1160"/>
        <v>15710.122113662099</v>
      </c>
      <c r="N478" s="80">
        <f t="shared" si="1160"/>
        <v>15710.122113662099</v>
      </c>
      <c r="O478" s="80">
        <f t="shared" si="1160"/>
        <v>15710.122113662099</v>
      </c>
      <c r="P478" s="80">
        <f t="shared" si="1160"/>
        <v>15710.122113662099</v>
      </c>
      <c r="Q478" s="80">
        <f t="shared" si="1160"/>
        <v>15710.122113662099</v>
      </c>
      <c r="R478" s="80">
        <f t="shared" si="1160"/>
        <v>15710.122113662099</v>
      </c>
      <c r="S478" s="80">
        <f t="shared" si="1160"/>
        <v>0</v>
      </c>
      <c r="T478" s="80">
        <f t="shared" si="1160"/>
        <v>0</v>
      </c>
      <c r="U478" s="80">
        <f t="shared" si="1160"/>
        <v>0</v>
      </c>
      <c r="V478" s="80">
        <f t="shared" si="1160"/>
        <v>0</v>
      </c>
      <c r="W478" s="80">
        <f t="shared" si="1160"/>
        <v>0</v>
      </c>
      <c r="X478" s="80">
        <f t="shared" si="1160"/>
        <v>0</v>
      </c>
      <c r="Y478" s="80">
        <f t="shared" si="1160"/>
        <v>0</v>
      </c>
      <c r="Z478" s="80">
        <f t="shared" si="1160"/>
        <v>0</v>
      </c>
      <c r="AA478" s="175"/>
    </row>
    <row r="479" spans="1:27" outlineLevel="1" x14ac:dyDescent="0.25">
      <c r="A479" s="36" t="str">
        <f t="shared" si="975"/>
        <v>Sunward SWDRT270B</v>
      </c>
      <c r="B479" s="36"/>
      <c r="D479" s="187" t="s">
        <v>213</v>
      </c>
      <c r="E479" s="9" t="str">
        <f>E478</f>
        <v>тыс. руб.</v>
      </c>
      <c r="F479" s="74">
        <f>SUMIFS('ФОТ, МТР, макро'!$X$4:$X$31,'ФОТ, МТР, макро'!$W$4:$W$31,$A479)</f>
        <v>12529.553373000001</v>
      </c>
      <c r="G479" s="83">
        <f>IF(G447=0,0,$F479)</f>
        <v>12529.553373000001</v>
      </c>
      <c r="H479" s="83">
        <f t="shared" ref="H479:Z479" si="1161">IF(H447=0,0,$F479)</f>
        <v>12529.553373000001</v>
      </c>
      <c r="I479" s="83">
        <f t="shared" si="1161"/>
        <v>12529.553373000001</v>
      </c>
      <c r="J479" s="83">
        <f t="shared" si="1161"/>
        <v>12529.553373000001</v>
      </c>
      <c r="K479" s="83">
        <f t="shared" si="1161"/>
        <v>12529.553373000001</v>
      </c>
      <c r="L479" s="83">
        <f t="shared" si="1161"/>
        <v>12529.553373000001</v>
      </c>
      <c r="M479" s="83">
        <f t="shared" si="1161"/>
        <v>12529.553373000001</v>
      </c>
      <c r="N479" s="83">
        <f t="shared" si="1161"/>
        <v>12529.553373000001</v>
      </c>
      <c r="O479" s="83">
        <f t="shared" si="1161"/>
        <v>12529.553373000001</v>
      </c>
      <c r="P479" s="83">
        <f t="shared" si="1161"/>
        <v>12529.553373000001</v>
      </c>
      <c r="Q479" s="83">
        <f t="shared" si="1161"/>
        <v>12529.553373000001</v>
      </c>
      <c r="R479" s="83">
        <f t="shared" si="1161"/>
        <v>12529.553373000001</v>
      </c>
      <c r="S479" s="83">
        <f t="shared" si="1161"/>
        <v>0</v>
      </c>
      <c r="T479" s="83">
        <f t="shared" si="1161"/>
        <v>0</v>
      </c>
      <c r="U479" s="83">
        <f t="shared" si="1161"/>
        <v>0</v>
      </c>
      <c r="V479" s="83">
        <f t="shared" si="1161"/>
        <v>0</v>
      </c>
      <c r="W479" s="83">
        <f t="shared" si="1161"/>
        <v>0</v>
      </c>
      <c r="X479" s="83">
        <f t="shared" si="1161"/>
        <v>0</v>
      </c>
      <c r="Y479" s="83">
        <f t="shared" si="1161"/>
        <v>0</v>
      </c>
      <c r="Z479" s="83">
        <f t="shared" si="1161"/>
        <v>0</v>
      </c>
      <c r="AA479" s="175"/>
    </row>
    <row r="480" spans="1:27" outlineLevel="1" x14ac:dyDescent="0.25">
      <c r="A480" s="36" t="str">
        <f t="shared" si="975"/>
        <v>Sunward SWDRT270B</v>
      </c>
      <c r="B480" s="36"/>
      <c r="D480" s="187" t="s">
        <v>56</v>
      </c>
      <c r="E480" s="9"/>
      <c r="F480" s="74">
        <f>SUMIFS('ФОТ, МТР, макро'!$Y$4:$Y$31,'ФОТ, МТР, макро'!$W$4:$W$31,$A480)</f>
        <v>3180.5687406620973</v>
      </c>
      <c r="G480" s="83">
        <f t="shared" ref="G480:Z480" si="1162">IF(G447=0,0,$F480)</f>
        <v>3180.5687406620973</v>
      </c>
      <c r="H480" s="83">
        <f t="shared" si="1162"/>
        <v>3180.5687406620973</v>
      </c>
      <c r="I480" s="83">
        <f t="shared" si="1162"/>
        <v>3180.5687406620973</v>
      </c>
      <c r="J480" s="83">
        <f t="shared" si="1162"/>
        <v>3180.5687406620973</v>
      </c>
      <c r="K480" s="83">
        <f t="shared" si="1162"/>
        <v>3180.5687406620973</v>
      </c>
      <c r="L480" s="83">
        <f t="shared" si="1162"/>
        <v>3180.5687406620973</v>
      </c>
      <c r="M480" s="83">
        <f t="shared" si="1162"/>
        <v>3180.5687406620973</v>
      </c>
      <c r="N480" s="83">
        <f t="shared" si="1162"/>
        <v>3180.5687406620973</v>
      </c>
      <c r="O480" s="83">
        <f t="shared" si="1162"/>
        <v>3180.5687406620973</v>
      </c>
      <c r="P480" s="83">
        <f t="shared" si="1162"/>
        <v>3180.5687406620973</v>
      </c>
      <c r="Q480" s="83">
        <f t="shared" si="1162"/>
        <v>3180.5687406620973</v>
      </c>
      <c r="R480" s="83">
        <f t="shared" si="1162"/>
        <v>3180.5687406620973</v>
      </c>
      <c r="S480" s="83">
        <f t="shared" si="1162"/>
        <v>0</v>
      </c>
      <c r="T480" s="83">
        <f t="shared" si="1162"/>
        <v>0</v>
      </c>
      <c r="U480" s="83">
        <f t="shared" si="1162"/>
        <v>0</v>
      </c>
      <c r="V480" s="83">
        <f t="shared" si="1162"/>
        <v>0</v>
      </c>
      <c r="W480" s="83">
        <f t="shared" si="1162"/>
        <v>0</v>
      </c>
      <c r="X480" s="83">
        <f t="shared" si="1162"/>
        <v>0</v>
      </c>
      <c r="Y480" s="83">
        <f t="shared" si="1162"/>
        <v>0</v>
      </c>
      <c r="Z480" s="83">
        <f t="shared" si="1162"/>
        <v>0</v>
      </c>
      <c r="AA480" s="175"/>
    </row>
    <row r="481" spans="1:28" outlineLevel="1" x14ac:dyDescent="0.25">
      <c r="A481" s="36" t="str">
        <f t="shared" si="975"/>
        <v>Sunward SWDRT270B</v>
      </c>
      <c r="B481" s="36"/>
      <c r="D481" s="85" t="s">
        <v>57</v>
      </c>
      <c r="E481" s="64" t="str">
        <f>E451</f>
        <v>тыс. руб.</v>
      </c>
      <c r="F481" s="70"/>
      <c r="G481" s="80">
        <f t="shared" ref="G481:Z481" si="1163">IF(G447=0,0,G482*G483/1000)</f>
        <v>12</v>
      </c>
      <c r="H481" s="80">
        <f t="shared" si="1163"/>
        <v>12</v>
      </c>
      <c r="I481" s="80">
        <f t="shared" si="1163"/>
        <v>12</v>
      </c>
      <c r="J481" s="80">
        <f t="shared" si="1163"/>
        <v>12</v>
      </c>
      <c r="K481" s="80">
        <f t="shared" si="1163"/>
        <v>12</v>
      </c>
      <c r="L481" s="80">
        <f t="shared" si="1163"/>
        <v>12</v>
      </c>
      <c r="M481" s="80">
        <f t="shared" si="1163"/>
        <v>12</v>
      </c>
      <c r="N481" s="80">
        <f t="shared" si="1163"/>
        <v>12</v>
      </c>
      <c r="O481" s="80">
        <f t="shared" si="1163"/>
        <v>12</v>
      </c>
      <c r="P481" s="80">
        <f t="shared" si="1163"/>
        <v>12</v>
      </c>
      <c r="Q481" s="80">
        <f t="shared" si="1163"/>
        <v>12</v>
      </c>
      <c r="R481" s="80">
        <f t="shared" si="1163"/>
        <v>12</v>
      </c>
      <c r="S481" s="80">
        <f t="shared" si="1163"/>
        <v>0</v>
      </c>
      <c r="T481" s="80">
        <f t="shared" si="1163"/>
        <v>0</v>
      </c>
      <c r="U481" s="80">
        <f t="shared" si="1163"/>
        <v>0</v>
      </c>
      <c r="V481" s="80">
        <f t="shared" si="1163"/>
        <v>0</v>
      </c>
      <c r="W481" s="80">
        <f t="shared" si="1163"/>
        <v>0</v>
      </c>
      <c r="X481" s="80">
        <f t="shared" si="1163"/>
        <v>0</v>
      </c>
      <c r="Y481" s="80">
        <f t="shared" si="1163"/>
        <v>0</v>
      </c>
      <c r="Z481" s="80">
        <f t="shared" si="1163"/>
        <v>0</v>
      </c>
      <c r="AA481" s="175"/>
    </row>
    <row r="482" spans="1:28" outlineLevel="1" x14ac:dyDescent="0.25">
      <c r="A482" s="36" t="str">
        <f t="shared" si="975"/>
        <v>Sunward SWDRT270B</v>
      </c>
      <c r="B482" s="36"/>
      <c r="D482" s="30" t="s">
        <v>58</v>
      </c>
      <c r="E482" s="9" t="s">
        <v>10</v>
      </c>
      <c r="F482" s="74">
        <f>SUMIFS('ФОТ, МТР, макро'!$AB$4:$AB$31,'ФОТ, МТР, макро'!$W$4:$W$31,$A482)</f>
        <v>800</v>
      </c>
      <c r="G482" s="83">
        <f>F482</f>
        <v>800</v>
      </c>
      <c r="H482" s="83">
        <f t="shared" ref="H482:H483" si="1164">G482</f>
        <v>800</v>
      </c>
      <c r="I482" s="83">
        <f t="shared" ref="I482:I483" si="1165">H482</f>
        <v>800</v>
      </c>
      <c r="J482" s="83">
        <f t="shared" ref="J482:J483" si="1166">I482</f>
        <v>800</v>
      </c>
      <c r="K482" s="83">
        <f t="shared" ref="K482:K483" si="1167">J482</f>
        <v>800</v>
      </c>
      <c r="L482" s="83">
        <f t="shared" ref="L482:L483" si="1168">K482</f>
        <v>800</v>
      </c>
      <c r="M482" s="83">
        <f t="shared" ref="M482:M483" si="1169">L482</f>
        <v>800</v>
      </c>
      <c r="N482" s="83">
        <f t="shared" ref="N482:N483" si="1170">M482</f>
        <v>800</v>
      </c>
      <c r="O482" s="83">
        <f t="shared" ref="O482:O483" si="1171">N482</f>
        <v>800</v>
      </c>
      <c r="P482" s="83">
        <f t="shared" ref="P482:P483" si="1172">O482</f>
        <v>800</v>
      </c>
      <c r="Q482" s="83">
        <f t="shared" ref="Q482:Q483" si="1173">P482</f>
        <v>800</v>
      </c>
      <c r="R482" s="83">
        <f t="shared" ref="R482:R483" si="1174">Q482</f>
        <v>800</v>
      </c>
      <c r="S482" s="83">
        <f t="shared" ref="S482:S483" si="1175">R482</f>
        <v>800</v>
      </c>
      <c r="T482" s="83">
        <f t="shared" ref="T482:T483" si="1176">S482</f>
        <v>800</v>
      </c>
      <c r="U482" s="83">
        <f t="shared" ref="U482:U483" si="1177">T482</f>
        <v>800</v>
      </c>
      <c r="V482" s="83">
        <f t="shared" ref="V482:V483" si="1178">U482</f>
        <v>800</v>
      </c>
      <c r="W482" s="83">
        <f t="shared" ref="W482:W483" si="1179">V482</f>
        <v>800</v>
      </c>
      <c r="X482" s="83">
        <f t="shared" ref="X482:X483" si="1180">W482</f>
        <v>800</v>
      </c>
      <c r="Y482" s="83">
        <f t="shared" ref="Y482:Y483" si="1181">X482</f>
        <v>800</v>
      </c>
      <c r="Z482" s="83">
        <f t="shared" ref="Z482:Z483" si="1182">Y482</f>
        <v>800</v>
      </c>
      <c r="AA482" s="175"/>
    </row>
    <row r="483" spans="1:28" outlineLevel="1" x14ac:dyDescent="0.25">
      <c r="A483" s="36" t="str">
        <f t="shared" si="975"/>
        <v>Sunward SWDRT270B</v>
      </c>
      <c r="B483" s="36"/>
      <c r="D483" s="30" t="s">
        <v>59</v>
      </c>
      <c r="E483" s="9" t="s">
        <v>60</v>
      </c>
      <c r="F483" s="74">
        <f>SUMIFS('ФОТ, МТР, макро'!$AC$4:$AC$31,'ФОТ, МТР, макро'!$W$4:$W$31,$A483)</f>
        <v>15</v>
      </c>
      <c r="G483" s="83">
        <f>F483</f>
        <v>15</v>
      </c>
      <c r="H483" s="83">
        <f t="shared" si="1164"/>
        <v>15</v>
      </c>
      <c r="I483" s="83">
        <f t="shared" si="1165"/>
        <v>15</v>
      </c>
      <c r="J483" s="83">
        <f t="shared" si="1166"/>
        <v>15</v>
      </c>
      <c r="K483" s="83">
        <f t="shared" si="1167"/>
        <v>15</v>
      </c>
      <c r="L483" s="83">
        <f t="shared" si="1168"/>
        <v>15</v>
      </c>
      <c r="M483" s="83">
        <f t="shared" si="1169"/>
        <v>15</v>
      </c>
      <c r="N483" s="83">
        <f t="shared" si="1170"/>
        <v>15</v>
      </c>
      <c r="O483" s="83">
        <f t="shared" si="1171"/>
        <v>15</v>
      </c>
      <c r="P483" s="83">
        <f t="shared" si="1172"/>
        <v>15</v>
      </c>
      <c r="Q483" s="83">
        <f t="shared" si="1173"/>
        <v>15</v>
      </c>
      <c r="R483" s="83">
        <f t="shared" si="1174"/>
        <v>15</v>
      </c>
      <c r="S483" s="83">
        <f t="shared" si="1175"/>
        <v>15</v>
      </c>
      <c r="T483" s="83">
        <f t="shared" si="1176"/>
        <v>15</v>
      </c>
      <c r="U483" s="83">
        <f t="shared" si="1177"/>
        <v>15</v>
      </c>
      <c r="V483" s="83">
        <f t="shared" si="1178"/>
        <v>15</v>
      </c>
      <c r="W483" s="83">
        <f t="shared" si="1179"/>
        <v>15</v>
      </c>
      <c r="X483" s="83">
        <f t="shared" si="1180"/>
        <v>15</v>
      </c>
      <c r="Y483" s="83">
        <f t="shared" si="1181"/>
        <v>15</v>
      </c>
      <c r="Z483" s="83">
        <f t="shared" si="1182"/>
        <v>15</v>
      </c>
      <c r="AA483" s="175"/>
    </row>
    <row r="484" spans="1:28" outlineLevel="1" x14ac:dyDescent="0.25">
      <c r="A484" s="36" t="str">
        <f t="shared" si="975"/>
        <v>Sunward SWDRT270B</v>
      </c>
      <c r="B484" s="36"/>
      <c r="C484" s="86">
        <f>SUMIFS('ФОТ, МТР, макро'!$AF$4:$AF$31,'ФОТ, МТР, макро'!$W$4:$W$31,$A484)</f>
        <v>19.672131147540984</v>
      </c>
      <c r="D484" s="85" t="s">
        <v>61</v>
      </c>
      <c r="E484" s="64" t="str">
        <f>E451</f>
        <v>тыс. руб.</v>
      </c>
      <c r="F484" s="80"/>
      <c r="G484" s="87">
        <f>IF(G444&lt;=$C485,$F489*$C484%,"ОШИБКА")</f>
        <v>0</v>
      </c>
      <c r="H484" s="71">
        <f>IF(H444&lt;=$C485,$F489*$C484%,$F489-SUM($G484:G484))</f>
        <v>0</v>
      </c>
      <c r="I484" s="71">
        <f>IF(I444&lt;=$C485,$F489*$C484%,$F489-SUM($G484:H484))</f>
        <v>0</v>
      </c>
      <c r="J484" s="71">
        <f>IF(J444&lt;=$C485,$F489*$C484%,$F489-SUM($G484:I484))</f>
        <v>0</v>
      </c>
      <c r="K484" s="71">
        <f>IF(K444&lt;=$C485,$F489*$C484%,$F489-SUM($G484:J484))</f>
        <v>0</v>
      </c>
      <c r="L484" s="71">
        <f>IF(L444&lt;=$C485,$F489*$C484%,$F489-SUM($G484:K484))</f>
        <v>0</v>
      </c>
      <c r="M484" s="71">
        <f>IF(M444&lt;=$C485,$F489*$C484%,$F489-SUM($G484:L484))</f>
        <v>0</v>
      </c>
      <c r="N484" s="71">
        <f>IF(N444&lt;=$C485,$F489*$C484%,$F489-SUM($G484:M484))</f>
        <v>0</v>
      </c>
      <c r="O484" s="71">
        <f>IF(O444&lt;=$C485,$F489*$C484%,$F489-SUM($G484:N484))</f>
        <v>0</v>
      </c>
      <c r="P484" s="71">
        <f>IF(P444&lt;=$C485,$F489*$C484%,$F489-SUM($G484:O484))</f>
        <v>0</v>
      </c>
      <c r="Q484" s="71">
        <f>IF(Q444&lt;=$C485,$F489*$C484%,$F489-SUM($G484:P484))</f>
        <v>0</v>
      </c>
      <c r="R484" s="71">
        <f>IF(R444&lt;=$C485,$F489*$C484%,$F489-SUM($G484:Q484))</f>
        <v>0</v>
      </c>
      <c r="S484" s="71">
        <f>IF(S444&lt;=$C485,$F489*$C484%,$F489-SUM($G484:R484))</f>
        <v>0</v>
      </c>
      <c r="T484" s="71">
        <f>IF(T444&lt;=$C485,$F489*$C484%,$F489-SUM($G484:S484))</f>
        <v>0</v>
      </c>
      <c r="U484" s="71">
        <f>IF(U444&lt;=$C485,$F489*$C484%,$F489-SUM($G484:T484))</f>
        <v>0</v>
      </c>
      <c r="V484" s="71">
        <f>IF(V444&lt;=$C485,$F489*$C484%,$F489-SUM($G484:U484))</f>
        <v>0</v>
      </c>
      <c r="W484" s="71">
        <f>IF(W444&lt;=$C485,$F489*$C484%,$F489-SUM($G484:V484))</f>
        <v>0</v>
      </c>
      <c r="X484" s="71">
        <f>IF(X444&lt;=$C485,$F489*$C484%,$F489-SUM($G484:W484))</f>
        <v>0</v>
      </c>
      <c r="Y484" s="71">
        <f>IF(Y444&lt;=$C485,$F489*$C484%,$F489-SUM($G484:X484))</f>
        <v>0</v>
      </c>
      <c r="Z484" s="71">
        <f>IF(Z444&lt;=$C485,$F489*$C484%,$F489-SUM($G484:Y484))</f>
        <v>0</v>
      </c>
      <c r="AA484" s="175"/>
    </row>
    <row r="485" spans="1:28" outlineLevel="1" x14ac:dyDescent="0.25">
      <c r="A485" s="36" t="str">
        <f t="shared" si="975"/>
        <v>Sunward SWDRT270B</v>
      </c>
      <c r="B485" s="36"/>
      <c r="C485" s="86">
        <f>SUMIFS('ФОТ, МТР, макро'!$AE$4:$AE$31,'ФОТ, МТР, макро'!$W$4:$W$31,$A485)/12</f>
        <v>5.083333333333333</v>
      </c>
      <c r="D485" s="85" t="s">
        <v>62</v>
      </c>
      <c r="E485" s="64" t="str">
        <f>E451</f>
        <v>тыс. руб.</v>
      </c>
      <c r="F485" s="65"/>
      <c r="G485" s="65">
        <f t="shared" ref="G485:Z485" si="1183">SUM(G452,G457,G459,G463,G467,G469,G478,G481,G484)</f>
        <v>75084.661926749119</v>
      </c>
      <c r="H485" s="65">
        <f t="shared" si="1183"/>
        <v>127189.96592674912</v>
      </c>
      <c r="I485" s="65">
        <f t="shared" si="1183"/>
        <v>118102.15355599909</v>
      </c>
      <c r="J485" s="65">
        <f t="shared" si="1183"/>
        <v>112092.08555599909</v>
      </c>
      <c r="K485" s="65">
        <f t="shared" si="1183"/>
        <v>108334.17970224889</v>
      </c>
      <c r="L485" s="65">
        <f t="shared" si="1183"/>
        <v>134766.34881449898</v>
      </c>
      <c r="M485" s="65">
        <f t="shared" si="1183"/>
        <v>109003.8709607488</v>
      </c>
      <c r="N485" s="65">
        <f t="shared" si="1183"/>
        <v>110589.27281449901</v>
      </c>
      <c r="O485" s="65">
        <f t="shared" si="1183"/>
        <v>108739.844814499</v>
      </c>
      <c r="P485" s="65">
        <f t="shared" si="1183"/>
        <v>108557.87096074881</v>
      </c>
      <c r="Q485" s="65">
        <f t="shared" si="1183"/>
        <v>110694.99244374897</v>
      </c>
      <c r="R485" s="65">
        <f t="shared" si="1183"/>
        <v>134096.06844374895</v>
      </c>
      <c r="S485" s="65">
        <f t="shared" si="1183"/>
        <v>0</v>
      </c>
      <c r="T485" s="65">
        <f t="shared" si="1183"/>
        <v>0</v>
      </c>
      <c r="U485" s="65">
        <f t="shared" si="1183"/>
        <v>0</v>
      </c>
      <c r="V485" s="65">
        <f t="shared" si="1183"/>
        <v>0</v>
      </c>
      <c r="W485" s="65">
        <f t="shared" si="1183"/>
        <v>0</v>
      </c>
      <c r="X485" s="65">
        <f t="shared" si="1183"/>
        <v>0</v>
      </c>
      <c r="Y485" s="65">
        <f t="shared" si="1183"/>
        <v>0</v>
      </c>
      <c r="Z485" s="65">
        <f t="shared" si="1183"/>
        <v>0</v>
      </c>
      <c r="AA485" s="175"/>
      <c r="AB485" s="39"/>
    </row>
    <row r="486" spans="1:28" outlineLevel="1" x14ac:dyDescent="0.25">
      <c r="A486" s="36" t="str">
        <f t="shared" si="975"/>
        <v>Sunward SWDRT270B</v>
      </c>
      <c r="B486" s="36"/>
      <c r="D486" s="85" t="s">
        <v>63</v>
      </c>
      <c r="E486" s="64" t="str">
        <f>E451</f>
        <v>тыс. руб.</v>
      </c>
      <c r="F486" s="65"/>
      <c r="G486" s="65">
        <f>-G485*'ФОТ, МТР, макро'!AJ$12</f>
        <v>-18771.16548168728</v>
      </c>
      <c r="H486" s="65">
        <f>-H485*'ФОТ, МТР, макро'!AK$12</f>
        <v>-31797.491481687281</v>
      </c>
      <c r="I486" s="65">
        <f>-I485*'ФОТ, МТР, макро'!AL$12</f>
        <v>-29525.538388999772</v>
      </c>
      <c r="J486" s="65">
        <f>-J485*'ФОТ, МТР, макро'!AM$12</f>
        <v>-28023.021388999772</v>
      </c>
      <c r="K486" s="65">
        <f>-K485*'ФОТ, МТР, макро'!AN$12</f>
        <v>-27083.544925562222</v>
      </c>
      <c r="L486" s="65">
        <f>-L485*'ФОТ, МТР, макро'!AO$12</f>
        <v>-33691.587203624746</v>
      </c>
      <c r="M486" s="65">
        <f>-M485*'ФОТ, МТР, макро'!AP$12</f>
        <v>-27250.9677401872</v>
      </c>
      <c r="N486" s="65">
        <f>-N485*'ФОТ, МТР, макро'!AQ$12</f>
        <v>-27647.318203624753</v>
      </c>
      <c r="O486" s="65">
        <f>-O485*'ФОТ, МТР, макро'!AR$12</f>
        <v>-27184.961203624749</v>
      </c>
      <c r="P486" s="65">
        <f>-P485*'ФОТ, МТР, макро'!AS$12</f>
        <v>-27139.467740187203</v>
      </c>
      <c r="Q486" s="65">
        <f>-Q485*'ФОТ, МТР, макро'!AT$12</f>
        <v>-27673.748110937242</v>
      </c>
      <c r="R486" s="65">
        <f>-R485*'ФОТ, МТР, макро'!AU$12</f>
        <v>-33524.017110937239</v>
      </c>
      <c r="S486" s="65">
        <f>-S485*'ФОТ, МТР, макро'!AV$12</f>
        <v>0</v>
      </c>
      <c r="T486" s="65">
        <f>-T485*'ФОТ, МТР, макро'!AW$12</f>
        <v>0</v>
      </c>
      <c r="U486" s="65">
        <f>-U485*'ФОТ, МТР, макро'!AX$12</f>
        <v>0</v>
      </c>
      <c r="V486" s="65">
        <f>-V485*'ФОТ, МТР, макро'!AY$12</f>
        <v>0</v>
      </c>
      <c r="W486" s="65">
        <f>-W485*'ФОТ, МТР, макро'!AZ$12</f>
        <v>0</v>
      </c>
      <c r="X486" s="65">
        <f>-X485*'ФОТ, МТР, макро'!BA$12</f>
        <v>0</v>
      </c>
      <c r="Y486" s="65">
        <f>-Y485*'ФОТ, МТР, макро'!BB$12</f>
        <v>0</v>
      </c>
      <c r="Z486" s="65">
        <f>-Z485*'ФОТ, МТР, макро'!BC$12</f>
        <v>0</v>
      </c>
      <c r="AA486" s="175"/>
    </row>
    <row r="487" spans="1:28" outlineLevel="1" x14ac:dyDescent="0.25">
      <c r="A487" s="36" t="str">
        <f t="shared" si="975"/>
        <v>Sunward SWDRT270B</v>
      </c>
      <c r="B487" s="36"/>
      <c r="D487" s="88"/>
      <c r="E487" s="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175"/>
    </row>
    <row r="488" spans="1:28" outlineLevel="1" x14ac:dyDescent="0.25">
      <c r="A488" s="36" t="str">
        <f t="shared" si="975"/>
        <v>Sunward SWDRT270B</v>
      </c>
      <c r="B488" s="36"/>
      <c r="D488" s="66" t="s">
        <v>64</v>
      </c>
      <c r="E488" s="67" t="str">
        <f>E451</f>
        <v>тыс. руб.</v>
      </c>
      <c r="F488" s="68">
        <f>F489</f>
        <v>0</v>
      </c>
      <c r="G488" s="68">
        <f t="shared" ref="G488:Z488" si="1184">G489</f>
        <v>0</v>
      </c>
      <c r="H488" s="68">
        <f t="shared" si="1184"/>
        <v>0</v>
      </c>
      <c r="I488" s="68">
        <f t="shared" si="1184"/>
        <v>0</v>
      </c>
      <c r="J488" s="68">
        <f t="shared" si="1184"/>
        <v>0</v>
      </c>
      <c r="K488" s="68">
        <f t="shared" si="1184"/>
        <v>0</v>
      </c>
      <c r="L488" s="68">
        <f t="shared" si="1184"/>
        <v>0</v>
      </c>
      <c r="M488" s="68">
        <f t="shared" si="1184"/>
        <v>0</v>
      </c>
      <c r="N488" s="68">
        <f t="shared" si="1184"/>
        <v>0</v>
      </c>
      <c r="O488" s="68">
        <f t="shared" si="1184"/>
        <v>0</v>
      </c>
      <c r="P488" s="68">
        <f t="shared" si="1184"/>
        <v>0</v>
      </c>
      <c r="Q488" s="68">
        <f t="shared" si="1184"/>
        <v>0</v>
      </c>
      <c r="R488" s="68">
        <f t="shared" si="1184"/>
        <v>0</v>
      </c>
      <c r="S488" s="68">
        <f t="shared" si="1184"/>
        <v>0</v>
      </c>
      <c r="T488" s="68">
        <f t="shared" si="1184"/>
        <v>0</v>
      </c>
      <c r="U488" s="68">
        <f t="shared" si="1184"/>
        <v>0</v>
      </c>
      <c r="V488" s="68">
        <f t="shared" si="1184"/>
        <v>0</v>
      </c>
      <c r="W488" s="68">
        <f t="shared" si="1184"/>
        <v>0</v>
      </c>
      <c r="X488" s="68">
        <f t="shared" si="1184"/>
        <v>0</v>
      </c>
      <c r="Y488" s="68">
        <f t="shared" si="1184"/>
        <v>0</v>
      </c>
      <c r="Z488" s="68">
        <f t="shared" si="1184"/>
        <v>0</v>
      </c>
      <c r="AA488" s="175"/>
    </row>
    <row r="489" spans="1:28" outlineLevel="1" x14ac:dyDescent="0.25">
      <c r="A489" s="36" t="str">
        <f t="shared" si="975"/>
        <v>Sunward SWDRT270B</v>
      </c>
      <c r="B489" s="36"/>
      <c r="D489" s="88" t="s">
        <v>206</v>
      </c>
      <c r="E489" s="9" t="str">
        <f>E488</f>
        <v>тыс. руб.</v>
      </c>
      <c r="F489" s="74">
        <f>SUMIFS('Свод_250-270_диз'!$D$33:$P$33,'Свод_250-270_диз'!$D$19:$P$19,$A489)</f>
        <v>0</v>
      </c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175"/>
    </row>
    <row r="490" spans="1:28" outlineLevel="1" x14ac:dyDescent="0.25">
      <c r="A490" s="36" t="str">
        <f t="shared" si="975"/>
        <v>Sunward SWDRT270B</v>
      </c>
      <c r="B490" s="36"/>
      <c r="D490" s="88"/>
      <c r="E490" s="9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175"/>
    </row>
    <row r="491" spans="1:28" outlineLevel="1" x14ac:dyDescent="0.25">
      <c r="A491" s="36" t="str">
        <f t="shared" si="975"/>
        <v>Sunward SWDRT270B</v>
      </c>
      <c r="B491" s="36"/>
      <c r="D491" s="66" t="s">
        <v>65</v>
      </c>
      <c r="E491" s="67" t="str">
        <f>E451</f>
        <v>тыс. руб.</v>
      </c>
      <c r="F491" s="68">
        <f t="shared" ref="F491:Z491" si="1185">F451+F488</f>
        <v>0</v>
      </c>
      <c r="G491" s="68">
        <f t="shared" si="1185"/>
        <v>56313.496445061843</v>
      </c>
      <c r="H491" s="68">
        <f t="shared" si="1185"/>
        <v>95392.474445061845</v>
      </c>
      <c r="I491" s="68">
        <f t="shared" si="1185"/>
        <v>88576.615166999312</v>
      </c>
      <c r="J491" s="68">
        <f t="shared" si="1185"/>
        <v>84069.06416699932</v>
      </c>
      <c r="K491" s="68">
        <f t="shared" si="1185"/>
        <v>81250.634776686667</v>
      </c>
      <c r="L491" s="68">
        <f t="shared" si="1185"/>
        <v>101074.76161087424</v>
      </c>
      <c r="M491" s="68">
        <f t="shared" si="1185"/>
        <v>81752.903220561595</v>
      </c>
      <c r="N491" s="68">
        <f t="shared" si="1185"/>
        <v>82941.954610874265</v>
      </c>
      <c r="O491" s="68">
        <f t="shared" si="1185"/>
        <v>81554.88361087424</v>
      </c>
      <c r="P491" s="68">
        <f t="shared" si="1185"/>
        <v>81418.403220561609</v>
      </c>
      <c r="Q491" s="68">
        <f t="shared" si="1185"/>
        <v>83021.244332811722</v>
      </c>
      <c r="R491" s="68">
        <f t="shared" si="1185"/>
        <v>100572.05133281171</v>
      </c>
      <c r="S491" s="68">
        <f t="shared" si="1185"/>
        <v>0</v>
      </c>
      <c r="T491" s="68">
        <f t="shared" si="1185"/>
        <v>0</v>
      </c>
      <c r="U491" s="68">
        <f t="shared" si="1185"/>
        <v>0</v>
      </c>
      <c r="V491" s="68">
        <f t="shared" si="1185"/>
        <v>0</v>
      </c>
      <c r="W491" s="68">
        <f t="shared" si="1185"/>
        <v>0</v>
      </c>
      <c r="X491" s="68">
        <f t="shared" si="1185"/>
        <v>0</v>
      </c>
      <c r="Y491" s="68">
        <f t="shared" si="1185"/>
        <v>0</v>
      </c>
      <c r="Z491" s="68">
        <f t="shared" si="1185"/>
        <v>0</v>
      </c>
      <c r="AA491" s="175"/>
    </row>
    <row r="492" spans="1:28" ht="27.2" outlineLevel="1" x14ac:dyDescent="0.25">
      <c r="A492" s="36" t="str">
        <f t="shared" si="975"/>
        <v>Sunward SWDRT270B</v>
      </c>
      <c r="B492" s="36"/>
      <c r="D492" s="63" t="s">
        <v>66</v>
      </c>
      <c r="E492" s="64" t="str">
        <f>E491</f>
        <v>тыс. руб.</v>
      </c>
      <c r="F492" s="89"/>
      <c r="G492" s="65">
        <f>G451*'ФОТ, МТР, макро'!AJ$14</f>
        <v>50279.907540233784</v>
      </c>
      <c r="H492" s="65">
        <f>H451*'ФОТ, МТР, макро'!AK$14</f>
        <v>76046.296592045459</v>
      </c>
      <c r="I492" s="65">
        <f>I451*'ФОТ, МТР, макро'!AL$14</f>
        <v>63047.085094039896</v>
      </c>
      <c r="J492" s="65">
        <f>J451*'ФОТ, МТР, макро'!AM$14</f>
        <v>53427.410112703852</v>
      </c>
      <c r="K492" s="65">
        <f>K451*'ФОТ, МТР, макро'!AN$14</f>
        <v>46103.79221647558</v>
      </c>
      <c r="L492" s="65">
        <f>L451*'ФОТ, МТР, макро'!AO$14</f>
        <v>51207.619797647625</v>
      </c>
      <c r="M492" s="65">
        <f>M451*'ФОТ, МТР, макро'!AP$14</f>
        <v>36980.861623334022</v>
      </c>
      <c r="N492" s="65">
        <f>N451*'ФОТ, МТР, макро'!AQ$14</f>
        <v>33498.864363158216</v>
      </c>
      <c r="O492" s="65">
        <f>O451*'ФОТ, МТР, макро'!AR$14</f>
        <v>29409.50861628717</v>
      </c>
      <c r="P492" s="65">
        <f>P451*'ФОТ, МТР, макро'!AS$14</f>
        <v>26214.546802970566</v>
      </c>
      <c r="Q492" s="65">
        <f>Q451*'ФОТ, МТР, макро'!AT$14</f>
        <v>23866.623878234255</v>
      </c>
      <c r="R492" s="65">
        <f>R451*'ФОТ, МТР, макро'!AU$14</f>
        <v>25814.340623557877</v>
      </c>
      <c r="S492" s="65">
        <f>S451*'ФОТ, МТР, макро'!AV$14</f>
        <v>0</v>
      </c>
      <c r="T492" s="65">
        <f>T451*'ФОТ, МТР, макро'!AW$14</f>
        <v>0</v>
      </c>
      <c r="U492" s="65">
        <f>U451*'ФОТ, МТР, макро'!AX$14</f>
        <v>0</v>
      </c>
      <c r="V492" s="65">
        <f>V451*'ФОТ, МТР, макро'!AY$14</f>
        <v>0</v>
      </c>
      <c r="W492" s="65">
        <f>W451*'ФОТ, МТР, макро'!AZ$14</f>
        <v>0</v>
      </c>
      <c r="X492" s="65">
        <f>X451*'ФОТ, МТР, макро'!BA$14</f>
        <v>0</v>
      </c>
      <c r="Y492" s="65">
        <f>Y451*'ФОТ, МТР, макро'!BB$14</f>
        <v>0</v>
      </c>
      <c r="Z492" s="65">
        <f>Z451*'ФОТ, МТР, макро'!BC$14</f>
        <v>0</v>
      </c>
      <c r="AA492" s="175"/>
    </row>
    <row r="493" spans="1:28" outlineLevel="1" x14ac:dyDescent="0.25">
      <c r="A493" s="36" t="str">
        <f t="shared" si="975"/>
        <v>Sunward SWDRT270B</v>
      </c>
      <c r="B493" s="36"/>
      <c r="D493" s="17" t="str">
        <f>D452</f>
        <v>ТО, ТР, ППР</v>
      </c>
      <c r="E493" s="9" t="str">
        <f>E492</f>
        <v>тыс. руб.</v>
      </c>
      <c r="F493" s="90"/>
      <c r="G493" s="70">
        <f>G452*'ФОТ, МТР, макро'!AJ$14</f>
        <v>24746.844047619044</v>
      </c>
      <c r="H493" s="70">
        <f>H452*'ФОТ, МТР, макро'!AK$14</f>
        <v>63633.425807823114</v>
      </c>
      <c r="I493" s="70">
        <f>I452*'ФОТ, МТР, макро'!AL$14</f>
        <v>50589.23826226918</v>
      </c>
      <c r="J493" s="70">
        <f>J452*'ФОТ, МТР, макро'!AM$14</f>
        <v>41349.455867726538</v>
      </c>
      <c r="K493" s="70">
        <f>K452*'ФОТ, МТР, макро'!AN$14</f>
        <v>35752.241426263121</v>
      </c>
      <c r="L493" s="70">
        <f>L452*'ФОТ, МТР, макро'!AO$14</f>
        <v>44795.813725836706</v>
      </c>
      <c r="M493" s="70">
        <f>M452*'ФОТ, МТР, макро'!AP$14</f>
        <v>29112.253406449985</v>
      </c>
      <c r="N493" s="70">
        <f>N452*'ФОТ, МТР, макро'!AQ$14</f>
        <v>25946.232944170453</v>
      </c>
      <c r="O493" s="70">
        <f>O452*'ФОТ, МТР, макро'!AR$14</f>
        <v>22499.357137156265</v>
      </c>
      <c r="P493" s="70">
        <f>P452*'ФОТ, МТР, макро'!AS$14</f>
        <v>20577.92688053034</v>
      </c>
      <c r="Q493" s="70">
        <f>Q452*'ФОТ, МТР, макро'!AT$14</f>
        <v>18596.230457254209</v>
      </c>
      <c r="R493" s="70">
        <f>R452*'ФОТ, МТР, макро'!AU$14</f>
        <v>22610.250551299083</v>
      </c>
      <c r="S493" s="70">
        <f>S452*'ФОТ, МТР, макро'!AV$14</f>
        <v>0</v>
      </c>
      <c r="T493" s="70">
        <f>T452*'ФОТ, МТР, макро'!AW$14</f>
        <v>0</v>
      </c>
      <c r="U493" s="70">
        <f>U452*'ФОТ, МТР, макро'!AX$14</f>
        <v>0</v>
      </c>
      <c r="V493" s="70">
        <f>V452*'ФОТ, МТР, макро'!AY$14</f>
        <v>0</v>
      </c>
      <c r="W493" s="70">
        <f>W452*'ФОТ, МТР, макро'!AZ$14</f>
        <v>0</v>
      </c>
      <c r="X493" s="70">
        <f>X452*'ФОТ, МТР, макро'!BA$14</f>
        <v>0</v>
      </c>
      <c r="Y493" s="70">
        <f>Y452*'ФОТ, МТР, макро'!BB$14</f>
        <v>0</v>
      </c>
      <c r="Z493" s="70">
        <f>Z452*'ФОТ, МТР, макро'!BC$14</f>
        <v>0</v>
      </c>
      <c r="AA493" s="175"/>
    </row>
    <row r="494" spans="1:28" outlineLevel="1" x14ac:dyDescent="0.25">
      <c r="A494" s="36" t="str">
        <f t="shared" si="975"/>
        <v>Sunward SWDRT270B</v>
      </c>
      <c r="B494" s="36"/>
      <c r="D494" s="17" t="str">
        <f>D457</f>
        <v>Смазочные</v>
      </c>
      <c r="E494" s="9" t="str">
        <f t="shared" ref="E494:E501" si="1186">E493</f>
        <v>тыс. руб.</v>
      </c>
      <c r="F494" s="90"/>
      <c r="G494" s="70">
        <f>G457*'ФОТ, МТР, макро'!AJ$14</f>
        <v>0</v>
      </c>
      <c r="H494" s="70">
        <f>H457*'ФОТ, МТР, макро'!AK$14</f>
        <v>0</v>
      </c>
      <c r="I494" s="70">
        <f>I457*'ФОТ, МТР, макро'!AL$14</f>
        <v>0</v>
      </c>
      <c r="J494" s="70">
        <f>J457*'ФОТ, МТР, макро'!AM$14</f>
        <v>0</v>
      </c>
      <c r="K494" s="70">
        <f>K457*'ФОТ, МТР, макро'!AN$14</f>
        <v>0</v>
      </c>
      <c r="L494" s="70">
        <f>L457*'ФОТ, МТР, макро'!AO$14</f>
        <v>0</v>
      </c>
      <c r="M494" s="70">
        <f>M457*'ФОТ, МТР, макро'!AP$14</f>
        <v>0</v>
      </c>
      <c r="N494" s="70">
        <f>N457*'ФОТ, МТР, макро'!AQ$14</f>
        <v>0</v>
      </c>
      <c r="O494" s="70">
        <f>O457*'ФОТ, МТР, макро'!AR$14</f>
        <v>0</v>
      </c>
      <c r="P494" s="70">
        <f>P457*'ФОТ, МТР, макро'!AS$14</f>
        <v>0</v>
      </c>
      <c r="Q494" s="70">
        <f>Q457*'ФОТ, МТР, макро'!AT$14</f>
        <v>0</v>
      </c>
      <c r="R494" s="70">
        <f>R457*'ФОТ, МТР, макро'!AU$14</f>
        <v>0</v>
      </c>
      <c r="S494" s="70">
        <f>S457*'ФОТ, МТР, макро'!AV$14</f>
        <v>0</v>
      </c>
      <c r="T494" s="70">
        <f>T457*'ФОТ, МТР, макро'!AW$14</f>
        <v>0</v>
      </c>
      <c r="U494" s="70">
        <f>U457*'ФОТ, МТР, макро'!AX$14</f>
        <v>0</v>
      </c>
      <c r="V494" s="70">
        <f>V457*'ФОТ, МТР, макро'!AY$14</f>
        <v>0</v>
      </c>
      <c r="W494" s="70">
        <f>W457*'ФОТ, МТР, макро'!AZ$14</f>
        <v>0</v>
      </c>
      <c r="X494" s="70">
        <f>X457*'ФОТ, МТР, макро'!BA$14</f>
        <v>0</v>
      </c>
      <c r="Y494" s="70">
        <f>Y457*'ФОТ, МТР, макро'!BB$14</f>
        <v>0</v>
      </c>
      <c r="Z494" s="70">
        <f>Z457*'ФОТ, МТР, макро'!BC$14</f>
        <v>0</v>
      </c>
      <c r="AA494" s="175"/>
    </row>
    <row r="495" spans="1:28" outlineLevel="1" x14ac:dyDescent="0.25">
      <c r="A495" s="36" t="str">
        <f t="shared" si="975"/>
        <v>Sunward SWDRT270B</v>
      </c>
      <c r="B495" s="36"/>
      <c r="D495" s="17" t="str">
        <f>D459</f>
        <v>Долота</v>
      </c>
      <c r="E495" s="9" t="str">
        <f t="shared" si="1186"/>
        <v>тыс. руб.</v>
      </c>
      <c r="F495" s="90"/>
      <c r="G495" s="70">
        <f>G459*'ФОТ, МТР, макро'!AJ$14</f>
        <v>0</v>
      </c>
      <c r="H495" s="70">
        <f>H459*'ФОТ, МТР, макро'!AK$14</f>
        <v>0</v>
      </c>
      <c r="I495" s="70">
        <f>I459*'ФОТ, МТР, макро'!AL$14</f>
        <v>0</v>
      </c>
      <c r="J495" s="70">
        <f>J459*'ФОТ, МТР, макро'!AM$14</f>
        <v>0</v>
      </c>
      <c r="K495" s="70">
        <f>K459*'ФОТ, МТР, макро'!AN$14</f>
        <v>0</v>
      </c>
      <c r="L495" s="70">
        <f>L459*'ФОТ, МТР, макро'!AO$14</f>
        <v>0</v>
      </c>
      <c r="M495" s="70">
        <f>M459*'ФОТ, МТР, макро'!AP$14</f>
        <v>0</v>
      </c>
      <c r="N495" s="70">
        <f>N459*'ФОТ, МТР, макро'!AQ$14</f>
        <v>0</v>
      </c>
      <c r="O495" s="70">
        <f>O459*'ФОТ, МТР, макро'!AR$14</f>
        <v>0</v>
      </c>
      <c r="P495" s="70">
        <f>P459*'ФОТ, МТР, макро'!AS$14</f>
        <v>0</v>
      </c>
      <c r="Q495" s="70">
        <f>Q459*'ФОТ, МТР, макро'!AT$14</f>
        <v>0</v>
      </c>
      <c r="R495" s="70">
        <f>R459*'ФОТ, МТР, макро'!AU$14</f>
        <v>0</v>
      </c>
      <c r="S495" s="70">
        <f>S459*'ФОТ, МТР, макро'!AV$14</f>
        <v>0</v>
      </c>
      <c r="T495" s="70">
        <f>T459*'ФОТ, МТР, макро'!AW$14</f>
        <v>0</v>
      </c>
      <c r="U495" s="70">
        <f>U459*'ФОТ, МТР, макро'!AX$14</f>
        <v>0</v>
      </c>
      <c r="V495" s="70">
        <f>V459*'ФОТ, МТР, макро'!AY$14</f>
        <v>0</v>
      </c>
      <c r="W495" s="70">
        <f>W459*'ФОТ, МТР, макро'!AZ$14</f>
        <v>0</v>
      </c>
      <c r="X495" s="70">
        <f>X459*'ФОТ, МТР, макро'!BA$14</f>
        <v>0</v>
      </c>
      <c r="Y495" s="70">
        <f>Y459*'ФОТ, МТР, макро'!BB$14</f>
        <v>0</v>
      </c>
      <c r="Z495" s="70">
        <f>Z459*'ФОТ, МТР, макро'!BC$14</f>
        <v>0</v>
      </c>
      <c r="AA495" s="175"/>
    </row>
    <row r="496" spans="1:28" outlineLevel="1" x14ac:dyDescent="0.25">
      <c r="A496" s="36" t="str">
        <f t="shared" si="975"/>
        <v>Sunward SWDRT270B</v>
      </c>
      <c r="B496" s="36"/>
      <c r="D496" s="17" t="str">
        <f>D463</f>
        <v>Штанги буровые</v>
      </c>
      <c r="E496" s="9" t="str">
        <f t="shared" si="1186"/>
        <v>тыс. руб.</v>
      </c>
      <c r="F496" s="90"/>
      <c r="G496" s="70">
        <f>G463*'ФОТ, МТР, макро'!AJ$14</f>
        <v>0</v>
      </c>
      <c r="H496" s="70">
        <f>H463*'ФОТ, МТР, макро'!AK$14</f>
        <v>0</v>
      </c>
      <c r="I496" s="70">
        <f>I463*'ФОТ, МТР, макро'!AL$14</f>
        <v>0</v>
      </c>
      <c r="J496" s="70">
        <f>J463*'ФОТ, МТР, макро'!AM$14</f>
        <v>0</v>
      </c>
      <c r="K496" s="70">
        <f>K463*'ФОТ, МТР, макро'!AN$14</f>
        <v>0</v>
      </c>
      <c r="L496" s="70">
        <f>L463*'ФОТ, МТР, макро'!AO$14</f>
        <v>0</v>
      </c>
      <c r="M496" s="70">
        <f>M463*'ФОТ, МТР, макро'!AP$14</f>
        <v>0</v>
      </c>
      <c r="N496" s="70">
        <f>N463*'ФОТ, МТР, макро'!AQ$14</f>
        <v>0</v>
      </c>
      <c r="O496" s="70">
        <f>O463*'ФОТ, МТР, макро'!AR$14</f>
        <v>0</v>
      </c>
      <c r="P496" s="70">
        <f>P463*'ФОТ, МТР, макро'!AS$14</f>
        <v>0</v>
      </c>
      <c r="Q496" s="70">
        <f>Q463*'ФОТ, МТР, макро'!AT$14</f>
        <v>0</v>
      </c>
      <c r="R496" s="70">
        <f>R463*'ФОТ, МТР, макро'!AU$14</f>
        <v>0</v>
      </c>
      <c r="S496" s="70">
        <f>S463*'ФОТ, МТР, макро'!AV$14</f>
        <v>0</v>
      </c>
      <c r="T496" s="70">
        <f>T463*'ФОТ, МТР, макро'!AW$14</f>
        <v>0</v>
      </c>
      <c r="U496" s="70">
        <f>U463*'ФОТ, МТР, макро'!AX$14</f>
        <v>0</v>
      </c>
      <c r="V496" s="70">
        <f>V463*'ФОТ, МТР, макро'!AY$14</f>
        <v>0</v>
      </c>
      <c r="W496" s="70">
        <f>W463*'ФОТ, МТР, макро'!AZ$14</f>
        <v>0</v>
      </c>
      <c r="X496" s="70">
        <f>X463*'ФОТ, МТР, макро'!BA$14</f>
        <v>0</v>
      </c>
      <c r="Y496" s="70">
        <f>Y463*'ФОТ, МТР, макро'!BB$14</f>
        <v>0</v>
      </c>
      <c r="Z496" s="70">
        <f>Z463*'ФОТ, МТР, макро'!BC$14</f>
        <v>0</v>
      </c>
      <c r="AA496" s="175"/>
    </row>
    <row r="497" spans="1:27" outlineLevel="1" x14ac:dyDescent="0.25">
      <c r="A497" s="36" t="str">
        <f t="shared" si="975"/>
        <v>Sunward SWDRT270B</v>
      </c>
      <c r="B497" s="36"/>
      <c r="D497" s="17" t="str">
        <f>D467</f>
        <v>Расходники</v>
      </c>
      <c r="E497" s="9" t="str">
        <f t="shared" si="1186"/>
        <v>тыс. руб.</v>
      </c>
      <c r="F497" s="90"/>
      <c r="G497" s="70">
        <f>G467*'ФОТ, МТР, макро'!AJ$14</f>
        <v>0</v>
      </c>
      <c r="H497" s="70">
        <f>H467*'ФОТ, МТР, макро'!AK$14</f>
        <v>0</v>
      </c>
      <c r="I497" s="70">
        <f>I467*'ФОТ, МТР, макро'!AL$14</f>
        <v>0</v>
      </c>
      <c r="J497" s="70">
        <f>J467*'ФОТ, МТР, макро'!AM$14</f>
        <v>0</v>
      </c>
      <c r="K497" s="70">
        <f>K467*'ФОТ, МТР, макро'!AN$14</f>
        <v>0</v>
      </c>
      <c r="L497" s="70">
        <f>L467*'ФОТ, МТР, макро'!AO$14</f>
        <v>0</v>
      </c>
      <c r="M497" s="70">
        <f>M467*'ФОТ, МТР, макро'!AP$14</f>
        <v>0</v>
      </c>
      <c r="N497" s="70">
        <f>N467*'ФОТ, МТР, макро'!AQ$14</f>
        <v>0</v>
      </c>
      <c r="O497" s="70">
        <f>O467*'ФОТ, МТР, макро'!AR$14</f>
        <v>0</v>
      </c>
      <c r="P497" s="70">
        <f>P467*'ФОТ, МТР, макро'!AS$14</f>
        <v>0</v>
      </c>
      <c r="Q497" s="70">
        <f>Q467*'ФОТ, МТР, макро'!AT$14</f>
        <v>0</v>
      </c>
      <c r="R497" s="70">
        <f>R467*'ФОТ, МТР, макро'!AU$14</f>
        <v>0</v>
      </c>
      <c r="S497" s="70">
        <f>S467*'ФОТ, МТР, макро'!AV$14</f>
        <v>0</v>
      </c>
      <c r="T497" s="70">
        <f>T467*'ФОТ, МТР, макро'!AW$14</f>
        <v>0</v>
      </c>
      <c r="U497" s="70">
        <f>U467*'ФОТ, МТР, макро'!AX$14</f>
        <v>0</v>
      </c>
      <c r="V497" s="70">
        <f>V467*'ФОТ, МТР, макро'!AY$14</f>
        <v>0</v>
      </c>
      <c r="W497" s="70">
        <f>W467*'ФОТ, МТР, макро'!AZ$14</f>
        <v>0</v>
      </c>
      <c r="X497" s="70">
        <f>X467*'ФОТ, МТР, макро'!BA$14</f>
        <v>0</v>
      </c>
      <c r="Y497" s="70">
        <f>Y467*'ФОТ, МТР, макро'!BB$14</f>
        <v>0</v>
      </c>
      <c r="Z497" s="70">
        <f>Z467*'ФОТ, МТР, макро'!BC$14</f>
        <v>0</v>
      </c>
      <c r="AA497" s="175"/>
    </row>
    <row r="498" spans="1:27" outlineLevel="1" x14ac:dyDescent="0.25">
      <c r="A498" s="36" t="str">
        <f t="shared" si="975"/>
        <v>Sunward SWDRT270B</v>
      </c>
      <c r="B498" s="36"/>
      <c r="D498" s="17" t="str">
        <f>D469</f>
        <v>Топливо/Электроэнергия</v>
      </c>
      <c r="E498" s="9" t="str">
        <f t="shared" si="1186"/>
        <v>тыс. руб.</v>
      </c>
      <c r="F498" s="90"/>
      <c r="G498" s="70">
        <f>G469*'ФОТ, МТР, макро'!AJ$14</f>
        <v>28255.423642637223</v>
      </c>
      <c r="H498" s="70">
        <f>H469*'ФОТ, МТР, макро'!AK$14</f>
        <v>25228.05682378323</v>
      </c>
      <c r="I498" s="70">
        <f>I469*'ФОТ, МТР, макро'!AL$14</f>
        <v>22282.845888902237</v>
      </c>
      <c r="J498" s="70">
        <f>J469*'ФОТ, МТР, макро'!AM$14</f>
        <v>19895.39811509128</v>
      </c>
      <c r="K498" s="70">
        <f>K469*'ФОТ, МТР, макро'!AN$14</f>
        <v>16798.327212858509</v>
      </c>
      <c r="L498" s="70">
        <f>L469*'ФОТ, МТР, макро'!AO$14</f>
        <v>15515.696317295424</v>
      </c>
      <c r="M498" s="70">
        <f>M469*'ФОТ, МТР, макро'!AP$14</f>
        <v>13083.672489782846</v>
      </c>
      <c r="N498" s="70">
        <f>N469*'ФОТ, МТР, макро'!AQ$14</f>
        <v>12369.018110088824</v>
      </c>
      <c r="O498" s="70">
        <f>O469*'ФОТ, МТР, макро'!AR$14</f>
        <v>11043.766169722163</v>
      </c>
      <c r="P498" s="70">
        <f>P469*'ФОТ, МТР, макро'!AS$14</f>
        <v>9312.6996470871418</v>
      </c>
      <c r="Q498" s="70">
        <f>Q469*'ФОТ, МТР, макро'!AT$14</f>
        <v>8706.2003003230639</v>
      </c>
      <c r="R498" s="70">
        <f>R469*'ФОТ, МТР, макро'!AU$14</f>
        <v>7773.3931252884495</v>
      </c>
      <c r="S498" s="70">
        <f>S469*'ФОТ, МТР, макро'!AV$14</f>
        <v>0</v>
      </c>
      <c r="T498" s="70">
        <f>T469*'ФОТ, МТР, макро'!AW$14</f>
        <v>0</v>
      </c>
      <c r="U498" s="70">
        <f>U469*'ФОТ, МТР, макро'!AX$14</f>
        <v>0</v>
      </c>
      <c r="V498" s="70">
        <f>V469*'ФОТ, МТР, макро'!AY$14</f>
        <v>0</v>
      </c>
      <c r="W498" s="70">
        <f>W469*'ФОТ, МТР, макро'!AZ$14</f>
        <v>0</v>
      </c>
      <c r="X498" s="70">
        <f>X469*'ФОТ, МТР, макро'!BA$14</f>
        <v>0</v>
      </c>
      <c r="Y498" s="70">
        <f>Y469*'ФОТ, МТР, макро'!BB$14</f>
        <v>0</v>
      </c>
      <c r="Z498" s="70">
        <f>Z469*'ФОТ, МТР, макро'!BC$14</f>
        <v>0</v>
      </c>
      <c r="AA498" s="175"/>
    </row>
    <row r="499" spans="1:27" outlineLevel="1" x14ac:dyDescent="0.25">
      <c r="A499" s="36" t="str">
        <f t="shared" si="975"/>
        <v>Sunward SWDRT270B</v>
      </c>
      <c r="B499" s="36"/>
      <c r="D499" s="17" t="str">
        <f>D478</f>
        <v>Затраты на персонал</v>
      </c>
      <c r="E499" s="9" t="str">
        <f t="shared" si="1186"/>
        <v>тыс. руб.</v>
      </c>
      <c r="F499" s="90"/>
      <c r="G499" s="70">
        <f>G478*'ФОТ, МТР, макро'!AJ$14</f>
        <v>14026.894744341158</v>
      </c>
      <c r="H499" s="70">
        <f>H478*'ФОТ, МТР, макро'!AK$14</f>
        <v>12524.013164590318</v>
      </c>
      <c r="I499" s="70">
        <f>I478*'ФОТ, МТР, макро'!AL$14</f>
        <v>11182.154611241354</v>
      </c>
      <c r="J499" s="70">
        <f>J478*'ФОТ, МТР, макро'!AM$14</f>
        <v>9984.0666171797802</v>
      </c>
      <c r="K499" s="70">
        <f>K478*'ФОТ, МТР, макро'!AN$14</f>
        <v>8914.345193910518</v>
      </c>
      <c r="L499" s="70">
        <f>L478*'ФОТ, МТР, макро'!AO$14</f>
        <v>7959.2367802772478</v>
      </c>
      <c r="M499" s="70">
        <f>M478*'ФОТ, МТР, макро'!AP$14</f>
        <v>7106.4614109618278</v>
      </c>
      <c r="N499" s="70">
        <f>N478*'ФОТ, МТР, макро'!AQ$14</f>
        <v>6345.0548312159171</v>
      </c>
      <c r="O499" s="70">
        <f>O478*'ФОТ, МТР, макро'!AR$14</f>
        <v>5665.2275278713541</v>
      </c>
      <c r="P499" s="70">
        <f>P478*'ФОТ, МТР, макро'!AS$14</f>
        <v>5058.2388641708521</v>
      </c>
      <c r="Q499" s="70">
        <f>Q478*'ФОТ, МТР, макро'!AT$14</f>
        <v>4516.2847001525461</v>
      </c>
      <c r="R499" s="70">
        <f>R478*'ФОТ, МТР, макро'!AU$14</f>
        <v>4032.3970537076302</v>
      </c>
      <c r="S499" s="70">
        <f>S478*'ФОТ, МТР, макро'!AV$14</f>
        <v>0</v>
      </c>
      <c r="T499" s="70">
        <f>T478*'ФОТ, МТР, макро'!AW$14</f>
        <v>0</v>
      </c>
      <c r="U499" s="70">
        <f>U478*'ФОТ, МТР, макро'!AX$14</f>
        <v>0</v>
      </c>
      <c r="V499" s="70">
        <f>V478*'ФОТ, МТР, макро'!AY$14</f>
        <v>0</v>
      </c>
      <c r="W499" s="70">
        <f>W478*'ФОТ, МТР, макро'!AZ$14</f>
        <v>0</v>
      </c>
      <c r="X499" s="70">
        <f>X478*'ФОТ, МТР, макро'!BA$14</f>
        <v>0</v>
      </c>
      <c r="Y499" s="70">
        <f>Y478*'ФОТ, МТР, макро'!BB$14</f>
        <v>0</v>
      </c>
      <c r="Z499" s="70">
        <f>Z478*'ФОТ, МТР, макро'!BC$14</f>
        <v>0</v>
      </c>
      <c r="AA499" s="175"/>
    </row>
    <row r="500" spans="1:27" outlineLevel="1" x14ac:dyDescent="0.25">
      <c r="A500" s="36" t="str">
        <f t="shared" si="975"/>
        <v>Sunward SWDRT270B</v>
      </c>
      <c r="B500" s="36"/>
      <c r="D500" s="17" t="str">
        <f>D481</f>
        <v>Транспортный налог</v>
      </c>
      <c r="E500" s="9" t="str">
        <f t="shared" si="1186"/>
        <v>тыс. руб.</v>
      </c>
      <c r="F500" s="90"/>
      <c r="G500" s="70">
        <f>G481*'ФОТ, МТР, макро'!AJ$14</f>
        <v>10.714285714285714</v>
      </c>
      <c r="H500" s="70">
        <f>H481*'ФОТ, МТР, макро'!AK$14</f>
        <v>9.5663265306122423</v>
      </c>
      <c r="I500" s="70">
        <f>I481*'ФОТ, МТР, макро'!AL$14</f>
        <v>8.5413629737609309</v>
      </c>
      <c r="J500" s="70">
        <f>J481*'ФОТ, МТР, макро'!AM$14</f>
        <v>7.6262169408579732</v>
      </c>
      <c r="K500" s="70">
        <f>K481*'ФОТ, МТР, макро'!AN$14</f>
        <v>6.8091222686231898</v>
      </c>
      <c r="L500" s="70">
        <f>L481*'ФОТ, МТР, макро'!AO$14</f>
        <v>6.0795734541278481</v>
      </c>
      <c r="M500" s="70">
        <f>M481*'ФОТ, МТР, макро'!AP$14</f>
        <v>5.4281905840427207</v>
      </c>
      <c r="N500" s="70">
        <f>N481*'ФОТ, МТР, макро'!AQ$14</f>
        <v>4.8465987357524289</v>
      </c>
      <c r="O500" s="70">
        <f>O481*'ФОТ, МТР, макро'!AR$14</f>
        <v>4.3273202997789539</v>
      </c>
      <c r="P500" s="70">
        <f>P481*'ФОТ, МТР, макро'!AS$14</f>
        <v>3.8636788390883519</v>
      </c>
      <c r="Q500" s="70">
        <f>Q481*'ФОТ, МТР, макро'!AT$14</f>
        <v>3.4497132491860283</v>
      </c>
      <c r="R500" s="70">
        <f>R481*'ФОТ, МТР, макро'!AU$14</f>
        <v>3.080101115344668</v>
      </c>
      <c r="S500" s="70">
        <f>S481*'ФОТ, МТР, макро'!AV$14</f>
        <v>0</v>
      </c>
      <c r="T500" s="70">
        <f>T481*'ФОТ, МТР, макро'!AW$14</f>
        <v>0</v>
      </c>
      <c r="U500" s="70">
        <f>U481*'ФОТ, МТР, макро'!AX$14</f>
        <v>0</v>
      </c>
      <c r="V500" s="70">
        <f>V481*'ФОТ, МТР, макро'!AY$14</f>
        <v>0</v>
      </c>
      <c r="W500" s="70">
        <f>W481*'ФОТ, МТР, макро'!AZ$14</f>
        <v>0</v>
      </c>
      <c r="X500" s="70">
        <f>X481*'ФОТ, МТР, макро'!BA$14</f>
        <v>0</v>
      </c>
      <c r="Y500" s="70">
        <f>Y481*'ФОТ, МТР, макро'!BB$14</f>
        <v>0</v>
      </c>
      <c r="Z500" s="70">
        <f>Z481*'ФОТ, МТР, макро'!BC$14</f>
        <v>0</v>
      </c>
      <c r="AA500" s="175"/>
    </row>
    <row r="501" spans="1:27" outlineLevel="1" x14ac:dyDescent="0.25">
      <c r="A501" s="36" t="str">
        <f t="shared" si="975"/>
        <v>Sunward SWDRT270B</v>
      </c>
      <c r="B501" s="36"/>
      <c r="D501" s="17" t="str">
        <f>D486</f>
        <v>Налог на прибыль</v>
      </c>
      <c r="E501" s="9" t="str">
        <f t="shared" si="1186"/>
        <v>тыс. руб.</v>
      </c>
      <c r="F501" s="90"/>
      <c r="G501" s="70">
        <f>G486*'ФОТ, МТР, макро'!AJ$14</f>
        <v>-16759.969180077926</v>
      </c>
      <c r="H501" s="70">
        <f>H486*'ФОТ, МТР, макро'!AK$14</f>
        <v>-25348.76553068182</v>
      </c>
      <c r="I501" s="70">
        <f>I486*'ФОТ, МТР, макро'!AL$14</f>
        <v>-21015.695031346633</v>
      </c>
      <c r="J501" s="70">
        <f>J486*'ФОТ, МТР, макро'!AM$14</f>
        <v>-17809.136704234617</v>
      </c>
      <c r="K501" s="70">
        <f>K486*'ФОТ, МТР, макро'!AN$14</f>
        <v>-15367.930738825195</v>
      </c>
      <c r="L501" s="70">
        <f>L486*'ФОТ, МТР, макро'!AO$14</f>
        <v>-17069.206599215875</v>
      </c>
      <c r="M501" s="70">
        <f>M486*'ФОТ, МТР, макро'!AP$14</f>
        <v>-12326.953874444676</v>
      </c>
      <c r="N501" s="70">
        <f>N486*'ФОТ, МТР, макро'!AQ$14</f>
        <v>-11166.288121052738</v>
      </c>
      <c r="O501" s="70">
        <f>O486*'ФОТ, МТР, макро'!AR$14</f>
        <v>-9803.1695387623913</v>
      </c>
      <c r="P501" s="70">
        <f>P486*'ФОТ, МТР, макро'!AS$14</f>
        <v>-8738.1822676568554</v>
      </c>
      <c r="Q501" s="70">
        <f>Q486*'ФОТ, МТР, макро'!AT$14</f>
        <v>-7955.5412927447514</v>
      </c>
      <c r="R501" s="70">
        <f>R486*'ФОТ, МТР, макро'!AU$14</f>
        <v>-8604.7802078526256</v>
      </c>
      <c r="S501" s="70">
        <f>S486*'ФОТ, МТР, макро'!AV$14</f>
        <v>0</v>
      </c>
      <c r="T501" s="70">
        <f>T486*'ФОТ, МТР, макро'!AW$14</f>
        <v>0</v>
      </c>
      <c r="U501" s="70">
        <f>U486*'ФОТ, МТР, макро'!AX$14</f>
        <v>0</v>
      </c>
      <c r="V501" s="70">
        <f>V486*'ФОТ, МТР, макро'!AY$14</f>
        <v>0</v>
      </c>
      <c r="W501" s="70">
        <f>W486*'ФОТ, МТР, макро'!AZ$14</f>
        <v>0</v>
      </c>
      <c r="X501" s="70">
        <f>X486*'ФОТ, МТР, макро'!BA$14</f>
        <v>0</v>
      </c>
      <c r="Y501" s="70">
        <f>Y486*'ФОТ, МТР, макро'!BB$14</f>
        <v>0</v>
      </c>
      <c r="Z501" s="70">
        <f>Z486*'ФОТ, МТР, макро'!BC$14</f>
        <v>0</v>
      </c>
      <c r="AA501" s="175"/>
    </row>
    <row r="502" spans="1:27" outlineLevel="1" x14ac:dyDescent="0.25">
      <c r="A502" s="36" t="str">
        <f t="shared" si="975"/>
        <v>Sunward SWDRT270B</v>
      </c>
      <c r="B502" s="36"/>
      <c r="D502" s="91" t="s">
        <v>67</v>
      </c>
      <c r="E502" s="9"/>
      <c r="F502" s="92"/>
      <c r="G502" s="93">
        <f>G492-SUM(G493:G501)</f>
        <v>0</v>
      </c>
      <c r="H502" s="93">
        <f t="shared" ref="H502:Z502" si="1187">H492-SUM(H493:H501)</f>
        <v>0</v>
      </c>
      <c r="I502" s="93">
        <f t="shared" si="1187"/>
        <v>0</v>
      </c>
      <c r="J502" s="93">
        <f t="shared" si="1187"/>
        <v>0</v>
      </c>
      <c r="K502" s="93">
        <f t="shared" si="1187"/>
        <v>0</v>
      </c>
      <c r="L502" s="93">
        <f t="shared" si="1187"/>
        <v>0</v>
      </c>
      <c r="M502" s="93">
        <f t="shared" si="1187"/>
        <v>0</v>
      </c>
      <c r="N502" s="93">
        <f t="shared" si="1187"/>
        <v>0</v>
      </c>
      <c r="O502" s="93">
        <f t="shared" si="1187"/>
        <v>0</v>
      </c>
      <c r="P502" s="93">
        <f t="shared" si="1187"/>
        <v>0</v>
      </c>
      <c r="Q502" s="93">
        <f t="shared" si="1187"/>
        <v>0</v>
      </c>
      <c r="R502" s="93">
        <f t="shared" si="1187"/>
        <v>0</v>
      </c>
      <c r="S502" s="93">
        <f t="shared" si="1187"/>
        <v>0</v>
      </c>
      <c r="T502" s="93">
        <f t="shared" si="1187"/>
        <v>0</v>
      </c>
      <c r="U502" s="93">
        <f t="shared" si="1187"/>
        <v>0</v>
      </c>
      <c r="V502" s="93">
        <f t="shared" si="1187"/>
        <v>0</v>
      </c>
      <c r="W502" s="93">
        <f t="shared" si="1187"/>
        <v>0</v>
      </c>
      <c r="X502" s="93">
        <f t="shared" si="1187"/>
        <v>0</v>
      </c>
      <c r="Y502" s="93">
        <f t="shared" si="1187"/>
        <v>0</v>
      </c>
      <c r="Z502" s="93">
        <f t="shared" si="1187"/>
        <v>0</v>
      </c>
      <c r="AA502" s="175"/>
    </row>
    <row r="503" spans="1:27" ht="27.2" outlineLevel="1" x14ac:dyDescent="0.25">
      <c r="A503" s="36" t="str">
        <f t="shared" si="975"/>
        <v>Sunward SWDRT270B</v>
      </c>
      <c r="B503" s="36"/>
      <c r="D503" s="94" t="s">
        <v>68</v>
      </c>
      <c r="E503" s="64" t="str">
        <f>E492</f>
        <v>тыс. руб.</v>
      </c>
      <c r="F503" s="65">
        <f>F492</f>
        <v>0</v>
      </c>
      <c r="G503" s="65">
        <f>F503+G492</f>
        <v>50279.907540233784</v>
      </c>
      <c r="H503" s="65">
        <f t="shared" ref="H503:H512" si="1188">G503+H492</f>
        <v>126326.20413227924</v>
      </c>
      <c r="I503" s="65">
        <f t="shared" ref="I503:I512" si="1189">H503+I492</f>
        <v>189373.28922631912</v>
      </c>
      <c r="J503" s="65">
        <f t="shared" ref="J503:J512" si="1190">I503+J492</f>
        <v>242800.69933902298</v>
      </c>
      <c r="K503" s="65">
        <f t="shared" ref="K503:K512" si="1191">J503+K492</f>
        <v>288904.49155549856</v>
      </c>
      <c r="L503" s="65">
        <f t="shared" ref="L503:L512" si="1192">K503+L492</f>
        <v>340112.1113531462</v>
      </c>
      <c r="M503" s="65">
        <f t="shared" ref="M503:M512" si="1193">L503+M492</f>
        <v>377092.9729764802</v>
      </c>
      <c r="N503" s="65">
        <f t="shared" ref="N503:N512" si="1194">M503+N492</f>
        <v>410591.83733963844</v>
      </c>
      <c r="O503" s="65">
        <f t="shared" ref="O503:O512" si="1195">N503+O492</f>
        <v>440001.34595592559</v>
      </c>
      <c r="P503" s="65">
        <f t="shared" ref="P503:P512" si="1196">O503+P492</f>
        <v>466215.89275889617</v>
      </c>
      <c r="Q503" s="65">
        <f t="shared" ref="Q503:Q512" si="1197">P503+Q492</f>
        <v>490082.51663713041</v>
      </c>
      <c r="R503" s="65">
        <f t="shared" ref="R503:R512" si="1198">Q503+R492</f>
        <v>515896.85726068827</v>
      </c>
      <c r="S503" s="65">
        <f t="shared" ref="S503:S512" si="1199">R503+S492</f>
        <v>515896.85726068827</v>
      </c>
      <c r="T503" s="65">
        <f t="shared" ref="T503:T512" si="1200">S503+T492</f>
        <v>515896.85726068827</v>
      </c>
      <c r="U503" s="65">
        <f t="shared" ref="U503:U512" si="1201">T503+U492</f>
        <v>515896.85726068827</v>
      </c>
      <c r="V503" s="65">
        <f t="shared" ref="V503:V512" si="1202">U503+V492</f>
        <v>515896.85726068827</v>
      </c>
      <c r="W503" s="65">
        <f t="shared" ref="W503:W512" si="1203">V503+W492</f>
        <v>515896.85726068827</v>
      </c>
      <c r="X503" s="65">
        <f t="shared" ref="X503:X512" si="1204">W503+X492</f>
        <v>515896.85726068827</v>
      </c>
      <c r="Y503" s="65">
        <f t="shared" ref="Y503:Y512" si="1205">X503+Y492</f>
        <v>515896.85726068827</v>
      </c>
      <c r="Z503" s="65">
        <f t="shared" ref="Z503:Z512" si="1206">Y503+Z492</f>
        <v>515896.85726068827</v>
      </c>
      <c r="AA503" s="175"/>
    </row>
    <row r="504" spans="1:27" outlineLevel="1" x14ac:dyDescent="0.25">
      <c r="A504" s="36" t="str">
        <f t="shared" si="975"/>
        <v>Sunward SWDRT270B</v>
      </c>
      <c r="B504" s="36"/>
      <c r="D504" s="201" t="str">
        <f>D493</f>
        <v>ТО, ТР, ППР</v>
      </c>
      <c r="E504" s="196" t="str">
        <f>E493</f>
        <v>тыс. руб.</v>
      </c>
      <c r="F504" s="83">
        <f>F493</f>
        <v>0</v>
      </c>
      <c r="G504" s="83">
        <f>F504+G493</f>
        <v>24746.844047619044</v>
      </c>
      <c r="H504" s="83">
        <f t="shared" si="1188"/>
        <v>88380.269855442166</v>
      </c>
      <c r="I504" s="83">
        <f t="shared" si="1189"/>
        <v>138969.50811771135</v>
      </c>
      <c r="J504" s="83">
        <f t="shared" si="1190"/>
        <v>180318.96398543788</v>
      </c>
      <c r="K504" s="83">
        <f t="shared" si="1191"/>
        <v>216071.205411701</v>
      </c>
      <c r="L504" s="83">
        <f t="shared" si="1192"/>
        <v>260867.01913753769</v>
      </c>
      <c r="M504" s="83">
        <f t="shared" si="1193"/>
        <v>289979.27254398767</v>
      </c>
      <c r="N504" s="83">
        <f t="shared" si="1194"/>
        <v>315925.50548815815</v>
      </c>
      <c r="O504" s="83">
        <f t="shared" si="1195"/>
        <v>338424.86262531439</v>
      </c>
      <c r="P504" s="83">
        <f t="shared" si="1196"/>
        <v>359002.7895058447</v>
      </c>
      <c r="Q504" s="83">
        <f t="shared" si="1197"/>
        <v>377599.01996309892</v>
      </c>
      <c r="R504" s="83">
        <f t="shared" si="1198"/>
        <v>400209.270514398</v>
      </c>
      <c r="S504" s="83">
        <f t="shared" si="1199"/>
        <v>400209.270514398</v>
      </c>
      <c r="T504" s="83">
        <f t="shared" si="1200"/>
        <v>400209.270514398</v>
      </c>
      <c r="U504" s="83">
        <f t="shared" si="1201"/>
        <v>400209.270514398</v>
      </c>
      <c r="V504" s="83">
        <f t="shared" si="1202"/>
        <v>400209.270514398</v>
      </c>
      <c r="W504" s="83">
        <f t="shared" si="1203"/>
        <v>400209.270514398</v>
      </c>
      <c r="X504" s="83">
        <f t="shared" si="1204"/>
        <v>400209.270514398</v>
      </c>
      <c r="Y504" s="83">
        <f t="shared" si="1205"/>
        <v>400209.270514398</v>
      </c>
      <c r="Z504" s="83">
        <f t="shared" si="1206"/>
        <v>400209.270514398</v>
      </c>
      <c r="AA504" s="175"/>
    </row>
    <row r="505" spans="1:27" outlineLevel="1" x14ac:dyDescent="0.25">
      <c r="A505" s="36" t="str">
        <f t="shared" si="975"/>
        <v>Sunward SWDRT270B</v>
      </c>
      <c r="B505" s="36"/>
      <c r="D505" s="201" t="str">
        <f t="shared" ref="D505:F505" si="1207">D494</f>
        <v>Смазочные</v>
      </c>
      <c r="E505" s="196" t="str">
        <f t="shared" si="1207"/>
        <v>тыс. руб.</v>
      </c>
      <c r="F505" s="83">
        <f t="shared" si="1207"/>
        <v>0</v>
      </c>
      <c r="G505" s="83">
        <f t="shared" ref="G505:G512" si="1208">F505+G494</f>
        <v>0</v>
      </c>
      <c r="H505" s="83">
        <f t="shared" si="1188"/>
        <v>0</v>
      </c>
      <c r="I505" s="83">
        <f t="shared" si="1189"/>
        <v>0</v>
      </c>
      <c r="J505" s="83">
        <f t="shared" si="1190"/>
        <v>0</v>
      </c>
      <c r="K505" s="83">
        <f t="shared" si="1191"/>
        <v>0</v>
      </c>
      <c r="L505" s="83">
        <f t="shared" si="1192"/>
        <v>0</v>
      </c>
      <c r="M505" s="83">
        <f t="shared" si="1193"/>
        <v>0</v>
      </c>
      <c r="N505" s="83">
        <f t="shared" si="1194"/>
        <v>0</v>
      </c>
      <c r="O505" s="83">
        <f t="shared" si="1195"/>
        <v>0</v>
      </c>
      <c r="P505" s="83">
        <f t="shared" si="1196"/>
        <v>0</v>
      </c>
      <c r="Q505" s="83">
        <f t="shared" si="1197"/>
        <v>0</v>
      </c>
      <c r="R505" s="83">
        <f t="shared" si="1198"/>
        <v>0</v>
      </c>
      <c r="S505" s="83">
        <f t="shared" si="1199"/>
        <v>0</v>
      </c>
      <c r="T505" s="83">
        <f t="shared" si="1200"/>
        <v>0</v>
      </c>
      <c r="U505" s="83">
        <f t="shared" si="1201"/>
        <v>0</v>
      </c>
      <c r="V505" s="83">
        <f t="shared" si="1202"/>
        <v>0</v>
      </c>
      <c r="W505" s="83">
        <f t="shared" si="1203"/>
        <v>0</v>
      </c>
      <c r="X505" s="83">
        <f t="shared" si="1204"/>
        <v>0</v>
      </c>
      <c r="Y505" s="83">
        <f t="shared" si="1205"/>
        <v>0</v>
      </c>
      <c r="Z505" s="83">
        <f t="shared" si="1206"/>
        <v>0</v>
      </c>
      <c r="AA505" s="175"/>
    </row>
    <row r="506" spans="1:27" outlineLevel="1" x14ac:dyDescent="0.25">
      <c r="A506" s="36" t="str">
        <f t="shared" si="975"/>
        <v>Sunward SWDRT270B</v>
      </c>
      <c r="B506" s="36"/>
      <c r="D506" s="201" t="str">
        <f t="shared" ref="D506:F506" si="1209">D495</f>
        <v>Долота</v>
      </c>
      <c r="E506" s="196" t="str">
        <f t="shared" si="1209"/>
        <v>тыс. руб.</v>
      </c>
      <c r="F506" s="83">
        <f t="shared" si="1209"/>
        <v>0</v>
      </c>
      <c r="G506" s="83">
        <f t="shared" si="1208"/>
        <v>0</v>
      </c>
      <c r="H506" s="83">
        <f t="shared" si="1188"/>
        <v>0</v>
      </c>
      <c r="I506" s="83">
        <f t="shared" si="1189"/>
        <v>0</v>
      </c>
      <c r="J506" s="83">
        <f t="shared" si="1190"/>
        <v>0</v>
      </c>
      <c r="K506" s="83">
        <f t="shared" si="1191"/>
        <v>0</v>
      </c>
      <c r="L506" s="83">
        <f t="shared" si="1192"/>
        <v>0</v>
      </c>
      <c r="M506" s="83">
        <f t="shared" si="1193"/>
        <v>0</v>
      </c>
      <c r="N506" s="83">
        <f t="shared" si="1194"/>
        <v>0</v>
      </c>
      <c r="O506" s="83">
        <f t="shared" si="1195"/>
        <v>0</v>
      </c>
      <c r="P506" s="83">
        <f t="shared" si="1196"/>
        <v>0</v>
      </c>
      <c r="Q506" s="83">
        <f t="shared" si="1197"/>
        <v>0</v>
      </c>
      <c r="R506" s="83">
        <f t="shared" si="1198"/>
        <v>0</v>
      </c>
      <c r="S506" s="83">
        <f t="shared" si="1199"/>
        <v>0</v>
      </c>
      <c r="T506" s="83">
        <f t="shared" si="1200"/>
        <v>0</v>
      </c>
      <c r="U506" s="83">
        <f t="shared" si="1201"/>
        <v>0</v>
      </c>
      <c r="V506" s="83">
        <f t="shared" si="1202"/>
        <v>0</v>
      </c>
      <c r="W506" s="83">
        <f t="shared" si="1203"/>
        <v>0</v>
      </c>
      <c r="X506" s="83">
        <f t="shared" si="1204"/>
        <v>0</v>
      </c>
      <c r="Y506" s="83">
        <f t="shared" si="1205"/>
        <v>0</v>
      </c>
      <c r="Z506" s="83">
        <f t="shared" si="1206"/>
        <v>0</v>
      </c>
      <c r="AA506" s="175"/>
    </row>
    <row r="507" spans="1:27" outlineLevel="1" x14ac:dyDescent="0.25">
      <c r="A507" s="36" t="str">
        <f t="shared" si="975"/>
        <v>Sunward SWDRT270B</v>
      </c>
      <c r="B507" s="36"/>
      <c r="D507" s="201" t="str">
        <f t="shared" ref="D507:F507" si="1210">D496</f>
        <v>Штанги буровые</v>
      </c>
      <c r="E507" s="196" t="str">
        <f t="shared" si="1210"/>
        <v>тыс. руб.</v>
      </c>
      <c r="F507" s="83">
        <f t="shared" si="1210"/>
        <v>0</v>
      </c>
      <c r="G507" s="83">
        <f t="shared" si="1208"/>
        <v>0</v>
      </c>
      <c r="H507" s="83">
        <f t="shared" si="1188"/>
        <v>0</v>
      </c>
      <c r="I507" s="83">
        <f t="shared" si="1189"/>
        <v>0</v>
      </c>
      <c r="J507" s="83">
        <f t="shared" si="1190"/>
        <v>0</v>
      </c>
      <c r="K507" s="83">
        <f t="shared" si="1191"/>
        <v>0</v>
      </c>
      <c r="L507" s="83">
        <f t="shared" si="1192"/>
        <v>0</v>
      </c>
      <c r="M507" s="83">
        <f t="shared" si="1193"/>
        <v>0</v>
      </c>
      <c r="N507" s="83">
        <f t="shared" si="1194"/>
        <v>0</v>
      </c>
      <c r="O507" s="83">
        <f t="shared" si="1195"/>
        <v>0</v>
      </c>
      <c r="P507" s="83">
        <f t="shared" si="1196"/>
        <v>0</v>
      </c>
      <c r="Q507" s="83">
        <f t="shared" si="1197"/>
        <v>0</v>
      </c>
      <c r="R507" s="83">
        <f t="shared" si="1198"/>
        <v>0</v>
      </c>
      <c r="S507" s="83">
        <f t="shared" si="1199"/>
        <v>0</v>
      </c>
      <c r="T507" s="83">
        <f t="shared" si="1200"/>
        <v>0</v>
      </c>
      <c r="U507" s="83">
        <f t="shared" si="1201"/>
        <v>0</v>
      </c>
      <c r="V507" s="83">
        <f t="shared" si="1202"/>
        <v>0</v>
      </c>
      <c r="W507" s="83">
        <f t="shared" si="1203"/>
        <v>0</v>
      </c>
      <c r="X507" s="83">
        <f t="shared" si="1204"/>
        <v>0</v>
      </c>
      <c r="Y507" s="83">
        <f t="shared" si="1205"/>
        <v>0</v>
      </c>
      <c r="Z507" s="83">
        <f t="shared" si="1206"/>
        <v>0</v>
      </c>
      <c r="AA507" s="175"/>
    </row>
    <row r="508" spans="1:27" outlineLevel="1" x14ac:dyDescent="0.25">
      <c r="A508" s="36" t="str">
        <f t="shared" si="975"/>
        <v>Sunward SWDRT270B</v>
      </c>
      <c r="B508" s="36"/>
      <c r="D508" s="201" t="str">
        <f t="shared" ref="D508:F508" si="1211">D497</f>
        <v>Расходники</v>
      </c>
      <c r="E508" s="196" t="str">
        <f t="shared" si="1211"/>
        <v>тыс. руб.</v>
      </c>
      <c r="F508" s="83">
        <f t="shared" si="1211"/>
        <v>0</v>
      </c>
      <c r="G508" s="83">
        <f t="shared" si="1208"/>
        <v>0</v>
      </c>
      <c r="H508" s="83">
        <f t="shared" si="1188"/>
        <v>0</v>
      </c>
      <c r="I508" s="83">
        <f t="shared" si="1189"/>
        <v>0</v>
      </c>
      <c r="J508" s="83">
        <f t="shared" si="1190"/>
        <v>0</v>
      </c>
      <c r="K508" s="83">
        <f t="shared" si="1191"/>
        <v>0</v>
      </c>
      <c r="L508" s="83">
        <f t="shared" si="1192"/>
        <v>0</v>
      </c>
      <c r="M508" s="83">
        <f t="shared" si="1193"/>
        <v>0</v>
      </c>
      <c r="N508" s="83">
        <f t="shared" si="1194"/>
        <v>0</v>
      </c>
      <c r="O508" s="83">
        <f t="shared" si="1195"/>
        <v>0</v>
      </c>
      <c r="P508" s="83">
        <f t="shared" si="1196"/>
        <v>0</v>
      </c>
      <c r="Q508" s="83">
        <f t="shared" si="1197"/>
        <v>0</v>
      </c>
      <c r="R508" s="83">
        <f t="shared" si="1198"/>
        <v>0</v>
      </c>
      <c r="S508" s="83">
        <f t="shared" si="1199"/>
        <v>0</v>
      </c>
      <c r="T508" s="83">
        <f t="shared" si="1200"/>
        <v>0</v>
      </c>
      <c r="U508" s="83">
        <f t="shared" si="1201"/>
        <v>0</v>
      </c>
      <c r="V508" s="83">
        <f t="shared" si="1202"/>
        <v>0</v>
      </c>
      <c r="W508" s="83">
        <f t="shared" si="1203"/>
        <v>0</v>
      </c>
      <c r="X508" s="83">
        <f t="shared" si="1204"/>
        <v>0</v>
      </c>
      <c r="Y508" s="83">
        <f t="shared" si="1205"/>
        <v>0</v>
      </c>
      <c r="Z508" s="83">
        <f t="shared" si="1206"/>
        <v>0</v>
      </c>
      <c r="AA508" s="175"/>
    </row>
    <row r="509" spans="1:27" outlineLevel="1" x14ac:dyDescent="0.25">
      <c r="A509" s="36" t="str">
        <f t="shared" si="975"/>
        <v>Sunward SWDRT270B</v>
      </c>
      <c r="B509" s="36"/>
      <c r="D509" s="201" t="str">
        <f t="shared" ref="D509:F509" si="1212">D498</f>
        <v>Топливо/Электроэнергия</v>
      </c>
      <c r="E509" s="196" t="str">
        <f t="shared" si="1212"/>
        <v>тыс. руб.</v>
      </c>
      <c r="F509" s="83">
        <f t="shared" si="1212"/>
        <v>0</v>
      </c>
      <c r="G509" s="83">
        <f t="shared" si="1208"/>
        <v>28255.423642637223</v>
      </c>
      <c r="H509" s="83">
        <f t="shared" si="1188"/>
        <v>53483.480466420457</v>
      </c>
      <c r="I509" s="83">
        <f t="shared" si="1189"/>
        <v>75766.326355322701</v>
      </c>
      <c r="J509" s="83">
        <f t="shared" si="1190"/>
        <v>95661.724470413988</v>
      </c>
      <c r="K509" s="83">
        <f t="shared" si="1191"/>
        <v>112460.0516832725</v>
      </c>
      <c r="L509" s="83">
        <f t="shared" si="1192"/>
        <v>127975.74800056792</v>
      </c>
      <c r="M509" s="83">
        <f t="shared" si="1193"/>
        <v>141059.42049035078</v>
      </c>
      <c r="N509" s="83">
        <f t="shared" si="1194"/>
        <v>153428.43860043961</v>
      </c>
      <c r="O509" s="83">
        <f t="shared" si="1195"/>
        <v>164472.20477016177</v>
      </c>
      <c r="P509" s="83">
        <f t="shared" si="1196"/>
        <v>173784.90441724891</v>
      </c>
      <c r="Q509" s="83">
        <f t="shared" si="1197"/>
        <v>182491.10471757199</v>
      </c>
      <c r="R509" s="83">
        <f t="shared" si="1198"/>
        <v>190264.49784286044</v>
      </c>
      <c r="S509" s="83">
        <f t="shared" si="1199"/>
        <v>190264.49784286044</v>
      </c>
      <c r="T509" s="83">
        <f t="shared" si="1200"/>
        <v>190264.49784286044</v>
      </c>
      <c r="U509" s="83">
        <f t="shared" si="1201"/>
        <v>190264.49784286044</v>
      </c>
      <c r="V509" s="83">
        <f t="shared" si="1202"/>
        <v>190264.49784286044</v>
      </c>
      <c r="W509" s="83">
        <f t="shared" si="1203"/>
        <v>190264.49784286044</v>
      </c>
      <c r="X509" s="83">
        <f t="shared" si="1204"/>
        <v>190264.49784286044</v>
      </c>
      <c r="Y509" s="83">
        <f t="shared" si="1205"/>
        <v>190264.49784286044</v>
      </c>
      <c r="Z509" s="83">
        <f t="shared" si="1206"/>
        <v>190264.49784286044</v>
      </c>
      <c r="AA509" s="175"/>
    </row>
    <row r="510" spans="1:27" outlineLevel="1" x14ac:dyDescent="0.25">
      <c r="A510" s="36" t="str">
        <f t="shared" ref="A510:A548" si="1213">A509</f>
        <v>Sunward SWDRT270B</v>
      </c>
      <c r="B510" s="36"/>
      <c r="D510" s="201" t="str">
        <f t="shared" ref="D510:F510" si="1214">D499</f>
        <v>Затраты на персонал</v>
      </c>
      <c r="E510" s="196" t="str">
        <f t="shared" si="1214"/>
        <v>тыс. руб.</v>
      </c>
      <c r="F510" s="83">
        <f t="shared" si="1214"/>
        <v>0</v>
      </c>
      <c r="G510" s="83">
        <f t="shared" si="1208"/>
        <v>14026.894744341158</v>
      </c>
      <c r="H510" s="83">
        <f t="shared" si="1188"/>
        <v>26550.907908931476</v>
      </c>
      <c r="I510" s="83">
        <f t="shared" si="1189"/>
        <v>37733.062520172833</v>
      </c>
      <c r="J510" s="83">
        <f t="shared" si="1190"/>
        <v>47717.129137352611</v>
      </c>
      <c r="K510" s="83">
        <f t="shared" si="1191"/>
        <v>56631.474331263133</v>
      </c>
      <c r="L510" s="83">
        <f t="shared" si="1192"/>
        <v>64590.711111540382</v>
      </c>
      <c r="M510" s="83">
        <f t="shared" si="1193"/>
        <v>71697.172522502209</v>
      </c>
      <c r="N510" s="83">
        <f t="shared" si="1194"/>
        <v>78042.227353718132</v>
      </c>
      <c r="O510" s="83">
        <f t="shared" si="1195"/>
        <v>83707.454881589481</v>
      </c>
      <c r="P510" s="83">
        <f t="shared" si="1196"/>
        <v>88765.693745760334</v>
      </c>
      <c r="Q510" s="83">
        <f t="shared" si="1197"/>
        <v>93281.978445912886</v>
      </c>
      <c r="R510" s="83">
        <f t="shared" si="1198"/>
        <v>97314.37549962051</v>
      </c>
      <c r="S510" s="83">
        <f t="shared" si="1199"/>
        <v>97314.37549962051</v>
      </c>
      <c r="T510" s="83">
        <f t="shared" si="1200"/>
        <v>97314.37549962051</v>
      </c>
      <c r="U510" s="83">
        <f t="shared" si="1201"/>
        <v>97314.37549962051</v>
      </c>
      <c r="V510" s="83">
        <f t="shared" si="1202"/>
        <v>97314.37549962051</v>
      </c>
      <c r="W510" s="83">
        <f t="shared" si="1203"/>
        <v>97314.37549962051</v>
      </c>
      <c r="X510" s="83">
        <f t="shared" si="1204"/>
        <v>97314.37549962051</v>
      </c>
      <c r="Y510" s="83">
        <f t="shared" si="1205"/>
        <v>97314.37549962051</v>
      </c>
      <c r="Z510" s="83">
        <f t="shared" si="1206"/>
        <v>97314.37549962051</v>
      </c>
      <c r="AA510" s="175"/>
    </row>
    <row r="511" spans="1:27" outlineLevel="1" x14ac:dyDescent="0.25">
      <c r="A511" s="36" t="str">
        <f t="shared" si="1213"/>
        <v>Sunward SWDRT270B</v>
      </c>
      <c r="B511" s="36"/>
      <c r="D511" s="201" t="str">
        <f t="shared" ref="D511:F511" si="1215">D500</f>
        <v>Транспортный налог</v>
      </c>
      <c r="E511" s="196" t="str">
        <f t="shared" si="1215"/>
        <v>тыс. руб.</v>
      </c>
      <c r="F511" s="83">
        <f t="shared" si="1215"/>
        <v>0</v>
      </c>
      <c r="G511" s="83">
        <f t="shared" si="1208"/>
        <v>10.714285714285714</v>
      </c>
      <c r="H511" s="83">
        <f t="shared" si="1188"/>
        <v>20.280612244897956</v>
      </c>
      <c r="I511" s="83">
        <f t="shared" si="1189"/>
        <v>28.821975218658885</v>
      </c>
      <c r="J511" s="83">
        <f t="shared" si="1190"/>
        <v>36.448192159516857</v>
      </c>
      <c r="K511" s="83">
        <f t="shared" si="1191"/>
        <v>43.257314428140049</v>
      </c>
      <c r="L511" s="83">
        <f t="shared" si="1192"/>
        <v>49.336887882267895</v>
      </c>
      <c r="M511" s="83">
        <f t="shared" si="1193"/>
        <v>54.765078466310612</v>
      </c>
      <c r="N511" s="83">
        <f t="shared" si="1194"/>
        <v>59.611677202063042</v>
      </c>
      <c r="O511" s="83">
        <f t="shared" si="1195"/>
        <v>63.938997501841996</v>
      </c>
      <c r="P511" s="83">
        <f t="shared" si="1196"/>
        <v>67.802676340930347</v>
      </c>
      <c r="Q511" s="83">
        <f t="shared" si="1197"/>
        <v>71.25238959011638</v>
      </c>
      <c r="R511" s="83">
        <f t="shared" si="1198"/>
        <v>74.332490705461055</v>
      </c>
      <c r="S511" s="83">
        <f t="shared" si="1199"/>
        <v>74.332490705461055</v>
      </c>
      <c r="T511" s="83">
        <f t="shared" si="1200"/>
        <v>74.332490705461055</v>
      </c>
      <c r="U511" s="83">
        <f t="shared" si="1201"/>
        <v>74.332490705461055</v>
      </c>
      <c r="V511" s="83">
        <f t="shared" si="1202"/>
        <v>74.332490705461055</v>
      </c>
      <c r="W511" s="83">
        <f t="shared" si="1203"/>
        <v>74.332490705461055</v>
      </c>
      <c r="X511" s="83">
        <f t="shared" si="1204"/>
        <v>74.332490705461055</v>
      </c>
      <c r="Y511" s="83">
        <f t="shared" si="1205"/>
        <v>74.332490705461055</v>
      </c>
      <c r="Z511" s="83">
        <f t="shared" si="1206"/>
        <v>74.332490705461055</v>
      </c>
      <c r="AA511" s="175"/>
    </row>
    <row r="512" spans="1:27" outlineLevel="1" x14ac:dyDescent="0.25">
      <c r="A512" s="36" t="str">
        <f t="shared" si="1213"/>
        <v>Sunward SWDRT270B</v>
      </c>
      <c r="B512" s="36"/>
      <c r="D512" s="201" t="str">
        <f t="shared" ref="D512:F512" si="1216">D501</f>
        <v>Налог на прибыль</v>
      </c>
      <c r="E512" s="196" t="str">
        <f t="shared" si="1216"/>
        <v>тыс. руб.</v>
      </c>
      <c r="F512" s="83">
        <f t="shared" si="1216"/>
        <v>0</v>
      </c>
      <c r="G512" s="83">
        <f t="shared" si="1208"/>
        <v>-16759.969180077926</v>
      </c>
      <c r="H512" s="83">
        <f t="shared" si="1188"/>
        <v>-42108.734710759745</v>
      </c>
      <c r="I512" s="83">
        <f t="shared" si="1189"/>
        <v>-63124.429742106382</v>
      </c>
      <c r="J512" s="83">
        <f t="shared" si="1190"/>
        <v>-80933.566446340992</v>
      </c>
      <c r="K512" s="83">
        <f t="shared" si="1191"/>
        <v>-96301.497185166183</v>
      </c>
      <c r="L512" s="83">
        <f t="shared" si="1192"/>
        <v>-113370.70378438206</v>
      </c>
      <c r="M512" s="83">
        <f t="shared" si="1193"/>
        <v>-125697.65765882673</v>
      </c>
      <c r="N512" s="83">
        <f t="shared" si="1194"/>
        <v>-136863.94577987946</v>
      </c>
      <c r="O512" s="83">
        <f t="shared" si="1195"/>
        <v>-146667.11531864185</v>
      </c>
      <c r="P512" s="83">
        <f t="shared" si="1196"/>
        <v>-155405.29758629872</v>
      </c>
      <c r="Q512" s="83">
        <f t="shared" si="1197"/>
        <v>-163360.83887904347</v>
      </c>
      <c r="R512" s="83">
        <f t="shared" si="1198"/>
        <v>-171965.6190868961</v>
      </c>
      <c r="S512" s="83">
        <f t="shared" si="1199"/>
        <v>-171965.6190868961</v>
      </c>
      <c r="T512" s="83">
        <f t="shared" si="1200"/>
        <v>-171965.6190868961</v>
      </c>
      <c r="U512" s="83">
        <f t="shared" si="1201"/>
        <v>-171965.6190868961</v>
      </c>
      <c r="V512" s="83">
        <f t="shared" si="1202"/>
        <v>-171965.6190868961</v>
      </c>
      <c r="W512" s="83">
        <f t="shared" si="1203"/>
        <v>-171965.6190868961</v>
      </c>
      <c r="X512" s="83">
        <f t="shared" si="1204"/>
        <v>-171965.6190868961</v>
      </c>
      <c r="Y512" s="83">
        <f t="shared" si="1205"/>
        <v>-171965.6190868961</v>
      </c>
      <c r="Z512" s="83">
        <f t="shared" si="1206"/>
        <v>-171965.6190868961</v>
      </c>
      <c r="AA512" s="175"/>
    </row>
    <row r="513" spans="1:29" outlineLevel="1" x14ac:dyDescent="0.25">
      <c r="A513" s="36" t="str">
        <f t="shared" si="1213"/>
        <v>Sunward SWDRT270B</v>
      </c>
      <c r="B513" s="36"/>
      <c r="D513" s="88"/>
      <c r="E513" s="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175"/>
    </row>
    <row r="514" spans="1:29" outlineLevel="1" x14ac:dyDescent="0.25">
      <c r="A514" s="36" t="str">
        <f t="shared" si="1213"/>
        <v>Sunward SWDRT270B</v>
      </c>
      <c r="B514" s="36"/>
      <c r="D514" s="63" t="s">
        <v>69</v>
      </c>
      <c r="E514" s="64" t="str">
        <f>E491</f>
        <v>тыс. руб.</v>
      </c>
      <c r="F514" s="65">
        <f>F488*'ФОТ, МТР, макро'!AI$14</f>
        <v>0</v>
      </c>
      <c r="G514" s="65">
        <f>G488*'ФОТ, МТР, макро'!AJ$14</f>
        <v>0</v>
      </c>
      <c r="H514" s="65">
        <f>H488*'ФОТ, МТР, макро'!AK$14</f>
        <v>0</v>
      </c>
      <c r="I514" s="65">
        <f>I488*'ФОТ, МТР, макро'!AL$14</f>
        <v>0</v>
      </c>
      <c r="J514" s="65">
        <f>J488*'ФОТ, МТР, макро'!AM$14</f>
        <v>0</v>
      </c>
      <c r="K514" s="65">
        <f>K488*'ФОТ, МТР, макро'!AN$14</f>
        <v>0</v>
      </c>
      <c r="L514" s="65">
        <f>L488*'ФОТ, МТР, макро'!AO$14</f>
        <v>0</v>
      </c>
      <c r="M514" s="65">
        <f>M488*'ФОТ, МТР, макро'!AP$14</f>
        <v>0</v>
      </c>
      <c r="N514" s="65">
        <f>N488*'ФОТ, МТР, макро'!AQ$14</f>
        <v>0</v>
      </c>
      <c r="O514" s="65">
        <f>O488*'ФОТ, МТР, макро'!AR$14</f>
        <v>0</v>
      </c>
      <c r="P514" s="65">
        <f>P488*'ФОТ, МТР, макро'!AS$14</f>
        <v>0</v>
      </c>
      <c r="Q514" s="65">
        <f>Q488*'ФОТ, МТР, макро'!AT$14</f>
        <v>0</v>
      </c>
      <c r="R514" s="65">
        <f>R488*'ФОТ, МТР, макро'!AU$14</f>
        <v>0</v>
      </c>
      <c r="S514" s="65">
        <f>S488*'ФОТ, МТР, макро'!AV$14</f>
        <v>0</v>
      </c>
      <c r="T514" s="65">
        <f>T488*'ФОТ, МТР, макро'!AW$14</f>
        <v>0</v>
      </c>
      <c r="U514" s="65">
        <f>U488*'ФОТ, МТР, макро'!AX$14</f>
        <v>0</v>
      </c>
      <c r="V514" s="65">
        <f>V488*'ФОТ, МТР, макро'!AY$14</f>
        <v>0</v>
      </c>
      <c r="W514" s="65">
        <f>W488*'ФОТ, МТР, макро'!AZ$14</f>
        <v>0</v>
      </c>
      <c r="X514" s="65">
        <f>X488*'ФОТ, МТР, макро'!BA$14</f>
        <v>0</v>
      </c>
      <c r="Y514" s="65">
        <f>Y488*'ФОТ, МТР, макро'!BB$14</f>
        <v>0</v>
      </c>
      <c r="Z514" s="65">
        <f>Z488*'ФОТ, МТР, макро'!BC$14</f>
        <v>0</v>
      </c>
      <c r="AA514" s="175"/>
    </row>
    <row r="515" spans="1:29" outlineLevel="1" x14ac:dyDescent="0.25">
      <c r="A515" s="36" t="str">
        <f t="shared" si="1213"/>
        <v>Sunward SWDRT270B</v>
      </c>
      <c r="B515" s="36"/>
      <c r="D515" s="88" t="str">
        <f>D489</f>
        <v>Буровой станок</v>
      </c>
      <c r="E515" s="9" t="str">
        <f>E514</f>
        <v>тыс. руб.</v>
      </c>
      <c r="F515" s="70">
        <f>F489*'ФОТ, МТР, макро'!AI$14</f>
        <v>0</v>
      </c>
      <c r="G515" s="70">
        <f>G489*'ФОТ, МТР, макро'!AJ$14</f>
        <v>0</v>
      </c>
      <c r="H515" s="70">
        <f>H489*'ФОТ, МТР, макро'!AK$14</f>
        <v>0</v>
      </c>
      <c r="I515" s="70">
        <f>I489*'ФОТ, МТР, макро'!AL$14</f>
        <v>0</v>
      </c>
      <c r="J515" s="70">
        <f>J489*'ФОТ, МТР, макро'!AM$14</f>
        <v>0</v>
      </c>
      <c r="K515" s="70">
        <f>K489*'ФОТ, МТР, макро'!AN$14</f>
        <v>0</v>
      </c>
      <c r="L515" s="70">
        <f>L489*'ФОТ, МТР, макро'!AO$14</f>
        <v>0</v>
      </c>
      <c r="M515" s="70">
        <f>M489*'ФОТ, МТР, макро'!AP$14</f>
        <v>0</v>
      </c>
      <c r="N515" s="70">
        <f>N489*'ФОТ, МТР, макро'!AQ$14</f>
        <v>0</v>
      </c>
      <c r="O515" s="70">
        <f>O489*'ФОТ, МТР, макро'!AR$14</f>
        <v>0</v>
      </c>
      <c r="P515" s="70">
        <f>P489*'ФОТ, МТР, макро'!AS$14</f>
        <v>0</v>
      </c>
      <c r="Q515" s="70">
        <f>Q489*'ФОТ, МТР, макро'!AT$14</f>
        <v>0</v>
      </c>
      <c r="R515" s="70">
        <f>R489*'ФОТ, МТР, макро'!AU$14</f>
        <v>0</v>
      </c>
      <c r="S515" s="70">
        <f>S489*'ФОТ, МТР, макро'!AV$14</f>
        <v>0</v>
      </c>
      <c r="T515" s="70">
        <f>T489*'ФОТ, МТР, макро'!AW$14</f>
        <v>0</v>
      </c>
      <c r="U515" s="70">
        <f>U489*'ФОТ, МТР, макро'!AX$14</f>
        <v>0</v>
      </c>
      <c r="V515" s="70">
        <f>V489*'ФОТ, МТР, макро'!AY$14</f>
        <v>0</v>
      </c>
      <c r="W515" s="70">
        <f>W489*'ФОТ, МТР, макро'!AZ$14</f>
        <v>0</v>
      </c>
      <c r="X515" s="70">
        <f>X489*'ФОТ, МТР, макро'!BA$14</f>
        <v>0</v>
      </c>
      <c r="Y515" s="70">
        <f>Y489*'ФОТ, МТР, макро'!BB$14</f>
        <v>0</v>
      </c>
      <c r="Z515" s="70">
        <f>Z489*'ФОТ, МТР, макро'!BC$14</f>
        <v>0</v>
      </c>
      <c r="AA515" s="175"/>
    </row>
    <row r="516" spans="1:29" outlineLevel="1" x14ac:dyDescent="0.25">
      <c r="A516" s="36" t="str">
        <f t="shared" si="1213"/>
        <v>Sunward SWDRT270B</v>
      </c>
      <c r="B516" s="36"/>
      <c r="D516" s="91" t="s">
        <v>67</v>
      </c>
      <c r="E516" s="9"/>
      <c r="F516" s="93">
        <f>F514-F515</f>
        <v>0</v>
      </c>
      <c r="G516" s="93">
        <f t="shared" ref="G516:Z516" si="1217">G514-G515</f>
        <v>0</v>
      </c>
      <c r="H516" s="93">
        <f t="shared" si="1217"/>
        <v>0</v>
      </c>
      <c r="I516" s="93">
        <f t="shared" si="1217"/>
        <v>0</v>
      </c>
      <c r="J516" s="93">
        <f t="shared" si="1217"/>
        <v>0</v>
      </c>
      <c r="K516" s="93">
        <f t="shared" si="1217"/>
        <v>0</v>
      </c>
      <c r="L516" s="93">
        <f t="shared" si="1217"/>
        <v>0</v>
      </c>
      <c r="M516" s="93">
        <f t="shared" si="1217"/>
        <v>0</v>
      </c>
      <c r="N516" s="93">
        <f t="shared" si="1217"/>
        <v>0</v>
      </c>
      <c r="O516" s="93">
        <f t="shared" si="1217"/>
        <v>0</v>
      </c>
      <c r="P516" s="93">
        <f t="shared" si="1217"/>
        <v>0</v>
      </c>
      <c r="Q516" s="93">
        <f t="shared" si="1217"/>
        <v>0</v>
      </c>
      <c r="R516" s="93">
        <f t="shared" si="1217"/>
        <v>0</v>
      </c>
      <c r="S516" s="93">
        <f t="shared" si="1217"/>
        <v>0</v>
      </c>
      <c r="T516" s="93">
        <f t="shared" si="1217"/>
        <v>0</v>
      </c>
      <c r="U516" s="93">
        <f t="shared" si="1217"/>
        <v>0</v>
      </c>
      <c r="V516" s="93">
        <f t="shared" si="1217"/>
        <v>0</v>
      </c>
      <c r="W516" s="93">
        <f t="shared" si="1217"/>
        <v>0</v>
      </c>
      <c r="X516" s="93">
        <f t="shared" si="1217"/>
        <v>0</v>
      </c>
      <c r="Y516" s="93">
        <f t="shared" si="1217"/>
        <v>0</v>
      </c>
      <c r="Z516" s="93">
        <f t="shared" si="1217"/>
        <v>0</v>
      </c>
      <c r="AA516" s="175"/>
    </row>
    <row r="517" spans="1:29" outlineLevel="1" x14ac:dyDescent="0.25">
      <c r="A517" s="36" t="str">
        <f t="shared" si="1213"/>
        <v>Sunward SWDRT270B</v>
      </c>
      <c r="B517" s="36"/>
      <c r="D517" s="94" t="s">
        <v>70</v>
      </c>
      <c r="E517" s="64" t="str">
        <f>E514</f>
        <v>тыс. руб.</v>
      </c>
      <c r="F517" s="65">
        <f>F514</f>
        <v>0</v>
      </c>
      <c r="G517" s="65">
        <f>F517+G514</f>
        <v>0</v>
      </c>
      <c r="H517" s="65">
        <f t="shared" ref="H517:H518" si="1218">G517+H514</f>
        <v>0</v>
      </c>
      <c r="I517" s="65">
        <f t="shared" ref="I517:I518" si="1219">H517+I514</f>
        <v>0</v>
      </c>
      <c r="J517" s="65">
        <f t="shared" ref="J517:J518" si="1220">I517+J514</f>
        <v>0</v>
      </c>
      <c r="K517" s="65">
        <f t="shared" ref="K517:K518" si="1221">J517+K514</f>
        <v>0</v>
      </c>
      <c r="L517" s="65">
        <f t="shared" ref="L517:L518" si="1222">K517+L514</f>
        <v>0</v>
      </c>
      <c r="M517" s="65">
        <f t="shared" ref="M517:M518" si="1223">L517+M514</f>
        <v>0</v>
      </c>
      <c r="N517" s="65">
        <f t="shared" ref="N517:N518" si="1224">M517+N514</f>
        <v>0</v>
      </c>
      <c r="O517" s="65">
        <f t="shared" ref="O517:O518" si="1225">N517+O514</f>
        <v>0</v>
      </c>
      <c r="P517" s="65">
        <f t="shared" ref="P517:P518" si="1226">O517+P514</f>
        <v>0</v>
      </c>
      <c r="Q517" s="65">
        <f t="shared" ref="Q517:Q518" si="1227">P517+Q514</f>
        <v>0</v>
      </c>
      <c r="R517" s="65">
        <f t="shared" ref="R517:R518" si="1228">Q517+R514</f>
        <v>0</v>
      </c>
      <c r="S517" s="65">
        <f t="shared" ref="S517:S518" si="1229">R517+S514</f>
        <v>0</v>
      </c>
      <c r="T517" s="65">
        <f t="shared" ref="T517:T518" si="1230">S517+T514</f>
        <v>0</v>
      </c>
      <c r="U517" s="65">
        <f t="shared" ref="U517:U518" si="1231">T517+U514</f>
        <v>0</v>
      </c>
      <c r="V517" s="65">
        <f t="shared" ref="V517:V518" si="1232">U517+V514</f>
        <v>0</v>
      </c>
      <c r="W517" s="65">
        <f t="shared" ref="W517:W518" si="1233">V517+W514</f>
        <v>0</v>
      </c>
      <c r="X517" s="65">
        <f t="shared" ref="X517:X518" si="1234">W517+X514</f>
        <v>0</v>
      </c>
      <c r="Y517" s="65">
        <f t="shared" ref="Y517:Y518" si="1235">X517+Y514</f>
        <v>0</v>
      </c>
      <c r="Z517" s="65">
        <f t="shared" ref="Z517:Z518" si="1236">Y517+Z514</f>
        <v>0</v>
      </c>
      <c r="AA517" s="175"/>
    </row>
    <row r="518" spans="1:29" outlineLevel="1" x14ac:dyDescent="0.25">
      <c r="A518" s="36" t="str">
        <f t="shared" si="1213"/>
        <v>Sunward SWDRT270B</v>
      </c>
      <c r="B518" s="36"/>
      <c r="D518" s="88" t="str">
        <f>D515</f>
        <v>Буровой станок</v>
      </c>
      <c r="E518" s="9" t="str">
        <f>E515</f>
        <v>тыс. руб.</v>
      </c>
      <c r="F518" s="70">
        <f>F515</f>
        <v>0</v>
      </c>
      <c r="G518" s="70">
        <f>F518+G515</f>
        <v>0</v>
      </c>
      <c r="H518" s="70">
        <f t="shared" si="1218"/>
        <v>0</v>
      </c>
      <c r="I518" s="70">
        <f t="shared" si="1219"/>
        <v>0</v>
      </c>
      <c r="J518" s="70">
        <f t="shared" si="1220"/>
        <v>0</v>
      </c>
      <c r="K518" s="70">
        <f t="shared" si="1221"/>
        <v>0</v>
      </c>
      <c r="L518" s="70">
        <f t="shared" si="1222"/>
        <v>0</v>
      </c>
      <c r="M518" s="70">
        <f t="shared" si="1223"/>
        <v>0</v>
      </c>
      <c r="N518" s="70">
        <f t="shared" si="1224"/>
        <v>0</v>
      </c>
      <c r="O518" s="70">
        <f t="shared" si="1225"/>
        <v>0</v>
      </c>
      <c r="P518" s="70">
        <f t="shared" si="1226"/>
        <v>0</v>
      </c>
      <c r="Q518" s="70">
        <f t="shared" si="1227"/>
        <v>0</v>
      </c>
      <c r="R518" s="70">
        <f t="shared" si="1228"/>
        <v>0</v>
      </c>
      <c r="S518" s="70">
        <f t="shared" si="1229"/>
        <v>0</v>
      </c>
      <c r="T518" s="70">
        <f t="shared" si="1230"/>
        <v>0</v>
      </c>
      <c r="U518" s="70">
        <f t="shared" si="1231"/>
        <v>0</v>
      </c>
      <c r="V518" s="70">
        <f t="shared" si="1232"/>
        <v>0</v>
      </c>
      <c r="W518" s="70">
        <f t="shared" si="1233"/>
        <v>0</v>
      </c>
      <c r="X518" s="70">
        <f t="shared" si="1234"/>
        <v>0</v>
      </c>
      <c r="Y518" s="70">
        <f t="shared" si="1235"/>
        <v>0</v>
      </c>
      <c r="Z518" s="70">
        <f t="shared" si="1236"/>
        <v>0</v>
      </c>
      <c r="AA518" s="175"/>
    </row>
    <row r="519" spans="1:29" outlineLevel="1" x14ac:dyDescent="0.25">
      <c r="A519" s="36" t="str">
        <f t="shared" si="1213"/>
        <v>Sunward SWDRT270B</v>
      </c>
      <c r="B519" s="36"/>
      <c r="D519" s="88"/>
      <c r="E519" s="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175"/>
    </row>
    <row r="520" spans="1:29" outlineLevel="1" x14ac:dyDescent="0.25">
      <c r="A520" s="36" t="str">
        <f t="shared" si="1213"/>
        <v>Sunward SWDRT270B</v>
      </c>
      <c r="B520" s="36"/>
      <c r="D520" s="63" t="s">
        <v>71</v>
      </c>
      <c r="E520" s="64" t="str">
        <f>E491</f>
        <v>тыс. руб.</v>
      </c>
      <c r="F520" s="65">
        <f>F491*'ФОТ, МТР, макро'!AI$14</f>
        <v>0</v>
      </c>
      <c r="G520" s="65">
        <f>G491*'ФОТ, МТР, макро'!AJ$14</f>
        <v>50279.907540233784</v>
      </c>
      <c r="H520" s="65">
        <f>H491*'ФОТ, МТР, макро'!AK$14</f>
        <v>76046.296592045459</v>
      </c>
      <c r="I520" s="65">
        <f>I491*'ФОТ, МТР, макро'!AL$14</f>
        <v>63047.085094039896</v>
      </c>
      <c r="J520" s="65">
        <f>J491*'ФОТ, МТР, макро'!AM$14</f>
        <v>53427.410112703852</v>
      </c>
      <c r="K520" s="65">
        <f>K491*'ФОТ, МТР, макро'!AN$14</f>
        <v>46103.79221647558</v>
      </c>
      <c r="L520" s="65">
        <f>L491*'ФОТ, МТР, макро'!AO$14</f>
        <v>51207.619797647625</v>
      </c>
      <c r="M520" s="65">
        <f>M491*'ФОТ, МТР, макро'!AP$14</f>
        <v>36980.861623334022</v>
      </c>
      <c r="N520" s="65">
        <f>N491*'ФОТ, МТР, макро'!AQ$14</f>
        <v>33498.864363158216</v>
      </c>
      <c r="O520" s="65">
        <f>O491*'ФОТ, МТР, макро'!AR$14</f>
        <v>29409.50861628717</v>
      </c>
      <c r="P520" s="65">
        <f>P491*'ФОТ, МТР, макро'!AS$14</f>
        <v>26214.546802970566</v>
      </c>
      <c r="Q520" s="65">
        <f>Q491*'ФОТ, МТР, макро'!AT$14</f>
        <v>23866.623878234255</v>
      </c>
      <c r="R520" s="65">
        <f>R491*'ФОТ, МТР, макро'!AU$14</f>
        <v>25814.340623557877</v>
      </c>
      <c r="S520" s="65">
        <f>S491*'ФОТ, МТР, макро'!AV$14</f>
        <v>0</v>
      </c>
      <c r="T520" s="65">
        <f>T491*'ФОТ, МТР, макро'!AW$14</f>
        <v>0</v>
      </c>
      <c r="U520" s="65">
        <f>U491*'ФОТ, МТР, макро'!AX$14</f>
        <v>0</v>
      </c>
      <c r="V520" s="65">
        <f>V491*'ФОТ, МТР, макро'!AY$14</f>
        <v>0</v>
      </c>
      <c r="W520" s="65">
        <f>W491*'ФОТ, МТР, макро'!AZ$14</f>
        <v>0</v>
      </c>
      <c r="X520" s="65">
        <f>X491*'ФОТ, МТР, макро'!BA$14</f>
        <v>0</v>
      </c>
      <c r="Y520" s="65">
        <f>Y491*'ФОТ, МТР, макро'!BB$14</f>
        <v>0</v>
      </c>
      <c r="Z520" s="65">
        <f>Z491*'ФОТ, МТР, макро'!BC$14</f>
        <v>0</v>
      </c>
      <c r="AA520" s="175"/>
    </row>
    <row r="521" spans="1:29" outlineLevel="1" x14ac:dyDescent="0.25">
      <c r="A521" s="36" t="str">
        <f t="shared" si="1213"/>
        <v>Sunward SWDRT270B</v>
      </c>
      <c r="B521" s="36"/>
      <c r="D521" s="94" t="s">
        <v>72</v>
      </c>
      <c r="E521" s="64" t="str">
        <f>E520</f>
        <v>тыс. руб.</v>
      </c>
      <c r="F521" s="65">
        <f>F520</f>
        <v>0</v>
      </c>
      <c r="G521" s="65">
        <f>F521+G520</f>
        <v>50279.907540233784</v>
      </c>
      <c r="H521" s="65">
        <f t="shared" ref="H521" si="1237">G521+H520</f>
        <v>126326.20413227924</v>
      </c>
      <c r="I521" s="65">
        <f t="shared" ref="I521" si="1238">H521+I520</f>
        <v>189373.28922631912</v>
      </c>
      <c r="J521" s="65">
        <f t="shared" ref="J521" si="1239">I521+J520</f>
        <v>242800.69933902298</v>
      </c>
      <c r="K521" s="65">
        <f t="shared" ref="K521" si="1240">J521+K520</f>
        <v>288904.49155549856</v>
      </c>
      <c r="L521" s="65">
        <f t="shared" ref="L521" si="1241">K521+L520</f>
        <v>340112.1113531462</v>
      </c>
      <c r="M521" s="65">
        <f t="shared" ref="M521" si="1242">L521+M520</f>
        <v>377092.9729764802</v>
      </c>
      <c r="N521" s="65">
        <f t="shared" ref="N521" si="1243">M521+N520</f>
        <v>410591.83733963844</v>
      </c>
      <c r="O521" s="65">
        <f t="shared" ref="O521" si="1244">N521+O520</f>
        <v>440001.34595592559</v>
      </c>
      <c r="P521" s="65">
        <f t="shared" ref="P521" si="1245">O521+P520</f>
        <v>466215.89275889617</v>
      </c>
      <c r="Q521" s="65">
        <f t="shared" ref="Q521" si="1246">P521+Q520</f>
        <v>490082.51663713041</v>
      </c>
      <c r="R521" s="65">
        <f t="shared" ref="R521" si="1247">Q521+R520</f>
        <v>515896.85726068827</v>
      </c>
      <c r="S521" s="65">
        <f t="shared" ref="S521" si="1248">R521+S520</f>
        <v>515896.85726068827</v>
      </c>
      <c r="T521" s="65">
        <f t="shared" ref="T521" si="1249">S521+T520</f>
        <v>515896.85726068827</v>
      </c>
      <c r="U521" s="65">
        <f t="shared" ref="U521" si="1250">T521+U520</f>
        <v>515896.85726068827</v>
      </c>
      <c r="V521" s="65">
        <f t="shared" ref="V521" si="1251">U521+V520</f>
        <v>515896.85726068827</v>
      </c>
      <c r="W521" s="65">
        <f t="shared" ref="W521" si="1252">V521+W520</f>
        <v>515896.85726068827</v>
      </c>
      <c r="X521" s="65">
        <f t="shared" ref="X521" si="1253">W521+X520</f>
        <v>515896.85726068827</v>
      </c>
      <c r="Y521" s="65">
        <f t="shared" ref="Y521" si="1254">X521+Y520</f>
        <v>515896.85726068827</v>
      </c>
      <c r="Z521" s="65">
        <f t="shared" ref="Z521" si="1255">Y521+Z520</f>
        <v>515896.85726068827</v>
      </c>
      <c r="AA521" s="175"/>
    </row>
    <row r="522" spans="1:29" outlineLevel="1" x14ac:dyDescent="0.25">
      <c r="A522" s="36" t="str">
        <f t="shared" si="1213"/>
        <v>Sunward SWDRT270B</v>
      </c>
      <c r="B522" s="36"/>
      <c r="D522" s="88"/>
      <c r="E522" s="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175"/>
    </row>
    <row r="523" spans="1:29" outlineLevel="1" x14ac:dyDescent="0.25">
      <c r="A523" s="36" t="str">
        <f t="shared" si="1213"/>
        <v>Sunward SWDRT270B</v>
      </c>
      <c r="B523" s="36" t="str">
        <f>D523</f>
        <v>Аннуитет операционный</v>
      </c>
      <c r="C523" s="57">
        <f>E442</f>
        <v>12</v>
      </c>
      <c r="D523" s="95" t="s">
        <v>73</v>
      </c>
      <c r="E523" s="96" t="s">
        <v>207</v>
      </c>
      <c r="F523" s="97"/>
      <c r="G523" s="98">
        <f>G503/'ФОТ, МТР, макро'!AJ$15/(G449/G444)</f>
        <v>8.6252684143688363</v>
      </c>
      <c r="H523" s="98">
        <f>H503/'ФОТ, МТР, макро'!AK$15/(H449/H444)</f>
        <v>11.554044504282599</v>
      </c>
      <c r="I523" s="98">
        <f>I503/'ФОТ, МТР, макро'!AL$15/(I449/I444)</f>
        <v>12.510556051425251</v>
      </c>
      <c r="J523" s="98">
        <f>J503/'ФОТ, МТР, макро'!AM$15/(J449/J444)</f>
        <v>12.65120270323346</v>
      </c>
      <c r="K523" s="98">
        <f>K503/'ФОТ, МТР, макро'!AN$15/(K449/K444)</f>
        <v>12.774953758778166</v>
      </c>
      <c r="L523" s="98">
        <f>L503/'ФОТ, МТР, макро'!AO$15/(L449/L444)</f>
        <v>13.3904056412755</v>
      </c>
      <c r="M523" s="98">
        <f>M503/'ФОТ, МТР, макро'!AP$15/(M449/M444)</f>
        <v>13.605885901977439</v>
      </c>
      <c r="N523" s="98">
        <f>N503/'ФОТ, МТР, макро'!AQ$15/(N449/N444)</f>
        <v>13.516429401734943</v>
      </c>
      <c r="O523" s="98">
        <f>O503/'ФОТ, МТР, макро'!AR$15/(O449/O444)</f>
        <v>13.544700436798372</v>
      </c>
      <c r="P523" s="98">
        <f>P503/'ФОТ, МТР, макро'!AS$15/(P449/P444)</f>
        <v>13.671703302490171</v>
      </c>
      <c r="Q523" s="98">
        <f>Q503/'ФОТ, МТР, макро'!AT$15/(Q449/Q444)</f>
        <v>13.605380125239252</v>
      </c>
      <c r="R523" s="98">
        <f>R503/'ФОТ, МТР, макро'!AU$15/(R449/R444)</f>
        <v>13.627809750923111</v>
      </c>
      <c r="S523" s="98" t="e">
        <f>S503/'ФОТ, МТР, макро'!AV$15/(S449/S444)</f>
        <v>#DIV/0!</v>
      </c>
      <c r="T523" s="98" t="e">
        <f>T503/'ФОТ, МТР, макро'!AW$15/(T449/T444)</f>
        <v>#DIV/0!</v>
      </c>
      <c r="U523" s="98" t="e">
        <f>U503/'ФОТ, МТР, макро'!AX$15/(U449/U444)</f>
        <v>#DIV/0!</v>
      </c>
      <c r="V523" s="98" t="e">
        <f>V503/'ФОТ, МТР, макро'!AY$15/(V449/V444)</f>
        <v>#DIV/0!</v>
      </c>
      <c r="W523" s="98" t="e">
        <f>W503/'ФОТ, МТР, макро'!AZ$15/(W449/W444)</f>
        <v>#DIV/0!</v>
      </c>
      <c r="X523" s="98" t="e">
        <f>X503/'ФОТ, МТР, макро'!BA$15/(X449/X444)</f>
        <v>#DIV/0!</v>
      </c>
      <c r="Y523" s="98" t="e">
        <f>Y503/'ФОТ, МТР, макро'!BB$15/(Y449/Y444)</f>
        <v>#DIV/0!</v>
      </c>
      <c r="Z523" s="98" t="e">
        <f>Z503/'ФОТ, МТР, макро'!BC$15/(Z449/Z444)</f>
        <v>#DIV/0!</v>
      </c>
      <c r="AA523" s="175"/>
      <c r="AC523" s="99" cm="1">
        <f t="array" ref="AC523">INDEX(G523:Z523,1,$C523)</f>
        <v>13.627809750923111</v>
      </c>
    </row>
    <row r="524" spans="1:29" outlineLevel="1" x14ac:dyDescent="0.25">
      <c r="A524" s="36" t="str">
        <f t="shared" si="1213"/>
        <v>Sunward SWDRT270B</v>
      </c>
      <c r="B524" s="36" t="str">
        <f t="shared" ref="B524:B535" si="1256">D524</f>
        <v>ТО, ТР, ППР</v>
      </c>
      <c r="C524" s="36">
        <f>C523</f>
        <v>12</v>
      </c>
      <c r="D524" s="100" t="str">
        <f>D504</f>
        <v>ТО, ТР, ППР</v>
      </c>
      <c r="E524" s="101" t="str">
        <f>E523</f>
        <v>руб/м3</v>
      </c>
      <c r="F524" s="102"/>
      <c r="G524" s="103">
        <f>G504/'ФОТ, МТР, макро'!AJ$15/(G449/G444)</f>
        <v>4.245198186739696</v>
      </c>
      <c r="H524" s="103">
        <f>H504/'ФОТ, МТР, макро'!AK$15/(H449/H444)</f>
        <v>8.0834342979308875</v>
      </c>
      <c r="I524" s="103">
        <f>I504/'ФОТ, МТР, макро'!AL$15/(I449/I444)</f>
        <v>9.1807341354664249</v>
      </c>
      <c r="J524" s="103">
        <f>J504/'ФОТ, МТР, макро'!AM$15/(J449/J444)</f>
        <v>9.3955732863500252</v>
      </c>
      <c r="K524" s="103">
        <f>K504/'ФОТ, МТР, макро'!AN$15/(K449/K444)</f>
        <v>9.5543674065990949</v>
      </c>
      <c r="L524" s="103">
        <f>L504/'ФОТ, МТР, макро'!AO$15/(L449/L444)</f>
        <v>10.270481667896345</v>
      </c>
      <c r="M524" s="103">
        <f>M504/'ФОТ, МТР, макро'!AP$15/(M449/M444)</f>
        <v>10.462737783284009</v>
      </c>
      <c r="N524" s="103">
        <f>N504/'ФОТ, МТР, макро'!AQ$15/(N449/N444)</f>
        <v>10.400072292732528</v>
      </c>
      <c r="O524" s="103">
        <f>O504/'ФОТ, МТР, макро'!AR$15/(O449/O444)</f>
        <v>10.417839460617662</v>
      </c>
      <c r="P524" s="103">
        <f>P504/'ФОТ, МТР, макро'!AS$15/(P449/P444)</f>
        <v>10.527696929946806</v>
      </c>
      <c r="Q524" s="103">
        <f>Q504/'ФОТ, МТР, макро'!AT$15/(Q449/Q444)</f>
        <v>10.482680012271508</v>
      </c>
      <c r="R524" s="103">
        <f>R504/'ФОТ, МТР, макро'!AU$15/(R449/R444)</f>
        <v>10.571833734528811</v>
      </c>
      <c r="S524" s="103" t="e">
        <f>S504/'ФОТ, МТР, макро'!AV$15/(S449/S444)</f>
        <v>#DIV/0!</v>
      </c>
      <c r="T524" s="103" t="e">
        <f>T504/'ФОТ, МТР, макро'!AW$15/(T449/T444)</f>
        <v>#DIV/0!</v>
      </c>
      <c r="U524" s="103" t="e">
        <f>U504/'ФОТ, МТР, макро'!AX$15/(U449/U444)</f>
        <v>#DIV/0!</v>
      </c>
      <c r="V524" s="103" t="e">
        <f>V504/'ФОТ, МТР, макро'!AY$15/(V449/V444)</f>
        <v>#DIV/0!</v>
      </c>
      <c r="W524" s="103" t="e">
        <f>W504/'ФОТ, МТР, макро'!AZ$15/(W449/W444)</f>
        <v>#DIV/0!</v>
      </c>
      <c r="X524" s="103" t="e">
        <f>X504/'ФОТ, МТР, макро'!BA$15/(X449/X444)</f>
        <v>#DIV/0!</v>
      </c>
      <c r="Y524" s="103" t="e">
        <f>Y504/'ФОТ, МТР, макро'!BB$15/(Y449/Y444)</f>
        <v>#DIV/0!</v>
      </c>
      <c r="Z524" s="103" t="e">
        <f>Z504/'ФОТ, МТР, макро'!BC$15/(Z449/Z444)</f>
        <v>#DIV/0!</v>
      </c>
      <c r="AA524" s="175"/>
      <c r="AC524" s="104" cm="1">
        <f t="array" ref="AC524">INDEX(G524:Z524,1,$C524)</f>
        <v>10.571833734528811</v>
      </c>
    </row>
    <row r="525" spans="1:29" outlineLevel="1" x14ac:dyDescent="0.25">
      <c r="A525" s="36" t="str">
        <f t="shared" si="1213"/>
        <v>Sunward SWDRT270B</v>
      </c>
      <c r="B525" s="36" t="str">
        <f t="shared" si="1256"/>
        <v>Смазочные</v>
      </c>
      <c r="C525" s="36">
        <f t="shared" ref="C525:C535" si="1257">C524</f>
        <v>12</v>
      </c>
      <c r="D525" s="100" t="str">
        <f t="shared" ref="D525:D532" si="1258">D505</f>
        <v>Смазочные</v>
      </c>
      <c r="E525" s="101" t="str">
        <f t="shared" ref="E525:E532" si="1259">E524</f>
        <v>руб/м3</v>
      </c>
      <c r="F525" s="102"/>
      <c r="G525" s="103">
        <f>G505/'ФОТ, МТР, макро'!AJ$15/(G449/G444)</f>
        <v>0</v>
      </c>
      <c r="H525" s="103">
        <f>H505/'ФОТ, МТР, макро'!AK$15/(H449/H444)</f>
        <v>0</v>
      </c>
      <c r="I525" s="103">
        <f>I505/'ФОТ, МТР, макро'!AL$15/(I449/I444)</f>
        <v>0</v>
      </c>
      <c r="J525" s="103">
        <f>J505/'ФОТ, МТР, макро'!AM$15/(J449/J444)</f>
        <v>0</v>
      </c>
      <c r="K525" s="103">
        <f>K505/'ФОТ, МТР, макро'!AN$15/(K449/K444)</f>
        <v>0</v>
      </c>
      <c r="L525" s="103">
        <f>L505/'ФОТ, МТР, макро'!AO$15/(L449/L444)</f>
        <v>0</v>
      </c>
      <c r="M525" s="103">
        <f>M505/'ФОТ, МТР, макро'!AP$15/(M449/M444)</f>
        <v>0</v>
      </c>
      <c r="N525" s="103">
        <f>N505/'ФОТ, МТР, макро'!AQ$15/(N449/N444)</f>
        <v>0</v>
      </c>
      <c r="O525" s="103">
        <f>O505/'ФОТ, МТР, макро'!AR$15/(O449/O444)</f>
        <v>0</v>
      </c>
      <c r="P525" s="103">
        <f>P505/'ФОТ, МТР, макро'!AS$15/(P449/P444)</f>
        <v>0</v>
      </c>
      <c r="Q525" s="103">
        <f>Q505/'ФОТ, МТР, макро'!AT$15/(Q449/Q444)</f>
        <v>0</v>
      </c>
      <c r="R525" s="103">
        <f>R505/'ФОТ, МТР, макро'!AU$15/(R449/R444)</f>
        <v>0</v>
      </c>
      <c r="S525" s="103" t="e">
        <f>S505/'ФОТ, МТР, макро'!AV$15/(S449/S444)</f>
        <v>#DIV/0!</v>
      </c>
      <c r="T525" s="103" t="e">
        <f>T505/'ФОТ, МТР, макро'!AW$15/(T449/T444)</f>
        <v>#DIV/0!</v>
      </c>
      <c r="U525" s="103" t="e">
        <f>U505/'ФОТ, МТР, макро'!AX$15/(U449/U444)</f>
        <v>#DIV/0!</v>
      </c>
      <c r="V525" s="103" t="e">
        <f>V505/'ФОТ, МТР, макро'!AY$15/(V449/V444)</f>
        <v>#DIV/0!</v>
      </c>
      <c r="W525" s="103" t="e">
        <f>W505/'ФОТ, МТР, макро'!AZ$15/(W449/W444)</f>
        <v>#DIV/0!</v>
      </c>
      <c r="X525" s="103" t="e">
        <f>X505/'ФОТ, МТР, макро'!BA$15/(X449/X444)</f>
        <v>#DIV/0!</v>
      </c>
      <c r="Y525" s="103" t="e">
        <f>Y505/'ФОТ, МТР, макро'!BB$15/(Y449/Y444)</f>
        <v>#DIV/0!</v>
      </c>
      <c r="Z525" s="103" t="e">
        <f>Z505/'ФОТ, МТР, макро'!BC$15/(Z449/Z444)</f>
        <v>#DIV/0!</v>
      </c>
      <c r="AA525" s="175"/>
      <c r="AC525" s="104" cm="1">
        <f t="array" ref="AC525">INDEX(G525:Z525,1,$C525)</f>
        <v>0</v>
      </c>
    </row>
    <row r="526" spans="1:29" outlineLevel="1" x14ac:dyDescent="0.25">
      <c r="A526" s="36" t="str">
        <f t="shared" si="1213"/>
        <v>Sunward SWDRT270B</v>
      </c>
      <c r="B526" s="36" t="str">
        <f t="shared" si="1256"/>
        <v>Долота</v>
      </c>
      <c r="C526" s="36">
        <f t="shared" si="1257"/>
        <v>12</v>
      </c>
      <c r="D526" s="100" t="str">
        <f t="shared" si="1258"/>
        <v>Долота</v>
      </c>
      <c r="E526" s="101" t="str">
        <f t="shared" si="1259"/>
        <v>руб/м3</v>
      </c>
      <c r="F526" s="102"/>
      <c r="G526" s="103">
        <f>G506/'ФОТ, МТР, макро'!AJ$15/(G449/G444)</f>
        <v>0</v>
      </c>
      <c r="H526" s="103">
        <f>H506/'ФОТ, МТР, макро'!AK$15/(H449/H444)</f>
        <v>0</v>
      </c>
      <c r="I526" s="103">
        <f>I506/'ФОТ, МТР, макро'!AL$15/(I449/I444)</f>
        <v>0</v>
      </c>
      <c r="J526" s="103">
        <f>J506/'ФОТ, МТР, макро'!AM$15/(J449/J444)</f>
        <v>0</v>
      </c>
      <c r="K526" s="103">
        <f>K506/'ФОТ, МТР, макро'!AN$15/(K449/K444)</f>
        <v>0</v>
      </c>
      <c r="L526" s="103">
        <f>L506/'ФОТ, МТР, макро'!AO$15/(L449/L444)</f>
        <v>0</v>
      </c>
      <c r="M526" s="103">
        <f>M506/'ФОТ, МТР, макро'!AP$15/(M449/M444)</f>
        <v>0</v>
      </c>
      <c r="N526" s="103">
        <f>N506/'ФОТ, МТР, макро'!AQ$15/(N449/N444)</f>
        <v>0</v>
      </c>
      <c r="O526" s="103">
        <f>O506/'ФОТ, МТР, макро'!AR$15/(O449/O444)</f>
        <v>0</v>
      </c>
      <c r="P526" s="103">
        <f>P506/'ФОТ, МТР, макро'!AS$15/(P449/P444)</f>
        <v>0</v>
      </c>
      <c r="Q526" s="103">
        <f>Q506/'ФОТ, МТР, макро'!AT$15/(Q449/Q444)</f>
        <v>0</v>
      </c>
      <c r="R526" s="103">
        <f>R506/'ФОТ, МТР, макро'!AU$15/(R449/R444)</f>
        <v>0</v>
      </c>
      <c r="S526" s="103" t="e">
        <f>S506/'ФОТ, МТР, макро'!AV$15/(S449/S444)</f>
        <v>#DIV/0!</v>
      </c>
      <c r="T526" s="103" t="e">
        <f>T506/'ФОТ, МТР, макро'!AW$15/(T449/T444)</f>
        <v>#DIV/0!</v>
      </c>
      <c r="U526" s="103" t="e">
        <f>U506/'ФОТ, МТР, макро'!AX$15/(U449/U444)</f>
        <v>#DIV/0!</v>
      </c>
      <c r="V526" s="103" t="e">
        <f>V506/'ФОТ, МТР, макро'!AY$15/(V449/V444)</f>
        <v>#DIV/0!</v>
      </c>
      <c r="W526" s="103" t="e">
        <f>W506/'ФОТ, МТР, макро'!AZ$15/(W449/W444)</f>
        <v>#DIV/0!</v>
      </c>
      <c r="X526" s="103" t="e">
        <f>X506/'ФОТ, МТР, макро'!BA$15/(X449/X444)</f>
        <v>#DIV/0!</v>
      </c>
      <c r="Y526" s="103" t="e">
        <f>Y506/'ФОТ, МТР, макро'!BB$15/(Y449/Y444)</f>
        <v>#DIV/0!</v>
      </c>
      <c r="Z526" s="103" t="e">
        <f>Z506/'ФОТ, МТР, макро'!BC$15/(Z449/Z444)</f>
        <v>#DIV/0!</v>
      </c>
      <c r="AA526" s="175"/>
      <c r="AC526" s="104" cm="1">
        <f t="array" ref="AC526">INDEX(G526:Z526,1,$C526)</f>
        <v>0</v>
      </c>
    </row>
    <row r="527" spans="1:29" outlineLevel="1" x14ac:dyDescent="0.25">
      <c r="A527" s="36" t="str">
        <f t="shared" si="1213"/>
        <v>Sunward SWDRT270B</v>
      </c>
      <c r="B527" s="36" t="str">
        <f t="shared" si="1256"/>
        <v>Штанги буровые</v>
      </c>
      <c r="C527" s="36">
        <f t="shared" si="1257"/>
        <v>12</v>
      </c>
      <c r="D527" s="100" t="str">
        <f t="shared" si="1258"/>
        <v>Штанги буровые</v>
      </c>
      <c r="E527" s="101" t="str">
        <f t="shared" si="1259"/>
        <v>руб/м3</v>
      </c>
      <c r="F527" s="102"/>
      <c r="G527" s="103">
        <f>G507/'ФОТ, МТР, макро'!AJ$15/(G449/G444)</f>
        <v>0</v>
      </c>
      <c r="H527" s="103">
        <f>H507/'ФОТ, МТР, макро'!AK$15/(H449/H444)</f>
        <v>0</v>
      </c>
      <c r="I527" s="103">
        <f>I507/'ФОТ, МТР, макро'!AL$15/(I449/I444)</f>
        <v>0</v>
      </c>
      <c r="J527" s="103">
        <f>J507/'ФОТ, МТР, макро'!AM$15/(J449/J444)</f>
        <v>0</v>
      </c>
      <c r="K527" s="103">
        <f>K507/'ФОТ, МТР, макро'!AN$15/(K449/K444)</f>
        <v>0</v>
      </c>
      <c r="L527" s="103">
        <f>L507/'ФОТ, МТР, макро'!AO$15/(L449/L444)</f>
        <v>0</v>
      </c>
      <c r="M527" s="103">
        <f>M507/'ФОТ, МТР, макро'!AP$15/(M449/M444)</f>
        <v>0</v>
      </c>
      <c r="N527" s="103">
        <f>N507/'ФОТ, МТР, макро'!AQ$15/(N449/N444)</f>
        <v>0</v>
      </c>
      <c r="O527" s="103">
        <f>O507/'ФОТ, МТР, макро'!AR$15/(O449/O444)</f>
        <v>0</v>
      </c>
      <c r="P527" s="103">
        <f>P507/'ФОТ, МТР, макро'!AS$15/(P449/P444)</f>
        <v>0</v>
      </c>
      <c r="Q527" s="103">
        <f>Q507/'ФОТ, МТР, макро'!AT$15/(Q449/Q444)</f>
        <v>0</v>
      </c>
      <c r="R527" s="103">
        <f>R507/'ФОТ, МТР, макро'!AU$15/(R449/R444)</f>
        <v>0</v>
      </c>
      <c r="S527" s="103" t="e">
        <f>S507/'ФОТ, МТР, макро'!AV$15/(S449/S444)</f>
        <v>#DIV/0!</v>
      </c>
      <c r="T527" s="103" t="e">
        <f>T507/'ФОТ, МТР, макро'!AW$15/(T449/T444)</f>
        <v>#DIV/0!</v>
      </c>
      <c r="U527" s="103" t="e">
        <f>U507/'ФОТ, МТР, макро'!AX$15/(U449/U444)</f>
        <v>#DIV/0!</v>
      </c>
      <c r="V527" s="103" t="e">
        <f>V507/'ФОТ, МТР, макро'!AY$15/(V449/V444)</f>
        <v>#DIV/0!</v>
      </c>
      <c r="W527" s="103" t="e">
        <f>W507/'ФОТ, МТР, макро'!AZ$15/(W449/W444)</f>
        <v>#DIV/0!</v>
      </c>
      <c r="X527" s="103" t="e">
        <f>X507/'ФОТ, МТР, макро'!BA$15/(X449/X444)</f>
        <v>#DIV/0!</v>
      </c>
      <c r="Y527" s="103" t="e">
        <f>Y507/'ФОТ, МТР, макро'!BB$15/(Y449/Y444)</f>
        <v>#DIV/0!</v>
      </c>
      <c r="Z527" s="103" t="e">
        <f>Z507/'ФОТ, МТР, макро'!BC$15/(Z449/Z444)</f>
        <v>#DIV/0!</v>
      </c>
      <c r="AA527" s="175"/>
      <c r="AC527" s="104" cm="1">
        <f t="array" ref="AC527">INDEX(G527:Z527,1,$C527)</f>
        <v>0</v>
      </c>
    </row>
    <row r="528" spans="1:29" outlineLevel="1" x14ac:dyDescent="0.25">
      <c r="A528" s="36" t="str">
        <f t="shared" si="1213"/>
        <v>Sunward SWDRT270B</v>
      </c>
      <c r="B528" s="36" t="str">
        <f t="shared" si="1256"/>
        <v>Расходники</v>
      </c>
      <c r="C528" s="36">
        <f t="shared" si="1257"/>
        <v>12</v>
      </c>
      <c r="D528" s="100" t="str">
        <f t="shared" si="1258"/>
        <v>Расходники</v>
      </c>
      <c r="E528" s="101" t="str">
        <f t="shared" si="1259"/>
        <v>руб/м3</v>
      </c>
      <c r="F528" s="102"/>
      <c r="G528" s="103">
        <f>G508/'ФОТ, МТР, макро'!AJ$15/(G449/G444)</f>
        <v>0</v>
      </c>
      <c r="H528" s="103">
        <f>H508/'ФОТ, МТР, макро'!AK$15/(H449/H444)</f>
        <v>0</v>
      </c>
      <c r="I528" s="103">
        <f>I508/'ФОТ, МТР, макро'!AL$15/(I449/I444)</f>
        <v>0</v>
      </c>
      <c r="J528" s="103">
        <f>J508/'ФОТ, МТР, макро'!AM$15/(J449/J444)</f>
        <v>0</v>
      </c>
      <c r="K528" s="103">
        <f>K508/'ФОТ, МТР, макро'!AN$15/(K449/K444)</f>
        <v>0</v>
      </c>
      <c r="L528" s="103">
        <f>L508/'ФОТ, МТР, макро'!AO$15/(L449/L444)</f>
        <v>0</v>
      </c>
      <c r="M528" s="103">
        <f>M508/'ФОТ, МТР, макро'!AP$15/(M449/M444)</f>
        <v>0</v>
      </c>
      <c r="N528" s="103">
        <f>N508/'ФОТ, МТР, макро'!AQ$15/(N449/N444)</f>
        <v>0</v>
      </c>
      <c r="O528" s="103">
        <f>O508/'ФОТ, МТР, макро'!AR$15/(O449/O444)</f>
        <v>0</v>
      </c>
      <c r="P528" s="103">
        <f>P508/'ФОТ, МТР, макро'!AS$15/(P449/P444)</f>
        <v>0</v>
      </c>
      <c r="Q528" s="103">
        <f>Q508/'ФОТ, МТР, макро'!AT$15/(Q449/Q444)</f>
        <v>0</v>
      </c>
      <c r="R528" s="103">
        <f>R508/'ФОТ, МТР, макро'!AU$15/(R449/R444)</f>
        <v>0</v>
      </c>
      <c r="S528" s="103" t="e">
        <f>S508/'ФОТ, МТР, макро'!AV$15/(S449/S444)</f>
        <v>#DIV/0!</v>
      </c>
      <c r="T528" s="103" t="e">
        <f>T508/'ФОТ, МТР, макро'!AW$15/(T449/T444)</f>
        <v>#DIV/0!</v>
      </c>
      <c r="U528" s="103" t="e">
        <f>U508/'ФОТ, МТР, макро'!AX$15/(U449/U444)</f>
        <v>#DIV/0!</v>
      </c>
      <c r="V528" s="103" t="e">
        <f>V508/'ФОТ, МТР, макро'!AY$15/(V449/V444)</f>
        <v>#DIV/0!</v>
      </c>
      <c r="W528" s="103" t="e">
        <f>W508/'ФОТ, МТР, макро'!AZ$15/(W449/W444)</f>
        <v>#DIV/0!</v>
      </c>
      <c r="X528" s="103" t="e">
        <f>X508/'ФОТ, МТР, макро'!BA$15/(X449/X444)</f>
        <v>#DIV/0!</v>
      </c>
      <c r="Y528" s="103" t="e">
        <f>Y508/'ФОТ, МТР, макро'!BB$15/(Y449/Y444)</f>
        <v>#DIV/0!</v>
      </c>
      <c r="Z528" s="103" t="e">
        <f>Z508/'ФОТ, МТР, макро'!BC$15/(Z449/Z444)</f>
        <v>#DIV/0!</v>
      </c>
      <c r="AA528" s="175"/>
      <c r="AC528" s="104" cm="1">
        <f t="array" ref="AC528">INDEX(G528:Z528,1,$C528)</f>
        <v>0</v>
      </c>
    </row>
    <row r="529" spans="1:29" outlineLevel="1" x14ac:dyDescent="0.25">
      <c r="A529" s="36" t="str">
        <f t="shared" si="1213"/>
        <v>Sunward SWDRT270B</v>
      </c>
      <c r="B529" s="36" t="str">
        <f t="shared" si="1256"/>
        <v>Топливо/Электроэнергия</v>
      </c>
      <c r="C529" s="36">
        <f t="shared" si="1257"/>
        <v>12</v>
      </c>
      <c r="D529" s="100" t="str">
        <f t="shared" si="1258"/>
        <v>Топливо/Электроэнергия</v>
      </c>
      <c r="E529" s="101" t="str">
        <f t="shared" si="1259"/>
        <v>руб/м3</v>
      </c>
      <c r="F529" s="102"/>
      <c r="G529" s="103">
        <f>G509/'ФОТ, МТР, макро'!AJ$15/(G449/G444)</f>
        <v>4.847077590276653</v>
      </c>
      <c r="H529" s="103">
        <f>H509/'ФОТ, МТР, макро'!AK$15/(H449/H444)</f>
        <v>4.8917049142542108</v>
      </c>
      <c r="I529" s="103">
        <f>I509/'ФОТ, МТР, макро'!AL$15/(I449/I444)</f>
        <v>5.0053461950805387</v>
      </c>
      <c r="J529" s="103">
        <f>J509/'ФОТ, МТР, макро'!AM$15/(J449/J444)</f>
        <v>4.9844826250941798</v>
      </c>
      <c r="K529" s="103">
        <f>K509/'ФОТ, МТР, макро'!AN$15/(K449/K444)</f>
        <v>4.9728266674857977</v>
      </c>
      <c r="L529" s="103">
        <f>L509/'ФОТ, МТР, макро'!AO$15/(L449/L444)</f>
        <v>5.0384773748734206</v>
      </c>
      <c r="M529" s="103">
        <f>M509/'ФОТ, МТР, макро'!AP$15/(M449/M444)</f>
        <v>5.0895628349735293</v>
      </c>
      <c r="N529" s="103">
        <f>N509/'ФОТ, МТР, макро'!AQ$15/(N449/N444)</f>
        <v>5.050769328484801</v>
      </c>
      <c r="O529" s="103">
        <f>O509/'ФОТ, МТР, макро'!AR$15/(O449/O444)</f>
        <v>5.0629998391294704</v>
      </c>
      <c r="P529" s="103">
        <f>P509/'ФОТ, МТР, макро'!AS$15/(P449/P444)</f>
        <v>5.0962133392414346</v>
      </c>
      <c r="Q529" s="103">
        <f>Q509/'ФОТ, МТР, макро'!AT$15/(Q449/Q444)</f>
        <v>5.066209801146166</v>
      </c>
      <c r="R529" s="103">
        <f>R509/'ФОТ, МТР, макро'!AU$15/(R449/R444)</f>
        <v>5.0259821172882395</v>
      </c>
      <c r="S529" s="103" t="e">
        <f>S509/'ФОТ, МТР, макро'!AV$15/(S449/S444)</f>
        <v>#DIV/0!</v>
      </c>
      <c r="T529" s="103" t="e">
        <f>T509/'ФОТ, МТР, макро'!AW$15/(T449/T444)</f>
        <v>#DIV/0!</v>
      </c>
      <c r="U529" s="103" t="e">
        <f>U509/'ФОТ, МТР, макро'!AX$15/(U449/U444)</f>
        <v>#DIV/0!</v>
      </c>
      <c r="V529" s="103" t="e">
        <f>V509/'ФОТ, МТР, макро'!AY$15/(V449/V444)</f>
        <v>#DIV/0!</v>
      </c>
      <c r="W529" s="103" t="e">
        <f>W509/'ФОТ, МТР, макро'!AZ$15/(W449/W444)</f>
        <v>#DIV/0!</v>
      </c>
      <c r="X529" s="103" t="e">
        <f>X509/'ФОТ, МТР, макро'!BA$15/(X449/X444)</f>
        <v>#DIV/0!</v>
      </c>
      <c r="Y529" s="103" t="e">
        <f>Y509/'ФОТ, МТР, макро'!BB$15/(Y449/Y444)</f>
        <v>#DIV/0!</v>
      </c>
      <c r="Z529" s="103" t="e">
        <f>Z509/'ФОТ, МТР, макро'!BC$15/(Z449/Z444)</f>
        <v>#DIV/0!</v>
      </c>
      <c r="AA529" s="175"/>
      <c r="AC529" s="104" cm="1">
        <f t="array" ref="AC529">INDEX(G529:Z529,1,$C529)</f>
        <v>5.0259821172882395</v>
      </c>
    </row>
    <row r="530" spans="1:29" outlineLevel="1" x14ac:dyDescent="0.25">
      <c r="A530" s="36" t="str">
        <f t="shared" si="1213"/>
        <v>Sunward SWDRT270B</v>
      </c>
      <c r="B530" s="36" t="str">
        <f t="shared" si="1256"/>
        <v>Затраты на персонал</v>
      </c>
      <c r="C530" s="36">
        <f t="shared" si="1257"/>
        <v>12</v>
      </c>
      <c r="D530" s="100" t="str">
        <f t="shared" si="1258"/>
        <v>Затраты на персонал</v>
      </c>
      <c r="E530" s="101" t="str">
        <f t="shared" si="1259"/>
        <v>руб/м3</v>
      </c>
      <c r="F530" s="102"/>
      <c r="G530" s="103">
        <f>G510/'ФОТ, МТР, макро'!AJ$15/(G449/G444)</f>
        <v>2.4062441263088985</v>
      </c>
      <c r="H530" s="103">
        <f>H510/'ФОТ, МТР, макро'!AK$15/(H449/H444)</f>
        <v>2.4283985552805527</v>
      </c>
      <c r="I530" s="103">
        <f>I510/'ФОТ, МТР, макро'!AL$15/(I449/I444)</f>
        <v>2.4927570069630933</v>
      </c>
      <c r="J530" s="103">
        <f>J510/'ФОТ, МТР, макро'!AM$15/(J449/J444)</f>
        <v>2.4863152156332857</v>
      </c>
      <c r="K530" s="103">
        <f>K510/'ФОТ, МТР, макро'!AN$15/(K449/K444)</f>
        <v>2.5041648261613876</v>
      </c>
      <c r="L530" s="103">
        <f>L510/'ФОТ, МТР, макро'!AO$15/(L449/L444)</f>
        <v>2.5429727244964981</v>
      </c>
      <c r="M530" s="103">
        <f>M510/'ФОТ, МТР, макро'!AP$15/(M449/M444)</f>
        <v>2.5869046064043215</v>
      </c>
      <c r="N530" s="103">
        <f>N510/'ФОТ, МТР, макро'!AQ$15/(N449/N444)</f>
        <v>2.5691018682091165</v>
      </c>
      <c r="O530" s="103">
        <f>O510/'ФОТ, МТР, макро'!AR$15/(O449/O444)</f>
        <v>2.5767930282911355</v>
      </c>
      <c r="P530" s="103">
        <f>P510/'ФОТ, МТР, макро'!AS$15/(P449/P444)</f>
        <v>2.6030391652893425</v>
      </c>
      <c r="Q530" s="103">
        <f>Q510/'ФОТ, МТР, макро'!AT$15/(Q449/Q444)</f>
        <v>2.5896389536595543</v>
      </c>
      <c r="R530" s="103">
        <f>R510/'ФОТ, МТР, макро'!AU$15/(R449/R444)</f>
        <v>2.5706335998642991</v>
      </c>
      <c r="S530" s="103" t="e">
        <f>S510/'ФОТ, МТР, макро'!AV$15/(S449/S444)</f>
        <v>#DIV/0!</v>
      </c>
      <c r="T530" s="103" t="e">
        <f>T510/'ФОТ, МТР, макро'!AW$15/(T449/T444)</f>
        <v>#DIV/0!</v>
      </c>
      <c r="U530" s="103" t="e">
        <f>U510/'ФОТ, МТР, макро'!AX$15/(U449/U444)</f>
        <v>#DIV/0!</v>
      </c>
      <c r="V530" s="103" t="e">
        <f>V510/'ФОТ, МТР, макро'!AY$15/(V449/V444)</f>
        <v>#DIV/0!</v>
      </c>
      <c r="W530" s="103" t="e">
        <f>W510/'ФОТ, МТР, макро'!AZ$15/(W449/W444)</f>
        <v>#DIV/0!</v>
      </c>
      <c r="X530" s="103" t="e">
        <f>X510/'ФОТ, МТР, макро'!BA$15/(X449/X444)</f>
        <v>#DIV/0!</v>
      </c>
      <c r="Y530" s="103" t="e">
        <f>Y510/'ФОТ, МТР, макро'!BB$15/(Y449/Y444)</f>
        <v>#DIV/0!</v>
      </c>
      <c r="Z530" s="103" t="e">
        <f>Z510/'ФОТ, МТР, макро'!BC$15/(Z449/Z444)</f>
        <v>#DIV/0!</v>
      </c>
      <c r="AA530" s="175"/>
      <c r="AC530" s="104" cm="1">
        <f t="array" ref="AC530">INDEX(G530:Z530,1,$C530)</f>
        <v>2.5706335998642991</v>
      </c>
    </row>
    <row r="531" spans="1:29" outlineLevel="1" x14ac:dyDescent="0.25">
      <c r="A531" s="36" t="str">
        <f t="shared" si="1213"/>
        <v>Sunward SWDRT270B</v>
      </c>
      <c r="B531" s="36" t="str">
        <f t="shared" si="1256"/>
        <v>Транспортный налог</v>
      </c>
      <c r="C531" s="36">
        <f t="shared" si="1257"/>
        <v>12</v>
      </c>
      <c r="D531" s="100" t="str">
        <f t="shared" si="1258"/>
        <v>Транспортный налог</v>
      </c>
      <c r="E531" s="101" t="str">
        <f t="shared" si="1259"/>
        <v>руб/м3</v>
      </c>
      <c r="F531" s="102"/>
      <c r="G531" s="103">
        <f>G511/'ФОТ, МТР, макро'!AJ$15/(G449/G444)</f>
        <v>1.8379824998684181E-3</v>
      </c>
      <c r="H531" s="103">
        <f>H511/'ФОТ, МТР, макро'!AK$15/(H449/H444)</f>
        <v>1.8549049111480002E-3</v>
      </c>
      <c r="I531" s="103">
        <f>I511/'ФОТ, МТР, макро'!AL$15/(I449/I444)</f>
        <v>1.9040643902789021E-3</v>
      </c>
      <c r="J531" s="103">
        <f>J511/'ФОТ, МТР, макро'!AM$15/(J449/J444)</f>
        <v>1.8991439004572177E-3</v>
      </c>
      <c r="K531" s="103">
        <f>K511/'ФОТ, МТР, макро'!AN$15/(K449/K444)</f>
        <v>1.9127781246082159E-3</v>
      </c>
      <c r="L531" s="103">
        <f>L511/'ФОТ, МТР, макро'!AO$15/(L449/L444)</f>
        <v>1.9424211010696361E-3</v>
      </c>
      <c r="M531" s="103">
        <f>M511/'ФОТ, МТР, макро'!AP$15/(M449/M444)</f>
        <v>1.975977974725979E-3</v>
      </c>
      <c r="N531" s="103">
        <f>N511/'ФОТ, МТР, макро'!AQ$15/(N449/N444)</f>
        <v>1.962379553479038E-3</v>
      </c>
      <c r="O531" s="103">
        <f>O511/'ФОТ, МТР, макро'!AR$15/(O449/O444)</f>
        <v>1.9682543595637069E-3</v>
      </c>
      <c r="P531" s="103">
        <f>P511/'ФОТ, МТР, макро'!AS$15/(P449/P444)</f>
        <v>1.9883021759778507E-3</v>
      </c>
      <c r="Q531" s="103">
        <f>Q511/'ФОТ, МТР, макро'!AT$15/(Q449/Q444)</f>
        <v>1.9780665751089298E-3</v>
      </c>
      <c r="R531" s="103">
        <f>R511/'ФОТ, МТР, макро'!AU$15/(R449/R444)</f>
        <v>1.9635495494681981E-3</v>
      </c>
      <c r="S531" s="103" t="e">
        <f>S511/'ФОТ, МТР, макро'!AV$15/(S449/S444)</f>
        <v>#DIV/0!</v>
      </c>
      <c r="T531" s="103" t="e">
        <f>T511/'ФОТ, МТР, макро'!AW$15/(T449/T444)</f>
        <v>#DIV/0!</v>
      </c>
      <c r="U531" s="103" t="e">
        <f>U511/'ФОТ, МТР, макро'!AX$15/(U449/U444)</f>
        <v>#DIV/0!</v>
      </c>
      <c r="V531" s="103" t="e">
        <f>V511/'ФОТ, МТР, макро'!AY$15/(V449/V444)</f>
        <v>#DIV/0!</v>
      </c>
      <c r="W531" s="103" t="e">
        <f>W511/'ФОТ, МТР, макро'!AZ$15/(W449/W444)</f>
        <v>#DIV/0!</v>
      </c>
      <c r="X531" s="103" t="e">
        <f>X511/'ФОТ, МТР, макро'!BA$15/(X449/X444)</f>
        <v>#DIV/0!</v>
      </c>
      <c r="Y531" s="103" t="e">
        <f>Y511/'ФОТ, МТР, макро'!BB$15/(Y449/Y444)</f>
        <v>#DIV/0!</v>
      </c>
      <c r="Z531" s="103" t="e">
        <f>Z511/'ФОТ, МТР, макро'!BC$15/(Z449/Z444)</f>
        <v>#DIV/0!</v>
      </c>
      <c r="AA531" s="175"/>
      <c r="AC531" s="104" cm="1">
        <f t="array" ref="AC531">INDEX(G531:Z531,1,$C531)</f>
        <v>1.9635495494681981E-3</v>
      </c>
    </row>
    <row r="532" spans="1:29" outlineLevel="1" x14ac:dyDescent="0.25">
      <c r="A532" s="36" t="str">
        <f t="shared" si="1213"/>
        <v>Sunward SWDRT270B</v>
      </c>
      <c r="B532" s="36" t="str">
        <f t="shared" si="1256"/>
        <v>Налог на прибыль</v>
      </c>
      <c r="C532" s="36">
        <f t="shared" si="1257"/>
        <v>12</v>
      </c>
      <c r="D532" s="100" t="str">
        <f t="shared" si="1258"/>
        <v>Налог на прибыль</v>
      </c>
      <c r="E532" s="101" t="str">
        <f t="shared" si="1259"/>
        <v>руб/м3</v>
      </c>
      <c r="F532" s="29"/>
      <c r="G532" s="103">
        <f>G512/'ФОТ, МТР, макро'!AJ$15/(G449/G444)</f>
        <v>-2.8750894714562789</v>
      </c>
      <c r="H532" s="103">
        <f>H512/'ФОТ, МТР, макро'!AK$15/(H449/H444)</f>
        <v>-3.8513481680941988</v>
      </c>
      <c r="I532" s="103">
        <f>I512/'ФОТ, МТР, макро'!AL$15/(I449/I444)</f>
        <v>-4.1701853504750837</v>
      </c>
      <c r="J532" s="103">
        <f>J512/'ФОТ, МТР, макро'!AM$15/(J449/J444)</f>
        <v>-4.2170675677444871</v>
      </c>
      <c r="K532" s="103">
        <f>K512/'ФОТ, МТР, макро'!AN$15/(K449/K444)</f>
        <v>-4.258317919592721</v>
      </c>
      <c r="L532" s="103">
        <f>L512/'ФОТ, МТР, макро'!AO$15/(L449/L444)</f>
        <v>-4.4634685470918329</v>
      </c>
      <c r="M532" s="103">
        <f>M512/'ФОТ, МТР, макро'!AP$15/(M449/M444)</f>
        <v>-4.5352953006591461</v>
      </c>
      <c r="N532" s="103">
        <f>N512/'ФОТ, МТР, макро'!AQ$15/(N449/N444)</f>
        <v>-4.5054764672449803</v>
      </c>
      <c r="O532" s="103">
        <f>O512/'ФОТ, МТР, макро'!AR$15/(O449/O444)</f>
        <v>-4.5149001455994577</v>
      </c>
      <c r="P532" s="103">
        <f>P512/'ФОТ, МТР, макро'!AS$15/(P449/P444)</f>
        <v>-4.5572344341633899</v>
      </c>
      <c r="Q532" s="103">
        <f>Q512/'ФОТ, МТР, макро'!AT$15/(Q449/Q444)</f>
        <v>-4.5351267084130837</v>
      </c>
      <c r="R532" s="103">
        <f>R512/'ФОТ, МТР, макро'!AU$15/(R449/R444)</f>
        <v>-4.5426032503077041</v>
      </c>
      <c r="S532" s="103" t="e">
        <f>S512/'ФОТ, МТР, макро'!AV$15/(S449/S444)</f>
        <v>#DIV/0!</v>
      </c>
      <c r="T532" s="103" t="e">
        <f>T512/'ФОТ, МТР, макро'!AW$15/(T449/T444)</f>
        <v>#DIV/0!</v>
      </c>
      <c r="U532" s="103" t="e">
        <f>U512/'ФОТ, МТР, макро'!AX$15/(U449/U444)</f>
        <v>#DIV/0!</v>
      </c>
      <c r="V532" s="103" t="e">
        <f>V512/'ФОТ, МТР, макро'!AY$15/(V449/V444)</f>
        <v>#DIV/0!</v>
      </c>
      <c r="W532" s="103" t="e">
        <f>W512/'ФОТ, МТР, макро'!AZ$15/(W449/W444)</f>
        <v>#DIV/0!</v>
      </c>
      <c r="X532" s="103" t="e">
        <f>X512/'ФОТ, МТР, макро'!BA$15/(X449/X444)</f>
        <v>#DIV/0!</v>
      </c>
      <c r="Y532" s="103" t="e">
        <f>Y512/'ФОТ, МТР, макро'!BB$15/(Y449/Y444)</f>
        <v>#DIV/0!</v>
      </c>
      <c r="Z532" s="103" t="e">
        <f>Z512/'ФОТ, МТР, макро'!BC$15/(Z449/Z444)</f>
        <v>#DIV/0!</v>
      </c>
      <c r="AA532" s="175"/>
      <c r="AC532" s="104" cm="1">
        <f t="array" ref="AC532">INDEX(G532:Z532,1,$C532)</f>
        <v>-4.5426032503077041</v>
      </c>
    </row>
    <row r="533" spans="1:29" outlineLevel="1" x14ac:dyDescent="0.25">
      <c r="A533" s="36" t="str">
        <f t="shared" si="1213"/>
        <v>Sunward SWDRT270B</v>
      </c>
      <c r="B533" s="36" t="str">
        <f t="shared" si="1256"/>
        <v>Аннуитет инвестиционный</v>
      </c>
      <c r="C533" s="36">
        <f t="shared" si="1257"/>
        <v>12</v>
      </c>
      <c r="D533" s="95" t="s">
        <v>74</v>
      </c>
      <c r="E533" s="105" t="str">
        <f>E523</f>
        <v>руб/м3</v>
      </c>
      <c r="F533" s="106"/>
      <c r="G533" s="98">
        <f>G517/'ФОТ, МТР, макро'!AJ$15/(G449/G444)</f>
        <v>0</v>
      </c>
      <c r="H533" s="98">
        <f>H517/'ФОТ, МТР, макро'!AK$15/(H449/H444)</f>
        <v>0</v>
      </c>
      <c r="I533" s="98">
        <f>I517/'ФОТ, МТР, макро'!AL$15/(I449/I444)</f>
        <v>0</v>
      </c>
      <c r="J533" s="98">
        <f>J517/'ФОТ, МТР, макро'!AM$15/(J449/J444)</f>
        <v>0</v>
      </c>
      <c r="K533" s="98">
        <f>K517/'ФОТ, МТР, макро'!AN$15/(K449/K444)</f>
        <v>0</v>
      </c>
      <c r="L533" s="98">
        <f>L517/'ФОТ, МТР, макро'!AO$15/(L449/L444)</f>
        <v>0</v>
      </c>
      <c r="M533" s="98">
        <f>M517/'ФОТ, МТР, макро'!AP$15/(M449/M444)</f>
        <v>0</v>
      </c>
      <c r="N533" s="98">
        <f>N517/'ФОТ, МТР, макро'!AQ$15/(N449/N444)</f>
        <v>0</v>
      </c>
      <c r="O533" s="98">
        <f>O517/'ФОТ, МТР, макро'!AR$15/(O449/O444)</f>
        <v>0</v>
      </c>
      <c r="P533" s="98">
        <f>P517/'ФОТ, МТР, макро'!AS$15/(P449/P444)</f>
        <v>0</v>
      </c>
      <c r="Q533" s="98">
        <f>Q517/'ФОТ, МТР, макро'!AT$15/(Q449/Q444)</f>
        <v>0</v>
      </c>
      <c r="R533" s="98">
        <f>R517/'ФОТ, МТР, макро'!AU$15/(R449/R444)</f>
        <v>0</v>
      </c>
      <c r="S533" s="98" t="e">
        <f>S517/'ФОТ, МТР, макро'!AV$15/(S449/S444)</f>
        <v>#DIV/0!</v>
      </c>
      <c r="T533" s="98" t="e">
        <f>T517/'ФОТ, МТР, макро'!AW$15/(T449/T444)</f>
        <v>#DIV/0!</v>
      </c>
      <c r="U533" s="98" t="e">
        <f>U517/'ФОТ, МТР, макро'!AX$15/(U449/U444)</f>
        <v>#DIV/0!</v>
      </c>
      <c r="V533" s="98" t="e">
        <f>V517/'ФОТ, МТР, макро'!AY$15/(V449/V444)</f>
        <v>#DIV/0!</v>
      </c>
      <c r="W533" s="98" t="e">
        <f>W517/'ФОТ, МТР, макро'!AZ$15/(W449/W444)</f>
        <v>#DIV/0!</v>
      </c>
      <c r="X533" s="98" t="e">
        <f>X517/'ФОТ, МТР, макро'!BA$15/(X449/X444)</f>
        <v>#DIV/0!</v>
      </c>
      <c r="Y533" s="98" t="e">
        <f>Y517/'ФОТ, МТР, макро'!BB$15/(Y449/Y444)</f>
        <v>#DIV/0!</v>
      </c>
      <c r="Z533" s="98" t="e">
        <f>Z517/'ФОТ, МТР, макро'!BC$15/(Z449/Z444)</f>
        <v>#DIV/0!</v>
      </c>
      <c r="AA533" s="175"/>
      <c r="AC533" s="99" cm="1">
        <f t="array" ref="AC533">INDEX(G533:Z533,1,$C533)</f>
        <v>0</v>
      </c>
    </row>
    <row r="534" spans="1:29" outlineLevel="1" x14ac:dyDescent="0.25">
      <c r="A534" s="36" t="str">
        <f t="shared" si="1213"/>
        <v>Sunward SWDRT270B</v>
      </c>
      <c r="B534" s="36" t="str">
        <f t="shared" si="1256"/>
        <v>Буровой станок</v>
      </c>
      <c r="C534" s="36">
        <f t="shared" si="1257"/>
        <v>12</v>
      </c>
      <c r="D534" s="88" t="str">
        <f>D518</f>
        <v>Буровой станок</v>
      </c>
      <c r="E534" s="9" t="str">
        <f>E533</f>
        <v>руб/м3</v>
      </c>
      <c r="F534" s="29"/>
      <c r="G534" s="107">
        <f>G518/'ФОТ, МТР, макро'!AJ$15/(G449/G444)</f>
        <v>0</v>
      </c>
      <c r="H534" s="107">
        <f>H518/'ФОТ, МТР, макро'!AK$15/(H449/H444)</f>
        <v>0</v>
      </c>
      <c r="I534" s="107">
        <f>I518/'ФОТ, МТР, макро'!AL$15/(I449/I444)</f>
        <v>0</v>
      </c>
      <c r="J534" s="107">
        <f>J518/'ФОТ, МТР, макро'!AM$15/(J449/J444)</f>
        <v>0</v>
      </c>
      <c r="K534" s="107">
        <f>K518/'ФОТ, МТР, макро'!AN$15/(K449/K444)</f>
        <v>0</v>
      </c>
      <c r="L534" s="107">
        <f>L518/'ФОТ, МТР, макро'!AO$15/(L449/L444)</f>
        <v>0</v>
      </c>
      <c r="M534" s="107">
        <f>M518/'ФОТ, МТР, макро'!AP$15/(M449/M444)</f>
        <v>0</v>
      </c>
      <c r="N534" s="107">
        <f>N518/'ФОТ, МТР, макро'!AQ$15/(N449/N444)</f>
        <v>0</v>
      </c>
      <c r="O534" s="107">
        <f>O518/'ФОТ, МТР, макро'!AR$15/(O449/O444)</f>
        <v>0</v>
      </c>
      <c r="P534" s="107">
        <f>P518/'ФОТ, МТР, макро'!AS$15/(P449/P444)</f>
        <v>0</v>
      </c>
      <c r="Q534" s="107">
        <f>Q518/'ФОТ, МТР, макро'!AT$15/(Q449/Q444)</f>
        <v>0</v>
      </c>
      <c r="R534" s="107">
        <f>R518/'ФОТ, МТР, макро'!AU$15/(R449/R444)</f>
        <v>0</v>
      </c>
      <c r="S534" s="107" t="e">
        <f>S518/'ФОТ, МТР, макро'!AV$15/(S449/S444)</f>
        <v>#DIV/0!</v>
      </c>
      <c r="T534" s="107" t="e">
        <f>T518/'ФОТ, МТР, макро'!AW$15/(T449/T444)</f>
        <v>#DIV/0!</v>
      </c>
      <c r="U534" s="107" t="e">
        <f>U518/'ФОТ, МТР, макро'!AX$15/(U449/U444)</f>
        <v>#DIV/0!</v>
      </c>
      <c r="V534" s="107" t="e">
        <f>V518/'ФОТ, МТР, макро'!AY$15/(V449/V444)</f>
        <v>#DIV/0!</v>
      </c>
      <c r="W534" s="107" t="e">
        <f>W518/'ФОТ, МТР, макро'!AZ$15/(W449/W444)</f>
        <v>#DIV/0!</v>
      </c>
      <c r="X534" s="107" t="e">
        <f>X518/'ФОТ, МТР, макро'!BA$15/(X449/X444)</f>
        <v>#DIV/0!</v>
      </c>
      <c r="Y534" s="107" t="e">
        <f>Y518/'ФОТ, МТР, макро'!BB$15/(Y449/Y444)</f>
        <v>#DIV/0!</v>
      </c>
      <c r="Z534" s="107" t="e">
        <f>Z518/'ФОТ, МТР, макро'!BC$15/(Z449/Z444)</f>
        <v>#DIV/0!</v>
      </c>
      <c r="AA534" s="175"/>
      <c r="AC534" s="104" cm="1">
        <f t="array" ref="AC534">INDEX(G534:Z534,1,$C534)</f>
        <v>0</v>
      </c>
    </row>
    <row r="535" spans="1:29" outlineLevel="1" x14ac:dyDescent="0.25">
      <c r="A535" s="36" t="str">
        <f t="shared" si="1213"/>
        <v>Sunward SWDRT270B</v>
      </c>
      <c r="B535" s="36" t="str">
        <f t="shared" si="1256"/>
        <v>Аннуитет общий</v>
      </c>
      <c r="C535" s="36">
        <f t="shared" si="1257"/>
        <v>12</v>
      </c>
      <c r="D535" s="95" t="s">
        <v>75</v>
      </c>
      <c r="E535" s="105" t="str">
        <f>E523</f>
        <v>руб/м3</v>
      </c>
      <c r="F535" s="106"/>
      <c r="G535" s="98">
        <f>G521/'ФОТ, МТР, макро'!AJ$15/(G449/G444)</f>
        <v>8.6252684143688363</v>
      </c>
      <c r="H535" s="98">
        <f>H521/'ФОТ, МТР, макро'!AK$15/(H449/H444)</f>
        <v>11.554044504282599</v>
      </c>
      <c r="I535" s="98">
        <f>I521/'ФОТ, МТР, макро'!AL$15/(I449/I444)</f>
        <v>12.510556051425251</v>
      </c>
      <c r="J535" s="98">
        <f>J521/'ФОТ, МТР, макро'!AM$15/(J449/J444)</f>
        <v>12.65120270323346</v>
      </c>
      <c r="K535" s="98">
        <f>K521/'ФОТ, МТР, макро'!AN$15/(K449/K444)</f>
        <v>12.774953758778166</v>
      </c>
      <c r="L535" s="98">
        <f>L521/'ФОТ, МТР, макро'!AO$15/(L449/L444)</f>
        <v>13.3904056412755</v>
      </c>
      <c r="M535" s="98">
        <f>M521/'ФОТ, МТР, макро'!AP$15/(M449/M444)</f>
        <v>13.605885901977439</v>
      </c>
      <c r="N535" s="98">
        <f>N521/'ФОТ, МТР, макро'!AQ$15/(N449/N444)</f>
        <v>13.516429401734943</v>
      </c>
      <c r="O535" s="98">
        <f>O521/'ФОТ, МТР, макро'!AR$15/(O449/O444)</f>
        <v>13.544700436798372</v>
      </c>
      <c r="P535" s="98">
        <f>P521/'ФОТ, МТР, макро'!AS$15/(P449/P444)</f>
        <v>13.671703302490171</v>
      </c>
      <c r="Q535" s="98">
        <f>Q521/'ФОТ, МТР, макро'!AT$15/(Q449/Q444)</f>
        <v>13.605380125239252</v>
      </c>
      <c r="R535" s="98">
        <f>R521/'ФОТ, МТР, макро'!AU$15/(R449/R444)</f>
        <v>13.627809750923111</v>
      </c>
      <c r="S535" s="98" t="e">
        <f>S521/'ФОТ, МТР, макро'!AV$15/(S449/S444)</f>
        <v>#DIV/0!</v>
      </c>
      <c r="T535" s="98" t="e">
        <f>T521/'ФОТ, МТР, макро'!AW$15/(T449/T444)</f>
        <v>#DIV/0!</v>
      </c>
      <c r="U535" s="98" t="e">
        <f>U521/'ФОТ, МТР, макро'!AX$15/(U449/U444)</f>
        <v>#DIV/0!</v>
      </c>
      <c r="V535" s="98" t="e">
        <f>V521/'ФОТ, МТР, макро'!AY$15/(V449/V444)</f>
        <v>#DIV/0!</v>
      </c>
      <c r="W535" s="98" t="e">
        <f>W521/'ФОТ, МТР, макро'!AZ$15/(W449/W444)</f>
        <v>#DIV/0!</v>
      </c>
      <c r="X535" s="98" t="e">
        <f>X521/'ФОТ, МТР, макро'!BA$15/(X449/X444)</f>
        <v>#DIV/0!</v>
      </c>
      <c r="Y535" s="98" t="e">
        <f>Y521/'ФОТ, МТР, макро'!BB$15/(Y449/Y444)</f>
        <v>#DIV/0!</v>
      </c>
      <c r="Z535" s="98" t="e">
        <f>Z521/'ФОТ, МТР, макро'!BC$15/(Z449/Z444)</f>
        <v>#DIV/0!</v>
      </c>
      <c r="AA535" s="175"/>
      <c r="AC535" s="99" cm="1">
        <f t="array" ref="AC535">INDEX(G535:Z535,1,$C535)</f>
        <v>13.627809750923111</v>
      </c>
    </row>
    <row r="536" spans="1:29" outlineLevel="1" x14ac:dyDescent="0.25">
      <c r="A536" s="36" t="str">
        <f t="shared" si="1213"/>
        <v>Sunward SWDRT270B</v>
      </c>
      <c r="B536" s="36"/>
      <c r="D536" s="108"/>
      <c r="E536" s="12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75"/>
    </row>
    <row r="537" spans="1:29" outlineLevel="1" x14ac:dyDescent="0.25">
      <c r="A537" s="36" t="str">
        <f t="shared" si="1213"/>
        <v>Sunward SWDRT270B</v>
      </c>
      <c r="B537" s="36"/>
      <c r="D537" s="110" t="s">
        <v>67</v>
      </c>
      <c r="E537" s="111"/>
      <c r="F537" s="112"/>
      <c r="G537" s="113">
        <f>G535-G523-G533+G523-SUM(G524:G532)+G533-G534</f>
        <v>0</v>
      </c>
      <c r="H537" s="113">
        <f t="shared" ref="H537:Z537" si="1260">H535-H523-H533+H523-SUM(H524:H532)+H533-H534</f>
        <v>-1.7763568394002505E-15</v>
      </c>
      <c r="I537" s="113">
        <f t="shared" si="1260"/>
        <v>0</v>
      </c>
      <c r="J537" s="113">
        <f t="shared" si="1260"/>
        <v>-1.7763568394002505E-15</v>
      </c>
      <c r="K537" s="113">
        <f t="shared" si="1260"/>
        <v>-5.3290705182007514E-15</v>
      </c>
      <c r="L537" s="113">
        <f t="shared" si="1260"/>
        <v>0</v>
      </c>
      <c r="M537" s="113">
        <f t="shared" si="1260"/>
        <v>-1.7763568394002505E-15</v>
      </c>
      <c r="N537" s="113">
        <f t="shared" si="1260"/>
        <v>-1.7763568394002505E-15</v>
      </c>
      <c r="O537" s="113">
        <f t="shared" si="1260"/>
        <v>0</v>
      </c>
      <c r="P537" s="113">
        <f t="shared" si="1260"/>
        <v>1.7763568394002505E-15</v>
      </c>
      <c r="Q537" s="113">
        <f t="shared" si="1260"/>
        <v>-1.7763568394002505E-15</v>
      </c>
      <c r="R537" s="113">
        <f t="shared" si="1260"/>
        <v>-1.7763568394002505E-15</v>
      </c>
      <c r="S537" s="113" t="e">
        <f t="shared" si="1260"/>
        <v>#DIV/0!</v>
      </c>
      <c r="T537" s="113" t="e">
        <f t="shared" si="1260"/>
        <v>#DIV/0!</v>
      </c>
      <c r="U537" s="113" t="e">
        <f t="shared" si="1260"/>
        <v>#DIV/0!</v>
      </c>
      <c r="V537" s="113" t="e">
        <f t="shared" si="1260"/>
        <v>#DIV/0!</v>
      </c>
      <c r="W537" s="113" t="e">
        <f t="shared" si="1260"/>
        <v>#DIV/0!</v>
      </c>
      <c r="X537" s="113" t="e">
        <f t="shared" si="1260"/>
        <v>#DIV/0!</v>
      </c>
      <c r="Y537" s="113" t="e">
        <f t="shared" si="1260"/>
        <v>#DIV/0!</v>
      </c>
      <c r="Z537" s="113" t="e">
        <f t="shared" si="1260"/>
        <v>#DIV/0!</v>
      </c>
      <c r="AA537" s="175"/>
    </row>
    <row r="538" spans="1:29" outlineLevel="1" x14ac:dyDescent="0.25">
      <c r="A538" s="36" t="str">
        <f t="shared" si="1213"/>
        <v>Sunward SWDRT270B</v>
      </c>
      <c r="B538" s="36"/>
      <c r="D538" s="112"/>
      <c r="E538" s="111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75"/>
    </row>
    <row r="539" spans="1:29" outlineLevel="1" x14ac:dyDescent="0.25">
      <c r="A539" s="36" t="str">
        <f t="shared" si="1213"/>
        <v>Sunward SWDRT270B</v>
      </c>
      <c r="B539" s="36"/>
      <c r="D539" s="114" t="s">
        <v>76</v>
      </c>
      <c r="E539" s="115" t="str">
        <f>E535</f>
        <v>руб/м3</v>
      </c>
      <c r="F539" s="116"/>
      <c r="G539" s="117">
        <f>SUM(G540:G547)</f>
        <v>11.500357885825116</v>
      </c>
      <c r="H539" s="117">
        <f t="shared" ref="H539:Z539" si="1261">SUM(H540:H547)</f>
        <v>19.843137957106677</v>
      </c>
      <c r="I539" s="117">
        <f t="shared" si="1261"/>
        <v>19.788389378813285</v>
      </c>
      <c r="J539" s="117">
        <f t="shared" si="1261"/>
        <v>17.603444070205487</v>
      </c>
      <c r="K539" s="117">
        <f t="shared" si="1261"/>
        <v>17.778817390778734</v>
      </c>
      <c r="L539" s="117">
        <f t="shared" si="1261"/>
        <v>23.646723418712899</v>
      </c>
      <c r="M539" s="117">
        <f t="shared" si="1261"/>
        <v>20.024766928925686</v>
      </c>
      <c r="N539" s="117">
        <f t="shared" si="1261"/>
        <v>17.253680996744112</v>
      </c>
      <c r="O539" s="117">
        <f t="shared" si="1261"/>
        <v>18.273279467582618</v>
      </c>
      <c r="P539" s="117">
        <f t="shared" si="1261"/>
        <v>19.802449537899928</v>
      </c>
      <c r="Q539" s="117">
        <f t="shared" si="1261"/>
        <v>17.35349632409828</v>
      </c>
      <c r="R539" s="117">
        <f t="shared" si="1261"/>
        <v>20.302983872469614</v>
      </c>
      <c r="S539" s="117" t="e">
        <f t="shared" si="1261"/>
        <v>#DIV/0!</v>
      </c>
      <c r="T539" s="117" t="e">
        <f t="shared" si="1261"/>
        <v>#DIV/0!</v>
      </c>
      <c r="U539" s="117" t="e">
        <f t="shared" si="1261"/>
        <v>#DIV/0!</v>
      </c>
      <c r="V539" s="117" t="e">
        <f t="shared" si="1261"/>
        <v>#DIV/0!</v>
      </c>
      <c r="W539" s="117" t="e">
        <f t="shared" si="1261"/>
        <v>#DIV/0!</v>
      </c>
      <c r="X539" s="117" t="e">
        <f t="shared" si="1261"/>
        <v>#DIV/0!</v>
      </c>
      <c r="Y539" s="117" t="e">
        <f t="shared" si="1261"/>
        <v>#DIV/0!</v>
      </c>
      <c r="Z539" s="117" t="e">
        <f t="shared" si="1261"/>
        <v>#DIV/0!</v>
      </c>
      <c r="AA539" s="175"/>
    </row>
    <row r="540" spans="1:29" outlineLevel="1" x14ac:dyDescent="0.25">
      <c r="A540" s="36" t="str">
        <f t="shared" si="1213"/>
        <v>Sunward SWDRT270B</v>
      </c>
      <c r="B540" s="36"/>
      <c r="D540" s="100" t="str">
        <f>D524</f>
        <v>ТО, ТР, ППР</v>
      </c>
      <c r="E540" s="101" t="str">
        <f>E539</f>
        <v>руб/м3</v>
      </c>
      <c r="F540" s="102"/>
      <c r="G540" s="103">
        <f t="shared" ref="G540:Z540" si="1262">G452/G448</f>
        <v>4.245198186739696</v>
      </c>
      <c r="H540" s="103">
        <f t="shared" si="1262"/>
        <v>12.453139438482777</v>
      </c>
      <c r="I540" s="103">
        <f t="shared" si="1262"/>
        <v>11.90871326903714</v>
      </c>
      <c r="J540" s="103">
        <f t="shared" si="1262"/>
        <v>10.217969093469275</v>
      </c>
      <c r="K540" s="103">
        <f t="shared" si="1262"/>
        <v>10.340243303262666</v>
      </c>
      <c r="L540" s="103">
        <f t="shared" si="1262"/>
        <v>15.514403252048407</v>
      </c>
      <c r="M540" s="103">
        <f t="shared" si="1262"/>
        <v>11.822995672283357</v>
      </c>
      <c r="N540" s="103">
        <f t="shared" si="1262"/>
        <v>10.022758266507198</v>
      </c>
      <c r="O540" s="103">
        <f t="shared" si="1262"/>
        <v>10.484798798555472</v>
      </c>
      <c r="P540" s="103">
        <f t="shared" si="1262"/>
        <v>11.658413219262304</v>
      </c>
      <c r="Q540" s="103">
        <f t="shared" si="1262"/>
        <v>10.141032677950783</v>
      </c>
      <c r="R540" s="103">
        <f t="shared" si="1262"/>
        <v>13.337224810129188</v>
      </c>
      <c r="S540" s="103" t="e">
        <f t="shared" si="1262"/>
        <v>#DIV/0!</v>
      </c>
      <c r="T540" s="103" t="e">
        <f t="shared" si="1262"/>
        <v>#DIV/0!</v>
      </c>
      <c r="U540" s="103" t="e">
        <f t="shared" si="1262"/>
        <v>#DIV/0!</v>
      </c>
      <c r="V540" s="103" t="e">
        <f t="shared" si="1262"/>
        <v>#DIV/0!</v>
      </c>
      <c r="W540" s="103" t="e">
        <f t="shared" si="1262"/>
        <v>#DIV/0!</v>
      </c>
      <c r="X540" s="103" t="e">
        <f t="shared" si="1262"/>
        <v>#DIV/0!</v>
      </c>
      <c r="Y540" s="103" t="e">
        <f t="shared" si="1262"/>
        <v>#DIV/0!</v>
      </c>
      <c r="Z540" s="103" t="e">
        <f t="shared" si="1262"/>
        <v>#DIV/0!</v>
      </c>
      <c r="AA540" s="175"/>
    </row>
    <row r="541" spans="1:29" outlineLevel="1" x14ac:dyDescent="0.25">
      <c r="A541" s="36" t="str">
        <f t="shared" si="1213"/>
        <v>Sunward SWDRT270B</v>
      </c>
      <c r="B541" s="36"/>
      <c r="D541" s="100" t="str">
        <f t="shared" ref="D541:D547" si="1263">D525</f>
        <v>Смазочные</v>
      </c>
      <c r="E541" s="101" t="str">
        <f t="shared" ref="E541:E547" si="1264">E540</f>
        <v>руб/м3</v>
      </c>
      <c r="F541" s="102"/>
      <c r="G541" s="103">
        <f t="shared" ref="G541:Z541" si="1265">G457/G448</f>
        <v>0</v>
      </c>
      <c r="H541" s="103">
        <f t="shared" si="1265"/>
        <v>0</v>
      </c>
      <c r="I541" s="103">
        <f t="shared" si="1265"/>
        <v>0</v>
      </c>
      <c r="J541" s="103">
        <f t="shared" si="1265"/>
        <v>0</v>
      </c>
      <c r="K541" s="103">
        <f t="shared" si="1265"/>
        <v>0</v>
      </c>
      <c r="L541" s="103">
        <f t="shared" si="1265"/>
        <v>0</v>
      </c>
      <c r="M541" s="103">
        <f t="shared" si="1265"/>
        <v>0</v>
      </c>
      <c r="N541" s="103">
        <f t="shared" si="1265"/>
        <v>0</v>
      </c>
      <c r="O541" s="103">
        <f t="shared" si="1265"/>
        <v>0</v>
      </c>
      <c r="P541" s="103">
        <f t="shared" si="1265"/>
        <v>0</v>
      </c>
      <c r="Q541" s="103">
        <f t="shared" si="1265"/>
        <v>0</v>
      </c>
      <c r="R541" s="103">
        <f t="shared" si="1265"/>
        <v>0</v>
      </c>
      <c r="S541" s="103" t="e">
        <f t="shared" si="1265"/>
        <v>#DIV/0!</v>
      </c>
      <c r="T541" s="103" t="e">
        <f t="shared" si="1265"/>
        <v>#DIV/0!</v>
      </c>
      <c r="U541" s="103" t="e">
        <f t="shared" si="1265"/>
        <v>#DIV/0!</v>
      </c>
      <c r="V541" s="103" t="e">
        <f t="shared" si="1265"/>
        <v>#DIV/0!</v>
      </c>
      <c r="W541" s="103" t="e">
        <f t="shared" si="1265"/>
        <v>#DIV/0!</v>
      </c>
      <c r="X541" s="103" t="e">
        <f t="shared" si="1265"/>
        <v>#DIV/0!</v>
      </c>
      <c r="Y541" s="103" t="e">
        <f t="shared" si="1265"/>
        <v>#DIV/0!</v>
      </c>
      <c r="Z541" s="103" t="e">
        <f t="shared" si="1265"/>
        <v>#DIV/0!</v>
      </c>
      <c r="AA541" s="175"/>
    </row>
    <row r="542" spans="1:29" outlineLevel="1" x14ac:dyDescent="0.25">
      <c r="A542" s="36" t="str">
        <f t="shared" si="1213"/>
        <v>Sunward SWDRT270B</v>
      </c>
      <c r="B542" s="36"/>
      <c r="D542" s="100" t="str">
        <f t="shared" si="1263"/>
        <v>Долота</v>
      </c>
      <c r="E542" s="101" t="str">
        <f t="shared" si="1264"/>
        <v>руб/м3</v>
      </c>
      <c r="F542" s="102"/>
      <c r="G542" s="103">
        <f t="shared" ref="G542:Z542" si="1266">G459/G448</f>
        <v>0</v>
      </c>
      <c r="H542" s="103">
        <f t="shared" si="1266"/>
        <v>0</v>
      </c>
      <c r="I542" s="103">
        <f t="shared" si="1266"/>
        <v>0</v>
      </c>
      <c r="J542" s="103">
        <f t="shared" si="1266"/>
        <v>0</v>
      </c>
      <c r="K542" s="103">
        <f t="shared" si="1266"/>
        <v>0</v>
      </c>
      <c r="L542" s="103">
        <f t="shared" si="1266"/>
        <v>0</v>
      </c>
      <c r="M542" s="103">
        <f t="shared" si="1266"/>
        <v>0</v>
      </c>
      <c r="N542" s="103">
        <f t="shared" si="1266"/>
        <v>0</v>
      </c>
      <c r="O542" s="103">
        <f t="shared" si="1266"/>
        <v>0</v>
      </c>
      <c r="P542" s="103">
        <f t="shared" si="1266"/>
        <v>0</v>
      </c>
      <c r="Q542" s="103">
        <f t="shared" si="1266"/>
        <v>0</v>
      </c>
      <c r="R542" s="103">
        <f t="shared" si="1266"/>
        <v>0</v>
      </c>
      <c r="S542" s="103" t="e">
        <f t="shared" si="1266"/>
        <v>#DIV/0!</v>
      </c>
      <c r="T542" s="103" t="e">
        <f t="shared" si="1266"/>
        <v>#DIV/0!</v>
      </c>
      <c r="U542" s="103" t="e">
        <f t="shared" si="1266"/>
        <v>#DIV/0!</v>
      </c>
      <c r="V542" s="103" t="e">
        <f t="shared" si="1266"/>
        <v>#DIV/0!</v>
      </c>
      <c r="W542" s="103" t="e">
        <f t="shared" si="1266"/>
        <v>#DIV/0!</v>
      </c>
      <c r="X542" s="103" t="e">
        <f t="shared" si="1266"/>
        <v>#DIV/0!</v>
      </c>
      <c r="Y542" s="103" t="e">
        <f t="shared" si="1266"/>
        <v>#DIV/0!</v>
      </c>
      <c r="Z542" s="103" t="e">
        <f t="shared" si="1266"/>
        <v>#DIV/0!</v>
      </c>
      <c r="AA542" s="175"/>
    </row>
    <row r="543" spans="1:29" outlineLevel="1" x14ac:dyDescent="0.25">
      <c r="A543" s="36" t="str">
        <f t="shared" si="1213"/>
        <v>Sunward SWDRT270B</v>
      </c>
      <c r="B543" s="36"/>
      <c r="D543" s="100" t="str">
        <f t="shared" si="1263"/>
        <v>Штанги буровые</v>
      </c>
      <c r="E543" s="101" t="str">
        <f t="shared" si="1264"/>
        <v>руб/м3</v>
      </c>
      <c r="F543" s="102"/>
      <c r="G543" s="103">
        <f t="shared" ref="G543:Z543" si="1267">G463/G448</f>
        <v>0</v>
      </c>
      <c r="H543" s="103">
        <f t="shared" si="1267"/>
        <v>0</v>
      </c>
      <c r="I543" s="103">
        <f t="shared" si="1267"/>
        <v>0</v>
      </c>
      <c r="J543" s="103">
        <f t="shared" si="1267"/>
        <v>0</v>
      </c>
      <c r="K543" s="103">
        <f t="shared" si="1267"/>
        <v>0</v>
      </c>
      <c r="L543" s="103">
        <f t="shared" si="1267"/>
        <v>0</v>
      </c>
      <c r="M543" s="103">
        <f t="shared" si="1267"/>
        <v>0</v>
      </c>
      <c r="N543" s="103">
        <f t="shared" si="1267"/>
        <v>0</v>
      </c>
      <c r="O543" s="103">
        <f t="shared" si="1267"/>
        <v>0</v>
      </c>
      <c r="P543" s="103">
        <f t="shared" si="1267"/>
        <v>0</v>
      </c>
      <c r="Q543" s="103">
        <f t="shared" si="1267"/>
        <v>0</v>
      </c>
      <c r="R543" s="103">
        <f t="shared" si="1267"/>
        <v>0</v>
      </c>
      <c r="S543" s="103" t="e">
        <f t="shared" si="1267"/>
        <v>#DIV/0!</v>
      </c>
      <c r="T543" s="103" t="e">
        <f t="shared" si="1267"/>
        <v>#DIV/0!</v>
      </c>
      <c r="U543" s="103" t="e">
        <f t="shared" si="1267"/>
        <v>#DIV/0!</v>
      </c>
      <c r="V543" s="103" t="e">
        <f t="shared" si="1267"/>
        <v>#DIV/0!</v>
      </c>
      <c r="W543" s="103" t="e">
        <f t="shared" si="1267"/>
        <v>#DIV/0!</v>
      </c>
      <c r="X543" s="103" t="e">
        <f t="shared" si="1267"/>
        <v>#DIV/0!</v>
      </c>
      <c r="Y543" s="103" t="e">
        <f t="shared" si="1267"/>
        <v>#DIV/0!</v>
      </c>
      <c r="Z543" s="103" t="e">
        <f t="shared" si="1267"/>
        <v>#DIV/0!</v>
      </c>
      <c r="AA543" s="175"/>
    </row>
    <row r="544" spans="1:29" outlineLevel="1" x14ac:dyDescent="0.25">
      <c r="A544" s="36" t="str">
        <f t="shared" si="1213"/>
        <v>Sunward SWDRT270B</v>
      </c>
      <c r="B544" s="36"/>
      <c r="D544" s="100" t="str">
        <f t="shared" si="1263"/>
        <v>Расходники</v>
      </c>
      <c r="E544" s="101" t="str">
        <f t="shared" si="1264"/>
        <v>руб/м3</v>
      </c>
      <c r="F544" s="102"/>
      <c r="G544" s="103">
        <f t="shared" ref="G544:Z544" si="1268">G467/G448</f>
        <v>0</v>
      </c>
      <c r="H544" s="103">
        <f t="shared" si="1268"/>
        <v>0</v>
      </c>
      <c r="I544" s="103">
        <f t="shared" si="1268"/>
        <v>0</v>
      </c>
      <c r="J544" s="103">
        <f t="shared" si="1268"/>
        <v>0</v>
      </c>
      <c r="K544" s="103">
        <f t="shared" si="1268"/>
        <v>0</v>
      </c>
      <c r="L544" s="103">
        <f t="shared" si="1268"/>
        <v>0</v>
      </c>
      <c r="M544" s="103">
        <f t="shared" si="1268"/>
        <v>0</v>
      </c>
      <c r="N544" s="103">
        <f t="shared" si="1268"/>
        <v>0</v>
      </c>
      <c r="O544" s="103">
        <f t="shared" si="1268"/>
        <v>0</v>
      </c>
      <c r="P544" s="103">
        <f t="shared" si="1268"/>
        <v>0</v>
      </c>
      <c r="Q544" s="103">
        <f t="shared" si="1268"/>
        <v>0</v>
      </c>
      <c r="R544" s="103">
        <f t="shared" si="1268"/>
        <v>0</v>
      </c>
      <c r="S544" s="103" t="e">
        <f t="shared" si="1268"/>
        <v>#DIV/0!</v>
      </c>
      <c r="T544" s="103" t="e">
        <f t="shared" si="1268"/>
        <v>#DIV/0!</v>
      </c>
      <c r="U544" s="103" t="e">
        <f t="shared" si="1268"/>
        <v>#DIV/0!</v>
      </c>
      <c r="V544" s="103" t="e">
        <f t="shared" si="1268"/>
        <v>#DIV/0!</v>
      </c>
      <c r="W544" s="103" t="e">
        <f t="shared" si="1268"/>
        <v>#DIV/0!</v>
      </c>
      <c r="X544" s="103" t="e">
        <f t="shared" si="1268"/>
        <v>#DIV/0!</v>
      </c>
      <c r="Y544" s="103" t="e">
        <f t="shared" si="1268"/>
        <v>#DIV/0!</v>
      </c>
      <c r="Z544" s="103" t="e">
        <f t="shared" si="1268"/>
        <v>#DIV/0!</v>
      </c>
      <c r="AA544" s="175"/>
    </row>
    <row r="545" spans="1:27" outlineLevel="1" x14ac:dyDescent="0.25">
      <c r="A545" s="36" t="str">
        <f t="shared" si="1213"/>
        <v>Sunward SWDRT270B</v>
      </c>
      <c r="B545" s="36"/>
      <c r="D545" s="100" t="str">
        <f t="shared" si="1263"/>
        <v>Топливо/Электроэнергия</v>
      </c>
      <c r="E545" s="101" t="str">
        <f t="shared" si="1264"/>
        <v>руб/м3</v>
      </c>
      <c r="F545" s="102"/>
      <c r="G545" s="103">
        <f t="shared" ref="G545:Z545" si="1269">G469/G448</f>
        <v>4.847077590276653</v>
      </c>
      <c r="H545" s="103">
        <f t="shared" si="1269"/>
        <v>4.9371616473604272</v>
      </c>
      <c r="I545" s="103">
        <f t="shared" si="1269"/>
        <v>5.2453848214392345</v>
      </c>
      <c r="J545" s="103">
        <f t="shared" si="1269"/>
        <v>4.9164023752230053</v>
      </c>
      <c r="K545" s="103">
        <f t="shared" si="1269"/>
        <v>4.858402817261644</v>
      </c>
      <c r="L545" s="103">
        <f t="shared" si="1269"/>
        <v>5.3736443069457254</v>
      </c>
      <c r="M545" s="103">
        <f t="shared" si="1269"/>
        <v>5.313508407082062</v>
      </c>
      <c r="N545" s="103">
        <f t="shared" si="1269"/>
        <v>4.7780222577290825</v>
      </c>
      <c r="O545" s="103">
        <f t="shared" si="1269"/>
        <v>5.1464433211119562</v>
      </c>
      <c r="P545" s="103">
        <f t="shared" si="1269"/>
        <v>5.2761048915643736</v>
      </c>
      <c r="Q545" s="103">
        <f t="shared" si="1269"/>
        <v>4.7477289523436772</v>
      </c>
      <c r="R545" s="103">
        <f t="shared" si="1269"/>
        <v>4.585331392691181</v>
      </c>
      <c r="S545" s="103" t="e">
        <f t="shared" si="1269"/>
        <v>#DIV/0!</v>
      </c>
      <c r="T545" s="103" t="e">
        <f t="shared" si="1269"/>
        <v>#DIV/0!</v>
      </c>
      <c r="U545" s="103" t="e">
        <f t="shared" si="1269"/>
        <v>#DIV/0!</v>
      </c>
      <c r="V545" s="103" t="e">
        <f t="shared" si="1269"/>
        <v>#DIV/0!</v>
      </c>
      <c r="W545" s="103" t="e">
        <f t="shared" si="1269"/>
        <v>#DIV/0!</v>
      </c>
      <c r="X545" s="103" t="e">
        <f t="shared" si="1269"/>
        <v>#DIV/0!</v>
      </c>
      <c r="Y545" s="103" t="e">
        <f t="shared" si="1269"/>
        <v>#DIV/0!</v>
      </c>
      <c r="Z545" s="103" t="e">
        <f t="shared" si="1269"/>
        <v>#DIV/0!</v>
      </c>
      <c r="AA545" s="175"/>
    </row>
    <row r="546" spans="1:27" outlineLevel="1" x14ac:dyDescent="0.25">
      <c r="A546" s="36" t="str">
        <f t="shared" si="1213"/>
        <v>Sunward SWDRT270B</v>
      </c>
      <c r="B546" s="36"/>
      <c r="D546" s="100" t="str">
        <f t="shared" si="1263"/>
        <v>Затраты на персонал</v>
      </c>
      <c r="E546" s="101" t="str">
        <f t="shared" si="1264"/>
        <v>руб/м3</v>
      </c>
      <c r="F546" s="102"/>
      <c r="G546" s="103">
        <f t="shared" ref="G546:Z546" si="1270">G478/G448</f>
        <v>2.4062441263088985</v>
      </c>
      <c r="H546" s="103">
        <f t="shared" si="1270"/>
        <v>2.4509647294341179</v>
      </c>
      <c r="I546" s="103">
        <f t="shared" si="1270"/>
        <v>2.6322806503815825</v>
      </c>
      <c r="J546" s="103">
        <f t="shared" si="1270"/>
        <v>2.4671880676694959</v>
      </c>
      <c r="K546" s="103">
        <f t="shared" si="1270"/>
        <v>2.578201939713725</v>
      </c>
      <c r="L546" s="103">
        <f t="shared" si="1270"/>
        <v>2.756570284524956</v>
      </c>
      <c r="M546" s="103">
        <f t="shared" si="1270"/>
        <v>2.8860583663522021</v>
      </c>
      <c r="N546" s="103">
        <f t="shared" si="1270"/>
        <v>2.4510282821344651</v>
      </c>
      <c r="O546" s="103">
        <f t="shared" si="1270"/>
        <v>2.6400207977354002</v>
      </c>
      <c r="P546" s="103">
        <f t="shared" si="1270"/>
        <v>2.8657424619401692</v>
      </c>
      <c r="Q546" s="103">
        <f t="shared" si="1270"/>
        <v>2.4628534708930792</v>
      </c>
      <c r="R546" s="103">
        <f t="shared" si="1270"/>
        <v>2.3786107945588966</v>
      </c>
      <c r="S546" s="103" t="e">
        <f t="shared" si="1270"/>
        <v>#DIV/0!</v>
      </c>
      <c r="T546" s="103" t="e">
        <f t="shared" si="1270"/>
        <v>#DIV/0!</v>
      </c>
      <c r="U546" s="103" t="e">
        <f t="shared" si="1270"/>
        <v>#DIV/0!</v>
      </c>
      <c r="V546" s="103" t="e">
        <f t="shared" si="1270"/>
        <v>#DIV/0!</v>
      </c>
      <c r="W546" s="103" t="e">
        <f t="shared" si="1270"/>
        <v>#DIV/0!</v>
      </c>
      <c r="X546" s="103" t="e">
        <f t="shared" si="1270"/>
        <v>#DIV/0!</v>
      </c>
      <c r="Y546" s="103" t="e">
        <f t="shared" si="1270"/>
        <v>#DIV/0!</v>
      </c>
      <c r="Z546" s="103" t="e">
        <f t="shared" si="1270"/>
        <v>#DIV/0!</v>
      </c>
      <c r="AA546" s="175"/>
    </row>
    <row r="547" spans="1:27" outlineLevel="1" x14ac:dyDescent="0.25">
      <c r="A547" s="36" t="str">
        <f t="shared" si="1213"/>
        <v>Sunward SWDRT270B</v>
      </c>
      <c r="B547" s="36"/>
      <c r="D547" s="100" t="str">
        <f t="shared" si="1263"/>
        <v>Транспортный налог</v>
      </c>
      <c r="E547" s="101" t="str">
        <f t="shared" si="1264"/>
        <v>руб/м3</v>
      </c>
      <c r="F547" s="102"/>
      <c r="G547" s="103">
        <f t="shared" ref="G547:Z547" si="1271">G481/G448</f>
        <v>1.8379824998684181E-3</v>
      </c>
      <c r="H547" s="103">
        <f t="shared" si="1271"/>
        <v>1.8721418293516654E-3</v>
      </c>
      <c r="I547" s="103">
        <f t="shared" si="1271"/>
        <v>2.0106379553287783E-3</v>
      </c>
      <c r="J547" s="103">
        <f t="shared" si="1271"/>
        <v>1.884533843711327E-3</v>
      </c>
      <c r="K547" s="103">
        <f t="shared" si="1271"/>
        <v>1.969330540700222E-3</v>
      </c>
      <c r="L547" s="103">
        <f t="shared" si="1271"/>
        <v>2.105575193812968E-3</v>
      </c>
      <c r="M547" s="103">
        <f t="shared" si="1271"/>
        <v>2.2044832080654903E-3</v>
      </c>
      <c r="N547" s="103">
        <f t="shared" si="1271"/>
        <v>1.8721903733667055E-3</v>
      </c>
      <c r="O547" s="103">
        <f t="shared" si="1271"/>
        <v>2.0165501797897861E-3</v>
      </c>
      <c r="P547" s="103">
        <f t="shared" si="1271"/>
        <v>2.188965133082968E-3</v>
      </c>
      <c r="Q547" s="103">
        <f t="shared" si="1271"/>
        <v>1.8812229107382618E-3</v>
      </c>
      <c r="R547" s="103">
        <f t="shared" si="1271"/>
        <v>1.8168750903523807E-3</v>
      </c>
      <c r="S547" s="103" t="e">
        <f t="shared" si="1271"/>
        <v>#DIV/0!</v>
      </c>
      <c r="T547" s="103" t="e">
        <f t="shared" si="1271"/>
        <v>#DIV/0!</v>
      </c>
      <c r="U547" s="103" t="e">
        <f t="shared" si="1271"/>
        <v>#DIV/0!</v>
      </c>
      <c r="V547" s="103" t="e">
        <f t="shared" si="1271"/>
        <v>#DIV/0!</v>
      </c>
      <c r="W547" s="103" t="e">
        <f t="shared" si="1271"/>
        <v>#DIV/0!</v>
      </c>
      <c r="X547" s="103" t="e">
        <f t="shared" si="1271"/>
        <v>#DIV/0!</v>
      </c>
      <c r="Y547" s="103" t="e">
        <f t="shared" si="1271"/>
        <v>#DIV/0!</v>
      </c>
      <c r="Z547" s="103" t="e">
        <f t="shared" si="1271"/>
        <v>#DIV/0!</v>
      </c>
      <c r="AA547" s="175"/>
    </row>
    <row r="548" spans="1:27" outlineLevel="1" x14ac:dyDescent="0.25">
      <c r="A548" s="36" t="str">
        <f t="shared" si="1213"/>
        <v>Sunward SWDRT270B</v>
      </c>
      <c r="B548" s="36"/>
      <c r="D548" s="108"/>
      <c r="E548" s="12"/>
      <c r="F548" s="109"/>
      <c r="G548" s="118">
        <f t="shared" ref="G548:Z548" si="1272">G539-(G451-G486)/G448</f>
        <v>0</v>
      </c>
      <c r="H548" s="118">
        <f t="shared" si="1272"/>
        <v>0</v>
      </c>
      <c r="I548" s="118">
        <f t="shared" si="1272"/>
        <v>0</v>
      </c>
      <c r="J548" s="118">
        <f t="shared" si="1272"/>
        <v>0</v>
      </c>
      <c r="K548" s="118">
        <f t="shared" si="1272"/>
        <v>0</v>
      </c>
      <c r="L548" s="118">
        <f t="shared" si="1272"/>
        <v>0</v>
      </c>
      <c r="M548" s="118">
        <f t="shared" si="1272"/>
        <v>0</v>
      </c>
      <c r="N548" s="118">
        <f t="shared" si="1272"/>
        <v>0</v>
      </c>
      <c r="O548" s="118">
        <f t="shared" si="1272"/>
        <v>0</v>
      </c>
      <c r="P548" s="118">
        <f t="shared" si="1272"/>
        <v>0</v>
      </c>
      <c r="Q548" s="118">
        <f t="shared" si="1272"/>
        <v>0</v>
      </c>
      <c r="R548" s="118">
        <f t="shared" si="1272"/>
        <v>0</v>
      </c>
      <c r="S548" s="118" t="e">
        <f t="shared" si="1272"/>
        <v>#DIV/0!</v>
      </c>
      <c r="T548" s="118" t="e">
        <f t="shared" si="1272"/>
        <v>#DIV/0!</v>
      </c>
      <c r="U548" s="118" t="e">
        <f t="shared" si="1272"/>
        <v>#DIV/0!</v>
      </c>
      <c r="V548" s="118" t="e">
        <f t="shared" si="1272"/>
        <v>#DIV/0!</v>
      </c>
      <c r="W548" s="118" t="e">
        <f t="shared" si="1272"/>
        <v>#DIV/0!</v>
      </c>
      <c r="X548" s="118" t="e">
        <f t="shared" si="1272"/>
        <v>#DIV/0!</v>
      </c>
      <c r="Y548" s="118" t="e">
        <f t="shared" si="1272"/>
        <v>#DIV/0!</v>
      </c>
      <c r="Z548" s="118" t="e">
        <f t="shared" si="1272"/>
        <v>#DIV/0!</v>
      </c>
      <c r="AA548" s="175"/>
    </row>
    <row r="549" spans="1:27" outlineLevel="1" x14ac:dyDescent="0.25">
      <c r="A549" s="2" t="s">
        <v>34</v>
      </c>
      <c r="AA549" s="175"/>
    </row>
    <row r="550" spans="1:27" x14ac:dyDescent="0.25">
      <c r="A550" s="2" t="s">
        <v>34</v>
      </c>
      <c r="AA550" s="175"/>
    </row>
  </sheetData>
  <autoFilter ref="A1:AC114" xr:uid="{258B067A-4FCE-4127-B7BC-1322746EDD23}"/>
  <conditionalFormatting sqref="G99:Z99">
    <cfRule type="cellIs" dxfId="18" priority="9" operator="equal">
      <formula>$AC$99</formula>
    </cfRule>
  </conditionalFormatting>
  <conditionalFormatting sqref="G208:Z208">
    <cfRule type="cellIs" dxfId="17" priority="4" operator="equal">
      <formula>$AC$208</formula>
    </cfRule>
  </conditionalFormatting>
  <conditionalFormatting sqref="G317:Z317">
    <cfRule type="cellIs" dxfId="16" priority="3" operator="equal">
      <formula>$AC$317</formula>
    </cfRule>
  </conditionalFormatting>
  <conditionalFormatting sqref="G426:Z426">
    <cfRule type="cellIs" dxfId="15" priority="2" operator="equal">
      <formula>$AC$426</formula>
    </cfRule>
  </conditionalFormatting>
  <conditionalFormatting sqref="G535:Z535">
    <cfRule type="cellIs" dxfId="14" priority="1" operator="equal">
      <formula>$AC$535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D488-BB80-4135-BE4D-70925F020D2A}">
  <sheetPr>
    <tabColor rgb="FFFF0000"/>
  </sheetPr>
  <dimension ref="A1:R60"/>
  <sheetViews>
    <sheetView showGridLines="0" zoomScaleNormal="100" workbookViewId="0">
      <selection activeCell="F43" sqref="F43:H43"/>
    </sheetView>
  </sheetViews>
  <sheetFormatPr defaultRowHeight="13.6" outlineLevelRow="1" outlineLevelCol="1" x14ac:dyDescent="0.25"/>
  <cols>
    <col min="1" max="1" width="10.5" style="2" customWidth="1" outlineLevel="1"/>
    <col min="2" max="2" width="2.875" style="2" customWidth="1"/>
    <col min="3" max="3" width="6" style="2" customWidth="1"/>
    <col min="4" max="4" width="45.125" style="2" customWidth="1"/>
    <col min="5" max="5" width="10.25" style="2" customWidth="1"/>
    <col min="6" max="13" width="14.5" style="2" customWidth="1"/>
    <col min="14" max="15" width="14.5" style="2" customWidth="1" outlineLevel="1"/>
    <col min="16" max="16" width="52.875" style="2" customWidth="1"/>
    <col min="17" max="17" width="2.75" style="2" customWidth="1"/>
    <col min="18" max="18" width="17.875" style="2" bestFit="1" customWidth="1"/>
    <col min="19" max="16384" width="9" style="2"/>
  </cols>
  <sheetData>
    <row r="1" spans="1:11" ht="14.3" x14ac:dyDescent="0.25">
      <c r="A1" s="1"/>
      <c r="B1" s="1"/>
    </row>
    <row r="2" spans="1:11" ht="14.3" x14ac:dyDescent="0.25">
      <c r="C2" s="3" t="s">
        <v>0</v>
      </c>
    </row>
    <row r="4" spans="1:11" x14ac:dyDescent="0.25">
      <c r="C4" s="4" t="s">
        <v>1</v>
      </c>
      <c r="G4" s="4" t="s">
        <v>2</v>
      </c>
    </row>
    <row r="5" spans="1:11" ht="27.2" x14ac:dyDescent="0.25">
      <c r="C5" s="236" t="s">
        <v>3</v>
      </c>
      <c r="D5" s="236" t="s">
        <v>211</v>
      </c>
      <c r="E5" s="236" t="s">
        <v>4</v>
      </c>
      <c r="G5" s="236" t="str">
        <f>C5</f>
        <v>№</v>
      </c>
      <c r="H5" s="929" t="str">
        <f>D5</f>
        <v>Марка станка</v>
      </c>
      <c r="I5" s="929"/>
      <c r="J5" s="929"/>
      <c r="K5" s="236" t="s">
        <v>5</v>
      </c>
    </row>
    <row r="6" spans="1:11" x14ac:dyDescent="0.25">
      <c r="C6" s="6">
        <v>1</v>
      </c>
      <c r="D6" s="237" t="str">
        <f t="shared" ref="D6:D15" si="0">IFERROR(HLOOKUP(E6,$F$58:$O$60,3,FALSE),"-")</f>
        <v>-</v>
      </c>
      <c r="E6" s="7" t="str">
        <f t="shared" ref="E6:E15" si="1">IFERROR(SMALL($F$58:$O$58,C6),"-")</f>
        <v>-</v>
      </c>
      <c r="G6" s="6">
        <f>C6</f>
        <v>1</v>
      </c>
      <c r="H6" s="930" t="str">
        <f t="shared" ref="H6:H15" si="2">IFERROR(HLOOKUP(K6,$F$59:$O$60,2,FALSE),"-")</f>
        <v>-</v>
      </c>
      <c r="I6" s="930"/>
      <c r="J6" s="930"/>
      <c r="K6" s="8" t="str">
        <f t="shared" ref="K6:K15" si="3">IFERROR(SMALL($F$59:$O$59,C6),"-")</f>
        <v>-</v>
      </c>
    </row>
    <row r="7" spans="1:11" x14ac:dyDescent="0.25">
      <c r="C7" s="9">
        <f t="shared" ref="C7:C15" si="4">C6+1</f>
        <v>2</v>
      </c>
      <c r="D7" s="234" t="str">
        <f t="shared" si="0"/>
        <v>-</v>
      </c>
      <c r="E7" s="10" t="str">
        <f t="shared" si="1"/>
        <v>-</v>
      </c>
      <c r="G7" s="9">
        <f>C7</f>
        <v>2</v>
      </c>
      <c r="H7" s="931" t="str">
        <f t="shared" si="2"/>
        <v>-</v>
      </c>
      <c r="I7" s="931"/>
      <c r="J7" s="931"/>
      <c r="K7" s="11" t="str">
        <f t="shared" si="3"/>
        <v>-</v>
      </c>
    </row>
    <row r="8" spans="1:11" x14ac:dyDescent="0.25">
      <c r="C8" s="9">
        <f t="shared" si="4"/>
        <v>3</v>
      </c>
      <c r="D8" s="234" t="str">
        <f t="shared" si="0"/>
        <v>-</v>
      </c>
      <c r="E8" s="10" t="str">
        <f t="shared" si="1"/>
        <v>-</v>
      </c>
      <c r="G8" s="9">
        <f t="shared" ref="G8:G15" si="5">C8</f>
        <v>3</v>
      </c>
      <c r="H8" s="931" t="str">
        <f t="shared" si="2"/>
        <v>-</v>
      </c>
      <c r="I8" s="931"/>
      <c r="J8" s="931"/>
      <c r="K8" s="11" t="str">
        <f t="shared" si="3"/>
        <v>-</v>
      </c>
    </row>
    <row r="9" spans="1:11" x14ac:dyDescent="0.25">
      <c r="C9" s="9">
        <f t="shared" si="4"/>
        <v>4</v>
      </c>
      <c r="D9" s="234" t="str">
        <f t="shared" si="0"/>
        <v>-</v>
      </c>
      <c r="E9" s="10" t="str">
        <f t="shared" si="1"/>
        <v>-</v>
      </c>
      <c r="G9" s="9">
        <f t="shared" si="5"/>
        <v>4</v>
      </c>
      <c r="H9" s="931" t="str">
        <f t="shared" si="2"/>
        <v>-</v>
      </c>
      <c r="I9" s="931"/>
      <c r="J9" s="931"/>
      <c r="K9" s="11" t="str">
        <f t="shared" si="3"/>
        <v>-</v>
      </c>
    </row>
    <row r="10" spans="1:11" x14ac:dyDescent="0.25">
      <c r="C10" s="9">
        <f t="shared" si="4"/>
        <v>5</v>
      </c>
      <c r="D10" s="234" t="str">
        <f t="shared" si="0"/>
        <v>-</v>
      </c>
      <c r="E10" s="10" t="str">
        <f t="shared" si="1"/>
        <v>-</v>
      </c>
      <c r="G10" s="9">
        <f t="shared" si="5"/>
        <v>5</v>
      </c>
      <c r="H10" s="931" t="str">
        <f t="shared" si="2"/>
        <v>-</v>
      </c>
      <c r="I10" s="931"/>
      <c r="J10" s="931"/>
      <c r="K10" s="11" t="str">
        <f t="shared" si="3"/>
        <v>-</v>
      </c>
    </row>
    <row r="11" spans="1:11" outlineLevel="1" x14ac:dyDescent="0.25">
      <c r="C11" s="9">
        <f t="shared" si="4"/>
        <v>6</v>
      </c>
      <c r="D11" s="234" t="str">
        <f t="shared" si="0"/>
        <v>-</v>
      </c>
      <c r="E11" s="10" t="str">
        <f t="shared" si="1"/>
        <v>-</v>
      </c>
      <c r="G11" s="9">
        <f t="shared" si="5"/>
        <v>6</v>
      </c>
      <c r="H11" s="931" t="str">
        <f t="shared" si="2"/>
        <v>-</v>
      </c>
      <c r="I11" s="931"/>
      <c r="J11" s="931"/>
      <c r="K11" s="11" t="str">
        <f t="shared" si="3"/>
        <v>-</v>
      </c>
    </row>
    <row r="12" spans="1:11" outlineLevel="1" x14ac:dyDescent="0.25">
      <c r="C12" s="9">
        <f t="shared" si="4"/>
        <v>7</v>
      </c>
      <c r="D12" s="234" t="str">
        <f t="shared" si="0"/>
        <v>-</v>
      </c>
      <c r="E12" s="10" t="str">
        <f t="shared" si="1"/>
        <v>-</v>
      </c>
      <c r="G12" s="9">
        <f t="shared" si="5"/>
        <v>7</v>
      </c>
      <c r="H12" s="931" t="str">
        <f t="shared" si="2"/>
        <v>-</v>
      </c>
      <c r="I12" s="931"/>
      <c r="J12" s="931"/>
      <c r="K12" s="11" t="str">
        <f t="shared" si="3"/>
        <v>-</v>
      </c>
    </row>
    <row r="13" spans="1:11" outlineLevel="1" x14ac:dyDescent="0.25">
      <c r="C13" s="9">
        <f t="shared" si="4"/>
        <v>8</v>
      </c>
      <c r="D13" s="234" t="str">
        <f t="shared" si="0"/>
        <v>-</v>
      </c>
      <c r="E13" s="10" t="str">
        <f t="shared" si="1"/>
        <v>-</v>
      </c>
      <c r="G13" s="9">
        <f t="shared" si="5"/>
        <v>8</v>
      </c>
      <c r="H13" s="931" t="str">
        <f t="shared" si="2"/>
        <v>-</v>
      </c>
      <c r="I13" s="931"/>
      <c r="J13" s="931"/>
      <c r="K13" s="11" t="str">
        <f t="shared" si="3"/>
        <v>-</v>
      </c>
    </row>
    <row r="14" spans="1:11" outlineLevel="1" x14ac:dyDescent="0.25">
      <c r="C14" s="9">
        <f t="shared" si="4"/>
        <v>9</v>
      </c>
      <c r="D14" s="234" t="str">
        <f t="shared" si="0"/>
        <v>-</v>
      </c>
      <c r="E14" s="10" t="str">
        <f t="shared" si="1"/>
        <v>-</v>
      </c>
      <c r="G14" s="9">
        <f t="shared" si="5"/>
        <v>9</v>
      </c>
      <c r="H14" s="931" t="str">
        <f t="shared" si="2"/>
        <v>-</v>
      </c>
      <c r="I14" s="931"/>
      <c r="J14" s="931"/>
      <c r="K14" s="11" t="str">
        <f t="shared" si="3"/>
        <v>-</v>
      </c>
    </row>
    <row r="15" spans="1:11" outlineLevel="1" x14ac:dyDescent="0.25">
      <c r="C15" s="9">
        <f t="shared" si="4"/>
        <v>10</v>
      </c>
      <c r="D15" s="234" t="str">
        <f t="shared" si="0"/>
        <v>-</v>
      </c>
      <c r="E15" s="10" t="str">
        <f t="shared" si="1"/>
        <v>-</v>
      </c>
      <c r="G15" s="9">
        <f t="shared" si="5"/>
        <v>10</v>
      </c>
      <c r="H15" s="931" t="str">
        <f t="shared" si="2"/>
        <v>-</v>
      </c>
      <c r="I15" s="931"/>
      <c r="J15" s="931"/>
      <c r="K15" s="11" t="str">
        <f t="shared" si="3"/>
        <v>-</v>
      </c>
    </row>
    <row r="16" spans="1:11" x14ac:dyDescent="0.25">
      <c r="C16" s="12"/>
      <c r="D16" s="235"/>
      <c r="E16" s="12"/>
      <c r="G16" s="12"/>
      <c r="H16" s="934"/>
      <c r="I16" s="934"/>
      <c r="J16" s="934"/>
      <c r="K16" s="12"/>
    </row>
    <row r="18" spans="3:16" x14ac:dyDescent="0.25">
      <c r="F18" s="371" t="str">
        <f>VLOOKUP(F19,Производительность!$C$7:$AB$33,26,FALSE)</f>
        <v>рудгормаш</v>
      </c>
      <c r="G18" s="371" t="e">
        <f>VLOOKUP(G19,Производительность!$C$7:$AB$33,26,FALSE)</f>
        <v>#N/A</v>
      </c>
      <c r="H18" s="371" t="e">
        <f>VLOOKUP(H19,Производительность!$C$7:$AB$33,26,FALSE)</f>
        <v>#N/A</v>
      </c>
      <c r="I18" s="371" t="e">
        <f>VLOOKUP(I19,Производительность!$C$7:$AB$33,26,FALSE)</f>
        <v>#N/A</v>
      </c>
      <c r="J18" s="371" t="e">
        <f>VLOOKUP(J19,Производительность!$C$7:$AB$33,26,FALSE)</f>
        <v>#N/A</v>
      </c>
      <c r="K18" s="371" t="e">
        <f>VLOOKUP(K19,Производительность!$C$7:$AB$33,26,FALSE)</f>
        <v>#N/A</v>
      </c>
      <c r="L18" s="371" t="e">
        <f>VLOOKUP(L19,Производительность!$C$7:$AB$33,26,FALSE)</f>
        <v>#N/A</v>
      </c>
      <c r="M18" s="371" t="e">
        <f>VLOOKUP(M19,Производительность!$C$7:$AB$33,26,FALSE)</f>
        <v>#N/A</v>
      </c>
      <c r="N18" s="371" t="e">
        <f>VLOOKUP(N19,Производительность!$C$7:$AB$33,26,FALSE)</f>
        <v>#N/A</v>
      </c>
      <c r="O18" s="371" t="e">
        <f>VLOOKUP(O19,Производительность!$C$7:$AB$33,26,FALSE)</f>
        <v>#N/A</v>
      </c>
    </row>
    <row r="19" spans="3:16" x14ac:dyDescent="0.25">
      <c r="C19" s="236" t="s">
        <v>3</v>
      </c>
      <c r="D19" s="236" t="s">
        <v>6</v>
      </c>
      <c r="E19" s="236" t="s">
        <v>7</v>
      </c>
      <c r="F19" s="236" t="str">
        <f>Производительность!C16</f>
        <v>СБШ-250/270КП</v>
      </c>
      <c r="G19" s="236"/>
      <c r="H19" s="236"/>
      <c r="I19" s="236"/>
      <c r="J19" s="236"/>
      <c r="K19" s="236"/>
      <c r="L19" s="236"/>
      <c r="M19" s="236"/>
      <c r="N19" s="236"/>
      <c r="O19" s="236"/>
      <c r="P19" s="236" t="s">
        <v>8</v>
      </c>
    </row>
    <row r="20" spans="3:16" x14ac:dyDescent="0.25">
      <c r="C20" s="203">
        <v>1</v>
      </c>
      <c r="D20" s="272" t="s">
        <v>319</v>
      </c>
      <c r="E20" s="15" t="s">
        <v>20</v>
      </c>
      <c r="F20" s="321">
        <f>SUMIFS('W час'!$E$19:$AF$19,'W час'!$E$4:$AF$4,F$19)*1000</f>
        <v>266.96421252093535</v>
      </c>
      <c r="G20" s="321">
        <f>SUMIFS('W час'!$E$19:$AF$19,'W час'!$E$4:$AF$4,G$19)*1000</f>
        <v>0</v>
      </c>
      <c r="H20" s="321">
        <f>SUMIFS('W час'!$E$19:$AF$19,'W час'!$E$4:$AF$4,H$19)*1000</f>
        <v>0</v>
      </c>
      <c r="I20" s="321">
        <f>SUMIFS('W час'!$E$19:$AF$19,'W час'!$E$4:$AF$4,I$19)*1000</f>
        <v>0</v>
      </c>
      <c r="J20" s="321">
        <f>SUMIFS('W час'!$E$19:$AF$19,'W час'!$E$4:$AF$4,J$19)*1000</f>
        <v>0</v>
      </c>
      <c r="K20" s="321">
        <f>SUMIFS('W час'!$E$19:$AF$19,'W час'!$E$4:$AF$4,K$19)*1000</f>
        <v>0</v>
      </c>
      <c r="L20" s="321">
        <f>SUMIFS('W час'!$E$19:$AF$19,'W час'!$E$4:$AF$4,L$19)*1000</f>
        <v>0</v>
      </c>
      <c r="M20" s="321">
        <f>SUMIFS('W час'!$E$19:$AF$19,'W час'!$E$4:$AF$4,M$19)*1000</f>
        <v>0</v>
      </c>
      <c r="N20" s="321">
        <f>SUMIFS('W час'!$E$19:$AF$19,'W час'!$E$4:$AF$4,N$19)*1000</f>
        <v>0</v>
      </c>
      <c r="O20" s="321">
        <f>SUMIFS('W час'!$E$19:$AF$19,'W час'!$E$4:$AF$4,O$19)*1000</f>
        <v>0</v>
      </c>
      <c r="P20" s="16"/>
    </row>
    <row r="21" spans="3:16" x14ac:dyDescent="0.25">
      <c r="C21" s="196">
        <f>MAX(C$20:C20)+1</f>
        <v>2</v>
      </c>
      <c r="D21" s="204" t="s">
        <v>210</v>
      </c>
      <c r="E21" s="205" t="s">
        <v>9</v>
      </c>
      <c r="F21" s="322">
        <f>HLOOKUP(F$19,'W час'!$E$4:$AF$5,2,FALSE)</f>
        <v>130</v>
      </c>
      <c r="G21" s="322" t="e">
        <f>HLOOKUP(G$19,'W час'!$E$4:$AF$5,2,FALSE)</f>
        <v>#N/A</v>
      </c>
      <c r="H21" s="322" t="e">
        <f>HLOOKUP(H$19,'W час'!$E$4:$AF$5,2,FALSE)</f>
        <v>#N/A</v>
      </c>
      <c r="I21" s="322" t="e">
        <f>HLOOKUP(I$19,'W час'!$E$4:$AF$5,2,FALSE)</f>
        <v>#N/A</v>
      </c>
      <c r="J21" s="322" t="e">
        <f>HLOOKUP(J$19,'W час'!$E$4:$AF$5,2,FALSE)</f>
        <v>#N/A</v>
      </c>
      <c r="K21" s="322" t="e">
        <f>HLOOKUP(K$19,'W час'!$E$4:$AF$5,2,FALSE)</f>
        <v>#N/A</v>
      </c>
      <c r="L21" s="322" t="e">
        <f>HLOOKUP(L$19,'W час'!$E$4:$AF$5,2,FALSE)</f>
        <v>#N/A</v>
      </c>
      <c r="M21" s="322" t="e">
        <f>HLOOKUP(M$19,'W час'!$E$4:$AF$5,2,FALSE)</f>
        <v>#N/A</v>
      </c>
      <c r="N21" s="322" t="e">
        <f>HLOOKUP(N$19,'W час'!$E$4:$AF$5,2,FALSE)</f>
        <v>#N/A</v>
      </c>
      <c r="O21" s="322" t="e">
        <f>HLOOKUP(O$19,'W час'!$E$4:$AF$5,2,FALSE)</f>
        <v>#N/A</v>
      </c>
      <c r="P21" s="16"/>
    </row>
    <row r="22" spans="3:16" x14ac:dyDescent="0.25">
      <c r="C22" s="196">
        <f>MAX(C$20:C21)+1</f>
        <v>3</v>
      </c>
      <c r="D22" s="17" t="s">
        <v>320</v>
      </c>
      <c r="E22" s="18" t="s">
        <v>121</v>
      </c>
      <c r="F22" s="323">
        <f>SUMIFS('W час'!$E$22:$AF$22,'W час'!$E$4:$AF$4,F$19)</f>
        <v>120</v>
      </c>
      <c r="G22" s="323">
        <f>SUMIFS('W час'!$E$22:$AF$22,'W час'!$E$4:$AF$4,G$19)</f>
        <v>0</v>
      </c>
      <c r="H22" s="323">
        <f>SUMIFS('W час'!$E$22:$AF$22,'W час'!$E$4:$AF$4,H$19)</f>
        <v>0</v>
      </c>
      <c r="I22" s="323">
        <f>SUMIFS('W час'!$E$22:$AF$22,'W час'!$E$4:$AF$4,I$19)</f>
        <v>0</v>
      </c>
      <c r="J22" s="323">
        <f>SUMIFS('W час'!$E$22:$AF$22,'W час'!$E$4:$AF$4,J$19)</f>
        <v>0</v>
      </c>
      <c r="K22" s="323">
        <f>SUMIFS('W час'!$E$22:$AF$22,'W час'!$E$4:$AF$4,K$19)</f>
        <v>0</v>
      </c>
      <c r="L22" s="323">
        <f>SUMIFS('W час'!$E$22:$AF$22,'W час'!$E$4:$AF$4,L$19)</f>
        <v>0</v>
      </c>
      <c r="M22" s="323">
        <f>SUMIFS('W час'!$E$22:$AF$22,'W час'!$E$4:$AF$4,M$19)</f>
        <v>0</v>
      </c>
      <c r="N22" s="323">
        <f>SUMIFS('W час'!$E$22:$AF$22,'W час'!$E$4:$AF$4,N$19)</f>
        <v>0</v>
      </c>
      <c r="O22" s="323">
        <f>SUMIFS('W час'!$E$22:$AF$22,'W час'!$E$4:$AF$4,O$19)</f>
        <v>0</v>
      </c>
      <c r="P22" s="17"/>
    </row>
    <row r="23" spans="3:16" x14ac:dyDescent="0.25">
      <c r="C23" s="196">
        <f>MAX(C$20:C22)+1</f>
        <v>4</v>
      </c>
      <c r="D23" s="17" t="s">
        <v>11</v>
      </c>
      <c r="E23" s="18" t="s">
        <v>12</v>
      </c>
      <c r="F23" s="9">
        <f>SUMIFS(Производительность!$Y$7:$Y$34,Производительность!$C$7:$C$34,F$19)</f>
        <v>0</v>
      </c>
      <c r="G23" s="9">
        <f>SUMIFS(Производительность!$Y$7:$Y$34,Производительность!$C$7:$C$34,G$19)</f>
        <v>0</v>
      </c>
      <c r="H23" s="9">
        <f>SUMIFS(Производительность!$Y$7:$Y$34,Производительность!$C$7:$C$34,H$19)</f>
        <v>0</v>
      </c>
      <c r="I23" s="9">
        <f>SUMIFS(Производительность!$Y$7:$Y$34,Производительность!$C$7:$C$34,I$19)</f>
        <v>0</v>
      </c>
      <c r="J23" s="9">
        <f>SUMIFS(Производительность!$Y$7:$Y$34,Производительность!$C$7:$C$34,J$19)</f>
        <v>0</v>
      </c>
      <c r="K23" s="9">
        <f>SUMIFS(Производительность!$Y$7:$Y$34,Производительность!$C$7:$C$34,K$19)</f>
        <v>0</v>
      </c>
      <c r="L23" s="9">
        <f>SUMIFS(Производительность!$Y$7:$Y$34,Производительность!$C$7:$C$34,L$19)</f>
        <v>0</v>
      </c>
      <c r="M23" s="9">
        <f>SUMIFS(Производительность!$Y$7:$Y$34,Производительность!$C$7:$C$34,M$19)</f>
        <v>0</v>
      </c>
      <c r="N23" s="9">
        <f>SUMIFS(Производительность!$Y$7:$Y$34,Производительность!$C$7:$C$34,N$19)</f>
        <v>0</v>
      </c>
      <c r="O23" s="9">
        <f>SUMIFS(Производительность!$Y$7:$Y$34,Производительность!$C$7:$C$34,O$19)</f>
        <v>0</v>
      </c>
      <c r="P23" s="17"/>
    </row>
    <row r="24" spans="3:16" x14ac:dyDescent="0.25">
      <c r="C24" s="196">
        <f>MAX(C$20:C23)+1</f>
        <v>5</v>
      </c>
      <c r="D24" s="19" t="s">
        <v>13</v>
      </c>
      <c r="E24" s="20" t="s">
        <v>14</v>
      </c>
      <c r="F24" s="21" t="e">
        <f>SUMIFS(Производительность!$Z$7:$Z$34,Производительность!$C$7:$C$34,F$19)</f>
        <v>#DIV/0!</v>
      </c>
      <c r="G24" s="21">
        <f>SUMIFS(Производительность!$Z$7:$Z$34,Производительность!$C$7:$C$34,G$19)</f>
        <v>0</v>
      </c>
      <c r="H24" s="21">
        <f>SUMIFS(Производительность!$Z$7:$Z$34,Производительность!$C$7:$C$34,H$19)</f>
        <v>0</v>
      </c>
      <c r="I24" s="21">
        <f>SUMIFS(Производительность!$Z$7:$Z$34,Производительность!$C$7:$C$34,I$19)</f>
        <v>0</v>
      </c>
      <c r="J24" s="21">
        <f>SUMIFS(Производительность!$Z$7:$Z$34,Производительность!$C$7:$C$34,J$19)</f>
        <v>0</v>
      </c>
      <c r="K24" s="21">
        <f>SUMIFS(Производительность!$Z$7:$Z$34,Производительность!$C$7:$C$34,K$19)</f>
        <v>0</v>
      </c>
      <c r="L24" s="21">
        <f>SUMIFS(Производительность!$Z$7:$Z$34,Производительность!$C$7:$C$34,L$19)</f>
        <v>0</v>
      </c>
      <c r="M24" s="21">
        <f>SUMIFS(Производительность!$Z$7:$Z$34,Производительность!$C$7:$C$34,M$19)</f>
        <v>0</v>
      </c>
      <c r="N24" s="21">
        <f>SUMIFS(Производительность!$Z$7:$Z$34,Производительность!$C$7:$C$34,N$19)</f>
        <v>0</v>
      </c>
      <c r="O24" s="21">
        <f>SUMIFS(Производительность!$Z$7:$Z$34,Производительность!$C$7:$C$34,O$19)</f>
        <v>0</v>
      </c>
      <c r="P24" s="17"/>
    </row>
    <row r="25" spans="3:16" x14ac:dyDescent="0.25">
      <c r="C25" s="196">
        <f>MAX(C$20:C24)+1</f>
        <v>6</v>
      </c>
      <c r="D25" s="22" t="s">
        <v>15</v>
      </c>
      <c r="E25" s="23" t="str">
        <f>E24</f>
        <v>коэфф.</v>
      </c>
      <c r="F25" s="24">
        <f>SUMIFS(Производительность!$E$7:$E$34,Производительность!$C$7:$C$34,F$19)</f>
        <v>0</v>
      </c>
      <c r="G25" s="24">
        <f>SUMIFS(Производительность!$E$7:$E$34,Производительность!$C$7:$C$34,G$19)</f>
        <v>0</v>
      </c>
      <c r="H25" s="24">
        <f>SUMIFS(Производительность!$E$7:$E$34,Производительность!$C$7:$C$34,H$19)</f>
        <v>0</v>
      </c>
      <c r="I25" s="24">
        <f>SUMIFS(Производительность!$E$7:$E$34,Производительность!$C$7:$C$34,I$19)</f>
        <v>0</v>
      </c>
      <c r="J25" s="24">
        <f>SUMIFS(Производительность!$E$7:$E$34,Производительность!$C$7:$C$34,J$19)</f>
        <v>0</v>
      </c>
      <c r="K25" s="24">
        <f>SUMIFS(Производительность!$E$7:$E$34,Производительность!$C$7:$C$34,K$19)</f>
        <v>0</v>
      </c>
      <c r="L25" s="24">
        <f>SUMIFS(Производительность!$E$7:$E$34,Производительность!$C$7:$C$34,L$19)</f>
        <v>0</v>
      </c>
      <c r="M25" s="24">
        <f>SUMIFS(Производительность!$E$7:$E$34,Производительность!$C$7:$C$34,M$19)</f>
        <v>0</v>
      </c>
      <c r="N25" s="24">
        <f>SUMIFS(Производительность!$E$7:$E$34,Производительность!$C$7:$C$34,N$19)</f>
        <v>0</v>
      </c>
      <c r="O25" s="24">
        <f>SUMIFS(Производительность!$E$7:$E$34,Производительность!$C$7:$C$34,O$19)</f>
        <v>0</v>
      </c>
      <c r="P25" s="17"/>
    </row>
    <row r="26" spans="3:16" x14ac:dyDescent="0.25">
      <c r="C26" s="196">
        <f>MAX(C$20:C25)+1</f>
        <v>7</v>
      </c>
      <c r="D26" s="17" t="s">
        <v>16</v>
      </c>
      <c r="E26" s="18" t="str">
        <f>E24</f>
        <v>коэфф.</v>
      </c>
      <c r="F26" s="25" t="e">
        <f>SUMIFS(Производительность!$Z$115:$Z$142,Производительность!$C$115:$C$142,F$19)</f>
        <v>#DIV/0!</v>
      </c>
      <c r="G26" s="25">
        <f>SUMIFS(Производительность!$Z$115:$Z$142,Производительность!$C$115:$C$142,G$19)</f>
        <v>0</v>
      </c>
      <c r="H26" s="25">
        <f>SUMIFS(Производительность!$Z$115:$Z$142,Производительность!$C$115:$C$142,H$19)</f>
        <v>0</v>
      </c>
      <c r="I26" s="25">
        <f>SUMIFS(Производительность!$Z$115:$Z$142,Производительность!$C$115:$C$142,I$19)</f>
        <v>0</v>
      </c>
      <c r="J26" s="25">
        <f>SUMIFS(Производительность!$Z$115:$Z$142,Производительность!$C$115:$C$142,J$19)</f>
        <v>0</v>
      </c>
      <c r="K26" s="25">
        <f>SUMIFS(Производительность!$Z$115:$Z$142,Производительность!$C$115:$C$142,K$19)</f>
        <v>0</v>
      </c>
      <c r="L26" s="25">
        <f>SUMIFS(Производительность!$Z$115:$Z$142,Производительность!$C$115:$C$142,L$19)</f>
        <v>0</v>
      </c>
      <c r="M26" s="25">
        <f>SUMIFS(Производительность!$Z$115:$Z$142,Производительность!$C$115:$C$142,M$19)</f>
        <v>0</v>
      </c>
      <c r="N26" s="25">
        <f>SUMIFS(Производительность!$Z$115:$Z$142,Производительность!$C$115:$C$142,N$19)</f>
        <v>0</v>
      </c>
      <c r="O26" s="25">
        <f>SUMIFS(Производительность!$Z$115:$Z$142,Производительность!$C$115:$C$142,O$19)</f>
        <v>0</v>
      </c>
      <c r="P26" s="17"/>
    </row>
    <row r="27" spans="3:16" x14ac:dyDescent="0.25">
      <c r="C27" s="196">
        <f>MAX(C$20:C26)+1</f>
        <v>8</v>
      </c>
      <c r="D27" s="19" t="s">
        <v>117</v>
      </c>
      <c r="E27" s="20" t="s">
        <v>209</v>
      </c>
      <c r="F27" s="26">
        <f>SUMIFS(Производительность!$E$169:$E$196,Производительность!$C$169:$C$196,F$19)</f>
        <v>14.098448366314232</v>
      </c>
      <c r="G27" s="26">
        <f>SUMIFS(Производительность!$E$169:$E$196,Производительность!$C$169:$C$196,G$19)</f>
        <v>0</v>
      </c>
      <c r="H27" s="26">
        <f>SUMIFS(Производительность!$E$169:$E$196,Производительность!$C$169:$C$196,H$19)</f>
        <v>0</v>
      </c>
      <c r="I27" s="26">
        <f>SUMIFS(Производительность!$E$169:$E$196,Производительность!$C$169:$C$196,I$19)</f>
        <v>0</v>
      </c>
      <c r="J27" s="26">
        <f>SUMIFS(Производительность!$E$169:$E$196,Производительность!$C$169:$C$196,J$19)</f>
        <v>0</v>
      </c>
      <c r="K27" s="26">
        <f>SUMIFS(Производительность!$E$169:$E$196,Производительность!$C$169:$C$196,K$19)</f>
        <v>0</v>
      </c>
      <c r="L27" s="26">
        <f>SUMIFS(Производительность!$E$169:$E$196,Производительность!$C$169:$C$196,L$19)</f>
        <v>0</v>
      </c>
      <c r="M27" s="26">
        <f>SUMIFS(Производительность!$E$169:$E$196,Производительность!$C$169:$C$196,M$19)</f>
        <v>0</v>
      </c>
      <c r="N27" s="26">
        <f>SUMIFS(Производительность!$E$169:$E$196,Производительность!$C$169:$C$196,N$19)</f>
        <v>0</v>
      </c>
      <c r="O27" s="26">
        <f>SUMIFS(Производительность!$E$169:$E$196,Производительность!$C$169:$C$196,O$19)</f>
        <v>0</v>
      </c>
      <c r="P27" s="17"/>
    </row>
    <row r="28" spans="3:16" x14ac:dyDescent="0.25">
      <c r="C28" s="196">
        <f>MAX(C$20:C27)+1</f>
        <v>9</v>
      </c>
      <c r="D28" s="935" t="s">
        <v>17</v>
      </c>
      <c r="E28" s="20" t="s">
        <v>171</v>
      </c>
      <c r="F28" s="27" t="e">
        <f>SUMIFS(Производительность!$Z$196:$Z$223,Производительность!$C$196:$C$223,F$19)</f>
        <v>#DIV/0!</v>
      </c>
      <c r="G28" s="27">
        <f>SUMIFS(Производительность!$Z$196:$Z$223,Производительность!$C$196:$C$223,G$19)</f>
        <v>0</v>
      </c>
      <c r="H28" s="27">
        <f>SUMIFS(Производительность!$Z$196:$Z$223,Производительность!$C$196:$C$223,H$19)</f>
        <v>0</v>
      </c>
      <c r="I28" s="27">
        <f>SUMIFS(Производительность!$Z$196:$Z$223,Производительность!$C$196:$C$223,I$19)</f>
        <v>0</v>
      </c>
      <c r="J28" s="27">
        <f>SUMIFS(Производительность!$Z$196:$Z$223,Производительность!$C$196:$C$223,J$19)</f>
        <v>0</v>
      </c>
      <c r="K28" s="27">
        <f>SUMIFS(Производительность!$Z$196:$Z$223,Производительность!$C$196:$C$223,K$19)</f>
        <v>0</v>
      </c>
      <c r="L28" s="27">
        <f>SUMIFS(Производительность!$Z$196:$Z$223,Производительность!$C$196:$C$223,L$19)</f>
        <v>0</v>
      </c>
      <c r="M28" s="27">
        <f>SUMIFS(Производительность!$Z$196:$Z$223,Производительность!$C$196:$C$223,M$19)</f>
        <v>0</v>
      </c>
      <c r="N28" s="27">
        <f>SUMIFS(Производительность!$Z$196:$Z$223,Производительность!$C$196:$C$223,N$19)</f>
        <v>0</v>
      </c>
      <c r="O28" s="27">
        <f>SUMIFS(Производительность!$Z$196:$Z$223,Производительность!$C$196:$C$223,O$19)</f>
        <v>0</v>
      </c>
      <c r="P28" s="17"/>
    </row>
    <row r="29" spans="3:16" x14ac:dyDescent="0.25">
      <c r="C29" s="196">
        <f>MAX(C$20:C28)+1</f>
        <v>10</v>
      </c>
      <c r="D29" s="936"/>
      <c r="E29" s="20" t="s">
        <v>175</v>
      </c>
      <c r="F29" s="27" t="e">
        <f>SUMIFS(Производительность!$Z$250:$Z$277,Производительность!$C$250:$C$277,F$19)</f>
        <v>#DIV/0!</v>
      </c>
      <c r="G29" s="27">
        <f>SUMIFS(Производительность!$Z$250:$Z$277,Производительность!$C$250:$C$277,G$19)</f>
        <v>0</v>
      </c>
      <c r="H29" s="27">
        <f>SUMIFS(Производительность!$Z$250:$Z$277,Производительность!$C$250:$C$277,H$19)</f>
        <v>0</v>
      </c>
      <c r="I29" s="27">
        <f>SUMIFS(Производительность!$Z$250:$Z$277,Производительность!$C$250:$C$277,I$19)</f>
        <v>0</v>
      </c>
      <c r="J29" s="27">
        <f>SUMIFS(Производительность!$Z$250:$Z$277,Производительность!$C$250:$C$277,J$19)</f>
        <v>0</v>
      </c>
      <c r="K29" s="27">
        <f>SUMIFS(Производительность!$Z$250:$Z$277,Производительность!$C$250:$C$277,K$19)</f>
        <v>0</v>
      </c>
      <c r="L29" s="27">
        <f>SUMIFS(Производительность!$Z$250:$Z$277,Производительность!$C$250:$C$277,L$19)</f>
        <v>0</v>
      </c>
      <c r="M29" s="27">
        <f>SUMIFS(Производительность!$Z$250:$Z$277,Производительность!$C$250:$C$277,M$19)</f>
        <v>0</v>
      </c>
      <c r="N29" s="27">
        <f>SUMIFS(Производительность!$Z$250:$Z$277,Производительность!$C$250:$C$277,N$19)</f>
        <v>0</v>
      </c>
      <c r="O29" s="27">
        <f>SUMIFS(Производительность!$Z$250:$Z$277,Производительность!$C$250:$C$277,O$19)</f>
        <v>0</v>
      </c>
      <c r="P29" s="17"/>
    </row>
    <row r="30" spans="3:16" x14ac:dyDescent="0.25">
      <c r="C30" s="196">
        <f>MAX(C$20:C29)+1</f>
        <v>11</v>
      </c>
      <c r="D30" s="932" t="s">
        <v>18</v>
      </c>
      <c r="E30" s="23" t="str">
        <f>E28</f>
        <v>тыс. п. м</v>
      </c>
      <c r="F30" s="28">
        <f>SUMIFS(Производительность!$E$196:$E$223,Производительность!$C$196:$C$223,F$19)</f>
        <v>0</v>
      </c>
      <c r="G30" s="28">
        <f>SUMIFS(Производительность!$E$196:$E$223,Производительность!$C$196:$C$223,G$19)</f>
        <v>0</v>
      </c>
      <c r="H30" s="28">
        <f>SUMIFS(Производительность!$E$196:$E$223,Производительность!$C$196:$C$223,H$19)</f>
        <v>0</v>
      </c>
      <c r="I30" s="28">
        <f>SUMIFS(Производительность!$E$196:$E$223,Производительность!$C$196:$C$223,I$19)</f>
        <v>0</v>
      </c>
      <c r="J30" s="28">
        <f>SUMIFS(Производительность!$E$196:$E$223,Производительность!$C$196:$C$223,J$19)</f>
        <v>0</v>
      </c>
      <c r="K30" s="28">
        <f>SUMIFS(Производительность!$E$196:$E$223,Производительность!$C$196:$C$223,K$19)</f>
        <v>0</v>
      </c>
      <c r="L30" s="28">
        <f>SUMIFS(Производительность!$E$196:$E$223,Производительность!$C$196:$C$223,L$19)</f>
        <v>0</v>
      </c>
      <c r="M30" s="28">
        <f>SUMIFS(Производительность!$E$196:$E$223,Производительность!$C$196:$C$223,M$19)</f>
        <v>0</v>
      </c>
      <c r="N30" s="28">
        <f>SUMIFS(Производительность!$E$196:$E$223,Производительность!$C$196:$C$223,N$19)</f>
        <v>0</v>
      </c>
      <c r="O30" s="28">
        <f>SUMIFS(Производительность!$E$196:$E$223,Производительность!$C$196:$C$223,O$19)</f>
        <v>0</v>
      </c>
      <c r="P30" s="17"/>
    </row>
    <row r="31" spans="3:16" x14ac:dyDescent="0.25">
      <c r="C31" s="196">
        <f>MAX(C$20:C30)+1</f>
        <v>12</v>
      </c>
      <c r="D31" s="933"/>
      <c r="E31" s="23" t="str">
        <f>E29</f>
        <v>тыс. м3</v>
      </c>
      <c r="F31" s="28">
        <f>SUMIFS(Производительность!$E$250:$E$277,Производительность!$C$250:$C$277,F$19)</f>
        <v>0</v>
      </c>
      <c r="G31" s="28">
        <f>SUMIFS(Производительность!$E$250:$E$277,Производительность!$C$250:$C$277,G$19)</f>
        <v>0</v>
      </c>
      <c r="H31" s="28">
        <f>SUMIFS(Производительность!$E$250:$E$277,Производительность!$C$250:$C$277,H$19)</f>
        <v>0</v>
      </c>
      <c r="I31" s="28">
        <f>SUMIFS(Производительность!$E$250:$E$277,Производительность!$C$250:$C$277,I$19)</f>
        <v>0</v>
      </c>
      <c r="J31" s="28">
        <f>SUMIFS(Производительность!$E$250:$E$277,Производительность!$C$250:$C$277,J$19)</f>
        <v>0</v>
      </c>
      <c r="K31" s="28">
        <f>SUMIFS(Производительность!$E$250:$E$277,Производительность!$C$250:$C$277,K$19)</f>
        <v>0</v>
      </c>
      <c r="L31" s="28">
        <f>SUMIFS(Производительность!$E$250:$E$277,Производительность!$C$250:$C$277,L$19)</f>
        <v>0</v>
      </c>
      <c r="M31" s="28">
        <f>SUMIFS(Производительность!$E$250:$E$277,Производительность!$C$250:$C$277,M$19)</f>
        <v>0</v>
      </c>
      <c r="N31" s="28">
        <f>SUMIFS(Производительность!$E$250:$E$277,Производительность!$C$250:$C$277,N$19)</f>
        <v>0</v>
      </c>
      <c r="O31" s="28">
        <f>SUMIFS(Производительность!$E$250:$E$277,Производительность!$C$250:$C$277,O$19)</f>
        <v>0</v>
      </c>
      <c r="P31" s="17"/>
    </row>
    <row r="32" spans="3:16" x14ac:dyDescent="0.25">
      <c r="C32" s="196"/>
      <c r="D32" s="17"/>
      <c r="E32" s="1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17"/>
    </row>
    <row r="33" spans="1:18" x14ac:dyDescent="0.25">
      <c r="C33" s="196">
        <f>MAX(C$20:C32)+1</f>
        <v>13</v>
      </c>
      <c r="D33" s="19" t="s">
        <v>208</v>
      </c>
      <c r="E33" s="20" t="s">
        <v>21</v>
      </c>
      <c r="F33" s="27">
        <f>F37+F38</f>
        <v>0</v>
      </c>
      <c r="G33" s="27">
        <f t="shared" ref="G33:O33" si="6">G37+G38</f>
        <v>0</v>
      </c>
      <c r="H33" s="27">
        <f t="shared" si="6"/>
        <v>0</v>
      </c>
      <c r="I33" s="27">
        <f t="shared" si="6"/>
        <v>0</v>
      </c>
      <c r="J33" s="27">
        <f t="shared" si="6"/>
        <v>0</v>
      </c>
      <c r="K33" s="27">
        <f t="shared" si="6"/>
        <v>0</v>
      </c>
      <c r="L33" s="27">
        <f t="shared" si="6"/>
        <v>0</v>
      </c>
      <c r="M33" s="27">
        <f t="shared" si="6"/>
        <v>0</v>
      </c>
      <c r="N33" s="27">
        <f t="shared" si="6"/>
        <v>0</v>
      </c>
      <c r="O33" s="27">
        <f t="shared" si="6"/>
        <v>0</v>
      </c>
      <c r="P33" s="17"/>
      <c r="R33" s="52" t="str">
        <f>'Свод_250-270_диз'!R33</f>
        <v>курс ЦБ на хх.07.2026</v>
      </c>
    </row>
    <row r="34" spans="1:18" x14ac:dyDescent="0.25">
      <c r="A34" s="2" t="s">
        <v>19</v>
      </c>
      <c r="C34" s="196">
        <f>MAX(C$20:C33)+1</f>
        <v>14</v>
      </c>
      <c r="D34" s="33" t="s">
        <v>22</v>
      </c>
      <c r="E34" s="18" t="s">
        <v>23</v>
      </c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17"/>
      <c r="R34" s="52">
        <f>'Свод_250-270_диз'!R34</f>
        <v>80</v>
      </c>
    </row>
    <row r="35" spans="1:18" x14ac:dyDescent="0.25">
      <c r="A35" s="2" t="s">
        <v>19</v>
      </c>
      <c r="C35" s="196">
        <f>MAX(C$20:C34)+1</f>
        <v>15</v>
      </c>
      <c r="D35" s="33" t="s">
        <v>181</v>
      </c>
      <c r="E35" s="18" t="s">
        <v>182</v>
      </c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17"/>
      <c r="R35" s="52">
        <f>'Свод_250-270_диз'!R35</f>
        <v>90</v>
      </c>
    </row>
    <row r="36" spans="1:18" x14ac:dyDescent="0.25">
      <c r="A36" s="2" t="s">
        <v>19</v>
      </c>
      <c r="C36" s="196">
        <f>MAX(C$20:C35)+1</f>
        <v>16</v>
      </c>
      <c r="D36" s="33" t="s">
        <v>24</v>
      </c>
      <c r="E36" s="18" t="s">
        <v>25</v>
      </c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17"/>
      <c r="R36" s="52">
        <f>'Свод_250-270_диз'!R36</f>
        <v>11</v>
      </c>
    </row>
    <row r="37" spans="1:18" x14ac:dyDescent="0.25">
      <c r="A37" s="2" t="s">
        <v>19</v>
      </c>
      <c r="C37" s="196">
        <f>MAX(C$20:C36)+1</f>
        <v>17</v>
      </c>
      <c r="D37" s="33" t="s">
        <v>26</v>
      </c>
      <c r="E37" s="18" t="str">
        <f>E33</f>
        <v>тыс. руб.</v>
      </c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17"/>
    </row>
    <row r="38" spans="1:18" x14ac:dyDescent="0.25">
      <c r="A38" s="2" t="s">
        <v>19</v>
      </c>
      <c r="C38" s="196">
        <f>MAX(C$20:C37)+1</f>
        <v>18</v>
      </c>
      <c r="D38" s="33" t="s">
        <v>27</v>
      </c>
      <c r="E38" s="18" t="str">
        <f>E33</f>
        <v>тыс. руб.</v>
      </c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17"/>
    </row>
    <row r="39" spans="1:18" x14ac:dyDescent="0.25">
      <c r="C39" s="196"/>
      <c r="D39" s="17"/>
      <c r="E39" s="1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17"/>
    </row>
    <row r="40" spans="1:18" x14ac:dyDescent="0.25">
      <c r="A40" s="2" t="s">
        <v>19</v>
      </c>
      <c r="C40" s="196">
        <f>MAX(C$20:C39)+1</f>
        <v>19</v>
      </c>
      <c r="D40" s="19" t="s">
        <v>28</v>
      </c>
      <c r="E40" s="20" t="s">
        <v>29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17"/>
    </row>
    <row r="41" spans="1:18" x14ac:dyDescent="0.25">
      <c r="C41" s="196">
        <f>MAX(C$20:C40)+1</f>
        <v>20</v>
      </c>
      <c r="D41" s="19" t="s">
        <v>30</v>
      </c>
      <c r="E41" s="20" t="str">
        <f>E33</f>
        <v>тыс. руб.</v>
      </c>
      <c r="F41" s="27">
        <f>F40*F33</f>
        <v>0</v>
      </c>
      <c r="G41" s="27">
        <f t="shared" ref="G41:O41" si="7">G40*G33</f>
        <v>0</v>
      </c>
      <c r="H41" s="27">
        <f t="shared" si="7"/>
        <v>0</v>
      </c>
      <c r="I41" s="27">
        <f t="shared" si="7"/>
        <v>0</v>
      </c>
      <c r="J41" s="27">
        <f t="shared" si="7"/>
        <v>0</v>
      </c>
      <c r="K41" s="27">
        <f t="shared" si="7"/>
        <v>0</v>
      </c>
      <c r="L41" s="27">
        <f t="shared" si="7"/>
        <v>0</v>
      </c>
      <c r="M41" s="27">
        <f t="shared" si="7"/>
        <v>0</v>
      </c>
      <c r="N41" s="27">
        <f t="shared" si="7"/>
        <v>0</v>
      </c>
      <c r="O41" s="27">
        <f t="shared" si="7"/>
        <v>0</v>
      </c>
      <c r="P41" s="17"/>
    </row>
    <row r="42" spans="1:18" x14ac:dyDescent="0.25">
      <c r="C42" s="196"/>
      <c r="D42" s="17"/>
      <c r="E42" s="1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17"/>
    </row>
    <row r="43" spans="1:18" ht="27.2" x14ac:dyDescent="0.25">
      <c r="C43" s="196">
        <f>MAX(C$20:C42)+1</f>
        <v>21</v>
      </c>
      <c r="D43" s="17" t="s">
        <v>31</v>
      </c>
      <c r="E43" s="18" t="s">
        <v>21</v>
      </c>
      <c r="F43" s="31" t="e">
        <f>SUMIFS('ТСО_250-270_эл'!$AB:$AB,'ТСО_250-270_эл'!$A:$A,F$19)</f>
        <v>#DIV/0!</v>
      </c>
      <c r="G43" s="31">
        <f>SUMIFS('ТСО_250-270_эл'!$AB:$AB,'ТСО_250-270_эл'!$A:$A,G$19)</f>
        <v>0</v>
      </c>
      <c r="H43" s="31">
        <f>SUMIFS('ТСО_250-270_эл'!$AB:$AB,'ТСО_250-270_эл'!$A:$A,H$19)</f>
        <v>0</v>
      </c>
      <c r="I43" s="31">
        <f>SUMIFS('ТСО_250-270_эл'!$AB:$AB,'ТСО_250-270_эл'!$A:$A,I$19)</f>
        <v>0</v>
      </c>
      <c r="J43" s="31">
        <f>SUMIFS('ТСО_250-270_эл'!$AB:$AB,'ТСО_250-270_эл'!$A:$A,J$19)</f>
        <v>0</v>
      </c>
      <c r="K43" s="31">
        <f>SUMIFS('ТСО_250-270_эл'!$AB:$AB,'ТСО_250-270_эл'!$A:$A,K$19)</f>
        <v>0</v>
      </c>
      <c r="L43" s="31">
        <f>SUMIFS('ТСО_250-270_эл'!$AB:$AB,'ТСО_250-270_эл'!$A:$A,L$19)</f>
        <v>0</v>
      </c>
      <c r="M43" s="31">
        <f>SUMIFS('ТСО_250-270_эл'!$AB:$AB,'ТСО_250-270_эл'!$A:$A,M$19)</f>
        <v>0</v>
      </c>
      <c r="N43" s="31">
        <f>SUMIFS('ТСО_250-270_эл'!$AB:$AB,'ТСО_250-270_эл'!$A:$A,N$19)</f>
        <v>0</v>
      </c>
      <c r="O43" s="31">
        <f>SUMIFS('ТСО_250-270_эл'!$AB:$AB,'ТСО_250-270_эл'!$A:$A,O$19)</f>
        <v>0</v>
      </c>
      <c r="P43" s="17"/>
    </row>
    <row r="44" spans="1:18" x14ac:dyDescent="0.25">
      <c r="C44" s="196"/>
      <c r="D44" s="17"/>
      <c r="E44" s="1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17"/>
    </row>
    <row r="45" spans="1:18" x14ac:dyDescent="0.25">
      <c r="A45" s="36" t="str">
        <f>'ТСО_250-270_эл'!B87</f>
        <v>Аннуитет операционный</v>
      </c>
      <c r="C45" s="196">
        <f>MAX(C$20:C44)+1</f>
        <v>22</v>
      </c>
      <c r="D45" s="19" t="str">
        <f>'ТСО_250-270_эл'!D87</f>
        <v>Аннуитет операционный</v>
      </c>
      <c r="E45" s="20" t="str">
        <f>'ТСО_250-270_эл'!E87</f>
        <v>руб/м3</v>
      </c>
      <c r="F45" s="37" t="e">
        <f>SUMIFS('ТСО_250-270_эл'!$AC:$AC,'ТСО_250-270_эл'!$A:$A,F$19,'ТСО_250-270_эл'!$B:$B,$A45)</f>
        <v>#DIV/0!</v>
      </c>
      <c r="G45" s="37">
        <f>SUMIFS('ТСО_250-270_эл'!$AC:$AC,'ТСО_250-270_эл'!$A:$A,G$19,'ТСО_250-270_эл'!$B:$B,$A45)</f>
        <v>0</v>
      </c>
      <c r="H45" s="37">
        <f>SUMIFS('ТСО_250-270_эл'!$AC:$AC,'ТСО_250-270_эл'!$A:$A,H$19,'ТСО_250-270_эл'!$B:$B,$A45)</f>
        <v>0</v>
      </c>
      <c r="I45" s="37">
        <f>SUMIFS('ТСО_250-270_эл'!$AC:$AC,'ТСО_250-270_эл'!$A:$A,I$19,'ТСО_250-270_эл'!$B:$B,$A45)</f>
        <v>0</v>
      </c>
      <c r="J45" s="37">
        <f>SUMIFS('ТСО_250-270_эл'!$AC:$AC,'ТСО_250-270_эл'!$A:$A,J$19,'ТСО_250-270_эл'!$B:$B,$A45)</f>
        <v>0</v>
      </c>
      <c r="K45" s="37">
        <f>SUMIFS('ТСО_250-270_эл'!$AC:$AC,'ТСО_250-270_эл'!$A:$A,K$19,'ТСО_250-270_эл'!$B:$B,$A45)</f>
        <v>0</v>
      </c>
      <c r="L45" s="37">
        <f>SUMIFS('ТСО_250-270_эл'!$AC:$AC,'ТСО_250-270_эл'!$A:$A,L$19,'ТСО_250-270_эл'!$B:$B,$A45)</f>
        <v>0</v>
      </c>
      <c r="M45" s="37">
        <f>SUMIFS('ТСО_250-270_эл'!$AC:$AC,'ТСО_250-270_эл'!$A:$A,M$19,'ТСО_250-270_эл'!$B:$B,$A45)</f>
        <v>0</v>
      </c>
      <c r="N45" s="37">
        <f>SUMIFS('ТСО_250-270_эл'!$AC:$AC,'ТСО_250-270_эл'!$A:$A,N$19,'ТСО_250-270_эл'!$B:$B,$A45)</f>
        <v>0</v>
      </c>
      <c r="O45" s="37">
        <f>SUMIFS('ТСО_250-270_эл'!$AC:$AC,'ТСО_250-270_эл'!$A:$A,O$19,'ТСО_250-270_эл'!$B:$B,$A45)</f>
        <v>0</v>
      </c>
      <c r="P45" s="17"/>
    </row>
    <row r="46" spans="1:18" x14ac:dyDescent="0.25">
      <c r="A46" s="36" t="str">
        <f>'ТСО_250-270_эл'!B88</f>
        <v>ТО, ТР, ППР</v>
      </c>
      <c r="C46" s="196">
        <f>MAX(C$20:C45)+1</f>
        <v>23</v>
      </c>
      <c r="D46" s="33" t="str">
        <f>'ТСО_250-270_эл'!D88</f>
        <v>ТО, ТР, ППР</v>
      </c>
      <c r="E46" s="18" t="str">
        <f>'ТСО_250-270_эл'!E88</f>
        <v>руб/м3</v>
      </c>
      <c r="F46" s="38" t="e">
        <f>SUMIFS('ТСО_250-270_эл'!$AC:$AC,'ТСО_250-270_эл'!$A:$A,F$19,'ТСО_250-270_эл'!$B:$B,$A46)</f>
        <v>#DIV/0!</v>
      </c>
      <c r="G46" s="38">
        <f>SUMIFS('ТСО_250-270_эл'!$AC:$AC,'ТСО_250-270_эл'!$A:$A,G$19,'ТСО_250-270_эл'!$B:$B,$A46)</f>
        <v>0</v>
      </c>
      <c r="H46" s="38">
        <f>SUMIFS('ТСО_250-270_эл'!$AC:$AC,'ТСО_250-270_эл'!$A:$A,H$19,'ТСО_250-270_эл'!$B:$B,$A46)</f>
        <v>0</v>
      </c>
      <c r="I46" s="38">
        <f>SUMIFS('ТСО_250-270_эл'!$AC:$AC,'ТСО_250-270_эл'!$A:$A,I$19,'ТСО_250-270_эл'!$B:$B,$A46)</f>
        <v>0</v>
      </c>
      <c r="J46" s="38">
        <f>SUMIFS('ТСО_250-270_эл'!$AC:$AC,'ТСО_250-270_эл'!$A:$A,J$19,'ТСО_250-270_эл'!$B:$B,$A46)</f>
        <v>0</v>
      </c>
      <c r="K46" s="38">
        <f>SUMIFS('ТСО_250-270_эл'!$AC:$AC,'ТСО_250-270_эл'!$A:$A,K$19,'ТСО_250-270_эл'!$B:$B,$A46)</f>
        <v>0</v>
      </c>
      <c r="L46" s="38">
        <f>SUMIFS('ТСО_250-270_эл'!$AC:$AC,'ТСО_250-270_эл'!$A:$A,L$19,'ТСО_250-270_эл'!$B:$B,$A46)</f>
        <v>0</v>
      </c>
      <c r="M46" s="38">
        <f>SUMIFS('ТСО_250-270_эл'!$AC:$AC,'ТСО_250-270_эл'!$A:$A,M$19,'ТСО_250-270_эл'!$B:$B,$A46)</f>
        <v>0</v>
      </c>
      <c r="N46" s="38">
        <f>SUMIFS('ТСО_250-270_эл'!$AC:$AC,'ТСО_250-270_эл'!$A:$A,N$19,'ТСО_250-270_эл'!$B:$B,$A46)</f>
        <v>0</v>
      </c>
      <c r="O46" s="38">
        <f>SUMIFS('ТСО_250-270_эл'!$AC:$AC,'ТСО_250-270_эл'!$A:$A,O$19,'ТСО_250-270_эл'!$B:$B,$A46)</f>
        <v>0</v>
      </c>
      <c r="P46" s="17"/>
    </row>
    <row r="47" spans="1:18" x14ac:dyDescent="0.25">
      <c r="A47" s="36" t="str">
        <f>'ТСО_250-270_эл'!B89</f>
        <v>Смазочные</v>
      </c>
      <c r="C47" s="196">
        <f>MAX(C$20:C46)+1</f>
        <v>24</v>
      </c>
      <c r="D47" s="33" t="str">
        <f>'ТСО_250-270_эл'!D89</f>
        <v>Смазочные</v>
      </c>
      <c r="E47" s="18" t="str">
        <f>'ТСО_250-270_эл'!E89</f>
        <v>руб/м3</v>
      </c>
      <c r="F47" s="38" t="e">
        <f>SUMIFS('ТСО_250-270_эл'!$AC:$AC,'ТСО_250-270_эл'!$A:$A,F$19,'ТСО_250-270_эл'!$B:$B,$A47)</f>
        <v>#DIV/0!</v>
      </c>
      <c r="G47" s="38">
        <f>SUMIFS('ТСО_250-270_эл'!$AC:$AC,'ТСО_250-270_эл'!$A:$A,G$19,'ТСО_250-270_эл'!$B:$B,$A47)</f>
        <v>0</v>
      </c>
      <c r="H47" s="38">
        <f>SUMIFS('ТСО_250-270_эл'!$AC:$AC,'ТСО_250-270_эл'!$A:$A,H$19,'ТСО_250-270_эл'!$B:$B,$A47)</f>
        <v>0</v>
      </c>
      <c r="I47" s="38">
        <f>SUMIFS('ТСО_250-270_эл'!$AC:$AC,'ТСО_250-270_эл'!$A:$A,I$19,'ТСО_250-270_эл'!$B:$B,$A47)</f>
        <v>0</v>
      </c>
      <c r="J47" s="38">
        <f>SUMIFS('ТСО_250-270_эл'!$AC:$AC,'ТСО_250-270_эл'!$A:$A,J$19,'ТСО_250-270_эл'!$B:$B,$A47)</f>
        <v>0</v>
      </c>
      <c r="K47" s="38">
        <f>SUMIFS('ТСО_250-270_эл'!$AC:$AC,'ТСО_250-270_эл'!$A:$A,K$19,'ТСО_250-270_эл'!$B:$B,$A47)</f>
        <v>0</v>
      </c>
      <c r="L47" s="38">
        <f>SUMIFS('ТСО_250-270_эл'!$AC:$AC,'ТСО_250-270_эл'!$A:$A,L$19,'ТСО_250-270_эл'!$B:$B,$A47)</f>
        <v>0</v>
      </c>
      <c r="M47" s="38">
        <f>SUMIFS('ТСО_250-270_эл'!$AC:$AC,'ТСО_250-270_эл'!$A:$A,M$19,'ТСО_250-270_эл'!$B:$B,$A47)</f>
        <v>0</v>
      </c>
      <c r="N47" s="38">
        <f>SUMIFS('ТСО_250-270_эл'!$AC:$AC,'ТСО_250-270_эл'!$A:$A,N$19,'ТСО_250-270_эл'!$B:$B,$A47)</f>
        <v>0</v>
      </c>
      <c r="O47" s="38">
        <f>SUMIFS('ТСО_250-270_эл'!$AC:$AC,'ТСО_250-270_эл'!$A:$A,O$19,'ТСО_250-270_эл'!$B:$B,$A47)</f>
        <v>0</v>
      </c>
      <c r="P47" s="17"/>
    </row>
    <row r="48" spans="1:18" x14ac:dyDescent="0.25">
      <c r="A48" s="36" t="str">
        <f>'ТСО_250-270_эл'!B90</f>
        <v>Долота</v>
      </c>
      <c r="C48" s="196">
        <f>MAX(C$20:C47)+1</f>
        <v>25</v>
      </c>
      <c r="D48" s="33" t="str">
        <f>'ТСО_250-270_эл'!D90</f>
        <v>Долота</v>
      </c>
      <c r="E48" s="18" t="str">
        <f>'ТСО_250-270_эл'!E90</f>
        <v>руб/м3</v>
      </c>
      <c r="F48" s="38" t="e">
        <f>SUMIFS('ТСО_250-270_эл'!$AC:$AC,'ТСО_250-270_эл'!$A:$A,F$19,'ТСО_250-270_эл'!$B:$B,$A48)</f>
        <v>#DIV/0!</v>
      </c>
      <c r="G48" s="38">
        <f>SUMIFS('ТСО_250-270_эл'!$AC:$AC,'ТСО_250-270_эл'!$A:$A,G$19,'ТСО_250-270_эл'!$B:$B,$A48)</f>
        <v>0</v>
      </c>
      <c r="H48" s="38">
        <f>SUMIFS('ТСО_250-270_эл'!$AC:$AC,'ТСО_250-270_эл'!$A:$A,H$19,'ТСО_250-270_эл'!$B:$B,$A48)</f>
        <v>0</v>
      </c>
      <c r="I48" s="38">
        <f>SUMIFS('ТСО_250-270_эл'!$AC:$AC,'ТСО_250-270_эл'!$A:$A,I$19,'ТСО_250-270_эл'!$B:$B,$A48)</f>
        <v>0</v>
      </c>
      <c r="J48" s="38">
        <f>SUMIFS('ТСО_250-270_эл'!$AC:$AC,'ТСО_250-270_эл'!$A:$A,J$19,'ТСО_250-270_эл'!$B:$B,$A48)</f>
        <v>0</v>
      </c>
      <c r="K48" s="38">
        <f>SUMIFS('ТСО_250-270_эл'!$AC:$AC,'ТСО_250-270_эл'!$A:$A,K$19,'ТСО_250-270_эл'!$B:$B,$A48)</f>
        <v>0</v>
      </c>
      <c r="L48" s="38">
        <f>SUMIFS('ТСО_250-270_эл'!$AC:$AC,'ТСО_250-270_эл'!$A:$A,L$19,'ТСО_250-270_эл'!$B:$B,$A48)</f>
        <v>0</v>
      </c>
      <c r="M48" s="38">
        <f>SUMIFS('ТСО_250-270_эл'!$AC:$AC,'ТСО_250-270_эл'!$A:$A,M$19,'ТСО_250-270_эл'!$B:$B,$A48)</f>
        <v>0</v>
      </c>
      <c r="N48" s="38">
        <f>SUMIFS('ТСО_250-270_эл'!$AC:$AC,'ТСО_250-270_эл'!$A:$A,N$19,'ТСО_250-270_эл'!$B:$B,$A48)</f>
        <v>0</v>
      </c>
      <c r="O48" s="38">
        <f>SUMIFS('ТСО_250-270_эл'!$AC:$AC,'ТСО_250-270_эл'!$A:$A,O$19,'ТСО_250-270_эл'!$B:$B,$A48)</f>
        <v>0</v>
      </c>
      <c r="P48" s="17"/>
    </row>
    <row r="49" spans="1:16" x14ac:dyDescent="0.25">
      <c r="A49" s="36" t="str">
        <f>'ТСО_250-270_эл'!B91</f>
        <v>Штанги буровые</v>
      </c>
      <c r="C49" s="196">
        <f>MAX(C$20:C48)+1</f>
        <v>26</v>
      </c>
      <c r="D49" s="33" t="str">
        <f>'ТСО_250-270_эл'!D91</f>
        <v>Штанги буровые</v>
      </c>
      <c r="E49" s="18" t="str">
        <f>'ТСО_250-270_эл'!E91</f>
        <v>руб/м3</v>
      </c>
      <c r="F49" s="38" t="e">
        <f>SUMIFS('ТСО_250-270_эл'!$AC:$AC,'ТСО_250-270_эл'!$A:$A,F$19,'ТСО_250-270_эл'!$B:$B,$A49)</f>
        <v>#DIV/0!</v>
      </c>
      <c r="G49" s="38">
        <f>SUMIFS('ТСО_250-270_эл'!$AC:$AC,'ТСО_250-270_эл'!$A:$A,G$19,'ТСО_250-270_эл'!$B:$B,$A49)</f>
        <v>0</v>
      </c>
      <c r="H49" s="38">
        <f>SUMIFS('ТСО_250-270_эл'!$AC:$AC,'ТСО_250-270_эл'!$A:$A,H$19,'ТСО_250-270_эл'!$B:$B,$A49)</f>
        <v>0</v>
      </c>
      <c r="I49" s="38">
        <f>SUMIFS('ТСО_250-270_эл'!$AC:$AC,'ТСО_250-270_эл'!$A:$A,I$19,'ТСО_250-270_эл'!$B:$B,$A49)</f>
        <v>0</v>
      </c>
      <c r="J49" s="38">
        <f>SUMIFS('ТСО_250-270_эл'!$AC:$AC,'ТСО_250-270_эл'!$A:$A,J$19,'ТСО_250-270_эл'!$B:$B,$A49)</f>
        <v>0</v>
      </c>
      <c r="K49" s="38">
        <f>SUMIFS('ТСО_250-270_эл'!$AC:$AC,'ТСО_250-270_эл'!$A:$A,K$19,'ТСО_250-270_эл'!$B:$B,$A49)</f>
        <v>0</v>
      </c>
      <c r="L49" s="38">
        <f>SUMIFS('ТСО_250-270_эл'!$AC:$AC,'ТСО_250-270_эл'!$A:$A,L$19,'ТСО_250-270_эл'!$B:$B,$A49)</f>
        <v>0</v>
      </c>
      <c r="M49" s="38">
        <f>SUMIFS('ТСО_250-270_эл'!$AC:$AC,'ТСО_250-270_эл'!$A:$A,M$19,'ТСО_250-270_эл'!$B:$B,$A49)</f>
        <v>0</v>
      </c>
      <c r="N49" s="38">
        <f>SUMIFS('ТСО_250-270_эл'!$AC:$AC,'ТСО_250-270_эл'!$A:$A,N$19,'ТСО_250-270_эл'!$B:$B,$A49)</f>
        <v>0</v>
      </c>
      <c r="O49" s="38">
        <f>SUMIFS('ТСО_250-270_эл'!$AC:$AC,'ТСО_250-270_эл'!$A:$A,O$19,'ТСО_250-270_эл'!$B:$B,$A49)</f>
        <v>0</v>
      </c>
      <c r="P49" s="17"/>
    </row>
    <row r="50" spans="1:16" x14ac:dyDescent="0.25">
      <c r="A50" s="36" t="str">
        <f>'ТСО_250-270_эл'!B92</f>
        <v>Расходники</v>
      </c>
      <c r="C50" s="196">
        <f>MAX(C$20:C49)+1</f>
        <v>27</v>
      </c>
      <c r="D50" s="33" t="str">
        <f>'ТСО_250-270_эл'!D92</f>
        <v>Расходники</v>
      </c>
      <c r="E50" s="18" t="str">
        <f>'ТСО_250-270_эл'!E92</f>
        <v>руб/м3</v>
      </c>
      <c r="F50" s="38" t="e">
        <f>SUMIFS('ТСО_250-270_эл'!$AC:$AC,'ТСО_250-270_эл'!$A:$A,F$19,'ТСО_250-270_эл'!$B:$B,$A50)</f>
        <v>#DIV/0!</v>
      </c>
      <c r="G50" s="38">
        <f>SUMIFS('ТСО_250-270_эл'!$AC:$AC,'ТСО_250-270_эл'!$A:$A,G$19,'ТСО_250-270_эл'!$B:$B,$A50)</f>
        <v>0</v>
      </c>
      <c r="H50" s="38">
        <f>SUMIFS('ТСО_250-270_эл'!$AC:$AC,'ТСО_250-270_эл'!$A:$A,H$19,'ТСО_250-270_эл'!$B:$B,$A50)</f>
        <v>0</v>
      </c>
      <c r="I50" s="38">
        <f>SUMIFS('ТСО_250-270_эл'!$AC:$AC,'ТСО_250-270_эл'!$A:$A,I$19,'ТСО_250-270_эл'!$B:$B,$A50)</f>
        <v>0</v>
      </c>
      <c r="J50" s="38">
        <f>SUMIFS('ТСО_250-270_эл'!$AC:$AC,'ТСО_250-270_эл'!$A:$A,J$19,'ТСО_250-270_эл'!$B:$B,$A50)</f>
        <v>0</v>
      </c>
      <c r="K50" s="38">
        <f>SUMIFS('ТСО_250-270_эл'!$AC:$AC,'ТСО_250-270_эл'!$A:$A,K$19,'ТСО_250-270_эл'!$B:$B,$A50)</f>
        <v>0</v>
      </c>
      <c r="L50" s="38">
        <f>SUMIFS('ТСО_250-270_эл'!$AC:$AC,'ТСО_250-270_эл'!$A:$A,L$19,'ТСО_250-270_эл'!$B:$B,$A50)</f>
        <v>0</v>
      </c>
      <c r="M50" s="38">
        <f>SUMIFS('ТСО_250-270_эл'!$AC:$AC,'ТСО_250-270_эл'!$A:$A,M$19,'ТСО_250-270_эл'!$B:$B,$A50)</f>
        <v>0</v>
      </c>
      <c r="N50" s="38">
        <f>SUMIFS('ТСО_250-270_эл'!$AC:$AC,'ТСО_250-270_эл'!$A:$A,N$19,'ТСО_250-270_эл'!$B:$B,$A50)</f>
        <v>0</v>
      </c>
      <c r="O50" s="38">
        <f>SUMIFS('ТСО_250-270_эл'!$AC:$AC,'ТСО_250-270_эл'!$A:$A,O$19,'ТСО_250-270_эл'!$B:$B,$A50)</f>
        <v>0</v>
      </c>
      <c r="P50" s="17"/>
    </row>
    <row r="51" spans="1:16" x14ac:dyDescent="0.25">
      <c r="A51" s="36" t="str">
        <f>'ТСО_250-270_эл'!B93</f>
        <v>Топливо/Электроэнергия</v>
      </c>
      <c r="C51" s="196">
        <f>MAX(C$20:C50)+1</f>
        <v>28</v>
      </c>
      <c r="D51" s="33" t="str">
        <f>'ТСО_250-270_эл'!D93</f>
        <v>Топливо/Электроэнергия</v>
      </c>
      <c r="E51" s="18" t="str">
        <f>'ТСО_250-270_эл'!E93</f>
        <v>руб/м3</v>
      </c>
      <c r="F51" s="38" t="e">
        <f>SUMIFS('ТСО_250-270_эл'!$AC:$AC,'ТСО_250-270_эл'!$A:$A,F$19,'ТСО_250-270_эл'!$B:$B,$A51)</f>
        <v>#DIV/0!</v>
      </c>
      <c r="G51" s="38">
        <f>SUMIFS('ТСО_250-270_эл'!$AC:$AC,'ТСО_250-270_эл'!$A:$A,G$19,'ТСО_250-270_эл'!$B:$B,$A51)</f>
        <v>0</v>
      </c>
      <c r="H51" s="38">
        <f>SUMIFS('ТСО_250-270_эл'!$AC:$AC,'ТСО_250-270_эл'!$A:$A,H$19,'ТСО_250-270_эл'!$B:$B,$A51)</f>
        <v>0</v>
      </c>
      <c r="I51" s="38">
        <f>SUMIFS('ТСО_250-270_эл'!$AC:$AC,'ТСО_250-270_эл'!$A:$A,I$19,'ТСО_250-270_эл'!$B:$B,$A51)</f>
        <v>0</v>
      </c>
      <c r="J51" s="38">
        <f>SUMIFS('ТСО_250-270_эл'!$AC:$AC,'ТСО_250-270_эл'!$A:$A,J$19,'ТСО_250-270_эл'!$B:$B,$A51)</f>
        <v>0</v>
      </c>
      <c r="K51" s="38">
        <f>SUMIFS('ТСО_250-270_эл'!$AC:$AC,'ТСО_250-270_эл'!$A:$A,K$19,'ТСО_250-270_эл'!$B:$B,$A51)</f>
        <v>0</v>
      </c>
      <c r="L51" s="38">
        <f>SUMIFS('ТСО_250-270_эл'!$AC:$AC,'ТСО_250-270_эл'!$A:$A,L$19,'ТСО_250-270_эл'!$B:$B,$A51)</f>
        <v>0</v>
      </c>
      <c r="M51" s="38">
        <f>SUMIFS('ТСО_250-270_эл'!$AC:$AC,'ТСО_250-270_эл'!$A:$A,M$19,'ТСО_250-270_эл'!$B:$B,$A51)</f>
        <v>0</v>
      </c>
      <c r="N51" s="38">
        <f>SUMIFS('ТСО_250-270_эл'!$AC:$AC,'ТСО_250-270_эл'!$A:$A,N$19,'ТСО_250-270_эл'!$B:$B,$A51)</f>
        <v>0</v>
      </c>
      <c r="O51" s="38">
        <f>SUMIFS('ТСО_250-270_эл'!$AC:$AC,'ТСО_250-270_эл'!$A:$A,O$19,'ТСО_250-270_эл'!$B:$B,$A51)</f>
        <v>0</v>
      </c>
      <c r="P51" s="17"/>
    </row>
    <row r="52" spans="1:16" x14ac:dyDescent="0.25">
      <c r="A52" s="36" t="str">
        <f>'ТСО_250-270_эл'!B94</f>
        <v>Затраты на персонал</v>
      </c>
      <c r="C52" s="196">
        <f>MAX(C$20:C51)+1</f>
        <v>29</v>
      </c>
      <c r="D52" s="33" t="str">
        <f>'ТСО_250-270_эл'!D94</f>
        <v>Затраты на персонал</v>
      </c>
      <c r="E52" s="18" t="str">
        <f>'ТСО_250-270_эл'!E94</f>
        <v>руб/м3</v>
      </c>
      <c r="F52" s="38" t="e">
        <f>SUMIFS('ТСО_250-270_эл'!$AC:$AC,'ТСО_250-270_эл'!$A:$A,F$19,'ТСО_250-270_эл'!$B:$B,$A52)</f>
        <v>#DIV/0!</v>
      </c>
      <c r="G52" s="38">
        <f>SUMIFS('ТСО_250-270_эл'!$AC:$AC,'ТСО_250-270_эл'!$A:$A,G$19,'ТСО_250-270_эл'!$B:$B,$A52)</f>
        <v>0</v>
      </c>
      <c r="H52" s="38">
        <f>SUMIFS('ТСО_250-270_эл'!$AC:$AC,'ТСО_250-270_эл'!$A:$A,H$19,'ТСО_250-270_эл'!$B:$B,$A52)</f>
        <v>0</v>
      </c>
      <c r="I52" s="38">
        <f>SUMIFS('ТСО_250-270_эл'!$AC:$AC,'ТСО_250-270_эл'!$A:$A,I$19,'ТСО_250-270_эл'!$B:$B,$A52)</f>
        <v>0</v>
      </c>
      <c r="J52" s="38">
        <f>SUMIFS('ТСО_250-270_эл'!$AC:$AC,'ТСО_250-270_эл'!$A:$A,J$19,'ТСО_250-270_эл'!$B:$B,$A52)</f>
        <v>0</v>
      </c>
      <c r="K52" s="38">
        <f>SUMIFS('ТСО_250-270_эл'!$AC:$AC,'ТСО_250-270_эл'!$A:$A,K$19,'ТСО_250-270_эл'!$B:$B,$A52)</f>
        <v>0</v>
      </c>
      <c r="L52" s="38">
        <f>SUMIFS('ТСО_250-270_эл'!$AC:$AC,'ТСО_250-270_эл'!$A:$A,L$19,'ТСО_250-270_эл'!$B:$B,$A52)</f>
        <v>0</v>
      </c>
      <c r="M52" s="38">
        <f>SUMIFS('ТСО_250-270_эл'!$AC:$AC,'ТСО_250-270_эл'!$A:$A,M$19,'ТСО_250-270_эл'!$B:$B,$A52)</f>
        <v>0</v>
      </c>
      <c r="N52" s="38">
        <f>SUMIFS('ТСО_250-270_эл'!$AC:$AC,'ТСО_250-270_эл'!$A:$A,N$19,'ТСО_250-270_эл'!$B:$B,$A52)</f>
        <v>0</v>
      </c>
      <c r="O52" s="38">
        <f>SUMIFS('ТСО_250-270_эл'!$AC:$AC,'ТСО_250-270_эл'!$A:$A,O$19,'ТСО_250-270_эл'!$B:$B,$A52)</f>
        <v>0</v>
      </c>
      <c r="P52" s="17"/>
    </row>
    <row r="53" spans="1:16" x14ac:dyDescent="0.25">
      <c r="A53" s="36" t="str">
        <f>'ТСО_250-270_эл'!B95</f>
        <v>Транспортный налог</v>
      </c>
      <c r="C53" s="196">
        <f>MAX(C$20:C52)+1</f>
        <v>30</v>
      </c>
      <c r="D53" s="33" t="str">
        <f>'ТСО_250-270_эл'!D95</f>
        <v>Транспортный налог</v>
      </c>
      <c r="E53" s="18" t="str">
        <f>'ТСО_250-270_эл'!E95</f>
        <v>руб/м3</v>
      </c>
      <c r="F53" s="38" t="e">
        <f>SUMIFS('ТСО_250-270_эл'!$AC:$AC,'ТСО_250-270_эл'!$A:$A,F$19,'ТСО_250-270_эл'!$B:$B,$A53)</f>
        <v>#DIV/0!</v>
      </c>
      <c r="G53" s="38">
        <f>SUMIFS('ТСО_250-270_эл'!$AC:$AC,'ТСО_250-270_эл'!$A:$A,G$19,'ТСО_250-270_эл'!$B:$B,$A53)</f>
        <v>0</v>
      </c>
      <c r="H53" s="38">
        <f>SUMIFS('ТСО_250-270_эл'!$AC:$AC,'ТСО_250-270_эл'!$A:$A,H$19,'ТСО_250-270_эл'!$B:$B,$A53)</f>
        <v>0</v>
      </c>
      <c r="I53" s="38">
        <f>SUMIFS('ТСО_250-270_эл'!$AC:$AC,'ТСО_250-270_эл'!$A:$A,I$19,'ТСО_250-270_эл'!$B:$B,$A53)</f>
        <v>0</v>
      </c>
      <c r="J53" s="38">
        <f>SUMIFS('ТСО_250-270_эл'!$AC:$AC,'ТСО_250-270_эл'!$A:$A,J$19,'ТСО_250-270_эл'!$B:$B,$A53)</f>
        <v>0</v>
      </c>
      <c r="K53" s="38">
        <f>SUMIFS('ТСО_250-270_эл'!$AC:$AC,'ТСО_250-270_эл'!$A:$A,K$19,'ТСО_250-270_эл'!$B:$B,$A53)</f>
        <v>0</v>
      </c>
      <c r="L53" s="38">
        <f>SUMIFS('ТСО_250-270_эл'!$AC:$AC,'ТСО_250-270_эл'!$A:$A,L$19,'ТСО_250-270_эл'!$B:$B,$A53)</f>
        <v>0</v>
      </c>
      <c r="M53" s="38">
        <f>SUMIFS('ТСО_250-270_эл'!$AC:$AC,'ТСО_250-270_эл'!$A:$A,M$19,'ТСО_250-270_эл'!$B:$B,$A53)</f>
        <v>0</v>
      </c>
      <c r="N53" s="38">
        <f>SUMIFS('ТСО_250-270_эл'!$AC:$AC,'ТСО_250-270_эл'!$A:$A,N$19,'ТСО_250-270_эл'!$B:$B,$A53)</f>
        <v>0</v>
      </c>
      <c r="O53" s="38">
        <f>SUMIFS('ТСО_250-270_эл'!$AC:$AC,'ТСО_250-270_эл'!$A:$A,O$19,'ТСО_250-270_эл'!$B:$B,$A53)</f>
        <v>0</v>
      </c>
      <c r="P53" s="17"/>
    </row>
    <row r="54" spans="1:16" x14ac:dyDescent="0.25">
      <c r="A54" s="36" t="str">
        <f>'ТСО_250-270_эл'!B96</f>
        <v>Налог на прибыль</v>
      </c>
      <c r="C54" s="196">
        <f>MAX(C$20:C53)+1</f>
        <v>31</v>
      </c>
      <c r="D54" s="33" t="str">
        <f>'ТСО_250-270_эл'!D96</f>
        <v>Налог на прибыль</v>
      </c>
      <c r="E54" s="18" t="str">
        <f>'ТСО_250-270_эл'!E96</f>
        <v>руб/м3</v>
      </c>
      <c r="F54" s="38" t="e">
        <f>SUMIFS('ТСО_250-270_эл'!$AC:$AC,'ТСО_250-270_эл'!$A:$A,F$19,'ТСО_250-270_эл'!$B:$B,$A54)</f>
        <v>#DIV/0!</v>
      </c>
      <c r="G54" s="38">
        <f>SUMIFS('ТСО_250-270_эл'!$AC:$AC,'ТСО_250-270_эл'!$A:$A,G$19,'ТСО_250-270_эл'!$B:$B,$A54)</f>
        <v>0</v>
      </c>
      <c r="H54" s="38">
        <f>SUMIFS('ТСО_250-270_эл'!$AC:$AC,'ТСО_250-270_эл'!$A:$A,H$19,'ТСО_250-270_эл'!$B:$B,$A54)</f>
        <v>0</v>
      </c>
      <c r="I54" s="38">
        <f>SUMIFS('ТСО_250-270_эл'!$AC:$AC,'ТСО_250-270_эл'!$A:$A,I$19,'ТСО_250-270_эл'!$B:$B,$A54)</f>
        <v>0</v>
      </c>
      <c r="J54" s="38">
        <f>SUMIFS('ТСО_250-270_эл'!$AC:$AC,'ТСО_250-270_эл'!$A:$A,J$19,'ТСО_250-270_эл'!$B:$B,$A54)</f>
        <v>0</v>
      </c>
      <c r="K54" s="38">
        <f>SUMIFS('ТСО_250-270_эл'!$AC:$AC,'ТСО_250-270_эл'!$A:$A,K$19,'ТСО_250-270_эл'!$B:$B,$A54)</f>
        <v>0</v>
      </c>
      <c r="L54" s="38">
        <f>SUMIFS('ТСО_250-270_эл'!$AC:$AC,'ТСО_250-270_эл'!$A:$A,L$19,'ТСО_250-270_эл'!$B:$B,$A54)</f>
        <v>0</v>
      </c>
      <c r="M54" s="38">
        <f>SUMIFS('ТСО_250-270_эл'!$AC:$AC,'ТСО_250-270_эл'!$A:$A,M$19,'ТСО_250-270_эл'!$B:$B,$A54)</f>
        <v>0</v>
      </c>
      <c r="N54" s="38">
        <f>SUMIFS('ТСО_250-270_эл'!$AC:$AC,'ТСО_250-270_эл'!$A:$A,N$19,'ТСО_250-270_эл'!$B:$B,$A54)</f>
        <v>0</v>
      </c>
      <c r="O54" s="38">
        <f>SUMIFS('ТСО_250-270_эл'!$AC:$AC,'ТСО_250-270_эл'!$A:$A,O$19,'ТСО_250-270_эл'!$B:$B,$A54)</f>
        <v>0</v>
      </c>
      <c r="P54" s="17"/>
    </row>
    <row r="55" spans="1:16" x14ac:dyDescent="0.25">
      <c r="A55" s="36" t="str">
        <f>'ТСО_250-270_эл'!B97</f>
        <v>Аннуитет инвестиционный</v>
      </c>
      <c r="C55" s="196">
        <f>MAX(C$20:C54)+1</f>
        <v>32</v>
      </c>
      <c r="D55" s="19" t="str">
        <f>'ТСО_250-270_эл'!D97</f>
        <v>Аннуитет инвестиционный</v>
      </c>
      <c r="E55" s="20" t="str">
        <f>'ТСО_250-270_эл'!E97</f>
        <v>руб/м3</v>
      </c>
      <c r="F55" s="37" t="e">
        <f>SUMIFS('ТСО_250-270_эл'!$AC:$AC,'ТСО_250-270_эл'!$A:$A,F$19,'ТСО_250-270_эл'!$B:$B,$A55)</f>
        <v>#DIV/0!</v>
      </c>
      <c r="G55" s="37">
        <f>SUMIFS('ТСО_250-270_эл'!$AC:$AC,'ТСО_250-270_эл'!$A:$A,G$19,'ТСО_250-270_эл'!$B:$B,$A55)</f>
        <v>0</v>
      </c>
      <c r="H55" s="37">
        <f>SUMIFS('ТСО_250-270_эл'!$AC:$AC,'ТСО_250-270_эл'!$A:$A,H$19,'ТСО_250-270_эл'!$B:$B,$A55)</f>
        <v>0</v>
      </c>
      <c r="I55" s="37">
        <f>SUMIFS('ТСО_250-270_эл'!$AC:$AC,'ТСО_250-270_эл'!$A:$A,I$19,'ТСО_250-270_эл'!$B:$B,$A55)</f>
        <v>0</v>
      </c>
      <c r="J55" s="37">
        <f>SUMIFS('ТСО_250-270_эл'!$AC:$AC,'ТСО_250-270_эл'!$A:$A,J$19,'ТСО_250-270_эл'!$B:$B,$A55)</f>
        <v>0</v>
      </c>
      <c r="K55" s="37">
        <f>SUMIFS('ТСО_250-270_эл'!$AC:$AC,'ТСО_250-270_эл'!$A:$A,K$19,'ТСО_250-270_эл'!$B:$B,$A55)</f>
        <v>0</v>
      </c>
      <c r="L55" s="37">
        <f>SUMIFS('ТСО_250-270_эл'!$AC:$AC,'ТСО_250-270_эл'!$A:$A,L$19,'ТСО_250-270_эл'!$B:$B,$A55)</f>
        <v>0</v>
      </c>
      <c r="M55" s="37">
        <f>SUMIFS('ТСО_250-270_эл'!$AC:$AC,'ТСО_250-270_эл'!$A:$A,M$19,'ТСО_250-270_эл'!$B:$B,$A55)</f>
        <v>0</v>
      </c>
      <c r="N55" s="37">
        <f>SUMIFS('ТСО_250-270_эл'!$AC:$AC,'ТСО_250-270_эл'!$A:$A,N$19,'ТСО_250-270_эл'!$B:$B,$A55)</f>
        <v>0</v>
      </c>
      <c r="O55" s="37">
        <f>SUMIFS('ТСО_250-270_эл'!$AC:$AC,'ТСО_250-270_эл'!$A:$A,O$19,'ТСО_250-270_эл'!$B:$B,$A55)</f>
        <v>0</v>
      </c>
      <c r="P55" s="17"/>
    </row>
    <row r="56" spans="1:16" ht="14.3" x14ac:dyDescent="0.25">
      <c r="A56" s="36" t="str">
        <f>'ТСО_250-270_эл'!B99</f>
        <v>Аннуитет общий</v>
      </c>
      <c r="C56" s="196">
        <f>MAX(C$20:C55)+1</f>
        <v>33</v>
      </c>
      <c r="D56" s="40" t="str">
        <f>'ТСО_250-270_эл'!D99</f>
        <v>Аннуитет общий</v>
      </c>
      <c r="E56" s="41" t="str">
        <f>'ТСО_250-270_эл'!E99</f>
        <v>руб/м3</v>
      </c>
      <c r="F56" s="42" t="e">
        <f>SUMIFS('ТСО_250-270_эл'!$AC:$AC,'ТСО_250-270_эл'!$A:$A,F$19,'ТСО_250-270_эл'!$B:$B,$A56)</f>
        <v>#DIV/0!</v>
      </c>
      <c r="G56" s="42">
        <f>SUMIFS('ТСО_250-270_эл'!$AC:$AC,'ТСО_250-270_эл'!$A:$A,G$19,'ТСО_250-270_эл'!$B:$B,$A56)</f>
        <v>0</v>
      </c>
      <c r="H56" s="42">
        <f>SUMIFS('ТСО_250-270_эл'!$AC:$AC,'ТСО_250-270_эл'!$A:$A,H$19,'ТСО_250-270_эл'!$B:$B,$A56)</f>
        <v>0</v>
      </c>
      <c r="I56" s="42">
        <f>SUMIFS('ТСО_250-270_эл'!$AC:$AC,'ТСО_250-270_эл'!$A:$A,I$19,'ТСО_250-270_эл'!$B:$B,$A56)</f>
        <v>0</v>
      </c>
      <c r="J56" s="42">
        <f>SUMIFS('ТСО_250-270_эл'!$AC:$AC,'ТСО_250-270_эл'!$A:$A,J$19,'ТСО_250-270_эл'!$B:$B,$A56)</f>
        <v>0</v>
      </c>
      <c r="K56" s="42">
        <f>SUMIFS('ТСО_250-270_эл'!$AC:$AC,'ТСО_250-270_эл'!$A:$A,K$19,'ТСО_250-270_эл'!$B:$B,$A56)</f>
        <v>0</v>
      </c>
      <c r="L56" s="42">
        <f>SUMIFS('ТСО_250-270_эл'!$AC:$AC,'ТСО_250-270_эл'!$A:$A,L$19,'ТСО_250-270_эл'!$B:$B,$A56)</f>
        <v>0</v>
      </c>
      <c r="M56" s="42">
        <f>SUMIFS('ТСО_250-270_эл'!$AC:$AC,'ТСО_250-270_эл'!$A:$A,M$19,'ТСО_250-270_эл'!$B:$B,$A56)</f>
        <v>0</v>
      </c>
      <c r="N56" s="42">
        <f>SUMIFS('ТСО_250-270_эл'!$AC:$AC,'ТСО_250-270_эл'!$A:$A,N$19,'ТСО_250-270_эл'!$B:$B,$A56)</f>
        <v>0</v>
      </c>
      <c r="O56" s="42">
        <f>SUMIFS('ТСО_250-270_эл'!$AC:$AC,'ТСО_250-270_эл'!$A:$A,O$19,'ТСО_250-270_эл'!$B:$B,$A56)</f>
        <v>0</v>
      </c>
      <c r="P56" s="17"/>
    </row>
    <row r="57" spans="1:16" x14ac:dyDescent="0.25">
      <c r="C57" s="202"/>
      <c r="D57" s="43"/>
      <c r="E57" s="44"/>
      <c r="F57" s="45" t="e">
        <f>F45-SUM(F46:F54)+F56-F45-F55</f>
        <v>#DIV/0!</v>
      </c>
      <c r="G57" s="45">
        <f t="shared" ref="G57:O57" si="8">G45-SUM(G46:G54)+G56-G45-G55</f>
        <v>0</v>
      </c>
      <c r="H57" s="45">
        <f t="shared" si="8"/>
        <v>0</v>
      </c>
      <c r="I57" s="45">
        <f t="shared" si="8"/>
        <v>0</v>
      </c>
      <c r="J57" s="45">
        <f t="shared" si="8"/>
        <v>0</v>
      </c>
      <c r="K57" s="45">
        <f t="shared" si="8"/>
        <v>0</v>
      </c>
      <c r="L57" s="45">
        <f t="shared" si="8"/>
        <v>0</v>
      </c>
      <c r="M57" s="45">
        <f t="shared" si="8"/>
        <v>0</v>
      </c>
      <c r="N57" s="45">
        <f t="shared" si="8"/>
        <v>0</v>
      </c>
      <c r="O57" s="45">
        <f t="shared" si="8"/>
        <v>0</v>
      </c>
      <c r="P57" s="43"/>
    </row>
    <row r="58" spans="1:16" outlineLevel="1" x14ac:dyDescent="0.25">
      <c r="A58" s="2" t="s">
        <v>32</v>
      </c>
      <c r="C58" s="175"/>
      <c r="D58" s="2" t="str">
        <f>D56</f>
        <v>Аннуитет общий</v>
      </c>
      <c r="F58" s="46" t="e">
        <f>IF(F56&gt;0,F56,"нет")</f>
        <v>#DIV/0!</v>
      </c>
      <c r="G58" s="46" t="str">
        <f t="shared" ref="G58:O58" si="9">IF(G56&gt;0,G56,"нет")</f>
        <v>нет</v>
      </c>
      <c r="H58" s="46" t="str">
        <f t="shared" si="9"/>
        <v>нет</v>
      </c>
      <c r="I58" s="46" t="str">
        <f t="shared" si="9"/>
        <v>нет</v>
      </c>
      <c r="J58" s="46" t="str">
        <f t="shared" si="9"/>
        <v>нет</v>
      </c>
      <c r="K58" s="46" t="str">
        <f t="shared" si="9"/>
        <v>нет</v>
      </c>
      <c r="L58" s="46" t="str">
        <f t="shared" si="9"/>
        <v>нет</v>
      </c>
      <c r="M58" s="46" t="str">
        <f t="shared" si="9"/>
        <v>нет</v>
      </c>
      <c r="N58" s="46" t="str">
        <f t="shared" si="9"/>
        <v>нет</v>
      </c>
      <c r="O58" s="46" t="str">
        <f t="shared" si="9"/>
        <v>нет</v>
      </c>
    </row>
    <row r="59" spans="1:16" outlineLevel="1" x14ac:dyDescent="0.25">
      <c r="A59" s="2" t="str">
        <f>A58</f>
        <v>для ранжирования</v>
      </c>
      <c r="C59" s="175"/>
      <c r="D59" s="2" t="str">
        <f>D33</f>
        <v>Стоимость станка</v>
      </c>
      <c r="F59" s="47" t="str">
        <f>IF(F33&gt;0,F33,"нет")</f>
        <v>нет</v>
      </c>
      <c r="G59" s="47" t="str">
        <f t="shared" ref="G59:O59" si="10">IF(G33&gt;0,G33,"нет")</f>
        <v>нет</v>
      </c>
      <c r="H59" s="47" t="str">
        <f t="shared" si="10"/>
        <v>нет</v>
      </c>
      <c r="I59" s="47" t="str">
        <f t="shared" si="10"/>
        <v>нет</v>
      </c>
      <c r="J59" s="47" t="str">
        <f t="shared" si="10"/>
        <v>нет</v>
      </c>
      <c r="K59" s="47" t="str">
        <f t="shared" si="10"/>
        <v>нет</v>
      </c>
      <c r="L59" s="47" t="str">
        <f t="shared" si="10"/>
        <v>нет</v>
      </c>
      <c r="M59" s="47" t="str">
        <f t="shared" si="10"/>
        <v>нет</v>
      </c>
      <c r="N59" s="47" t="str">
        <f t="shared" si="10"/>
        <v>нет</v>
      </c>
      <c r="O59" s="47" t="str">
        <f t="shared" si="10"/>
        <v>нет</v>
      </c>
    </row>
    <row r="60" spans="1:16" outlineLevel="1" x14ac:dyDescent="0.25">
      <c r="A60" s="2" t="str">
        <f>A58</f>
        <v>для ранжирования</v>
      </c>
      <c r="C60" s="175"/>
      <c r="F60" s="2" t="str">
        <f>F19</f>
        <v>СБШ-250/270КП</v>
      </c>
      <c r="G60" s="2">
        <f t="shared" ref="G60:O60" si="11">G19</f>
        <v>0</v>
      </c>
      <c r="H60" s="2">
        <f t="shared" si="11"/>
        <v>0</v>
      </c>
      <c r="I60" s="2">
        <f t="shared" si="11"/>
        <v>0</v>
      </c>
      <c r="J60" s="2">
        <f t="shared" si="11"/>
        <v>0</v>
      </c>
      <c r="K60" s="2">
        <f t="shared" si="11"/>
        <v>0</v>
      </c>
      <c r="L60" s="2">
        <f t="shared" si="11"/>
        <v>0</v>
      </c>
      <c r="M60" s="2">
        <f t="shared" si="11"/>
        <v>0</v>
      </c>
      <c r="N60" s="2">
        <f t="shared" si="11"/>
        <v>0</v>
      </c>
      <c r="O60" s="2">
        <f t="shared" si="11"/>
        <v>0</v>
      </c>
    </row>
  </sheetData>
  <mergeCells count="14">
    <mergeCell ref="D28:D29"/>
    <mergeCell ref="D30:D31"/>
    <mergeCell ref="H11:J11"/>
    <mergeCell ref="H12:J12"/>
    <mergeCell ref="H13:J13"/>
    <mergeCell ref="H14:J14"/>
    <mergeCell ref="H15:J15"/>
    <mergeCell ref="H16:J16"/>
    <mergeCell ref="H10:J10"/>
    <mergeCell ref="H5:J5"/>
    <mergeCell ref="H6:J6"/>
    <mergeCell ref="H7:J7"/>
    <mergeCell ref="H8:J8"/>
    <mergeCell ref="H9:J9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43CA-D378-4515-9E86-09FAA0CB6C2D}">
  <sheetPr>
    <tabColor rgb="FFFF0000"/>
  </sheetPr>
  <dimension ref="A1:AV114"/>
  <sheetViews>
    <sheetView showGridLines="0" zoomScaleNormal="100" workbookViewId="0">
      <selection activeCell="E19" sqref="E19"/>
    </sheetView>
  </sheetViews>
  <sheetFormatPr defaultRowHeight="13.6" outlineLevelRow="1" outlineLevelCol="1" x14ac:dyDescent="0.25"/>
  <cols>
    <col min="1" max="3" width="9.125" style="2" customWidth="1" outlineLevel="1"/>
    <col min="4" max="4" width="44.5" style="2" bestFit="1" customWidth="1"/>
    <col min="5" max="5" width="11.875" style="2" bestFit="1" customWidth="1"/>
    <col min="6" max="26" width="8.125" style="2" customWidth="1"/>
    <col min="27" max="27" width="9" style="2" customWidth="1" outlineLevel="1"/>
    <col min="28" max="28" width="19" style="2" customWidth="1" outlineLevel="1"/>
    <col min="29" max="29" width="9" style="2" customWidth="1" outlineLevel="1"/>
    <col min="30" max="16384" width="9" style="2"/>
  </cols>
  <sheetData>
    <row r="1" spans="1:29" outlineLevel="1" x14ac:dyDescent="0.25">
      <c r="A1" s="48" t="s">
        <v>33</v>
      </c>
      <c r="B1" s="48" t="s">
        <v>33</v>
      </c>
      <c r="C1" s="48" t="s">
        <v>33</v>
      </c>
      <c r="D1" s="49" t="s">
        <v>6</v>
      </c>
      <c r="E1" s="49" t="s">
        <v>7</v>
      </c>
      <c r="F1" s="50">
        <f>G1-1</f>
        <v>0</v>
      </c>
      <c r="G1" s="51">
        <v>1</v>
      </c>
      <c r="H1" s="50">
        <f>G1+1</f>
        <v>2</v>
      </c>
      <c r="I1" s="50">
        <f t="shared" ref="I1:Z2" si="0">H1+1</f>
        <v>3</v>
      </c>
      <c r="J1" s="50">
        <f t="shared" si="0"/>
        <v>4</v>
      </c>
      <c r="K1" s="50">
        <f t="shared" si="0"/>
        <v>5</v>
      </c>
      <c r="L1" s="50">
        <f t="shared" si="0"/>
        <v>6</v>
      </c>
      <c r="M1" s="50">
        <f t="shared" si="0"/>
        <v>7</v>
      </c>
      <c r="N1" s="50">
        <f t="shared" si="0"/>
        <v>8</v>
      </c>
      <c r="O1" s="50">
        <f t="shared" si="0"/>
        <v>9</v>
      </c>
      <c r="P1" s="50">
        <f t="shared" si="0"/>
        <v>10</v>
      </c>
      <c r="Q1" s="50">
        <f t="shared" si="0"/>
        <v>11</v>
      </c>
      <c r="R1" s="50">
        <f t="shared" si="0"/>
        <v>12</v>
      </c>
      <c r="S1" s="50">
        <f t="shared" si="0"/>
        <v>13</v>
      </c>
      <c r="T1" s="50">
        <f t="shared" si="0"/>
        <v>14</v>
      </c>
      <c r="U1" s="50">
        <f t="shared" si="0"/>
        <v>15</v>
      </c>
      <c r="V1" s="50">
        <f t="shared" si="0"/>
        <v>16</v>
      </c>
      <c r="W1" s="50">
        <f t="shared" si="0"/>
        <v>17</v>
      </c>
      <c r="X1" s="50">
        <f t="shared" si="0"/>
        <v>18</v>
      </c>
      <c r="Y1" s="50">
        <f t="shared" si="0"/>
        <v>19</v>
      </c>
      <c r="Z1" s="50">
        <f t="shared" si="0"/>
        <v>20</v>
      </c>
      <c r="AA1" s="173" t="s">
        <v>33</v>
      </c>
      <c r="AB1" s="48" t="s">
        <v>33</v>
      </c>
      <c r="AC1" s="48" t="s">
        <v>33</v>
      </c>
    </row>
    <row r="2" spans="1:29" outlineLevel="1" x14ac:dyDescent="0.25">
      <c r="A2" s="2" t="s">
        <v>34</v>
      </c>
      <c r="F2" s="52" t="s">
        <v>12</v>
      </c>
      <c r="G2" s="51">
        <v>2027</v>
      </c>
      <c r="H2" s="50">
        <f>G2+1</f>
        <v>2028</v>
      </c>
      <c r="I2" s="50">
        <f t="shared" si="0"/>
        <v>2029</v>
      </c>
      <c r="J2" s="50">
        <f t="shared" si="0"/>
        <v>2030</v>
      </c>
      <c r="K2" s="50">
        <f t="shared" si="0"/>
        <v>2031</v>
      </c>
      <c r="L2" s="50">
        <f t="shared" si="0"/>
        <v>2032</v>
      </c>
      <c r="M2" s="50">
        <f t="shared" si="0"/>
        <v>2033</v>
      </c>
      <c r="N2" s="50">
        <f t="shared" si="0"/>
        <v>2034</v>
      </c>
      <c r="O2" s="50">
        <f t="shared" si="0"/>
        <v>2035</v>
      </c>
      <c r="P2" s="50">
        <f t="shared" si="0"/>
        <v>2036</v>
      </c>
      <c r="Q2" s="50">
        <f t="shared" si="0"/>
        <v>2037</v>
      </c>
      <c r="R2" s="50">
        <f t="shared" si="0"/>
        <v>2038</v>
      </c>
      <c r="S2" s="50">
        <f t="shared" si="0"/>
        <v>2039</v>
      </c>
      <c r="T2" s="50">
        <f t="shared" si="0"/>
        <v>2040</v>
      </c>
      <c r="U2" s="50">
        <f t="shared" si="0"/>
        <v>2041</v>
      </c>
      <c r="V2" s="50">
        <f t="shared" si="0"/>
        <v>2042</v>
      </c>
      <c r="W2" s="50">
        <f t="shared" si="0"/>
        <v>2043</v>
      </c>
      <c r="X2" s="50">
        <f t="shared" si="0"/>
        <v>2044</v>
      </c>
      <c r="Y2" s="50">
        <f t="shared" si="0"/>
        <v>2045</v>
      </c>
      <c r="Z2" s="50">
        <f t="shared" si="0"/>
        <v>2046</v>
      </c>
      <c r="AA2" s="174" t="s">
        <v>35</v>
      </c>
      <c r="AB2" s="2" t="s">
        <v>36</v>
      </c>
      <c r="AC2" s="2" t="s">
        <v>37</v>
      </c>
    </row>
    <row r="3" spans="1:29" outlineLevel="1" x14ac:dyDescent="0.25">
      <c r="A3" s="2" t="s">
        <v>34</v>
      </c>
      <c r="G3" s="195">
        <f>Производительность!E6</f>
        <v>8760</v>
      </c>
      <c r="H3" s="195">
        <f>Производительность!F6</f>
        <v>8760</v>
      </c>
      <c r="I3" s="195">
        <f>Производительность!G6</f>
        <v>8760</v>
      </c>
      <c r="J3" s="195">
        <f>Производительность!H6</f>
        <v>8760</v>
      </c>
      <c r="K3" s="195">
        <f>Производительность!I6</f>
        <v>8760</v>
      </c>
      <c r="L3" s="195">
        <f>Производительность!J6</f>
        <v>8760</v>
      </c>
      <c r="M3" s="195">
        <f>Производительность!K6</f>
        <v>8760</v>
      </c>
      <c r="N3" s="195">
        <f>Производительность!L6</f>
        <v>8760</v>
      </c>
      <c r="O3" s="195">
        <f>Производительность!M6</f>
        <v>8760</v>
      </c>
      <c r="P3" s="195">
        <f>Производительность!N6</f>
        <v>8760</v>
      </c>
      <c r="Q3" s="195">
        <f>Производительность!O6</f>
        <v>8760</v>
      </c>
      <c r="R3" s="195">
        <f>Производительность!P6</f>
        <v>8760</v>
      </c>
      <c r="S3" s="195">
        <f>Производительность!Q6</f>
        <v>8760</v>
      </c>
      <c r="T3" s="195">
        <f>Производительность!R6</f>
        <v>8760</v>
      </c>
      <c r="U3" s="195">
        <f>Производительность!S6</f>
        <v>8760</v>
      </c>
      <c r="V3" s="195">
        <f>Производительность!T6</f>
        <v>8760</v>
      </c>
      <c r="W3" s="195">
        <f>Производительность!U6</f>
        <v>8760</v>
      </c>
      <c r="X3" s="195">
        <f>Производительность!V6</f>
        <v>8760</v>
      </c>
      <c r="Y3" s="195">
        <f>Производительность!W6</f>
        <v>8760</v>
      </c>
      <c r="Z3" s="195">
        <f>Производительность!X6</f>
        <v>8760</v>
      </c>
      <c r="AA3" s="174"/>
    </row>
    <row r="4" spans="1:29" ht="14.3" x14ac:dyDescent="0.25">
      <c r="A4" s="2" t="s">
        <v>34</v>
      </c>
      <c r="D4" s="3" t="s">
        <v>38</v>
      </c>
      <c r="AA4" s="175"/>
    </row>
    <row r="5" spans="1:29" x14ac:dyDescent="0.25">
      <c r="A5" s="2" t="s">
        <v>34</v>
      </c>
      <c r="AA5" s="175"/>
    </row>
    <row r="6" spans="1:29" ht="14.3" x14ac:dyDescent="0.25">
      <c r="A6" s="2" t="s">
        <v>34</v>
      </c>
      <c r="C6" s="54" t="e">
        <f>SUM(F66:Z66,F80:Z80,F101:Z101,AA48)</f>
        <v>#DIV/0!</v>
      </c>
      <c r="D6" s="673" t="str">
        <f>'Свод_250-270_эл'!F19</f>
        <v>СБШ-250/270КП</v>
      </c>
      <c r="E6" s="55">
        <f>SUMIFS(Производительность!$Y$7:$Y$34,Производительность!$C$7:$C$34,$D6)</f>
        <v>0</v>
      </c>
      <c r="F6" s="56" t="str">
        <f>$F$2</f>
        <v>лет</v>
      </c>
      <c r="AA6" s="175"/>
    </row>
    <row r="7" spans="1:29" outlineLevel="1" x14ac:dyDescent="0.25">
      <c r="A7" s="2" t="s">
        <v>34</v>
      </c>
      <c r="AA7" s="175"/>
    </row>
    <row r="8" spans="1:29" outlineLevel="1" x14ac:dyDescent="0.25">
      <c r="A8" s="57" t="str">
        <f>D6</f>
        <v>СБШ-250/270КП</v>
      </c>
      <c r="D8" s="58" t="str">
        <f>D$1</f>
        <v>Показатель</v>
      </c>
      <c r="E8" s="58" t="str">
        <f t="shared" ref="E8:Z8" si="1">E$1</f>
        <v>Ед. изм.</v>
      </c>
      <c r="F8" s="58">
        <f t="shared" si="1"/>
        <v>0</v>
      </c>
      <c r="G8" s="58">
        <f t="shared" si="1"/>
        <v>1</v>
      </c>
      <c r="H8" s="58">
        <f t="shared" si="1"/>
        <v>2</v>
      </c>
      <c r="I8" s="58">
        <f t="shared" si="1"/>
        <v>3</v>
      </c>
      <c r="J8" s="58">
        <f t="shared" si="1"/>
        <v>4</v>
      </c>
      <c r="K8" s="58">
        <f t="shared" si="1"/>
        <v>5</v>
      </c>
      <c r="L8" s="58">
        <f t="shared" si="1"/>
        <v>6</v>
      </c>
      <c r="M8" s="58">
        <f t="shared" si="1"/>
        <v>7</v>
      </c>
      <c r="N8" s="58">
        <f t="shared" si="1"/>
        <v>8</v>
      </c>
      <c r="O8" s="58">
        <f t="shared" si="1"/>
        <v>9</v>
      </c>
      <c r="P8" s="58">
        <f t="shared" si="1"/>
        <v>10</v>
      </c>
      <c r="Q8" s="58">
        <f t="shared" si="1"/>
        <v>11</v>
      </c>
      <c r="R8" s="58">
        <f t="shared" si="1"/>
        <v>12</v>
      </c>
      <c r="S8" s="58">
        <f t="shared" si="1"/>
        <v>13</v>
      </c>
      <c r="T8" s="58">
        <f t="shared" si="1"/>
        <v>14</v>
      </c>
      <c r="U8" s="58">
        <f t="shared" si="1"/>
        <v>15</v>
      </c>
      <c r="V8" s="58">
        <f t="shared" si="1"/>
        <v>16</v>
      </c>
      <c r="W8" s="58">
        <f t="shared" si="1"/>
        <v>17</v>
      </c>
      <c r="X8" s="58">
        <f t="shared" si="1"/>
        <v>18</v>
      </c>
      <c r="Y8" s="58">
        <f t="shared" si="1"/>
        <v>19</v>
      </c>
      <c r="Z8" s="58">
        <f t="shared" si="1"/>
        <v>20</v>
      </c>
      <c r="AA8" s="175"/>
    </row>
    <row r="9" spans="1:29" outlineLevel="1" x14ac:dyDescent="0.25">
      <c r="A9" s="36" t="str">
        <f>A8</f>
        <v>СБШ-250/270КП</v>
      </c>
      <c r="B9" s="36"/>
      <c r="D9" s="59" t="s">
        <v>39</v>
      </c>
      <c r="E9" s="60" t="s">
        <v>40</v>
      </c>
      <c r="F9" s="61"/>
      <c r="G9" s="62">
        <f>SUMIFS(Производительность!E$7:E$34,Производительность!$C$7:$C$34,$A9)</f>
        <v>0</v>
      </c>
      <c r="H9" s="62">
        <f>SUMIFS(Производительность!F$7:F$34,Производительность!$C$7:$C$34,$A9)</f>
        <v>0</v>
      </c>
      <c r="I9" s="62">
        <f>SUMIFS(Производительность!G$7:G$34,Производительность!$C$7:$C$34,$A9)</f>
        <v>0</v>
      </c>
      <c r="J9" s="62">
        <f>SUMIFS(Производительность!H$7:H$34,Производительность!$C$7:$C$34,$A9)</f>
        <v>0</v>
      </c>
      <c r="K9" s="62">
        <f>SUMIFS(Производительность!I$7:I$34,Производительность!$C$7:$C$34,$A9)</f>
        <v>0</v>
      </c>
      <c r="L9" s="62">
        <f>SUMIFS(Производительность!J$7:J$34,Производительность!$C$7:$C$34,$A9)</f>
        <v>0</v>
      </c>
      <c r="M9" s="62">
        <f>SUMIFS(Производительность!K$7:K$34,Производительность!$C$7:$C$34,$A9)</f>
        <v>0</v>
      </c>
      <c r="N9" s="62">
        <f>SUMIFS(Производительность!L$7:L$34,Производительность!$C$7:$C$34,$A9)</f>
        <v>0</v>
      </c>
      <c r="O9" s="62">
        <f>SUMIFS(Производительность!M$7:M$34,Производительность!$C$7:$C$34,$A9)</f>
        <v>0</v>
      </c>
      <c r="P9" s="62">
        <f>SUMIFS(Производительность!N$7:N$34,Производительность!$C$7:$C$34,$A9)</f>
        <v>0</v>
      </c>
      <c r="Q9" s="62">
        <f>SUMIFS(Производительность!O$7:O$34,Производительность!$C$7:$C$34,$A9)</f>
        <v>0</v>
      </c>
      <c r="R9" s="62">
        <f>SUMIFS(Производительность!P$7:P$34,Производительность!$C$7:$C$34,$A9)</f>
        <v>0</v>
      </c>
      <c r="S9" s="62">
        <f>SUMIFS(Производительность!Q$7:Q$34,Производительность!$C$7:$C$34,$A9)</f>
        <v>0</v>
      </c>
      <c r="T9" s="62">
        <f>SUMIFS(Производительность!R$7:R$34,Производительность!$C$7:$C$34,$A9)</f>
        <v>0</v>
      </c>
      <c r="U9" s="62">
        <f>SUMIFS(Производительность!S$7:S$34,Производительность!$C$7:$C$34,$A9)</f>
        <v>0</v>
      </c>
      <c r="V9" s="62">
        <f>SUMIFS(Производительность!T$7:T$34,Производительность!$C$7:$C$34,$A9)</f>
        <v>0</v>
      </c>
      <c r="W9" s="62">
        <f>SUMIFS(Производительность!U$7:U$34,Производительность!$C$7:$C$34,$A9)</f>
        <v>0</v>
      </c>
      <c r="X9" s="62">
        <f>SUMIFS(Производительность!V$7:V$34,Производительность!$C$7:$C$34,$A9)</f>
        <v>0</v>
      </c>
      <c r="Y9" s="62">
        <f>SUMIFS(Производительность!W$7:W$34,Производительность!$C$7:$C$34,$A9)</f>
        <v>0</v>
      </c>
      <c r="Z9" s="62">
        <f>SUMIFS(Производительность!X$7:X$34,Производительность!$C$7:$C$34,$A9)</f>
        <v>0</v>
      </c>
      <c r="AA9" s="175"/>
    </row>
    <row r="10" spans="1:29" outlineLevel="1" x14ac:dyDescent="0.25">
      <c r="A10" s="36" t="str">
        <f t="shared" ref="A10:A73" si="2">A9</f>
        <v>СБШ-250/270КП</v>
      </c>
      <c r="B10" s="36"/>
      <c r="D10" s="59" t="s">
        <v>41</v>
      </c>
      <c r="E10" s="60" t="str">
        <f>E9</f>
        <v>%</v>
      </c>
      <c r="F10" s="61"/>
      <c r="G10" s="62">
        <f>SUMIFS(Производительность!E$115:E$142,Производительность!$C$115:$C$142,$A10)</f>
        <v>0</v>
      </c>
      <c r="H10" s="62">
        <f>SUMIFS(Производительность!F$115:F$142,Производительность!$C$115:$C$142,$A10)</f>
        <v>0</v>
      </c>
      <c r="I10" s="62">
        <f>SUMIFS(Производительность!G$115:G$142,Производительность!$C$115:$C$142,$A10)</f>
        <v>0</v>
      </c>
      <c r="J10" s="62">
        <f>SUMIFS(Производительность!H$115:H$142,Производительность!$C$115:$C$142,$A10)</f>
        <v>0</v>
      </c>
      <c r="K10" s="62">
        <f>SUMIFS(Производительность!I$115:I$142,Производительность!$C$115:$C$142,$A10)</f>
        <v>0</v>
      </c>
      <c r="L10" s="62">
        <f>SUMIFS(Производительность!J$115:J$142,Производительность!$C$115:$C$142,$A10)</f>
        <v>0</v>
      </c>
      <c r="M10" s="62">
        <f>SUMIFS(Производительность!K$115:K$142,Производительность!$C$115:$C$142,$A10)</f>
        <v>0</v>
      </c>
      <c r="N10" s="62">
        <f>SUMIFS(Производительность!L$115:L$142,Производительность!$C$115:$C$142,$A10)</f>
        <v>0</v>
      </c>
      <c r="O10" s="62">
        <f>SUMIFS(Производительность!M$115:M$142,Производительность!$C$115:$C$142,$A10)</f>
        <v>0</v>
      </c>
      <c r="P10" s="62">
        <f>SUMIFS(Производительность!N$115:N$142,Производительность!$C$115:$C$142,$A10)</f>
        <v>0</v>
      </c>
      <c r="Q10" s="62">
        <f>SUMIFS(Производительность!O$115:O$142,Производительность!$C$115:$C$142,$A10)</f>
        <v>0</v>
      </c>
      <c r="R10" s="62">
        <f>SUMIFS(Производительность!P$115:P$142,Производительность!$C$115:$C$142,$A10)</f>
        <v>0</v>
      </c>
      <c r="S10" s="62">
        <f>SUMIFS(Производительность!Q$115:Q$142,Производительность!$C$115:$C$142,$A10)</f>
        <v>0</v>
      </c>
      <c r="T10" s="62">
        <f>SUMIFS(Производительность!R$115:R$142,Производительность!$C$115:$C$142,$A10)</f>
        <v>0</v>
      </c>
      <c r="U10" s="62">
        <f>SUMIFS(Производительность!S$115:S$142,Производительность!$C$115:$C$142,$A10)</f>
        <v>0</v>
      </c>
      <c r="V10" s="62">
        <f>SUMIFS(Производительность!T$115:T$142,Производительность!$C$115:$C$142,$A10)</f>
        <v>0</v>
      </c>
      <c r="W10" s="62">
        <f>SUMIFS(Производительность!U$115:U$142,Производительность!$C$115:$C$142,$A10)</f>
        <v>0</v>
      </c>
      <c r="X10" s="62">
        <f>SUMIFS(Производительность!V$115:V$142,Производительность!$C$115:$C$142,$A10)</f>
        <v>0</v>
      </c>
      <c r="Y10" s="62">
        <f>SUMIFS(Производительность!W$115:W$142,Производительность!$C$115:$C$142,$A10)</f>
        <v>0</v>
      </c>
      <c r="Z10" s="62">
        <f>SUMIFS(Производительность!X$115:X$142,Производительность!$C$115:$C$142,$A10)</f>
        <v>0</v>
      </c>
      <c r="AA10" s="175"/>
    </row>
    <row r="11" spans="1:29" outlineLevel="1" x14ac:dyDescent="0.25">
      <c r="A11" s="36" t="str">
        <f t="shared" si="2"/>
        <v>СБШ-250/270КП</v>
      </c>
      <c r="B11" s="36"/>
      <c r="D11" s="63" t="s">
        <v>177</v>
      </c>
      <c r="E11" s="64" t="s">
        <v>171</v>
      </c>
      <c r="F11" s="65"/>
      <c r="G11" s="65">
        <f>SUMIFS(Производительность!E$196:E$223,Производительность!$C$196:$C$223,$A11)</f>
        <v>0</v>
      </c>
      <c r="H11" s="65">
        <f>SUMIFS(Производительность!F$196:F$223,Производительность!$C$196:$C$223,$A11)</f>
        <v>0</v>
      </c>
      <c r="I11" s="65">
        <f>SUMIFS(Производительность!G$196:G$223,Производительность!$C$196:$C$223,$A11)</f>
        <v>0</v>
      </c>
      <c r="J11" s="65">
        <f>SUMIFS(Производительность!H$196:H$223,Производительность!$C$196:$C$223,$A11)</f>
        <v>0</v>
      </c>
      <c r="K11" s="65">
        <f>SUMIFS(Производительность!I$196:I$223,Производительность!$C$196:$C$223,$A11)</f>
        <v>0</v>
      </c>
      <c r="L11" s="65">
        <f>SUMIFS(Производительность!J$196:J$223,Производительность!$C$196:$C$223,$A11)</f>
        <v>0</v>
      </c>
      <c r="M11" s="65">
        <f>SUMIFS(Производительность!K$196:K$223,Производительность!$C$196:$C$223,$A11)</f>
        <v>0</v>
      </c>
      <c r="N11" s="65">
        <f>SUMIFS(Производительность!L$196:L$223,Производительность!$C$196:$C$223,$A11)</f>
        <v>0</v>
      </c>
      <c r="O11" s="65">
        <f>SUMIFS(Производительность!M$196:M$223,Производительность!$C$196:$C$223,$A11)</f>
        <v>0</v>
      </c>
      <c r="P11" s="65">
        <f>SUMIFS(Производительность!N$196:N$223,Производительность!$C$196:$C$223,$A11)</f>
        <v>0</v>
      </c>
      <c r="Q11" s="65">
        <f>SUMIFS(Производительность!O$196:O$223,Производительность!$C$196:$C$223,$A11)</f>
        <v>0</v>
      </c>
      <c r="R11" s="65">
        <f>SUMIFS(Производительность!P$196:P$223,Производительность!$C$196:$C$223,$A11)</f>
        <v>0</v>
      </c>
      <c r="S11" s="65">
        <f>SUMIFS(Производительность!Q$196:Q$223,Производительность!$C$196:$C$223,$A11)</f>
        <v>0</v>
      </c>
      <c r="T11" s="65">
        <f>SUMIFS(Производительность!R$196:R$223,Производительность!$C$196:$C$223,$A11)</f>
        <v>0</v>
      </c>
      <c r="U11" s="65">
        <f>SUMIFS(Производительность!S$196:S$223,Производительность!$C$196:$C$223,$A11)</f>
        <v>0</v>
      </c>
      <c r="V11" s="65">
        <f>SUMIFS(Производительность!T$196:T$223,Производительность!$C$196:$C$223,$A11)</f>
        <v>0</v>
      </c>
      <c r="W11" s="65">
        <f>SUMIFS(Производительность!U$196:U$223,Производительность!$C$196:$C$223,$A11)</f>
        <v>0</v>
      </c>
      <c r="X11" s="65">
        <f>SUMIFS(Производительность!V$196:V$223,Производительность!$C$196:$C$223,$A11)</f>
        <v>0</v>
      </c>
      <c r="Y11" s="65">
        <f>SUMIFS(Производительность!W$196:W$223,Производительность!$C$196:$C$223,$A11)</f>
        <v>0</v>
      </c>
      <c r="Z11" s="65">
        <f>SUMIFS(Производительность!X$196:X$223,Производительность!$C$196:$C$223,$A11)</f>
        <v>0</v>
      </c>
      <c r="AA11" s="175"/>
    </row>
    <row r="12" spans="1:29" outlineLevel="1" x14ac:dyDescent="0.25">
      <c r="A12" s="36" t="str">
        <f t="shared" si="2"/>
        <v>СБШ-250/270КП</v>
      </c>
      <c r="B12" s="36"/>
      <c r="D12" s="63" t="s">
        <v>178</v>
      </c>
      <c r="E12" s="64" t="s">
        <v>175</v>
      </c>
      <c r="F12" s="65"/>
      <c r="G12" s="65">
        <f>SUMIFS(Производительность!E$250:E$277,Производительность!$C$250:$C$277,$A12)</f>
        <v>0</v>
      </c>
      <c r="H12" s="65">
        <f>SUMIFS(Производительность!F$250:F$277,Производительность!$C$250:$C$277,$A12)</f>
        <v>0</v>
      </c>
      <c r="I12" s="65">
        <f>SUMIFS(Производительность!G$250:G$277,Производительность!$C$250:$C$277,$A12)</f>
        <v>0</v>
      </c>
      <c r="J12" s="65">
        <f>SUMIFS(Производительность!H$250:H$277,Производительность!$C$250:$C$277,$A12)</f>
        <v>0</v>
      </c>
      <c r="K12" s="65">
        <f>SUMIFS(Производительность!I$250:I$277,Производительность!$C$250:$C$277,$A12)</f>
        <v>0</v>
      </c>
      <c r="L12" s="65">
        <f>SUMIFS(Производительность!J$250:J$277,Производительность!$C$250:$C$277,$A12)</f>
        <v>0</v>
      </c>
      <c r="M12" s="65">
        <f>SUMIFS(Производительность!K$250:K$277,Производительность!$C$250:$C$277,$A12)</f>
        <v>0</v>
      </c>
      <c r="N12" s="65">
        <f>SUMIFS(Производительность!L$250:L$277,Производительность!$C$250:$C$277,$A12)</f>
        <v>0</v>
      </c>
      <c r="O12" s="65">
        <f>SUMIFS(Производительность!M$250:M$277,Производительность!$C$250:$C$277,$A12)</f>
        <v>0</v>
      </c>
      <c r="P12" s="65">
        <f>SUMIFS(Производительность!N$250:N$277,Производительность!$C$250:$C$277,$A12)</f>
        <v>0</v>
      </c>
      <c r="Q12" s="65">
        <f>SUMIFS(Производительность!O$250:O$277,Производительность!$C$250:$C$277,$A12)</f>
        <v>0</v>
      </c>
      <c r="R12" s="65">
        <f>SUMIFS(Производительность!P$250:P$277,Производительность!$C$250:$C$277,$A12)</f>
        <v>0</v>
      </c>
      <c r="S12" s="65">
        <f>SUMIFS(Производительность!Q$250:Q$277,Производительность!$C$250:$C$277,$A12)</f>
        <v>0</v>
      </c>
      <c r="T12" s="65">
        <f>SUMIFS(Производительность!R$250:R$277,Производительность!$C$250:$C$277,$A12)</f>
        <v>0</v>
      </c>
      <c r="U12" s="65">
        <f>SUMIFS(Производительность!S$250:S$277,Производительность!$C$250:$C$277,$A12)</f>
        <v>0</v>
      </c>
      <c r="V12" s="65">
        <f>SUMIFS(Производительность!T$250:T$277,Производительность!$C$250:$C$277,$A12)</f>
        <v>0</v>
      </c>
      <c r="W12" s="65">
        <f>SUMIFS(Производительность!U$250:U$277,Производительность!$C$250:$C$277,$A12)</f>
        <v>0</v>
      </c>
      <c r="X12" s="65">
        <f>SUMIFS(Производительность!V$250:V$277,Производительность!$C$250:$C$277,$A12)</f>
        <v>0</v>
      </c>
      <c r="Y12" s="65">
        <f>SUMIFS(Производительность!W$250:W$277,Производительность!$C$250:$C$277,$A12)</f>
        <v>0</v>
      </c>
      <c r="Z12" s="65">
        <f>SUMIFS(Производительность!X$250:X$277,Производительность!$C$250:$C$277,$A12)</f>
        <v>0</v>
      </c>
      <c r="AA12" s="175"/>
    </row>
    <row r="13" spans="1:29" outlineLevel="1" x14ac:dyDescent="0.25">
      <c r="A13" s="36" t="str">
        <f t="shared" si="2"/>
        <v>СБШ-250/270КП</v>
      </c>
      <c r="B13" s="36"/>
      <c r="D13" s="179" t="s">
        <v>179</v>
      </c>
      <c r="E13" s="60" t="str">
        <f>E12</f>
        <v>тыс. м3</v>
      </c>
      <c r="F13" s="61"/>
      <c r="G13" s="320">
        <f>G12</f>
        <v>0</v>
      </c>
      <c r="H13" s="61">
        <f>IF(H12=0,0,G13+H12)</f>
        <v>0</v>
      </c>
      <c r="I13" s="61">
        <f t="shared" ref="I13:Z13" si="3">IF(I12=0,0,H13+I12)</f>
        <v>0</v>
      </c>
      <c r="J13" s="61">
        <f t="shared" si="3"/>
        <v>0</v>
      </c>
      <c r="K13" s="61">
        <f t="shared" si="3"/>
        <v>0</v>
      </c>
      <c r="L13" s="61">
        <f t="shared" si="3"/>
        <v>0</v>
      </c>
      <c r="M13" s="61">
        <f t="shared" si="3"/>
        <v>0</v>
      </c>
      <c r="N13" s="61">
        <f t="shared" si="3"/>
        <v>0</v>
      </c>
      <c r="O13" s="61">
        <f t="shared" si="3"/>
        <v>0</v>
      </c>
      <c r="P13" s="61">
        <f t="shared" si="3"/>
        <v>0</v>
      </c>
      <c r="Q13" s="61">
        <f t="shared" si="3"/>
        <v>0</v>
      </c>
      <c r="R13" s="61">
        <f t="shared" si="3"/>
        <v>0</v>
      </c>
      <c r="S13" s="61">
        <f t="shared" si="3"/>
        <v>0</v>
      </c>
      <c r="T13" s="61">
        <f t="shared" si="3"/>
        <v>0</v>
      </c>
      <c r="U13" s="61">
        <f t="shared" si="3"/>
        <v>0</v>
      </c>
      <c r="V13" s="61">
        <f t="shared" si="3"/>
        <v>0</v>
      </c>
      <c r="W13" s="61">
        <f t="shared" si="3"/>
        <v>0</v>
      </c>
      <c r="X13" s="61">
        <f t="shared" si="3"/>
        <v>0</v>
      </c>
      <c r="Y13" s="61">
        <f t="shared" si="3"/>
        <v>0</v>
      </c>
      <c r="Z13" s="61">
        <f t="shared" si="3"/>
        <v>0</v>
      </c>
      <c r="AA13" s="175"/>
    </row>
    <row r="14" spans="1:29" outlineLevel="1" x14ac:dyDescent="0.25">
      <c r="A14" s="36" t="str">
        <f t="shared" si="2"/>
        <v>СБШ-250/270КП</v>
      </c>
      <c r="B14" s="36"/>
      <c r="D14" s="30"/>
      <c r="E14" s="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175"/>
    </row>
    <row r="15" spans="1:29" outlineLevel="1" x14ac:dyDescent="0.25">
      <c r="A15" s="36" t="str">
        <f t="shared" si="2"/>
        <v>СБШ-250/270КП</v>
      </c>
      <c r="B15" s="36"/>
      <c r="D15" s="66" t="s">
        <v>42</v>
      </c>
      <c r="E15" s="67" t="s">
        <v>21</v>
      </c>
      <c r="F15" s="68">
        <f>F49+F50-F48</f>
        <v>0</v>
      </c>
      <c r="G15" s="68">
        <f t="shared" ref="G15:Z15" si="4">G49+G50-G48</f>
        <v>0</v>
      </c>
      <c r="H15" s="68">
        <f t="shared" si="4"/>
        <v>0</v>
      </c>
      <c r="I15" s="68">
        <f t="shared" si="4"/>
        <v>0</v>
      </c>
      <c r="J15" s="68">
        <f t="shared" si="4"/>
        <v>0</v>
      </c>
      <c r="K15" s="68">
        <f t="shared" si="4"/>
        <v>0</v>
      </c>
      <c r="L15" s="68">
        <f t="shared" si="4"/>
        <v>0</v>
      </c>
      <c r="M15" s="68">
        <f t="shared" si="4"/>
        <v>0</v>
      </c>
      <c r="N15" s="68">
        <f t="shared" si="4"/>
        <v>0</v>
      </c>
      <c r="O15" s="68">
        <f t="shared" si="4"/>
        <v>0</v>
      </c>
      <c r="P15" s="68">
        <f t="shared" si="4"/>
        <v>0</v>
      </c>
      <c r="Q15" s="68">
        <f t="shared" si="4"/>
        <v>0</v>
      </c>
      <c r="R15" s="68">
        <f t="shared" si="4"/>
        <v>0</v>
      </c>
      <c r="S15" s="68">
        <f t="shared" si="4"/>
        <v>0</v>
      </c>
      <c r="T15" s="68">
        <f t="shared" si="4"/>
        <v>0</v>
      </c>
      <c r="U15" s="68">
        <f t="shared" si="4"/>
        <v>0</v>
      </c>
      <c r="V15" s="68">
        <f t="shared" si="4"/>
        <v>0</v>
      </c>
      <c r="W15" s="68">
        <f t="shared" si="4"/>
        <v>0</v>
      </c>
      <c r="X15" s="68">
        <f t="shared" si="4"/>
        <v>0</v>
      </c>
      <c r="Y15" s="68">
        <f t="shared" si="4"/>
        <v>0</v>
      </c>
      <c r="Z15" s="68">
        <f t="shared" si="4"/>
        <v>0</v>
      </c>
      <c r="AA15" s="175"/>
    </row>
    <row r="16" spans="1:29" outlineLevel="1" x14ac:dyDescent="0.25">
      <c r="A16" s="36" t="str">
        <f t="shared" si="2"/>
        <v>СБШ-250/270КП</v>
      </c>
      <c r="B16" s="36"/>
      <c r="D16" s="69" t="s">
        <v>43</v>
      </c>
      <c r="E16" s="64" t="str">
        <f>E15</f>
        <v>тыс. руб.</v>
      </c>
      <c r="F16" s="70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175"/>
      <c r="AB16" s="679" t="e">
        <f>SUM(F16:Z16,F21:Z21)/E6</f>
        <v>#DIV/0!</v>
      </c>
    </row>
    <row r="17" spans="1:27" outlineLevel="1" x14ac:dyDescent="0.25">
      <c r="A17" s="36" t="str">
        <f t="shared" si="2"/>
        <v>СБШ-250/270КП</v>
      </c>
      <c r="B17" s="36"/>
      <c r="D17" s="72" t="s">
        <v>44</v>
      </c>
      <c r="E17" s="32" t="s">
        <v>654</v>
      </c>
      <c r="F17" s="29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5"/>
    </row>
    <row r="18" spans="1:27" outlineLevel="1" x14ac:dyDescent="0.25">
      <c r="A18" s="36" t="str">
        <f t="shared" si="2"/>
        <v>СБШ-250/270КП</v>
      </c>
      <c r="B18" s="36"/>
      <c r="D18" s="72" t="s">
        <v>45</v>
      </c>
      <c r="E18" s="32" t="s">
        <v>654</v>
      </c>
      <c r="F18" s="29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5"/>
    </row>
    <row r="19" spans="1:27" outlineLevel="1" x14ac:dyDescent="0.25">
      <c r="A19" s="36" t="str">
        <f t="shared" si="2"/>
        <v>СБШ-250/270КП</v>
      </c>
      <c r="B19" s="36"/>
      <c r="D19" s="72" t="s">
        <v>46</v>
      </c>
      <c r="E19" s="32" t="s">
        <v>654</v>
      </c>
      <c r="F19" s="29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5"/>
    </row>
    <row r="20" spans="1:27" outlineLevel="1" x14ac:dyDescent="0.25">
      <c r="A20" s="36" t="str">
        <f t="shared" si="2"/>
        <v>СБШ-250/270КП</v>
      </c>
      <c r="B20" s="36"/>
      <c r="D20" s="76" t="s">
        <v>47</v>
      </c>
      <c r="E20" s="77"/>
      <c r="F20" s="78"/>
      <c r="G20" s="79" t="e">
        <f t="shared" ref="G20:Z20" si="5">G16/$F53</f>
        <v>#DIV/0!</v>
      </c>
      <c r="H20" s="79" t="e">
        <f t="shared" si="5"/>
        <v>#DIV/0!</v>
      </c>
      <c r="I20" s="79" t="e">
        <f t="shared" si="5"/>
        <v>#DIV/0!</v>
      </c>
      <c r="J20" s="79" t="e">
        <f t="shared" si="5"/>
        <v>#DIV/0!</v>
      </c>
      <c r="K20" s="79" t="e">
        <f t="shared" si="5"/>
        <v>#DIV/0!</v>
      </c>
      <c r="L20" s="79" t="e">
        <f t="shared" si="5"/>
        <v>#DIV/0!</v>
      </c>
      <c r="M20" s="79" t="e">
        <f t="shared" si="5"/>
        <v>#DIV/0!</v>
      </c>
      <c r="N20" s="79" t="e">
        <f t="shared" si="5"/>
        <v>#DIV/0!</v>
      </c>
      <c r="O20" s="79" t="e">
        <f t="shared" si="5"/>
        <v>#DIV/0!</v>
      </c>
      <c r="P20" s="79" t="e">
        <f t="shared" si="5"/>
        <v>#DIV/0!</v>
      </c>
      <c r="Q20" s="79" t="e">
        <f t="shared" si="5"/>
        <v>#DIV/0!</v>
      </c>
      <c r="R20" s="79" t="e">
        <f t="shared" si="5"/>
        <v>#DIV/0!</v>
      </c>
      <c r="S20" s="79" t="e">
        <f t="shared" si="5"/>
        <v>#DIV/0!</v>
      </c>
      <c r="T20" s="79" t="e">
        <f t="shared" si="5"/>
        <v>#DIV/0!</v>
      </c>
      <c r="U20" s="79" t="e">
        <f t="shared" si="5"/>
        <v>#DIV/0!</v>
      </c>
      <c r="V20" s="79" t="e">
        <f t="shared" si="5"/>
        <v>#DIV/0!</v>
      </c>
      <c r="W20" s="79" t="e">
        <f t="shared" si="5"/>
        <v>#DIV/0!</v>
      </c>
      <c r="X20" s="79" t="e">
        <f t="shared" si="5"/>
        <v>#DIV/0!</v>
      </c>
      <c r="Y20" s="79" t="e">
        <f t="shared" si="5"/>
        <v>#DIV/0!</v>
      </c>
      <c r="Z20" s="79" t="e">
        <f t="shared" si="5"/>
        <v>#DIV/0!</v>
      </c>
      <c r="AA20" s="182" t="e">
        <f>SUM(F16:Z16)/$F53</f>
        <v>#DIV/0!</v>
      </c>
    </row>
    <row r="21" spans="1:27" outlineLevel="1" x14ac:dyDescent="0.25">
      <c r="A21" s="36" t="str">
        <f t="shared" si="2"/>
        <v>СБШ-250/270КП</v>
      </c>
      <c r="B21" s="36"/>
      <c r="D21" s="183" t="s">
        <v>54</v>
      </c>
      <c r="E21" s="64" t="str">
        <f>E15</f>
        <v>тыс. руб.</v>
      </c>
      <c r="F21" s="2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175"/>
    </row>
    <row r="22" spans="1:27" outlineLevel="1" x14ac:dyDescent="0.25">
      <c r="A22" s="36" t="str">
        <f t="shared" si="2"/>
        <v>СБШ-250/270КП</v>
      </c>
      <c r="B22" s="36"/>
      <c r="D22" s="63"/>
      <c r="E22" s="64"/>
      <c r="F22" s="2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175"/>
    </row>
    <row r="23" spans="1:27" outlineLevel="1" x14ac:dyDescent="0.25">
      <c r="A23" s="36" t="str">
        <f t="shared" si="2"/>
        <v>СБШ-250/270КП</v>
      </c>
      <c r="B23" s="36"/>
      <c r="D23" s="183" t="s">
        <v>183</v>
      </c>
      <c r="E23" s="64" t="str">
        <f>E15</f>
        <v>тыс. руб.</v>
      </c>
      <c r="F23" s="70"/>
      <c r="G23" s="80">
        <f>G25*G26</f>
        <v>0</v>
      </c>
      <c r="H23" s="80">
        <f t="shared" ref="H23:Z23" si="6">H25*H26</f>
        <v>0</v>
      </c>
      <c r="I23" s="80">
        <f t="shared" si="6"/>
        <v>0</v>
      </c>
      <c r="J23" s="80">
        <f t="shared" si="6"/>
        <v>0</v>
      </c>
      <c r="K23" s="80">
        <f t="shared" si="6"/>
        <v>0</v>
      </c>
      <c r="L23" s="80">
        <f t="shared" si="6"/>
        <v>0</v>
      </c>
      <c r="M23" s="80">
        <f t="shared" si="6"/>
        <v>0</v>
      </c>
      <c r="N23" s="80">
        <f t="shared" si="6"/>
        <v>0</v>
      </c>
      <c r="O23" s="80">
        <f t="shared" si="6"/>
        <v>0</v>
      </c>
      <c r="P23" s="80">
        <f t="shared" si="6"/>
        <v>0</v>
      </c>
      <c r="Q23" s="80">
        <f t="shared" si="6"/>
        <v>0</v>
      </c>
      <c r="R23" s="80">
        <f t="shared" si="6"/>
        <v>0</v>
      </c>
      <c r="S23" s="80">
        <f t="shared" si="6"/>
        <v>0</v>
      </c>
      <c r="T23" s="80">
        <f t="shared" si="6"/>
        <v>0</v>
      </c>
      <c r="U23" s="80">
        <f t="shared" si="6"/>
        <v>0</v>
      </c>
      <c r="V23" s="80">
        <f t="shared" si="6"/>
        <v>0</v>
      </c>
      <c r="W23" s="80">
        <f t="shared" si="6"/>
        <v>0</v>
      </c>
      <c r="X23" s="80">
        <f t="shared" si="6"/>
        <v>0</v>
      </c>
      <c r="Y23" s="80">
        <f t="shared" si="6"/>
        <v>0</v>
      </c>
      <c r="Z23" s="80">
        <f t="shared" si="6"/>
        <v>0</v>
      </c>
      <c r="AA23" s="175"/>
    </row>
    <row r="24" spans="1:27" outlineLevel="1" x14ac:dyDescent="0.25">
      <c r="A24" s="36" t="str">
        <f t="shared" si="2"/>
        <v>СБШ-250/270КП</v>
      </c>
      <c r="B24" s="36"/>
      <c r="D24" s="187" t="s">
        <v>48</v>
      </c>
      <c r="E24" s="9" t="s">
        <v>185</v>
      </c>
      <c r="F24" s="81">
        <f>SUMIFS('ФОТ, МТР, макро'!$B$4:$B$31,'ФОТ, МТР, макро'!$A$4:$A$31,$A24)</f>
        <v>0</v>
      </c>
      <c r="G24" s="82">
        <f>F24</f>
        <v>0</v>
      </c>
      <c r="H24" s="82">
        <f t="shared" ref="H24:Z24" si="7">G24</f>
        <v>0</v>
      </c>
      <c r="I24" s="82">
        <f t="shared" si="7"/>
        <v>0</v>
      </c>
      <c r="J24" s="82">
        <f t="shared" si="7"/>
        <v>0</v>
      </c>
      <c r="K24" s="82">
        <f t="shared" si="7"/>
        <v>0</v>
      </c>
      <c r="L24" s="82">
        <f t="shared" si="7"/>
        <v>0</v>
      </c>
      <c r="M24" s="82">
        <f t="shared" si="7"/>
        <v>0</v>
      </c>
      <c r="N24" s="82">
        <f t="shared" si="7"/>
        <v>0</v>
      </c>
      <c r="O24" s="82">
        <f t="shared" si="7"/>
        <v>0</v>
      </c>
      <c r="P24" s="82">
        <f t="shared" si="7"/>
        <v>0</v>
      </c>
      <c r="Q24" s="82">
        <f t="shared" si="7"/>
        <v>0</v>
      </c>
      <c r="R24" s="82">
        <f t="shared" si="7"/>
        <v>0</v>
      </c>
      <c r="S24" s="82">
        <f t="shared" si="7"/>
        <v>0</v>
      </c>
      <c r="T24" s="82">
        <f t="shared" si="7"/>
        <v>0</v>
      </c>
      <c r="U24" s="82">
        <f t="shared" si="7"/>
        <v>0</v>
      </c>
      <c r="V24" s="82">
        <f t="shared" si="7"/>
        <v>0</v>
      </c>
      <c r="W24" s="82">
        <f t="shared" si="7"/>
        <v>0</v>
      </c>
      <c r="X24" s="82">
        <f t="shared" si="7"/>
        <v>0</v>
      </c>
      <c r="Y24" s="82">
        <f t="shared" si="7"/>
        <v>0</v>
      </c>
      <c r="Z24" s="82">
        <f t="shared" si="7"/>
        <v>0</v>
      </c>
      <c r="AA24" s="175"/>
    </row>
    <row r="25" spans="1:27" outlineLevel="1" x14ac:dyDescent="0.25">
      <c r="A25" s="36" t="str">
        <f t="shared" si="2"/>
        <v>СБШ-250/270КП</v>
      </c>
      <c r="B25" s="36"/>
      <c r="D25" s="187" t="s">
        <v>49</v>
      </c>
      <c r="E25" s="9" t="s">
        <v>50</v>
      </c>
      <c r="F25" s="70"/>
      <c r="G25" s="74">
        <f>G11*G24</f>
        <v>0</v>
      </c>
      <c r="H25" s="74">
        <f t="shared" ref="H25:Z25" si="8">H11*H24</f>
        <v>0</v>
      </c>
      <c r="I25" s="74">
        <f t="shared" si="8"/>
        <v>0</v>
      </c>
      <c r="J25" s="74">
        <f t="shared" si="8"/>
        <v>0</v>
      </c>
      <c r="K25" s="74">
        <f t="shared" si="8"/>
        <v>0</v>
      </c>
      <c r="L25" s="74">
        <f t="shared" si="8"/>
        <v>0</v>
      </c>
      <c r="M25" s="74">
        <f t="shared" si="8"/>
        <v>0</v>
      </c>
      <c r="N25" s="74">
        <f t="shared" si="8"/>
        <v>0</v>
      </c>
      <c r="O25" s="74">
        <f t="shared" si="8"/>
        <v>0</v>
      </c>
      <c r="P25" s="74">
        <f t="shared" si="8"/>
        <v>0</v>
      </c>
      <c r="Q25" s="74">
        <f t="shared" si="8"/>
        <v>0</v>
      </c>
      <c r="R25" s="74">
        <f t="shared" si="8"/>
        <v>0</v>
      </c>
      <c r="S25" s="74">
        <f t="shared" si="8"/>
        <v>0</v>
      </c>
      <c r="T25" s="74">
        <f t="shared" si="8"/>
        <v>0</v>
      </c>
      <c r="U25" s="74">
        <f t="shared" si="8"/>
        <v>0</v>
      </c>
      <c r="V25" s="74">
        <f t="shared" si="8"/>
        <v>0</v>
      </c>
      <c r="W25" s="74">
        <f t="shared" si="8"/>
        <v>0</v>
      </c>
      <c r="X25" s="74">
        <f t="shared" si="8"/>
        <v>0</v>
      </c>
      <c r="Y25" s="74">
        <f t="shared" si="8"/>
        <v>0</v>
      </c>
      <c r="Z25" s="74">
        <f t="shared" si="8"/>
        <v>0</v>
      </c>
      <c r="AA25" s="175"/>
    </row>
    <row r="26" spans="1:27" outlineLevel="1" x14ac:dyDescent="0.25">
      <c r="A26" s="36" t="str">
        <f t="shared" si="2"/>
        <v>СБШ-250/270КП</v>
      </c>
      <c r="B26" s="36"/>
      <c r="D26" s="187" t="s">
        <v>51</v>
      </c>
      <c r="E26" s="9" t="s">
        <v>52</v>
      </c>
      <c r="F26" s="74">
        <f>SUMIFS('ФОТ, МТР, макро'!$C$4:$C$31,'ФОТ, МТР, макро'!$A$4:$A$31,$A26)</f>
        <v>0</v>
      </c>
      <c r="G26" s="83">
        <f>F26</f>
        <v>0</v>
      </c>
      <c r="H26" s="83">
        <f t="shared" ref="H26:Z26" si="9">G26</f>
        <v>0</v>
      </c>
      <c r="I26" s="83">
        <f t="shared" si="9"/>
        <v>0</v>
      </c>
      <c r="J26" s="83">
        <f t="shared" si="9"/>
        <v>0</v>
      </c>
      <c r="K26" s="83">
        <f t="shared" si="9"/>
        <v>0</v>
      </c>
      <c r="L26" s="83">
        <f t="shared" si="9"/>
        <v>0</v>
      </c>
      <c r="M26" s="83">
        <f t="shared" si="9"/>
        <v>0</v>
      </c>
      <c r="N26" s="83">
        <f t="shared" si="9"/>
        <v>0</v>
      </c>
      <c r="O26" s="83">
        <f t="shared" si="9"/>
        <v>0</v>
      </c>
      <c r="P26" s="83">
        <f t="shared" si="9"/>
        <v>0</v>
      </c>
      <c r="Q26" s="83">
        <f t="shared" si="9"/>
        <v>0</v>
      </c>
      <c r="R26" s="83">
        <f t="shared" si="9"/>
        <v>0</v>
      </c>
      <c r="S26" s="83">
        <f t="shared" si="9"/>
        <v>0</v>
      </c>
      <c r="T26" s="83">
        <f t="shared" si="9"/>
        <v>0</v>
      </c>
      <c r="U26" s="83">
        <f t="shared" si="9"/>
        <v>0</v>
      </c>
      <c r="V26" s="83">
        <f t="shared" si="9"/>
        <v>0</v>
      </c>
      <c r="W26" s="83">
        <f t="shared" si="9"/>
        <v>0</v>
      </c>
      <c r="X26" s="83">
        <f t="shared" si="9"/>
        <v>0</v>
      </c>
      <c r="Y26" s="83">
        <f t="shared" si="9"/>
        <v>0</v>
      </c>
      <c r="Z26" s="83">
        <f t="shared" si="9"/>
        <v>0</v>
      </c>
      <c r="AA26" s="175"/>
    </row>
    <row r="27" spans="1:27" outlineLevel="1" x14ac:dyDescent="0.25">
      <c r="A27" s="36" t="str">
        <f t="shared" si="2"/>
        <v>СБШ-250/270КП</v>
      </c>
      <c r="B27" s="36"/>
      <c r="D27" s="183" t="s">
        <v>184</v>
      </c>
      <c r="E27" s="64" t="str">
        <f>E15</f>
        <v>тыс. руб.</v>
      </c>
      <c r="F27" s="70"/>
      <c r="G27" s="80">
        <f>G29*G30</f>
        <v>0</v>
      </c>
      <c r="H27" s="80">
        <f t="shared" ref="H27:Z27" si="10">H29*H30</f>
        <v>0</v>
      </c>
      <c r="I27" s="80">
        <f t="shared" si="10"/>
        <v>0</v>
      </c>
      <c r="J27" s="80">
        <f t="shared" si="10"/>
        <v>0</v>
      </c>
      <c r="K27" s="80">
        <f t="shared" si="10"/>
        <v>0</v>
      </c>
      <c r="L27" s="80">
        <f t="shared" si="10"/>
        <v>0</v>
      </c>
      <c r="M27" s="80">
        <f t="shared" si="10"/>
        <v>0</v>
      </c>
      <c r="N27" s="80">
        <f t="shared" si="10"/>
        <v>0</v>
      </c>
      <c r="O27" s="80">
        <f t="shared" si="10"/>
        <v>0</v>
      </c>
      <c r="P27" s="80">
        <f t="shared" si="10"/>
        <v>0</v>
      </c>
      <c r="Q27" s="80">
        <f t="shared" si="10"/>
        <v>0</v>
      </c>
      <c r="R27" s="80">
        <f t="shared" si="10"/>
        <v>0</v>
      </c>
      <c r="S27" s="80">
        <f t="shared" si="10"/>
        <v>0</v>
      </c>
      <c r="T27" s="80">
        <f t="shared" si="10"/>
        <v>0</v>
      </c>
      <c r="U27" s="80">
        <f t="shared" si="10"/>
        <v>0</v>
      </c>
      <c r="V27" s="80">
        <f t="shared" si="10"/>
        <v>0</v>
      </c>
      <c r="W27" s="80">
        <f t="shared" si="10"/>
        <v>0</v>
      </c>
      <c r="X27" s="80">
        <f t="shared" si="10"/>
        <v>0</v>
      </c>
      <c r="Y27" s="80">
        <f t="shared" si="10"/>
        <v>0</v>
      </c>
      <c r="Z27" s="80">
        <f t="shared" si="10"/>
        <v>0</v>
      </c>
      <c r="AA27" s="175"/>
    </row>
    <row r="28" spans="1:27" outlineLevel="1" x14ac:dyDescent="0.25">
      <c r="A28" s="36" t="str">
        <f t="shared" si="2"/>
        <v>СБШ-250/270КП</v>
      </c>
      <c r="B28" s="36"/>
      <c r="D28" s="187" t="s">
        <v>48</v>
      </c>
      <c r="E28" s="9" t="s">
        <v>185</v>
      </c>
      <c r="F28" s="81">
        <f>SUMIFS('ФОТ, МТР, макро'!$E$4:$E$31,'ФОТ, МТР, макро'!$A$4:$A$31,$A28)</f>
        <v>0</v>
      </c>
      <c r="G28" s="82">
        <f>F28</f>
        <v>0</v>
      </c>
      <c r="H28" s="82">
        <f t="shared" ref="H28:Z28" si="11">G28</f>
        <v>0</v>
      </c>
      <c r="I28" s="82">
        <f t="shared" si="11"/>
        <v>0</v>
      </c>
      <c r="J28" s="82">
        <f t="shared" si="11"/>
        <v>0</v>
      </c>
      <c r="K28" s="82">
        <f t="shared" si="11"/>
        <v>0</v>
      </c>
      <c r="L28" s="82">
        <f t="shared" si="11"/>
        <v>0</v>
      </c>
      <c r="M28" s="82">
        <f t="shared" si="11"/>
        <v>0</v>
      </c>
      <c r="N28" s="82">
        <f t="shared" si="11"/>
        <v>0</v>
      </c>
      <c r="O28" s="82">
        <f t="shared" si="11"/>
        <v>0</v>
      </c>
      <c r="P28" s="82">
        <f t="shared" si="11"/>
        <v>0</v>
      </c>
      <c r="Q28" s="82">
        <f t="shared" si="11"/>
        <v>0</v>
      </c>
      <c r="R28" s="82">
        <f t="shared" si="11"/>
        <v>0</v>
      </c>
      <c r="S28" s="82">
        <f t="shared" si="11"/>
        <v>0</v>
      </c>
      <c r="T28" s="82">
        <f t="shared" si="11"/>
        <v>0</v>
      </c>
      <c r="U28" s="82">
        <f t="shared" si="11"/>
        <v>0</v>
      </c>
      <c r="V28" s="82">
        <f t="shared" si="11"/>
        <v>0</v>
      </c>
      <c r="W28" s="82">
        <f t="shared" si="11"/>
        <v>0</v>
      </c>
      <c r="X28" s="82">
        <f t="shared" si="11"/>
        <v>0</v>
      </c>
      <c r="Y28" s="82">
        <f t="shared" si="11"/>
        <v>0</v>
      </c>
      <c r="Z28" s="82">
        <f t="shared" si="11"/>
        <v>0</v>
      </c>
      <c r="AA28" s="175"/>
    </row>
    <row r="29" spans="1:27" outlineLevel="1" x14ac:dyDescent="0.25">
      <c r="A29" s="36" t="str">
        <f t="shared" si="2"/>
        <v>СБШ-250/270КП</v>
      </c>
      <c r="B29" s="36"/>
      <c r="D29" s="187" t="s">
        <v>49</v>
      </c>
      <c r="E29" s="9" t="s">
        <v>50</v>
      </c>
      <c r="F29" s="70"/>
      <c r="G29" s="74">
        <f>G11*G28</f>
        <v>0</v>
      </c>
      <c r="H29" s="74">
        <f t="shared" ref="H29:Z29" si="12">H11*H28</f>
        <v>0</v>
      </c>
      <c r="I29" s="74">
        <f t="shared" si="12"/>
        <v>0</v>
      </c>
      <c r="J29" s="74">
        <f t="shared" si="12"/>
        <v>0</v>
      </c>
      <c r="K29" s="74">
        <f t="shared" si="12"/>
        <v>0</v>
      </c>
      <c r="L29" s="74">
        <f t="shared" si="12"/>
        <v>0</v>
      </c>
      <c r="M29" s="74">
        <f t="shared" si="12"/>
        <v>0</v>
      </c>
      <c r="N29" s="74">
        <f t="shared" si="12"/>
        <v>0</v>
      </c>
      <c r="O29" s="74">
        <f t="shared" si="12"/>
        <v>0</v>
      </c>
      <c r="P29" s="74">
        <f t="shared" si="12"/>
        <v>0</v>
      </c>
      <c r="Q29" s="74">
        <f t="shared" si="12"/>
        <v>0</v>
      </c>
      <c r="R29" s="74">
        <f t="shared" si="12"/>
        <v>0</v>
      </c>
      <c r="S29" s="74">
        <f t="shared" si="12"/>
        <v>0</v>
      </c>
      <c r="T29" s="74">
        <f t="shared" si="12"/>
        <v>0</v>
      </c>
      <c r="U29" s="74">
        <f t="shared" si="12"/>
        <v>0</v>
      </c>
      <c r="V29" s="74">
        <f t="shared" si="12"/>
        <v>0</v>
      </c>
      <c r="W29" s="74">
        <f t="shared" si="12"/>
        <v>0</v>
      </c>
      <c r="X29" s="74">
        <f t="shared" si="12"/>
        <v>0</v>
      </c>
      <c r="Y29" s="74">
        <f t="shared" si="12"/>
        <v>0</v>
      </c>
      <c r="Z29" s="74">
        <f t="shared" si="12"/>
        <v>0</v>
      </c>
      <c r="AA29" s="175"/>
    </row>
    <row r="30" spans="1:27" outlineLevel="1" x14ac:dyDescent="0.25">
      <c r="A30" s="36" t="str">
        <f t="shared" si="2"/>
        <v>СБШ-250/270КП</v>
      </c>
      <c r="B30" s="36"/>
      <c r="D30" s="187" t="s">
        <v>51</v>
      </c>
      <c r="E30" s="9" t="s">
        <v>52</v>
      </c>
      <c r="F30" s="74">
        <f>SUMIFS('ФОТ, МТР, макро'!$F$4:$F$31,'ФОТ, МТР, макро'!$A$4:$A$31,$A30)</f>
        <v>0</v>
      </c>
      <c r="G30" s="83">
        <f>F30</f>
        <v>0</v>
      </c>
      <c r="H30" s="83">
        <f t="shared" ref="H30:Z30" si="13">G30</f>
        <v>0</v>
      </c>
      <c r="I30" s="83">
        <f t="shared" si="13"/>
        <v>0</v>
      </c>
      <c r="J30" s="83">
        <f t="shared" si="13"/>
        <v>0</v>
      </c>
      <c r="K30" s="83">
        <f t="shared" si="13"/>
        <v>0</v>
      </c>
      <c r="L30" s="83">
        <f t="shared" si="13"/>
        <v>0</v>
      </c>
      <c r="M30" s="83">
        <f t="shared" si="13"/>
        <v>0</v>
      </c>
      <c r="N30" s="83">
        <f t="shared" si="13"/>
        <v>0</v>
      </c>
      <c r="O30" s="83">
        <f t="shared" si="13"/>
        <v>0</v>
      </c>
      <c r="P30" s="83">
        <f t="shared" si="13"/>
        <v>0</v>
      </c>
      <c r="Q30" s="83">
        <f t="shared" si="13"/>
        <v>0</v>
      </c>
      <c r="R30" s="83">
        <f t="shared" si="13"/>
        <v>0</v>
      </c>
      <c r="S30" s="83">
        <f t="shared" si="13"/>
        <v>0</v>
      </c>
      <c r="T30" s="83">
        <f t="shared" si="13"/>
        <v>0</v>
      </c>
      <c r="U30" s="83">
        <f t="shared" si="13"/>
        <v>0</v>
      </c>
      <c r="V30" s="83">
        <f t="shared" si="13"/>
        <v>0</v>
      </c>
      <c r="W30" s="83">
        <f t="shared" si="13"/>
        <v>0</v>
      </c>
      <c r="X30" s="83">
        <f t="shared" si="13"/>
        <v>0</v>
      </c>
      <c r="Y30" s="83">
        <f t="shared" si="13"/>
        <v>0</v>
      </c>
      <c r="Z30" s="83">
        <f t="shared" si="13"/>
        <v>0</v>
      </c>
      <c r="AA30" s="175"/>
    </row>
    <row r="31" spans="1:27" outlineLevel="1" x14ac:dyDescent="0.25">
      <c r="A31" s="36" t="str">
        <f t="shared" si="2"/>
        <v>СБШ-250/270КП</v>
      </c>
      <c r="B31" s="36"/>
      <c r="D31" s="183" t="s">
        <v>187</v>
      </c>
      <c r="E31" s="64" t="str">
        <f>E15</f>
        <v>тыс. руб.</v>
      </c>
      <c r="F31" s="70"/>
      <c r="G31" s="80">
        <f>G11*G32</f>
        <v>0</v>
      </c>
      <c r="H31" s="80">
        <f t="shared" ref="H31:Z31" si="14">H11*H32</f>
        <v>0</v>
      </c>
      <c r="I31" s="80">
        <f t="shared" si="14"/>
        <v>0</v>
      </c>
      <c r="J31" s="80">
        <f t="shared" si="14"/>
        <v>0</v>
      </c>
      <c r="K31" s="80">
        <f t="shared" si="14"/>
        <v>0</v>
      </c>
      <c r="L31" s="80">
        <f t="shared" si="14"/>
        <v>0</v>
      </c>
      <c r="M31" s="80">
        <f t="shared" si="14"/>
        <v>0</v>
      </c>
      <c r="N31" s="80">
        <f t="shared" si="14"/>
        <v>0</v>
      </c>
      <c r="O31" s="80">
        <f t="shared" si="14"/>
        <v>0</v>
      </c>
      <c r="P31" s="80">
        <f t="shared" si="14"/>
        <v>0</v>
      </c>
      <c r="Q31" s="80">
        <f t="shared" si="14"/>
        <v>0</v>
      </c>
      <c r="R31" s="80">
        <f t="shared" si="14"/>
        <v>0</v>
      </c>
      <c r="S31" s="80">
        <f t="shared" si="14"/>
        <v>0</v>
      </c>
      <c r="T31" s="80">
        <f t="shared" si="14"/>
        <v>0</v>
      </c>
      <c r="U31" s="80">
        <f t="shared" si="14"/>
        <v>0</v>
      </c>
      <c r="V31" s="80">
        <f t="shared" si="14"/>
        <v>0</v>
      </c>
      <c r="W31" s="80">
        <f t="shared" si="14"/>
        <v>0</v>
      </c>
      <c r="X31" s="80">
        <f t="shared" si="14"/>
        <v>0</v>
      </c>
      <c r="Y31" s="80">
        <f t="shared" si="14"/>
        <v>0</v>
      </c>
      <c r="Z31" s="80">
        <f t="shared" si="14"/>
        <v>0</v>
      </c>
      <c r="AA31" s="175"/>
    </row>
    <row r="32" spans="1:27" outlineLevel="1" x14ac:dyDescent="0.25">
      <c r="A32" s="36" t="str">
        <f t="shared" si="2"/>
        <v>СБШ-250/270КП</v>
      </c>
      <c r="B32" s="36"/>
      <c r="D32" s="187" t="s">
        <v>48</v>
      </c>
      <c r="E32" s="9" t="s">
        <v>188</v>
      </c>
      <c r="F32" s="74">
        <f>SUMIFS('ФОТ, МТР, макро'!$H$4:$H$31,'ФОТ, МТР, макро'!$A$4:$A$31,$A32)</f>
        <v>0</v>
      </c>
      <c r="G32" s="83">
        <f>F32</f>
        <v>0</v>
      </c>
      <c r="H32" s="83">
        <f t="shared" ref="H32:Z32" si="15">G32</f>
        <v>0</v>
      </c>
      <c r="I32" s="83">
        <f t="shared" si="15"/>
        <v>0</v>
      </c>
      <c r="J32" s="83">
        <f t="shared" si="15"/>
        <v>0</v>
      </c>
      <c r="K32" s="83">
        <f t="shared" si="15"/>
        <v>0</v>
      </c>
      <c r="L32" s="83">
        <f t="shared" si="15"/>
        <v>0</v>
      </c>
      <c r="M32" s="83">
        <f t="shared" si="15"/>
        <v>0</v>
      </c>
      <c r="N32" s="83">
        <f t="shared" si="15"/>
        <v>0</v>
      </c>
      <c r="O32" s="83">
        <f t="shared" si="15"/>
        <v>0</v>
      </c>
      <c r="P32" s="83">
        <f t="shared" si="15"/>
        <v>0</v>
      </c>
      <c r="Q32" s="83">
        <f t="shared" si="15"/>
        <v>0</v>
      </c>
      <c r="R32" s="83">
        <f t="shared" si="15"/>
        <v>0</v>
      </c>
      <c r="S32" s="83">
        <f t="shared" si="15"/>
        <v>0</v>
      </c>
      <c r="T32" s="83">
        <f t="shared" si="15"/>
        <v>0</v>
      </c>
      <c r="U32" s="83">
        <f t="shared" si="15"/>
        <v>0</v>
      </c>
      <c r="V32" s="83">
        <f t="shared" si="15"/>
        <v>0</v>
      </c>
      <c r="W32" s="83">
        <f t="shared" si="15"/>
        <v>0</v>
      </c>
      <c r="X32" s="83">
        <f t="shared" si="15"/>
        <v>0</v>
      </c>
      <c r="Y32" s="83">
        <f t="shared" si="15"/>
        <v>0</v>
      </c>
      <c r="Z32" s="83">
        <f t="shared" si="15"/>
        <v>0</v>
      </c>
      <c r="AA32" s="175"/>
    </row>
    <row r="33" spans="1:27" outlineLevel="1" x14ac:dyDescent="0.25">
      <c r="A33" s="36" t="str">
        <f t="shared" si="2"/>
        <v>СБШ-250/270КП</v>
      </c>
      <c r="B33" s="36"/>
      <c r="C33" s="193">
        <f>SUMIFS('ФОТ, МТР, макро'!$N$4:$N$31,'ФОТ, МТР, макро'!$J$4:$J$31,$A33)</f>
        <v>0</v>
      </c>
      <c r="D33" s="63" t="s">
        <v>189</v>
      </c>
      <c r="E33" s="64" t="str">
        <f>E15</f>
        <v>тыс. руб.</v>
      </c>
      <c r="F33" s="83"/>
      <c r="G33" s="80">
        <f>IF($C33=1,G34,G38)</f>
        <v>0</v>
      </c>
      <c r="H33" s="80">
        <f t="shared" ref="H33:Z33" si="16">IF($C33=1,H34,H38)</f>
        <v>0</v>
      </c>
      <c r="I33" s="80">
        <f t="shared" si="16"/>
        <v>0</v>
      </c>
      <c r="J33" s="80">
        <f t="shared" si="16"/>
        <v>0</v>
      </c>
      <c r="K33" s="80">
        <f t="shared" si="16"/>
        <v>0</v>
      </c>
      <c r="L33" s="80">
        <f t="shared" si="16"/>
        <v>0</v>
      </c>
      <c r="M33" s="80">
        <f t="shared" si="16"/>
        <v>0</v>
      </c>
      <c r="N33" s="80">
        <f t="shared" si="16"/>
        <v>0</v>
      </c>
      <c r="O33" s="80">
        <f t="shared" si="16"/>
        <v>0</v>
      </c>
      <c r="P33" s="80">
        <f t="shared" si="16"/>
        <v>0</v>
      </c>
      <c r="Q33" s="80">
        <f t="shared" si="16"/>
        <v>0</v>
      </c>
      <c r="R33" s="80">
        <f t="shared" si="16"/>
        <v>0</v>
      </c>
      <c r="S33" s="80">
        <f t="shared" si="16"/>
        <v>0</v>
      </c>
      <c r="T33" s="80">
        <f t="shared" si="16"/>
        <v>0</v>
      </c>
      <c r="U33" s="80">
        <f t="shared" si="16"/>
        <v>0</v>
      </c>
      <c r="V33" s="80">
        <f t="shared" si="16"/>
        <v>0</v>
      </c>
      <c r="W33" s="80">
        <f t="shared" si="16"/>
        <v>0</v>
      </c>
      <c r="X33" s="80">
        <f t="shared" si="16"/>
        <v>0</v>
      </c>
      <c r="Y33" s="80">
        <f t="shared" si="16"/>
        <v>0</v>
      </c>
      <c r="Z33" s="80">
        <f t="shared" si="16"/>
        <v>0</v>
      </c>
      <c r="AA33" s="175"/>
    </row>
    <row r="34" spans="1:27" outlineLevel="1" x14ac:dyDescent="0.25">
      <c r="A34" s="36" t="str">
        <f t="shared" si="2"/>
        <v>СБШ-250/270КП</v>
      </c>
      <c r="B34" s="36"/>
      <c r="D34" s="192" t="s">
        <v>190</v>
      </c>
      <c r="E34" s="188" t="str">
        <f>E33</f>
        <v>тыс. руб.</v>
      </c>
      <c r="F34" s="189"/>
      <c r="G34" s="190">
        <f>G36*G37</f>
        <v>0</v>
      </c>
      <c r="H34" s="190">
        <f t="shared" ref="H34:Z34" si="17">H36*H37</f>
        <v>0</v>
      </c>
      <c r="I34" s="190">
        <f t="shared" si="17"/>
        <v>0</v>
      </c>
      <c r="J34" s="190">
        <f t="shared" si="17"/>
        <v>0</v>
      </c>
      <c r="K34" s="190">
        <f t="shared" si="17"/>
        <v>0</v>
      </c>
      <c r="L34" s="190">
        <f t="shared" si="17"/>
        <v>0</v>
      </c>
      <c r="M34" s="190">
        <f t="shared" si="17"/>
        <v>0</v>
      </c>
      <c r="N34" s="190">
        <f t="shared" si="17"/>
        <v>0</v>
      </c>
      <c r="O34" s="190">
        <f t="shared" si="17"/>
        <v>0</v>
      </c>
      <c r="P34" s="190">
        <f t="shared" si="17"/>
        <v>0</v>
      </c>
      <c r="Q34" s="190">
        <f t="shared" si="17"/>
        <v>0</v>
      </c>
      <c r="R34" s="190">
        <f t="shared" si="17"/>
        <v>0</v>
      </c>
      <c r="S34" s="190">
        <f t="shared" si="17"/>
        <v>0</v>
      </c>
      <c r="T34" s="190">
        <f t="shared" si="17"/>
        <v>0</v>
      </c>
      <c r="U34" s="190">
        <f t="shared" si="17"/>
        <v>0</v>
      </c>
      <c r="V34" s="190">
        <f t="shared" si="17"/>
        <v>0</v>
      </c>
      <c r="W34" s="190">
        <f t="shared" si="17"/>
        <v>0</v>
      </c>
      <c r="X34" s="190">
        <f t="shared" si="17"/>
        <v>0</v>
      </c>
      <c r="Y34" s="190">
        <f t="shared" si="17"/>
        <v>0</v>
      </c>
      <c r="Z34" s="190">
        <f t="shared" si="17"/>
        <v>0</v>
      </c>
      <c r="AA34" s="175"/>
    </row>
    <row r="35" spans="1:27" outlineLevel="1" x14ac:dyDescent="0.25">
      <c r="A35" s="36" t="str">
        <f t="shared" si="2"/>
        <v>СБШ-250/270КП</v>
      </c>
      <c r="B35" s="36"/>
      <c r="D35" s="187" t="s">
        <v>48</v>
      </c>
      <c r="E35" s="73" t="str">
        <f>VLOOKUP($A35,'ФОТ, МТР, макро'!$J$4:$N$31,2,FALSE)</f>
        <v>кВт/час</v>
      </c>
      <c r="F35" s="74">
        <f>SUMIFS('ФОТ, МТР, макро'!$L$4:$L$31,'ФОТ, МТР, макро'!$J$4:$J$31,$A35)</f>
        <v>0</v>
      </c>
      <c r="G35" s="83">
        <f>F35</f>
        <v>0</v>
      </c>
      <c r="H35" s="83">
        <f t="shared" ref="H35:Z35" si="18">G35</f>
        <v>0</v>
      </c>
      <c r="I35" s="83">
        <f t="shared" si="18"/>
        <v>0</v>
      </c>
      <c r="J35" s="83">
        <f t="shared" si="18"/>
        <v>0</v>
      </c>
      <c r="K35" s="83">
        <f t="shared" si="18"/>
        <v>0</v>
      </c>
      <c r="L35" s="83">
        <f t="shared" si="18"/>
        <v>0</v>
      </c>
      <c r="M35" s="83">
        <f t="shared" si="18"/>
        <v>0</v>
      </c>
      <c r="N35" s="83">
        <f t="shared" si="18"/>
        <v>0</v>
      </c>
      <c r="O35" s="83">
        <f t="shared" si="18"/>
        <v>0</v>
      </c>
      <c r="P35" s="83">
        <f t="shared" si="18"/>
        <v>0</v>
      </c>
      <c r="Q35" s="83">
        <f t="shared" si="18"/>
        <v>0</v>
      </c>
      <c r="R35" s="83">
        <f t="shared" si="18"/>
        <v>0</v>
      </c>
      <c r="S35" s="83">
        <f t="shared" si="18"/>
        <v>0</v>
      </c>
      <c r="T35" s="83">
        <f t="shared" si="18"/>
        <v>0</v>
      </c>
      <c r="U35" s="83">
        <f t="shared" si="18"/>
        <v>0</v>
      </c>
      <c r="V35" s="83">
        <f t="shared" si="18"/>
        <v>0</v>
      </c>
      <c r="W35" s="83">
        <f t="shared" si="18"/>
        <v>0</v>
      </c>
      <c r="X35" s="83">
        <f t="shared" si="18"/>
        <v>0</v>
      </c>
      <c r="Y35" s="83">
        <f t="shared" si="18"/>
        <v>0</v>
      </c>
      <c r="Z35" s="83">
        <f t="shared" si="18"/>
        <v>0</v>
      </c>
      <c r="AA35" s="175"/>
    </row>
    <row r="36" spans="1:27" outlineLevel="1" x14ac:dyDescent="0.25">
      <c r="A36" s="36" t="str">
        <f t="shared" si="2"/>
        <v>СБШ-250/270КП</v>
      </c>
      <c r="B36" s="36"/>
      <c r="D36" s="187" t="s">
        <v>49</v>
      </c>
      <c r="E36" s="73" t="str">
        <f>IF(E35="кг/час","т","тыс. кВт*ч")</f>
        <v>тыс. кВт*ч</v>
      </c>
      <c r="F36" s="83"/>
      <c r="G36" s="74">
        <f>G$3*G10*G35/1000</f>
        <v>0</v>
      </c>
      <c r="H36" s="74">
        <f t="shared" ref="H36:Z36" si="19">H$3*H10*H35/1000</f>
        <v>0</v>
      </c>
      <c r="I36" s="74">
        <f t="shared" si="19"/>
        <v>0</v>
      </c>
      <c r="J36" s="74">
        <f t="shared" si="19"/>
        <v>0</v>
      </c>
      <c r="K36" s="74">
        <f t="shared" si="19"/>
        <v>0</v>
      </c>
      <c r="L36" s="74">
        <f t="shared" si="19"/>
        <v>0</v>
      </c>
      <c r="M36" s="74">
        <f t="shared" si="19"/>
        <v>0</v>
      </c>
      <c r="N36" s="74">
        <f t="shared" si="19"/>
        <v>0</v>
      </c>
      <c r="O36" s="74">
        <f t="shared" si="19"/>
        <v>0</v>
      </c>
      <c r="P36" s="74">
        <f t="shared" si="19"/>
        <v>0</v>
      </c>
      <c r="Q36" s="74">
        <f t="shared" si="19"/>
        <v>0</v>
      </c>
      <c r="R36" s="74">
        <f t="shared" si="19"/>
        <v>0</v>
      </c>
      <c r="S36" s="74">
        <f t="shared" si="19"/>
        <v>0</v>
      </c>
      <c r="T36" s="74">
        <f t="shared" si="19"/>
        <v>0</v>
      </c>
      <c r="U36" s="74">
        <f t="shared" si="19"/>
        <v>0</v>
      </c>
      <c r="V36" s="74">
        <f t="shared" si="19"/>
        <v>0</v>
      </c>
      <c r="W36" s="74">
        <f t="shared" si="19"/>
        <v>0</v>
      </c>
      <c r="X36" s="74">
        <f t="shared" si="19"/>
        <v>0</v>
      </c>
      <c r="Y36" s="74">
        <f t="shared" si="19"/>
        <v>0</v>
      </c>
      <c r="Z36" s="74">
        <f t="shared" si="19"/>
        <v>0</v>
      </c>
      <c r="AA36" s="175"/>
    </row>
    <row r="37" spans="1:27" outlineLevel="1" x14ac:dyDescent="0.25">
      <c r="A37" s="36" t="str">
        <f t="shared" si="2"/>
        <v>СБШ-250/270КП</v>
      </c>
      <c r="B37" s="36"/>
      <c r="D37" s="187" t="s">
        <v>51</v>
      </c>
      <c r="E37" s="73" t="str">
        <f>IF(E36="т","тыс. руб./т","руб./кВт*ч")</f>
        <v>руб./кВт*ч</v>
      </c>
      <c r="F37" s="74">
        <f>IF(E36="т",'ФОТ, МТР, макро'!$Q$2,'ФОТ, МТР, макро'!$Q$15)</f>
        <v>5.1334544871189411</v>
      </c>
      <c r="G37" s="83">
        <f>F37</f>
        <v>5.1334544871189411</v>
      </c>
      <c r="H37" s="83">
        <f t="shared" ref="H37:Z37" si="20">G37</f>
        <v>5.1334544871189411</v>
      </c>
      <c r="I37" s="83">
        <f t="shared" si="20"/>
        <v>5.1334544871189411</v>
      </c>
      <c r="J37" s="83">
        <f t="shared" si="20"/>
        <v>5.1334544871189411</v>
      </c>
      <c r="K37" s="83">
        <f t="shared" si="20"/>
        <v>5.1334544871189411</v>
      </c>
      <c r="L37" s="83">
        <f t="shared" si="20"/>
        <v>5.1334544871189411</v>
      </c>
      <c r="M37" s="83">
        <f t="shared" si="20"/>
        <v>5.1334544871189411</v>
      </c>
      <c r="N37" s="83">
        <f t="shared" si="20"/>
        <v>5.1334544871189411</v>
      </c>
      <c r="O37" s="83">
        <f t="shared" si="20"/>
        <v>5.1334544871189411</v>
      </c>
      <c r="P37" s="83">
        <f t="shared" si="20"/>
        <v>5.1334544871189411</v>
      </c>
      <c r="Q37" s="83">
        <f t="shared" si="20"/>
        <v>5.1334544871189411</v>
      </c>
      <c r="R37" s="83">
        <f t="shared" si="20"/>
        <v>5.1334544871189411</v>
      </c>
      <c r="S37" s="83">
        <f t="shared" si="20"/>
        <v>5.1334544871189411</v>
      </c>
      <c r="T37" s="83">
        <f t="shared" si="20"/>
        <v>5.1334544871189411</v>
      </c>
      <c r="U37" s="83">
        <f t="shared" si="20"/>
        <v>5.1334544871189411</v>
      </c>
      <c r="V37" s="83">
        <f t="shared" si="20"/>
        <v>5.1334544871189411</v>
      </c>
      <c r="W37" s="83">
        <f t="shared" si="20"/>
        <v>5.1334544871189411</v>
      </c>
      <c r="X37" s="83">
        <f t="shared" si="20"/>
        <v>5.1334544871189411</v>
      </c>
      <c r="Y37" s="83">
        <f t="shared" si="20"/>
        <v>5.1334544871189411</v>
      </c>
      <c r="Z37" s="83">
        <f t="shared" si="20"/>
        <v>5.1334544871189411</v>
      </c>
      <c r="AA37" s="175"/>
    </row>
    <row r="38" spans="1:27" outlineLevel="1" x14ac:dyDescent="0.25">
      <c r="A38" s="36" t="str">
        <f t="shared" si="2"/>
        <v>СБШ-250/270КП</v>
      </c>
      <c r="B38" s="36"/>
      <c r="D38" s="192" t="s">
        <v>191</v>
      </c>
      <c r="E38" s="188" t="str">
        <f>E34</f>
        <v>тыс. руб.</v>
      </c>
      <c r="F38" s="83"/>
      <c r="G38" s="190">
        <f>G40*G41</f>
        <v>0</v>
      </c>
      <c r="H38" s="190">
        <f t="shared" ref="H38:Z38" si="21">H40*H41</f>
        <v>0</v>
      </c>
      <c r="I38" s="190">
        <f t="shared" si="21"/>
        <v>0</v>
      </c>
      <c r="J38" s="190">
        <f t="shared" si="21"/>
        <v>0</v>
      </c>
      <c r="K38" s="190">
        <f t="shared" si="21"/>
        <v>0</v>
      </c>
      <c r="L38" s="190">
        <f t="shared" si="21"/>
        <v>0</v>
      </c>
      <c r="M38" s="190">
        <f t="shared" si="21"/>
        <v>0</v>
      </c>
      <c r="N38" s="190">
        <f t="shared" si="21"/>
        <v>0</v>
      </c>
      <c r="O38" s="190">
        <f t="shared" si="21"/>
        <v>0</v>
      </c>
      <c r="P38" s="190">
        <f t="shared" si="21"/>
        <v>0</v>
      </c>
      <c r="Q38" s="190">
        <f t="shared" si="21"/>
        <v>0</v>
      </c>
      <c r="R38" s="190">
        <f t="shared" si="21"/>
        <v>0</v>
      </c>
      <c r="S38" s="190">
        <f t="shared" si="21"/>
        <v>0</v>
      </c>
      <c r="T38" s="190">
        <f t="shared" si="21"/>
        <v>0</v>
      </c>
      <c r="U38" s="190">
        <f t="shared" si="21"/>
        <v>0</v>
      </c>
      <c r="V38" s="190">
        <f t="shared" si="21"/>
        <v>0</v>
      </c>
      <c r="W38" s="190">
        <f t="shared" si="21"/>
        <v>0</v>
      </c>
      <c r="X38" s="190">
        <f t="shared" si="21"/>
        <v>0</v>
      </c>
      <c r="Y38" s="190">
        <f t="shared" si="21"/>
        <v>0</v>
      </c>
      <c r="Z38" s="190">
        <f t="shared" si="21"/>
        <v>0</v>
      </c>
      <c r="AA38" s="175"/>
    </row>
    <row r="39" spans="1:27" outlineLevel="1" x14ac:dyDescent="0.25">
      <c r="A39" s="36" t="str">
        <f t="shared" si="2"/>
        <v>СБШ-250/270КП</v>
      </c>
      <c r="B39" s="36"/>
      <c r="D39" s="187" t="s">
        <v>48</v>
      </c>
      <c r="E39" s="196" t="str">
        <f>E35</f>
        <v>кВт/час</v>
      </c>
      <c r="F39" s="74">
        <f>SUMIFS('ФОТ, МТР, макро'!$M$4:$M$31,'ФОТ, МТР, макро'!$J$4:$J$31,$A39)</f>
        <v>0</v>
      </c>
      <c r="G39" s="83">
        <f>F39</f>
        <v>0</v>
      </c>
      <c r="H39" s="83">
        <f t="shared" ref="H39:Z39" si="22">G39</f>
        <v>0</v>
      </c>
      <c r="I39" s="83">
        <f t="shared" si="22"/>
        <v>0</v>
      </c>
      <c r="J39" s="83">
        <f t="shared" si="22"/>
        <v>0</v>
      </c>
      <c r="K39" s="83">
        <f t="shared" si="22"/>
        <v>0</v>
      </c>
      <c r="L39" s="83">
        <f t="shared" si="22"/>
        <v>0</v>
      </c>
      <c r="M39" s="83">
        <f t="shared" si="22"/>
        <v>0</v>
      </c>
      <c r="N39" s="83">
        <f t="shared" si="22"/>
        <v>0</v>
      </c>
      <c r="O39" s="83">
        <f t="shared" si="22"/>
        <v>0</v>
      </c>
      <c r="P39" s="83">
        <f t="shared" si="22"/>
        <v>0</v>
      </c>
      <c r="Q39" s="83">
        <f t="shared" si="22"/>
        <v>0</v>
      </c>
      <c r="R39" s="83">
        <f t="shared" si="22"/>
        <v>0</v>
      </c>
      <c r="S39" s="83">
        <f t="shared" si="22"/>
        <v>0</v>
      </c>
      <c r="T39" s="83">
        <f t="shared" si="22"/>
        <v>0</v>
      </c>
      <c r="U39" s="83">
        <f t="shared" si="22"/>
        <v>0</v>
      </c>
      <c r="V39" s="83">
        <f t="shared" si="22"/>
        <v>0</v>
      </c>
      <c r="W39" s="83">
        <f t="shared" si="22"/>
        <v>0</v>
      </c>
      <c r="X39" s="83">
        <f t="shared" si="22"/>
        <v>0</v>
      </c>
      <c r="Y39" s="83">
        <f t="shared" si="22"/>
        <v>0</v>
      </c>
      <c r="Z39" s="83">
        <f t="shared" si="22"/>
        <v>0</v>
      </c>
      <c r="AA39" s="175"/>
    </row>
    <row r="40" spans="1:27" outlineLevel="1" x14ac:dyDescent="0.25">
      <c r="A40" s="36" t="str">
        <f t="shared" si="2"/>
        <v>СБШ-250/270КП</v>
      </c>
      <c r="B40" s="36"/>
      <c r="D40" s="187" t="s">
        <v>49</v>
      </c>
      <c r="E40" s="196" t="str">
        <f t="shared" ref="E40:E41" si="23">E36</f>
        <v>тыс. кВт*ч</v>
      </c>
      <c r="F40" s="83"/>
      <c r="G40" s="74">
        <f>G$3*G10*G39/1000</f>
        <v>0</v>
      </c>
      <c r="H40" s="74">
        <f t="shared" ref="H40:Z40" si="24">H$3*H10*H39/1000</f>
        <v>0</v>
      </c>
      <c r="I40" s="74">
        <f t="shared" si="24"/>
        <v>0</v>
      </c>
      <c r="J40" s="74">
        <f t="shared" si="24"/>
        <v>0</v>
      </c>
      <c r="K40" s="74">
        <f t="shared" si="24"/>
        <v>0</v>
      </c>
      <c r="L40" s="74">
        <f t="shared" si="24"/>
        <v>0</v>
      </c>
      <c r="M40" s="74">
        <f t="shared" si="24"/>
        <v>0</v>
      </c>
      <c r="N40" s="74">
        <f t="shared" si="24"/>
        <v>0</v>
      </c>
      <c r="O40" s="74">
        <f t="shared" si="24"/>
        <v>0</v>
      </c>
      <c r="P40" s="74">
        <f t="shared" si="24"/>
        <v>0</v>
      </c>
      <c r="Q40" s="74">
        <f t="shared" si="24"/>
        <v>0</v>
      </c>
      <c r="R40" s="74">
        <f t="shared" si="24"/>
        <v>0</v>
      </c>
      <c r="S40" s="74">
        <f t="shared" si="24"/>
        <v>0</v>
      </c>
      <c r="T40" s="74">
        <f t="shared" si="24"/>
        <v>0</v>
      </c>
      <c r="U40" s="74">
        <f t="shared" si="24"/>
        <v>0</v>
      </c>
      <c r="V40" s="74">
        <f t="shared" si="24"/>
        <v>0</v>
      </c>
      <c r="W40" s="74">
        <f t="shared" si="24"/>
        <v>0</v>
      </c>
      <c r="X40" s="74">
        <f t="shared" si="24"/>
        <v>0</v>
      </c>
      <c r="Y40" s="74">
        <f t="shared" si="24"/>
        <v>0</v>
      </c>
      <c r="Z40" s="74">
        <f t="shared" si="24"/>
        <v>0</v>
      </c>
      <c r="AA40" s="175"/>
    </row>
    <row r="41" spans="1:27" outlineLevel="1" x14ac:dyDescent="0.25">
      <c r="A41" s="36" t="str">
        <f t="shared" si="2"/>
        <v>СБШ-250/270КП</v>
      </c>
      <c r="B41" s="36"/>
      <c r="D41" s="187" t="s">
        <v>51</v>
      </c>
      <c r="E41" s="196" t="str">
        <f t="shared" si="23"/>
        <v>руб./кВт*ч</v>
      </c>
      <c r="F41" s="83"/>
      <c r="G41" s="83">
        <f>G37</f>
        <v>5.1334544871189411</v>
      </c>
      <c r="H41" s="83">
        <f t="shared" ref="H41:Z41" si="25">H37</f>
        <v>5.1334544871189411</v>
      </c>
      <c r="I41" s="83">
        <f t="shared" si="25"/>
        <v>5.1334544871189411</v>
      </c>
      <c r="J41" s="83">
        <f t="shared" si="25"/>
        <v>5.1334544871189411</v>
      </c>
      <c r="K41" s="83">
        <f t="shared" si="25"/>
        <v>5.1334544871189411</v>
      </c>
      <c r="L41" s="83">
        <f t="shared" si="25"/>
        <v>5.1334544871189411</v>
      </c>
      <c r="M41" s="83">
        <f t="shared" si="25"/>
        <v>5.1334544871189411</v>
      </c>
      <c r="N41" s="83">
        <f t="shared" si="25"/>
        <v>5.1334544871189411</v>
      </c>
      <c r="O41" s="83">
        <f t="shared" si="25"/>
        <v>5.1334544871189411</v>
      </c>
      <c r="P41" s="83">
        <f t="shared" si="25"/>
        <v>5.1334544871189411</v>
      </c>
      <c r="Q41" s="83">
        <f t="shared" si="25"/>
        <v>5.1334544871189411</v>
      </c>
      <c r="R41" s="83">
        <f t="shared" si="25"/>
        <v>5.1334544871189411</v>
      </c>
      <c r="S41" s="83">
        <f t="shared" si="25"/>
        <v>5.1334544871189411</v>
      </c>
      <c r="T41" s="83">
        <f t="shared" si="25"/>
        <v>5.1334544871189411</v>
      </c>
      <c r="U41" s="83">
        <f t="shared" si="25"/>
        <v>5.1334544871189411</v>
      </c>
      <c r="V41" s="83">
        <f t="shared" si="25"/>
        <v>5.1334544871189411</v>
      </c>
      <c r="W41" s="83">
        <f t="shared" si="25"/>
        <v>5.1334544871189411</v>
      </c>
      <c r="X41" s="83">
        <f t="shared" si="25"/>
        <v>5.1334544871189411</v>
      </c>
      <c r="Y41" s="83">
        <f t="shared" si="25"/>
        <v>5.1334544871189411</v>
      </c>
      <c r="Z41" s="83">
        <f t="shared" si="25"/>
        <v>5.1334544871189411</v>
      </c>
      <c r="AA41" s="175"/>
    </row>
    <row r="42" spans="1:27" outlineLevel="1" x14ac:dyDescent="0.25">
      <c r="A42" s="36" t="str">
        <f t="shared" si="2"/>
        <v>СБШ-250/270КП</v>
      </c>
      <c r="B42" s="36"/>
      <c r="D42" s="63" t="s">
        <v>55</v>
      </c>
      <c r="E42" s="64" t="str">
        <f>E15</f>
        <v>тыс. руб.</v>
      </c>
      <c r="F42" s="70"/>
      <c r="G42" s="80">
        <f>G43+G44</f>
        <v>0</v>
      </c>
      <c r="H42" s="80">
        <f t="shared" ref="H42:Z42" si="26">H43+H44</f>
        <v>0</v>
      </c>
      <c r="I42" s="80">
        <f t="shared" si="26"/>
        <v>0</v>
      </c>
      <c r="J42" s="80">
        <f t="shared" si="26"/>
        <v>0</v>
      </c>
      <c r="K42" s="80">
        <f t="shared" si="26"/>
        <v>0</v>
      </c>
      <c r="L42" s="80">
        <f t="shared" si="26"/>
        <v>0</v>
      </c>
      <c r="M42" s="80">
        <f t="shared" si="26"/>
        <v>0</v>
      </c>
      <c r="N42" s="80">
        <f t="shared" si="26"/>
        <v>0</v>
      </c>
      <c r="O42" s="80">
        <f t="shared" si="26"/>
        <v>0</v>
      </c>
      <c r="P42" s="80">
        <f t="shared" si="26"/>
        <v>0</v>
      </c>
      <c r="Q42" s="80">
        <f t="shared" si="26"/>
        <v>0</v>
      </c>
      <c r="R42" s="80">
        <f t="shared" si="26"/>
        <v>0</v>
      </c>
      <c r="S42" s="80">
        <f t="shared" si="26"/>
        <v>0</v>
      </c>
      <c r="T42" s="80">
        <f t="shared" si="26"/>
        <v>0</v>
      </c>
      <c r="U42" s="80">
        <f t="shared" si="26"/>
        <v>0</v>
      </c>
      <c r="V42" s="80">
        <f t="shared" si="26"/>
        <v>0</v>
      </c>
      <c r="W42" s="80">
        <f t="shared" si="26"/>
        <v>0</v>
      </c>
      <c r="X42" s="80">
        <f t="shared" si="26"/>
        <v>0</v>
      </c>
      <c r="Y42" s="80">
        <f t="shared" si="26"/>
        <v>0</v>
      </c>
      <c r="Z42" s="80">
        <f t="shared" si="26"/>
        <v>0</v>
      </c>
      <c r="AA42" s="175"/>
    </row>
    <row r="43" spans="1:27" outlineLevel="1" x14ac:dyDescent="0.25">
      <c r="A43" s="36" t="str">
        <f t="shared" si="2"/>
        <v>СБШ-250/270КП</v>
      </c>
      <c r="B43" s="36"/>
      <c r="D43" s="187" t="s">
        <v>213</v>
      </c>
      <c r="E43" s="9" t="str">
        <f>E42</f>
        <v>тыс. руб.</v>
      </c>
      <c r="F43" s="74">
        <f>SUMIFS('ФОТ, МТР, макро'!$X$4:$X$31,'ФОТ, МТР, макро'!$W$4:$W$31,$A43)</f>
        <v>22904.170275</v>
      </c>
      <c r="G43" s="83">
        <f>IF(G11=0,0,$F43)</f>
        <v>0</v>
      </c>
      <c r="H43" s="83">
        <f t="shared" ref="H43:Z43" si="27">IF(H11=0,0,$F43)</f>
        <v>0</v>
      </c>
      <c r="I43" s="83">
        <f t="shared" si="27"/>
        <v>0</v>
      </c>
      <c r="J43" s="83">
        <f t="shared" si="27"/>
        <v>0</v>
      </c>
      <c r="K43" s="83">
        <f t="shared" si="27"/>
        <v>0</v>
      </c>
      <c r="L43" s="83">
        <f t="shared" si="27"/>
        <v>0</v>
      </c>
      <c r="M43" s="83">
        <f t="shared" si="27"/>
        <v>0</v>
      </c>
      <c r="N43" s="83">
        <f t="shared" si="27"/>
        <v>0</v>
      </c>
      <c r="O43" s="83">
        <f t="shared" si="27"/>
        <v>0</v>
      </c>
      <c r="P43" s="83">
        <f t="shared" si="27"/>
        <v>0</v>
      </c>
      <c r="Q43" s="83">
        <f t="shared" si="27"/>
        <v>0</v>
      </c>
      <c r="R43" s="83">
        <f t="shared" si="27"/>
        <v>0</v>
      </c>
      <c r="S43" s="83">
        <f t="shared" si="27"/>
        <v>0</v>
      </c>
      <c r="T43" s="83">
        <f t="shared" si="27"/>
        <v>0</v>
      </c>
      <c r="U43" s="83">
        <f t="shared" si="27"/>
        <v>0</v>
      </c>
      <c r="V43" s="83">
        <f t="shared" si="27"/>
        <v>0</v>
      </c>
      <c r="W43" s="83">
        <f t="shared" si="27"/>
        <v>0</v>
      </c>
      <c r="X43" s="83">
        <f t="shared" si="27"/>
        <v>0</v>
      </c>
      <c r="Y43" s="83">
        <f t="shared" si="27"/>
        <v>0</v>
      </c>
      <c r="Z43" s="83">
        <f t="shared" si="27"/>
        <v>0</v>
      </c>
      <c r="AA43" s="175"/>
    </row>
    <row r="44" spans="1:27" outlineLevel="1" x14ac:dyDescent="0.25">
      <c r="A44" s="36" t="str">
        <f t="shared" si="2"/>
        <v>СБШ-250/270КП</v>
      </c>
      <c r="B44" s="36"/>
      <c r="D44" s="187" t="s">
        <v>56</v>
      </c>
      <c r="E44" s="9"/>
      <c r="F44" s="74">
        <f>SUMIFS('ФОТ, МТР, макро'!$Y$4:$Y$31,'ФОТ, МТР, макро'!$W$4:$W$31,$A44)</f>
        <v>6361.1374813241946</v>
      </c>
      <c r="G44" s="83">
        <f t="shared" ref="G44:Z44" si="28">IF(G11=0,0,$F44)</f>
        <v>0</v>
      </c>
      <c r="H44" s="83">
        <f t="shared" si="28"/>
        <v>0</v>
      </c>
      <c r="I44" s="83">
        <f t="shared" si="28"/>
        <v>0</v>
      </c>
      <c r="J44" s="83">
        <f t="shared" si="28"/>
        <v>0</v>
      </c>
      <c r="K44" s="83">
        <f t="shared" si="28"/>
        <v>0</v>
      </c>
      <c r="L44" s="83">
        <f t="shared" si="28"/>
        <v>0</v>
      </c>
      <c r="M44" s="83">
        <f t="shared" si="28"/>
        <v>0</v>
      </c>
      <c r="N44" s="83">
        <f t="shared" si="28"/>
        <v>0</v>
      </c>
      <c r="O44" s="83">
        <f t="shared" si="28"/>
        <v>0</v>
      </c>
      <c r="P44" s="83">
        <f t="shared" si="28"/>
        <v>0</v>
      </c>
      <c r="Q44" s="83">
        <f t="shared" si="28"/>
        <v>0</v>
      </c>
      <c r="R44" s="83">
        <f t="shared" si="28"/>
        <v>0</v>
      </c>
      <c r="S44" s="83">
        <f t="shared" si="28"/>
        <v>0</v>
      </c>
      <c r="T44" s="83">
        <f t="shared" si="28"/>
        <v>0</v>
      </c>
      <c r="U44" s="83">
        <f t="shared" si="28"/>
        <v>0</v>
      </c>
      <c r="V44" s="83">
        <f t="shared" si="28"/>
        <v>0</v>
      </c>
      <c r="W44" s="83">
        <f t="shared" si="28"/>
        <v>0</v>
      </c>
      <c r="X44" s="83">
        <f t="shared" si="28"/>
        <v>0</v>
      </c>
      <c r="Y44" s="83">
        <f t="shared" si="28"/>
        <v>0</v>
      </c>
      <c r="Z44" s="83">
        <f t="shared" si="28"/>
        <v>0</v>
      </c>
      <c r="AA44" s="175"/>
    </row>
    <row r="45" spans="1:27" outlineLevel="1" x14ac:dyDescent="0.25">
      <c r="A45" s="36" t="str">
        <f t="shared" si="2"/>
        <v>СБШ-250/270КП</v>
      </c>
      <c r="B45" s="36"/>
      <c r="D45" s="85" t="s">
        <v>57</v>
      </c>
      <c r="E45" s="64" t="str">
        <f>E15</f>
        <v>тыс. руб.</v>
      </c>
      <c r="F45" s="70"/>
      <c r="G45" s="80">
        <f t="shared" ref="G45:Z45" si="29">IF(G11=0,0,G46*G47/1000)</f>
        <v>0</v>
      </c>
      <c r="H45" s="80">
        <f t="shared" si="29"/>
        <v>0</v>
      </c>
      <c r="I45" s="80">
        <f t="shared" si="29"/>
        <v>0</v>
      </c>
      <c r="J45" s="80">
        <f t="shared" si="29"/>
        <v>0</v>
      </c>
      <c r="K45" s="80">
        <f t="shared" si="29"/>
        <v>0</v>
      </c>
      <c r="L45" s="80">
        <f t="shared" si="29"/>
        <v>0</v>
      </c>
      <c r="M45" s="80">
        <f t="shared" si="29"/>
        <v>0</v>
      </c>
      <c r="N45" s="80">
        <f t="shared" si="29"/>
        <v>0</v>
      </c>
      <c r="O45" s="80">
        <f t="shared" si="29"/>
        <v>0</v>
      </c>
      <c r="P45" s="80">
        <f t="shared" si="29"/>
        <v>0</v>
      </c>
      <c r="Q45" s="80">
        <f t="shared" si="29"/>
        <v>0</v>
      </c>
      <c r="R45" s="80">
        <f t="shared" si="29"/>
        <v>0</v>
      </c>
      <c r="S45" s="80">
        <f t="shared" si="29"/>
        <v>0</v>
      </c>
      <c r="T45" s="80">
        <f t="shared" si="29"/>
        <v>0</v>
      </c>
      <c r="U45" s="80">
        <f t="shared" si="29"/>
        <v>0</v>
      </c>
      <c r="V45" s="80">
        <f t="shared" si="29"/>
        <v>0</v>
      </c>
      <c r="W45" s="80">
        <f t="shared" si="29"/>
        <v>0</v>
      </c>
      <c r="X45" s="80">
        <f t="shared" si="29"/>
        <v>0</v>
      </c>
      <c r="Y45" s="80">
        <f t="shared" si="29"/>
        <v>0</v>
      </c>
      <c r="Z45" s="80">
        <f t="shared" si="29"/>
        <v>0</v>
      </c>
      <c r="AA45" s="175"/>
    </row>
    <row r="46" spans="1:27" outlineLevel="1" x14ac:dyDescent="0.25">
      <c r="A46" s="36" t="str">
        <f t="shared" si="2"/>
        <v>СБШ-250/270КП</v>
      </c>
      <c r="B46" s="36"/>
      <c r="D46" s="30" t="s">
        <v>58</v>
      </c>
      <c r="E46" s="9" t="s">
        <v>10</v>
      </c>
      <c r="F46" s="74">
        <f>SUMIFS('ФОТ, МТР, макро'!$AB$4:$AB$31,'ФОТ, МТР, макро'!$W$4:$W$31,$A46)</f>
        <v>0</v>
      </c>
      <c r="G46" s="83">
        <f>F46</f>
        <v>0</v>
      </c>
      <c r="H46" s="83">
        <f t="shared" ref="H46:Z47" si="30">G46</f>
        <v>0</v>
      </c>
      <c r="I46" s="83">
        <f t="shared" si="30"/>
        <v>0</v>
      </c>
      <c r="J46" s="83">
        <f t="shared" si="30"/>
        <v>0</v>
      </c>
      <c r="K46" s="83">
        <f t="shared" si="30"/>
        <v>0</v>
      </c>
      <c r="L46" s="83">
        <f t="shared" si="30"/>
        <v>0</v>
      </c>
      <c r="M46" s="83">
        <f t="shared" si="30"/>
        <v>0</v>
      </c>
      <c r="N46" s="83">
        <f t="shared" si="30"/>
        <v>0</v>
      </c>
      <c r="O46" s="83">
        <f t="shared" si="30"/>
        <v>0</v>
      </c>
      <c r="P46" s="83">
        <f t="shared" si="30"/>
        <v>0</v>
      </c>
      <c r="Q46" s="83">
        <f t="shared" si="30"/>
        <v>0</v>
      </c>
      <c r="R46" s="83">
        <f t="shared" si="30"/>
        <v>0</v>
      </c>
      <c r="S46" s="83">
        <f t="shared" si="30"/>
        <v>0</v>
      </c>
      <c r="T46" s="83">
        <f t="shared" si="30"/>
        <v>0</v>
      </c>
      <c r="U46" s="83">
        <f t="shared" si="30"/>
        <v>0</v>
      </c>
      <c r="V46" s="83">
        <f t="shared" si="30"/>
        <v>0</v>
      </c>
      <c r="W46" s="83">
        <f t="shared" si="30"/>
        <v>0</v>
      </c>
      <c r="X46" s="83">
        <f t="shared" si="30"/>
        <v>0</v>
      </c>
      <c r="Y46" s="83">
        <f t="shared" si="30"/>
        <v>0</v>
      </c>
      <c r="Z46" s="83">
        <f t="shared" si="30"/>
        <v>0</v>
      </c>
      <c r="AA46" s="175"/>
    </row>
    <row r="47" spans="1:27" outlineLevel="1" x14ac:dyDescent="0.25">
      <c r="A47" s="36" t="str">
        <f t="shared" si="2"/>
        <v>СБШ-250/270КП</v>
      </c>
      <c r="B47" s="36"/>
      <c r="D47" s="30" t="s">
        <v>59</v>
      </c>
      <c r="E47" s="9" t="s">
        <v>60</v>
      </c>
      <c r="F47" s="74">
        <f>SUMIFS('ФОТ, МТР, макро'!$AC$4:$AC$31,'ФОТ, МТР, макро'!$W$4:$W$31,$A47)</f>
        <v>15</v>
      </c>
      <c r="G47" s="83">
        <f>F47</f>
        <v>15</v>
      </c>
      <c r="H47" s="83">
        <f t="shared" si="30"/>
        <v>15</v>
      </c>
      <c r="I47" s="83">
        <f t="shared" si="30"/>
        <v>15</v>
      </c>
      <c r="J47" s="83">
        <f t="shared" si="30"/>
        <v>15</v>
      </c>
      <c r="K47" s="83">
        <f t="shared" si="30"/>
        <v>15</v>
      </c>
      <c r="L47" s="83">
        <f t="shared" si="30"/>
        <v>15</v>
      </c>
      <c r="M47" s="83">
        <f t="shared" si="30"/>
        <v>15</v>
      </c>
      <c r="N47" s="83">
        <f t="shared" si="30"/>
        <v>15</v>
      </c>
      <c r="O47" s="83">
        <f t="shared" si="30"/>
        <v>15</v>
      </c>
      <c r="P47" s="83">
        <f t="shared" si="30"/>
        <v>15</v>
      </c>
      <c r="Q47" s="83">
        <f t="shared" si="30"/>
        <v>15</v>
      </c>
      <c r="R47" s="83">
        <f t="shared" si="30"/>
        <v>15</v>
      </c>
      <c r="S47" s="83">
        <f t="shared" si="30"/>
        <v>15</v>
      </c>
      <c r="T47" s="83">
        <f t="shared" si="30"/>
        <v>15</v>
      </c>
      <c r="U47" s="83">
        <f t="shared" si="30"/>
        <v>15</v>
      </c>
      <c r="V47" s="83">
        <f t="shared" si="30"/>
        <v>15</v>
      </c>
      <c r="W47" s="83">
        <f t="shared" si="30"/>
        <v>15</v>
      </c>
      <c r="X47" s="83">
        <f t="shared" si="30"/>
        <v>15</v>
      </c>
      <c r="Y47" s="83">
        <f t="shared" si="30"/>
        <v>15</v>
      </c>
      <c r="Z47" s="83">
        <f t="shared" si="30"/>
        <v>15</v>
      </c>
      <c r="AA47" s="175"/>
    </row>
    <row r="48" spans="1:27" outlineLevel="1" x14ac:dyDescent="0.25">
      <c r="A48" s="36" t="str">
        <f t="shared" si="2"/>
        <v>СБШ-250/270КП</v>
      </c>
      <c r="B48" s="36"/>
      <c r="C48" s="86">
        <f>SUMIFS('ФОТ, МТР, макро'!$AF$4:$AF$31,'ФОТ, МТР, макро'!$W$4:$W$31,$A48)</f>
        <v>19.672131147540984</v>
      </c>
      <c r="D48" s="85" t="s">
        <v>61</v>
      </c>
      <c r="E48" s="64" t="str">
        <f>E15</f>
        <v>тыс. руб.</v>
      </c>
      <c r="F48" s="80"/>
      <c r="G48" s="87">
        <f>IF(G8&lt;=$C49,$F53*$C48%,"ОШИБКА")</f>
        <v>0</v>
      </c>
      <c r="H48" s="71">
        <f>IF(H8&lt;=$C49,$F53*$C48%,$F53-SUM($G48:G48))</f>
        <v>0</v>
      </c>
      <c r="I48" s="71">
        <f>IF(I8&lt;=$C49,$F53*$C48%,$F53-SUM($G48:H48))</f>
        <v>0</v>
      </c>
      <c r="J48" s="71">
        <f>IF(J8&lt;=$C49,$F53*$C48%,$F53-SUM($G48:I48))</f>
        <v>0</v>
      </c>
      <c r="K48" s="71">
        <f>IF(K8&lt;=$C49,$F53*$C48%,$F53-SUM($G48:J48))</f>
        <v>0</v>
      </c>
      <c r="L48" s="71">
        <f>IF(L8&lt;=$C49,$F53*$C48%,$F53-SUM($G48:K48))</f>
        <v>0</v>
      </c>
      <c r="M48" s="71">
        <f>IF(M8&lt;=$C49,$F53*$C48%,$F53-SUM($G48:L48))</f>
        <v>0</v>
      </c>
      <c r="N48" s="71">
        <f>IF(N8&lt;=$C49,$F53*$C48%,$F53-SUM($G48:M48))</f>
        <v>0</v>
      </c>
      <c r="O48" s="71">
        <f>IF(O8&lt;=$C49,$F53*$C48%,$F53-SUM($G48:N48))</f>
        <v>0</v>
      </c>
      <c r="P48" s="71">
        <f>IF(P8&lt;=$C49,$F53*$C48%,$F53-SUM($G48:O48))</f>
        <v>0</v>
      </c>
      <c r="Q48" s="71">
        <f>IF(Q8&lt;=$C49,$F53*$C48%,$F53-SUM($G48:P48))</f>
        <v>0</v>
      </c>
      <c r="R48" s="71">
        <f>IF(R8&lt;=$C49,$F53*$C48%,$F53-SUM($G48:Q48))</f>
        <v>0</v>
      </c>
      <c r="S48" s="71">
        <f>IF(S8&lt;=$C49,$F53*$C48%,$F53-SUM($G48:R48))</f>
        <v>0</v>
      </c>
      <c r="T48" s="71">
        <f>IF(T8&lt;=$C49,$F53*$C48%,$F53-SUM($G48:S48))</f>
        <v>0</v>
      </c>
      <c r="U48" s="71">
        <f>IF(U8&lt;=$C49,$F53*$C48%,$F53-SUM($G48:T48))</f>
        <v>0</v>
      </c>
      <c r="V48" s="71">
        <f>IF(V8&lt;=$C49,$F53*$C48%,$F53-SUM($G48:U48))</f>
        <v>0</v>
      </c>
      <c r="W48" s="71">
        <f>IF(W8&lt;=$C49,$F53*$C48%,$F53-SUM($G48:V48))</f>
        <v>0</v>
      </c>
      <c r="X48" s="71">
        <f>IF(X8&lt;=$C49,$F53*$C48%,$F53-SUM($G48:W48))</f>
        <v>0</v>
      </c>
      <c r="Y48" s="71">
        <f>IF(Y8&lt;=$C49,$F53*$C48%,$F53-SUM($G48:X48))</f>
        <v>0</v>
      </c>
      <c r="Z48" s="71">
        <f>IF(Z8&lt;=$C49,$F53*$C48%,$F53-SUM($G48:Y48))</f>
        <v>0</v>
      </c>
      <c r="AA48" s="175"/>
    </row>
    <row r="49" spans="1:28" outlineLevel="1" x14ac:dyDescent="0.25">
      <c r="A49" s="36" t="str">
        <f t="shared" si="2"/>
        <v>СБШ-250/270КП</v>
      </c>
      <c r="B49" s="36"/>
      <c r="C49" s="86">
        <f>SUMIFS('ФОТ, МТР, макро'!$AE$4:$AE$31,'ФОТ, МТР, макро'!$W$4:$W$31,$A49)/12</f>
        <v>5.083333333333333</v>
      </c>
      <c r="D49" s="85" t="s">
        <v>62</v>
      </c>
      <c r="E49" s="64" t="str">
        <f>E15</f>
        <v>тыс. руб.</v>
      </c>
      <c r="F49" s="65"/>
      <c r="G49" s="65">
        <f t="shared" ref="G49:Z49" si="31">SUM(G16,G21,G23,G27,G31,G33,G42,G45,G48)</f>
        <v>0</v>
      </c>
      <c r="H49" s="65">
        <f t="shared" si="31"/>
        <v>0</v>
      </c>
      <c r="I49" s="65">
        <f t="shared" si="31"/>
        <v>0</v>
      </c>
      <c r="J49" s="65">
        <f t="shared" si="31"/>
        <v>0</v>
      </c>
      <c r="K49" s="65">
        <f t="shared" si="31"/>
        <v>0</v>
      </c>
      <c r="L49" s="65">
        <f t="shared" si="31"/>
        <v>0</v>
      </c>
      <c r="M49" s="65">
        <f t="shared" si="31"/>
        <v>0</v>
      </c>
      <c r="N49" s="65">
        <f t="shared" si="31"/>
        <v>0</v>
      </c>
      <c r="O49" s="65">
        <f t="shared" si="31"/>
        <v>0</v>
      </c>
      <c r="P49" s="65">
        <f t="shared" si="31"/>
        <v>0</v>
      </c>
      <c r="Q49" s="65">
        <f t="shared" si="31"/>
        <v>0</v>
      </c>
      <c r="R49" s="65">
        <f t="shared" si="31"/>
        <v>0</v>
      </c>
      <c r="S49" s="65">
        <f t="shared" si="31"/>
        <v>0</v>
      </c>
      <c r="T49" s="65">
        <f t="shared" si="31"/>
        <v>0</v>
      </c>
      <c r="U49" s="65">
        <f t="shared" si="31"/>
        <v>0</v>
      </c>
      <c r="V49" s="65">
        <f t="shared" si="31"/>
        <v>0</v>
      </c>
      <c r="W49" s="65">
        <f t="shared" si="31"/>
        <v>0</v>
      </c>
      <c r="X49" s="65">
        <f t="shared" si="31"/>
        <v>0</v>
      </c>
      <c r="Y49" s="65">
        <f t="shared" si="31"/>
        <v>0</v>
      </c>
      <c r="Z49" s="65">
        <f t="shared" si="31"/>
        <v>0</v>
      </c>
      <c r="AA49" s="175"/>
      <c r="AB49" s="39"/>
    </row>
    <row r="50" spans="1:28" outlineLevel="1" x14ac:dyDescent="0.25">
      <c r="A50" s="36" t="str">
        <f t="shared" si="2"/>
        <v>СБШ-250/270КП</v>
      </c>
      <c r="B50" s="36"/>
      <c r="D50" s="85" t="s">
        <v>63</v>
      </c>
      <c r="E50" s="64" t="str">
        <f>E15</f>
        <v>тыс. руб.</v>
      </c>
      <c r="F50" s="65"/>
      <c r="G50" s="65">
        <f>-G49*'ФОТ, МТР, макро'!AJ$12</f>
        <v>0</v>
      </c>
      <c r="H50" s="65">
        <f>-H49*'ФОТ, МТР, макро'!AK$12</f>
        <v>0</v>
      </c>
      <c r="I50" s="65">
        <f>-I49*'ФОТ, МТР, макро'!AL$12</f>
        <v>0</v>
      </c>
      <c r="J50" s="65">
        <f>-J49*'ФОТ, МТР, макро'!AM$12</f>
        <v>0</v>
      </c>
      <c r="K50" s="65">
        <f>-K49*'ФОТ, МТР, макро'!AN$12</f>
        <v>0</v>
      </c>
      <c r="L50" s="65">
        <f>-L49*'ФОТ, МТР, макро'!AO$12</f>
        <v>0</v>
      </c>
      <c r="M50" s="65">
        <f>-M49*'ФОТ, МТР, макро'!AP$12</f>
        <v>0</v>
      </c>
      <c r="N50" s="65">
        <f>-N49*'ФОТ, МТР, макро'!AQ$12</f>
        <v>0</v>
      </c>
      <c r="O50" s="65">
        <f>-O49*'ФОТ, МТР, макро'!AR$12</f>
        <v>0</v>
      </c>
      <c r="P50" s="65">
        <f>-P49*'ФОТ, МТР, макро'!AS$12</f>
        <v>0</v>
      </c>
      <c r="Q50" s="65">
        <f>-Q49*'ФОТ, МТР, макро'!AT$12</f>
        <v>0</v>
      </c>
      <c r="R50" s="65">
        <f>-R49*'ФОТ, МТР, макро'!AU$12</f>
        <v>0</v>
      </c>
      <c r="S50" s="65">
        <f>-S49*'ФОТ, МТР, макро'!AV$12</f>
        <v>0</v>
      </c>
      <c r="T50" s="65">
        <f>-T49*'ФОТ, МТР, макро'!AW$12</f>
        <v>0</v>
      </c>
      <c r="U50" s="65">
        <f>-U49*'ФОТ, МТР, макро'!AX$12</f>
        <v>0</v>
      </c>
      <c r="V50" s="65">
        <f>-V49*'ФОТ, МТР, макро'!AY$12</f>
        <v>0</v>
      </c>
      <c r="W50" s="65">
        <f>-W49*'ФОТ, МТР, макро'!AZ$12</f>
        <v>0</v>
      </c>
      <c r="X50" s="65">
        <f>-X49*'ФОТ, МТР, макро'!BA$12</f>
        <v>0</v>
      </c>
      <c r="Y50" s="65">
        <f>-Y49*'ФОТ, МТР, макро'!BB$12</f>
        <v>0</v>
      </c>
      <c r="Z50" s="65">
        <f>-Z49*'ФОТ, МТР, макро'!BC$12</f>
        <v>0</v>
      </c>
      <c r="AA50" s="175"/>
    </row>
    <row r="51" spans="1:28" outlineLevel="1" x14ac:dyDescent="0.25">
      <c r="A51" s="36" t="str">
        <f t="shared" si="2"/>
        <v>СБШ-250/270КП</v>
      </c>
      <c r="B51" s="36"/>
      <c r="D51" s="88"/>
      <c r="E51" s="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75"/>
    </row>
    <row r="52" spans="1:28" outlineLevel="1" x14ac:dyDescent="0.25">
      <c r="A52" s="36" t="str">
        <f t="shared" si="2"/>
        <v>СБШ-250/270КП</v>
      </c>
      <c r="B52" s="36"/>
      <c r="D52" s="66" t="s">
        <v>64</v>
      </c>
      <c r="E52" s="67" t="str">
        <f>E15</f>
        <v>тыс. руб.</v>
      </c>
      <c r="F52" s="68">
        <f>F53</f>
        <v>0</v>
      </c>
      <c r="G52" s="68">
        <f t="shared" ref="G52:Z52" si="32">G53</f>
        <v>0</v>
      </c>
      <c r="H52" s="68">
        <f t="shared" si="32"/>
        <v>0</v>
      </c>
      <c r="I52" s="68">
        <f t="shared" si="32"/>
        <v>0</v>
      </c>
      <c r="J52" s="68">
        <f t="shared" si="32"/>
        <v>0</v>
      </c>
      <c r="K52" s="68">
        <f t="shared" si="32"/>
        <v>0</v>
      </c>
      <c r="L52" s="68">
        <f t="shared" si="32"/>
        <v>0</v>
      </c>
      <c r="M52" s="68">
        <f t="shared" si="32"/>
        <v>0</v>
      </c>
      <c r="N52" s="68">
        <f t="shared" si="32"/>
        <v>0</v>
      </c>
      <c r="O52" s="68">
        <f t="shared" si="32"/>
        <v>0</v>
      </c>
      <c r="P52" s="68">
        <f t="shared" si="32"/>
        <v>0</v>
      </c>
      <c r="Q52" s="68">
        <f t="shared" si="32"/>
        <v>0</v>
      </c>
      <c r="R52" s="68">
        <f t="shared" si="32"/>
        <v>0</v>
      </c>
      <c r="S52" s="68">
        <f t="shared" si="32"/>
        <v>0</v>
      </c>
      <c r="T52" s="68">
        <f t="shared" si="32"/>
        <v>0</v>
      </c>
      <c r="U52" s="68">
        <f t="shared" si="32"/>
        <v>0</v>
      </c>
      <c r="V52" s="68">
        <f t="shared" si="32"/>
        <v>0</v>
      </c>
      <c r="W52" s="68">
        <f t="shared" si="32"/>
        <v>0</v>
      </c>
      <c r="X52" s="68">
        <f t="shared" si="32"/>
        <v>0</v>
      </c>
      <c r="Y52" s="68">
        <f t="shared" si="32"/>
        <v>0</v>
      </c>
      <c r="Z52" s="68">
        <f t="shared" si="32"/>
        <v>0</v>
      </c>
      <c r="AA52" s="175"/>
    </row>
    <row r="53" spans="1:28" outlineLevel="1" x14ac:dyDescent="0.25">
      <c r="A53" s="36" t="str">
        <f t="shared" si="2"/>
        <v>СБШ-250/270КП</v>
      </c>
      <c r="B53" s="36"/>
      <c r="D53" s="88" t="s">
        <v>206</v>
      </c>
      <c r="E53" s="9" t="str">
        <f>E52</f>
        <v>тыс. руб.</v>
      </c>
      <c r="F53" s="74">
        <f>SUMIFS('Свод_250-270_эл'!$D$33:$P$33,'Свод_250-270_эл'!$D$19:$P$19,$A53)</f>
        <v>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175"/>
    </row>
    <row r="54" spans="1:28" outlineLevel="1" x14ac:dyDescent="0.25">
      <c r="A54" s="36" t="str">
        <f t="shared" si="2"/>
        <v>СБШ-250/270КП</v>
      </c>
      <c r="B54" s="36"/>
      <c r="D54" s="88"/>
      <c r="E54" s="9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175"/>
    </row>
    <row r="55" spans="1:28" outlineLevel="1" x14ac:dyDescent="0.25">
      <c r="A55" s="36" t="str">
        <f t="shared" si="2"/>
        <v>СБШ-250/270КП</v>
      </c>
      <c r="B55" s="36"/>
      <c r="D55" s="66" t="s">
        <v>65</v>
      </c>
      <c r="E55" s="67" t="str">
        <f>E15</f>
        <v>тыс. руб.</v>
      </c>
      <c r="F55" s="68">
        <f t="shared" ref="F55:Z55" si="33">F15+F52</f>
        <v>0</v>
      </c>
      <c r="G55" s="68">
        <f t="shared" si="33"/>
        <v>0</v>
      </c>
      <c r="H55" s="68">
        <f t="shared" si="33"/>
        <v>0</v>
      </c>
      <c r="I55" s="68">
        <f t="shared" si="33"/>
        <v>0</v>
      </c>
      <c r="J55" s="68">
        <f t="shared" si="33"/>
        <v>0</v>
      </c>
      <c r="K55" s="68">
        <f t="shared" si="33"/>
        <v>0</v>
      </c>
      <c r="L55" s="68">
        <f t="shared" si="33"/>
        <v>0</v>
      </c>
      <c r="M55" s="68">
        <f t="shared" si="33"/>
        <v>0</v>
      </c>
      <c r="N55" s="68">
        <f t="shared" si="33"/>
        <v>0</v>
      </c>
      <c r="O55" s="68">
        <f t="shared" si="33"/>
        <v>0</v>
      </c>
      <c r="P55" s="68">
        <f t="shared" si="33"/>
        <v>0</v>
      </c>
      <c r="Q55" s="68">
        <f t="shared" si="33"/>
        <v>0</v>
      </c>
      <c r="R55" s="68">
        <f t="shared" si="33"/>
        <v>0</v>
      </c>
      <c r="S55" s="68">
        <f t="shared" si="33"/>
        <v>0</v>
      </c>
      <c r="T55" s="68">
        <f t="shared" si="33"/>
        <v>0</v>
      </c>
      <c r="U55" s="68">
        <f t="shared" si="33"/>
        <v>0</v>
      </c>
      <c r="V55" s="68">
        <f t="shared" si="33"/>
        <v>0</v>
      </c>
      <c r="W55" s="68">
        <f t="shared" si="33"/>
        <v>0</v>
      </c>
      <c r="X55" s="68">
        <f t="shared" si="33"/>
        <v>0</v>
      </c>
      <c r="Y55" s="68">
        <f t="shared" si="33"/>
        <v>0</v>
      </c>
      <c r="Z55" s="68">
        <f t="shared" si="33"/>
        <v>0</v>
      </c>
      <c r="AA55" s="175"/>
    </row>
    <row r="56" spans="1:28" ht="27.2" outlineLevel="1" x14ac:dyDescent="0.25">
      <c r="A56" s="36" t="str">
        <f t="shared" si="2"/>
        <v>СБШ-250/270КП</v>
      </c>
      <c r="B56" s="36"/>
      <c r="D56" s="63" t="s">
        <v>66</v>
      </c>
      <c r="E56" s="64" t="str">
        <f>E55</f>
        <v>тыс. руб.</v>
      </c>
      <c r="F56" s="89"/>
      <c r="G56" s="65">
        <f>G15*'ФОТ, МТР, макро'!AJ$14</f>
        <v>0</v>
      </c>
      <c r="H56" s="65">
        <f>H15*'ФОТ, МТР, макро'!AK$14</f>
        <v>0</v>
      </c>
      <c r="I56" s="65">
        <f>I15*'ФОТ, МТР, макро'!AL$14</f>
        <v>0</v>
      </c>
      <c r="J56" s="65">
        <f>J15*'ФОТ, МТР, макро'!AM$14</f>
        <v>0</v>
      </c>
      <c r="K56" s="65">
        <f>K15*'ФОТ, МТР, макро'!AN$14</f>
        <v>0</v>
      </c>
      <c r="L56" s="65">
        <f>L15*'ФОТ, МТР, макро'!AO$14</f>
        <v>0</v>
      </c>
      <c r="M56" s="65">
        <f>M15*'ФОТ, МТР, макро'!AP$14</f>
        <v>0</v>
      </c>
      <c r="N56" s="65">
        <f>N15*'ФОТ, МТР, макро'!AQ$14</f>
        <v>0</v>
      </c>
      <c r="O56" s="65">
        <f>O15*'ФОТ, МТР, макро'!AR$14</f>
        <v>0</v>
      </c>
      <c r="P56" s="65">
        <f>P15*'ФОТ, МТР, макро'!AS$14</f>
        <v>0</v>
      </c>
      <c r="Q56" s="65">
        <f>Q15*'ФОТ, МТР, макро'!AT$14</f>
        <v>0</v>
      </c>
      <c r="R56" s="65">
        <f>R15*'ФОТ, МТР, макро'!AU$14</f>
        <v>0</v>
      </c>
      <c r="S56" s="65">
        <f>S15*'ФОТ, МТР, макро'!AV$14</f>
        <v>0</v>
      </c>
      <c r="T56" s="65">
        <f>T15*'ФОТ, МТР, макро'!AW$14</f>
        <v>0</v>
      </c>
      <c r="U56" s="65">
        <f>U15*'ФОТ, МТР, макро'!AX$14</f>
        <v>0</v>
      </c>
      <c r="V56" s="65">
        <f>V15*'ФОТ, МТР, макро'!AY$14</f>
        <v>0</v>
      </c>
      <c r="W56" s="65">
        <f>W15*'ФОТ, МТР, макро'!AZ$14</f>
        <v>0</v>
      </c>
      <c r="X56" s="65">
        <f>X15*'ФОТ, МТР, макро'!BA$14</f>
        <v>0</v>
      </c>
      <c r="Y56" s="65">
        <f>Y15*'ФОТ, МТР, макро'!BB$14</f>
        <v>0</v>
      </c>
      <c r="Z56" s="65">
        <f>Z15*'ФОТ, МТР, макро'!BC$14</f>
        <v>0</v>
      </c>
      <c r="AA56" s="175"/>
    </row>
    <row r="57" spans="1:28" outlineLevel="1" x14ac:dyDescent="0.25">
      <c r="A57" s="36" t="str">
        <f t="shared" si="2"/>
        <v>СБШ-250/270КП</v>
      </c>
      <c r="B57" s="36"/>
      <c r="D57" s="17" t="str">
        <f>D16</f>
        <v>ТО, ТР, ППР</v>
      </c>
      <c r="E57" s="9" t="str">
        <f>E56</f>
        <v>тыс. руб.</v>
      </c>
      <c r="F57" s="90"/>
      <c r="G57" s="70">
        <f>G16*'ФОТ, МТР, макро'!AJ$14</f>
        <v>0</v>
      </c>
      <c r="H57" s="70">
        <f>H16*'ФОТ, МТР, макро'!AK$14</f>
        <v>0</v>
      </c>
      <c r="I57" s="70">
        <f>I16*'ФОТ, МТР, макро'!AL$14</f>
        <v>0</v>
      </c>
      <c r="J57" s="70">
        <f>J16*'ФОТ, МТР, макро'!AM$14</f>
        <v>0</v>
      </c>
      <c r="K57" s="70">
        <f>K16*'ФОТ, МТР, макро'!AN$14</f>
        <v>0</v>
      </c>
      <c r="L57" s="70">
        <f>L16*'ФОТ, МТР, макро'!AO$14</f>
        <v>0</v>
      </c>
      <c r="M57" s="70">
        <f>M16*'ФОТ, МТР, макро'!AP$14</f>
        <v>0</v>
      </c>
      <c r="N57" s="70">
        <f>N16*'ФОТ, МТР, макро'!AQ$14</f>
        <v>0</v>
      </c>
      <c r="O57" s="70">
        <f>O16*'ФОТ, МТР, макро'!AR$14</f>
        <v>0</v>
      </c>
      <c r="P57" s="70">
        <f>P16*'ФОТ, МТР, макро'!AS$14</f>
        <v>0</v>
      </c>
      <c r="Q57" s="70">
        <f>Q16*'ФОТ, МТР, макро'!AT$14</f>
        <v>0</v>
      </c>
      <c r="R57" s="70">
        <f>R16*'ФОТ, МТР, макро'!AU$14</f>
        <v>0</v>
      </c>
      <c r="S57" s="70">
        <f>S16*'ФОТ, МТР, макро'!AV$14</f>
        <v>0</v>
      </c>
      <c r="T57" s="70">
        <f>T16*'ФОТ, МТР, макро'!AW$14</f>
        <v>0</v>
      </c>
      <c r="U57" s="70">
        <f>U16*'ФОТ, МТР, макро'!AX$14</f>
        <v>0</v>
      </c>
      <c r="V57" s="70">
        <f>V16*'ФОТ, МТР, макро'!AY$14</f>
        <v>0</v>
      </c>
      <c r="W57" s="70">
        <f>W16*'ФОТ, МТР, макро'!AZ$14</f>
        <v>0</v>
      </c>
      <c r="X57" s="70">
        <f>X16*'ФОТ, МТР, макро'!BA$14</f>
        <v>0</v>
      </c>
      <c r="Y57" s="70">
        <f>Y16*'ФОТ, МТР, макро'!BB$14</f>
        <v>0</v>
      </c>
      <c r="Z57" s="70">
        <f>Z16*'ФОТ, МТР, макро'!BC$14</f>
        <v>0</v>
      </c>
      <c r="AA57" s="175"/>
    </row>
    <row r="58" spans="1:28" outlineLevel="1" x14ac:dyDescent="0.25">
      <c r="A58" s="36" t="str">
        <f t="shared" si="2"/>
        <v>СБШ-250/270КП</v>
      </c>
      <c r="B58" s="36"/>
      <c r="D58" s="17" t="str">
        <f>D21</f>
        <v>Смазочные</v>
      </c>
      <c r="E58" s="9" t="str">
        <f t="shared" ref="E58:E65" si="34">E57</f>
        <v>тыс. руб.</v>
      </c>
      <c r="F58" s="90"/>
      <c r="G58" s="70">
        <f>G21*'ФОТ, МТР, макро'!AJ$14</f>
        <v>0</v>
      </c>
      <c r="H58" s="70">
        <f>H21*'ФОТ, МТР, макро'!AK$14</f>
        <v>0</v>
      </c>
      <c r="I58" s="70">
        <f>I21*'ФОТ, МТР, макро'!AL$14</f>
        <v>0</v>
      </c>
      <c r="J58" s="70">
        <f>J21*'ФОТ, МТР, макро'!AM$14</f>
        <v>0</v>
      </c>
      <c r="K58" s="70">
        <f>K21*'ФОТ, МТР, макро'!AN$14</f>
        <v>0</v>
      </c>
      <c r="L58" s="70">
        <f>L21*'ФОТ, МТР, макро'!AO$14</f>
        <v>0</v>
      </c>
      <c r="M58" s="70">
        <f>M21*'ФОТ, МТР, макро'!AP$14</f>
        <v>0</v>
      </c>
      <c r="N58" s="70">
        <f>N21*'ФОТ, МТР, макро'!AQ$14</f>
        <v>0</v>
      </c>
      <c r="O58" s="70">
        <f>O21*'ФОТ, МТР, макро'!AR$14</f>
        <v>0</v>
      </c>
      <c r="P58" s="70">
        <f>P21*'ФОТ, МТР, макро'!AS$14</f>
        <v>0</v>
      </c>
      <c r="Q58" s="70">
        <f>Q21*'ФОТ, МТР, макро'!AT$14</f>
        <v>0</v>
      </c>
      <c r="R58" s="70">
        <f>R21*'ФОТ, МТР, макро'!AU$14</f>
        <v>0</v>
      </c>
      <c r="S58" s="70">
        <f>S21*'ФОТ, МТР, макро'!AV$14</f>
        <v>0</v>
      </c>
      <c r="T58" s="70">
        <f>T21*'ФОТ, МТР, макро'!AW$14</f>
        <v>0</v>
      </c>
      <c r="U58" s="70">
        <f>U21*'ФОТ, МТР, макро'!AX$14</f>
        <v>0</v>
      </c>
      <c r="V58" s="70">
        <f>V21*'ФОТ, МТР, макро'!AY$14</f>
        <v>0</v>
      </c>
      <c r="W58" s="70">
        <f>W21*'ФОТ, МТР, макро'!AZ$14</f>
        <v>0</v>
      </c>
      <c r="X58" s="70">
        <f>X21*'ФОТ, МТР, макро'!BA$14</f>
        <v>0</v>
      </c>
      <c r="Y58" s="70">
        <f>Y21*'ФОТ, МТР, макро'!BB$14</f>
        <v>0</v>
      </c>
      <c r="Z58" s="70">
        <f>Z21*'ФОТ, МТР, макро'!BC$14</f>
        <v>0</v>
      </c>
      <c r="AA58" s="175"/>
    </row>
    <row r="59" spans="1:28" outlineLevel="1" x14ac:dyDescent="0.25">
      <c r="A59" s="36" t="str">
        <f t="shared" si="2"/>
        <v>СБШ-250/270КП</v>
      </c>
      <c r="B59" s="36"/>
      <c r="D59" s="17" t="str">
        <f>D23</f>
        <v>Долота</v>
      </c>
      <c r="E59" s="9" t="str">
        <f t="shared" si="34"/>
        <v>тыс. руб.</v>
      </c>
      <c r="F59" s="90"/>
      <c r="G59" s="70">
        <f>G23*'ФОТ, МТР, макро'!AJ$14</f>
        <v>0</v>
      </c>
      <c r="H59" s="70">
        <f>H23*'ФОТ, МТР, макро'!AK$14</f>
        <v>0</v>
      </c>
      <c r="I59" s="70">
        <f>I23*'ФОТ, МТР, макро'!AL$14</f>
        <v>0</v>
      </c>
      <c r="J59" s="70">
        <f>J23*'ФОТ, МТР, макро'!AM$14</f>
        <v>0</v>
      </c>
      <c r="K59" s="70">
        <f>K23*'ФОТ, МТР, макро'!AN$14</f>
        <v>0</v>
      </c>
      <c r="L59" s="70">
        <f>L23*'ФОТ, МТР, макро'!AO$14</f>
        <v>0</v>
      </c>
      <c r="M59" s="70">
        <f>M23*'ФОТ, МТР, макро'!AP$14</f>
        <v>0</v>
      </c>
      <c r="N59" s="70">
        <f>N23*'ФОТ, МТР, макро'!AQ$14</f>
        <v>0</v>
      </c>
      <c r="O59" s="70">
        <f>O23*'ФОТ, МТР, макро'!AR$14</f>
        <v>0</v>
      </c>
      <c r="P59" s="70">
        <f>P23*'ФОТ, МТР, макро'!AS$14</f>
        <v>0</v>
      </c>
      <c r="Q59" s="70">
        <f>Q23*'ФОТ, МТР, макро'!AT$14</f>
        <v>0</v>
      </c>
      <c r="R59" s="70">
        <f>R23*'ФОТ, МТР, макро'!AU$14</f>
        <v>0</v>
      </c>
      <c r="S59" s="70">
        <f>S23*'ФОТ, МТР, макро'!AV$14</f>
        <v>0</v>
      </c>
      <c r="T59" s="70">
        <f>T23*'ФОТ, МТР, макро'!AW$14</f>
        <v>0</v>
      </c>
      <c r="U59" s="70">
        <f>U23*'ФОТ, МТР, макро'!AX$14</f>
        <v>0</v>
      </c>
      <c r="V59" s="70">
        <f>V23*'ФОТ, МТР, макро'!AY$14</f>
        <v>0</v>
      </c>
      <c r="W59" s="70">
        <f>W23*'ФОТ, МТР, макро'!AZ$14</f>
        <v>0</v>
      </c>
      <c r="X59" s="70">
        <f>X23*'ФОТ, МТР, макро'!BA$14</f>
        <v>0</v>
      </c>
      <c r="Y59" s="70">
        <f>Y23*'ФОТ, МТР, макро'!BB$14</f>
        <v>0</v>
      </c>
      <c r="Z59" s="70">
        <f>Z23*'ФОТ, МТР, макро'!BC$14</f>
        <v>0</v>
      </c>
      <c r="AA59" s="175"/>
    </row>
    <row r="60" spans="1:28" outlineLevel="1" x14ac:dyDescent="0.25">
      <c r="A60" s="36" t="str">
        <f t="shared" si="2"/>
        <v>СБШ-250/270КП</v>
      </c>
      <c r="B60" s="36"/>
      <c r="D60" s="17" t="str">
        <f>D27</f>
        <v>Штанги буровые</v>
      </c>
      <c r="E60" s="9" t="str">
        <f t="shared" si="34"/>
        <v>тыс. руб.</v>
      </c>
      <c r="F60" s="90"/>
      <c r="G60" s="70">
        <f>G27*'ФОТ, МТР, макро'!AJ$14</f>
        <v>0</v>
      </c>
      <c r="H60" s="70">
        <f>H27*'ФОТ, МТР, макро'!AK$14</f>
        <v>0</v>
      </c>
      <c r="I60" s="70">
        <f>I27*'ФОТ, МТР, макро'!AL$14</f>
        <v>0</v>
      </c>
      <c r="J60" s="70">
        <f>J27*'ФОТ, МТР, макро'!AM$14</f>
        <v>0</v>
      </c>
      <c r="K60" s="70">
        <f>K27*'ФОТ, МТР, макро'!AN$14</f>
        <v>0</v>
      </c>
      <c r="L60" s="70">
        <f>L27*'ФОТ, МТР, макро'!AO$14</f>
        <v>0</v>
      </c>
      <c r="M60" s="70">
        <f>M27*'ФОТ, МТР, макро'!AP$14</f>
        <v>0</v>
      </c>
      <c r="N60" s="70">
        <f>N27*'ФОТ, МТР, макро'!AQ$14</f>
        <v>0</v>
      </c>
      <c r="O60" s="70">
        <f>O27*'ФОТ, МТР, макро'!AR$14</f>
        <v>0</v>
      </c>
      <c r="P60" s="70">
        <f>P27*'ФОТ, МТР, макро'!AS$14</f>
        <v>0</v>
      </c>
      <c r="Q60" s="70">
        <f>Q27*'ФОТ, МТР, макро'!AT$14</f>
        <v>0</v>
      </c>
      <c r="R60" s="70">
        <f>R27*'ФОТ, МТР, макро'!AU$14</f>
        <v>0</v>
      </c>
      <c r="S60" s="70">
        <f>S27*'ФОТ, МТР, макро'!AV$14</f>
        <v>0</v>
      </c>
      <c r="T60" s="70">
        <f>T27*'ФОТ, МТР, макро'!AW$14</f>
        <v>0</v>
      </c>
      <c r="U60" s="70">
        <f>U27*'ФОТ, МТР, макро'!AX$14</f>
        <v>0</v>
      </c>
      <c r="V60" s="70">
        <f>V27*'ФОТ, МТР, макро'!AY$14</f>
        <v>0</v>
      </c>
      <c r="W60" s="70">
        <f>W27*'ФОТ, МТР, макро'!AZ$14</f>
        <v>0</v>
      </c>
      <c r="X60" s="70">
        <f>X27*'ФОТ, МТР, макро'!BA$14</f>
        <v>0</v>
      </c>
      <c r="Y60" s="70">
        <f>Y27*'ФОТ, МТР, макро'!BB$14</f>
        <v>0</v>
      </c>
      <c r="Z60" s="70">
        <f>Z27*'ФОТ, МТР, макро'!BC$14</f>
        <v>0</v>
      </c>
      <c r="AA60" s="175"/>
    </row>
    <row r="61" spans="1:28" outlineLevel="1" x14ac:dyDescent="0.25">
      <c r="A61" s="36" t="str">
        <f t="shared" si="2"/>
        <v>СБШ-250/270КП</v>
      </c>
      <c r="B61" s="36"/>
      <c r="D61" s="17" t="str">
        <f>D31</f>
        <v>Расходники</v>
      </c>
      <c r="E61" s="9" t="str">
        <f t="shared" si="34"/>
        <v>тыс. руб.</v>
      </c>
      <c r="F61" s="90"/>
      <c r="G61" s="70">
        <f>G31*'ФОТ, МТР, макро'!AJ$14</f>
        <v>0</v>
      </c>
      <c r="H61" s="70">
        <f>H31*'ФОТ, МТР, макро'!AK$14</f>
        <v>0</v>
      </c>
      <c r="I61" s="70">
        <f>I31*'ФОТ, МТР, макро'!AL$14</f>
        <v>0</v>
      </c>
      <c r="J61" s="70">
        <f>J31*'ФОТ, МТР, макро'!AM$14</f>
        <v>0</v>
      </c>
      <c r="K61" s="70">
        <f>K31*'ФОТ, МТР, макро'!AN$14</f>
        <v>0</v>
      </c>
      <c r="L61" s="70">
        <f>L31*'ФОТ, МТР, макро'!AO$14</f>
        <v>0</v>
      </c>
      <c r="M61" s="70">
        <f>M31*'ФОТ, МТР, макро'!AP$14</f>
        <v>0</v>
      </c>
      <c r="N61" s="70">
        <f>N31*'ФОТ, МТР, макро'!AQ$14</f>
        <v>0</v>
      </c>
      <c r="O61" s="70">
        <f>O31*'ФОТ, МТР, макро'!AR$14</f>
        <v>0</v>
      </c>
      <c r="P61" s="70">
        <f>P31*'ФОТ, МТР, макро'!AS$14</f>
        <v>0</v>
      </c>
      <c r="Q61" s="70">
        <f>Q31*'ФОТ, МТР, макро'!AT$14</f>
        <v>0</v>
      </c>
      <c r="R61" s="70">
        <f>R31*'ФОТ, МТР, макро'!AU$14</f>
        <v>0</v>
      </c>
      <c r="S61" s="70">
        <f>S31*'ФОТ, МТР, макро'!AV$14</f>
        <v>0</v>
      </c>
      <c r="T61" s="70">
        <f>T31*'ФОТ, МТР, макро'!AW$14</f>
        <v>0</v>
      </c>
      <c r="U61" s="70">
        <f>U31*'ФОТ, МТР, макро'!AX$14</f>
        <v>0</v>
      </c>
      <c r="V61" s="70">
        <f>V31*'ФОТ, МТР, макро'!AY$14</f>
        <v>0</v>
      </c>
      <c r="W61" s="70">
        <f>W31*'ФОТ, МТР, макро'!AZ$14</f>
        <v>0</v>
      </c>
      <c r="X61" s="70">
        <f>X31*'ФОТ, МТР, макро'!BA$14</f>
        <v>0</v>
      </c>
      <c r="Y61" s="70">
        <f>Y31*'ФОТ, МТР, макро'!BB$14</f>
        <v>0</v>
      </c>
      <c r="Z61" s="70">
        <f>Z31*'ФОТ, МТР, макро'!BC$14</f>
        <v>0</v>
      </c>
      <c r="AA61" s="175"/>
    </row>
    <row r="62" spans="1:28" outlineLevel="1" x14ac:dyDescent="0.25">
      <c r="A62" s="36" t="str">
        <f t="shared" si="2"/>
        <v>СБШ-250/270КП</v>
      </c>
      <c r="B62" s="36"/>
      <c r="D62" s="17" t="str">
        <f>D33</f>
        <v>Топливо/Электроэнергия</v>
      </c>
      <c r="E62" s="9" t="str">
        <f t="shared" si="34"/>
        <v>тыс. руб.</v>
      </c>
      <c r="F62" s="90"/>
      <c r="G62" s="70">
        <f>G33*'ФОТ, МТР, макро'!AJ$14</f>
        <v>0</v>
      </c>
      <c r="H62" s="70">
        <f>H33*'ФОТ, МТР, макро'!AK$14</f>
        <v>0</v>
      </c>
      <c r="I62" s="70">
        <f>I33*'ФОТ, МТР, макро'!AL$14</f>
        <v>0</v>
      </c>
      <c r="J62" s="70">
        <f>J33*'ФОТ, МТР, макро'!AM$14</f>
        <v>0</v>
      </c>
      <c r="K62" s="70">
        <f>K33*'ФОТ, МТР, макро'!AN$14</f>
        <v>0</v>
      </c>
      <c r="L62" s="70">
        <f>L33*'ФОТ, МТР, макро'!AO$14</f>
        <v>0</v>
      </c>
      <c r="M62" s="70">
        <f>M33*'ФОТ, МТР, макро'!AP$14</f>
        <v>0</v>
      </c>
      <c r="N62" s="70">
        <f>N33*'ФОТ, МТР, макро'!AQ$14</f>
        <v>0</v>
      </c>
      <c r="O62" s="70">
        <f>O33*'ФОТ, МТР, макро'!AR$14</f>
        <v>0</v>
      </c>
      <c r="P62" s="70">
        <f>P33*'ФОТ, МТР, макро'!AS$14</f>
        <v>0</v>
      </c>
      <c r="Q62" s="70">
        <f>Q33*'ФОТ, МТР, макро'!AT$14</f>
        <v>0</v>
      </c>
      <c r="R62" s="70">
        <f>R33*'ФОТ, МТР, макро'!AU$14</f>
        <v>0</v>
      </c>
      <c r="S62" s="70">
        <f>S33*'ФОТ, МТР, макро'!AV$14</f>
        <v>0</v>
      </c>
      <c r="T62" s="70">
        <f>T33*'ФОТ, МТР, макро'!AW$14</f>
        <v>0</v>
      </c>
      <c r="U62" s="70">
        <f>U33*'ФОТ, МТР, макро'!AX$14</f>
        <v>0</v>
      </c>
      <c r="V62" s="70">
        <f>V33*'ФОТ, МТР, макро'!AY$14</f>
        <v>0</v>
      </c>
      <c r="W62" s="70">
        <f>W33*'ФОТ, МТР, макро'!AZ$14</f>
        <v>0</v>
      </c>
      <c r="X62" s="70">
        <f>X33*'ФОТ, МТР, макро'!BA$14</f>
        <v>0</v>
      </c>
      <c r="Y62" s="70">
        <f>Y33*'ФОТ, МТР, макро'!BB$14</f>
        <v>0</v>
      </c>
      <c r="Z62" s="70">
        <f>Z33*'ФОТ, МТР, макро'!BC$14</f>
        <v>0</v>
      </c>
      <c r="AA62" s="175"/>
    </row>
    <row r="63" spans="1:28" outlineLevel="1" x14ac:dyDescent="0.25">
      <c r="A63" s="36" t="str">
        <f t="shared" si="2"/>
        <v>СБШ-250/270КП</v>
      </c>
      <c r="B63" s="36"/>
      <c r="D63" s="17" t="str">
        <f>D42</f>
        <v>Затраты на персонал</v>
      </c>
      <c r="E63" s="9" t="str">
        <f t="shared" si="34"/>
        <v>тыс. руб.</v>
      </c>
      <c r="F63" s="90"/>
      <c r="G63" s="70">
        <f>G42*'ФОТ, МТР, макро'!AJ$14</f>
        <v>0</v>
      </c>
      <c r="H63" s="70">
        <f>H42*'ФОТ, МТР, макро'!AK$14</f>
        <v>0</v>
      </c>
      <c r="I63" s="70">
        <f>I42*'ФОТ, МТР, макро'!AL$14</f>
        <v>0</v>
      </c>
      <c r="J63" s="70">
        <f>J42*'ФОТ, МТР, макро'!AM$14</f>
        <v>0</v>
      </c>
      <c r="K63" s="70">
        <f>K42*'ФОТ, МТР, макро'!AN$14</f>
        <v>0</v>
      </c>
      <c r="L63" s="70">
        <f>L42*'ФОТ, МТР, макро'!AO$14</f>
        <v>0</v>
      </c>
      <c r="M63" s="70">
        <f>M42*'ФОТ, МТР, макро'!AP$14</f>
        <v>0</v>
      </c>
      <c r="N63" s="70">
        <f>N42*'ФОТ, МТР, макро'!AQ$14</f>
        <v>0</v>
      </c>
      <c r="O63" s="70">
        <f>O42*'ФОТ, МТР, макро'!AR$14</f>
        <v>0</v>
      </c>
      <c r="P63" s="70">
        <f>P42*'ФОТ, МТР, макро'!AS$14</f>
        <v>0</v>
      </c>
      <c r="Q63" s="70">
        <f>Q42*'ФОТ, МТР, макро'!AT$14</f>
        <v>0</v>
      </c>
      <c r="R63" s="70">
        <f>R42*'ФОТ, МТР, макро'!AU$14</f>
        <v>0</v>
      </c>
      <c r="S63" s="70">
        <f>S42*'ФОТ, МТР, макро'!AV$14</f>
        <v>0</v>
      </c>
      <c r="T63" s="70">
        <f>T42*'ФОТ, МТР, макро'!AW$14</f>
        <v>0</v>
      </c>
      <c r="U63" s="70">
        <f>U42*'ФОТ, МТР, макро'!AX$14</f>
        <v>0</v>
      </c>
      <c r="V63" s="70">
        <f>V42*'ФОТ, МТР, макро'!AY$14</f>
        <v>0</v>
      </c>
      <c r="W63" s="70">
        <f>W42*'ФОТ, МТР, макро'!AZ$14</f>
        <v>0</v>
      </c>
      <c r="X63" s="70">
        <f>X42*'ФОТ, МТР, макро'!BA$14</f>
        <v>0</v>
      </c>
      <c r="Y63" s="70">
        <f>Y42*'ФОТ, МТР, макро'!BB$14</f>
        <v>0</v>
      </c>
      <c r="Z63" s="70">
        <f>Z42*'ФОТ, МТР, макро'!BC$14</f>
        <v>0</v>
      </c>
      <c r="AA63" s="175"/>
    </row>
    <row r="64" spans="1:28" outlineLevel="1" x14ac:dyDescent="0.25">
      <c r="A64" s="36" t="str">
        <f t="shared" si="2"/>
        <v>СБШ-250/270КП</v>
      </c>
      <c r="B64" s="36"/>
      <c r="D64" s="17" t="str">
        <f>D45</f>
        <v>Транспортный налог</v>
      </c>
      <c r="E64" s="9" t="str">
        <f t="shared" si="34"/>
        <v>тыс. руб.</v>
      </c>
      <c r="F64" s="90"/>
      <c r="G64" s="70">
        <f>G45*'ФОТ, МТР, макро'!AJ$14</f>
        <v>0</v>
      </c>
      <c r="H64" s="70">
        <f>H45*'ФОТ, МТР, макро'!AK$14</f>
        <v>0</v>
      </c>
      <c r="I64" s="70">
        <f>I45*'ФОТ, МТР, макро'!AL$14</f>
        <v>0</v>
      </c>
      <c r="J64" s="70">
        <f>J45*'ФОТ, МТР, макро'!AM$14</f>
        <v>0</v>
      </c>
      <c r="K64" s="70">
        <f>K45*'ФОТ, МТР, макро'!AN$14</f>
        <v>0</v>
      </c>
      <c r="L64" s="70">
        <f>L45*'ФОТ, МТР, макро'!AO$14</f>
        <v>0</v>
      </c>
      <c r="M64" s="70">
        <f>M45*'ФОТ, МТР, макро'!AP$14</f>
        <v>0</v>
      </c>
      <c r="N64" s="70">
        <f>N45*'ФОТ, МТР, макро'!AQ$14</f>
        <v>0</v>
      </c>
      <c r="O64" s="70">
        <f>O45*'ФОТ, МТР, макро'!AR$14</f>
        <v>0</v>
      </c>
      <c r="P64" s="70">
        <f>P45*'ФОТ, МТР, макро'!AS$14</f>
        <v>0</v>
      </c>
      <c r="Q64" s="70">
        <f>Q45*'ФОТ, МТР, макро'!AT$14</f>
        <v>0</v>
      </c>
      <c r="R64" s="70">
        <f>R45*'ФОТ, МТР, макро'!AU$14</f>
        <v>0</v>
      </c>
      <c r="S64" s="70">
        <f>S45*'ФОТ, МТР, макро'!AV$14</f>
        <v>0</v>
      </c>
      <c r="T64" s="70">
        <f>T45*'ФОТ, МТР, макро'!AW$14</f>
        <v>0</v>
      </c>
      <c r="U64" s="70">
        <f>U45*'ФОТ, МТР, макро'!AX$14</f>
        <v>0</v>
      </c>
      <c r="V64" s="70">
        <f>V45*'ФОТ, МТР, макро'!AY$14</f>
        <v>0</v>
      </c>
      <c r="W64" s="70">
        <f>W45*'ФОТ, МТР, макро'!AZ$14</f>
        <v>0</v>
      </c>
      <c r="X64" s="70">
        <f>X45*'ФОТ, МТР, макро'!BA$14</f>
        <v>0</v>
      </c>
      <c r="Y64" s="70">
        <f>Y45*'ФОТ, МТР, макро'!BB$14</f>
        <v>0</v>
      </c>
      <c r="Z64" s="70">
        <f>Z45*'ФОТ, МТР, макро'!BC$14</f>
        <v>0</v>
      </c>
      <c r="AA64" s="175"/>
    </row>
    <row r="65" spans="1:27" outlineLevel="1" x14ac:dyDescent="0.25">
      <c r="A65" s="36" t="str">
        <f t="shared" si="2"/>
        <v>СБШ-250/270КП</v>
      </c>
      <c r="B65" s="36"/>
      <c r="D65" s="17" t="str">
        <f>D50</f>
        <v>Налог на прибыль</v>
      </c>
      <c r="E65" s="9" t="str">
        <f t="shared" si="34"/>
        <v>тыс. руб.</v>
      </c>
      <c r="F65" s="90"/>
      <c r="G65" s="70">
        <f>G50*'ФОТ, МТР, макро'!AJ$14</f>
        <v>0</v>
      </c>
      <c r="H65" s="70">
        <f>H50*'ФОТ, МТР, макро'!AK$14</f>
        <v>0</v>
      </c>
      <c r="I65" s="70">
        <f>I50*'ФОТ, МТР, макро'!AL$14</f>
        <v>0</v>
      </c>
      <c r="J65" s="70">
        <f>J50*'ФОТ, МТР, макро'!AM$14</f>
        <v>0</v>
      </c>
      <c r="K65" s="70">
        <f>K50*'ФОТ, МТР, макро'!AN$14</f>
        <v>0</v>
      </c>
      <c r="L65" s="70">
        <f>L50*'ФОТ, МТР, макро'!AO$14</f>
        <v>0</v>
      </c>
      <c r="M65" s="70">
        <f>M50*'ФОТ, МТР, макро'!AP$14</f>
        <v>0</v>
      </c>
      <c r="N65" s="70">
        <f>N50*'ФОТ, МТР, макро'!AQ$14</f>
        <v>0</v>
      </c>
      <c r="O65" s="70">
        <f>O50*'ФОТ, МТР, макро'!AR$14</f>
        <v>0</v>
      </c>
      <c r="P65" s="70">
        <f>P50*'ФОТ, МТР, макро'!AS$14</f>
        <v>0</v>
      </c>
      <c r="Q65" s="70">
        <f>Q50*'ФОТ, МТР, макро'!AT$14</f>
        <v>0</v>
      </c>
      <c r="R65" s="70">
        <f>R50*'ФОТ, МТР, макро'!AU$14</f>
        <v>0</v>
      </c>
      <c r="S65" s="70">
        <f>S50*'ФОТ, МТР, макро'!AV$14</f>
        <v>0</v>
      </c>
      <c r="T65" s="70">
        <f>T50*'ФОТ, МТР, макро'!AW$14</f>
        <v>0</v>
      </c>
      <c r="U65" s="70">
        <f>U50*'ФОТ, МТР, макро'!AX$14</f>
        <v>0</v>
      </c>
      <c r="V65" s="70">
        <f>V50*'ФОТ, МТР, макро'!AY$14</f>
        <v>0</v>
      </c>
      <c r="W65" s="70">
        <f>W50*'ФОТ, МТР, макро'!AZ$14</f>
        <v>0</v>
      </c>
      <c r="X65" s="70">
        <f>X50*'ФОТ, МТР, макро'!BA$14</f>
        <v>0</v>
      </c>
      <c r="Y65" s="70">
        <f>Y50*'ФОТ, МТР, макро'!BB$14</f>
        <v>0</v>
      </c>
      <c r="Z65" s="70">
        <f>Z50*'ФОТ, МТР, макро'!BC$14</f>
        <v>0</v>
      </c>
      <c r="AA65" s="175"/>
    </row>
    <row r="66" spans="1:27" outlineLevel="1" x14ac:dyDescent="0.25">
      <c r="A66" s="36" t="str">
        <f t="shared" si="2"/>
        <v>СБШ-250/270КП</v>
      </c>
      <c r="B66" s="36"/>
      <c r="D66" s="91" t="s">
        <v>67</v>
      </c>
      <c r="E66" s="9"/>
      <c r="F66" s="92"/>
      <c r="G66" s="93">
        <f>G56-SUM(G57:G65)</f>
        <v>0</v>
      </c>
      <c r="H66" s="93">
        <f t="shared" ref="H66:Z66" si="35">H56-SUM(H57:H65)</f>
        <v>0</v>
      </c>
      <c r="I66" s="93">
        <f t="shared" si="35"/>
        <v>0</v>
      </c>
      <c r="J66" s="93">
        <f t="shared" si="35"/>
        <v>0</v>
      </c>
      <c r="K66" s="93">
        <f t="shared" si="35"/>
        <v>0</v>
      </c>
      <c r="L66" s="93">
        <f t="shared" si="35"/>
        <v>0</v>
      </c>
      <c r="M66" s="93">
        <f t="shared" si="35"/>
        <v>0</v>
      </c>
      <c r="N66" s="93">
        <f t="shared" si="35"/>
        <v>0</v>
      </c>
      <c r="O66" s="93">
        <f t="shared" si="35"/>
        <v>0</v>
      </c>
      <c r="P66" s="93">
        <f t="shared" si="35"/>
        <v>0</v>
      </c>
      <c r="Q66" s="93">
        <f t="shared" si="35"/>
        <v>0</v>
      </c>
      <c r="R66" s="93">
        <f t="shared" si="35"/>
        <v>0</v>
      </c>
      <c r="S66" s="93">
        <f t="shared" si="35"/>
        <v>0</v>
      </c>
      <c r="T66" s="93">
        <f t="shared" si="35"/>
        <v>0</v>
      </c>
      <c r="U66" s="93">
        <f t="shared" si="35"/>
        <v>0</v>
      </c>
      <c r="V66" s="93">
        <f t="shared" si="35"/>
        <v>0</v>
      </c>
      <c r="W66" s="93">
        <f t="shared" si="35"/>
        <v>0</v>
      </c>
      <c r="X66" s="93">
        <f t="shared" si="35"/>
        <v>0</v>
      </c>
      <c r="Y66" s="93">
        <f t="shared" si="35"/>
        <v>0</v>
      </c>
      <c r="Z66" s="93">
        <f t="shared" si="35"/>
        <v>0</v>
      </c>
      <c r="AA66" s="175"/>
    </row>
    <row r="67" spans="1:27" ht="27.2" outlineLevel="1" x14ac:dyDescent="0.25">
      <c r="A67" s="36" t="str">
        <f t="shared" si="2"/>
        <v>СБШ-250/270КП</v>
      </c>
      <c r="B67" s="36"/>
      <c r="D67" s="94" t="s">
        <v>68</v>
      </c>
      <c r="E67" s="64" t="str">
        <f>E56</f>
        <v>тыс. руб.</v>
      </c>
      <c r="F67" s="65">
        <f>F56</f>
        <v>0</v>
      </c>
      <c r="G67" s="65">
        <f>F67+G56</f>
        <v>0</v>
      </c>
      <c r="H67" s="65">
        <f t="shared" ref="H67:Z68" si="36">G67+H56</f>
        <v>0</v>
      </c>
      <c r="I67" s="65">
        <f t="shared" si="36"/>
        <v>0</v>
      </c>
      <c r="J67" s="65">
        <f t="shared" si="36"/>
        <v>0</v>
      </c>
      <c r="K67" s="65">
        <f t="shared" si="36"/>
        <v>0</v>
      </c>
      <c r="L67" s="65">
        <f t="shared" si="36"/>
        <v>0</v>
      </c>
      <c r="M67" s="65">
        <f t="shared" si="36"/>
        <v>0</v>
      </c>
      <c r="N67" s="65">
        <f t="shared" si="36"/>
        <v>0</v>
      </c>
      <c r="O67" s="65">
        <f t="shared" si="36"/>
        <v>0</v>
      </c>
      <c r="P67" s="65">
        <f t="shared" si="36"/>
        <v>0</v>
      </c>
      <c r="Q67" s="65">
        <f t="shared" si="36"/>
        <v>0</v>
      </c>
      <c r="R67" s="65">
        <f t="shared" si="36"/>
        <v>0</v>
      </c>
      <c r="S67" s="65">
        <f t="shared" si="36"/>
        <v>0</v>
      </c>
      <c r="T67" s="65">
        <f t="shared" si="36"/>
        <v>0</v>
      </c>
      <c r="U67" s="65">
        <f t="shared" si="36"/>
        <v>0</v>
      </c>
      <c r="V67" s="65">
        <f t="shared" si="36"/>
        <v>0</v>
      </c>
      <c r="W67" s="65">
        <f t="shared" si="36"/>
        <v>0</v>
      </c>
      <c r="X67" s="65">
        <f t="shared" si="36"/>
        <v>0</v>
      </c>
      <c r="Y67" s="65">
        <f t="shared" si="36"/>
        <v>0</v>
      </c>
      <c r="Z67" s="65">
        <f t="shared" si="36"/>
        <v>0</v>
      </c>
      <c r="AA67" s="175"/>
    </row>
    <row r="68" spans="1:27" outlineLevel="1" x14ac:dyDescent="0.25">
      <c r="A68" s="36" t="str">
        <f t="shared" si="2"/>
        <v>СБШ-250/270КП</v>
      </c>
      <c r="B68" s="36"/>
      <c r="D68" s="201" t="str">
        <f>D57</f>
        <v>ТО, ТР, ППР</v>
      </c>
      <c r="E68" s="196" t="str">
        <f>E57</f>
        <v>тыс. руб.</v>
      </c>
      <c r="F68" s="83">
        <f>F57</f>
        <v>0</v>
      </c>
      <c r="G68" s="83">
        <f>F68+G57</f>
        <v>0</v>
      </c>
      <c r="H68" s="83">
        <f t="shared" si="36"/>
        <v>0</v>
      </c>
      <c r="I68" s="83">
        <f t="shared" si="36"/>
        <v>0</v>
      </c>
      <c r="J68" s="83">
        <f t="shared" si="36"/>
        <v>0</v>
      </c>
      <c r="K68" s="83">
        <f t="shared" si="36"/>
        <v>0</v>
      </c>
      <c r="L68" s="83">
        <f t="shared" si="36"/>
        <v>0</v>
      </c>
      <c r="M68" s="83">
        <f t="shared" si="36"/>
        <v>0</v>
      </c>
      <c r="N68" s="83">
        <f t="shared" si="36"/>
        <v>0</v>
      </c>
      <c r="O68" s="83">
        <f t="shared" si="36"/>
        <v>0</v>
      </c>
      <c r="P68" s="83">
        <f t="shared" si="36"/>
        <v>0</v>
      </c>
      <c r="Q68" s="83">
        <f t="shared" si="36"/>
        <v>0</v>
      </c>
      <c r="R68" s="83">
        <f t="shared" si="36"/>
        <v>0</v>
      </c>
      <c r="S68" s="83">
        <f t="shared" si="36"/>
        <v>0</v>
      </c>
      <c r="T68" s="83">
        <f t="shared" si="36"/>
        <v>0</v>
      </c>
      <c r="U68" s="83">
        <f t="shared" si="36"/>
        <v>0</v>
      </c>
      <c r="V68" s="83">
        <f t="shared" si="36"/>
        <v>0</v>
      </c>
      <c r="W68" s="83">
        <f t="shared" si="36"/>
        <v>0</v>
      </c>
      <c r="X68" s="83">
        <f t="shared" si="36"/>
        <v>0</v>
      </c>
      <c r="Y68" s="83">
        <f t="shared" si="36"/>
        <v>0</v>
      </c>
      <c r="Z68" s="83">
        <f t="shared" si="36"/>
        <v>0</v>
      </c>
      <c r="AA68" s="175"/>
    </row>
    <row r="69" spans="1:27" outlineLevel="1" x14ac:dyDescent="0.25">
      <c r="A69" s="36" t="str">
        <f t="shared" si="2"/>
        <v>СБШ-250/270КП</v>
      </c>
      <c r="B69" s="36"/>
      <c r="D69" s="201" t="str">
        <f t="shared" ref="D69:F76" si="37">D58</f>
        <v>Смазочные</v>
      </c>
      <c r="E69" s="196" t="str">
        <f t="shared" si="37"/>
        <v>тыс. руб.</v>
      </c>
      <c r="F69" s="83">
        <f t="shared" si="37"/>
        <v>0</v>
      </c>
      <c r="G69" s="83">
        <f t="shared" ref="G69:Z76" si="38">F69+G58</f>
        <v>0</v>
      </c>
      <c r="H69" s="83">
        <f t="shared" si="38"/>
        <v>0</v>
      </c>
      <c r="I69" s="83">
        <f t="shared" si="38"/>
        <v>0</v>
      </c>
      <c r="J69" s="83">
        <f t="shared" si="38"/>
        <v>0</v>
      </c>
      <c r="K69" s="83">
        <f t="shared" si="38"/>
        <v>0</v>
      </c>
      <c r="L69" s="83">
        <f t="shared" si="38"/>
        <v>0</v>
      </c>
      <c r="M69" s="83">
        <f t="shared" si="38"/>
        <v>0</v>
      </c>
      <c r="N69" s="83">
        <f t="shared" si="38"/>
        <v>0</v>
      </c>
      <c r="O69" s="83">
        <f t="shared" si="38"/>
        <v>0</v>
      </c>
      <c r="P69" s="83">
        <f t="shared" si="38"/>
        <v>0</v>
      </c>
      <c r="Q69" s="83">
        <f t="shared" si="38"/>
        <v>0</v>
      </c>
      <c r="R69" s="83">
        <f t="shared" si="38"/>
        <v>0</v>
      </c>
      <c r="S69" s="83">
        <f t="shared" si="38"/>
        <v>0</v>
      </c>
      <c r="T69" s="83">
        <f t="shared" si="38"/>
        <v>0</v>
      </c>
      <c r="U69" s="83">
        <f t="shared" si="38"/>
        <v>0</v>
      </c>
      <c r="V69" s="83">
        <f t="shared" si="38"/>
        <v>0</v>
      </c>
      <c r="W69" s="83">
        <f t="shared" si="38"/>
        <v>0</v>
      </c>
      <c r="X69" s="83">
        <f t="shared" si="38"/>
        <v>0</v>
      </c>
      <c r="Y69" s="83">
        <f t="shared" si="38"/>
        <v>0</v>
      </c>
      <c r="Z69" s="83">
        <f t="shared" si="38"/>
        <v>0</v>
      </c>
      <c r="AA69" s="175"/>
    </row>
    <row r="70" spans="1:27" outlineLevel="1" x14ac:dyDescent="0.25">
      <c r="A70" s="36" t="str">
        <f t="shared" si="2"/>
        <v>СБШ-250/270КП</v>
      </c>
      <c r="B70" s="36"/>
      <c r="D70" s="201" t="str">
        <f t="shared" si="37"/>
        <v>Долота</v>
      </c>
      <c r="E70" s="196" t="str">
        <f t="shared" si="37"/>
        <v>тыс. руб.</v>
      </c>
      <c r="F70" s="83">
        <f t="shared" si="37"/>
        <v>0</v>
      </c>
      <c r="G70" s="83">
        <f t="shared" si="38"/>
        <v>0</v>
      </c>
      <c r="H70" s="83">
        <f t="shared" si="38"/>
        <v>0</v>
      </c>
      <c r="I70" s="83">
        <f t="shared" si="38"/>
        <v>0</v>
      </c>
      <c r="J70" s="83">
        <f t="shared" si="38"/>
        <v>0</v>
      </c>
      <c r="K70" s="83">
        <f t="shared" si="38"/>
        <v>0</v>
      </c>
      <c r="L70" s="83">
        <f t="shared" si="38"/>
        <v>0</v>
      </c>
      <c r="M70" s="83">
        <f t="shared" si="38"/>
        <v>0</v>
      </c>
      <c r="N70" s="83">
        <f t="shared" si="38"/>
        <v>0</v>
      </c>
      <c r="O70" s="83">
        <f t="shared" si="38"/>
        <v>0</v>
      </c>
      <c r="P70" s="83">
        <f t="shared" si="38"/>
        <v>0</v>
      </c>
      <c r="Q70" s="83">
        <f t="shared" si="38"/>
        <v>0</v>
      </c>
      <c r="R70" s="83">
        <f t="shared" si="38"/>
        <v>0</v>
      </c>
      <c r="S70" s="83">
        <f t="shared" si="38"/>
        <v>0</v>
      </c>
      <c r="T70" s="83">
        <f t="shared" si="38"/>
        <v>0</v>
      </c>
      <c r="U70" s="83">
        <f t="shared" si="38"/>
        <v>0</v>
      </c>
      <c r="V70" s="83">
        <f t="shared" si="38"/>
        <v>0</v>
      </c>
      <c r="W70" s="83">
        <f t="shared" si="38"/>
        <v>0</v>
      </c>
      <c r="X70" s="83">
        <f t="shared" si="38"/>
        <v>0</v>
      </c>
      <c r="Y70" s="83">
        <f t="shared" si="38"/>
        <v>0</v>
      </c>
      <c r="Z70" s="83">
        <f t="shared" si="38"/>
        <v>0</v>
      </c>
      <c r="AA70" s="175"/>
    </row>
    <row r="71" spans="1:27" outlineLevel="1" x14ac:dyDescent="0.25">
      <c r="A71" s="36" t="str">
        <f t="shared" si="2"/>
        <v>СБШ-250/270КП</v>
      </c>
      <c r="B71" s="36"/>
      <c r="D71" s="201" t="str">
        <f t="shared" si="37"/>
        <v>Штанги буровые</v>
      </c>
      <c r="E71" s="196" t="str">
        <f t="shared" si="37"/>
        <v>тыс. руб.</v>
      </c>
      <c r="F71" s="83">
        <f t="shared" si="37"/>
        <v>0</v>
      </c>
      <c r="G71" s="83">
        <f t="shared" si="38"/>
        <v>0</v>
      </c>
      <c r="H71" s="83">
        <f t="shared" si="38"/>
        <v>0</v>
      </c>
      <c r="I71" s="83">
        <f t="shared" si="38"/>
        <v>0</v>
      </c>
      <c r="J71" s="83">
        <f t="shared" si="38"/>
        <v>0</v>
      </c>
      <c r="K71" s="83">
        <f t="shared" si="38"/>
        <v>0</v>
      </c>
      <c r="L71" s="83">
        <f t="shared" si="38"/>
        <v>0</v>
      </c>
      <c r="M71" s="83">
        <f t="shared" si="38"/>
        <v>0</v>
      </c>
      <c r="N71" s="83">
        <f t="shared" si="38"/>
        <v>0</v>
      </c>
      <c r="O71" s="83">
        <f t="shared" si="38"/>
        <v>0</v>
      </c>
      <c r="P71" s="83">
        <f t="shared" si="38"/>
        <v>0</v>
      </c>
      <c r="Q71" s="83">
        <f t="shared" si="38"/>
        <v>0</v>
      </c>
      <c r="R71" s="83">
        <f t="shared" si="38"/>
        <v>0</v>
      </c>
      <c r="S71" s="83">
        <f t="shared" si="38"/>
        <v>0</v>
      </c>
      <c r="T71" s="83">
        <f t="shared" si="38"/>
        <v>0</v>
      </c>
      <c r="U71" s="83">
        <f t="shared" si="38"/>
        <v>0</v>
      </c>
      <c r="V71" s="83">
        <f t="shared" si="38"/>
        <v>0</v>
      </c>
      <c r="W71" s="83">
        <f t="shared" si="38"/>
        <v>0</v>
      </c>
      <c r="X71" s="83">
        <f t="shared" si="38"/>
        <v>0</v>
      </c>
      <c r="Y71" s="83">
        <f t="shared" si="38"/>
        <v>0</v>
      </c>
      <c r="Z71" s="83">
        <f t="shared" si="38"/>
        <v>0</v>
      </c>
      <c r="AA71" s="175"/>
    </row>
    <row r="72" spans="1:27" outlineLevel="1" x14ac:dyDescent="0.25">
      <c r="A72" s="36" t="str">
        <f t="shared" si="2"/>
        <v>СБШ-250/270КП</v>
      </c>
      <c r="B72" s="36"/>
      <c r="D72" s="201" t="str">
        <f t="shared" si="37"/>
        <v>Расходники</v>
      </c>
      <c r="E72" s="196" t="str">
        <f t="shared" si="37"/>
        <v>тыс. руб.</v>
      </c>
      <c r="F72" s="83">
        <f t="shared" si="37"/>
        <v>0</v>
      </c>
      <c r="G72" s="83">
        <f t="shared" si="38"/>
        <v>0</v>
      </c>
      <c r="H72" s="83">
        <f t="shared" si="38"/>
        <v>0</v>
      </c>
      <c r="I72" s="83">
        <f t="shared" si="38"/>
        <v>0</v>
      </c>
      <c r="J72" s="83">
        <f t="shared" si="38"/>
        <v>0</v>
      </c>
      <c r="K72" s="83">
        <f t="shared" si="38"/>
        <v>0</v>
      </c>
      <c r="L72" s="83">
        <f t="shared" si="38"/>
        <v>0</v>
      </c>
      <c r="M72" s="83">
        <f t="shared" si="38"/>
        <v>0</v>
      </c>
      <c r="N72" s="83">
        <f t="shared" si="38"/>
        <v>0</v>
      </c>
      <c r="O72" s="83">
        <f t="shared" si="38"/>
        <v>0</v>
      </c>
      <c r="P72" s="83">
        <f t="shared" si="38"/>
        <v>0</v>
      </c>
      <c r="Q72" s="83">
        <f t="shared" si="38"/>
        <v>0</v>
      </c>
      <c r="R72" s="83">
        <f t="shared" si="38"/>
        <v>0</v>
      </c>
      <c r="S72" s="83">
        <f t="shared" si="38"/>
        <v>0</v>
      </c>
      <c r="T72" s="83">
        <f t="shared" si="38"/>
        <v>0</v>
      </c>
      <c r="U72" s="83">
        <f t="shared" si="38"/>
        <v>0</v>
      </c>
      <c r="V72" s="83">
        <f t="shared" si="38"/>
        <v>0</v>
      </c>
      <c r="W72" s="83">
        <f t="shared" si="38"/>
        <v>0</v>
      </c>
      <c r="X72" s="83">
        <f t="shared" si="38"/>
        <v>0</v>
      </c>
      <c r="Y72" s="83">
        <f t="shared" si="38"/>
        <v>0</v>
      </c>
      <c r="Z72" s="83">
        <f t="shared" si="38"/>
        <v>0</v>
      </c>
      <c r="AA72" s="175"/>
    </row>
    <row r="73" spans="1:27" outlineLevel="1" x14ac:dyDescent="0.25">
      <c r="A73" s="36" t="str">
        <f t="shared" si="2"/>
        <v>СБШ-250/270КП</v>
      </c>
      <c r="B73" s="36"/>
      <c r="D73" s="201" t="str">
        <f t="shared" si="37"/>
        <v>Топливо/Электроэнергия</v>
      </c>
      <c r="E73" s="196" t="str">
        <f t="shared" si="37"/>
        <v>тыс. руб.</v>
      </c>
      <c r="F73" s="83">
        <f t="shared" si="37"/>
        <v>0</v>
      </c>
      <c r="G73" s="83">
        <f t="shared" si="38"/>
        <v>0</v>
      </c>
      <c r="H73" s="83">
        <f t="shared" si="38"/>
        <v>0</v>
      </c>
      <c r="I73" s="83">
        <f t="shared" si="38"/>
        <v>0</v>
      </c>
      <c r="J73" s="83">
        <f t="shared" si="38"/>
        <v>0</v>
      </c>
      <c r="K73" s="83">
        <f t="shared" si="38"/>
        <v>0</v>
      </c>
      <c r="L73" s="83">
        <f t="shared" si="38"/>
        <v>0</v>
      </c>
      <c r="M73" s="83">
        <f t="shared" si="38"/>
        <v>0</v>
      </c>
      <c r="N73" s="83">
        <f t="shared" si="38"/>
        <v>0</v>
      </c>
      <c r="O73" s="83">
        <f t="shared" si="38"/>
        <v>0</v>
      </c>
      <c r="P73" s="83">
        <f t="shared" si="38"/>
        <v>0</v>
      </c>
      <c r="Q73" s="83">
        <f t="shared" si="38"/>
        <v>0</v>
      </c>
      <c r="R73" s="83">
        <f t="shared" si="38"/>
        <v>0</v>
      </c>
      <c r="S73" s="83">
        <f t="shared" si="38"/>
        <v>0</v>
      </c>
      <c r="T73" s="83">
        <f t="shared" si="38"/>
        <v>0</v>
      </c>
      <c r="U73" s="83">
        <f t="shared" si="38"/>
        <v>0</v>
      </c>
      <c r="V73" s="83">
        <f t="shared" si="38"/>
        <v>0</v>
      </c>
      <c r="W73" s="83">
        <f t="shared" si="38"/>
        <v>0</v>
      </c>
      <c r="X73" s="83">
        <f t="shared" si="38"/>
        <v>0</v>
      </c>
      <c r="Y73" s="83">
        <f t="shared" si="38"/>
        <v>0</v>
      </c>
      <c r="Z73" s="83">
        <f t="shared" si="38"/>
        <v>0</v>
      </c>
      <c r="AA73" s="175"/>
    </row>
    <row r="74" spans="1:27" outlineLevel="1" x14ac:dyDescent="0.25">
      <c r="A74" s="36" t="str">
        <f t="shared" ref="A74:A112" si="39">A73</f>
        <v>СБШ-250/270КП</v>
      </c>
      <c r="B74" s="36"/>
      <c r="D74" s="201" t="str">
        <f t="shared" si="37"/>
        <v>Затраты на персонал</v>
      </c>
      <c r="E74" s="196" t="str">
        <f t="shared" si="37"/>
        <v>тыс. руб.</v>
      </c>
      <c r="F74" s="83">
        <f t="shared" si="37"/>
        <v>0</v>
      </c>
      <c r="G74" s="83">
        <f t="shared" si="38"/>
        <v>0</v>
      </c>
      <c r="H74" s="83">
        <f t="shared" si="38"/>
        <v>0</v>
      </c>
      <c r="I74" s="83">
        <f t="shared" si="38"/>
        <v>0</v>
      </c>
      <c r="J74" s="83">
        <f t="shared" si="38"/>
        <v>0</v>
      </c>
      <c r="K74" s="83">
        <f t="shared" si="38"/>
        <v>0</v>
      </c>
      <c r="L74" s="83">
        <f t="shared" si="38"/>
        <v>0</v>
      </c>
      <c r="M74" s="83">
        <f t="shared" si="38"/>
        <v>0</v>
      </c>
      <c r="N74" s="83">
        <f t="shared" si="38"/>
        <v>0</v>
      </c>
      <c r="O74" s="83">
        <f t="shared" si="38"/>
        <v>0</v>
      </c>
      <c r="P74" s="83">
        <f t="shared" si="38"/>
        <v>0</v>
      </c>
      <c r="Q74" s="83">
        <f t="shared" si="38"/>
        <v>0</v>
      </c>
      <c r="R74" s="83">
        <f t="shared" si="38"/>
        <v>0</v>
      </c>
      <c r="S74" s="83">
        <f t="shared" si="38"/>
        <v>0</v>
      </c>
      <c r="T74" s="83">
        <f t="shared" si="38"/>
        <v>0</v>
      </c>
      <c r="U74" s="83">
        <f t="shared" si="38"/>
        <v>0</v>
      </c>
      <c r="V74" s="83">
        <f t="shared" si="38"/>
        <v>0</v>
      </c>
      <c r="W74" s="83">
        <f t="shared" si="38"/>
        <v>0</v>
      </c>
      <c r="X74" s="83">
        <f t="shared" si="38"/>
        <v>0</v>
      </c>
      <c r="Y74" s="83">
        <f t="shared" si="38"/>
        <v>0</v>
      </c>
      <c r="Z74" s="83">
        <f t="shared" si="38"/>
        <v>0</v>
      </c>
      <c r="AA74" s="175"/>
    </row>
    <row r="75" spans="1:27" outlineLevel="1" x14ac:dyDescent="0.25">
      <c r="A75" s="36" t="str">
        <f t="shared" si="39"/>
        <v>СБШ-250/270КП</v>
      </c>
      <c r="B75" s="36"/>
      <c r="D75" s="201" t="str">
        <f t="shared" si="37"/>
        <v>Транспортный налог</v>
      </c>
      <c r="E75" s="196" t="str">
        <f t="shared" si="37"/>
        <v>тыс. руб.</v>
      </c>
      <c r="F75" s="83">
        <f t="shared" si="37"/>
        <v>0</v>
      </c>
      <c r="G75" s="83">
        <f t="shared" si="38"/>
        <v>0</v>
      </c>
      <c r="H75" s="83">
        <f t="shared" si="38"/>
        <v>0</v>
      </c>
      <c r="I75" s="83">
        <f t="shared" si="38"/>
        <v>0</v>
      </c>
      <c r="J75" s="83">
        <f t="shared" si="38"/>
        <v>0</v>
      </c>
      <c r="K75" s="83">
        <f t="shared" si="38"/>
        <v>0</v>
      </c>
      <c r="L75" s="83">
        <f t="shared" si="38"/>
        <v>0</v>
      </c>
      <c r="M75" s="83">
        <f t="shared" si="38"/>
        <v>0</v>
      </c>
      <c r="N75" s="83">
        <f t="shared" si="38"/>
        <v>0</v>
      </c>
      <c r="O75" s="83">
        <f t="shared" si="38"/>
        <v>0</v>
      </c>
      <c r="P75" s="83">
        <f t="shared" si="38"/>
        <v>0</v>
      </c>
      <c r="Q75" s="83">
        <f t="shared" si="38"/>
        <v>0</v>
      </c>
      <c r="R75" s="83">
        <f t="shared" si="38"/>
        <v>0</v>
      </c>
      <c r="S75" s="83">
        <f t="shared" si="38"/>
        <v>0</v>
      </c>
      <c r="T75" s="83">
        <f t="shared" si="38"/>
        <v>0</v>
      </c>
      <c r="U75" s="83">
        <f t="shared" si="38"/>
        <v>0</v>
      </c>
      <c r="V75" s="83">
        <f t="shared" si="38"/>
        <v>0</v>
      </c>
      <c r="W75" s="83">
        <f t="shared" si="38"/>
        <v>0</v>
      </c>
      <c r="X75" s="83">
        <f t="shared" si="38"/>
        <v>0</v>
      </c>
      <c r="Y75" s="83">
        <f t="shared" si="38"/>
        <v>0</v>
      </c>
      <c r="Z75" s="83">
        <f t="shared" si="38"/>
        <v>0</v>
      </c>
      <c r="AA75" s="175"/>
    </row>
    <row r="76" spans="1:27" outlineLevel="1" x14ac:dyDescent="0.25">
      <c r="A76" s="36" t="str">
        <f t="shared" si="39"/>
        <v>СБШ-250/270КП</v>
      </c>
      <c r="B76" s="36"/>
      <c r="D76" s="201" t="str">
        <f t="shared" si="37"/>
        <v>Налог на прибыль</v>
      </c>
      <c r="E76" s="196" t="str">
        <f t="shared" si="37"/>
        <v>тыс. руб.</v>
      </c>
      <c r="F76" s="83">
        <f t="shared" si="37"/>
        <v>0</v>
      </c>
      <c r="G76" s="83">
        <f t="shared" si="38"/>
        <v>0</v>
      </c>
      <c r="H76" s="83">
        <f t="shared" si="38"/>
        <v>0</v>
      </c>
      <c r="I76" s="83">
        <f t="shared" si="38"/>
        <v>0</v>
      </c>
      <c r="J76" s="83">
        <f t="shared" si="38"/>
        <v>0</v>
      </c>
      <c r="K76" s="83">
        <f t="shared" si="38"/>
        <v>0</v>
      </c>
      <c r="L76" s="83">
        <f t="shared" si="38"/>
        <v>0</v>
      </c>
      <c r="M76" s="83">
        <f t="shared" si="38"/>
        <v>0</v>
      </c>
      <c r="N76" s="83">
        <f t="shared" si="38"/>
        <v>0</v>
      </c>
      <c r="O76" s="83">
        <f t="shared" si="38"/>
        <v>0</v>
      </c>
      <c r="P76" s="83">
        <f t="shared" si="38"/>
        <v>0</v>
      </c>
      <c r="Q76" s="83">
        <f t="shared" si="38"/>
        <v>0</v>
      </c>
      <c r="R76" s="83">
        <f t="shared" si="38"/>
        <v>0</v>
      </c>
      <c r="S76" s="83">
        <f t="shared" si="38"/>
        <v>0</v>
      </c>
      <c r="T76" s="83">
        <f t="shared" si="38"/>
        <v>0</v>
      </c>
      <c r="U76" s="83">
        <f t="shared" si="38"/>
        <v>0</v>
      </c>
      <c r="V76" s="83">
        <f t="shared" si="38"/>
        <v>0</v>
      </c>
      <c r="W76" s="83">
        <f t="shared" si="38"/>
        <v>0</v>
      </c>
      <c r="X76" s="83">
        <f t="shared" si="38"/>
        <v>0</v>
      </c>
      <c r="Y76" s="83">
        <f t="shared" si="38"/>
        <v>0</v>
      </c>
      <c r="Z76" s="83">
        <f t="shared" si="38"/>
        <v>0</v>
      </c>
      <c r="AA76" s="175"/>
    </row>
    <row r="77" spans="1:27" outlineLevel="1" x14ac:dyDescent="0.25">
      <c r="A77" s="36" t="str">
        <f t="shared" si="39"/>
        <v>СБШ-250/270КП</v>
      </c>
      <c r="B77" s="36"/>
      <c r="D77" s="88"/>
      <c r="E77" s="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175"/>
    </row>
    <row r="78" spans="1:27" outlineLevel="1" x14ac:dyDescent="0.25">
      <c r="A78" s="36" t="str">
        <f t="shared" si="39"/>
        <v>СБШ-250/270КП</v>
      </c>
      <c r="B78" s="36"/>
      <c r="D78" s="63" t="s">
        <v>69</v>
      </c>
      <c r="E78" s="64" t="str">
        <f>E55</f>
        <v>тыс. руб.</v>
      </c>
      <c r="F78" s="65">
        <f>F52*'ФОТ, МТР, макро'!AI$14</f>
        <v>0</v>
      </c>
      <c r="G78" s="65">
        <f>G52*'ФОТ, МТР, макро'!AJ$14</f>
        <v>0</v>
      </c>
      <c r="H78" s="65">
        <f>H52*'ФОТ, МТР, макро'!AK$14</f>
        <v>0</v>
      </c>
      <c r="I78" s="65">
        <f>I52*'ФОТ, МТР, макро'!AL$14</f>
        <v>0</v>
      </c>
      <c r="J78" s="65">
        <f>J52*'ФОТ, МТР, макро'!AM$14</f>
        <v>0</v>
      </c>
      <c r="K78" s="65">
        <f>K52*'ФОТ, МТР, макро'!AN$14</f>
        <v>0</v>
      </c>
      <c r="L78" s="65">
        <f>L52*'ФОТ, МТР, макро'!AO$14</f>
        <v>0</v>
      </c>
      <c r="M78" s="65">
        <f>M52*'ФОТ, МТР, макро'!AP$14</f>
        <v>0</v>
      </c>
      <c r="N78" s="65">
        <f>N52*'ФОТ, МТР, макро'!AQ$14</f>
        <v>0</v>
      </c>
      <c r="O78" s="65">
        <f>O52*'ФОТ, МТР, макро'!AR$14</f>
        <v>0</v>
      </c>
      <c r="P78" s="65">
        <f>P52*'ФОТ, МТР, макро'!AS$14</f>
        <v>0</v>
      </c>
      <c r="Q78" s="65">
        <f>Q52*'ФОТ, МТР, макро'!AT$14</f>
        <v>0</v>
      </c>
      <c r="R78" s="65">
        <f>R52*'ФОТ, МТР, макро'!AU$14</f>
        <v>0</v>
      </c>
      <c r="S78" s="65">
        <f>S52*'ФОТ, МТР, макро'!AV$14</f>
        <v>0</v>
      </c>
      <c r="T78" s="65">
        <f>T52*'ФОТ, МТР, макро'!AW$14</f>
        <v>0</v>
      </c>
      <c r="U78" s="65">
        <f>U52*'ФОТ, МТР, макро'!AX$14</f>
        <v>0</v>
      </c>
      <c r="V78" s="65">
        <f>V52*'ФОТ, МТР, макро'!AY$14</f>
        <v>0</v>
      </c>
      <c r="W78" s="65">
        <f>W52*'ФОТ, МТР, макро'!AZ$14</f>
        <v>0</v>
      </c>
      <c r="X78" s="65">
        <f>X52*'ФОТ, МТР, макро'!BA$14</f>
        <v>0</v>
      </c>
      <c r="Y78" s="65">
        <f>Y52*'ФОТ, МТР, макро'!BB$14</f>
        <v>0</v>
      </c>
      <c r="Z78" s="65">
        <f>Z52*'ФОТ, МТР, макро'!BC$14</f>
        <v>0</v>
      </c>
      <c r="AA78" s="175"/>
    </row>
    <row r="79" spans="1:27" outlineLevel="1" x14ac:dyDescent="0.25">
      <c r="A79" s="36" t="str">
        <f t="shared" si="39"/>
        <v>СБШ-250/270КП</v>
      </c>
      <c r="B79" s="36"/>
      <c r="D79" s="88" t="str">
        <f>D53</f>
        <v>Буровой станок</v>
      </c>
      <c r="E79" s="9" t="str">
        <f>E78</f>
        <v>тыс. руб.</v>
      </c>
      <c r="F79" s="70">
        <f>F53*'ФОТ, МТР, макро'!AI$14</f>
        <v>0</v>
      </c>
      <c r="G79" s="70">
        <f>G53*'ФОТ, МТР, макро'!AJ$14</f>
        <v>0</v>
      </c>
      <c r="H79" s="70">
        <f>H53*'ФОТ, МТР, макро'!AK$14</f>
        <v>0</v>
      </c>
      <c r="I79" s="70">
        <f>I53*'ФОТ, МТР, макро'!AL$14</f>
        <v>0</v>
      </c>
      <c r="J79" s="70">
        <f>J53*'ФОТ, МТР, макро'!AM$14</f>
        <v>0</v>
      </c>
      <c r="K79" s="70">
        <f>K53*'ФОТ, МТР, макро'!AN$14</f>
        <v>0</v>
      </c>
      <c r="L79" s="70">
        <f>L53*'ФОТ, МТР, макро'!AO$14</f>
        <v>0</v>
      </c>
      <c r="M79" s="70">
        <f>M53*'ФОТ, МТР, макро'!AP$14</f>
        <v>0</v>
      </c>
      <c r="N79" s="70">
        <f>N53*'ФОТ, МТР, макро'!AQ$14</f>
        <v>0</v>
      </c>
      <c r="O79" s="70">
        <f>O53*'ФОТ, МТР, макро'!AR$14</f>
        <v>0</v>
      </c>
      <c r="P79" s="70">
        <f>P53*'ФОТ, МТР, макро'!AS$14</f>
        <v>0</v>
      </c>
      <c r="Q79" s="70">
        <f>Q53*'ФОТ, МТР, макро'!AT$14</f>
        <v>0</v>
      </c>
      <c r="R79" s="70">
        <f>R53*'ФОТ, МТР, макро'!AU$14</f>
        <v>0</v>
      </c>
      <c r="S79" s="70">
        <f>S53*'ФОТ, МТР, макро'!AV$14</f>
        <v>0</v>
      </c>
      <c r="T79" s="70">
        <f>T53*'ФОТ, МТР, макро'!AW$14</f>
        <v>0</v>
      </c>
      <c r="U79" s="70">
        <f>U53*'ФОТ, МТР, макро'!AX$14</f>
        <v>0</v>
      </c>
      <c r="V79" s="70">
        <f>V53*'ФОТ, МТР, макро'!AY$14</f>
        <v>0</v>
      </c>
      <c r="W79" s="70">
        <f>W53*'ФОТ, МТР, макро'!AZ$14</f>
        <v>0</v>
      </c>
      <c r="X79" s="70">
        <f>X53*'ФОТ, МТР, макро'!BA$14</f>
        <v>0</v>
      </c>
      <c r="Y79" s="70">
        <f>Y53*'ФОТ, МТР, макро'!BB$14</f>
        <v>0</v>
      </c>
      <c r="Z79" s="70">
        <f>Z53*'ФОТ, МТР, макро'!BC$14</f>
        <v>0</v>
      </c>
      <c r="AA79" s="175"/>
    </row>
    <row r="80" spans="1:27" outlineLevel="1" x14ac:dyDescent="0.25">
      <c r="A80" s="36" t="str">
        <f t="shared" si="39"/>
        <v>СБШ-250/270КП</v>
      </c>
      <c r="B80" s="36"/>
      <c r="D80" s="91" t="s">
        <v>67</v>
      </c>
      <c r="E80" s="9"/>
      <c r="F80" s="93">
        <f>F78-F79</f>
        <v>0</v>
      </c>
      <c r="G80" s="93">
        <f t="shared" ref="G80:Z80" si="40">G78-G79</f>
        <v>0</v>
      </c>
      <c r="H80" s="93">
        <f t="shared" si="40"/>
        <v>0</v>
      </c>
      <c r="I80" s="93">
        <f t="shared" si="40"/>
        <v>0</v>
      </c>
      <c r="J80" s="93">
        <f t="shared" si="40"/>
        <v>0</v>
      </c>
      <c r="K80" s="93">
        <f t="shared" si="40"/>
        <v>0</v>
      </c>
      <c r="L80" s="93">
        <f t="shared" si="40"/>
        <v>0</v>
      </c>
      <c r="M80" s="93">
        <f t="shared" si="40"/>
        <v>0</v>
      </c>
      <c r="N80" s="93">
        <f t="shared" si="40"/>
        <v>0</v>
      </c>
      <c r="O80" s="93">
        <f t="shared" si="40"/>
        <v>0</v>
      </c>
      <c r="P80" s="93">
        <f t="shared" si="40"/>
        <v>0</v>
      </c>
      <c r="Q80" s="93">
        <f t="shared" si="40"/>
        <v>0</v>
      </c>
      <c r="R80" s="93">
        <f t="shared" si="40"/>
        <v>0</v>
      </c>
      <c r="S80" s="93">
        <f t="shared" si="40"/>
        <v>0</v>
      </c>
      <c r="T80" s="93">
        <f t="shared" si="40"/>
        <v>0</v>
      </c>
      <c r="U80" s="93">
        <f t="shared" si="40"/>
        <v>0</v>
      </c>
      <c r="V80" s="93">
        <f t="shared" si="40"/>
        <v>0</v>
      </c>
      <c r="W80" s="93">
        <f t="shared" si="40"/>
        <v>0</v>
      </c>
      <c r="X80" s="93">
        <f t="shared" si="40"/>
        <v>0</v>
      </c>
      <c r="Y80" s="93">
        <f t="shared" si="40"/>
        <v>0</v>
      </c>
      <c r="Z80" s="93">
        <f t="shared" si="40"/>
        <v>0</v>
      </c>
      <c r="AA80" s="175"/>
    </row>
    <row r="81" spans="1:48" outlineLevel="1" x14ac:dyDescent="0.25">
      <c r="A81" s="36" t="str">
        <f t="shared" si="39"/>
        <v>СБШ-250/270КП</v>
      </c>
      <c r="B81" s="36"/>
      <c r="D81" s="94" t="s">
        <v>70</v>
      </c>
      <c r="E81" s="64" t="str">
        <f>E78</f>
        <v>тыс. руб.</v>
      </c>
      <c r="F81" s="65">
        <f>F78</f>
        <v>0</v>
      </c>
      <c r="G81" s="65">
        <f>F81+G78</f>
        <v>0</v>
      </c>
      <c r="H81" s="65">
        <f t="shared" ref="H81:Z82" si="41">G81+H78</f>
        <v>0</v>
      </c>
      <c r="I81" s="65">
        <f t="shared" si="41"/>
        <v>0</v>
      </c>
      <c r="J81" s="65">
        <f t="shared" si="41"/>
        <v>0</v>
      </c>
      <c r="K81" s="65">
        <f t="shared" si="41"/>
        <v>0</v>
      </c>
      <c r="L81" s="65">
        <f t="shared" si="41"/>
        <v>0</v>
      </c>
      <c r="M81" s="65">
        <f t="shared" si="41"/>
        <v>0</v>
      </c>
      <c r="N81" s="65">
        <f t="shared" si="41"/>
        <v>0</v>
      </c>
      <c r="O81" s="65">
        <f t="shared" si="41"/>
        <v>0</v>
      </c>
      <c r="P81" s="65">
        <f t="shared" si="41"/>
        <v>0</v>
      </c>
      <c r="Q81" s="65">
        <f t="shared" si="41"/>
        <v>0</v>
      </c>
      <c r="R81" s="65">
        <f t="shared" si="41"/>
        <v>0</v>
      </c>
      <c r="S81" s="65">
        <f t="shared" si="41"/>
        <v>0</v>
      </c>
      <c r="T81" s="65">
        <f t="shared" si="41"/>
        <v>0</v>
      </c>
      <c r="U81" s="65">
        <f t="shared" si="41"/>
        <v>0</v>
      </c>
      <c r="V81" s="65">
        <f t="shared" si="41"/>
        <v>0</v>
      </c>
      <c r="W81" s="65">
        <f t="shared" si="41"/>
        <v>0</v>
      </c>
      <c r="X81" s="65">
        <f t="shared" si="41"/>
        <v>0</v>
      </c>
      <c r="Y81" s="65">
        <f t="shared" si="41"/>
        <v>0</v>
      </c>
      <c r="Z81" s="65">
        <f t="shared" si="41"/>
        <v>0</v>
      </c>
      <c r="AA81" s="175"/>
    </row>
    <row r="82" spans="1:48" outlineLevel="1" x14ac:dyDescent="0.25">
      <c r="A82" s="36" t="str">
        <f t="shared" si="39"/>
        <v>СБШ-250/270КП</v>
      </c>
      <c r="B82" s="36"/>
      <c r="D82" s="88" t="str">
        <f>D79</f>
        <v>Буровой станок</v>
      </c>
      <c r="E82" s="9" t="str">
        <f>E79</f>
        <v>тыс. руб.</v>
      </c>
      <c r="F82" s="70">
        <f>F79</f>
        <v>0</v>
      </c>
      <c r="G82" s="70">
        <f>F82+G79</f>
        <v>0</v>
      </c>
      <c r="H82" s="70">
        <f t="shared" si="41"/>
        <v>0</v>
      </c>
      <c r="I82" s="70">
        <f t="shared" si="41"/>
        <v>0</v>
      </c>
      <c r="J82" s="70">
        <f t="shared" si="41"/>
        <v>0</v>
      </c>
      <c r="K82" s="70">
        <f t="shared" si="41"/>
        <v>0</v>
      </c>
      <c r="L82" s="70">
        <f t="shared" si="41"/>
        <v>0</v>
      </c>
      <c r="M82" s="70">
        <f t="shared" si="41"/>
        <v>0</v>
      </c>
      <c r="N82" s="70">
        <f t="shared" si="41"/>
        <v>0</v>
      </c>
      <c r="O82" s="70">
        <f t="shared" si="41"/>
        <v>0</v>
      </c>
      <c r="P82" s="70">
        <f t="shared" si="41"/>
        <v>0</v>
      </c>
      <c r="Q82" s="70">
        <f t="shared" si="41"/>
        <v>0</v>
      </c>
      <c r="R82" s="70">
        <f t="shared" si="41"/>
        <v>0</v>
      </c>
      <c r="S82" s="70">
        <f t="shared" si="41"/>
        <v>0</v>
      </c>
      <c r="T82" s="70">
        <f t="shared" si="41"/>
        <v>0</v>
      </c>
      <c r="U82" s="70">
        <f t="shared" si="41"/>
        <v>0</v>
      </c>
      <c r="V82" s="70">
        <f t="shared" si="41"/>
        <v>0</v>
      </c>
      <c r="W82" s="70">
        <f t="shared" si="41"/>
        <v>0</v>
      </c>
      <c r="X82" s="70">
        <f t="shared" si="41"/>
        <v>0</v>
      </c>
      <c r="Y82" s="70">
        <f t="shared" si="41"/>
        <v>0</v>
      </c>
      <c r="Z82" s="70">
        <f t="shared" si="41"/>
        <v>0</v>
      </c>
      <c r="AA82" s="175"/>
    </row>
    <row r="83" spans="1:48" outlineLevel="1" x14ac:dyDescent="0.25">
      <c r="A83" s="36" t="str">
        <f t="shared" si="39"/>
        <v>СБШ-250/270КП</v>
      </c>
      <c r="B83" s="36"/>
      <c r="D83" s="88"/>
      <c r="E83" s="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175"/>
    </row>
    <row r="84" spans="1:48" outlineLevel="1" x14ac:dyDescent="0.25">
      <c r="A84" s="36" t="str">
        <f t="shared" si="39"/>
        <v>СБШ-250/270КП</v>
      </c>
      <c r="B84" s="36"/>
      <c r="D84" s="63" t="s">
        <v>71</v>
      </c>
      <c r="E84" s="64" t="str">
        <f>E55</f>
        <v>тыс. руб.</v>
      </c>
      <c r="F84" s="65">
        <f>F55*'ФОТ, МТР, макро'!AI$14</f>
        <v>0</v>
      </c>
      <c r="G84" s="65">
        <f>G55*'ФОТ, МТР, макро'!AJ$14</f>
        <v>0</v>
      </c>
      <c r="H84" s="65">
        <f>H55*'ФОТ, МТР, макро'!AK$14</f>
        <v>0</v>
      </c>
      <c r="I84" s="65">
        <f>I55*'ФОТ, МТР, макро'!AL$14</f>
        <v>0</v>
      </c>
      <c r="J84" s="65">
        <f>J55*'ФОТ, МТР, макро'!AM$14</f>
        <v>0</v>
      </c>
      <c r="K84" s="65">
        <f>K55*'ФОТ, МТР, макро'!AN$14</f>
        <v>0</v>
      </c>
      <c r="L84" s="65">
        <f>L55*'ФОТ, МТР, макро'!AO$14</f>
        <v>0</v>
      </c>
      <c r="M84" s="65">
        <f>M55*'ФОТ, МТР, макро'!AP$14</f>
        <v>0</v>
      </c>
      <c r="N84" s="65">
        <f>N55*'ФОТ, МТР, макро'!AQ$14</f>
        <v>0</v>
      </c>
      <c r="O84" s="65">
        <f>O55*'ФОТ, МТР, макро'!AR$14</f>
        <v>0</v>
      </c>
      <c r="P84" s="65">
        <f>P55*'ФОТ, МТР, макро'!AS$14</f>
        <v>0</v>
      </c>
      <c r="Q84" s="65">
        <f>Q55*'ФОТ, МТР, макро'!AT$14</f>
        <v>0</v>
      </c>
      <c r="R84" s="65">
        <f>R55*'ФОТ, МТР, макро'!AU$14</f>
        <v>0</v>
      </c>
      <c r="S84" s="65">
        <f>S55*'ФОТ, МТР, макро'!AV$14</f>
        <v>0</v>
      </c>
      <c r="T84" s="65">
        <f>T55*'ФОТ, МТР, макро'!AW$14</f>
        <v>0</v>
      </c>
      <c r="U84" s="65">
        <f>U55*'ФОТ, МТР, макро'!AX$14</f>
        <v>0</v>
      </c>
      <c r="V84" s="65">
        <f>V55*'ФОТ, МТР, макро'!AY$14</f>
        <v>0</v>
      </c>
      <c r="W84" s="65">
        <f>W55*'ФОТ, МТР, макро'!AZ$14</f>
        <v>0</v>
      </c>
      <c r="X84" s="65">
        <f>X55*'ФОТ, МТР, макро'!BA$14</f>
        <v>0</v>
      </c>
      <c r="Y84" s="65">
        <f>Y55*'ФОТ, МТР, макро'!BB$14</f>
        <v>0</v>
      </c>
      <c r="Z84" s="65">
        <f>Z55*'ФОТ, МТР, макро'!BC$14</f>
        <v>0</v>
      </c>
      <c r="AA84" s="175"/>
    </row>
    <row r="85" spans="1:48" outlineLevel="1" x14ac:dyDescent="0.25">
      <c r="A85" s="36" t="str">
        <f t="shared" si="39"/>
        <v>СБШ-250/270КП</v>
      </c>
      <c r="B85" s="36"/>
      <c r="D85" s="94" t="s">
        <v>72</v>
      </c>
      <c r="E85" s="64" t="str">
        <f>E84</f>
        <v>тыс. руб.</v>
      </c>
      <c r="F85" s="65">
        <f>F84</f>
        <v>0</v>
      </c>
      <c r="G85" s="65">
        <f>F85+G84</f>
        <v>0</v>
      </c>
      <c r="H85" s="65">
        <f t="shared" ref="H85:Z85" si="42">G85+H84</f>
        <v>0</v>
      </c>
      <c r="I85" s="65">
        <f t="shared" si="42"/>
        <v>0</v>
      </c>
      <c r="J85" s="65">
        <f t="shared" si="42"/>
        <v>0</v>
      </c>
      <c r="K85" s="65">
        <f t="shared" si="42"/>
        <v>0</v>
      </c>
      <c r="L85" s="65">
        <f t="shared" si="42"/>
        <v>0</v>
      </c>
      <c r="M85" s="65">
        <f t="shared" si="42"/>
        <v>0</v>
      </c>
      <c r="N85" s="65">
        <f t="shared" si="42"/>
        <v>0</v>
      </c>
      <c r="O85" s="65">
        <f t="shared" si="42"/>
        <v>0</v>
      </c>
      <c r="P85" s="65">
        <f t="shared" si="42"/>
        <v>0</v>
      </c>
      <c r="Q85" s="65">
        <f t="shared" si="42"/>
        <v>0</v>
      </c>
      <c r="R85" s="65">
        <f t="shared" si="42"/>
        <v>0</v>
      </c>
      <c r="S85" s="65">
        <f t="shared" si="42"/>
        <v>0</v>
      </c>
      <c r="T85" s="65">
        <f t="shared" si="42"/>
        <v>0</v>
      </c>
      <c r="U85" s="65">
        <f t="shared" si="42"/>
        <v>0</v>
      </c>
      <c r="V85" s="65">
        <f t="shared" si="42"/>
        <v>0</v>
      </c>
      <c r="W85" s="65">
        <f t="shared" si="42"/>
        <v>0</v>
      </c>
      <c r="X85" s="65">
        <f t="shared" si="42"/>
        <v>0</v>
      </c>
      <c r="Y85" s="65">
        <f t="shared" si="42"/>
        <v>0</v>
      </c>
      <c r="Z85" s="65">
        <f t="shared" si="42"/>
        <v>0</v>
      </c>
      <c r="AA85" s="175"/>
    </row>
    <row r="86" spans="1:48" outlineLevel="1" x14ac:dyDescent="0.25">
      <c r="A86" s="36" t="str">
        <f t="shared" si="39"/>
        <v>СБШ-250/270КП</v>
      </c>
      <c r="B86" s="36"/>
      <c r="D86" s="88"/>
      <c r="E86" s="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175"/>
    </row>
    <row r="87" spans="1:48" outlineLevel="1" x14ac:dyDescent="0.25">
      <c r="A87" s="36" t="str">
        <f t="shared" si="39"/>
        <v>СБШ-250/270КП</v>
      </c>
      <c r="B87" s="36" t="str">
        <f>D87</f>
        <v>Аннуитет операционный</v>
      </c>
      <c r="C87" s="57">
        <f>E6</f>
        <v>0</v>
      </c>
      <c r="D87" s="95" t="s">
        <v>73</v>
      </c>
      <c r="E87" s="96" t="s">
        <v>207</v>
      </c>
      <c r="F87" s="97"/>
      <c r="G87" s="98" t="e">
        <f>G67/'ФОТ, МТР, макро'!AJ$15/(G13/G8)</f>
        <v>#DIV/0!</v>
      </c>
      <c r="H87" s="98" t="e">
        <f>H67/'ФОТ, МТР, макро'!AK$15/(H13/H8)</f>
        <v>#DIV/0!</v>
      </c>
      <c r="I87" s="98" t="e">
        <f>I67/'ФОТ, МТР, макро'!AL$15/(I13/I8)</f>
        <v>#DIV/0!</v>
      </c>
      <c r="J87" s="98" t="e">
        <f>J67/'ФОТ, МТР, макро'!AM$15/(J13/J8)</f>
        <v>#DIV/0!</v>
      </c>
      <c r="K87" s="98" t="e">
        <f>K67/'ФОТ, МТР, макро'!AN$15/(K13/K8)</f>
        <v>#DIV/0!</v>
      </c>
      <c r="L87" s="98" t="e">
        <f>L67/'ФОТ, МТР, макро'!AO$15/(L13/L8)</f>
        <v>#DIV/0!</v>
      </c>
      <c r="M87" s="98" t="e">
        <f>M67/'ФОТ, МТР, макро'!AP$15/(M13/M8)</f>
        <v>#DIV/0!</v>
      </c>
      <c r="N87" s="98" t="e">
        <f>N67/'ФОТ, МТР, макро'!AQ$15/(N13/N8)</f>
        <v>#DIV/0!</v>
      </c>
      <c r="O87" s="98" t="e">
        <f>O67/'ФОТ, МТР, макро'!AR$15/(O13/O8)</f>
        <v>#DIV/0!</v>
      </c>
      <c r="P87" s="98" t="e">
        <f>P67/'ФОТ, МТР, макро'!AS$15/(P13/P8)</f>
        <v>#DIV/0!</v>
      </c>
      <c r="Q87" s="98" t="e">
        <f>Q67/'ФОТ, МТР, макро'!AT$15/(Q13/Q8)</f>
        <v>#DIV/0!</v>
      </c>
      <c r="R87" s="98" t="e">
        <f>R67/'ФОТ, МТР, макро'!AU$15/(R13/R8)</f>
        <v>#DIV/0!</v>
      </c>
      <c r="S87" s="98" t="e">
        <f>S67/'ФОТ, МТР, макро'!AV$15/(S13/S8)</f>
        <v>#DIV/0!</v>
      </c>
      <c r="T87" s="98" t="e">
        <f>T67/'ФОТ, МТР, макро'!AW$15/(T13/T8)</f>
        <v>#DIV/0!</v>
      </c>
      <c r="U87" s="98" t="e">
        <f>U67/'ФОТ, МТР, макро'!AX$15/(U13/U8)</f>
        <v>#DIV/0!</v>
      </c>
      <c r="V87" s="98" t="e">
        <f>V67/'ФОТ, МТР, макро'!AY$15/(V13/V8)</f>
        <v>#DIV/0!</v>
      </c>
      <c r="W87" s="98" t="e">
        <f>W67/'ФОТ, МТР, макро'!AZ$15/(W13/W8)</f>
        <v>#DIV/0!</v>
      </c>
      <c r="X87" s="98" t="e">
        <f>X67/'ФОТ, МТР, макро'!BA$15/(X13/X8)</f>
        <v>#DIV/0!</v>
      </c>
      <c r="Y87" s="98" t="e">
        <f>Y67/'ФОТ, МТР, макро'!BB$15/(Y13/Y8)</f>
        <v>#DIV/0!</v>
      </c>
      <c r="Z87" s="98" t="e">
        <f>Z67/'ФОТ, МТР, макро'!BC$15/(Z13/Z8)</f>
        <v>#DIV/0!</v>
      </c>
      <c r="AA87" s="175"/>
      <c r="AC87" s="99" t="e" cm="1">
        <f t="array" ref="AC87:AV87">INDEX(G87:Z87,1,$C87)</f>
        <v>#DIV/0!</v>
      </c>
      <c r="AD87" s="2" t="e">
        <v>#DIV/0!</v>
      </c>
      <c r="AE87" s="2" t="e">
        <v>#DIV/0!</v>
      </c>
      <c r="AF87" s="2" t="e">
        <v>#DIV/0!</v>
      </c>
      <c r="AG87" s="2" t="e">
        <v>#DIV/0!</v>
      </c>
      <c r="AH87" s="2" t="e">
        <v>#DIV/0!</v>
      </c>
      <c r="AI87" s="2" t="e">
        <v>#DIV/0!</v>
      </c>
      <c r="AJ87" s="2" t="e">
        <v>#DIV/0!</v>
      </c>
      <c r="AK87" s="2" t="e">
        <v>#DIV/0!</v>
      </c>
      <c r="AL87" s="2" t="e">
        <v>#DIV/0!</v>
      </c>
      <c r="AM87" s="2" t="e">
        <v>#DIV/0!</v>
      </c>
      <c r="AN87" s="2" t="e">
        <v>#DIV/0!</v>
      </c>
      <c r="AO87" s="2" t="e">
        <v>#DIV/0!</v>
      </c>
      <c r="AP87" s="2" t="e">
        <v>#DIV/0!</v>
      </c>
      <c r="AQ87" s="2" t="e">
        <v>#DIV/0!</v>
      </c>
      <c r="AR87" s="2" t="e">
        <v>#DIV/0!</v>
      </c>
      <c r="AS87" s="2" t="e">
        <v>#DIV/0!</v>
      </c>
      <c r="AT87" s="2" t="e">
        <v>#DIV/0!</v>
      </c>
      <c r="AU87" s="2" t="e">
        <v>#DIV/0!</v>
      </c>
      <c r="AV87" s="2" t="e">
        <v>#DIV/0!</v>
      </c>
    </row>
    <row r="88" spans="1:48" outlineLevel="1" x14ac:dyDescent="0.25">
      <c r="A88" s="36" t="str">
        <f t="shared" si="39"/>
        <v>СБШ-250/270КП</v>
      </c>
      <c r="B88" s="36" t="str">
        <f t="shared" ref="B88:B99" si="43">D88</f>
        <v>ТО, ТР, ППР</v>
      </c>
      <c r="C88" s="36">
        <f>C87</f>
        <v>0</v>
      </c>
      <c r="D88" s="100" t="str">
        <f>D68</f>
        <v>ТО, ТР, ППР</v>
      </c>
      <c r="E88" s="101" t="str">
        <f>E87</f>
        <v>руб/м3</v>
      </c>
      <c r="F88" s="102"/>
      <c r="G88" s="103" t="e">
        <f>G68/'ФОТ, МТР, макро'!AJ$15/(G13/G8)</f>
        <v>#DIV/0!</v>
      </c>
      <c r="H88" s="103" t="e">
        <f>H68/'ФОТ, МТР, макро'!AK$15/(H13/H8)</f>
        <v>#DIV/0!</v>
      </c>
      <c r="I88" s="103" t="e">
        <f>I68/'ФОТ, МТР, макро'!AL$15/(I13/I8)</f>
        <v>#DIV/0!</v>
      </c>
      <c r="J88" s="103" t="e">
        <f>J68/'ФОТ, МТР, макро'!AM$15/(J13/J8)</f>
        <v>#DIV/0!</v>
      </c>
      <c r="K88" s="103" t="e">
        <f>K68/'ФОТ, МТР, макро'!AN$15/(K13/K8)</f>
        <v>#DIV/0!</v>
      </c>
      <c r="L88" s="103" t="e">
        <f>L68/'ФОТ, МТР, макро'!AO$15/(L13/L8)</f>
        <v>#DIV/0!</v>
      </c>
      <c r="M88" s="103" t="e">
        <f>M68/'ФОТ, МТР, макро'!AP$15/(M13/M8)</f>
        <v>#DIV/0!</v>
      </c>
      <c r="N88" s="103" t="e">
        <f>N68/'ФОТ, МТР, макро'!AQ$15/(N13/N8)</f>
        <v>#DIV/0!</v>
      </c>
      <c r="O88" s="103" t="e">
        <f>O68/'ФОТ, МТР, макро'!AR$15/(O13/O8)</f>
        <v>#DIV/0!</v>
      </c>
      <c r="P88" s="103" t="e">
        <f>P68/'ФОТ, МТР, макро'!AS$15/(P13/P8)</f>
        <v>#DIV/0!</v>
      </c>
      <c r="Q88" s="103" t="e">
        <f>Q68/'ФОТ, МТР, макро'!AT$15/(Q13/Q8)</f>
        <v>#DIV/0!</v>
      </c>
      <c r="R88" s="103" t="e">
        <f>R68/'ФОТ, МТР, макро'!AU$15/(R13/R8)</f>
        <v>#DIV/0!</v>
      </c>
      <c r="S88" s="103" t="e">
        <f>S68/'ФОТ, МТР, макро'!AV$15/(S13/S8)</f>
        <v>#DIV/0!</v>
      </c>
      <c r="T88" s="103" t="e">
        <f>T68/'ФОТ, МТР, макро'!AW$15/(T13/T8)</f>
        <v>#DIV/0!</v>
      </c>
      <c r="U88" s="103" t="e">
        <f>U68/'ФОТ, МТР, макро'!AX$15/(U13/U8)</f>
        <v>#DIV/0!</v>
      </c>
      <c r="V88" s="103" t="e">
        <f>V68/'ФОТ, МТР, макро'!AY$15/(V13/V8)</f>
        <v>#DIV/0!</v>
      </c>
      <c r="W88" s="103" t="e">
        <f>W68/'ФОТ, МТР, макро'!AZ$15/(W13/W8)</f>
        <v>#DIV/0!</v>
      </c>
      <c r="X88" s="103" t="e">
        <f>X68/'ФОТ, МТР, макро'!BA$15/(X13/X8)</f>
        <v>#DIV/0!</v>
      </c>
      <c r="Y88" s="103" t="e">
        <f>Y68/'ФОТ, МТР, макро'!BB$15/(Y13/Y8)</f>
        <v>#DIV/0!</v>
      </c>
      <c r="Z88" s="103" t="e">
        <f>Z68/'ФОТ, МТР, макро'!BC$15/(Z13/Z8)</f>
        <v>#DIV/0!</v>
      </c>
      <c r="AA88" s="175"/>
      <c r="AC88" s="104" t="e" cm="1">
        <f t="array" ref="AC88:AV88">INDEX(G88:Z88,1,$C88)</f>
        <v>#DIV/0!</v>
      </c>
      <c r="AD88" s="2" t="e">
        <v>#DIV/0!</v>
      </c>
      <c r="AE88" s="2" t="e">
        <v>#DIV/0!</v>
      </c>
      <c r="AF88" s="2" t="e">
        <v>#DIV/0!</v>
      </c>
      <c r="AG88" s="2" t="e">
        <v>#DIV/0!</v>
      </c>
      <c r="AH88" s="2" t="e">
        <v>#DIV/0!</v>
      </c>
      <c r="AI88" s="2" t="e">
        <v>#DIV/0!</v>
      </c>
      <c r="AJ88" s="2" t="e">
        <v>#DIV/0!</v>
      </c>
      <c r="AK88" s="2" t="e">
        <v>#DIV/0!</v>
      </c>
      <c r="AL88" s="2" t="e">
        <v>#DIV/0!</v>
      </c>
      <c r="AM88" s="2" t="e">
        <v>#DIV/0!</v>
      </c>
      <c r="AN88" s="2" t="e">
        <v>#DIV/0!</v>
      </c>
      <c r="AO88" s="2" t="e">
        <v>#DIV/0!</v>
      </c>
      <c r="AP88" s="2" t="e">
        <v>#DIV/0!</v>
      </c>
      <c r="AQ88" s="2" t="e">
        <v>#DIV/0!</v>
      </c>
      <c r="AR88" s="2" t="e">
        <v>#DIV/0!</v>
      </c>
      <c r="AS88" s="2" t="e">
        <v>#DIV/0!</v>
      </c>
      <c r="AT88" s="2" t="e">
        <v>#DIV/0!</v>
      </c>
      <c r="AU88" s="2" t="e">
        <v>#DIV/0!</v>
      </c>
      <c r="AV88" s="2" t="e">
        <v>#DIV/0!</v>
      </c>
    </row>
    <row r="89" spans="1:48" outlineLevel="1" x14ac:dyDescent="0.25">
      <c r="A89" s="36" t="str">
        <f t="shared" si="39"/>
        <v>СБШ-250/270КП</v>
      </c>
      <c r="B89" s="36" t="str">
        <f t="shared" si="43"/>
        <v>Смазочные</v>
      </c>
      <c r="C89" s="36">
        <f t="shared" ref="C89:C99" si="44">C88</f>
        <v>0</v>
      </c>
      <c r="D89" s="100" t="str">
        <f t="shared" ref="D89:D96" si="45">D69</f>
        <v>Смазочные</v>
      </c>
      <c r="E89" s="101" t="str">
        <f t="shared" ref="E89:E96" si="46">E88</f>
        <v>руб/м3</v>
      </c>
      <c r="F89" s="102"/>
      <c r="G89" s="103" t="e">
        <f>G69/'ФОТ, МТР, макро'!AJ$15/(G13/G8)</f>
        <v>#DIV/0!</v>
      </c>
      <c r="H89" s="103" t="e">
        <f>H69/'ФОТ, МТР, макро'!AK$15/(H13/H8)</f>
        <v>#DIV/0!</v>
      </c>
      <c r="I89" s="103" t="e">
        <f>I69/'ФОТ, МТР, макро'!AL$15/(I13/I8)</f>
        <v>#DIV/0!</v>
      </c>
      <c r="J89" s="103" t="e">
        <f>J69/'ФОТ, МТР, макро'!AM$15/(J13/J8)</f>
        <v>#DIV/0!</v>
      </c>
      <c r="K89" s="103" t="e">
        <f>K69/'ФОТ, МТР, макро'!AN$15/(K13/K8)</f>
        <v>#DIV/0!</v>
      </c>
      <c r="L89" s="103" t="e">
        <f>L69/'ФОТ, МТР, макро'!AO$15/(L13/L8)</f>
        <v>#DIV/0!</v>
      </c>
      <c r="M89" s="103" t="e">
        <f>M69/'ФОТ, МТР, макро'!AP$15/(M13/M8)</f>
        <v>#DIV/0!</v>
      </c>
      <c r="N89" s="103" t="e">
        <f>N69/'ФОТ, МТР, макро'!AQ$15/(N13/N8)</f>
        <v>#DIV/0!</v>
      </c>
      <c r="O89" s="103" t="e">
        <f>O69/'ФОТ, МТР, макро'!AR$15/(O13/O8)</f>
        <v>#DIV/0!</v>
      </c>
      <c r="P89" s="103" t="e">
        <f>P69/'ФОТ, МТР, макро'!AS$15/(P13/P8)</f>
        <v>#DIV/0!</v>
      </c>
      <c r="Q89" s="103" t="e">
        <f>Q69/'ФОТ, МТР, макро'!AT$15/(Q13/Q8)</f>
        <v>#DIV/0!</v>
      </c>
      <c r="R89" s="103" t="e">
        <f>R69/'ФОТ, МТР, макро'!AU$15/(R13/R8)</f>
        <v>#DIV/0!</v>
      </c>
      <c r="S89" s="103" t="e">
        <f>S69/'ФОТ, МТР, макро'!AV$15/(S13/S8)</f>
        <v>#DIV/0!</v>
      </c>
      <c r="T89" s="103" t="e">
        <f>T69/'ФОТ, МТР, макро'!AW$15/(T13/T8)</f>
        <v>#DIV/0!</v>
      </c>
      <c r="U89" s="103" t="e">
        <f>U69/'ФОТ, МТР, макро'!AX$15/(U13/U8)</f>
        <v>#DIV/0!</v>
      </c>
      <c r="V89" s="103" t="e">
        <f>V69/'ФОТ, МТР, макро'!AY$15/(V13/V8)</f>
        <v>#DIV/0!</v>
      </c>
      <c r="W89" s="103" t="e">
        <f>W69/'ФОТ, МТР, макро'!AZ$15/(W13/W8)</f>
        <v>#DIV/0!</v>
      </c>
      <c r="X89" s="103" t="e">
        <f>X69/'ФОТ, МТР, макро'!BA$15/(X13/X8)</f>
        <v>#DIV/0!</v>
      </c>
      <c r="Y89" s="103" t="e">
        <f>Y69/'ФОТ, МТР, макро'!BB$15/(Y13/Y8)</f>
        <v>#DIV/0!</v>
      </c>
      <c r="Z89" s="103" t="e">
        <f>Z69/'ФОТ, МТР, макро'!BC$15/(Z13/Z8)</f>
        <v>#DIV/0!</v>
      </c>
      <c r="AA89" s="175"/>
      <c r="AC89" s="104" t="e" cm="1">
        <f t="array" ref="AC89:AV89">INDEX(G89:Z89,1,$C89)</f>
        <v>#DIV/0!</v>
      </c>
      <c r="AD89" s="2" t="e">
        <v>#DIV/0!</v>
      </c>
      <c r="AE89" s="2" t="e">
        <v>#DIV/0!</v>
      </c>
      <c r="AF89" s="2" t="e">
        <v>#DIV/0!</v>
      </c>
      <c r="AG89" s="2" t="e">
        <v>#DIV/0!</v>
      </c>
      <c r="AH89" s="2" t="e">
        <v>#DIV/0!</v>
      </c>
      <c r="AI89" s="2" t="e">
        <v>#DIV/0!</v>
      </c>
      <c r="AJ89" s="2" t="e">
        <v>#DIV/0!</v>
      </c>
      <c r="AK89" s="2" t="e">
        <v>#DIV/0!</v>
      </c>
      <c r="AL89" s="2" t="e">
        <v>#DIV/0!</v>
      </c>
      <c r="AM89" s="2" t="e">
        <v>#DIV/0!</v>
      </c>
      <c r="AN89" s="2" t="e">
        <v>#DIV/0!</v>
      </c>
      <c r="AO89" s="2" t="e">
        <v>#DIV/0!</v>
      </c>
      <c r="AP89" s="2" t="e">
        <v>#DIV/0!</v>
      </c>
      <c r="AQ89" s="2" t="e">
        <v>#DIV/0!</v>
      </c>
      <c r="AR89" s="2" t="e">
        <v>#DIV/0!</v>
      </c>
      <c r="AS89" s="2" t="e">
        <v>#DIV/0!</v>
      </c>
      <c r="AT89" s="2" t="e">
        <v>#DIV/0!</v>
      </c>
      <c r="AU89" s="2" t="e">
        <v>#DIV/0!</v>
      </c>
      <c r="AV89" s="2" t="e">
        <v>#DIV/0!</v>
      </c>
    </row>
    <row r="90" spans="1:48" outlineLevel="1" x14ac:dyDescent="0.25">
      <c r="A90" s="36" t="str">
        <f t="shared" si="39"/>
        <v>СБШ-250/270КП</v>
      </c>
      <c r="B90" s="36" t="str">
        <f t="shared" si="43"/>
        <v>Долота</v>
      </c>
      <c r="C90" s="36">
        <f t="shared" si="44"/>
        <v>0</v>
      </c>
      <c r="D90" s="100" t="str">
        <f t="shared" si="45"/>
        <v>Долота</v>
      </c>
      <c r="E90" s="101" t="str">
        <f t="shared" si="46"/>
        <v>руб/м3</v>
      </c>
      <c r="F90" s="102"/>
      <c r="G90" s="103" t="e">
        <f>G70/'ФОТ, МТР, макро'!AJ$15/(G13/G8)</f>
        <v>#DIV/0!</v>
      </c>
      <c r="H90" s="103" t="e">
        <f>H70/'ФОТ, МТР, макро'!AK$15/(H13/H8)</f>
        <v>#DIV/0!</v>
      </c>
      <c r="I90" s="103" t="e">
        <f>I70/'ФОТ, МТР, макро'!AL$15/(I13/I8)</f>
        <v>#DIV/0!</v>
      </c>
      <c r="J90" s="103" t="e">
        <f>J70/'ФОТ, МТР, макро'!AM$15/(J13/J8)</f>
        <v>#DIV/0!</v>
      </c>
      <c r="K90" s="103" t="e">
        <f>K70/'ФОТ, МТР, макро'!AN$15/(K13/K8)</f>
        <v>#DIV/0!</v>
      </c>
      <c r="L90" s="103" t="e">
        <f>L70/'ФОТ, МТР, макро'!AO$15/(L13/L8)</f>
        <v>#DIV/0!</v>
      </c>
      <c r="M90" s="103" t="e">
        <f>M70/'ФОТ, МТР, макро'!AP$15/(M13/M8)</f>
        <v>#DIV/0!</v>
      </c>
      <c r="N90" s="103" t="e">
        <f>N70/'ФОТ, МТР, макро'!AQ$15/(N13/N8)</f>
        <v>#DIV/0!</v>
      </c>
      <c r="O90" s="103" t="e">
        <f>O70/'ФОТ, МТР, макро'!AR$15/(O13/O8)</f>
        <v>#DIV/0!</v>
      </c>
      <c r="P90" s="103" t="e">
        <f>P70/'ФОТ, МТР, макро'!AS$15/(P13/P8)</f>
        <v>#DIV/0!</v>
      </c>
      <c r="Q90" s="103" t="e">
        <f>Q70/'ФОТ, МТР, макро'!AT$15/(Q13/Q8)</f>
        <v>#DIV/0!</v>
      </c>
      <c r="R90" s="103" t="e">
        <f>R70/'ФОТ, МТР, макро'!AU$15/(R13/R8)</f>
        <v>#DIV/0!</v>
      </c>
      <c r="S90" s="103" t="e">
        <f>S70/'ФОТ, МТР, макро'!AV$15/(S13/S8)</f>
        <v>#DIV/0!</v>
      </c>
      <c r="T90" s="103" t="e">
        <f>T70/'ФОТ, МТР, макро'!AW$15/(T13/T8)</f>
        <v>#DIV/0!</v>
      </c>
      <c r="U90" s="103" t="e">
        <f>U70/'ФОТ, МТР, макро'!AX$15/(U13/U8)</f>
        <v>#DIV/0!</v>
      </c>
      <c r="V90" s="103" t="e">
        <f>V70/'ФОТ, МТР, макро'!AY$15/(V13/V8)</f>
        <v>#DIV/0!</v>
      </c>
      <c r="W90" s="103" t="e">
        <f>W70/'ФОТ, МТР, макро'!AZ$15/(W13/W8)</f>
        <v>#DIV/0!</v>
      </c>
      <c r="X90" s="103" t="e">
        <f>X70/'ФОТ, МТР, макро'!BA$15/(X13/X8)</f>
        <v>#DIV/0!</v>
      </c>
      <c r="Y90" s="103" t="e">
        <f>Y70/'ФОТ, МТР, макро'!BB$15/(Y13/Y8)</f>
        <v>#DIV/0!</v>
      </c>
      <c r="Z90" s="103" t="e">
        <f>Z70/'ФОТ, МТР, макро'!BC$15/(Z13/Z8)</f>
        <v>#DIV/0!</v>
      </c>
      <c r="AA90" s="175"/>
      <c r="AC90" s="104" t="e" cm="1">
        <f t="array" ref="AC90:AV90">INDEX(G90:Z90,1,$C90)</f>
        <v>#DIV/0!</v>
      </c>
      <c r="AD90" s="2" t="e">
        <v>#DIV/0!</v>
      </c>
      <c r="AE90" s="2" t="e">
        <v>#DIV/0!</v>
      </c>
      <c r="AF90" s="2" t="e">
        <v>#DIV/0!</v>
      </c>
      <c r="AG90" s="2" t="e">
        <v>#DIV/0!</v>
      </c>
      <c r="AH90" s="2" t="e">
        <v>#DIV/0!</v>
      </c>
      <c r="AI90" s="2" t="e">
        <v>#DIV/0!</v>
      </c>
      <c r="AJ90" s="2" t="e">
        <v>#DIV/0!</v>
      </c>
      <c r="AK90" s="2" t="e">
        <v>#DIV/0!</v>
      </c>
      <c r="AL90" s="2" t="e">
        <v>#DIV/0!</v>
      </c>
      <c r="AM90" s="2" t="e">
        <v>#DIV/0!</v>
      </c>
      <c r="AN90" s="2" t="e">
        <v>#DIV/0!</v>
      </c>
      <c r="AO90" s="2" t="e">
        <v>#DIV/0!</v>
      </c>
      <c r="AP90" s="2" t="e">
        <v>#DIV/0!</v>
      </c>
      <c r="AQ90" s="2" t="e">
        <v>#DIV/0!</v>
      </c>
      <c r="AR90" s="2" t="e">
        <v>#DIV/0!</v>
      </c>
      <c r="AS90" s="2" t="e">
        <v>#DIV/0!</v>
      </c>
      <c r="AT90" s="2" t="e">
        <v>#DIV/0!</v>
      </c>
      <c r="AU90" s="2" t="e">
        <v>#DIV/0!</v>
      </c>
      <c r="AV90" s="2" t="e">
        <v>#DIV/0!</v>
      </c>
    </row>
    <row r="91" spans="1:48" outlineLevel="1" x14ac:dyDescent="0.25">
      <c r="A91" s="36" t="str">
        <f t="shared" si="39"/>
        <v>СБШ-250/270КП</v>
      </c>
      <c r="B91" s="36" t="str">
        <f t="shared" si="43"/>
        <v>Штанги буровые</v>
      </c>
      <c r="C91" s="36">
        <f t="shared" si="44"/>
        <v>0</v>
      </c>
      <c r="D91" s="100" t="str">
        <f t="shared" si="45"/>
        <v>Штанги буровые</v>
      </c>
      <c r="E91" s="101" t="str">
        <f t="shared" si="46"/>
        <v>руб/м3</v>
      </c>
      <c r="F91" s="102"/>
      <c r="G91" s="103" t="e">
        <f>G71/'ФОТ, МТР, макро'!AJ$15/(G13/G8)</f>
        <v>#DIV/0!</v>
      </c>
      <c r="H91" s="103" t="e">
        <f>H71/'ФОТ, МТР, макро'!AK$15/(H13/H8)</f>
        <v>#DIV/0!</v>
      </c>
      <c r="I91" s="103" t="e">
        <f>I71/'ФОТ, МТР, макро'!AL$15/(I13/I8)</f>
        <v>#DIV/0!</v>
      </c>
      <c r="J91" s="103" t="e">
        <f>J71/'ФОТ, МТР, макро'!AM$15/(J13/J8)</f>
        <v>#DIV/0!</v>
      </c>
      <c r="K91" s="103" t="e">
        <f>K71/'ФОТ, МТР, макро'!AN$15/(K13/K8)</f>
        <v>#DIV/0!</v>
      </c>
      <c r="L91" s="103" t="e">
        <f>L71/'ФОТ, МТР, макро'!AO$15/(L13/L8)</f>
        <v>#DIV/0!</v>
      </c>
      <c r="M91" s="103" t="e">
        <f>M71/'ФОТ, МТР, макро'!AP$15/(M13/M8)</f>
        <v>#DIV/0!</v>
      </c>
      <c r="N91" s="103" t="e">
        <f>N71/'ФОТ, МТР, макро'!AQ$15/(N13/N8)</f>
        <v>#DIV/0!</v>
      </c>
      <c r="O91" s="103" t="e">
        <f>O71/'ФОТ, МТР, макро'!AR$15/(O13/O8)</f>
        <v>#DIV/0!</v>
      </c>
      <c r="P91" s="103" t="e">
        <f>P71/'ФОТ, МТР, макро'!AS$15/(P13/P8)</f>
        <v>#DIV/0!</v>
      </c>
      <c r="Q91" s="103" t="e">
        <f>Q71/'ФОТ, МТР, макро'!AT$15/(Q13/Q8)</f>
        <v>#DIV/0!</v>
      </c>
      <c r="R91" s="103" t="e">
        <f>R71/'ФОТ, МТР, макро'!AU$15/(R13/R8)</f>
        <v>#DIV/0!</v>
      </c>
      <c r="S91" s="103" t="e">
        <f>S71/'ФОТ, МТР, макро'!AV$15/(S13/S8)</f>
        <v>#DIV/0!</v>
      </c>
      <c r="T91" s="103" t="e">
        <f>T71/'ФОТ, МТР, макро'!AW$15/(T13/T8)</f>
        <v>#DIV/0!</v>
      </c>
      <c r="U91" s="103" t="e">
        <f>U71/'ФОТ, МТР, макро'!AX$15/(U13/U8)</f>
        <v>#DIV/0!</v>
      </c>
      <c r="V91" s="103" t="e">
        <f>V71/'ФОТ, МТР, макро'!AY$15/(V13/V8)</f>
        <v>#DIV/0!</v>
      </c>
      <c r="W91" s="103" t="e">
        <f>W71/'ФОТ, МТР, макро'!AZ$15/(W13/W8)</f>
        <v>#DIV/0!</v>
      </c>
      <c r="X91" s="103" t="e">
        <f>X71/'ФОТ, МТР, макро'!BA$15/(X13/X8)</f>
        <v>#DIV/0!</v>
      </c>
      <c r="Y91" s="103" t="e">
        <f>Y71/'ФОТ, МТР, макро'!BB$15/(Y13/Y8)</f>
        <v>#DIV/0!</v>
      </c>
      <c r="Z91" s="103" t="e">
        <f>Z71/'ФОТ, МТР, макро'!BC$15/(Z13/Z8)</f>
        <v>#DIV/0!</v>
      </c>
      <c r="AA91" s="175"/>
      <c r="AC91" s="104" t="e" cm="1">
        <f t="array" ref="AC91:AV91">INDEX(G91:Z91,1,$C91)</f>
        <v>#DIV/0!</v>
      </c>
      <c r="AD91" s="2" t="e">
        <v>#DIV/0!</v>
      </c>
      <c r="AE91" s="2" t="e">
        <v>#DIV/0!</v>
      </c>
      <c r="AF91" s="2" t="e">
        <v>#DIV/0!</v>
      </c>
      <c r="AG91" s="2" t="e">
        <v>#DIV/0!</v>
      </c>
      <c r="AH91" s="2" t="e">
        <v>#DIV/0!</v>
      </c>
      <c r="AI91" s="2" t="e">
        <v>#DIV/0!</v>
      </c>
      <c r="AJ91" s="2" t="e">
        <v>#DIV/0!</v>
      </c>
      <c r="AK91" s="2" t="e">
        <v>#DIV/0!</v>
      </c>
      <c r="AL91" s="2" t="e">
        <v>#DIV/0!</v>
      </c>
      <c r="AM91" s="2" t="e">
        <v>#DIV/0!</v>
      </c>
      <c r="AN91" s="2" t="e">
        <v>#DIV/0!</v>
      </c>
      <c r="AO91" s="2" t="e">
        <v>#DIV/0!</v>
      </c>
      <c r="AP91" s="2" t="e">
        <v>#DIV/0!</v>
      </c>
      <c r="AQ91" s="2" t="e">
        <v>#DIV/0!</v>
      </c>
      <c r="AR91" s="2" t="e">
        <v>#DIV/0!</v>
      </c>
      <c r="AS91" s="2" t="e">
        <v>#DIV/0!</v>
      </c>
      <c r="AT91" s="2" t="e">
        <v>#DIV/0!</v>
      </c>
      <c r="AU91" s="2" t="e">
        <v>#DIV/0!</v>
      </c>
      <c r="AV91" s="2" t="e">
        <v>#DIV/0!</v>
      </c>
    </row>
    <row r="92" spans="1:48" outlineLevel="1" x14ac:dyDescent="0.25">
      <c r="A92" s="36" t="str">
        <f t="shared" si="39"/>
        <v>СБШ-250/270КП</v>
      </c>
      <c r="B92" s="36" t="str">
        <f t="shared" si="43"/>
        <v>Расходники</v>
      </c>
      <c r="C92" s="36">
        <f t="shared" si="44"/>
        <v>0</v>
      </c>
      <c r="D92" s="100" t="str">
        <f t="shared" si="45"/>
        <v>Расходники</v>
      </c>
      <c r="E92" s="101" t="str">
        <f t="shared" si="46"/>
        <v>руб/м3</v>
      </c>
      <c r="F92" s="102"/>
      <c r="G92" s="103" t="e">
        <f>G72/'ФОТ, МТР, макро'!AJ$15/(G13/G8)</f>
        <v>#DIV/0!</v>
      </c>
      <c r="H92" s="103" t="e">
        <f>H72/'ФОТ, МТР, макро'!AK$15/(H13/H8)</f>
        <v>#DIV/0!</v>
      </c>
      <c r="I92" s="103" t="e">
        <f>I72/'ФОТ, МТР, макро'!AL$15/(I13/I8)</f>
        <v>#DIV/0!</v>
      </c>
      <c r="J92" s="103" t="e">
        <f>J72/'ФОТ, МТР, макро'!AM$15/(J13/J8)</f>
        <v>#DIV/0!</v>
      </c>
      <c r="K92" s="103" t="e">
        <f>K72/'ФОТ, МТР, макро'!AN$15/(K13/K8)</f>
        <v>#DIV/0!</v>
      </c>
      <c r="L92" s="103" t="e">
        <f>L72/'ФОТ, МТР, макро'!AO$15/(L13/L8)</f>
        <v>#DIV/0!</v>
      </c>
      <c r="M92" s="103" t="e">
        <f>M72/'ФОТ, МТР, макро'!AP$15/(M13/M8)</f>
        <v>#DIV/0!</v>
      </c>
      <c r="N92" s="103" t="e">
        <f>N72/'ФОТ, МТР, макро'!AQ$15/(N13/N8)</f>
        <v>#DIV/0!</v>
      </c>
      <c r="O92" s="103" t="e">
        <f>O72/'ФОТ, МТР, макро'!AR$15/(O13/O8)</f>
        <v>#DIV/0!</v>
      </c>
      <c r="P92" s="103" t="e">
        <f>P72/'ФОТ, МТР, макро'!AS$15/(P13/P8)</f>
        <v>#DIV/0!</v>
      </c>
      <c r="Q92" s="103" t="e">
        <f>Q72/'ФОТ, МТР, макро'!AT$15/(Q13/Q8)</f>
        <v>#DIV/0!</v>
      </c>
      <c r="R92" s="103" t="e">
        <f>R72/'ФОТ, МТР, макро'!AU$15/(R13/R8)</f>
        <v>#DIV/0!</v>
      </c>
      <c r="S92" s="103" t="e">
        <f>S72/'ФОТ, МТР, макро'!AV$15/(S13/S8)</f>
        <v>#DIV/0!</v>
      </c>
      <c r="T92" s="103" t="e">
        <f>T72/'ФОТ, МТР, макро'!AW$15/(T13/T8)</f>
        <v>#DIV/0!</v>
      </c>
      <c r="U92" s="103" t="e">
        <f>U72/'ФОТ, МТР, макро'!AX$15/(U13/U8)</f>
        <v>#DIV/0!</v>
      </c>
      <c r="V92" s="103" t="e">
        <f>V72/'ФОТ, МТР, макро'!AY$15/(V13/V8)</f>
        <v>#DIV/0!</v>
      </c>
      <c r="W92" s="103" t="e">
        <f>W72/'ФОТ, МТР, макро'!AZ$15/(W13/W8)</f>
        <v>#DIV/0!</v>
      </c>
      <c r="X92" s="103" t="e">
        <f>X72/'ФОТ, МТР, макро'!BA$15/(X13/X8)</f>
        <v>#DIV/0!</v>
      </c>
      <c r="Y92" s="103" t="e">
        <f>Y72/'ФОТ, МТР, макро'!BB$15/(Y13/Y8)</f>
        <v>#DIV/0!</v>
      </c>
      <c r="Z92" s="103" t="e">
        <f>Z72/'ФОТ, МТР, макро'!BC$15/(Z13/Z8)</f>
        <v>#DIV/0!</v>
      </c>
      <c r="AA92" s="175"/>
      <c r="AC92" s="104" t="e" cm="1">
        <f t="array" ref="AC92:AV92">INDEX(G92:Z92,1,$C92)</f>
        <v>#DIV/0!</v>
      </c>
      <c r="AD92" s="2" t="e">
        <v>#DIV/0!</v>
      </c>
      <c r="AE92" s="2" t="e">
        <v>#DIV/0!</v>
      </c>
      <c r="AF92" s="2" t="e">
        <v>#DIV/0!</v>
      </c>
      <c r="AG92" s="2" t="e">
        <v>#DIV/0!</v>
      </c>
      <c r="AH92" s="2" t="e">
        <v>#DIV/0!</v>
      </c>
      <c r="AI92" s="2" t="e">
        <v>#DIV/0!</v>
      </c>
      <c r="AJ92" s="2" t="e">
        <v>#DIV/0!</v>
      </c>
      <c r="AK92" s="2" t="e">
        <v>#DIV/0!</v>
      </c>
      <c r="AL92" s="2" t="e">
        <v>#DIV/0!</v>
      </c>
      <c r="AM92" s="2" t="e">
        <v>#DIV/0!</v>
      </c>
      <c r="AN92" s="2" t="e">
        <v>#DIV/0!</v>
      </c>
      <c r="AO92" s="2" t="e">
        <v>#DIV/0!</v>
      </c>
      <c r="AP92" s="2" t="e">
        <v>#DIV/0!</v>
      </c>
      <c r="AQ92" s="2" t="e">
        <v>#DIV/0!</v>
      </c>
      <c r="AR92" s="2" t="e">
        <v>#DIV/0!</v>
      </c>
      <c r="AS92" s="2" t="e">
        <v>#DIV/0!</v>
      </c>
      <c r="AT92" s="2" t="e">
        <v>#DIV/0!</v>
      </c>
      <c r="AU92" s="2" t="e">
        <v>#DIV/0!</v>
      </c>
      <c r="AV92" s="2" t="e">
        <v>#DIV/0!</v>
      </c>
    </row>
    <row r="93" spans="1:48" outlineLevel="1" x14ac:dyDescent="0.25">
      <c r="A93" s="36" t="str">
        <f t="shared" si="39"/>
        <v>СБШ-250/270КП</v>
      </c>
      <c r="B93" s="36" t="str">
        <f t="shared" si="43"/>
        <v>Топливо/Электроэнергия</v>
      </c>
      <c r="C93" s="36">
        <f t="shared" si="44"/>
        <v>0</v>
      </c>
      <c r="D93" s="100" t="str">
        <f t="shared" si="45"/>
        <v>Топливо/Электроэнергия</v>
      </c>
      <c r="E93" s="101" t="str">
        <f t="shared" si="46"/>
        <v>руб/м3</v>
      </c>
      <c r="F93" s="102"/>
      <c r="G93" s="103" t="e">
        <f>G73/'ФОТ, МТР, макро'!AJ$15/(G13/G8)</f>
        <v>#DIV/0!</v>
      </c>
      <c r="H93" s="103" t="e">
        <f>H73/'ФОТ, МТР, макро'!AK$15/(H13/H8)</f>
        <v>#DIV/0!</v>
      </c>
      <c r="I93" s="103" t="e">
        <f>I73/'ФОТ, МТР, макро'!AL$15/(I13/I8)</f>
        <v>#DIV/0!</v>
      </c>
      <c r="J93" s="103" t="e">
        <f>J73/'ФОТ, МТР, макро'!AM$15/(J13/J8)</f>
        <v>#DIV/0!</v>
      </c>
      <c r="K93" s="103" t="e">
        <f>K73/'ФОТ, МТР, макро'!AN$15/(K13/K8)</f>
        <v>#DIV/0!</v>
      </c>
      <c r="L93" s="103" t="e">
        <f>L73/'ФОТ, МТР, макро'!AO$15/(L13/L8)</f>
        <v>#DIV/0!</v>
      </c>
      <c r="M93" s="103" t="e">
        <f>M73/'ФОТ, МТР, макро'!AP$15/(M13/M8)</f>
        <v>#DIV/0!</v>
      </c>
      <c r="N93" s="103" t="e">
        <f>N73/'ФОТ, МТР, макро'!AQ$15/(N13/N8)</f>
        <v>#DIV/0!</v>
      </c>
      <c r="O93" s="103" t="e">
        <f>O73/'ФОТ, МТР, макро'!AR$15/(O13/O8)</f>
        <v>#DIV/0!</v>
      </c>
      <c r="P93" s="103" t="e">
        <f>P73/'ФОТ, МТР, макро'!AS$15/(P13/P8)</f>
        <v>#DIV/0!</v>
      </c>
      <c r="Q93" s="103" t="e">
        <f>Q73/'ФОТ, МТР, макро'!AT$15/(Q13/Q8)</f>
        <v>#DIV/0!</v>
      </c>
      <c r="R93" s="103" t="e">
        <f>R73/'ФОТ, МТР, макро'!AU$15/(R13/R8)</f>
        <v>#DIV/0!</v>
      </c>
      <c r="S93" s="103" t="e">
        <f>S73/'ФОТ, МТР, макро'!AV$15/(S13/S8)</f>
        <v>#DIV/0!</v>
      </c>
      <c r="T93" s="103" t="e">
        <f>T73/'ФОТ, МТР, макро'!AW$15/(T13/T8)</f>
        <v>#DIV/0!</v>
      </c>
      <c r="U93" s="103" t="e">
        <f>U73/'ФОТ, МТР, макро'!AX$15/(U13/U8)</f>
        <v>#DIV/0!</v>
      </c>
      <c r="V93" s="103" t="e">
        <f>V73/'ФОТ, МТР, макро'!AY$15/(V13/V8)</f>
        <v>#DIV/0!</v>
      </c>
      <c r="W93" s="103" t="e">
        <f>W73/'ФОТ, МТР, макро'!AZ$15/(W13/W8)</f>
        <v>#DIV/0!</v>
      </c>
      <c r="X93" s="103" t="e">
        <f>X73/'ФОТ, МТР, макро'!BA$15/(X13/X8)</f>
        <v>#DIV/0!</v>
      </c>
      <c r="Y93" s="103" t="e">
        <f>Y73/'ФОТ, МТР, макро'!BB$15/(Y13/Y8)</f>
        <v>#DIV/0!</v>
      </c>
      <c r="Z93" s="103" t="e">
        <f>Z73/'ФОТ, МТР, макро'!BC$15/(Z13/Z8)</f>
        <v>#DIV/0!</v>
      </c>
      <c r="AA93" s="175"/>
      <c r="AC93" s="104" t="e" cm="1">
        <f t="array" ref="AC93:AV93">INDEX(G93:Z93,1,$C93)</f>
        <v>#DIV/0!</v>
      </c>
      <c r="AD93" s="2" t="e">
        <v>#DIV/0!</v>
      </c>
      <c r="AE93" s="2" t="e">
        <v>#DIV/0!</v>
      </c>
      <c r="AF93" s="2" t="e">
        <v>#DIV/0!</v>
      </c>
      <c r="AG93" s="2" t="e">
        <v>#DIV/0!</v>
      </c>
      <c r="AH93" s="2" t="e">
        <v>#DIV/0!</v>
      </c>
      <c r="AI93" s="2" t="e">
        <v>#DIV/0!</v>
      </c>
      <c r="AJ93" s="2" t="e">
        <v>#DIV/0!</v>
      </c>
      <c r="AK93" s="2" t="e">
        <v>#DIV/0!</v>
      </c>
      <c r="AL93" s="2" t="e">
        <v>#DIV/0!</v>
      </c>
      <c r="AM93" s="2" t="e">
        <v>#DIV/0!</v>
      </c>
      <c r="AN93" s="2" t="e">
        <v>#DIV/0!</v>
      </c>
      <c r="AO93" s="2" t="e">
        <v>#DIV/0!</v>
      </c>
      <c r="AP93" s="2" t="e">
        <v>#DIV/0!</v>
      </c>
      <c r="AQ93" s="2" t="e">
        <v>#DIV/0!</v>
      </c>
      <c r="AR93" s="2" t="e">
        <v>#DIV/0!</v>
      </c>
      <c r="AS93" s="2" t="e">
        <v>#DIV/0!</v>
      </c>
      <c r="AT93" s="2" t="e">
        <v>#DIV/0!</v>
      </c>
      <c r="AU93" s="2" t="e">
        <v>#DIV/0!</v>
      </c>
      <c r="AV93" s="2" t="e">
        <v>#DIV/0!</v>
      </c>
    </row>
    <row r="94" spans="1:48" outlineLevel="1" x14ac:dyDescent="0.25">
      <c r="A94" s="36" t="str">
        <f t="shared" si="39"/>
        <v>СБШ-250/270КП</v>
      </c>
      <c r="B94" s="36" t="str">
        <f t="shared" si="43"/>
        <v>Затраты на персонал</v>
      </c>
      <c r="C94" s="36">
        <f t="shared" si="44"/>
        <v>0</v>
      </c>
      <c r="D94" s="100" t="str">
        <f t="shared" si="45"/>
        <v>Затраты на персонал</v>
      </c>
      <c r="E94" s="101" t="str">
        <f t="shared" si="46"/>
        <v>руб/м3</v>
      </c>
      <c r="F94" s="102"/>
      <c r="G94" s="103" t="e">
        <f>G74/'ФОТ, МТР, макро'!AJ$15/(G13/G8)</f>
        <v>#DIV/0!</v>
      </c>
      <c r="H94" s="103" t="e">
        <f>H74/'ФОТ, МТР, макро'!AK$15/(H13/H8)</f>
        <v>#DIV/0!</v>
      </c>
      <c r="I94" s="103" t="e">
        <f>I74/'ФОТ, МТР, макро'!AL$15/(I13/I8)</f>
        <v>#DIV/0!</v>
      </c>
      <c r="J94" s="103" t="e">
        <f>J74/'ФОТ, МТР, макро'!AM$15/(J13/J8)</f>
        <v>#DIV/0!</v>
      </c>
      <c r="K94" s="103" t="e">
        <f>K74/'ФОТ, МТР, макро'!AN$15/(K13/K8)</f>
        <v>#DIV/0!</v>
      </c>
      <c r="L94" s="103" t="e">
        <f>L74/'ФОТ, МТР, макро'!AO$15/(L13/L8)</f>
        <v>#DIV/0!</v>
      </c>
      <c r="M94" s="103" t="e">
        <f>M74/'ФОТ, МТР, макро'!AP$15/(M13/M8)</f>
        <v>#DIV/0!</v>
      </c>
      <c r="N94" s="103" t="e">
        <f>N74/'ФОТ, МТР, макро'!AQ$15/(N13/N8)</f>
        <v>#DIV/0!</v>
      </c>
      <c r="O94" s="103" t="e">
        <f>O74/'ФОТ, МТР, макро'!AR$15/(O13/O8)</f>
        <v>#DIV/0!</v>
      </c>
      <c r="P94" s="103" t="e">
        <f>P74/'ФОТ, МТР, макро'!AS$15/(P13/P8)</f>
        <v>#DIV/0!</v>
      </c>
      <c r="Q94" s="103" t="e">
        <f>Q74/'ФОТ, МТР, макро'!AT$15/(Q13/Q8)</f>
        <v>#DIV/0!</v>
      </c>
      <c r="R94" s="103" t="e">
        <f>R74/'ФОТ, МТР, макро'!AU$15/(R13/R8)</f>
        <v>#DIV/0!</v>
      </c>
      <c r="S94" s="103" t="e">
        <f>S74/'ФОТ, МТР, макро'!AV$15/(S13/S8)</f>
        <v>#DIV/0!</v>
      </c>
      <c r="T94" s="103" t="e">
        <f>T74/'ФОТ, МТР, макро'!AW$15/(T13/T8)</f>
        <v>#DIV/0!</v>
      </c>
      <c r="U94" s="103" t="e">
        <f>U74/'ФОТ, МТР, макро'!AX$15/(U13/U8)</f>
        <v>#DIV/0!</v>
      </c>
      <c r="V94" s="103" t="e">
        <f>V74/'ФОТ, МТР, макро'!AY$15/(V13/V8)</f>
        <v>#DIV/0!</v>
      </c>
      <c r="W94" s="103" t="e">
        <f>W74/'ФОТ, МТР, макро'!AZ$15/(W13/W8)</f>
        <v>#DIV/0!</v>
      </c>
      <c r="X94" s="103" t="e">
        <f>X74/'ФОТ, МТР, макро'!BA$15/(X13/X8)</f>
        <v>#DIV/0!</v>
      </c>
      <c r="Y94" s="103" t="e">
        <f>Y74/'ФОТ, МТР, макро'!BB$15/(Y13/Y8)</f>
        <v>#DIV/0!</v>
      </c>
      <c r="Z94" s="103" t="e">
        <f>Z74/'ФОТ, МТР, макро'!BC$15/(Z13/Z8)</f>
        <v>#DIV/0!</v>
      </c>
      <c r="AA94" s="175"/>
      <c r="AC94" s="104" t="e" cm="1">
        <f t="array" ref="AC94:AV94">INDEX(G94:Z94,1,$C94)</f>
        <v>#DIV/0!</v>
      </c>
      <c r="AD94" s="2" t="e">
        <v>#DIV/0!</v>
      </c>
      <c r="AE94" s="2" t="e">
        <v>#DIV/0!</v>
      </c>
      <c r="AF94" s="2" t="e">
        <v>#DIV/0!</v>
      </c>
      <c r="AG94" s="2" t="e">
        <v>#DIV/0!</v>
      </c>
      <c r="AH94" s="2" t="e">
        <v>#DIV/0!</v>
      </c>
      <c r="AI94" s="2" t="e">
        <v>#DIV/0!</v>
      </c>
      <c r="AJ94" s="2" t="e">
        <v>#DIV/0!</v>
      </c>
      <c r="AK94" s="2" t="e">
        <v>#DIV/0!</v>
      </c>
      <c r="AL94" s="2" t="e">
        <v>#DIV/0!</v>
      </c>
      <c r="AM94" s="2" t="e">
        <v>#DIV/0!</v>
      </c>
      <c r="AN94" s="2" t="e">
        <v>#DIV/0!</v>
      </c>
      <c r="AO94" s="2" t="e">
        <v>#DIV/0!</v>
      </c>
      <c r="AP94" s="2" t="e">
        <v>#DIV/0!</v>
      </c>
      <c r="AQ94" s="2" t="e">
        <v>#DIV/0!</v>
      </c>
      <c r="AR94" s="2" t="e">
        <v>#DIV/0!</v>
      </c>
      <c r="AS94" s="2" t="e">
        <v>#DIV/0!</v>
      </c>
      <c r="AT94" s="2" t="e">
        <v>#DIV/0!</v>
      </c>
      <c r="AU94" s="2" t="e">
        <v>#DIV/0!</v>
      </c>
      <c r="AV94" s="2" t="e">
        <v>#DIV/0!</v>
      </c>
    </row>
    <row r="95" spans="1:48" outlineLevel="1" x14ac:dyDescent="0.25">
      <c r="A95" s="36" t="str">
        <f t="shared" si="39"/>
        <v>СБШ-250/270КП</v>
      </c>
      <c r="B95" s="36" t="str">
        <f t="shared" si="43"/>
        <v>Транспортный налог</v>
      </c>
      <c r="C95" s="36">
        <f t="shared" si="44"/>
        <v>0</v>
      </c>
      <c r="D95" s="100" t="str">
        <f t="shared" si="45"/>
        <v>Транспортный налог</v>
      </c>
      <c r="E95" s="101" t="str">
        <f t="shared" si="46"/>
        <v>руб/м3</v>
      </c>
      <c r="F95" s="102"/>
      <c r="G95" s="103" t="e">
        <f>G75/'ФОТ, МТР, макро'!AJ$15/(G13/G8)</f>
        <v>#DIV/0!</v>
      </c>
      <c r="H95" s="103" t="e">
        <f>H75/'ФОТ, МТР, макро'!AK$15/(H13/H8)</f>
        <v>#DIV/0!</v>
      </c>
      <c r="I95" s="103" t="e">
        <f>I75/'ФОТ, МТР, макро'!AL$15/(I13/I8)</f>
        <v>#DIV/0!</v>
      </c>
      <c r="J95" s="103" t="e">
        <f>J75/'ФОТ, МТР, макро'!AM$15/(J13/J8)</f>
        <v>#DIV/0!</v>
      </c>
      <c r="K95" s="103" t="e">
        <f>K75/'ФОТ, МТР, макро'!AN$15/(K13/K8)</f>
        <v>#DIV/0!</v>
      </c>
      <c r="L95" s="103" t="e">
        <f>L75/'ФОТ, МТР, макро'!AO$15/(L13/L8)</f>
        <v>#DIV/0!</v>
      </c>
      <c r="M95" s="103" t="e">
        <f>M75/'ФОТ, МТР, макро'!AP$15/(M13/M8)</f>
        <v>#DIV/0!</v>
      </c>
      <c r="N95" s="103" t="e">
        <f>N75/'ФОТ, МТР, макро'!AQ$15/(N13/N8)</f>
        <v>#DIV/0!</v>
      </c>
      <c r="O95" s="103" t="e">
        <f>O75/'ФОТ, МТР, макро'!AR$15/(O13/O8)</f>
        <v>#DIV/0!</v>
      </c>
      <c r="P95" s="103" t="e">
        <f>P75/'ФОТ, МТР, макро'!AS$15/(P13/P8)</f>
        <v>#DIV/0!</v>
      </c>
      <c r="Q95" s="103" t="e">
        <f>Q75/'ФОТ, МТР, макро'!AT$15/(Q13/Q8)</f>
        <v>#DIV/0!</v>
      </c>
      <c r="R95" s="103" t="e">
        <f>R75/'ФОТ, МТР, макро'!AU$15/(R13/R8)</f>
        <v>#DIV/0!</v>
      </c>
      <c r="S95" s="103" t="e">
        <f>S75/'ФОТ, МТР, макро'!AV$15/(S13/S8)</f>
        <v>#DIV/0!</v>
      </c>
      <c r="T95" s="103" t="e">
        <f>T75/'ФОТ, МТР, макро'!AW$15/(T13/T8)</f>
        <v>#DIV/0!</v>
      </c>
      <c r="U95" s="103" t="e">
        <f>U75/'ФОТ, МТР, макро'!AX$15/(U13/U8)</f>
        <v>#DIV/0!</v>
      </c>
      <c r="V95" s="103" t="e">
        <f>V75/'ФОТ, МТР, макро'!AY$15/(V13/V8)</f>
        <v>#DIV/0!</v>
      </c>
      <c r="W95" s="103" t="e">
        <f>W75/'ФОТ, МТР, макро'!AZ$15/(W13/W8)</f>
        <v>#DIV/0!</v>
      </c>
      <c r="X95" s="103" t="e">
        <f>X75/'ФОТ, МТР, макро'!BA$15/(X13/X8)</f>
        <v>#DIV/0!</v>
      </c>
      <c r="Y95" s="103" t="e">
        <f>Y75/'ФОТ, МТР, макро'!BB$15/(Y13/Y8)</f>
        <v>#DIV/0!</v>
      </c>
      <c r="Z95" s="103" t="e">
        <f>Z75/'ФОТ, МТР, макро'!BC$15/(Z13/Z8)</f>
        <v>#DIV/0!</v>
      </c>
      <c r="AA95" s="175"/>
      <c r="AC95" s="104" t="e" cm="1">
        <f t="array" ref="AC95:AV95">INDEX(G95:Z95,1,$C95)</f>
        <v>#DIV/0!</v>
      </c>
      <c r="AD95" s="2" t="e">
        <v>#DIV/0!</v>
      </c>
      <c r="AE95" s="2" t="e">
        <v>#DIV/0!</v>
      </c>
      <c r="AF95" s="2" t="e">
        <v>#DIV/0!</v>
      </c>
      <c r="AG95" s="2" t="e">
        <v>#DIV/0!</v>
      </c>
      <c r="AH95" s="2" t="e">
        <v>#DIV/0!</v>
      </c>
      <c r="AI95" s="2" t="e">
        <v>#DIV/0!</v>
      </c>
      <c r="AJ95" s="2" t="e">
        <v>#DIV/0!</v>
      </c>
      <c r="AK95" s="2" t="e">
        <v>#DIV/0!</v>
      </c>
      <c r="AL95" s="2" t="e">
        <v>#DIV/0!</v>
      </c>
      <c r="AM95" s="2" t="e">
        <v>#DIV/0!</v>
      </c>
      <c r="AN95" s="2" t="e">
        <v>#DIV/0!</v>
      </c>
      <c r="AO95" s="2" t="e">
        <v>#DIV/0!</v>
      </c>
      <c r="AP95" s="2" t="e">
        <v>#DIV/0!</v>
      </c>
      <c r="AQ95" s="2" t="e">
        <v>#DIV/0!</v>
      </c>
      <c r="AR95" s="2" t="e">
        <v>#DIV/0!</v>
      </c>
      <c r="AS95" s="2" t="e">
        <v>#DIV/0!</v>
      </c>
      <c r="AT95" s="2" t="e">
        <v>#DIV/0!</v>
      </c>
      <c r="AU95" s="2" t="e">
        <v>#DIV/0!</v>
      </c>
      <c r="AV95" s="2" t="e">
        <v>#DIV/0!</v>
      </c>
    </row>
    <row r="96" spans="1:48" outlineLevel="1" x14ac:dyDescent="0.25">
      <c r="A96" s="36" t="str">
        <f t="shared" si="39"/>
        <v>СБШ-250/270КП</v>
      </c>
      <c r="B96" s="36" t="str">
        <f t="shared" si="43"/>
        <v>Налог на прибыль</v>
      </c>
      <c r="C96" s="36">
        <f t="shared" si="44"/>
        <v>0</v>
      </c>
      <c r="D96" s="100" t="str">
        <f t="shared" si="45"/>
        <v>Налог на прибыль</v>
      </c>
      <c r="E96" s="101" t="str">
        <f t="shared" si="46"/>
        <v>руб/м3</v>
      </c>
      <c r="F96" s="29"/>
      <c r="G96" s="103" t="e">
        <f>G76/'ФОТ, МТР, макро'!AJ$15/(G13/G8)</f>
        <v>#DIV/0!</v>
      </c>
      <c r="H96" s="103" t="e">
        <f>H76/'ФОТ, МТР, макро'!AK$15/(H13/H8)</f>
        <v>#DIV/0!</v>
      </c>
      <c r="I96" s="103" t="e">
        <f>I76/'ФОТ, МТР, макро'!AL$15/(I13/I8)</f>
        <v>#DIV/0!</v>
      </c>
      <c r="J96" s="103" t="e">
        <f>J76/'ФОТ, МТР, макро'!AM$15/(J13/J8)</f>
        <v>#DIV/0!</v>
      </c>
      <c r="K96" s="103" t="e">
        <f>K76/'ФОТ, МТР, макро'!AN$15/(K13/K8)</f>
        <v>#DIV/0!</v>
      </c>
      <c r="L96" s="103" t="e">
        <f>L76/'ФОТ, МТР, макро'!AO$15/(L13/L8)</f>
        <v>#DIV/0!</v>
      </c>
      <c r="M96" s="103" t="e">
        <f>M76/'ФОТ, МТР, макро'!AP$15/(M13/M8)</f>
        <v>#DIV/0!</v>
      </c>
      <c r="N96" s="103" t="e">
        <f>N76/'ФОТ, МТР, макро'!AQ$15/(N13/N8)</f>
        <v>#DIV/0!</v>
      </c>
      <c r="O96" s="103" t="e">
        <f>O76/'ФОТ, МТР, макро'!AR$15/(O13/O8)</f>
        <v>#DIV/0!</v>
      </c>
      <c r="P96" s="103" t="e">
        <f>P76/'ФОТ, МТР, макро'!AS$15/(P13/P8)</f>
        <v>#DIV/0!</v>
      </c>
      <c r="Q96" s="103" t="e">
        <f>Q76/'ФОТ, МТР, макро'!AT$15/(Q13/Q8)</f>
        <v>#DIV/0!</v>
      </c>
      <c r="R96" s="103" t="e">
        <f>R76/'ФОТ, МТР, макро'!AU$15/(R13/R8)</f>
        <v>#DIV/0!</v>
      </c>
      <c r="S96" s="103" t="e">
        <f>S76/'ФОТ, МТР, макро'!AV$15/(S13/S8)</f>
        <v>#DIV/0!</v>
      </c>
      <c r="T96" s="103" t="e">
        <f>T76/'ФОТ, МТР, макро'!AW$15/(T13/T8)</f>
        <v>#DIV/0!</v>
      </c>
      <c r="U96" s="103" t="e">
        <f>U76/'ФОТ, МТР, макро'!AX$15/(U13/U8)</f>
        <v>#DIV/0!</v>
      </c>
      <c r="V96" s="103" t="e">
        <f>V76/'ФОТ, МТР, макро'!AY$15/(V13/V8)</f>
        <v>#DIV/0!</v>
      </c>
      <c r="W96" s="103" t="e">
        <f>W76/'ФОТ, МТР, макро'!AZ$15/(W13/W8)</f>
        <v>#DIV/0!</v>
      </c>
      <c r="X96" s="103" t="e">
        <f>X76/'ФОТ, МТР, макро'!BA$15/(X13/X8)</f>
        <v>#DIV/0!</v>
      </c>
      <c r="Y96" s="103" t="e">
        <f>Y76/'ФОТ, МТР, макро'!BB$15/(Y13/Y8)</f>
        <v>#DIV/0!</v>
      </c>
      <c r="Z96" s="103" t="e">
        <f>Z76/'ФОТ, МТР, макро'!BC$15/(Z13/Z8)</f>
        <v>#DIV/0!</v>
      </c>
      <c r="AA96" s="175"/>
      <c r="AC96" s="104" t="e" cm="1">
        <f t="array" ref="AC96:AV96">INDEX(G96:Z96,1,$C96)</f>
        <v>#DIV/0!</v>
      </c>
      <c r="AD96" s="2" t="e">
        <v>#DIV/0!</v>
      </c>
      <c r="AE96" s="2" t="e">
        <v>#DIV/0!</v>
      </c>
      <c r="AF96" s="2" t="e">
        <v>#DIV/0!</v>
      </c>
      <c r="AG96" s="2" t="e">
        <v>#DIV/0!</v>
      </c>
      <c r="AH96" s="2" t="e">
        <v>#DIV/0!</v>
      </c>
      <c r="AI96" s="2" t="e">
        <v>#DIV/0!</v>
      </c>
      <c r="AJ96" s="2" t="e">
        <v>#DIV/0!</v>
      </c>
      <c r="AK96" s="2" t="e">
        <v>#DIV/0!</v>
      </c>
      <c r="AL96" s="2" t="e">
        <v>#DIV/0!</v>
      </c>
      <c r="AM96" s="2" t="e">
        <v>#DIV/0!</v>
      </c>
      <c r="AN96" s="2" t="e">
        <v>#DIV/0!</v>
      </c>
      <c r="AO96" s="2" t="e">
        <v>#DIV/0!</v>
      </c>
      <c r="AP96" s="2" t="e">
        <v>#DIV/0!</v>
      </c>
      <c r="AQ96" s="2" t="e">
        <v>#DIV/0!</v>
      </c>
      <c r="AR96" s="2" t="e">
        <v>#DIV/0!</v>
      </c>
      <c r="AS96" s="2" t="e">
        <v>#DIV/0!</v>
      </c>
      <c r="AT96" s="2" t="e">
        <v>#DIV/0!</v>
      </c>
      <c r="AU96" s="2" t="e">
        <v>#DIV/0!</v>
      </c>
      <c r="AV96" s="2" t="e">
        <v>#DIV/0!</v>
      </c>
    </row>
    <row r="97" spans="1:48" outlineLevel="1" x14ac:dyDescent="0.25">
      <c r="A97" s="36" t="str">
        <f t="shared" si="39"/>
        <v>СБШ-250/270КП</v>
      </c>
      <c r="B97" s="36" t="str">
        <f t="shared" si="43"/>
        <v>Аннуитет инвестиционный</v>
      </c>
      <c r="C97" s="36">
        <f t="shared" si="44"/>
        <v>0</v>
      </c>
      <c r="D97" s="95" t="s">
        <v>74</v>
      </c>
      <c r="E97" s="105" t="str">
        <f>E87</f>
        <v>руб/м3</v>
      </c>
      <c r="F97" s="106"/>
      <c r="G97" s="98" t="e">
        <f>G81/'ФОТ, МТР, макро'!AJ$15/(G13/G8)</f>
        <v>#DIV/0!</v>
      </c>
      <c r="H97" s="98" t="e">
        <f>H81/'ФОТ, МТР, макро'!AK$15/(H13/H8)</f>
        <v>#DIV/0!</v>
      </c>
      <c r="I97" s="98" t="e">
        <f>I81/'ФОТ, МТР, макро'!AL$15/(I13/I8)</f>
        <v>#DIV/0!</v>
      </c>
      <c r="J97" s="98" t="e">
        <f>J81/'ФОТ, МТР, макро'!AM$15/(J13/J8)</f>
        <v>#DIV/0!</v>
      </c>
      <c r="K97" s="98" t="e">
        <f>K81/'ФОТ, МТР, макро'!AN$15/(K13/K8)</f>
        <v>#DIV/0!</v>
      </c>
      <c r="L97" s="98" t="e">
        <f>L81/'ФОТ, МТР, макро'!AO$15/(L13/L8)</f>
        <v>#DIV/0!</v>
      </c>
      <c r="M97" s="98" t="e">
        <f>M81/'ФОТ, МТР, макро'!AP$15/(M13/M8)</f>
        <v>#DIV/0!</v>
      </c>
      <c r="N97" s="98" t="e">
        <f>N81/'ФОТ, МТР, макро'!AQ$15/(N13/N8)</f>
        <v>#DIV/0!</v>
      </c>
      <c r="O97" s="98" t="e">
        <f>O81/'ФОТ, МТР, макро'!AR$15/(O13/O8)</f>
        <v>#DIV/0!</v>
      </c>
      <c r="P97" s="98" t="e">
        <f>P81/'ФОТ, МТР, макро'!AS$15/(P13/P8)</f>
        <v>#DIV/0!</v>
      </c>
      <c r="Q97" s="98" t="e">
        <f>Q81/'ФОТ, МТР, макро'!AT$15/(Q13/Q8)</f>
        <v>#DIV/0!</v>
      </c>
      <c r="R97" s="98" t="e">
        <f>R81/'ФОТ, МТР, макро'!AU$15/(R13/R8)</f>
        <v>#DIV/0!</v>
      </c>
      <c r="S97" s="98" t="e">
        <f>S81/'ФОТ, МТР, макро'!AV$15/(S13/S8)</f>
        <v>#DIV/0!</v>
      </c>
      <c r="T97" s="98" t="e">
        <f>T81/'ФОТ, МТР, макро'!AW$15/(T13/T8)</f>
        <v>#DIV/0!</v>
      </c>
      <c r="U97" s="98" t="e">
        <f>U81/'ФОТ, МТР, макро'!AX$15/(U13/U8)</f>
        <v>#DIV/0!</v>
      </c>
      <c r="V97" s="98" t="e">
        <f>V81/'ФОТ, МТР, макро'!AY$15/(V13/V8)</f>
        <v>#DIV/0!</v>
      </c>
      <c r="W97" s="98" t="e">
        <f>W81/'ФОТ, МТР, макро'!AZ$15/(W13/W8)</f>
        <v>#DIV/0!</v>
      </c>
      <c r="X97" s="98" t="e">
        <f>X81/'ФОТ, МТР, макро'!BA$15/(X13/X8)</f>
        <v>#DIV/0!</v>
      </c>
      <c r="Y97" s="98" t="e">
        <f>Y81/'ФОТ, МТР, макро'!BB$15/(Y13/Y8)</f>
        <v>#DIV/0!</v>
      </c>
      <c r="Z97" s="98" t="e">
        <f>Z81/'ФОТ, МТР, макро'!BC$15/(Z13/Z8)</f>
        <v>#DIV/0!</v>
      </c>
      <c r="AA97" s="175"/>
      <c r="AC97" s="99" t="e" cm="1">
        <f t="array" ref="AC97:AV97">INDEX(G97:Z97,1,$C97)</f>
        <v>#DIV/0!</v>
      </c>
      <c r="AD97" s="2" t="e">
        <v>#DIV/0!</v>
      </c>
      <c r="AE97" s="2" t="e">
        <v>#DIV/0!</v>
      </c>
      <c r="AF97" s="2" t="e">
        <v>#DIV/0!</v>
      </c>
      <c r="AG97" s="2" t="e">
        <v>#DIV/0!</v>
      </c>
      <c r="AH97" s="2" t="e">
        <v>#DIV/0!</v>
      </c>
      <c r="AI97" s="2" t="e">
        <v>#DIV/0!</v>
      </c>
      <c r="AJ97" s="2" t="e">
        <v>#DIV/0!</v>
      </c>
      <c r="AK97" s="2" t="e">
        <v>#DIV/0!</v>
      </c>
      <c r="AL97" s="2" t="e">
        <v>#DIV/0!</v>
      </c>
      <c r="AM97" s="2" t="e">
        <v>#DIV/0!</v>
      </c>
      <c r="AN97" s="2" t="e">
        <v>#DIV/0!</v>
      </c>
      <c r="AO97" s="2" t="e">
        <v>#DIV/0!</v>
      </c>
      <c r="AP97" s="2" t="e">
        <v>#DIV/0!</v>
      </c>
      <c r="AQ97" s="2" t="e">
        <v>#DIV/0!</v>
      </c>
      <c r="AR97" s="2" t="e">
        <v>#DIV/0!</v>
      </c>
      <c r="AS97" s="2" t="e">
        <v>#DIV/0!</v>
      </c>
      <c r="AT97" s="2" t="e">
        <v>#DIV/0!</v>
      </c>
      <c r="AU97" s="2" t="e">
        <v>#DIV/0!</v>
      </c>
      <c r="AV97" s="2" t="e">
        <v>#DIV/0!</v>
      </c>
    </row>
    <row r="98" spans="1:48" outlineLevel="1" x14ac:dyDescent="0.25">
      <c r="A98" s="36" t="str">
        <f t="shared" si="39"/>
        <v>СБШ-250/270КП</v>
      </c>
      <c r="B98" s="36" t="str">
        <f t="shared" si="43"/>
        <v>Буровой станок</v>
      </c>
      <c r="C98" s="36">
        <f t="shared" si="44"/>
        <v>0</v>
      </c>
      <c r="D98" s="88" t="str">
        <f>D82</f>
        <v>Буровой станок</v>
      </c>
      <c r="E98" s="9" t="str">
        <f>E97</f>
        <v>руб/м3</v>
      </c>
      <c r="F98" s="29"/>
      <c r="G98" s="107" t="e">
        <f>G82/'ФОТ, МТР, макро'!AJ$15/(G13/G8)</f>
        <v>#DIV/0!</v>
      </c>
      <c r="H98" s="107" t="e">
        <f>H82/'ФОТ, МТР, макро'!AK$15/(H13/H8)</f>
        <v>#DIV/0!</v>
      </c>
      <c r="I98" s="107" t="e">
        <f>I82/'ФОТ, МТР, макро'!AL$15/(I13/I8)</f>
        <v>#DIV/0!</v>
      </c>
      <c r="J98" s="107" t="e">
        <f>J82/'ФОТ, МТР, макро'!AM$15/(J13/J8)</f>
        <v>#DIV/0!</v>
      </c>
      <c r="K98" s="107" t="e">
        <f>K82/'ФОТ, МТР, макро'!AN$15/(K13/K8)</f>
        <v>#DIV/0!</v>
      </c>
      <c r="L98" s="107" t="e">
        <f>L82/'ФОТ, МТР, макро'!AO$15/(L13/L8)</f>
        <v>#DIV/0!</v>
      </c>
      <c r="M98" s="107" t="e">
        <f>M82/'ФОТ, МТР, макро'!AP$15/(M13/M8)</f>
        <v>#DIV/0!</v>
      </c>
      <c r="N98" s="107" t="e">
        <f>N82/'ФОТ, МТР, макро'!AQ$15/(N13/N8)</f>
        <v>#DIV/0!</v>
      </c>
      <c r="O98" s="107" t="e">
        <f>O82/'ФОТ, МТР, макро'!AR$15/(O13/O8)</f>
        <v>#DIV/0!</v>
      </c>
      <c r="P98" s="107" t="e">
        <f>P82/'ФОТ, МТР, макро'!AS$15/(P13/P8)</f>
        <v>#DIV/0!</v>
      </c>
      <c r="Q98" s="107" t="e">
        <f>Q82/'ФОТ, МТР, макро'!AT$15/(Q13/Q8)</f>
        <v>#DIV/0!</v>
      </c>
      <c r="R98" s="107" t="e">
        <f>R82/'ФОТ, МТР, макро'!AU$15/(R13/R8)</f>
        <v>#DIV/0!</v>
      </c>
      <c r="S98" s="107" t="e">
        <f>S82/'ФОТ, МТР, макро'!AV$15/(S13/S8)</f>
        <v>#DIV/0!</v>
      </c>
      <c r="T98" s="107" t="e">
        <f>T82/'ФОТ, МТР, макро'!AW$15/(T13/T8)</f>
        <v>#DIV/0!</v>
      </c>
      <c r="U98" s="107" t="e">
        <f>U82/'ФОТ, МТР, макро'!AX$15/(U13/U8)</f>
        <v>#DIV/0!</v>
      </c>
      <c r="V98" s="107" t="e">
        <f>V82/'ФОТ, МТР, макро'!AY$15/(V13/V8)</f>
        <v>#DIV/0!</v>
      </c>
      <c r="W98" s="107" t="e">
        <f>W82/'ФОТ, МТР, макро'!AZ$15/(W13/W8)</f>
        <v>#DIV/0!</v>
      </c>
      <c r="X98" s="107" t="e">
        <f>X82/'ФОТ, МТР, макро'!BA$15/(X13/X8)</f>
        <v>#DIV/0!</v>
      </c>
      <c r="Y98" s="107" t="e">
        <f>Y82/'ФОТ, МТР, макро'!BB$15/(Y13/Y8)</f>
        <v>#DIV/0!</v>
      </c>
      <c r="Z98" s="107" t="e">
        <f>Z82/'ФОТ, МТР, макро'!BC$15/(Z13/Z8)</f>
        <v>#DIV/0!</v>
      </c>
      <c r="AA98" s="175"/>
      <c r="AC98" s="104" t="e" cm="1">
        <f t="array" ref="AC98:AV98">INDEX(G98:Z98,1,$C98)</f>
        <v>#DIV/0!</v>
      </c>
      <c r="AD98" s="2" t="e">
        <v>#DIV/0!</v>
      </c>
      <c r="AE98" s="2" t="e">
        <v>#DIV/0!</v>
      </c>
      <c r="AF98" s="2" t="e">
        <v>#DIV/0!</v>
      </c>
      <c r="AG98" s="2" t="e">
        <v>#DIV/0!</v>
      </c>
      <c r="AH98" s="2" t="e">
        <v>#DIV/0!</v>
      </c>
      <c r="AI98" s="2" t="e">
        <v>#DIV/0!</v>
      </c>
      <c r="AJ98" s="2" t="e">
        <v>#DIV/0!</v>
      </c>
      <c r="AK98" s="2" t="e">
        <v>#DIV/0!</v>
      </c>
      <c r="AL98" s="2" t="e">
        <v>#DIV/0!</v>
      </c>
      <c r="AM98" s="2" t="e">
        <v>#DIV/0!</v>
      </c>
      <c r="AN98" s="2" t="e">
        <v>#DIV/0!</v>
      </c>
      <c r="AO98" s="2" t="e">
        <v>#DIV/0!</v>
      </c>
      <c r="AP98" s="2" t="e">
        <v>#DIV/0!</v>
      </c>
      <c r="AQ98" s="2" t="e">
        <v>#DIV/0!</v>
      </c>
      <c r="AR98" s="2" t="e">
        <v>#DIV/0!</v>
      </c>
      <c r="AS98" s="2" t="e">
        <v>#DIV/0!</v>
      </c>
      <c r="AT98" s="2" t="e">
        <v>#DIV/0!</v>
      </c>
      <c r="AU98" s="2" t="e">
        <v>#DIV/0!</v>
      </c>
      <c r="AV98" s="2" t="e">
        <v>#DIV/0!</v>
      </c>
    </row>
    <row r="99" spans="1:48" outlineLevel="1" x14ac:dyDescent="0.25">
      <c r="A99" s="36" t="str">
        <f t="shared" si="39"/>
        <v>СБШ-250/270КП</v>
      </c>
      <c r="B99" s="36" t="str">
        <f t="shared" si="43"/>
        <v>Аннуитет общий</v>
      </c>
      <c r="C99" s="36">
        <f t="shared" si="44"/>
        <v>0</v>
      </c>
      <c r="D99" s="95" t="s">
        <v>75</v>
      </c>
      <c r="E99" s="105" t="str">
        <f>E87</f>
        <v>руб/м3</v>
      </c>
      <c r="F99" s="106"/>
      <c r="G99" s="98" t="e">
        <f>G85/'ФОТ, МТР, макро'!AJ$15/(G13/G8)</f>
        <v>#DIV/0!</v>
      </c>
      <c r="H99" s="98" t="e">
        <f>H85/'ФОТ, МТР, макро'!AK$15/(H13/H8)</f>
        <v>#DIV/0!</v>
      </c>
      <c r="I99" s="98" t="e">
        <f>I85/'ФОТ, МТР, макро'!AL$15/(I13/I8)</f>
        <v>#DIV/0!</v>
      </c>
      <c r="J99" s="98" t="e">
        <f>J85/'ФОТ, МТР, макро'!AM$15/(J13/J8)</f>
        <v>#DIV/0!</v>
      </c>
      <c r="K99" s="98" t="e">
        <f>K85/'ФОТ, МТР, макро'!AN$15/(K13/K8)</f>
        <v>#DIV/0!</v>
      </c>
      <c r="L99" s="98" t="e">
        <f>L85/'ФОТ, МТР, макро'!AO$15/(L13/L8)</f>
        <v>#DIV/0!</v>
      </c>
      <c r="M99" s="98" t="e">
        <f>M85/'ФОТ, МТР, макро'!AP$15/(M13/M8)</f>
        <v>#DIV/0!</v>
      </c>
      <c r="N99" s="98" t="e">
        <f>N85/'ФОТ, МТР, макро'!AQ$15/(N13/N8)</f>
        <v>#DIV/0!</v>
      </c>
      <c r="O99" s="98" t="e">
        <f>O85/'ФОТ, МТР, макро'!AR$15/(O13/O8)</f>
        <v>#DIV/0!</v>
      </c>
      <c r="P99" s="98" t="e">
        <f>P85/'ФОТ, МТР, макро'!AS$15/(P13/P8)</f>
        <v>#DIV/0!</v>
      </c>
      <c r="Q99" s="98" t="e">
        <f>Q85/'ФОТ, МТР, макро'!AT$15/(Q13/Q8)</f>
        <v>#DIV/0!</v>
      </c>
      <c r="R99" s="98" t="e">
        <f>R85/'ФОТ, МТР, макро'!AU$15/(R13/R8)</f>
        <v>#DIV/0!</v>
      </c>
      <c r="S99" s="98" t="e">
        <f>S85/'ФОТ, МТР, макро'!AV$15/(S13/S8)</f>
        <v>#DIV/0!</v>
      </c>
      <c r="T99" s="98" t="e">
        <f>T85/'ФОТ, МТР, макро'!AW$15/(T13/T8)</f>
        <v>#DIV/0!</v>
      </c>
      <c r="U99" s="98" t="e">
        <f>U85/'ФОТ, МТР, макро'!AX$15/(U13/U8)</f>
        <v>#DIV/0!</v>
      </c>
      <c r="V99" s="98" t="e">
        <f>V85/'ФОТ, МТР, макро'!AY$15/(V13/V8)</f>
        <v>#DIV/0!</v>
      </c>
      <c r="W99" s="98" t="e">
        <f>W85/'ФОТ, МТР, макро'!AZ$15/(W13/W8)</f>
        <v>#DIV/0!</v>
      </c>
      <c r="X99" s="98" t="e">
        <f>X85/'ФОТ, МТР, макро'!BA$15/(X13/X8)</f>
        <v>#DIV/0!</v>
      </c>
      <c r="Y99" s="98" t="e">
        <f>Y85/'ФОТ, МТР, макро'!BB$15/(Y13/Y8)</f>
        <v>#DIV/0!</v>
      </c>
      <c r="Z99" s="98" t="e">
        <f>Z85/'ФОТ, МТР, макро'!BC$15/(Z13/Z8)</f>
        <v>#DIV/0!</v>
      </c>
      <c r="AA99" s="175"/>
      <c r="AC99" s="99" t="e" cm="1">
        <f t="array" ref="AC99:AV99">INDEX(G99:Z99,1,$C99)</f>
        <v>#DIV/0!</v>
      </c>
      <c r="AD99" s="2" t="e">
        <v>#DIV/0!</v>
      </c>
      <c r="AE99" s="2" t="e">
        <v>#DIV/0!</v>
      </c>
      <c r="AF99" s="2" t="e">
        <v>#DIV/0!</v>
      </c>
      <c r="AG99" s="2" t="e">
        <v>#DIV/0!</v>
      </c>
      <c r="AH99" s="2" t="e">
        <v>#DIV/0!</v>
      </c>
      <c r="AI99" s="2" t="e">
        <v>#DIV/0!</v>
      </c>
      <c r="AJ99" s="2" t="e">
        <v>#DIV/0!</v>
      </c>
      <c r="AK99" s="2" t="e">
        <v>#DIV/0!</v>
      </c>
      <c r="AL99" s="2" t="e">
        <v>#DIV/0!</v>
      </c>
      <c r="AM99" s="2" t="e">
        <v>#DIV/0!</v>
      </c>
      <c r="AN99" s="2" t="e">
        <v>#DIV/0!</v>
      </c>
      <c r="AO99" s="2" t="e">
        <v>#DIV/0!</v>
      </c>
      <c r="AP99" s="2" t="e">
        <v>#DIV/0!</v>
      </c>
      <c r="AQ99" s="2" t="e">
        <v>#DIV/0!</v>
      </c>
      <c r="AR99" s="2" t="e">
        <v>#DIV/0!</v>
      </c>
      <c r="AS99" s="2" t="e">
        <v>#DIV/0!</v>
      </c>
      <c r="AT99" s="2" t="e">
        <v>#DIV/0!</v>
      </c>
      <c r="AU99" s="2" t="e">
        <v>#DIV/0!</v>
      </c>
      <c r="AV99" s="2" t="e">
        <v>#DIV/0!</v>
      </c>
    </row>
    <row r="100" spans="1:48" outlineLevel="1" x14ac:dyDescent="0.25">
      <c r="A100" s="36" t="str">
        <f t="shared" si="39"/>
        <v>СБШ-250/270КП</v>
      </c>
      <c r="B100" s="36"/>
      <c r="D100" s="108"/>
      <c r="E100" s="12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75"/>
    </row>
    <row r="101" spans="1:48" outlineLevel="1" x14ac:dyDescent="0.25">
      <c r="A101" s="36" t="str">
        <f t="shared" si="39"/>
        <v>СБШ-250/270КП</v>
      </c>
      <c r="B101" s="36"/>
      <c r="D101" s="110" t="s">
        <v>67</v>
      </c>
      <c r="E101" s="111"/>
      <c r="F101" s="112"/>
      <c r="G101" s="113" t="e">
        <f>G99-G87-G97+G87-SUM(G88:G96)+G97-G98</f>
        <v>#DIV/0!</v>
      </c>
      <c r="H101" s="113" t="e">
        <f t="shared" ref="H101:Z101" si="47">H99-H87-H97+H87-SUM(H88:H96)+H97-H98</f>
        <v>#DIV/0!</v>
      </c>
      <c r="I101" s="113" t="e">
        <f t="shared" si="47"/>
        <v>#DIV/0!</v>
      </c>
      <c r="J101" s="113" t="e">
        <f t="shared" si="47"/>
        <v>#DIV/0!</v>
      </c>
      <c r="K101" s="113" t="e">
        <f t="shared" si="47"/>
        <v>#DIV/0!</v>
      </c>
      <c r="L101" s="113" t="e">
        <f t="shared" si="47"/>
        <v>#DIV/0!</v>
      </c>
      <c r="M101" s="113" t="e">
        <f t="shared" si="47"/>
        <v>#DIV/0!</v>
      </c>
      <c r="N101" s="113" t="e">
        <f t="shared" si="47"/>
        <v>#DIV/0!</v>
      </c>
      <c r="O101" s="113" t="e">
        <f t="shared" si="47"/>
        <v>#DIV/0!</v>
      </c>
      <c r="P101" s="113" t="e">
        <f t="shared" si="47"/>
        <v>#DIV/0!</v>
      </c>
      <c r="Q101" s="113" t="e">
        <f t="shared" si="47"/>
        <v>#DIV/0!</v>
      </c>
      <c r="R101" s="113" t="e">
        <f t="shared" si="47"/>
        <v>#DIV/0!</v>
      </c>
      <c r="S101" s="113" t="e">
        <f t="shared" si="47"/>
        <v>#DIV/0!</v>
      </c>
      <c r="T101" s="113" t="e">
        <f t="shared" si="47"/>
        <v>#DIV/0!</v>
      </c>
      <c r="U101" s="113" t="e">
        <f t="shared" si="47"/>
        <v>#DIV/0!</v>
      </c>
      <c r="V101" s="113" t="e">
        <f t="shared" si="47"/>
        <v>#DIV/0!</v>
      </c>
      <c r="W101" s="113" t="e">
        <f t="shared" si="47"/>
        <v>#DIV/0!</v>
      </c>
      <c r="X101" s="113" t="e">
        <f t="shared" si="47"/>
        <v>#DIV/0!</v>
      </c>
      <c r="Y101" s="113" t="e">
        <f t="shared" si="47"/>
        <v>#DIV/0!</v>
      </c>
      <c r="Z101" s="113" t="e">
        <f t="shared" si="47"/>
        <v>#DIV/0!</v>
      </c>
      <c r="AA101" s="175"/>
    </row>
    <row r="102" spans="1:48" outlineLevel="1" x14ac:dyDescent="0.25">
      <c r="A102" s="36" t="str">
        <f t="shared" si="39"/>
        <v>СБШ-250/270КП</v>
      </c>
      <c r="B102" s="36"/>
      <c r="D102" s="112"/>
      <c r="E102" s="111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75"/>
    </row>
    <row r="103" spans="1:48" outlineLevel="1" x14ac:dyDescent="0.25">
      <c r="A103" s="36" t="str">
        <f t="shared" si="39"/>
        <v>СБШ-250/270КП</v>
      </c>
      <c r="B103" s="36"/>
      <c r="D103" s="114" t="s">
        <v>76</v>
      </c>
      <c r="E103" s="115" t="str">
        <f>E99</f>
        <v>руб/м3</v>
      </c>
      <c r="F103" s="116"/>
      <c r="G103" s="117" t="e">
        <f>SUM(G104:G111)</f>
        <v>#DIV/0!</v>
      </c>
      <c r="H103" s="117" t="e">
        <f t="shared" ref="H103:Z103" si="48">SUM(H104:H111)</f>
        <v>#DIV/0!</v>
      </c>
      <c r="I103" s="117" t="e">
        <f t="shared" si="48"/>
        <v>#DIV/0!</v>
      </c>
      <c r="J103" s="117" t="e">
        <f t="shared" si="48"/>
        <v>#DIV/0!</v>
      </c>
      <c r="K103" s="117" t="e">
        <f t="shared" si="48"/>
        <v>#DIV/0!</v>
      </c>
      <c r="L103" s="117" t="e">
        <f t="shared" si="48"/>
        <v>#DIV/0!</v>
      </c>
      <c r="M103" s="117" t="e">
        <f t="shared" si="48"/>
        <v>#DIV/0!</v>
      </c>
      <c r="N103" s="117" t="e">
        <f t="shared" si="48"/>
        <v>#DIV/0!</v>
      </c>
      <c r="O103" s="117" t="e">
        <f t="shared" si="48"/>
        <v>#DIV/0!</v>
      </c>
      <c r="P103" s="117" t="e">
        <f t="shared" si="48"/>
        <v>#DIV/0!</v>
      </c>
      <c r="Q103" s="117" t="e">
        <f t="shared" si="48"/>
        <v>#DIV/0!</v>
      </c>
      <c r="R103" s="117" t="e">
        <f t="shared" si="48"/>
        <v>#DIV/0!</v>
      </c>
      <c r="S103" s="117" t="e">
        <f t="shared" si="48"/>
        <v>#DIV/0!</v>
      </c>
      <c r="T103" s="117" t="e">
        <f t="shared" si="48"/>
        <v>#DIV/0!</v>
      </c>
      <c r="U103" s="117" t="e">
        <f t="shared" si="48"/>
        <v>#DIV/0!</v>
      </c>
      <c r="V103" s="117" t="e">
        <f t="shared" si="48"/>
        <v>#DIV/0!</v>
      </c>
      <c r="W103" s="117" t="e">
        <f t="shared" si="48"/>
        <v>#DIV/0!</v>
      </c>
      <c r="X103" s="117" t="e">
        <f t="shared" si="48"/>
        <v>#DIV/0!</v>
      </c>
      <c r="Y103" s="117" t="e">
        <f t="shared" si="48"/>
        <v>#DIV/0!</v>
      </c>
      <c r="Z103" s="117" t="e">
        <f t="shared" si="48"/>
        <v>#DIV/0!</v>
      </c>
      <c r="AA103" s="175"/>
    </row>
    <row r="104" spans="1:48" outlineLevel="1" x14ac:dyDescent="0.25">
      <c r="A104" s="36" t="str">
        <f t="shared" si="39"/>
        <v>СБШ-250/270КП</v>
      </c>
      <c r="B104" s="36"/>
      <c r="D104" s="100" t="str">
        <f>D88</f>
        <v>ТО, ТР, ППР</v>
      </c>
      <c r="E104" s="101" t="str">
        <f>E103</f>
        <v>руб/м3</v>
      </c>
      <c r="F104" s="102"/>
      <c r="G104" s="103" t="e">
        <f t="shared" ref="G104:Z104" si="49">G16/G12</f>
        <v>#DIV/0!</v>
      </c>
      <c r="H104" s="103" t="e">
        <f t="shared" si="49"/>
        <v>#DIV/0!</v>
      </c>
      <c r="I104" s="103" t="e">
        <f t="shared" si="49"/>
        <v>#DIV/0!</v>
      </c>
      <c r="J104" s="103" t="e">
        <f t="shared" si="49"/>
        <v>#DIV/0!</v>
      </c>
      <c r="K104" s="103" t="e">
        <f t="shared" si="49"/>
        <v>#DIV/0!</v>
      </c>
      <c r="L104" s="103" t="e">
        <f t="shared" si="49"/>
        <v>#DIV/0!</v>
      </c>
      <c r="M104" s="103" t="e">
        <f t="shared" si="49"/>
        <v>#DIV/0!</v>
      </c>
      <c r="N104" s="103" t="e">
        <f t="shared" si="49"/>
        <v>#DIV/0!</v>
      </c>
      <c r="O104" s="103" t="e">
        <f t="shared" si="49"/>
        <v>#DIV/0!</v>
      </c>
      <c r="P104" s="103" t="e">
        <f t="shared" si="49"/>
        <v>#DIV/0!</v>
      </c>
      <c r="Q104" s="103" t="e">
        <f t="shared" si="49"/>
        <v>#DIV/0!</v>
      </c>
      <c r="R104" s="103" t="e">
        <f t="shared" si="49"/>
        <v>#DIV/0!</v>
      </c>
      <c r="S104" s="103" t="e">
        <f t="shared" si="49"/>
        <v>#DIV/0!</v>
      </c>
      <c r="T104" s="103" t="e">
        <f t="shared" si="49"/>
        <v>#DIV/0!</v>
      </c>
      <c r="U104" s="103" t="e">
        <f t="shared" si="49"/>
        <v>#DIV/0!</v>
      </c>
      <c r="V104" s="103" t="e">
        <f t="shared" si="49"/>
        <v>#DIV/0!</v>
      </c>
      <c r="W104" s="103" t="e">
        <f t="shared" si="49"/>
        <v>#DIV/0!</v>
      </c>
      <c r="X104" s="103" t="e">
        <f t="shared" si="49"/>
        <v>#DIV/0!</v>
      </c>
      <c r="Y104" s="103" t="e">
        <f t="shared" si="49"/>
        <v>#DIV/0!</v>
      </c>
      <c r="Z104" s="103" t="e">
        <f t="shared" si="49"/>
        <v>#DIV/0!</v>
      </c>
      <c r="AA104" s="175"/>
    </row>
    <row r="105" spans="1:48" outlineLevel="1" x14ac:dyDescent="0.25">
      <c r="A105" s="36" t="str">
        <f t="shared" si="39"/>
        <v>СБШ-250/270КП</v>
      </c>
      <c r="B105" s="36"/>
      <c r="D105" s="100" t="str">
        <f t="shared" ref="D105:D111" si="50">D89</f>
        <v>Смазочные</v>
      </c>
      <c r="E105" s="101" t="str">
        <f t="shared" ref="E105:E111" si="51">E104</f>
        <v>руб/м3</v>
      </c>
      <c r="F105" s="102"/>
      <c r="G105" s="103" t="e">
        <f t="shared" ref="G105:Z105" si="52">G21/G12</f>
        <v>#DIV/0!</v>
      </c>
      <c r="H105" s="103" t="e">
        <f t="shared" si="52"/>
        <v>#DIV/0!</v>
      </c>
      <c r="I105" s="103" t="e">
        <f t="shared" si="52"/>
        <v>#DIV/0!</v>
      </c>
      <c r="J105" s="103" t="e">
        <f t="shared" si="52"/>
        <v>#DIV/0!</v>
      </c>
      <c r="K105" s="103" t="e">
        <f t="shared" si="52"/>
        <v>#DIV/0!</v>
      </c>
      <c r="L105" s="103" t="e">
        <f t="shared" si="52"/>
        <v>#DIV/0!</v>
      </c>
      <c r="M105" s="103" t="e">
        <f t="shared" si="52"/>
        <v>#DIV/0!</v>
      </c>
      <c r="N105" s="103" t="e">
        <f t="shared" si="52"/>
        <v>#DIV/0!</v>
      </c>
      <c r="O105" s="103" t="e">
        <f t="shared" si="52"/>
        <v>#DIV/0!</v>
      </c>
      <c r="P105" s="103" t="e">
        <f t="shared" si="52"/>
        <v>#DIV/0!</v>
      </c>
      <c r="Q105" s="103" t="e">
        <f t="shared" si="52"/>
        <v>#DIV/0!</v>
      </c>
      <c r="R105" s="103" t="e">
        <f t="shared" si="52"/>
        <v>#DIV/0!</v>
      </c>
      <c r="S105" s="103" t="e">
        <f t="shared" si="52"/>
        <v>#DIV/0!</v>
      </c>
      <c r="T105" s="103" t="e">
        <f t="shared" si="52"/>
        <v>#DIV/0!</v>
      </c>
      <c r="U105" s="103" t="e">
        <f t="shared" si="52"/>
        <v>#DIV/0!</v>
      </c>
      <c r="V105" s="103" t="e">
        <f t="shared" si="52"/>
        <v>#DIV/0!</v>
      </c>
      <c r="W105" s="103" t="e">
        <f t="shared" si="52"/>
        <v>#DIV/0!</v>
      </c>
      <c r="X105" s="103" t="e">
        <f t="shared" si="52"/>
        <v>#DIV/0!</v>
      </c>
      <c r="Y105" s="103" t="e">
        <f t="shared" si="52"/>
        <v>#DIV/0!</v>
      </c>
      <c r="Z105" s="103" t="e">
        <f t="shared" si="52"/>
        <v>#DIV/0!</v>
      </c>
      <c r="AA105" s="175"/>
    </row>
    <row r="106" spans="1:48" outlineLevel="1" x14ac:dyDescent="0.25">
      <c r="A106" s="36" t="str">
        <f t="shared" si="39"/>
        <v>СБШ-250/270КП</v>
      </c>
      <c r="B106" s="36"/>
      <c r="D106" s="100" t="str">
        <f t="shared" si="50"/>
        <v>Долота</v>
      </c>
      <c r="E106" s="101" t="str">
        <f t="shared" si="51"/>
        <v>руб/м3</v>
      </c>
      <c r="F106" s="102"/>
      <c r="G106" s="103" t="e">
        <f t="shared" ref="G106:Z106" si="53">G23/G12</f>
        <v>#DIV/0!</v>
      </c>
      <c r="H106" s="103" t="e">
        <f t="shared" si="53"/>
        <v>#DIV/0!</v>
      </c>
      <c r="I106" s="103" t="e">
        <f t="shared" si="53"/>
        <v>#DIV/0!</v>
      </c>
      <c r="J106" s="103" t="e">
        <f t="shared" si="53"/>
        <v>#DIV/0!</v>
      </c>
      <c r="K106" s="103" t="e">
        <f t="shared" si="53"/>
        <v>#DIV/0!</v>
      </c>
      <c r="L106" s="103" t="e">
        <f t="shared" si="53"/>
        <v>#DIV/0!</v>
      </c>
      <c r="M106" s="103" t="e">
        <f t="shared" si="53"/>
        <v>#DIV/0!</v>
      </c>
      <c r="N106" s="103" t="e">
        <f t="shared" si="53"/>
        <v>#DIV/0!</v>
      </c>
      <c r="O106" s="103" t="e">
        <f t="shared" si="53"/>
        <v>#DIV/0!</v>
      </c>
      <c r="P106" s="103" t="e">
        <f t="shared" si="53"/>
        <v>#DIV/0!</v>
      </c>
      <c r="Q106" s="103" t="e">
        <f t="shared" si="53"/>
        <v>#DIV/0!</v>
      </c>
      <c r="R106" s="103" t="e">
        <f t="shared" si="53"/>
        <v>#DIV/0!</v>
      </c>
      <c r="S106" s="103" t="e">
        <f t="shared" si="53"/>
        <v>#DIV/0!</v>
      </c>
      <c r="T106" s="103" t="e">
        <f t="shared" si="53"/>
        <v>#DIV/0!</v>
      </c>
      <c r="U106" s="103" t="e">
        <f t="shared" si="53"/>
        <v>#DIV/0!</v>
      </c>
      <c r="V106" s="103" t="e">
        <f t="shared" si="53"/>
        <v>#DIV/0!</v>
      </c>
      <c r="W106" s="103" t="e">
        <f t="shared" si="53"/>
        <v>#DIV/0!</v>
      </c>
      <c r="X106" s="103" t="e">
        <f t="shared" si="53"/>
        <v>#DIV/0!</v>
      </c>
      <c r="Y106" s="103" t="e">
        <f t="shared" si="53"/>
        <v>#DIV/0!</v>
      </c>
      <c r="Z106" s="103" t="e">
        <f t="shared" si="53"/>
        <v>#DIV/0!</v>
      </c>
      <c r="AA106" s="175"/>
    </row>
    <row r="107" spans="1:48" outlineLevel="1" x14ac:dyDescent="0.25">
      <c r="A107" s="36" t="str">
        <f t="shared" si="39"/>
        <v>СБШ-250/270КП</v>
      </c>
      <c r="B107" s="36"/>
      <c r="D107" s="100" t="str">
        <f t="shared" si="50"/>
        <v>Штанги буровые</v>
      </c>
      <c r="E107" s="101" t="str">
        <f t="shared" si="51"/>
        <v>руб/м3</v>
      </c>
      <c r="F107" s="102"/>
      <c r="G107" s="103" t="e">
        <f t="shared" ref="G107:Z107" si="54">G27/G12</f>
        <v>#DIV/0!</v>
      </c>
      <c r="H107" s="103" t="e">
        <f t="shared" si="54"/>
        <v>#DIV/0!</v>
      </c>
      <c r="I107" s="103" t="e">
        <f t="shared" si="54"/>
        <v>#DIV/0!</v>
      </c>
      <c r="J107" s="103" t="e">
        <f t="shared" si="54"/>
        <v>#DIV/0!</v>
      </c>
      <c r="K107" s="103" t="e">
        <f t="shared" si="54"/>
        <v>#DIV/0!</v>
      </c>
      <c r="L107" s="103" t="e">
        <f t="shared" si="54"/>
        <v>#DIV/0!</v>
      </c>
      <c r="M107" s="103" t="e">
        <f t="shared" si="54"/>
        <v>#DIV/0!</v>
      </c>
      <c r="N107" s="103" t="e">
        <f t="shared" si="54"/>
        <v>#DIV/0!</v>
      </c>
      <c r="O107" s="103" t="e">
        <f t="shared" si="54"/>
        <v>#DIV/0!</v>
      </c>
      <c r="P107" s="103" t="e">
        <f t="shared" si="54"/>
        <v>#DIV/0!</v>
      </c>
      <c r="Q107" s="103" t="e">
        <f t="shared" si="54"/>
        <v>#DIV/0!</v>
      </c>
      <c r="R107" s="103" t="e">
        <f t="shared" si="54"/>
        <v>#DIV/0!</v>
      </c>
      <c r="S107" s="103" t="e">
        <f t="shared" si="54"/>
        <v>#DIV/0!</v>
      </c>
      <c r="T107" s="103" t="e">
        <f t="shared" si="54"/>
        <v>#DIV/0!</v>
      </c>
      <c r="U107" s="103" t="e">
        <f t="shared" si="54"/>
        <v>#DIV/0!</v>
      </c>
      <c r="V107" s="103" t="e">
        <f t="shared" si="54"/>
        <v>#DIV/0!</v>
      </c>
      <c r="W107" s="103" t="e">
        <f t="shared" si="54"/>
        <v>#DIV/0!</v>
      </c>
      <c r="X107" s="103" t="e">
        <f t="shared" si="54"/>
        <v>#DIV/0!</v>
      </c>
      <c r="Y107" s="103" t="e">
        <f t="shared" si="54"/>
        <v>#DIV/0!</v>
      </c>
      <c r="Z107" s="103" t="e">
        <f t="shared" si="54"/>
        <v>#DIV/0!</v>
      </c>
      <c r="AA107" s="175"/>
    </row>
    <row r="108" spans="1:48" outlineLevel="1" x14ac:dyDescent="0.25">
      <c r="A108" s="36" t="str">
        <f t="shared" si="39"/>
        <v>СБШ-250/270КП</v>
      </c>
      <c r="B108" s="36"/>
      <c r="D108" s="100" t="str">
        <f t="shared" si="50"/>
        <v>Расходники</v>
      </c>
      <c r="E108" s="101" t="str">
        <f t="shared" si="51"/>
        <v>руб/м3</v>
      </c>
      <c r="F108" s="102"/>
      <c r="G108" s="103" t="e">
        <f t="shared" ref="G108:Z108" si="55">G31/G12</f>
        <v>#DIV/0!</v>
      </c>
      <c r="H108" s="103" t="e">
        <f t="shared" si="55"/>
        <v>#DIV/0!</v>
      </c>
      <c r="I108" s="103" t="e">
        <f t="shared" si="55"/>
        <v>#DIV/0!</v>
      </c>
      <c r="J108" s="103" t="e">
        <f t="shared" si="55"/>
        <v>#DIV/0!</v>
      </c>
      <c r="K108" s="103" t="e">
        <f t="shared" si="55"/>
        <v>#DIV/0!</v>
      </c>
      <c r="L108" s="103" t="e">
        <f t="shared" si="55"/>
        <v>#DIV/0!</v>
      </c>
      <c r="M108" s="103" t="e">
        <f t="shared" si="55"/>
        <v>#DIV/0!</v>
      </c>
      <c r="N108" s="103" t="e">
        <f t="shared" si="55"/>
        <v>#DIV/0!</v>
      </c>
      <c r="O108" s="103" t="e">
        <f t="shared" si="55"/>
        <v>#DIV/0!</v>
      </c>
      <c r="P108" s="103" t="e">
        <f t="shared" si="55"/>
        <v>#DIV/0!</v>
      </c>
      <c r="Q108" s="103" t="e">
        <f t="shared" si="55"/>
        <v>#DIV/0!</v>
      </c>
      <c r="R108" s="103" t="e">
        <f t="shared" si="55"/>
        <v>#DIV/0!</v>
      </c>
      <c r="S108" s="103" t="e">
        <f t="shared" si="55"/>
        <v>#DIV/0!</v>
      </c>
      <c r="T108" s="103" t="e">
        <f t="shared" si="55"/>
        <v>#DIV/0!</v>
      </c>
      <c r="U108" s="103" t="e">
        <f t="shared" si="55"/>
        <v>#DIV/0!</v>
      </c>
      <c r="V108" s="103" t="e">
        <f t="shared" si="55"/>
        <v>#DIV/0!</v>
      </c>
      <c r="W108" s="103" t="e">
        <f t="shared" si="55"/>
        <v>#DIV/0!</v>
      </c>
      <c r="X108" s="103" t="e">
        <f t="shared" si="55"/>
        <v>#DIV/0!</v>
      </c>
      <c r="Y108" s="103" t="e">
        <f t="shared" si="55"/>
        <v>#DIV/0!</v>
      </c>
      <c r="Z108" s="103" t="e">
        <f t="shared" si="55"/>
        <v>#DIV/0!</v>
      </c>
      <c r="AA108" s="175"/>
    </row>
    <row r="109" spans="1:48" outlineLevel="1" x14ac:dyDescent="0.25">
      <c r="A109" s="36" t="str">
        <f t="shared" si="39"/>
        <v>СБШ-250/270КП</v>
      </c>
      <c r="B109" s="36"/>
      <c r="D109" s="100" t="str">
        <f t="shared" si="50"/>
        <v>Топливо/Электроэнергия</v>
      </c>
      <c r="E109" s="101" t="str">
        <f t="shared" si="51"/>
        <v>руб/м3</v>
      </c>
      <c r="F109" s="102"/>
      <c r="G109" s="103" t="e">
        <f t="shared" ref="G109:Z109" si="56">G33/G12</f>
        <v>#DIV/0!</v>
      </c>
      <c r="H109" s="103" t="e">
        <f t="shared" si="56"/>
        <v>#DIV/0!</v>
      </c>
      <c r="I109" s="103" t="e">
        <f t="shared" si="56"/>
        <v>#DIV/0!</v>
      </c>
      <c r="J109" s="103" t="e">
        <f t="shared" si="56"/>
        <v>#DIV/0!</v>
      </c>
      <c r="K109" s="103" t="e">
        <f t="shared" si="56"/>
        <v>#DIV/0!</v>
      </c>
      <c r="L109" s="103" t="e">
        <f t="shared" si="56"/>
        <v>#DIV/0!</v>
      </c>
      <c r="M109" s="103" t="e">
        <f t="shared" si="56"/>
        <v>#DIV/0!</v>
      </c>
      <c r="N109" s="103" t="e">
        <f t="shared" si="56"/>
        <v>#DIV/0!</v>
      </c>
      <c r="O109" s="103" t="e">
        <f t="shared" si="56"/>
        <v>#DIV/0!</v>
      </c>
      <c r="P109" s="103" t="e">
        <f t="shared" si="56"/>
        <v>#DIV/0!</v>
      </c>
      <c r="Q109" s="103" t="e">
        <f t="shared" si="56"/>
        <v>#DIV/0!</v>
      </c>
      <c r="R109" s="103" t="e">
        <f t="shared" si="56"/>
        <v>#DIV/0!</v>
      </c>
      <c r="S109" s="103" t="e">
        <f t="shared" si="56"/>
        <v>#DIV/0!</v>
      </c>
      <c r="T109" s="103" t="e">
        <f t="shared" si="56"/>
        <v>#DIV/0!</v>
      </c>
      <c r="U109" s="103" t="e">
        <f t="shared" si="56"/>
        <v>#DIV/0!</v>
      </c>
      <c r="V109" s="103" t="e">
        <f t="shared" si="56"/>
        <v>#DIV/0!</v>
      </c>
      <c r="W109" s="103" t="e">
        <f t="shared" si="56"/>
        <v>#DIV/0!</v>
      </c>
      <c r="X109" s="103" t="e">
        <f t="shared" si="56"/>
        <v>#DIV/0!</v>
      </c>
      <c r="Y109" s="103" t="e">
        <f t="shared" si="56"/>
        <v>#DIV/0!</v>
      </c>
      <c r="Z109" s="103" t="e">
        <f t="shared" si="56"/>
        <v>#DIV/0!</v>
      </c>
      <c r="AA109" s="175"/>
    </row>
    <row r="110" spans="1:48" outlineLevel="1" x14ac:dyDescent="0.25">
      <c r="A110" s="36" t="str">
        <f t="shared" si="39"/>
        <v>СБШ-250/270КП</v>
      </c>
      <c r="B110" s="36"/>
      <c r="D110" s="100" t="str">
        <f t="shared" si="50"/>
        <v>Затраты на персонал</v>
      </c>
      <c r="E110" s="101" t="str">
        <f t="shared" si="51"/>
        <v>руб/м3</v>
      </c>
      <c r="F110" s="102"/>
      <c r="G110" s="103" t="e">
        <f t="shared" ref="G110:Z110" si="57">G42/G12</f>
        <v>#DIV/0!</v>
      </c>
      <c r="H110" s="103" t="e">
        <f t="shared" si="57"/>
        <v>#DIV/0!</v>
      </c>
      <c r="I110" s="103" t="e">
        <f t="shared" si="57"/>
        <v>#DIV/0!</v>
      </c>
      <c r="J110" s="103" t="e">
        <f t="shared" si="57"/>
        <v>#DIV/0!</v>
      </c>
      <c r="K110" s="103" t="e">
        <f t="shared" si="57"/>
        <v>#DIV/0!</v>
      </c>
      <c r="L110" s="103" t="e">
        <f t="shared" si="57"/>
        <v>#DIV/0!</v>
      </c>
      <c r="M110" s="103" t="e">
        <f t="shared" si="57"/>
        <v>#DIV/0!</v>
      </c>
      <c r="N110" s="103" t="e">
        <f t="shared" si="57"/>
        <v>#DIV/0!</v>
      </c>
      <c r="O110" s="103" t="e">
        <f t="shared" si="57"/>
        <v>#DIV/0!</v>
      </c>
      <c r="P110" s="103" t="e">
        <f t="shared" si="57"/>
        <v>#DIV/0!</v>
      </c>
      <c r="Q110" s="103" t="e">
        <f t="shared" si="57"/>
        <v>#DIV/0!</v>
      </c>
      <c r="R110" s="103" t="e">
        <f t="shared" si="57"/>
        <v>#DIV/0!</v>
      </c>
      <c r="S110" s="103" t="e">
        <f t="shared" si="57"/>
        <v>#DIV/0!</v>
      </c>
      <c r="T110" s="103" t="e">
        <f t="shared" si="57"/>
        <v>#DIV/0!</v>
      </c>
      <c r="U110" s="103" t="e">
        <f t="shared" si="57"/>
        <v>#DIV/0!</v>
      </c>
      <c r="V110" s="103" t="e">
        <f t="shared" si="57"/>
        <v>#DIV/0!</v>
      </c>
      <c r="W110" s="103" t="e">
        <f t="shared" si="57"/>
        <v>#DIV/0!</v>
      </c>
      <c r="X110" s="103" t="e">
        <f t="shared" si="57"/>
        <v>#DIV/0!</v>
      </c>
      <c r="Y110" s="103" t="e">
        <f t="shared" si="57"/>
        <v>#DIV/0!</v>
      </c>
      <c r="Z110" s="103" t="e">
        <f t="shared" si="57"/>
        <v>#DIV/0!</v>
      </c>
      <c r="AA110" s="175"/>
    </row>
    <row r="111" spans="1:48" outlineLevel="1" x14ac:dyDescent="0.25">
      <c r="A111" s="36" t="str">
        <f t="shared" si="39"/>
        <v>СБШ-250/270КП</v>
      </c>
      <c r="B111" s="36"/>
      <c r="D111" s="100" t="str">
        <f t="shared" si="50"/>
        <v>Транспортный налог</v>
      </c>
      <c r="E111" s="101" t="str">
        <f t="shared" si="51"/>
        <v>руб/м3</v>
      </c>
      <c r="F111" s="102"/>
      <c r="G111" s="103" t="e">
        <f t="shared" ref="G111:Z111" si="58">G45/G12</f>
        <v>#DIV/0!</v>
      </c>
      <c r="H111" s="103" t="e">
        <f t="shared" si="58"/>
        <v>#DIV/0!</v>
      </c>
      <c r="I111" s="103" t="e">
        <f t="shared" si="58"/>
        <v>#DIV/0!</v>
      </c>
      <c r="J111" s="103" t="e">
        <f t="shared" si="58"/>
        <v>#DIV/0!</v>
      </c>
      <c r="K111" s="103" t="e">
        <f t="shared" si="58"/>
        <v>#DIV/0!</v>
      </c>
      <c r="L111" s="103" t="e">
        <f t="shared" si="58"/>
        <v>#DIV/0!</v>
      </c>
      <c r="M111" s="103" t="e">
        <f t="shared" si="58"/>
        <v>#DIV/0!</v>
      </c>
      <c r="N111" s="103" t="e">
        <f t="shared" si="58"/>
        <v>#DIV/0!</v>
      </c>
      <c r="O111" s="103" t="e">
        <f t="shared" si="58"/>
        <v>#DIV/0!</v>
      </c>
      <c r="P111" s="103" t="e">
        <f t="shared" si="58"/>
        <v>#DIV/0!</v>
      </c>
      <c r="Q111" s="103" t="e">
        <f t="shared" si="58"/>
        <v>#DIV/0!</v>
      </c>
      <c r="R111" s="103" t="e">
        <f t="shared" si="58"/>
        <v>#DIV/0!</v>
      </c>
      <c r="S111" s="103" t="e">
        <f t="shared" si="58"/>
        <v>#DIV/0!</v>
      </c>
      <c r="T111" s="103" t="e">
        <f t="shared" si="58"/>
        <v>#DIV/0!</v>
      </c>
      <c r="U111" s="103" t="e">
        <f t="shared" si="58"/>
        <v>#DIV/0!</v>
      </c>
      <c r="V111" s="103" t="e">
        <f t="shared" si="58"/>
        <v>#DIV/0!</v>
      </c>
      <c r="W111" s="103" t="e">
        <f t="shared" si="58"/>
        <v>#DIV/0!</v>
      </c>
      <c r="X111" s="103" t="e">
        <f t="shared" si="58"/>
        <v>#DIV/0!</v>
      </c>
      <c r="Y111" s="103" t="e">
        <f t="shared" si="58"/>
        <v>#DIV/0!</v>
      </c>
      <c r="Z111" s="103" t="e">
        <f t="shared" si="58"/>
        <v>#DIV/0!</v>
      </c>
      <c r="AA111" s="175"/>
    </row>
    <row r="112" spans="1:48" outlineLevel="1" x14ac:dyDescent="0.25">
      <c r="A112" s="36" t="str">
        <f t="shared" si="39"/>
        <v>СБШ-250/270КП</v>
      </c>
      <c r="B112" s="36"/>
      <c r="D112" s="108"/>
      <c r="E112" s="12"/>
      <c r="F112" s="109"/>
      <c r="G112" s="118" t="e">
        <f t="shared" ref="G112:Z112" si="59">G103-(G15-G50)/G12</f>
        <v>#DIV/0!</v>
      </c>
      <c r="H112" s="118" t="e">
        <f t="shared" si="59"/>
        <v>#DIV/0!</v>
      </c>
      <c r="I112" s="118" t="e">
        <f t="shared" si="59"/>
        <v>#DIV/0!</v>
      </c>
      <c r="J112" s="118" t="e">
        <f t="shared" si="59"/>
        <v>#DIV/0!</v>
      </c>
      <c r="K112" s="118" t="e">
        <f t="shared" si="59"/>
        <v>#DIV/0!</v>
      </c>
      <c r="L112" s="118" t="e">
        <f t="shared" si="59"/>
        <v>#DIV/0!</v>
      </c>
      <c r="M112" s="118" t="e">
        <f t="shared" si="59"/>
        <v>#DIV/0!</v>
      </c>
      <c r="N112" s="118" t="e">
        <f t="shared" si="59"/>
        <v>#DIV/0!</v>
      </c>
      <c r="O112" s="118" t="e">
        <f t="shared" si="59"/>
        <v>#DIV/0!</v>
      </c>
      <c r="P112" s="118" t="e">
        <f t="shared" si="59"/>
        <v>#DIV/0!</v>
      </c>
      <c r="Q112" s="118" t="e">
        <f t="shared" si="59"/>
        <v>#DIV/0!</v>
      </c>
      <c r="R112" s="118" t="e">
        <f t="shared" si="59"/>
        <v>#DIV/0!</v>
      </c>
      <c r="S112" s="118" t="e">
        <f t="shared" si="59"/>
        <v>#DIV/0!</v>
      </c>
      <c r="T112" s="118" t="e">
        <f t="shared" si="59"/>
        <v>#DIV/0!</v>
      </c>
      <c r="U112" s="118" t="e">
        <f t="shared" si="59"/>
        <v>#DIV/0!</v>
      </c>
      <c r="V112" s="118" t="e">
        <f t="shared" si="59"/>
        <v>#DIV/0!</v>
      </c>
      <c r="W112" s="118" t="e">
        <f t="shared" si="59"/>
        <v>#DIV/0!</v>
      </c>
      <c r="X112" s="118" t="e">
        <f t="shared" si="59"/>
        <v>#DIV/0!</v>
      </c>
      <c r="Y112" s="118" t="e">
        <f t="shared" si="59"/>
        <v>#DIV/0!</v>
      </c>
      <c r="Z112" s="118" t="e">
        <f t="shared" si="59"/>
        <v>#DIV/0!</v>
      </c>
      <c r="AA112" s="175"/>
    </row>
    <row r="113" spans="1:27" outlineLevel="1" x14ac:dyDescent="0.25">
      <c r="A113" s="2" t="s">
        <v>34</v>
      </c>
      <c r="AA113" s="175"/>
    </row>
    <row r="114" spans="1:27" x14ac:dyDescent="0.25">
      <c r="A114" s="2" t="s">
        <v>34</v>
      </c>
      <c r="AA114" s="175"/>
    </row>
  </sheetData>
  <autoFilter ref="A1:AC114" xr:uid="{258B067A-4FCE-4127-B7BC-1322746EDD23}"/>
  <conditionalFormatting sqref="G99:Z99">
    <cfRule type="cellIs" dxfId="13" priority="1" operator="equal">
      <formula>$AC$99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58B2-D2CE-4FC6-A7EA-1D653DF36318}">
  <sheetPr>
    <tabColor rgb="FFFF0000"/>
  </sheetPr>
  <dimension ref="A1:R60"/>
  <sheetViews>
    <sheetView showGridLines="0" topLeftCell="A4" zoomScaleNormal="100" workbookViewId="0">
      <selection activeCell="H66" sqref="H66"/>
    </sheetView>
  </sheetViews>
  <sheetFormatPr defaultRowHeight="13.6" outlineLevelRow="1" outlineLevelCol="1" x14ac:dyDescent="0.25"/>
  <cols>
    <col min="1" max="1" width="10.5" style="2" customWidth="1" outlineLevel="1"/>
    <col min="2" max="2" width="2.875" style="2" customWidth="1"/>
    <col min="3" max="3" width="6" style="2" customWidth="1"/>
    <col min="4" max="4" width="45.125" style="2" customWidth="1"/>
    <col min="5" max="5" width="10.25" style="2" customWidth="1"/>
    <col min="6" max="13" width="14.5" style="2" customWidth="1"/>
    <col min="14" max="15" width="14.5" style="2" customWidth="1" outlineLevel="1"/>
    <col min="16" max="16" width="52.875" style="2" customWidth="1"/>
    <col min="17" max="17" width="2.75" style="2" customWidth="1"/>
    <col min="18" max="18" width="17.875" style="2" bestFit="1" customWidth="1"/>
    <col min="19" max="16384" width="9" style="2"/>
  </cols>
  <sheetData>
    <row r="1" spans="1:11" ht="14.3" x14ac:dyDescent="0.25">
      <c r="A1" s="1"/>
      <c r="B1" s="1"/>
    </row>
    <row r="2" spans="1:11" ht="14.3" x14ac:dyDescent="0.25">
      <c r="C2" s="3" t="s">
        <v>0</v>
      </c>
    </row>
    <row r="4" spans="1:11" x14ac:dyDescent="0.25">
      <c r="C4" s="4" t="s">
        <v>1</v>
      </c>
      <c r="G4" s="4" t="s">
        <v>2</v>
      </c>
    </row>
    <row r="5" spans="1:11" ht="27.2" x14ac:dyDescent="0.25">
      <c r="C5" s="236" t="s">
        <v>3</v>
      </c>
      <c r="D5" s="236" t="s">
        <v>211</v>
      </c>
      <c r="E5" s="236" t="s">
        <v>4</v>
      </c>
      <c r="G5" s="236" t="str">
        <f>C5</f>
        <v>№</v>
      </c>
      <c r="H5" s="929" t="str">
        <f>D5</f>
        <v>Марка станка</v>
      </c>
      <c r="I5" s="929"/>
      <c r="J5" s="929"/>
      <c r="K5" s="236" t="s">
        <v>5</v>
      </c>
    </row>
    <row r="6" spans="1:11" x14ac:dyDescent="0.25">
      <c r="C6" s="6">
        <v>1</v>
      </c>
      <c r="D6" s="237" t="str">
        <f t="shared" ref="D6:D15" si="0">IFERROR(HLOOKUP(E6,$F$58:$O$60,3,FALSE),"-")</f>
        <v>-</v>
      </c>
      <c r="E6" s="7" t="str">
        <f t="shared" ref="E6:E15" si="1">IFERROR(SMALL($F$58:$O$58,C6),"-")</f>
        <v>-</v>
      </c>
      <c r="G6" s="6">
        <f>C6</f>
        <v>1</v>
      </c>
      <c r="H6" s="930" t="str">
        <f t="shared" ref="H6:H15" si="2">IFERROR(HLOOKUP(K6,$F$59:$O$60,2,FALSE),"-")</f>
        <v>-</v>
      </c>
      <c r="I6" s="930"/>
      <c r="J6" s="930"/>
      <c r="K6" s="8" t="str">
        <f t="shared" ref="K6:K15" si="3">IFERROR(SMALL($F$59:$O$59,C6),"-")</f>
        <v>-</v>
      </c>
    </row>
    <row r="7" spans="1:11" x14ac:dyDescent="0.25">
      <c r="C7" s="9">
        <f t="shared" ref="C7:C15" si="4">C6+1</f>
        <v>2</v>
      </c>
      <c r="D7" s="234" t="str">
        <f t="shared" si="0"/>
        <v>-</v>
      </c>
      <c r="E7" s="10" t="str">
        <f t="shared" si="1"/>
        <v>-</v>
      </c>
      <c r="G7" s="9">
        <f>C7</f>
        <v>2</v>
      </c>
      <c r="H7" s="931" t="str">
        <f t="shared" si="2"/>
        <v>-</v>
      </c>
      <c r="I7" s="931"/>
      <c r="J7" s="931"/>
      <c r="K7" s="11" t="str">
        <f t="shared" si="3"/>
        <v>-</v>
      </c>
    </row>
    <row r="8" spans="1:11" x14ac:dyDescent="0.25">
      <c r="C8" s="9">
        <f t="shared" si="4"/>
        <v>3</v>
      </c>
      <c r="D8" s="234" t="str">
        <f t="shared" si="0"/>
        <v>-</v>
      </c>
      <c r="E8" s="10" t="str">
        <f t="shared" si="1"/>
        <v>-</v>
      </c>
      <c r="G8" s="9">
        <f t="shared" ref="G8:G15" si="5">C8</f>
        <v>3</v>
      </c>
      <c r="H8" s="931" t="str">
        <f t="shared" si="2"/>
        <v>-</v>
      </c>
      <c r="I8" s="931"/>
      <c r="J8" s="931"/>
      <c r="K8" s="11" t="str">
        <f t="shared" si="3"/>
        <v>-</v>
      </c>
    </row>
    <row r="9" spans="1:11" x14ac:dyDescent="0.25">
      <c r="C9" s="9">
        <f t="shared" si="4"/>
        <v>4</v>
      </c>
      <c r="D9" s="234" t="str">
        <f t="shared" si="0"/>
        <v>-</v>
      </c>
      <c r="E9" s="10" t="str">
        <f t="shared" si="1"/>
        <v>-</v>
      </c>
      <c r="G9" s="9">
        <f t="shared" si="5"/>
        <v>4</v>
      </c>
      <c r="H9" s="931" t="str">
        <f t="shared" si="2"/>
        <v>-</v>
      </c>
      <c r="I9" s="931"/>
      <c r="J9" s="931"/>
      <c r="K9" s="11" t="str">
        <f t="shared" si="3"/>
        <v>-</v>
      </c>
    </row>
    <row r="10" spans="1:11" x14ac:dyDescent="0.25">
      <c r="C10" s="9">
        <f t="shared" si="4"/>
        <v>5</v>
      </c>
      <c r="D10" s="234" t="str">
        <f t="shared" si="0"/>
        <v>-</v>
      </c>
      <c r="E10" s="10" t="str">
        <f t="shared" si="1"/>
        <v>-</v>
      </c>
      <c r="G10" s="9">
        <f t="shared" si="5"/>
        <v>5</v>
      </c>
      <c r="H10" s="931" t="str">
        <f t="shared" si="2"/>
        <v>-</v>
      </c>
      <c r="I10" s="931"/>
      <c r="J10" s="931"/>
      <c r="K10" s="11" t="str">
        <f t="shared" si="3"/>
        <v>-</v>
      </c>
    </row>
    <row r="11" spans="1:11" outlineLevel="1" x14ac:dyDescent="0.25">
      <c r="C11" s="9">
        <f t="shared" si="4"/>
        <v>6</v>
      </c>
      <c r="D11" s="234" t="str">
        <f t="shared" si="0"/>
        <v>-</v>
      </c>
      <c r="E11" s="10" t="str">
        <f t="shared" si="1"/>
        <v>-</v>
      </c>
      <c r="G11" s="9">
        <f t="shared" si="5"/>
        <v>6</v>
      </c>
      <c r="H11" s="931" t="str">
        <f t="shared" si="2"/>
        <v>-</v>
      </c>
      <c r="I11" s="931"/>
      <c r="J11" s="931"/>
      <c r="K11" s="11" t="str">
        <f t="shared" si="3"/>
        <v>-</v>
      </c>
    </row>
    <row r="12" spans="1:11" outlineLevel="1" x14ac:dyDescent="0.25">
      <c r="C12" s="9">
        <f t="shared" si="4"/>
        <v>7</v>
      </c>
      <c r="D12" s="234" t="str">
        <f t="shared" si="0"/>
        <v>-</v>
      </c>
      <c r="E12" s="10" t="str">
        <f t="shared" si="1"/>
        <v>-</v>
      </c>
      <c r="G12" s="9">
        <f t="shared" si="5"/>
        <v>7</v>
      </c>
      <c r="H12" s="931" t="str">
        <f t="shared" si="2"/>
        <v>-</v>
      </c>
      <c r="I12" s="931"/>
      <c r="J12" s="931"/>
      <c r="K12" s="11" t="str">
        <f t="shared" si="3"/>
        <v>-</v>
      </c>
    </row>
    <row r="13" spans="1:11" outlineLevel="1" x14ac:dyDescent="0.25">
      <c r="C13" s="9">
        <f t="shared" si="4"/>
        <v>8</v>
      </c>
      <c r="D13" s="234" t="str">
        <f t="shared" si="0"/>
        <v>-</v>
      </c>
      <c r="E13" s="10" t="str">
        <f t="shared" si="1"/>
        <v>-</v>
      </c>
      <c r="G13" s="9">
        <f t="shared" si="5"/>
        <v>8</v>
      </c>
      <c r="H13" s="931" t="str">
        <f t="shared" si="2"/>
        <v>-</v>
      </c>
      <c r="I13" s="931"/>
      <c r="J13" s="931"/>
      <c r="K13" s="11" t="str">
        <f t="shared" si="3"/>
        <v>-</v>
      </c>
    </row>
    <row r="14" spans="1:11" outlineLevel="1" x14ac:dyDescent="0.25">
      <c r="C14" s="9">
        <f t="shared" si="4"/>
        <v>9</v>
      </c>
      <c r="D14" s="234" t="str">
        <f t="shared" si="0"/>
        <v>-</v>
      </c>
      <c r="E14" s="10" t="str">
        <f t="shared" si="1"/>
        <v>-</v>
      </c>
      <c r="G14" s="9">
        <f t="shared" si="5"/>
        <v>9</v>
      </c>
      <c r="H14" s="931" t="str">
        <f t="shared" si="2"/>
        <v>-</v>
      </c>
      <c r="I14" s="931"/>
      <c r="J14" s="931"/>
      <c r="K14" s="11" t="str">
        <f t="shared" si="3"/>
        <v>-</v>
      </c>
    </row>
    <row r="15" spans="1:11" outlineLevel="1" x14ac:dyDescent="0.25">
      <c r="C15" s="9">
        <f t="shared" si="4"/>
        <v>10</v>
      </c>
      <c r="D15" s="234" t="str">
        <f t="shared" si="0"/>
        <v>-</v>
      </c>
      <c r="E15" s="10" t="str">
        <f t="shared" si="1"/>
        <v>-</v>
      </c>
      <c r="G15" s="9">
        <f t="shared" si="5"/>
        <v>10</v>
      </c>
      <c r="H15" s="931" t="str">
        <f t="shared" si="2"/>
        <v>-</v>
      </c>
      <c r="I15" s="931"/>
      <c r="J15" s="931"/>
      <c r="K15" s="11" t="str">
        <f t="shared" si="3"/>
        <v>-</v>
      </c>
    </row>
    <row r="16" spans="1:11" x14ac:dyDescent="0.25">
      <c r="C16" s="12"/>
      <c r="D16" s="235"/>
      <c r="E16" s="12"/>
      <c r="G16" s="12"/>
      <c r="H16" s="934"/>
      <c r="I16" s="934"/>
      <c r="J16" s="934"/>
      <c r="K16" s="12"/>
    </row>
    <row r="18" spans="3:16" x14ac:dyDescent="0.25">
      <c r="F18" s="371" t="str">
        <f>VLOOKUP(F19,Производительность!$C$7:$AB$33,26,FALSE)</f>
        <v>Копейский машзавод</v>
      </c>
      <c r="G18" s="371" t="str">
        <f>VLOOKUP(G19,Производительность!$C$7:$AB$33,26,FALSE)</f>
        <v>нипигормаш</v>
      </c>
      <c r="H18" s="371" t="e">
        <f>VLOOKUP(H19,Производительность!$C$7:$AB$33,26,FALSE)</f>
        <v>#N/A</v>
      </c>
      <c r="I18" s="371" t="e">
        <f>VLOOKUP(I19,Производительность!$C$7:$AB$33,26,FALSE)</f>
        <v>#N/A</v>
      </c>
      <c r="J18" s="371" t="e">
        <f>VLOOKUP(J19,Производительность!$C$7:$AB$33,26,FALSE)</f>
        <v>#N/A</v>
      </c>
      <c r="K18" s="371" t="e">
        <f>VLOOKUP(K19,Производительность!$C$7:$AB$33,26,FALSE)</f>
        <v>#N/A</v>
      </c>
      <c r="L18" s="371" t="e">
        <f>VLOOKUP(L19,Производительность!$C$7:$AB$33,26,FALSE)</f>
        <v>#N/A</v>
      </c>
      <c r="M18" s="371" t="e">
        <f>VLOOKUP(M19,Производительность!$C$7:$AB$33,26,FALSE)</f>
        <v>#N/A</v>
      </c>
      <c r="N18" s="371" t="e">
        <f>VLOOKUP(N19,Производительность!$C$7:$AB$33,26,FALSE)</f>
        <v>#N/A</v>
      </c>
      <c r="O18" s="371" t="e">
        <f>VLOOKUP(O19,Производительность!$C$7:$AB$33,26,FALSE)</f>
        <v>#N/A</v>
      </c>
    </row>
    <row r="19" spans="3:16" x14ac:dyDescent="0.25">
      <c r="C19" s="236" t="s">
        <v>3</v>
      </c>
      <c r="D19" s="236" t="s">
        <v>6</v>
      </c>
      <c r="E19" s="236" t="s">
        <v>7</v>
      </c>
      <c r="F19" s="236" t="str">
        <f>Производительность!C23</f>
        <v>БС-215</v>
      </c>
      <c r="G19" s="236" t="str">
        <f>Производительность!C29</f>
        <v>СБ-55Д-01</v>
      </c>
      <c r="H19" s="236"/>
      <c r="I19" s="236"/>
      <c r="J19" s="236"/>
      <c r="K19" s="236"/>
      <c r="L19" s="236"/>
      <c r="M19" s="236"/>
      <c r="N19" s="236"/>
      <c r="O19" s="236"/>
      <c r="P19" s="236" t="s">
        <v>8</v>
      </c>
    </row>
    <row r="20" spans="3:16" x14ac:dyDescent="0.25">
      <c r="C20" s="203">
        <v>1</v>
      </c>
      <c r="D20" s="272" t="s">
        <v>319</v>
      </c>
      <c r="E20" s="15" t="s">
        <v>20</v>
      </c>
      <c r="F20" s="321">
        <f>SUMIFS('W час'!$E$19:$AF$19,'W час'!$E$4:$AF$4,F$19)*1000</f>
        <v>215</v>
      </c>
      <c r="G20" s="321">
        <f>SUMIFS('W час'!$E$19:$AF$19,'W час'!$E$4:$AF$4,G$19)*1000</f>
        <v>215</v>
      </c>
      <c r="H20" s="321">
        <f>SUMIFS('W час'!$E$19:$AF$19,'W час'!$E$4:$AF$4,H$19)*1000</f>
        <v>0</v>
      </c>
      <c r="I20" s="321">
        <f>SUMIFS('W час'!$E$19:$AF$19,'W час'!$E$4:$AF$4,I$19)*1000</f>
        <v>0</v>
      </c>
      <c r="J20" s="321">
        <f>SUMIFS('W час'!$E$19:$AF$19,'W час'!$E$4:$AF$4,J$19)*1000</f>
        <v>0</v>
      </c>
      <c r="K20" s="321">
        <f>SUMIFS('W час'!$E$19:$AF$19,'W час'!$E$4:$AF$4,K$19)*1000</f>
        <v>0</v>
      </c>
      <c r="L20" s="321">
        <f>SUMIFS('W час'!$E$19:$AF$19,'W час'!$E$4:$AF$4,L$19)*1000</f>
        <v>0</v>
      </c>
      <c r="M20" s="321">
        <f>SUMIFS('W час'!$E$19:$AF$19,'W час'!$E$4:$AF$4,M$19)*1000</f>
        <v>0</v>
      </c>
      <c r="N20" s="321">
        <f>SUMIFS('W час'!$E$19:$AF$19,'W час'!$E$4:$AF$4,N$19)*1000</f>
        <v>0</v>
      </c>
      <c r="O20" s="321">
        <f>SUMIFS('W час'!$E$19:$AF$19,'W час'!$E$4:$AF$4,O$19)*1000</f>
        <v>0</v>
      </c>
      <c r="P20" s="16"/>
    </row>
    <row r="21" spans="3:16" x14ac:dyDescent="0.25">
      <c r="C21" s="196">
        <f>MAX(C$20:C20)+1</f>
        <v>2</v>
      </c>
      <c r="D21" s="204" t="s">
        <v>210</v>
      </c>
      <c r="E21" s="205" t="s">
        <v>9</v>
      </c>
      <c r="F21" s="322">
        <f>HLOOKUP(F$19,'W час'!$E$4:$AF$5,2,FALSE)</f>
        <v>50</v>
      </c>
      <c r="G21" s="322">
        <f>HLOOKUP(G$19,'W час'!$E$4:$AF$5,2,FALSE)</f>
        <v>57.3</v>
      </c>
      <c r="H21" s="322" t="e">
        <f>HLOOKUP(H$19,'W час'!$E$4:$AF$5,2,FALSE)</f>
        <v>#N/A</v>
      </c>
      <c r="I21" s="322" t="e">
        <f>HLOOKUP(I$19,'W час'!$E$4:$AF$5,2,FALSE)</f>
        <v>#N/A</v>
      </c>
      <c r="J21" s="322" t="e">
        <f>HLOOKUP(J$19,'W час'!$E$4:$AF$5,2,FALSE)</f>
        <v>#N/A</v>
      </c>
      <c r="K21" s="322" t="e">
        <f>HLOOKUP(K$19,'W час'!$E$4:$AF$5,2,FALSE)</f>
        <v>#N/A</v>
      </c>
      <c r="L21" s="322" t="e">
        <f>HLOOKUP(L$19,'W час'!$E$4:$AF$5,2,FALSE)</f>
        <v>#N/A</v>
      </c>
      <c r="M21" s="322" t="e">
        <f>HLOOKUP(M$19,'W час'!$E$4:$AF$5,2,FALSE)</f>
        <v>#N/A</v>
      </c>
      <c r="N21" s="322" t="e">
        <f>HLOOKUP(N$19,'W час'!$E$4:$AF$5,2,FALSE)</f>
        <v>#N/A</v>
      </c>
      <c r="O21" s="322" t="e">
        <f>HLOOKUP(O$19,'W час'!$E$4:$AF$5,2,FALSE)</f>
        <v>#N/A</v>
      </c>
      <c r="P21" s="16"/>
    </row>
    <row r="22" spans="3:16" x14ac:dyDescent="0.25">
      <c r="C22" s="196">
        <f>MAX(C$20:C21)+1</f>
        <v>3</v>
      </c>
      <c r="D22" s="17" t="s">
        <v>320</v>
      </c>
      <c r="E22" s="18" t="s">
        <v>121</v>
      </c>
      <c r="F22" s="323">
        <f>SUMIFS('W час'!$E$22:$AF$22,'W час'!$E$4:$AF$4,F$19)</f>
        <v>134</v>
      </c>
      <c r="G22" s="323">
        <f>SUMIFS('W час'!$E$22:$AF$22,'W час'!$E$4:$AF$4,G$19)</f>
        <v>167</v>
      </c>
      <c r="H22" s="323">
        <f>SUMIFS('W час'!$E$22:$AF$22,'W час'!$E$4:$AF$4,H$19)</f>
        <v>0</v>
      </c>
      <c r="I22" s="323">
        <f>SUMIFS('W час'!$E$22:$AF$22,'W час'!$E$4:$AF$4,I$19)</f>
        <v>0</v>
      </c>
      <c r="J22" s="323">
        <f>SUMIFS('W час'!$E$22:$AF$22,'W час'!$E$4:$AF$4,J$19)</f>
        <v>0</v>
      </c>
      <c r="K22" s="323">
        <f>SUMIFS('W час'!$E$22:$AF$22,'W час'!$E$4:$AF$4,K$19)</f>
        <v>0</v>
      </c>
      <c r="L22" s="323">
        <f>SUMIFS('W час'!$E$22:$AF$22,'W час'!$E$4:$AF$4,L$19)</f>
        <v>0</v>
      </c>
      <c r="M22" s="323">
        <f>SUMIFS('W час'!$E$22:$AF$22,'W час'!$E$4:$AF$4,M$19)</f>
        <v>0</v>
      </c>
      <c r="N22" s="323">
        <f>SUMIFS('W час'!$E$22:$AF$22,'W час'!$E$4:$AF$4,N$19)</f>
        <v>0</v>
      </c>
      <c r="O22" s="323">
        <f>SUMIFS('W час'!$E$22:$AF$22,'W час'!$E$4:$AF$4,O$19)</f>
        <v>0</v>
      </c>
      <c r="P22" s="17"/>
    </row>
    <row r="23" spans="3:16" x14ac:dyDescent="0.25">
      <c r="C23" s="196">
        <f>MAX(C$20:C22)+1</f>
        <v>4</v>
      </c>
      <c r="D23" s="17" t="s">
        <v>11</v>
      </c>
      <c r="E23" s="18" t="s">
        <v>12</v>
      </c>
      <c r="F23" s="9">
        <f>SUMIFS(Производительность!$Y$7:$Y$34,Производительность!$C$7:$C$34,F$19)</f>
        <v>12</v>
      </c>
      <c r="G23" s="9">
        <f>SUMIFS(Производительность!$Y$7:$Y$34,Производительность!$C$7:$C$34,G$19)</f>
        <v>0</v>
      </c>
      <c r="H23" s="9">
        <f>SUMIFS(Производительность!$Y$7:$Y$34,Производительность!$C$7:$C$34,H$19)</f>
        <v>0</v>
      </c>
      <c r="I23" s="9">
        <f>SUMIFS(Производительность!$Y$7:$Y$34,Производительность!$C$7:$C$34,I$19)</f>
        <v>0</v>
      </c>
      <c r="J23" s="9">
        <f>SUMIFS(Производительность!$Y$7:$Y$34,Производительность!$C$7:$C$34,J$19)</f>
        <v>0</v>
      </c>
      <c r="K23" s="9">
        <f>SUMIFS(Производительность!$Y$7:$Y$34,Производительность!$C$7:$C$34,K$19)</f>
        <v>0</v>
      </c>
      <c r="L23" s="9">
        <f>SUMIFS(Производительность!$Y$7:$Y$34,Производительность!$C$7:$C$34,L$19)</f>
        <v>0</v>
      </c>
      <c r="M23" s="9">
        <f>SUMIFS(Производительность!$Y$7:$Y$34,Производительность!$C$7:$C$34,M$19)</f>
        <v>0</v>
      </c>
      <c r="N23" s="9">
        <f>SUMIFS(Производительность!$Y$7:$Y$34,Производительность!$C$7:$C$34,N$19)</f>
        <v>0</v>
      </c>
      <c r="O23" s="9">
        <f>SUMIFS(Производительность!$Y$7:$Y$34,Производительность!$C$7:$C$34,O$19)</f>
        <v>0</v>
      </c>
      <c r="P23" s="17"/>
    </row>
    <row r="24" spans="3:16" x14ac:dyDescent="0.25">
      <c r="C24" s="196">
        <f>MAX(C$20:C23)+1</f>
        <v>5</v>
      </c>
      <c r="D24" s="19" t="s">
        <v>13</v>
      </c>
      <c r="E24" s="20" t="s">
        <v>14</v>
      </c>
      <c r="F24" s="21">
        <f>SUMIFS(Производительность!$Z$7:$Z$34,Производительность!$C$7:$C$34,F$19)</f>
        <v>0.91206874682902084</v>
      </c>
      <c r="G24" s="21" t="e">
        <f>SUMIFS(Производительность!$Z$7:$Z$34,Производительность!$C$7:$C$34,G$19)</f>
        <v>#DIV/0!</v>
      </c>
      <c r="H24" s="21">
        <f>SUMIFS(Производительность!$Z$7:$Z$34,Производительность!$C$7:$C$34,H$19)</f>
        <v>0</v>
      </c>
      <c r="I24" s="21">
        <f>SUMIFS(Производительность!$Z$7:$Z$34,Производительность!$C$7:$C$34,I$19)</f>
        <v>0</v>
      </c>
      <c r="J24" s="21">
        <f>SUMIFS(Производительность!$Z$7:$Z$34,Производительность!$C$7:$C$34,J$19)</f>
        <v>0</v>
      </c>
      <c r="K24" s="21">
        <f>SUMIFS(Производительность!$Z$7:$Z$34,Производительность!$C$7:$C$34,K$19)</f>
        <v>0</v>
      </c>
      <c r="L24" s="21">
        <f>SUMIFS(Производительность!$Z$7:$Z$34,Производительность!$C$7:$C$34,L$19)</f>
        <v>0</v>
      </c>
      <c r="M24" s="21">
        <f>SUMIFS(Производительность!$Z$7:$Z$34,Производительность!$C$7:$C$34,M$19)</f>
        <v>0</v>
      </c>
      <c r="N24" s="21">
        <f>SUMIFS(Производительность!$Z$7:$Z$34,Производительность!$C$7:$C$34,N$19)</f>
        <v>0</v>
      </c>
      <c r="O24" s="21">
        <f>SUMIFS(Производительность!$Z$7:$Z$34,Производительность!$C$7:$C$34,O$19)</f>
        <v>0</v>
      </c>
      <c r="P24" s="17"/>
    </row>
    <row r="25" spans="3:16" x14ac:dyDescent="0.25">
      <c r="C25" s="196">
        <f>MAX(C$20:C24)+1</f>
        <v>6</v>
      </c>
      <c r="D25" s="22" t="s">
        <v>15</v>
      </c>
      <c r="E25" s="23" t="str">
        <f>E24</f>
        <v>коэфф.</v>
      </c>
      <c r="F25" s="24">
        <f>SUMIFS(Производительность!$E$7:$E$34,Производительность!$C$7:$C$34,F$19)</f>
        <v>0.92538685946220189</v>
      </c>
      <c r="G25" s="24">
        <f>SUMIFS(Производительность!$E$7:$E$34,Производительность!$C$7:$C$34,G$19)</f>
        <v>0</v>
      </c>
      <c r="H25" s="24">
        <f>SUMIFS(Производительность!$E$7:$E$34,Производительность!$C$7:$C$34,H$19)</f>
        <v>0</v>
      </c>
      <c r="I25" s="24">
        <f>SUMIFS(Производительность!$E$7:$E$34,Производительность!$C$7:$C$34,I$19)</f>
        <v>0</v>
      </c>
      <c r="J25" s="24">
        <f>SUMIFS(Производительность!$E$7:$E$34,Производительность!$C$7:$C$34,J$19)</f>
        <v>0</v>
      </c>
      <c r="K25" s="24">
        <f>SUMIFS(Производительность!$E$7:$E$34,Производительность!$C$7:$C$34,K$19)</f>
        <v>0</v>
      </c>
      <c r="L25" s="24">
        <f>SUMIFS(Производительность!$E$7:$E$34,Производительность!$C$7:$C$34,L$19)</f>
        <v>0</v>
      </c>
      <c r="M25" s="24">
        <f>SUMIFS(Производительность!$E$7:$E$34,Производительность!$C$7:$C$34,M$19)</f>
        <v>0</v>
      </c>
      <c r="N25" s="24">
        <f>SUMIFS(Производительность!$E$7:$E$34,Производительность!$C$7:$C$34,N$19)</f>
        <v>0</v>
      </c>
      <c r="O25" s="24">
        <f>SUMIFS(Производительность!$E$7:$E$34,Производительность!$C$7:$C$34,O$19)</f>
        <v>0</v>
      </c>
      <c r="P25" s="17"/>
    </row>
    <row r="26" spans="3:16" x14ac:dyDescent="0.25">
      <c r="C26" s="196">
        <f>MAX(C$20:C25)+1</f>
        <v>7</v>
      </c>
      <c r="D26" s="17" t="s">
        <v>16</v>
      </c>
      <c r="E26" s="18" t="str">
        <f>E24</f>
        <v>коэфф.</v>
      </c>
      <c r="F26" s="25">
        <f>SUMIFS(Производительность!$Z$115:$Z$142,Производительность!$C$115:$C$142,F$19)</f>
        <v>0.74115622866279474</v>
      </c>
      <c r="G26" s="25" t="e">
        <f>SUMIFS(Производительность!$Z$115:$Z$142,Производительность!$C$115:$C$142,G$19)</f>
        <v>#DIV/0!</v>
      </c>
      <c r="H26" s="25">
        <f>SUMIFS(Производительность!$Z$115:$Z$142,Производительность!$C$115:$C$142,H$19)</f>
        <v>0</v>
      </c>
      <c r="I26" s="25">
        <f>SUMIFS(Производительность!$Z$115:$Z$142,Производительность!$C$115:$C$142,I$19)</f>
        <v>0</v>
      </c>
      <c r="J26" s="25">
        <f>SUMIFS(Производительность!$Z$115:$Z$142,Производительность!$C$115:$C$142,J$19)</f>
        <v>0</v>
      </c>
      <c r="K26" s="25">
        <f>SUMIFS(Производительность!$Z$115:$Z$142,Производительность!$C$115:$C$142,K$19)</f>
        <v>0</v>
      </c>
      <c r="L26" s="25">
        <f>SUMIFS(Производительность!$Z$115:$Z$142,Производительность!$C$115:$C$142,L$19)</f>
        <v>0</v>
      </c>
      <c r="M26" s="25">
        <f>SUMIFS(Производительность!$Z$115:$Z$142,Производительность!$C$115:$C$142,M$19)</f>
        <v>0</v>
      </c>
      <c r="N26" s="25">
        <f>SUMIFS(Производительность!$Z$115:$Z$142,Производительность!$C$115:$C$142,N$19)</f>
        <v>0</v>
      </c>
      <c r="O26" s="25">
        <f>SUMIFS(Производительность!$Z$115:$Z$142,Производительность!$C$115:$C$142,O$19)</f>
        <v>0</v>
      </c>
      <c r="P26" s="17"/>
    </row>
    <row r="27" spans="3:16" x14ac:dyDescent="0.25">
      <c r="C27" s="196">
        <f>MAX(C$20:C26)+1</f>
        <v>8</v>
      </c>
      <c r="D27" s="19" t="s">
        <v>117</v>
      </c>
      <c r="E27" s="20" t="s">
        <v>209</v>
      </c>
      <c r="F27" s="26">
        <f>SUMIFS(Производительность!$E$169:$E$196,Производительность!$C$169:$C$196,F$19)</f>
        <v>20.204182156797504</v>
      </c>
      <c r="G27" s="26">
        <f>SUMIFS(Производительность!$E$169:$E$196,Производительность!$C$169:$C$196,G$19)</f>
        <v>22.953284543322201</v>
      </c>
      <c r="H27" s="26">
        <f>SUMIFS(Производительность!$E$169:$E$196,Производительность!$C$169:$C$196,H$19)</f>
        <v>0</v>
      </c>
      <c r="I27" s="26">
        <f>SUMIFS(Производительность!$E$169:$E$196,Производительность!$C$169:$C$196,I$19)</f>
        <v>0</v>
      </c>
      <c r="J27" s="26">
        <f>SUMIFS(Производительность!$E$169:$E$196,Производительность!$C$169:$C$196,J$19)</f>
        <v>0</v>
      </c>
      <c r="K27" s="26">
        <f>SUMIFS(Производительность!$E$169:$E$196,Производительность!$C$169:$C$196,K$19)</f>
        <v>0</v>
      </c>
      <c r="L27" s="26">
        <f>SUMIFS(Производительность!$E$169:$E$196,Производительность!$C$169:$C$196,L$19)</f>
        <v>0</v>
      </c>
      <c r="M27" s="26">
        <f>SUMIFS(Производительность!$E$169:$E$196,Производительность!$C$169:$C$196,M$19)</f>
        <v>0</v>
      </c>
      <c r="N27" s="26">
        <f>SUMIFS(Производительность!$E$169:$E$196,Производительность!$C$169:$C$196,N$19)</f>
        <v>0</v>
      </c>
      <c r="O27" s="26">
        <f>SUMIFS(Производительность!$E$169:$E$196,Производительность!$C$169:$C$196,O$19)</f>
        <v>0</v>
      </c>
      <c r="P27" s="17"/>
    </row>
    <row r="28" spans="3:16" x14ac:dyDescent="0.25">
      <c r="C28" s="196">
        <f>MAX(C$20:C27)+1</f>
        <v>9</v>
      </c>
      <c r="D28" s="935" t="s">
        <v>17</v>
      </c>
      <c r="E28" s="20" t="s">
        <v>171</v>
      </c>
      <c r="F28" s="27">
        <f>SUMIFS(Производительность!$Z$196:$Z$223,Производительность!$C$196:$C$223,F$19)</f>
        <v>131.17622974680197</v>
      </c>
      <c r="G28" s="27" t="e">
        <f>SUMIFS(Производительность!$Z$196:$Z$223,Производительность!$C$196:$C$223,G$19)</f>
        <v>#DIV/0!</v>
      </c>
      <c r="H28" s="27">
        <f>SUMIFS(Производительность!$Z$196:$Z$223,Производительность!$C$196:$C$223,H$19)</f>
        <v>0</v>
      </c>
      <c r="I28" s="27">
        <f>SUMIFS(Производительность!$Z$196:$Z$223,Производительность!$C$196:$C$223,I$19)</f>
        <v>0</v>
      </c>
      <c r="J28" s="27">
        <f>SUMIFS(Производительность!$Z$196:$Z$223,Производительность!$C$196:$C$223,J$19)</f>
        <v>0</v>
      </c>
      <c r="K28" s="27">
        <f>SUMIFS(Производительность!$Z$196:$Z$223,Производительность!$C$196:$C$223,K$19)</f>
        <v>0</v>
      </c>
      <c r="L28" s="27">
        <f>SUMIFS(Производительность!$Z$196:$Z$223,Производительность!$C$196:$C$223,L$19)</f>
        <v>0</v>
      </c>
      <c r="M28" s="27">
        <f>SUMIFS(Производительность!$Z$196:$Z$223,Производительность!$C$196:$C$223,M$19)</f>
        <v>0</v>
      </c>
      <c r="N28" s="27">
        <f>SUMIFS(Производительность!$Z$196:$Z$223,Производительность!$C$196:$C$223,N$19)</f>
        <v>0</v>
      </c>
      <c r="O28" s="27">
        <f>SUMIFS(Производительность!$Z$196:$Z$223,Производительность!$C$196:$C$223,O$19)</f>
        <v>0</v>
      </c>
      <c r="P28" s="17"/>
    </row>
    <row r="29" spans="3:16" x14ac:dyDescent="0.25">
      <c r="C29" s="196">
        <f>MAX(C$20:C28)+1</f>
        <v>10</v>
      </c>
      <c r="D29" s="936"/>
      <c r="E29" s="20" t="s">
        <v>175</v>
      </c>
      <c r="F29" s="27">
        <f>SUMIFS(Производительность!$Z$250:$Z$277,Производительность!$C$250:$C$277,F$19)</f>
        <v>2766.0545316531734</v>
      </c>
      <c r="G29" s="27" t="e">
        <f>SUMIFS(Производительность!$Z$250:$Z$277,Производительность!$C$250:$C$277,G$19)</f>
        <v>#DIV/0!</v>
      </c>
      <c r="H29" s="27">
        <f>SUMIFS(Производительность!$Z$250:$Z$277,Производительность!$C$250:$C$277,H$19)</f>
        <v>0</v>
      </c>
      <c r="I29" s="27">
        <f>SUMIFS(Производительность!$Z$250:$Z$277,Производительность!$C$250:$C$277,I$19)</f>
        <v>0</v>
      </c>
      <c r="J29" s="27">
        <f>SUMIFS(Производительность!$Z$250:$Z$277,Производительность!$C$250:$C$277,J$19)</f>
        <v>0</v>
      </c>
      <c r="K29" s="27">
        <f>SUMIFS(Производительность!$Z$250:$Z$277,Производительность!$C$250:$C$277,K$19)</f>
        <v>0</v>
      </c>
      <c r="L29" s="27">
        <f>SUMIFS(Производительность!$Z$250:$Z$277,Производительность!$C$250:$C$277,L$19)</f>
        <v>0</v>
      </c>
      <c r="M29" s="27">
        <f>SUMIFS(Производительность!$Z$250:$Z$277,Производительность!$C$250:$C$277,M$19)</f>
        <v>0</v>
      </c>
      <c r="N29" s="27">
        <f>SUMIFS(Производительность!$Z$250:$Z$277,Производительность!$C$250:$C$277,N$19)</f>
        <v>0</v>
      </c>
      <c r="O29" s="27">
        <f>SUMIFS(Производительность!$Z$250:$Z$277,Производительность!$C$250:$C$277,O$19)</f>
        <v>0</v>
      </c>
      <c r="P29" s="17"/>
    </row>
    <row r="30" spans="3:16" x14ac:dyDescent="0.25">
      <c r="C30" s="196">
        <f>MAX(C$20:C29)+1</f>
        <v>11</v>
      </c>
      <c r="D30" s="932" t="s">
        <v>18</v>
      </c>
      <c r="E30" s="23" t="str">
        <f>E28</f>
        <v>тыс. п. м</v>
      </c>
      <c r="F30" s="28">
        <f>SUMIFS(Производительность!$E$196:$E$223,Производительность!$C$196:$C$223,F$19)</f>
        <v>133.09167724858054</v>
      </c>
      <c r="G30" s="28">
        <f>SUMIFS(Производительность!$E$196:$E$223,Производительность!$C$196:$C$223,G$19)</f>
        <v>0</v>
      </c>
      <c r="H30" s="28">
        <f>SUMIFS(Производительность!$E$196:$E$223,Производительность!$C$196:$C$223,H$19)</f>
        <v>0</v>
      </c>
      <c r="I30" s="28">
        <f>SUMIFS(Производительность!$E$196:$E$223,Производительность!$C$196:$C$223,I$19)</f>
        <v>0</v>
      </c>
      <c r="J30" s="28">
        <f>SUMIFS(Производительность!$E$196:$E$223,Производительность!$C$196:$C$223,J$19)</f>
        <v>0</v>
      </c>
      <c r="K30" s="28">
        <f>SUMIFS(Производительность!$E$196:$E$223,Производительность!$C$196:$C$223,K$19)</f>
        <v>0</v>
      </c>
      <c r="L30" s="28">
        <f>SUMIFS(Производительность!$E$196:$E$223,Производительность!$C$196:$C$223,L$19)</f>
        <v>0</v>
      </c>
      <c r="M30" s="28">
        <f>SUMIFS(Производительность!$E$196:$E$223,Производительность!$C$196:$C$223,M$19)</f>
        <v>0</v>
      </c>
      <c r="N30" s="28">
        <f>SUMIFS(Производительность!$E$196:$E$223,Производительность!$C$196:$C$223,N$19)</f>
        <v>0</v>
      </c>
      <c r="O30" s="28">
        <f>SUMIFS(Производительность!$E$196:$E$223,Производительность!$C$196:$C$223,O$19)</f>
        <v>0</v>
      </c>
      <c r="P30" s="17"/>
    </row>
    <row r="31" spans="3:16" x14ac:dyDescent="0.25">
      <c r="C31" s="196">
        <f>MAX(C$20:C30)+1</f>
        <v>12</v>
      </c>
      <c r="D31" s="933"/>
      <c r="E31" s="23" t="str">
        <f>E29</f>
        <v>тыс. м3</v>
      </c>
      <c r="F31" s="28">
        <f>SUMIFS(Производительность!$E$250:$E$277,Производительность!$C$250:$C$277,F$19)</f>
        <v>2540.6226836649844</v>
      </c>
      <c r="G31" s="28">
        <f>SUMIFS(Производительность!$E$250:$E$277,Производительность!$C$250:$C$277,G$19)</f>
        <v>0</v>
      </c>
      <c r="H31" s="28">
        <f>SUMIFS(Производительность!$E$250:$E$277,Производительность!$C$250:$C$277,H$19)</f>
        <v>0</v>
      </c>
      <c r="I31" s="28">
        <f>SUMIFS(Производительность!$E$250:$E$277,Производительность!$C$250:$C$277,I$19)</f>
        <v>0</v>
      </c>
      <c r="J31" s="28">
        <f>SUMIFS(Производительность!$E$250:$E$277,Производительность!$C$250:$C$277,J$19)</f>
        <v>0</v>
      </c>
      <c r="K31" s="28">
        <f>SUMIFS(Производительность!$E$250:$E$277,Производительность!$C$250:$C$277,K$19)</f>
        <v>0</v>
      </c>
      <c r="L31" s="28">
        <f>SUMIFS(Производительность!$E$250:$E$277,Производительность!$C$250:$C$277,L$19)</f>
        <v>0</v>
      </c>
      <c r="M31" s="28">
        <f>SUMIFS(Производительность!$E$250:$E$277,Производительность!$C$250:$C$277,M$19)</f>
        <v>0</v>
      </c>
      <c r="N31" s="28">
        <f>SUMIFS(Производительность!$E$250:$E$277,Производительность!$C$250:$C$277,N$19)</f>
        <v>0</v>
      </c>
      <c r="O31" s="28">
        <f>SUMIFS(Производительность!$E$250:$E$277,Производительность!$C$250:$C$277,O$19)</f>
        <v>0</v>
      </c>
      <c r="P31" s="17"/>
    </row>
    <row r="32" spans="3:16" x14ac:dyDescent="0.25">
      <c r="C32" s="196"/>
      <c r="D32" s="17"/>
      <c r="E32" s="1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17"/>
    </row>
    <row r="33" spans="1:18" x14ac:dyDescent="0.25">
      <c r="C33" s="196">
        <f>MAX(C$20:C32)+1</f>
        <v>13</v>
      </c>
      <c r="D33" s="19" t="s">
        <v>208</v>
      </c>
      <c r="E33" s="20" t="s">
        <v>21</v>
      </c>
      <c r="F33" s="27">
        <f>F37+F38</f>
        <v>0</v>
      </c>
      <c r="G33" s="27">
        <f t="shared" ref="G33:O33" si="6">G37+G38</f>
        <v>0</v>
      </c>
      <c r="H33" s="27">
        <f t="shared" si="6"/>
        <v>0</v>
      </c>
      <c r="I33" s="27">
        <f t="shared" si="6"/>
        <v>0</v>
      </c>
      <c r="J33" s="27">
        <f t="shared" si="6"/>
        <v>0</v>
      </c>
      <c r="K33" s="27">
        <f t="shared" si="6"/>
        <v>0</v>
      </c>
      <c r="L33" s="27">
        <f t="shared" si="6"/>
        <v>0</v>
      </c>
      <c r="M33" s="27">
        <f t="shared" si="6"/>
        <v>0</v>
      </c>
      <c r="N33" s="27">
        <f t="shared" si="6"/>
        <v>0</v>
      </c>
      <c r="O33" s="27">
        <f t="shared" si="6"/>
        <v>0</v>
      </c>
      <c r="P33" s="17"/>
      <c r="R33" s="52" t="str">
        <f>'Свод_250-270_диз'!R33</f>
        <v>курс ЦБ на хх.07.2026</v>
      </c>
    </row>
    <row r="34" spans="1:18" x14ac:dyDescent="0.25">
      <c r="A34" s="2" t="s">
        <v>19</v>
      </c>
      <c r="C34" s="196">
        <f>MAX(C$20:C33)+1</f>
        <v>14</v>
      </c>
      <c r="D34" s="33" t="s">
        <v>22</v>
      </c>
      <c r="E34" s="18" t="s">
        <v>23</v>
      </c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17"/>
      <c r="R34" s="146">
        <f>'Свод_250-270_диз'!R34</f>
        <v>80</v>
      </c>
    </row>
    <row r="35" spans="1:18" x14ac:dyDescent="0.25">
      <c r="A35" s="2" t="s">
        <v>19</v>
      </c>
      <c r="C35" s="196">
        <f>MAX(C$20:C34)+1</f>
        <v>15</v>
      </c>
      <c r="D35" s="33" t="s">
        <v>181</v>
      </c>
      <c r="E35" s="18" t="s">
        <v>182</v>
      </c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17"/>
      <c r="R35" s="146">
        <f>'Свод_250-270_диз'!R35</f>
        <v>90</v>
      </c>
    </row>
    <row r="36" spans="1:18" x14ac:dyDescent="0.25">
      <c r="A36" s="2" t="s">
        <v>19</v>
      </c>
      <c r="C36" s="196">
        <f>MAX(C$20:C35)+1</f>
        <v>16</v>
      </c>
      <c r="D36" s="33" t="s">
        <v>24</v>
      </c>
      <c r="E36" s="18" t="s">
        <v>25</v>
      </c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17"/>
      <c r="R36" s="146">
        <f>'Свод_250-270_диз'!R36</f>
        <v>11</v>
      </c>
    </row>
    <row r="37" spans="1:18" x14ac:dyDescent="0.25">
      <c r="A37" s="2" t="s">
        <v>19</v>
      </c>
      <c r="C37" s="196">
        <f>MAX(C$20:C36)+1</f>
        <v>17</v>
      </c>
      <c r="D37" s="33" t="s">
        <v>26</v>
      </c>
      <c r="E37" s="18" t="str">
        <f>E33</f>
        <v>тыс. руб.</v>
      </c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17"/>
    </row>
    <row r="38" spans="1:18" x14ac:dyDescent="0.25">
      <c r="A38" s="2" t="s">
        <v>19</v>
      </c>
      <c r="C38" s="196">
        <f>MAX(C$20:C37)+1</f>
        <v>18</v>
      </c>
      <c r="D38" s="33" t="s">
        <v>27</v>
      </c>
      <c r="E38" s="18" t="str">
        <f>E33</f>
        <v>тыс. руб.</v>
      </c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17"/>
    </row>
    <row r="39" spans="1:18" x14ac:dyDescent="0.25">
      <c r="C39" s="196"/>
      <c r="D39" s="17"/>
      <c r="E39" s="1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17"/>
    </row>
    <row r="40" spans="1:18" x14ac:dyDescent="0.25">
      <c r="A40" s="2" t="s">
        <v>19</v>
      </c>
      <c r="C40" s="196">
        <f>MAX(C$20:C39)+1</f>
        <v>19</v>
      </c>
      <c r="D40" s="19" t="s">
        <v>28</v>
      </c>
      <c r="E40" s="20" t="s">
        <v>29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17"/>
    </row>
    <row r="41" spans="1:18" x14ac:dyDescent="0.25">
      <c r="C41" s="196">
        <f>MAX(C$20:C40)+1</f>
        <v>20</v>
      </c>
      <c r="D41" s="19" t="s">
        <v>30</v>
      </c>
      <c r="E41" s="20" t="str">
        <f>E33</f>
        <v>тыс. руб.</v>
      </c>
      <c r="F41" s="27">
        <f>F40*F33</f>
        <v>0</v>
      </c>
      <c r="G41" s="27">
        <f t="shared" ref="G41:O41" si="7">G40*G33</f>
        <v>0</v>
      </c>
      <c r="H41" s="27">
        <f t="shared" si="7"/>
        <v>0</v>
      </c>
      <c r="I41" s="27">
        <f t="shared" si="7"/>
        <v>0</v>
      </c>
      <c r="J41" s="27">
        <f t="shared" si="7"/>
        <v>0</v>
      </c>
      <c r="K41" s="27">
        <f t="shared" si="7"/>
        <v>0</v>
      </c>
      <c r="L41" s="27">
        <f t="shared" si="7"/>
        <v>0</v>
      </c>
      <c r="M41" s="27">
        <f t="shared" si="7"/>
        <v>0</v>
      </c>
      <c r="N41" s="27">
        <f t="shared" si="7"/>
        <v>0</v>
      </c>
      <c r="O41" s="27">
        <f t="shared" si="7"/>
        <v>0</v>
      </c>
      <c r="P41" s="17"/>
    </row>
    <row r="42" spans="1:18" x14ac:dyDescent="0.25">
      <c r="C42" s="196"/>
      <c r="D42" s="17"/>
      <c r="E42" s="1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17"/>
    </row>
    <row r="43" spans="1:18" ht="27.2" x14ac:dyDescent="0.25">
      <c r="C43" s="196">
        <f>MAX(C$20:C42)+1</f>
        <v>21</v>
      </c>
      <c r="D43" s="17" t="s">
        <v>31</v>
      </c>
      <c r="E43" s="18" t="s">
        <v>21</v>
      </c>
      <c r="F43" s="31">
        <f>SUMIFS(ТСО_215_диз!$AB:$AB,ТСО_215_диз!$A:$A,F$19)</f>
        <v>17547.479439999999</v>
      </c>
      <c r="G43" s="31" t="e">
        <f>SUMIFS(ТСО_215_диз!$AB:$AB,ТСО_215_диз!$A:$A,G$19)</f>
        <v>#DIV/0!</v>
      </c>
      <c r="H43" s="31">
        <f>SUMIFS(ТСО_215_диз!$AB:$AB,ТСО_215_диз!$A:$A,H$19)</f>
        <v>0</v>
      </c>
      <c r="I43" s="31">
        <f>SUMIFS(ТСО_215_диз!$AB:$AB,ТСО_215_диз!$A:$A,I$19)</f>
        <v>0</v>
      </c>
      <c r="J43" s="31">
        <f>SUMIFS(ТСО_215_диз!$AB:$AB,ТСО_215_диз!$A:$A,J$19)</f>
        <v>0</v>
      </c>
      <c r="K43" s="31">
        <f>SUMIFS(ТСО_215_диз!$AB:$AB,ТСО_215_диз!$A:$A,K$19)</f>
        <v>0</v>
      </c>
      <c r="L43" s="31">
        <f>SUMIFS(ТСО_215_диз!$AB:$AB,ТСО_215_диз!$A:$A,L$19)</f>
        <v>0</v>
      </c>
      <c r="M43" s="31">
        <f>SUMIFS(ТСО_215_диз!$AB:$AB,ТСО_215_диз!$A:$A,M$19)</f>
        <v>0</v>
      </c>
      <c r="N43" s="31">
        <f>SUMIFS(ТСО_215_диз!$AB:$AB,ТСО_215_диз!$A:$A,N$19)</f>
        <v>0</v>
      </c>
      <c r="O43" s="31">
        <f>SUMIFS(ТСО_215_диз!$AB:$AB,ТСО_215_диз!$A:$A,O$19)</f>
        <v>0</v>
      </c>
      <c r="P43" s="17"/>
    </row>
    <row r="44" spans="1:18" x14ac:dyDescent="0.25">
      <c r="C44" s="196"/>
      <c r="D44" s="17"/>
      <c r="E44" s="1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17"/>
    </row>
    <row r="45" spans="1:18" x14ac:dyDescent="0.25">
      <c r="A45" s="36" t="str">
        <f>ТСО_215_диз!B87</f>
        <v>Аннуитет операционный</v>
      </c>
      <c r="C45" s="196">
        <f>MAX(C$20:C44)+1</f>
        <v>22</v>
      </c>
      <c r="D45" s="19" t="str">
        <f>ТСО_215_диз!D87</f>
        <v>Аннуитет операционный</v>
      </c>
      <c r="E45" s="20" t="str">
        <f>ТСО_215_диз!E87</f>
        <v>руб/м3</v>
      </c>
      <c r="F45" s="37">
        <f>SUMIFS(ТСО_215_диз!$AC:$AC,ТСО_215_диз!$A:$A,F$19,ТСО_215_диз!$B:$B,$A45)</f>
        <v>13.256544983441632</v>
      </c>
      <c r="G45" s="37" t="e">
        <f>SUMIFS(ТСО_215_диз!$AC:$AC,ТСО_215_диз!$A:$A,G$19,ТСО_215_диз!$B:$B,$A45)</f>
        <v>#DIV/0!</v>
      </c>
      <c r="H45" s="37">
        <f>SUMIFS(ТСО_215_диз!$AC:$AC,ТСО_215_диз!$A:$A,H$19,ТСО_215_диз!$B:$B,$A45)</f>
        <v>0</v>
      </c>
      <c r="I45" s="37">
        <f>SUMIFS(ТСО_215_диз!$AC:$AC,ТСО_215_диз!$A:$A,I$19,ТСО_215_диз!$B:$B,$A45)</f>
        <v>0</v>
      </c>
      <c r="J45" s="37">
        <f>SUMIFS(ТСО_215_диз!$AC:$AC,ТСО_215_диз!$A:$A,J$19,ТСО_215_диз!$B:$B,$A45)</f>
        <v>0</v>
      </c>
      <c r="K45" s="37">
        <f>SUMIFS(ТСО_215_диз!$AC:$AC,ТСО_215_диз!$A:$A,K$19,ТСО_215_диз!$B:$B,$A45)</f>
        <v>0</v>
      </c>
      <c r="L45" s="37">
        <f>SUMIFS(ТСО_215_диз!$AC:$AC,ТСО_215_диз!$A:$A,L$19,ТСО_215_диз!$B:$B,$A45)</f>
        <v>0</v>
      </c>
      <c r="M45" s="37">
        <f>SUMIFS(ТСО_215_диз!$AC:$AC,ТСО_215_диз!$A:$A,M$19,ТСО_215_диз!$B:$B,$A45)</f>
        <v>0</v>
      </c>
      <c r="N45" s="37">
        <f>SUMIFS(ТСО_215_диз!$AC:$AC,ТСО_215_диз!$A:$A,N$19,ТСО_215_диз!$B:$B,$A45)</f>
        <v>0</v>
      </c>
      <c r="O45" s="37">
        <f>SUMIFS(ТСО_215_диз!$AC:$AC,ТСО_215_диз!$A:$A,O$19,ТСО_215_диз!$B:$B,$A45)</f>
        <v>0</v>
      </c>
      <c r="P45" s="17"/>
    </row>
    <row r="46" spans="1:18" x14ac:dyDescent="0.25">
      <c r="A46" s="36" t="str">
        <f>ТСО_215_диз!B88</f>
        <v>ТО, ТР, ППР</v>
      </c>
      <c r="C46" s="196">
        <f>MAX(C$20:C45)+1</f>
        <v>23</v>
      </c>
      <c r="D46" s="33" t="str">
        <f>ТСО_215_диз!D88</f>
        <v>ТО, ТР, ППР</v>
      </c>
      <c r="E46" s="18" t="str">
        <f>ТСО_215_диз!E88</f>
        <v>руб/м3</v>
      </c>
      <c r="F46" s="38">
        <f>SUMIFS(ТСО_215_диз!$AC:$AC,ТСО_215_диз!$A:$A,F$19,ТСО_215_диз!$B:$B,$A46)</f>
        <v>6.0955477123926896</v>
      </c>
      <c r="G46" s="38" t="e">
        <f>SUMIFS(ТСО_215_диз!$AC:$AC,ТСО_215_диз!$A:$A,G$19,ТСО_215_диз!$B:$B,$A46)</f>
        <v>#DIV/0!</v>
      </c>
      <c r="H46" s="38">
        <f>SUMIFS(ТСО_215_диз!$AC:$AC,ТСО_215_диз!$A:$A,H$19,ТСО_215_диз!$B:$B,$A46)</f>
        <v>0</v>
      </c>
      <c r="I46" s="38">
        <f>SUMIFS(ТСО_215_диз!$AC:$AC,ТСО_215_диз!$A:$A,I$19,ТСО_215_диз!$B:$B,$A46)</f>
        <v>0</v>
      </c>
      <c r="J46" s="38">
        <f>SUMIFS(ТСО_215_диз!$AC:$AC,ТСО_215_диз!$A:$A,J$19,ТСО_215_диз!$B:$B,$A46)</f>
        <v>0</v>
      </c>
      <c r="K46" s="38">
        <f>SUMIFS(ТСО_215_диз!$AC:$AC,ТСО_215_диз!$A:$A,K$19,ТСО_215_диз!$B:$B,$A46)</f>
        <v>0</v>
      </c>
      <c r="L46" s="38">
        <f>SUMIFS(ТСО_215_диз!$AC:$AC,ТСО_215_диз!$A:$A,L$19,ТСО_215_диз!$B:$B,$A46)</f>
        <v>0</v>
      </c>
      <c r="M46" s="38">
        <f>SUMIFS(ТСО_215_диз!$AC:$AC,ТСО_215_диз!$A:$A,M$19,ТСО_215_диз!$B:$B,$A46)</f>
        <v>0</v>
      </c>
      <c r="N46" s="38">
        <f>SUMIFS(ТСО_215_диз!$AC:$AC,ТСО_215_диз!$A:$A,N$19,ТСО_215_диз!$B:$B,$A46)</f>
        <v>0</v>
      </c>
      <c r="O46" s="38">
        <f>SUMIFS(ТСО_215_диз!$AC:$AC,ТСО_215_диз!$A:$A,O$19,ТСО_215_диз!$B:$B,$A46)</f>
        <v>0</v>
      </c>
      <c r="P46" s="17"/>
    </row>
    <row r="47" spans="1:18" x14ac:dyDescent="0.25">
      <c r="A47" s="36" t="str">
        <f>ТСО_215_диз!B89</f>
        <v>Смазочные</v>
      </c>
      <c r="C47" s="196">
        <f>MAX(C$20:C46)+1</f>
        <v>24</v>
      </c>
      <c r="D47" s="33" t="str">
        <f>ТСО_215_диз!D89</f>
        <v>Смазочные</v>
      </c>
      <c r="E47" s="18" t="str">
        <f>ТСО_215_диз!E89</f>
        <v>руб/м3</v>
      </c>
      <c r="F47" s="38">
        <f>SUMIFS(ТСО_215_диз!$AC:$AC,ТСО_215_диз!$A:$A,F$19,ТСО_215_диз!$B:$B,$A47)</f>
        <v>0</v>
      </c>
      <c r="G47" s="38" t="e">
        <f>SUMIFS(ТСО_215_диз!$AC:$AC,ТСО_215_диз!$A:$A,G$19,ТСО_215_диз!$B:$B,$A47)</f>
        <v>#DIV/0!</v>
      </c>
      <c r="H47" s="38">
        <f>SUMIFS(ТСО_215_диз!$AC:$AC,ТСО_215_диз!$A:$A,H$19,ТСО_215_диз!$B:$B,$A47)</f>
        <v>0</v>
      </c>
      <c r="I47" s="38">
        <f>SUMIFS(ТСО_215_диз!$AC:$AC,ТСО_215_диз!$A:$A,I$19,ТСО_215_диз!$B:$B,$A47)</f>
        <v>0</v>
      </c>
      <c r="J47" s="38">
        <f>SUMIFS(ТСО_215_диз!$AC:$AC,ТСО_215_диз!$A:$A,J$19,ТСО_215_диз!$B:$B,$A47)</f>
        <v>0</v>
      </c>
      <c r="K47" s="38">
        <f>SUMIFS(ТСО_215_диз!$AC:$AC,ТСО_215_диз!$A:$A,K$19,ТСО_215_диз!$B:$B,$A47)</f>
        <v>0</v>
      </c>
      <c r="L47" s="38">
        <f>SUMIFS(ТСО_215_диз!$AC:$AC,ТСО_215_диз!$A:$A,L$19,ТСО_215_диз!$B:$B,$A47)</f>
        <v>0</v>
      </c>
      <c r="M47" s="38">
        <f>SUMIFS(ТСО_215_диз!$AC:$AC,ТСО_215_диз!$A:$A,M$19,ТСО_215_диз!$B:$B,$A47)</f>
        <v>0</v>
      </c>
      <c r="N47" s="38">
        <f>SUMIFS(ТСО_215_диз!$AC:$AC,ТСО_215_диз!$A:$A,N$19,ТСО_215_диз!$B:$B,$A47)</f>
        <v>0</v>
      </c>
      <c r="O47" s="38">
        <f>SUMIFS(ТСО_215_диз!$AC:$AC,ТСО_215_диз!$A:$A,O$19,ТСО_215_диз!$B:$B,$A47)</f>
        <v>0</v>
      </c>
      <c r="P47" s="17"/>
    </row>
    <row r="48" spans="1:18" x14ac:dyDescent="0.25">
      <c r="A48" s="36" t="str">
        <f>ТСО_215_диз!B90</f>
        <v>Долота</v>
      </c>
      <c r="C48" s="196">
        <f>MAX(C$20:C47)+1</f>
        <v>25</v>
      </c>
      <c r="D48" s="33" t="str">
        <f>ТСО_215_диз!D90</f>
        <v>Долота</v>
      </c>
      <c r="E48" s="18" t="str">
        <f>ТСО_215_диз!E90</f>
        <v>руб/м3</v>
      </c>
      <c r="F48" s="38">
        <f>SUMIFS(ТСО_215_диз!$AC:$AC,ТСО_215_диз!$A:$A,F$19,ТСО_215_диз!$B:$B,$A48)</f>
        <v>0</v>
      </c>
      <c r="G48" s="38" t="e">
        <f>SUMIFS(ТСО_215_диз!$AC:$AC,ТСО_215_диз!$A:$A,G$19,ТСО_215_диз!$B:$B,$A48)</f>
        <v>#DIV/0!</v>
      </c>
      <c r="H48" s="38">
        <f>SUMIFS(ТСО_215_диз!$AC:$AC,ТСО_215_диз!$A:$A,H$19,ТСО_215_диз!$B:$B,$A48)</f>
        <v>0</v>
      </c>
      <c r="I48" s="38">
        <f>SUMIFS(ТСО_215_диз!$AC:$AC,ТСО_215_диз!$A:$A,I$19,ТСО_215_диз!$B:$B,$A48)</f>
        <v>0</v>
      </c>
      <c r="J48" s="38">
        <f>SUMIFS(ТСО_215_диз!$AC:$AC,ТСО_215_диз!$A:$A,J$19,ТСО_215_диз!$B:$B,$A48)</f>
        <v>0</v>
      </c>
      <c r="K48" s="38">
        <f>SUMIFS(ТСО_215_диз!$AC:$AC,ТСО_215_диз!$A:$A,K$19,ТСО_215_диз!$B:$B,$A48)</f>
        <v>0</v>
      </c>
      <c r="L48" s="38">
        <f>SUMIFS(ТСО_215_диз!$AC:$AC,ТСО_215_диз!$A:$A,L$19,ТСО_215_диз!$B:$B,$A48)</f>
        <v>0</v>
      </c>
      <c r="M48" s="38">
        <f>SUMIFS(ТСО_215_диз!$AC:$AC,ТСО_215_диз!$A:$A,M$19,ТСО_215_диз!$B:$B,$A48)</f>
        <v>0</v>
      </c>
      <c r="N48" s="38">
        <f>SUMIFS(ТСО_215_диз!$AC:$AC,ТСО_215_диз!$A:$A,N$19,ТСО_215_диз!$B:$B,$A48)</f>
        <v>0</v>
      </c>
      <c r="O48" s="38">
        <f>SUMIFS(ТСО_215_диз!$AC:$AC,ТСО_215_диз!$A:$A,O$19,ТСО_215_диз!$B:$B,$A48)</f>
        <v>0</v>
      </c>
      <c r="P48" s="17"/>
    </row>
    <row r="49" spans="1:16" x14ac:dyDescent="0.25">
      <c r="A49" s="36" t="str">
        <f>ТСО_215_диз!B91</f>
        <v>Штанги буровые</v>
      </c>
      <c r="C49" s="196">
        <f>MAX(C$20:C48)+1</f>
        <v>26</v>
      </c>
      <c r="D49" s="33" t="str">
        <f>ТСО_215_диз!D91</f>
        <v>Штанги буровые</v>
      </c>
      <c r="E49" s="18" t="str">
        <f>ТСО_215_диз!E91</f>
        <v>руб/м3</v>
      </c>
      <c r="F49" s="38">
        <f>SUMIFS(ТСО_215_диз!$AC:$AC,ТСО_215_диз!$A:$A,F$19,ТСО_215_диз!$B:$B,$A49)</f>
        <v>0</v>
      </c>
      <c r="G49" s="38" t="e">
        <f>SUMIFS(ТСО_215_диз!$AC:$AC,ТСО_215_диз!$A:$A,G$19,ТСО_215_диз!$B:$B,$A49)</f>
        <v>#DIV/0!</v>
      </c>
      <c r="H49" s="38">
        <f>SUMIFS(ТСО_215_диз!$AC:$AC,ТСО_215_диз!$A:$A,H$19,ТСО_215_диз!$B:$B,$A49)</f>
        <v>0</v>
      </c>
      <c r="I49" s="38">
        <f>SUMIFS(ТСО_215_диз!$AC:$AC,ТСО_215_диз!$A:$A,I$19,ТСО_215_диз!$B:$B,$A49)</f>
        <v>0</v>
      </c>
      <c r="J49" s="38">
        <f>SUMIFS(ТСО_215_диз!$AC:$AC,ТСО_215_диз!$A:$A,J$19,ТСО_215_диз!$B:$B,$A49)</f>
        <v>0</v>
      </c>
      <c r="K49" s="38">
        <f>SUMIFS(ТСО_215_диз!$AC:$AC,ТСО_215_диз!$A:$A,K$19,ТСО_215_диз!$B:$B,$A49)</f>
        <v>0</v>
      </c>
      <c r="L49" s="38">
        <f>SUMIFS(ТСО_215_диз!$AC:$AC,ТСО_215_диз!$A:$A,L$19,ТСО_215_диз!$B:$B,$A49)</f>
        <v>0</v>
      </c>
      <c r="M49" s="38">
        <f>SUMIFS(ТСО_215_диз!$AC:$AC,ТСО_215_диз!$A:$A,M$19,ТСО_215_диз!$B:$B,$A49)</f>
        <v>0</v>
      </c>
      <c r="N49" s="38">
        <f>SUMIFS(ТСО_215_диз!$AC:$AC,ТСО_215_диз!$A:$A,N$19,ТСО_215_диз!$B:$B,$A49)</f>
        <v>0</v>
      </c>
      <c r="O49" s="38">
        <f>SUMIFS(ТСО_215_диз!$AC:$AC,ТСО_215_диз!$A:$A,O$19,ТСО_215_диз!$B:$B,$A49)</f>
        <v>0</v>
      </c>
      <c r="P49" s="17"/>
    </row>
    <row r="50" spans="1:16" x14ac:dyDescent="0.25">
      <c r="A50" s="36" t="str">
        <f>ТСО_215_диз!B92</f>
        <v>Расходники</v>
      </c>
      <c r="C50" s="196">
        <f>MAX(C$20:C49)+1</f>
        <v>27</v>
      </c>
      <c r="D50" s="33" t="str">
        <f>ТСО_215_диз!D92</f>
        <v>Расходники</v>
      </c>
      <c r="E50" s="18" t="str">
        <f>ТСО_215_диз!E92</f>
        <v>руб/м3</v>
      </c>
      <c r="F50" s="38">
        <f>SUMIFS(ТСО_215_диз!$AC:$AC,ТСО_215_диз!$A:$A,F$19,ТСО_215_диз!$B:$B,$A50)</f>
        <v>0</v>
      </c>
      <c r="G50" s="38" t="e">
        <f>SUMIFS(ТСО_215_диз!$AC:$AC,ТСО_215_диз!$A:$A,G$19,ТСО_215_диз!$B:$B,$A50)</f>
        <v>#DIV/0!</v>
      </c>
      <c r="H50" s="38">
        <f>SUMIFS(ТСО_215_диз!$AC:$AC,ТСО_215_диз!$A:$A,H$19,ТСО_215_диз!$B:$B,$A50)</f>
        <v>0</v>
      </c>
      <c r="I50" s="38">
        <f>SUMIFS(ТСО_215_диз!$AC:$AC,ТСО_215_диз!$A:$A,I$19,ТСО_215_диз!$B:$B,$A50)</f>
        <v>0</v>
      </c>
      <c r="J50" s="38">
        <f>SUMIFS(ТСО_215_диз!$AC:$AC,ТСО_215_диз!$A:$A,J$19,ТСО_215_диз!$B:$B,$A50)</f>
        <v>0</v>
      </c>
      <c r="K50" s="38">
        <f>SUMIFS(ТСО_215_диз!$AC:$AC,ТСО_215_диз!$A:$A,K$19,ТСО_215_диз!$B:$B,$A50)</f>
        <v>0</v>
      </c>
      <c r="L50" s="38">
        <f>SUMIFS(ТСО_215_диз!$AC:$AC,ТСО_215_диз!$A:$A,L$19,ТСО_215_диз!$B:$B,$A50)</f>
        <v>0</v>
      </c>
      <c r="M50" s="38">
        <f>SUMIFS(ТСО_215_диз!$AC:$AC,ТСО_215_диз!$A:$A,M$19,ТСО_215_диз!$B:$B,$A50)</f>
        <v>0</v>
      </c>
      <c r="N50" s="38">
        <f>SUMIFS(ТСО_215_диз!$AC:$AC,ТСО_215_диз!$A:$A,N$19,ТСО_215_диз!$B:$B,$A50)</f>
        <v>0</v>
      </c>
      <c r="O50" s="38">
        <f>SUMIFS(ТСО_215_диз!$AC:$AC,ТСО_215_диз!$A:$A,O$19,ТСО_215_диз!$B:$B,$A50)</f>
        <v>0</v>
      </c>
      <c r="P50" s="17"/>
    </row>
    <row r="51" spans="1:16" x14ac:dyDescent="0.25">
      <c r="A51" s="36" t="str">
        <f>ТСО_215_диз!B93</f>
        <v>Топливо/Электроэнергия</v>
      </c>
      <c r="C51" s="196">
        <f>MAX(C$20:C50)+1</f>
        <v>28</v>
      </c>
      <c r="D51" s="33" t="str">
        <f>ТСО_215_диз!D93</f>
        <v>Топливо/Электроэнергия</v>
      </c>
      <c r="E51" s="18" t="str">
        <f>ТСО_215_диз!E93</f>
        <v>руб/м3</v>
      </c>
      <c r="F51" s="38">
        <f>SUMIFS(ТСО_215_диз!$AC:$AC,ТСО_215_диз!$A:$A,F$19,ТСО_215_диз!$B:$B,$A51)</f>
        <v>5.900231573222948</v>
      </c>
      <c r="G51" s="38" t="e">
        <f>SUMIFS(ТСО_215_диз!$AC:$AC,ТСО_215_диз!$A:$A,G$19,ТСО_215_диз!$B:$B,$A51)</f>
        <v>#DIV/0!</v>
      </c>
      <c r="H51" s="38">
        <f>SUMIFS(ТСО_215_диз!$AC:$AC,ТСО_215_диз!$A:$A,H$19,ТСО_215_диз!$B:$B,$A51)</f>
        <v>0</v>
      </c>
      <c r="I51" s="38">
        <f>SUMIFS(ТСО_215_диз!$AC:$AC,ТСО_215_диз!$A:$A,I$19,ТСО_215_диз!$B:$B,$A51)</f>
        <v>0</v>
      </c>
      <c r="J51" s="38">
        <f>SUMIFS(ТСО_215_диз!$AC:$AC,ТСО_215_диз!$A:$A,J$19,ТСО_215_диз!$B:$B,$A51)</f>
        <v>0</v>
      </c>
      <c r="K51" s="38">
        <f>SUMIFS(ТСО_215_диз!$AC:$AC,ТСО_215_диз!$A:$A,K$19,ТСО_215_диз!$B:$B,$A51)</f>
        <v>0</v>
      </c>
      <c r="L51" s="38">
        <f>SUMIFS(ТСО_215_диз!$AC:$AC,ТСО_215_диз!$A:$A,L$19,ТСО_215_диз!$B:$B,$A51)</f>
        <v>0</v>
      </c>
      <c r="M51" s="38">
        <f>SUMIFS(ТСО_215_диз!$AC:$AC,ТСО_215_диз!$A:$A,M$19,ТСО_215_диз!$B:$B,$A51)</f>
        <v>0</v>
      </c>
      <c r="N51" s="38">
        <f>SUMIFS(ТСО_215_диз!$AC:$AC,ТСО_215_диз!$A:$A,N$19,ТСО_215_диз!$B:$B,$A51)</f>
        <v>0</v>
      </c>
      <c r="O51" s="38">
        <f>SUMIFS(ТСО_215_диз!$AC:$AC,ТСО_215_диз!$A:$A,O$19,ТСО_215_диз!$B:$B,$A51)</f>
        <v>0</v>
      </c>
      <c r="P51" s="17"/>
    </row>
    <row r="52" spans="1:16" x14ac:dyDescent="0.25">
      <c r="A52" s="36" t="str">
        <f>ТСО_215_диз!B94</f>
        <v>Затраты на персонал</v>
      </c>
      <c r="C52" s="196">
        <f>MAX(C$20:C51)+1</f>
        <v>29</v>
      </c>
      <c r="D52" s="33" t="str">
        <f>ТСО_215_диз!D94</f>
        <v>Затраты на персонал</v>
      </c>
      <c r="E52" s="18" t="str">
        <f>ТСО_215_диз!E94</f>
        <v>руб/м3</v>
      </c>
      <c r="F52" s="38">
        <f>SUMIFS(ТСО_215_диз!$AC:$AC,ТСО_215_диз!$A:$A,F$19,ТСО_215_диз!$B:$B,$A52)</f>
        <v>5.6796140256398742</v>
      </c>
      <c r="G52" s="38" t="e">
        <f>SUMIFS(ТСО_215_диз!$AC:$AC,ТСО_215_диз!$A:$A,G$19,ТСО_215_диз!$B:$B,$A52)</f>
        <v>#DIV/0!</v>
      </c>
      <c r="H52" s="38">
        <f>SUMIFS(ТСО_215_диз!$AC:$AC,ТСО_215_диз!$A:$A,H$19,ТСО_215_диз!$B:$B,$A52)</f>
        <v>0</v>
      </c>
      <c r="I52" s="38">
        <f>SUMIFS(ТСО_215_диз!$AC:$AC,ТСО_215_диз!$A:$A,I$19,ТСО_215_диз!$B:$B,$A52)</f>
        <v>0</v>
      </c>
      <c r="J52" s="38">
        <f>SUMIFS(ТСО_215_диз!$AC:$AC,ТСО_215_диз!$A:$A,J$19,ТСО_215_диз!$B:$B,$A52)</f>
        <v>0</v>
      </c>
      <c r="K52" s="38">
        <f>SUMIFS(ТСО_215_диз!$AC:$AC,ТСО_215_диз!$A:$A,K$19,ТСО_215_диз!$B:$B,$A52)</f>
        <v>0</v>
      </c>
      <c r="L52" s="38">
        <f>SUMIFS(ТСО_215_диз!$AC:$AC,ТСО_215_диз!$A:$A,L$19,ТСО_215_диз!$B:$B,$A52)</f>
        <v>0</v>
      </c>
      <c r="M52" s="38">
        <f>SUMIFS(ТСО_215_диз!$AC:$AC,ТСО_215_диз!$A:$A,M$19,ТСО_215_диз!$B:$B,$A52)</f>
        <v>0</v>
      </c>
      <c r="N52" s="38">
        <f>SUMIFS(ТСО_215_диз!$AC:$AC,ТСО_215_диз!$A:$A,N$19,ТСО_215_диз!$B:$B,$A52)</f>
        <v>0</v>
      </c>
      <c r="O52" s="38">
        <f>SUMIFS(ТСО_215_диз!$AC:$AC,ТСО_215_диз!$A:$A,O$19,ТСО_215_диз!$B:$B,$A52)</f>
        <v>0</v>
      </c>
      <c r="P52" s="17"/>
    </row>
    <row r="53" spans="1:16" x14ac:dyDescent="0.25">
      <c r="A53" s="36" t="str">
        <f>ТСО_215_диз!B95</f>
        <v>Транспортный налог</v>
      </c>
      <c r="C53" s="196">
        <f>MAX(C$20:C52)+1</f>
        <v>30</v>
      </c>
      <c r="D53" s="33" t="str">
        <f>ТСО_215_диз!D95</f>
        <v>Транспортный налог</v>
      </c>
      <c r="E53" s="18" t="str">
        <f>ТСО_215_диз!E95</f>
        <v>руб/м3</v>
      </c>
      <c r="F53" s="38">
        <f>SUMIFS(ТСО_215_диз!$AC:$AC,ТСО_215_диз!$A:$A,F$19,ТСО_215_диз!$B:$B,$A53)</f>
        <v>0</v>
      </c>
      <c r="G53" s="38" t="e">
        <f>SUMIFS(ТСО_215_диз!$AC:$AC,ТСО_215_диз!$A:$A,G$19,ТСО_215_диз!$B:$B,$A53)</f>
        <v>#DIV/0!</v>
      </c>
      <c r="H53" s="38">
        <f>SUMIFS(ТСО_215_диз!$AC:$AC,ТСО_215_диз!$A:$A,H$19,ТСО_215_диз!$B:$B,$A53)</f>
        <v>0</v>
      </c>
      <c r="I53" s="38">
        <f>SUMIFS(ТСО_215_диз!$AC:$AC,ТСО_215_диз!$A:$A,I$19,ТСО_215_диз!$B:$B,$A53)</f>
        <v>0</v>
      </c>
      <c r="J53" s="38">
        <f>SUMIFS(ТСО_215_диз!$AC:$AC,ТСО_215_диз!$A:$A,J$19,ТСО_215_диз!$B:$B,$A53)</f>
        <v>0</v>
      </c>
      <c r="K53" s="38">
        <f>SUMIFS(ТСО_215_диз!$AC:$AC,ТСО_215_диз!$A:$A,K$19,ТСО_215_диз!$B:$B,$A53)</f>
        <v>0</v>
      </c>
      <c r="L53" s="38">
        <f>SUMIFS(ТСО_215_диз!$AC:$AC,ТСО_215_диз!$A:$A,L$19,ТСО_215_диз!$B:$B,$A53)</f>
        <v>0</v>
      </c>
      <c r="M53" s="38">
        <f>SUMIFS(ТСО_215_диз!$AC:$AC,ТСО_215_диз!$A:$A,M$19,ТСО_215_диз!$B:$B,$A53)</f>
        <v>0</v>
      </c>
      <c r="N53" s="38">
        <f>SUMIFS(ТСО_215_диз!$AC:$AC,ТСО_215_диз!$A:$A,N$19,ТСО_215_диз!$B:$B,$A53)</f>
        <v>0</v>
      </c>
      <c r="O53" s="38">
        <f>SUMIFS(ТСО_215_диз!$AC:$AC,ТСО_215_диз!$A:$A,O$19,ТСО_215_диз!$B:$B,$A53)</f>
        <v>0</v>
      </c>
      <c r="P53" s="17"/>
    </row>
    <row r="54" spans="1:16" x14ac:dyDescent="0.25">
      <c r="A54" s="36" t="str">
        <f>ТСО_215_диз!B96</f>
        <v>Налог на прибыль</v>
      </c>
      <c r="C54" s="196">
        <f>MAX(C$20:C53)+1</f>
        <v>31</v>
      </c>
      <c r="D54" s="33" t="str">
        <f>ТСО_215_диз!D96</f>
        <v>Налог на прибыль</v>
      </c>
      <c r="E54" s="18" t="str">
        <f>ТСО_215_диз!E96</f>
        <v>руб/м3</v>
      </c>
      <c r="F54" s="38">
        <f>SUMIFS(ТСО_215_диз!$AC:$AC,ТСО_215_диз!$A:$A,F$19,ТСО_215_диз!$B:$B,$A54)</f>
        <v>-4.4188483278138779</v>
      </c>
      <c r="G54" s="38" t="e">
        <f>SUMIFS(ТСО_215_диз!$AC:$AC,ТСО_215_диз!$A:$A,G$19,ТСО_215_диз!$B:$B,$A54)</f>
        <v>#DIV/0!</v>
      </c>
      <c r="H54" s="38">
        <f>SUMIFS(ТСО_215_диз!$AC:$AC,ТСО_215_диз!$A:$A,H$19,ТСО_215_диз!$B:$B,$A54)</f>
        <v>0</v>
      </c>
      <c r="I54" s="38">
        <f>SUMIFS(ТСО_215_диз!$AC:$AC,ТСО_215_диз!$A:$A,I$19,ТСО_215_диз!$B:$B,$A54)</f>
        <v>0</v>
      </c>
      <c r="J54" s="38">
        <f>SUMIFS(ТСО_215_диз!$AC:$AC,ТСО_215_диз!$A:$A,J$19,ТСО_215_диз!$B:$B,$A54)</f>
        <v>0</v>
      </c>
      <c r="K54" s="38">
        <f>SUMIFS(ТСО_215_диз!$AC:$AC,ТСО_215_диз!$A:$A,K$19,ТСО_215_диз!$B:$B,$A54)</f>
        <v>0</v>
      </c>
      <c r="L54" s="38">
        <f>SUMIFS(ТСО_215_диз!$AC:$AC,ТСО_215_диз!$A:$A,L$19,ТСО_215_диз!$B:$B,$A54)</f>
        <v>0</v>
      </c>
      <c r="M54" s="38">
        <f>SUMIFS(ТСО_215_диз!$AC:$AC,ТСО_215_диз!$A:$A,M$19,ТСО_215_диз!$B:$B,$A54)</f>
        <v>0</v>
      </c>
      <c r="N54" s="38">
        <f>SUMIFS(ТСО_215_диз!$AC:$AC,ТСО_215_диз!$A:$A,N$19,ТСО_215_диз!$B:$B,$A54)</f>
        <v>0</v>
      </c>
      <c r="O54" s="38">
        <f>SUMIFS(ТСО_215_диз!$AC:$AC,ТСО_215_диз!$A:$A,O$19,ТСО_215_диз!$B:$B,$A54)</f>
        <v>0</v>
      </c>
      <c r="P54" s="17"/>
    </row>
    <row r="55" spans="1:16" x14ac:dyDescent="0.25">
      <c r="A55" s="36" t="str">
        <f>ТСО_215_диз!B97</f>
        <v>Аннуитет инвестиционный</v>
      </c>
      <c r="C55" s="196">
        <f>MAX(C$20:C54)+1</f>
        <v>32</v>
      </c>
      <c r="D55" s="19" t="str">
        <f>ТСО_215_диз!D97</f>
        <v>Аннуитет инвестиционный</v>
      </c>
      <c r="E55" s="20" t="str">
        <f>ТСО_215_диз!E97</f>
        <v>руб/м3</v>
      </c>
      <c r="F55" s="37">
        <f>SUMIFS(ТСО_215_диз!$AC:$AC,ТСО_215_диз!$A:$A,F$19,ТСО_215_диз!$B:$B,$A55)</f>
        <v>0</v>
      </c>
      <c r="G55" s="37" t="e">
        <f>SUMIFS(ТСО_215_диз!$AC:$AC,ТСО_215_диз!$A:$A,G$19,ТСО_215_диз!$B:$B,$A55)</f>
        <v>#DIV/0!</v>
      </c>
      <c r="H55" s="37">
        <f>SUMIFS(ТСО_215_диз!$AC:$AC,ТСО_215_диз!$A:$A,H$19,ТСО_215_диз!$B:$B,$A55)</f>
        <v>0</v>
      </c>
      <c r="I55" s="37">
        <f>SUMIFS(ТСО_215_диз!$AC:$AC,ТСО_215_диз!$A:$A,I$19,ТСО_215_диз!$B:$B,$A55)</f>
        <v>0</v>
      </c>
      <c r="J55" s="37">
        <f>SUMIFS(ТСО_215_диз!$AC:$AC,ТСО_215_диз!$A:$A,J$19,ТСО_215_диз!$B:$B,$A55)</f>
        <v>0</v>
      </c>
      <c r="K55" s="37">
        <f>SUMIFS(ТСО_215_диз!$AC:$AC,ТСО_215_диз!$A:$A,K$19,ТСО_215_диз!$B:$B,$A55)</f>
        <v>0</v>
      </c>
      <c r="L55" s="37">
        <f>SUMIFS(ТСО_215_диз!$AC:$AC,ТСО_215_диз!$A:$A,L$19,ТСО_215_диз!$B:$B,$A55)</f>
        <v>0</v>
      </c>
      <c r="M55" s="37">
        <f>SUMIFS(ТСО_215_диз!$AC:$AC,ТСО_215_диз!$A:$A,M$19,ТСО_215_диз!$B:$B,$A55)</f>
        <v>0</v>
      </c>
      <c r="N55" s="37">
        <f>SUMIFS(ТСО_215_диз!$AC:$AC,ТСО_215_диз!$A:$A,N$19,ТСО_215_диз!$B:$B,$A55)</f>
        <v>0</v>
      </c>
      <c r="O55" s="37">
        <f>SUMIFS(ТСО_215_диз!$AC:$AC,ТСО_215_диз!$A:$A,O$19,ТСО_215_диз!$B:$B,$A55)</f>
        <v>0</v>
      </c>
      <c r="P55" s="17"/>
    </row>
    <row r="56" spans="1:16" ht="14.3" x14ac:dyDescent="0.25">
      <c r="A56" s="36" t="str">
        <f>ТСО_215_диз!B99</f>
        <v>Аннуитет общий</v>
      </c>
      <c r="C56" s="196">
        <f>MAX(C$20:C55)+1</f>
        <v>33</v>
      </c>
      <c r="D56" s="40" t="str">
        <f>ТСО_215_диз!D99</f>
        <v>Аннуитет общий</v>
      </c>
      <c r="E56" s="41" t="str">
        <f>ТСО_215_диз!E99</f>
        <v>руб/м3</v>
      </c>
      <c r="F56" s="42">
        <f>SUMIFS(ТСО_215_диз!$AC:$AC,ТСО_215_диз!$A:$A,F$19,ТСО_215_диз!$B:$B,$A56)</f>
        <v>13.256544983441632</v>
      </c>
      <c r="G56" s="42" t="e">
        <f>SUMIFS(ТСО_215_диз!$AC:$AC,ТСО_215_диз!$A:$A,G$19,ТСО_215_диз!$B:$B,$A56)</f>
        <v>#DIV/0!</v>
      </c>
      <c r="H56" s="42">
        <f>SUMIFS(ТСО_215_диз!$AC:$AC,ТСО_215_диз!$A:$A,H$19,ТСО_215_диз!$B:$B,$A56)</f>
        <v>0</v>
      </c>
      <c r="I56" s="42">
        <f>SUMIFS(ТСО_215_диз!$AC:$AC,ТСО_215_диз!$A:$A,I$19,ТСО_215_диз!$B:$B,$A56)</f>
        <v>0</v>
      </c>
      <c r="J56" s="42">
        <f>SUMIFS(ТСО_215_диз!$AC:$AC,ТСО_215_диз!$A:$A,J$19,ТСО_215_диз!$B:$B,$A56)</f>
        <v>0</v>
      </c>
      <c r="K56" s="42">
        <f>SUMIFS(ТСО_215_диз!$AC:$AC,ТСО_215_диз!$A:$A,K$19,ТСО_215_диз!$B:$B,$A56)</f>
        <v>0</v>
      </c>
      <c r="L56" s="42">
        <f>SUMIFS(ТСО_215_диз!$AC:$AC,ТСО_215_диз!$A:$A,L$19,ТСО_215_диз!$B:$B,$A56)</f>
        <v>0</v>
      </c>
      <c r="M56" s="42">
        <f>SUMIFS(ТСО_215_диз!$AC:$AC,ТСО_215_диз!$A:$A,M$19,ТСО_215_диз!$B:$B,$A56)</f>
        <v>0</v>
      </c>
      <c r="N56" s="42">
        <f>SUMIFS(ТСО_215_диз!$AC:$AC,ТСО_215_диз!$A:$A,N$19,ТСО_215_диз!$B:$B,$A56)</f>
        <v>0</v>
      </c>
      <c r="O56" s="42">
        <f>SUMIFS(ТСО_215_диз!$AC:$AC,ТСО_215_диз!$A:$A,O$19,ТСО_215_диз!$B:$B,$A56)</f>
        <v>0</v>
      </c>
      <c r="P56" s="17"/>
    </row>
    <row r="57" spans="1:16" x14ac:dyDescent="0.25">
      <c r="C57" s="202"/>
      <c r="D57" s="43"/>
      <c r="E57" s="44"/>
      <c r="F57" s="45">
        <f>F45-SUM(F46:F54)+F56-F45-F55</f>
        <v>-1.7763568394002505E-15</v>
      </c>
      <c r="G57" s="45" t="e">
        <f t="shared" ref="G57:O57" si="8">G45-SUM(G46:G54)+G56-G45-G55</f>
        <v>#DIV/0!</v>
      </c>
      <c r="H57" s="45">
        <f t="shared" si="8"/>
        <v>0</v>
      </c>
      <c r="I57" s="45">
        <f t="shared" si="8"/>
        <v>0</v>
      </c>
      <c r="J57" s="45">
        <f t="shared" si="8"/>
        <v>0</v>
      </c>
      <c r="K57" s="45">
        <f t="shared" si="8"/>
        <v>0</v>
      </c>
      <c r="L57" s="45">
        <f t="shared" si="8"/>
        <v>0</v>
      </c>
      <c r="M57" s="45">
        <f t="shared" si="8"/>
        <v>0</v>
      </c>
      <c r="N57" s="45">
        <f t="shared" si="8"/>
        <v>0</v>
      </c>
      <c r="O57" s="45">
        <f t="shared" si="8"/>
        <v>0</v>
      </c>
      <c r="P57" s="43"/>
    </row>
    <row r="58" spans="1:16" outlineLevel="1" x14ac:dyDescent="0.25">
      <c r="A58" s="2" t="s">
        <v>32</v>
      </c>
      <c r="C58" s="175"/>
      <c r="D58" s="2" t="str">
        <f>D56</f>
        <v>Аннуитет общий</v>
      </c>
      <c r="F58" s="46">
        <f>IF(F56&gt;0,F56,"нет")</f>
        <v>13.256544983441632</v>
      </c>
      <c r="G58" s="46" t="e">
        <f t="shared" ref="G58:O58" si="9">IF(G56&gt;0,G56,"нет")</f>
        <v>#DIV/0!</v>
      </c>
      <c r="H58" s="46" t="str">
        <f t="shared" si="9"/>
        <v>нет</v>
      </c>
      <c r="I58" s="46" t="str">
        <f t="shared" si="9"/>
        <v>нет</v>
      </c>
      <c r="J58" s="46" t="str">
        <f t="shared" si="9"/>
        <v>нет</v>
      </c>
      <c r="K58" s="46" t="str">
        <f t="shared" si="9"/>
        <v>нет</v>
      </c>
      <c r="L58" s="46" t="str">
        <f t="shared" si="9"/>
        <v>нет</v>
      </c>
      <c r="M58" s="46" t="str">
        <f t="shared" si="9"/>
        <v>нет</v>
      </c>
      <c r="N58" s="46" t="str">
        <f t="shared" si="9"/>
        <v>нет</v>
      </c>
      <c r="O58" s="46" t="str">
        <f t="shared" si="9"/>
        <v>нет</v>
      </c>
    </row>
    <row r="59" spans="1:16" outlineLevel="1" x14ac:dyDescent="0.25">
      <c r="A59" s="2" t="str">
        <f>A58</f>
        <v>для ранжирования</v>
      </c>
      <c r="C59" s="175"/>
      <c r="D59" s="2" t="str">
        <f>D33</f>
        <v>Стоимость станка</v>
      </c>
      <c r="F59" s="47" t="str">
        <f>IF(F33&gt;0,F33,"нет")</f>
        <v>нет</v>
      </c>
      <c r="G59" s="47" t="str">
        <f t="shared" ref="G59:O59" si="10">IF(G33&gt;0,G33,"нет")</f>
        <v>нет</v>
      </c>
      <c r="H59" s="47" t="str">
        <f t="shared" si="10"/>
        <v>нет</v>
      </c>
      <c r="I59" s="47" t="str">
        <f t="shared" si="10"/>
        <v>нет</v>
      </c>
      <c r="J59" s="47" t="str">
        <f t="shared" si="10"/>
        <v>нет</v>
      </c>
      <c r="K59" s="47" t="str">
        <f t="shared" si="10"/>
        <v>нет</v>
      </c>
      <c r="L59" s="47" t="str">
        <f t="shared" si="10"/>
        <v>нет</v>
      </c>
      <c r="M59" s="47" t="str">
        <f t="shared" si="10"/>
        <v>нет</v>
      </c>
      <c r="N59" s="47" t="str">
        <f t="shared" si="10"/>
        <v>нет</v>
      </c>
      <c r="O59" s="47" t="str">
        <f t="shared" si="10"/>
        <v>нет</v>
      </c>
    </row>
    <row r="60" spans="1:16" outlineLevel="1" x14ac:dyDescent="0.25">
      <c r="A60" s="2" t="str">
        <f>A58</f>
        <v>для ранжирования</v>
      </c>
      <c r="C60" s="175"/>
      <c r="F60" s="2" t="str">
        <f>F19</f>
        <v>БС-215</v>
      </c>
      <c r="G60" s="2" t="str">
        <f t="shared" ref="G60:O60" si="11">G19</f>
        <v>СБ-55Д-01</v>
      </c>
      <c r="H60" s="2">
        <f t="shared" si="11"/>
        <v>0</v>
      </c>
      <c r="I60" s="2">
        <f t="shared" si="11"/>
        <v>0</v>
      </c>
      <c r="J60" s="2">
        <f t="shared" si="11"/>
        <v>0</v>
      </c>
      <c r="K60" s="2">
        <f t="shared" si="11"/>
        <v>0</v>
      </c>
      <c r="L60" s="2">
        <f t="shared" si="11"/>
        <v>0</v>
      </c>
      <c r="M60" s="2">
        <f t="shared" si="11"/>
        <v>0</v>
      </c>
      <c r="N60" s="2">
        <f t="shared" si="11"/>
        <v>0</v>
      </c>
      <c r="O60" s="2">
        <f t="shared" si="11"/>
        <v>0</v>
      </c>
    </row>
  </sheetData>
  <mergeCells count="14">
    <mergeCell ref="D28:D29"/>
    <mergeCell ref="D30:D31"/>
    <mergeCell ref="H11:J11"/>
    <mergeCell ref="H12:J12"/>
    <mergeCell ref="H13:J13"/>
    <mergeCell ref="H14:J14"/>
    <mergeCell ref="H15:J15"/>
    <mergeCell ref="H16:J16"/>
    <mergeCell ref="H10:J10"/>
    <mergeCell ref="H5:J5"/>
    <mergeCell ref="H6:J6"/>
    <mergeCell ref="H7:J7"/>
    <mergeCell ref="H8:J8"/>
    <mergeCell ref="H9:J9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A7C3-F289-4FF4-BB99-F9C20C80B844}">
  <sheetPr>
    <tabColor rgb="FFFF0000"/>
  </sheetPr>
  <dimension ref="A1:AV223"/>
  <sheetViews>
    <sheetView showGridLines="0" zoomScaleNormal="100" workbookViewId="0">
      <selection activeCell="K206" sqref="K206"/>
    </sheetView>
  </sheetViews>
  <sheetFormatPr defaultRowHeight="13.6" outlineLevelRow="1" outlineLevelCol="1" x14ac:dyDescent="0.25"/>
  <cols>
    <col min="1" max="3" width="9.125" style="2" customWidth="1" outlineLevel="1"/>
    <col min="4" max="4" width="44.5" style="2" bestFit="1" customWidth="1"/>
    <col min="5" max="5" width="11.875" style="2" bestFit="1" customWidth="1"/>
    <col min="6" max="26" width="8.125" style="2" customWidth="1"/>
    <col min="27" max="27" width="9" style="2" customWidth="1" outlineLevel="1"/>
    <col min="28" max="28" width="19" style="2" customWidth="1" outlineLevel="1"/>
    <col min="29" max="29" width="9" style="2" customWidth="1" outlineLevel="1"/>
    <col min="30" max="16384" width="9" style="2"/>
  </cols>
  <sheetData>
    <row r="1" spans="1:29" outlineLevel="1" x14ac:dyDescent="0.25">
      <c r="A1" s="48" t="s">
        <v>33</v>
      </c>
      <c r="B1" s="48" t="s">
        <v>33</v>
      </c>
      <c r="C1" s="48" t="s">
        <v>33</v>
      </c>
      <c r="D1" s="49" t="s">
        <v>6</v>
      </c>
      <c r="E1" s="49" t="s">
        <v>7</v>
      </c>
      <c r="F1" s="50">
        <f>G1-1</f>
        <v>0</v>
      </c>
      <c r="G1" s="51">
        <v>1</v>
      </c>
      <c r="H1" s="50">
        <f>G1+1</f>
        <v>2</v>
      </c>
      <c r="I1" s="50">
        <f t="shared" ref="I1:Z2" si="0">H1+1</f>
        <v>3</v>
      </c>
      <c r="J1" s="50">
        <f t="shared" si="0"/>
        <v>4</v>
      </c>
      <c r="K1" s="50">
        <f t="shared" si="0"/>
        <v>5</v>
      </c>
      <c r="L1" s="50">
        <f t="shared" si="0"/>
        <v>6</v>
      </c>
      <c r="M1" s="50">
        <f t="shared" si="0"/>
        <v>7</v>
      </c>
      <c r="N1" s="50">
        <f t="shared" si="0"/>
        <v>8</v>
      </c>
      <c r="O1" s="50">
        <f t="shared" si="0"/>
        <v>9</v>
      </c>
      <c r="P1" s="50">
        <f t="shared" si="0"/>
        <v>10</v>
      </c>
      <c r="Q1" s="50">
        <f t="shared" si="0"/>
        <v>11</v>
      </c>
      <c r="R1" s="50">
        <f t="shared" si="0"/>
        <v>12</v>
      </c>
      <c r="S1" s="50">
        <f t="shared" si="0"/>
        <v>13</v>
      </c>
      <c r="T1" s="50">
        <f t="shared" si="0"/>
        <v>14</v>
      </c>
      <c r="U1" s="50">
        <f t="shared" si="0"/>
        <v>15</v>
      </c>
      <c r="V1" s="50">
        <f t="shared" si="0"/>
        <v>16</v>
      </c>
      <c r="W1" s="50">
        <f t="shared" si="0"/>
        <v>17</v>
      </c>
      <c r="X1" s="50">
        <f t="shared" si="0"/>
        <v>18</v>
      </c>
      <c r="Y1" s="50">
        <f t="shared" si="0"/>
        <v>19</v>
      </c>
      <c r="Z1" s="50">
        <f t="shared" si="0"/>
        <v>20</v>
      </c>
      <c r="AA1" s="173" t="s">
        <v>33</v>
      </c>
      <c r="AB1" s="48" t="s">
        <v>33</v>
      </c>
      <c r="AC1" s="48" t="s">
        <v>33</v>
      </c>
    </row>
    <row r="2" spans="1:29" outlineLevel="1" x14ac:dyDescent="0.25">
      <c r="A2" s="2" t="s">
        <v>34</v>
      </c>
      <c r="F2" s="52" t="s">
        <v>12</v>
      </c>
      <c r="G2" s="51">
        <v>2027</v>
      </c>
      <c r="H2" s="50">
        <f>G2+1</f>
        <v>2028</v>
      </c>
      <c r="I2" s="50">
        <f t="shared" si="0"/>
        <v>2029</v>
      </c>
      <c r="J2" s="50">
        <f t="shared" si="0"/>
        <v>2030</v>
      </c>
      <c r="K2" s="50">
        <f t="shared" si="0"/>
        <v>2031</v>
      </c>
      <c r="L2" s="50">
        <f t="shared" si="0"/>
        <v>2032</v>
      </c>
      <c r="M2" s="50">
        <f t="shared" si="0"/>
        <v>2033</v>
      </c>
      <c r="N2" s="50">
        <f t="shared" si="0"/>
        <v>2034</v>
      </c>
      <c r="O2" s="50">
        <f t="shared" si="0"/>
        <v>2035</v>
      </c>
      <c r="P2" s="50">
        <f t="shared" si="0"/>
        <v>2036</v>
      </c>
      <c r="Q2" s="50">
        <f t="shared" si="0"/>
        <v>2037</v>
      </c>
      <c r="R2" s="50">
        <f t="shared" si="0"/>
        <v>2038</v>
      </c>
      <c r="S2" s="50">
        <f t="shared" si="0"/>
        <v>2039</v>
      </c>
      <c r="T2" s="50">
        <f t="shared" si="0"/>
        <v>2040</v>
      </c>
      <c r="U2" s="50">
        <f t="shared" si="0"/>
        <v>2041</v>
      </c>
      <c r="V2" s="50">
        <f t="shared" si="0"/>
        <v>2042</v>
      </c>
      <c r="W2" s="50">
        <f t="shared" si="0"/>
        <v>2043</v>
      </c>
      <c r="X2" s="50">
        <f t="shared" si="0"/>
        <v>2044</v>
      </c>
      <c r="Y2" s="50">
        <f t="shared" si="0"/>
        <v>2045</v>
      </c>
      <c r="Z2" s="50">
        <f t="shared" si="0"/>
        <v>2046</v>
      </c>
      <c r="AA2" s="174" t="s">
        <v>35</v>
      </c>
      <c r="AB2" s="2" t="s">
        <v>36</v>
      </c>
      <c r="AC2" s="2" t="s">
        <v>37</v>
      </c>
    </row>
    <row r="3" spans="1:29" outlineLevel="1" x14ac:dyDescent="0.25">
      <c r="A3" s="2" t="s">
        <v>34</v>
      </c>
      <c r="G3" s="195">
        <f>Производительность!E6</f>
        <v>8760</v>
      </c>
      <c r="H3" s="195">
        <f>Производительность!F6</f>
        <v>8760</v>
      </c>
      <c r="I3" s="195">
        <f>Производительность!G6</f>
        <v>8760</v>
      </c>
      <c r="J3" s="195">
        <f>Производительность!H6</f>
        <v>8760</v>
      </c>
      <c r="K3" s="195">
        <f>Производительность!I6</f>
        <v>8760</v>
      </c>
      <c r="L3" s="195">
        <f>Производительность!J6</f>
        <v>8760</v>
      </c>
      <c r="M3" s="195">
        <f>Производительность!K6</f>
        <v>8760</v>
      </c>
      <c r="N3" s="195">
        <f>Производительность!L6</f>
        <v>8760</v>
      </c>
      <c r="O3" s="195">
        <f>Производительность!M6</f>
        <v>8760</v>
      </c>
      <c r="P3" s="195">
        <f>Производительность!N6</f>
        <v>8760</v>
      </c>
      <c r="Q3" s="195">
        <f>Производительность!O6</f>
        <v>8760</v>
      </c>
      <c r="R3" s="195">
        <f>Производительность!P6</f>
        <v>8760</v>
      </c>
      <c r="S3" s="195">
        <f>Производительность!Q6</f>
        <v>8760</v>
      </c>
      <c r="T3" s="195">
        <f>Производительность!R6</f>
        <v>8760</v>
      </c>
      <c r="U3" s="195">
        <f>Производительность!S6</f>
        <v>8760</v>
      </c>
      <c r="V3" s="195">
        <f>Производительность!T6</f>
        <v>8760</v>
      </c>
      <c r="W3" s="195">
        <f>Производительность!U6</f>
        <v>8760</v>
      </c>
      <c r="X3" s="195">
        <f>Производительность!V6</f>
        <v>8760</v>
      </c>
      <c r="Y3" s="195">
        <f>Производительность!W6</f>
        <v>8760</v>
      </c>
      <c r="Z3" s="195">
        <f>Производительность!X6</f>
        <v>8760</v>
      </c>
      <c r="AA3" s="174"/>
    </row>
    <row r="4" spans="1:29" ht="14.3" x14ac:dyDescent="0.25">
      <c r="A4" s="2" t="s">
        <v>34</v>
      </c>
      <c r="D4" s="3" t="s">
        <v>38</v>
      </c>
      <c r="AA4" s="175"/>
    </row>
    <row r="5" spans="1:29" x14ac:dyDescent="0.25">
      <c r="A5" s="2" t="s">
        <v>34</v>
      </c>
      <c r="AA5" s="175"/>
    </row>
    <row r="6" spans="1:29" ht="14.3" x14ac:dyDescent="0.25">
      <c r="A6" s="2" t="s">
        <v>34</v>
      </c>
      <c r="C6" s="54" t="e">
        <f>SUM(F66:Z66,F80:Z80,F101:Z101,AA48)</f>
        <v>#DIV/0!</v>
      </c>
      <c r="D6" s="673" t="str">
        <f>Свод_215_диз!F19</f>
        <v>БС-215</v>
      </c>
      <c r="E6" s="55">
        <f>SUMIFS(Производительность!$Y$7:$Y$34,Производительность!$C$7:$C$34,$D6)</f>
        <v>12</v>
      </c>
      <c r="F6" s="56" t="str">
        <f>$F$2</f>
        <v>лет</v>
      </c>
      <c r="AA6" s="175"/>
    </row>
    <row r="7" spans="1:29" hidden="1" outlineLevel="1" x14ac:dyDescent="0.25">
      <c r="A7" s="2" t="s">
        <v>34</v>
      </c>
      <c r="AA7" s="175"/>
    </row>
    <row r="8" spans="1:29" hidden="1" outlineLevel="1" x14ac:dyDescent="0.25">
      <c r="A8" s="57" t="str">
        <f>D6</f>
        <v>БС-215</v>
      </c>
      <c r="D8" s="58" t="str">
        <f>D$1</f>
        <v>Показатель</v>
      </c>
      <c r="E8" s="58" t="str">
        <f t="shared" ref="E8:Z8" si="1">E$1</f>
        <v>Ед. изм.</v>
      </c>
      <c r="F8" s="58">
        <f t="shared" si="1"/>
        <v>0</v>
      </c>
      <c r="G8" s="58">
        <f t="shared" si="1"/>
        <v>1</v>
      </c>
      <c r="H8" s="58">
        <f t="shared" si="1"/>
        <v>2</v>
      </c>
      <c r="I8" s="58">
        <f t="shared" si="1"/>
        <v>3</v>
      </c>
      <c r="J8" s="58">
        <f t="shared" si="1"/>
        <v>4</v>
      </c>
      <c r="K8" s="58">
        <f t="shared" si="1"/>
        <v>5</v>
      </c>
      <c r="L8" s="58">
        <f t="shared" si="1"/>
        <v>6</v>
      </c>
      <c r="M8" s="58">
        <f t="shared" si="1"/>
        <v>7</v>
      </c>
      <c r="N8" s="58">
        <f t="shared" si="1"/>
        <v>8</v>
      </c>
      <c r="O8" s="58">
        <f t="shared" si="1"/>
        <v>9</v>
      </c>
      <c r="P8" s="58">
        <f t="shared" si="1"/>
        <v>10</v>
      </c>
      <c r="Q8" s="58">
        <f t="shared" si="1"/>
        <v>11</v>
      </c>
      <c r="R8" s="58">
        <f t="shared" si="1"/>
        <v>12</v>
      </c>
      <c r="S8" s="58">
        <f t="shared" si="1"/>
        <v>13</v>
      </c>
      <c r="T8" s="58">
        <f t="shared" si="1"/>
        <v>14</v>
      </c>
      <c r="U8" s="58">
        <f t="shared" si="1"/>
        <v>15</v>
      </c>
      <c r="V8" s="58">
        <f t="shared" si="1"/>
        <v>16</v>
      </c>
      <c r="W8" s="58">
        <f t="shared" si="1"/>
        <v>17</v>
      </c>
      <c r="X8" s="58">
        <f t="shared" si="1"/>
        <v>18</v>
      </c>
      <c r="Y8" s="58">
        <f t="shared" si="1"/>
        <v>19</v>
      </c>
      <c r="Z8" s="58">
        <f t="shared" si="1"/>
        <v>20</v>
      </c>
      <c r="AA8" s="175"/>
    </row>
    <row r="9" spans="1:29" hidden="1" outlineLevel="1" x14ac:dyDescent="0.25">
      <c r="A9" s="36" t="str">
        <f>A8</f>
        <v>БС-215</v>
      </c>
      <c r="B9" s="36"/>
      <c r="D9" s="59" t="s">
        <v>39</v>
      </c>
      <c r="E9" s="60" t="s">
        <v>40</v>
      </c>
      <c r="F9" s="61"/>
      <c r="G9" s="62">
        <f>SUMIFS(Производительность!E$7:E$34,Производительность!$C$7:$C$34,$A9)</f>
        <v>0.92538685946220189</v>
      </c>
      <c r="H9" s="62">
        <f>SUMIFS(Производительность!F$7:F$34,Производительность!$C$7:$C$34,$A9)</f>
        <v>0.92272323693556568</v>
      </c>
      <c r="I9" s="62">
        <f>SUMIFS(Производительность!G$7:G$34,Производительность!$C$7:$C$34,$A9)</f>
        <v>0.92139142567224752</v>
      </c>
      <c r="J9" s="62">
        <f>SUMIFS(Производительность!H$7:H$34,Производительность!$C$7:$C$34,$A9)</f>
        <v>0.89075976661593104</v>
      </c>
      <c r="K9" s="62">
        <f>SUMIFS(Производительность!I$7:I$34,Производительность!$C$7:$C$34,$A9)</f>
        <v>0.92005961440892947</v>
      </c>
      <c r="L9" s="62">
        <f>SUMIFS(Производительность!J$7:J$34,Производительность!$C$7:$C$34,$A9)</f>
        <v>0.91340055809233889</v>
      </c>
      <c r="M9" s="62">
        <f>SUMIFS(Производительность!K$7:K$34,Производительность!$C$7:$C$34,$A9)</f>
        <v>0.89075976661593104</v>
      </c>
      <c r="N9" s="62">
        <f>SUMIFS(Производительность!L$7:L$34,Производительность!$C$7:$C$34,$A9)</f>
        <v>0.91739599188229326</v>
      </c>
      <c r="O9" s="62">
        <f>SUMIFS(Производительность!M$7:M$34,Производительность!$C$7:$C$34,$A9)</f>
        <v>0.91872780314561142</v>
      </c>
      <c r="P9" s="62">
        <f>SUMIFS(Производительность!N$7:N$34,Производительность!$C$7:$C$34,$A9)</f>
        <v>0.88809614408929483</v>
      </c>
      <c r="Q9" s="62">
        <f>SUMIFS(Производительность!O$7:O$34,Производительность!$C$7:$C$34,$A9)</f>
        <v>0.91473236935565705</v>
      </c>
      <c r="R9" s="62">
        <f>SUMIFS(Производительность!P$7:P$34,Производительность!$C$7:$C$34,$A9)</f>
        <v>0.92139142567224752</v>
      </c>
      <c r="S9" s="62">
        <f>SUMIFS(Производительность!Q$7:Q$34,Производительность!$C$7:$C$34,$A9)</f>
        <v>0</v>
      </c>
      <c r="T9" s="62">
        <f>SUMIFS(Производительность!R$7:R$34,Производительность!$C$7:$C$34,$A9)</f>
        <v>0</v>
      </c>
      <c r="U9" s="62">
        <f>SUMIFS(Производительность!S$7:S$34,Производительность!$C$7:$C$34,$A9)</f>
        <v>0</v>
      </c>
      <c r="V9" s="62">
        <f>SUMIFS(Производительность!T$7:T$34,Производительность!$C$7:$C$34,$A9)</f>
        <v>0</v>
      </c>
      <c r="W9" s="62">
        <f>SUMIFS(Производительность!U$7:U$34,Производительность!$C$7:$C$34,$A9)</f>
        <v>0</v>
      </c>
      <c r="X9" s="62">
        <f>SUMIFS(Производительность!V$7:V$34,Производительность!$C$7:$C$34,$A9)</f>
        <v>0</v>
      </c>
      <c r="Y9" s="62">
        <f>SUMIFS(Производительность!W$7:W$34,Производительность!$C$7:$C$34,$A9)</f>
        <v>0</v>
      </c>
      <c r="Z9" s="62">
        <f>SUMIFS(Производительность!X$7:X$34,Производительность!$C$7:$C$34,$A9)</f>
        <v>0</v>
      </c>
      <c r="AA9" s="175"/>
    </row>
    <row r="10" spans="1:29" hidden="1" outlineLevel="1" x14ac:dyDescent="0.25">
      <c r="A10" s="36" t="str">
        <f t="shared" ref="A10:A73" si="2">A9</f>
        <v>БС-215</v>
      </c>
      <c r="B10" s="36"/>
      <c r="D10" s="59" t="s">
        <v>41</v>
      </c>
      <c r="E10" s="60" t="str">
        <f>E9</f>
        <v>%</v>
      </c>
      <c r="F10" s="61"/>
      <c r="G10" s="62">
        <f>SUMIFS(Производительность!E$115:E$142,Производительность!$C$115:$C$142,$A10)</f>
        <v>0.75197866081654696</v>
      </c>
      <c r="H10" s="62">
        <f>SUMIFS(Производительность!F$115:F$142,Производительность!$C$115:$C$142,$A10)</f>
        <v>0.74981417438579656</v>
      </c>
      <c r="I10" s="62">
        <f>SUMIFS(Производительность!G$115:G$142,Производительность!$C$115:$C$142,$A10)</f>
        <v>0.74873193117042125</v>
      </c>
      <c r="J10" s="62">
        <f>SUMIFS(Производительность!H$115:H$142,Производительность!$C$115:$C$142,$A10)</f>
        <v>0.72384033721679131</v>
      </c>
      <c r="K10" s="62">
        <f>SUMIFS(Производительность!I$115:I$142,Производительность!$C$115:$C$142,$A10)</f>
        <v>0.74764968795504605</v>
      </c>
      <c r="L10" s="62">
        <f>SUMIFS(Производительность!J$115:J$142,Производительность!$C$115:$C$142,$A10)</f>
        <v>0.74223847187816994</v>
      </c>
      <c r="M10" s="62">
        <f>SUMIFS(Производительность!K$115:K$142,Производительность!$C$115:$C$142,$A10)</f>
        <v>0.72384033721679131</v>
      </c>
      <c r="N10" s="62">
        <f>SUMIFS(Производительность!L$115:L$142,Производительность!$C$115:$C$142,$A10)</f>
        <v>0.74548520152429565</v>
      </c>
      <c r="O10" s="62">
        <f>SUMIFS(Производительность!M$115:M$142,Производительность!$C$115:$C$142,$A10)</f>
        <v>0.74656744473967085</v>
      </c>
      <c r="P10" s="62">
        <f>SUMIFS(Производительность!N$115:N$142,Производительность!$C$115:$C$142,$A10)</f>
        <v>0.72167585078604091</v>
      </c>
      <c r="Q10" s="62">
        <f>SUMIFS(Производительность!O$115:O$142,Производительность!$C$115:$C$142,$A10)</f>
        <v>0.74332071509354514</v>
      </c>
      <c r="R10" s="62">
        <f>SUMIFS(Производительность!P$115:P$142,Производительность!$C$115:$C$142,$A10)</f>
        <v>0.74873193117042125</v>
      </c>
      <c r="S10" s="62">
        <f>SUMIFS(Производительность!Q$115:Q$142,Производительность!$C$115:$C$142,$A10)</f>
        <v>0</v>
      </c>
      <c r="T10" s="62">
        <f>SUMIFS(Производительность!R$115:R$142,Производительность!$C$115:$C$142,$A10)</f>
        <v>0</v>
      </c>
      <c r="U10" s="62">
        <f>SUMIFS(Производительность!S$115:S$142,Производительность!$C$115:$C$142,$A10)</f>
        <v>0</v>
      </c>
      <c r="V10" s="62">
        <f>SUMIFS(Производительность!T$115:T$142,Производительность!$C$115:$C$142,$A10)</f>
        <v>0</v>
      </c>
      <c r="W10" s="62">
        <f>SUMIFS(Производительность!U$115:U$142,Производительность!$C$115:$C$142,$A10)</f>
        <v>0</v>
      </c>
      <c r="X10" s="62">
        <f>SUMIFS(Производительность!V$115:V$142,Производительность!$C$115:$C$142,$A10)</f>
        <v>0</v>
      </c>
      <c r="Y10" s="62">
        <f>SUMIFS(Производительность!W$115:W$142,Производительность!$C$115:$C$142,$A10)</f>
        <v>0</v>
      </c>
      <c r="Z10" s="62">
        <f>SUMIFS(Производительность!X$115:X$142,Производительность!$C$115:$C$142,$A10)</f>
        <v>0</v>
      </c>
      <c r="AA10" s="175"/>
    </row>
    <row r="11" spans="1:29" hidden="1" outlineLevel="1" x14ac:dyDescent="0.25">
      <c r="A11" s="36" t="str">
        <f t="shared" si="2"/>
        <v>БС-215</v>
      </c>
      <c r="B11" s="36"/>
      <c r="D11" s="63" t="s">
        <v>177</v>
      </c>
      <c r="E11" s="64" t="s">
        <v>171</v>
      </c>
      <c r="F11" s="65"/>
      <c r="G11" s="65">
        <f>SUMIFS(Производительность!E$196:E$223,Производительность!$C$196:$C$223,$A11)</f>
        <v>133.09167724858054</v>
      </c>
      <c r="H11" s="65">
        <f>SUMIFS(Производительность!F$196:F$223,Производительность!$C$196:$C$223,$A11)</f>
        <v>132.70858774822483</v>
      </c>
      <c r="I11" s="65">
        <f>SUMIFS(Производительность!G$196:G$223,Производительность!$C$196:$C$223,$A11)</f>
        <v>132.51704299804697</v>
      </c>
      <c r="J11" s="65">
        <f>SUMIFS(Производительность!H$196:H$223,Производительность!$C$196:$C$223,$A11)</f>
        <v>128.11151374395627</v>
      </c>
      <c r="K11" s="65">
        <f>SUMIFS(Производительность!I$196:I$223,Производительность!$C$196:$C$223,$A11)</f>
        <v>132.32549824786909</v>
      </c>
      <c r="L11" s="65">
        <f>SUMIFS(Производительность!J$196:J$223,Производительность!$C$196:$C$223,$A11)</f>
        <v>131.36777449697982</v>
      </c>
      <c r="M11" s="65">
        <f>SUMIFS(Производительность!K$196:K$223,Производительность!$C$196:$C$223,$A11)</f>
        <v>128.11151374395627</v>
      </c>
      <c r="N11" s="65">
        <f>SUMIFS(Производительность!L$196:L$223,Производительность!$C$196:$C$223,$A11)</f>
        <v>131.94240874751341</v>
      </c>
      <c r="O11" s="65">
        <f>SUMIFS(Производительность!M$196:M$223,Производительность!$C$196:$C$223,$A11)</f>
        <v>132.13395349769127</v>
      </c>
      <c r="P11" s="65">
        <f>SUMIFS(Производительность!N$196:N$223,Производительность!$C$196:$C$223,$A11)</f>
        <v>127.72842424360054</v>
      </c>
      <c r="Q11" s="65">
        <f>SUMIFS(Производительность!O$196:O$223,Производительность!$C$196:$C$223,$A11)</f>
        <v>131.55931924715767</v>
      </c>
      <c r="R11" s="65">
        <f>SUMIFS(Производительность!P$196:P$223,Производительность!$C$196:$C$223,$A11)</f>
        <v>132.51704299804697</v>
      </c>
      <c r="S11" s="65">
        <f>SUMIFS(Производительность!Q$196:Q$223,Производительность!$C$196:$C$223,$A11)</f>
        <v>0</v>
      </c>
      <c r="T11" s="65">
        <f>SUMIFS(Производительность!R$196:R$223,Производительность!$C$196:$C$223,$A11)</f>
        <v>0</v>
      </c>
      <c r="U11" s="65">
        <f>SUMIFS(Производительность!S$196:S$223,Производительность!$C$196:$C$223,$A11)</f>
        <v>0</v>
      </c>
      <c r="V11" s="65">
        <f>SUMIFS(Производительность!T$196:T$223,Производительность!$C$196:$C$223,$A11)</f>
        <v>0</v>
      </c>
      <c r="W11" s="65">
        <f>SUMIFS(Производительность!U$196:U$223,Производительность!$C$196:$C$223,$A11)</f>
        <v>0</v>
      </c>
      <c r="X11" s="65">
        <f>SUMIFS(Производительность!V$196:V$223,Производительность!$C$196:$C$223,$A11)</f>
        <v>0</v>
      </c>
      <c r="Y11" s="65">
        <f>SUMIFS(Производительность!W$196:W$223,Производительность!$C$196:$C$223,$A11)</f>
        <v>0</v>
      </c>
      <c r="Z11" s="65">
        <f>SUMIFS(Производительность!X$196:X$223,Производительность!$C$196:$C$223,$A11)</f>
        <v>0</v>
      </c>
      <c r="AA11" s="175"/>
    </row>
    <row r="12" spans="1:29" hidden="1" outlineLevel="1" x14ac:dyDescent="0.25">
      <c r="A12" s="36" t="str">
        <f t="shared" si="2"/>
        <v>БС-215</v>
      </c>
      <c r="B12" s="36"/>
      <c r="D12" s="63" t="s">
        <v>178</v>
      </c>
      <c r="E12" s="64" t="s">
        <v>175</v>
      </c>
      <c r="F12" s="65"/>
      <c r="G12" s="65">
        <f>SUMIFS(Производительность!E$250:E$277,Производительность!$C$250:$C$277,$A12)</f>
        <v>2540.6226836649844</v>
      </c>
      <c r="H12" s="65">
        <f>SUMIFS(Производительность!F$250:F$277,Производительность!$C$250:$C$277,$A12)</f>
        <v>2701.8295814164881</v>
      </c>
      <c r="I12" s="65">
        <f>SUMIFS(Производительность!G$250:G$277,Производительность!$C$250:$C$277,$A12)</f>
        <v>2739.3008710140552</v>
      </c>
      <c r="J12" s="65">
        <f>SUMIFS(Производительность!H$250:H$277,Производительность!$C$250:$C$277,$A12)</f>
        <v>2700.9288085017183</v>
      </c>
      <c r="K12" s="65">
        <f>SUMIFS(Производительность!I$250:I$277,Производительность!$C$250:$C$277,$A12)</f>
        <v>2945.1177369418911</v>
      </c>
      <c r="L12" s="65">
        <f>SUMIFS(Производительность!J$250:J$277,Производительность!$C$250:$C$277,$A12)</f>
        <v>2904.1694603654983</v>
      </c>
      <c r="M12" s="65">
        <f>SUMIFS(Производительность!K$250:K$277,Производительность!$C$250:$C$277,$A12)</f>
        <v>2707.4978574352035</v>
      </c>
      <c r="N12" s="65">
        <f>SUMIFS(Производительность!L$250:L$277,Производительность!$C$250:$C$277,$A12)</f>
        <v>3041.4283619289049</v>
      </c>
      <c r="O12" s="65">
        <f>SUMIFS(Производительность!M$250:M$277,Производительность!$C$250:$C$277,$A12)</f>
        <v>2901.357412996615</v>
      </c>
      <c r="P12" s="65">
        <f>SUMIFS(Производительность!N$250:N$277,Производительность!$C$250:$C$277,$A12)</f>
        <v>2627.8372479062405</v>
      </c>
      <c r="Q12" s="65">
        <f>SUMIFS(Производительность!O$250:O$277,Производительность!$C$250:$C$277,$A12)</f>
        <v>2658.4367439866896</v>
      </c>
      <c r="R12" s="65">
        <f>SUMIFS(Производительность!P$250:P$277,Производительность!$C$250:$C$277,$A12)</f>
        <v>2724.1276136797883</v>
      </c>
      <c r="S12" s="65">
        <f>SUMIFS(Производительность!Q$250:Q$277,Производительность!$C$250:$C$277,$A12)</f>
        <v>0</v>
      </c>
      <c r="T12" s="65">
        <f>SUMIFS(Производительность!R$250:R$277,Производительность!$C$250:$C$277,$A12)</f>
        <v>0</v>
      </c>
      <c r="U12" s="65">
        <f>SUMIFS(Производительность!S$250:S$277,Производительность!$C$250:$C$277,$A12)</f>
        <v>0</v>
      </c>
      <c r="V12" s="65">
        <f>SUMIFS(Производительность!T$250:T$277,Производительность!$C$250:$C$277,$A12)</f>
        <v>0</v>
      </c>
      <c r="W12" s="65">
        <f>SUMIFS(Производительность!U$250:U$277,Производительность!$C$250:$C$277,$A12)</f>
        <v>0</v>
      </c>
      <c r="X12" s="65">
        <f>SUMIFS(Производительность!V$250:V$277,Производительность!$C$250:$C$277,$A12)</f>
        <v>0</v>
      </c>
      <c r="Y12" s="65">
        <f>SUMIFS(Производительность!W$250:W$277,Производительность!$C$250:$C$277,$A12)</f>
        <v>0</v>
      </c>
      <c r="Z12" s="65">
        <f>SUMIFS(Производительность!X$250:X$277,Производительность!$C$250:$C$277,$A12)</f>
        <v>0</v>
      </c>
      <c r="AA12" s="175"/>
    </row>
    <row r="13" spans="1:29" hidden="1" outlineLevel="1" x14ac:dyDescent="0.25">
      <c r="A13" s="36" t="str">
        <f t="shared" si="2"/>
        <v>БС-215</v>
      </c>
      <c r="B13" s="36"/>
      <c r="D13" s="179" t="s">
        <v>179</v>
      </c>
      <c r="E13" s="60" t="str">
        <f>E12</f>
        <v>тыс. м3</v>
      </c>
      <c r="F13" s="61"/>
      <c r="G13" s="320">
        <f>G12</f>
        <v>2540.6226836649844</v>
      </c>
      <c r="H13" s="61">
        <f>IF(H12=0,0,G13+H12)</f>
        <v>5242.4522650814724</v>
      </c>
      <c r="I13" s="61">
        <f t="shared" ref="I13:Z13" si="3">IF(I12=0,0,H13+I12)</f>
        <v>7981.7531360955272</v>
      </c>
      <c r="J13" s="61">
        <f t="shared" si="3"/>
        <v>10682.681944597245</v>
      </c>
      <c r="K13" s="61">
        <f t="shared" si="3"/>
        <v>13627.799681539136</v>
      </c>
      <c r="L13" s="61">
        <f t="shared" si="3"/>
        <v>16531.969141904636</v>
      </c>
      <c r="M13" s="61">
        <f t="shared" si="3"/>
        <v>19239.466999339838</v>
      </c>
      <c r="N13" s="61">
        <f t="shared" si="3"/>
        <v>22280.895361268744</v>
      </c>
      <c r="O13" s="61">
        <f t="shared" si="3"/>
        <v>25182.252774265358</v>
      </c>
      <c r="P13" s="61">
        <f t="shared" si="3"/>
        <v>27810.0900221716</v>
      </c>
      <c r="Q13" s="61">
        <f t="shared" si="3"/>
        <v>30468.526766158291</v>
      </c>
      <c r="R13" s="61">
        <f t="shared" si="3"/>
        <v>33192.654379838081</v>
      </c>
      <c r="S13" s="61">
        <f t="shared" si="3"/>
        <v>0</v>
      </c>
      <c r="T13" s="61">
        <f t="shared" si="3"/>
        <v>0</v>
      </c>
      <c r="U13" s="61">
        <f t="shared" si="3"/>
        <v>0</v>
      </c>
      <c r="V13" s="61">
        <f t="shared" si="3"/>
        <v>0</v>
      </c>
      <c r="W13" s="61">
        <f t="shared" si="3"/>
        <v>0</v>
      </c>
      <c r="X13" s="61">
        <f t="shared" si="3"/>
        <v>0</v>
      </c>
      <c r="Y13" s="61">
        <f t="shared" si="3"/>
        <v>0</v>
      </c>
      <c r="Z13" s="61">
        <f t="shared" si="3"/>
        <v>0</v>
      </c>
      <c r="AA13" s="175"/>
    </row>
    <row r="14" spans="1:29" hidden="1" outlineLevel="1" x14ac:dyDescent="0.25">
      <c r="A14" s="36" t="str">
        <f t="shared" si="2"/>
        <v>БС-215</v>
      </c>
      <c r="B14" s="36"/>
      <c r="D14" s="30"/>
      <c r="E14" s="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175"/>
    </row>
    <row r="15" spans="1:29" hidden="1" outlineLevel="1" x14ac:dyDescent="0.25">
      <c r="A15" s="36" t="str">
        <f t="shared" si="2"/>
        <v>БС-215</v>
      </c>
      <c r="B15" s="36"/>
      <c r="D15" s="66" t="s">
        <v>42</v>
      </c>
      <c r="E15" s="67" t="s">
        <v>21</v>
      </c>
      <c r="F15" s="68">
        <f>F49+F50-F48</f>
        <v>0</v>
      </c>
      <c r="G15" s="68">
        <f t="shared" ref="G15:Z15" si="4">G49+G50-G48</f>
        <v>32891.745317675406</v>
      </c>
      <c r="H15" s="68">
        <f t="shared" si="4"/>
        <v>33138.535474550154</v>
      </c>
      <c r="I15" s="68">
        <f t="shared" si="4"/>
        <v>37300.736052987537</v>
      </c>
      <c r="J15" s="68">
        <f t="shared" si="4"/>
        <v>41581.731357047218</v>
      </c>
      <c r="K15" s="68">
        <f t="shared" si="4"/>
        <v>34401.569631424914</v>
      </c>
      <c r="L15" s="68">
        <f t="shared" si="4"/>
        <v>38174.702523611799</v>
      </c>
      <c r="M15" s="68">
        <f t="shared" si="4"/>
        <v>38509.401357047216</v>
      </c>
      <c r="N15" s="68">
        <f t="shared" si="4"/>
        <v>38263.04178829967</v>
      </c>
      <c r="O15" s="68">
        <f t="shared" si="4"/>
        <v>37547.526209862292</v>
      </c>
      <c r="P15" s="68">
        <f t="shared" si="4"/>
        <v>38347.43551392197</v>
      </c>
      <c r="Q15" s="68">
        <f t="shared" si="4"/>
        <v>42079.363945174424</v>
      </c>
      <c r="R15" s="68">
        <f t="shared" si="4"/>
        <v>33731.204052987538</v>
      </c>
      <c r="S15" s="68">
        <f t="shared" si="4"/>
        <v>0</v>
      </c>
      <c r="T15" s="68">
        <f t="shared" si="4"/>
        <v>0</v>
      </c>
      <c r="U15" s="68">
        <f t="shared" si="4"/>
        <v>0</v>
      </c>
      <c r="V15" s="68">
        <f t="shared" si="4"/>
        <v>0</v>
      </c>
      <c r="W15" s="68">
        <f t="shared" si="4"/>
        <v>0</v>
      </c>
      <c r="X15" s="68">
        <f t="shared" si="4"/>
        <v>0</v>
      </c>
      <c r="Y15" s="68">
        <f t="shared" si="4"/>
        <v>0</v>
      </c>
      <c r="Z15" s="68">
        <f t="shared" si="4"/>
        <v>0</v>
      </c>
      <c r="AA15" s="175"/>
    </row>
    <row r="16" spans="1:29" hidden="1" outlineLevel="1" x14ac:dyDescent="0.25">
      <c r="A16" s="36" t="str">
        <f t="shared" si="2"/>
        <v>БС-215</v>
      </c>
      <c r="B16" s="36"/>
      <c r="D16" s="686" t="s">
        <v>43</v>
      </c>
      <c r="E16" s="64" t="str">
        <f>E15</f>
        <v>тыс. руб.</v>
      </c>
      <c r="F16" s="70"/>
      <c r="G16" s="677">
        <f>(G17+G18+G19)</f>
        <v>11613.321039999999</v>
      </c>
      <c r="H16" s="677">
        <f t="shared" ref="H16:R16" si="5">(H17+H18+H19)</f>
        <v>11989.960719999999</v>
      </c>
      <c r="I16" s="677">
        <f t="shared" si="5"/>
        <v>17563.35456</v>
      </c>
      <c r="J16" s="677">
        <f t="shared" si="5"/>
        <v>23818.588879999996</v>
      </c>
      <c r="K16" s="677">
        <f t="shared" si="5"/>
        <v>13721.592400000001</v>
      </c>
      <c r="L16" s="677">
        <f t="shared" si="5"/>
        <v>18871.401599999997</v>
      </c>
      <c r="M16" s="677">
        <f t="shared" si="5"/>
        <v>19722.148880000001</v>
      </c>
      <c r="N16" s="677">
        <f t="shared" si="5"/>
        <v>18917.808079999999</v>
      </c>
      <c r="O16" s="677">
        <f t="shared" si="5"/>
        <v>17939.99424</v>
      </c>
      <c r="P16" s="677">
        <f t="shared" si="5"/>
        <v>19553.780559999999</v>
      </c>
      <c r="Q16" s="677">
        <f t="shared" si="5"/>
        <v>24053.823760000003</v>
      </c>
      <c r="R16" s="677">
        <f t="shared" si="5"/>
        <v>12803.97856</v>
      </c>
      <c r="S16" s="677"/>
      <c r="T16" s="677"/>
      <c r="U16" s="677"/>
      <c r="V16" s="677"/>
      <c r="W16" s="677"/>
      <c r="X16" s="677"/>
      <c r="Y16" s="677"/>
      <c r="Z16" s="677"/>
      <c r="AA16" s="175"/>
      <c r="AB16" s="679">
        <f>SUM(F16:Z16,F21:Z21)/E6</f>
        <v>17547.479439999999</v>
      </c>
    </row>
    <row r="17" spans="1:27" hidden="1" outlineLevel="1" x14ac:dyDescent="0.25">
      <c r="A17" s="36" t="str">
        <f t="shared" si="2"/>
        <v>БС-215</v>
      </c>
      <c r="B17" s="36"/>
      <c r="D17" s="674" t="s">
        <v>44</v>
      </c>
      <c r="E17" s="675" t="s">
        <v>21</v>
      </c>
      <c r="F17" s="29"/>
      <c r="G17" s="676">
        <f>'БС-215'!E29</f>
        <v>7677.652</v>
      </c>
      <c r="H17" s="676">
        <f>'БС-215'!F29</f>
        <v>7677.652</v>
      </c>
      <c r="I17" s="676">
        <f>'БС-215'!G29</f>
        <v>7677.652</v>
      </c>
      <c r="J17" s="676">
        <f>'БС-215'!H29</f>
        <v>7677.652</v>
      </c>
      <c r="K17" s="676">
        <f>'БС-215'!I29</f>
        <v>7677.652</v>
      </c>
      <c r="L17" s="676">
        <f>'БС-215'!J29</f>
        <v>7677.652</v>
      </c>
      <c r="M17" s="676">
        <f>'БС-215'!K29</f>
        <v>7677.652</v>
      </c>
      <c r="N17" s="676">
        <f>'БС-215'!L29</f>
        <v>7677.652</v>
      </c>
      <c r="O17" s="676">
        <f>'БС-215'!M29</f>
        <v>7677.652</v>
      </c>
      <c r="P17" s="676">
        <f>'БС-215'!N29</f>
        <v>7677.652</v>
      </c>
      <c r="Q17" s="676">
        <f>'БС-215'!O29</f>
        <v>7677.652</v>
      </c>
      <c r="R17" s="676">
        <f>'БС-215'!P29</f>
        <v>7677.652</v>
      </c>
      <c r="S17" s="676"/>
      <c r="T17" s="676"/>
      <c r="U17" s="676"/>
      <c r="V17" s="676"/>
      <c r="W17" s="676"/>
      <c r="X17" s="676"/>
      <c r="Y17" s="676"/>
      <c r="Z17" s="676"/>
      <c r="AA17" s="175"/>
    </row>
    <row r="18" spans="1:27" hidden="1" outlineLevel="1" x14ac:dyDescent="0.25">
      <c r="A18" s="36" t="str">
        <f t="shared" si="2"/>
        <v>БС-215</v>
      </c>
      <c r="B18" s="36"/>
      <c r="D18" s="674" t="s">
        <v>45</v>
      </c>
      <c r="E18" s="675" t="s">
        <v>21</v>
      </c>
      <c r="F18" s="29"/>
      <c r="G18" s="676">
        <f>'БС-215'!E30+'БС-215'!E31</f>
        <v>1544.06</v>
      </c>
      <c r="H18" s="676">
        <f>'БС-215'!F30+'БС-215'!F31</f>
        <v>1784.684</v>
      </c>
      <c r="I18" s="676">
        <f>'БС-215'!G30+'БС-215'!G31</f>
        <v>7290.07</v>
      </c>
      <c r="J18" s="676">
        <f>'БС-215'!H30+'БС-215'!H31</f>
        <v>11981.124</v>
      </c>
      <c r="K18" s="676">
        <f>'БС-215'!I30+'БС-215'!I31</f>
        <v>3380.3</v>
      </c>
      <c r="L18" s="676">
        <f>'БС-215'!J30+'БС-215'!J31</f>
        <v>8190.07</v>
      </c>
      <c r="M18" s="676">
        <f>'БС-215'!K30+'БС-215'!K31</f>
        <v>7884.6840000000002</v>
      </c>
      <c r="N18" s="676">
        <f>'БС-215'!L30+'БС-215'!L31</f>
        <v>8440.5</v>
      </c>
      <c r="O18" s="676">
        <f>'БС-215'!M30+'БС-215'!M31</f>
        <v>7530.6940000000004</v>
      </c>
      <c r="P18" s="676">
        <f>'БС-215'!N30+'БС-215'!N31</f>
        <v>7580.3</v>
      </c>
      <c r="Q18" s="676">
        <f>'БС-215'!O30+'БС-215'!O31</f>
        <v>13440.5</v>
      </c>
      <c r="R18" s="676">
        <f>'БС-215'!P30+'БС-215'!P31</f>
        <v>2530.694</v>
      </c>
      <c r="S18" s="676"/>
      <c r="T18" s="676"/>
      <c r="U18" s="676"/>
      <c r="V18" s="676"/>
      <c r="W18" s="676"/>
      <c r="X18" s="676"/>
      <c r="Y18" s="676"/>
      <c r="Z18" s="676"/>
      <c r="AA18" s="175"/>
    </row>
    <row r="19" spans="1:27" hidden="1" outlineLevel="1" x14ac:dyDescent="0.25">
      <c r="A19" s="36" t="str">
        <f t="shared" si="2"/>
        <v>БС-215</v>
      </c>
      <c r="B19" s="36"/>
      <c r="D19" s="674" t="s">
        <v>46</v>
      </c>
      <c r="E19" s="675" t="s">
        <v>21</v>
      </c>
      <c r="F19" s="29"/>
      <c r="G19" s="676">
        <f>'БС-215'!E32+'БС-215'!E33</f>
        <v>2391.6090399999998</v>
      </c>
      <c r="H19" s="676">
        <f>'БС-215'!F32+'БС-215'!F33</f>
        <v>2527.6247199999998</v>
      </c>
      <c r="I19" s="676">
        <f>'БС-215'!G32+'БС-215'!G33</f>
        <v>2595.63256</v>
      </c>
      <c r="J19" s="676">
        <f>'БС-215'!H32+'БС-215'!H33</f>
        <v>4159.8128799999995</v>
      </c>
      <c r="K19" s="676">
        <f>'БС-215'!I32+'БС-215'!I33</f>
        <v>2663.6404000000002</v>
      </c>
      <c r="L19" s="676">
        <f>'БС-215'!J32+'БС-215'!J33</f>
        <v>3003.6795999999995</v>
      </c>
      <c r="M19" s="676">
        <f>'БС-215'!K32+'БС-215'!K33</f>
        <v>4159.8128799999995</v>
      </c>
      <c r="N19" s="676">
        <f>'БС-215'!L32+'БС-215'!L33</f>
        <v>2799.6560799999997</v>
      </c>
      <c r="O19" s="676">
        <f>'БС-215'!M32+'БС-215'!M33</f>
        <v>2731.6482399999995</v>
      </c>
      <c r="P19" s="676">
        <f>'БС-215'!N32+'БС-215'!N33</f>
        <v>4295.8285599999999</v>
      </c>
      <c r="Q19" s="676">
        <f>'БС-215'!O32+'БС-215'!O33</f>
        <v>2935.6717599999997</v>
      </c>
      <c r="R19" s="676">
        <f>'БС-215'!P32+'БС-215'!P33</f>
        <v>2595.63256</v>
      </c>
      <c r="S19" s="676"/>
      <c r="T19" s="676"/>
      <c r="U19" s="676"/>
      <c r="V19" s="676"/>
      <c r="W19" s="676"/>
      <c r="X19" s="676"/>
      <c r="Y19" s="676"/>
      <c r="Z19" s="676"/>
      <c r="AA19" s="175"/>
    </row>
    <row r="20" spans="1:27" hidden="1" outlineLevel="1" x14ac:dyDescent="0.25">
      <c r="A20" s="36" t="str">
        <f t="shared" si="2"/>
        <v>БС-215</v>
      </c>
      <c r="B20" s="36"/>
      <c r="D20" s="76" t="s">
        <v>47</v>
      </c>
      <c r="E20" s="77"/>
      <c r="F20" s="78"/>
      <c r="G20" s="79" t="e">
        <f t="shared" ref="G20:Z20" si="6">G16/$F53</f>
        <v>#DIV/0!</v>
      </c>
      <c r="H20" s="79" t="e">
        <f t="shared" si="6"/>
        <v>#DIV/0!</v>
      </c>
      <c r="I20" s="79" t="e">
        <f t="shared" si="6"/>
        <v>#DIV/0!</v>
      </c>
      <c r="J20" s="79" t="e">
        <f t="shared" si="6"/>
        <v>#DIV/0!</v>
      </c>
      <c r="K20" s="79" t="e">
        <f t="shared" si="6"/>
        <v>#DIV/0!</v>
      </c>
      <c r="L20" s="79" t="e">
        <f t="shared" si="6"/>
        <v>#DIV/0!</v>
      </c>
      <c r="M20" s="79" t="e">
        <f t="shared" si="6"/>
        <v>#DIV/0!</v>
      </c>
      <c r="N20" s="79" t="e">
        <f t="shared" si="6"/>
        <v>#DIV/0!</v>
      </c>
      <c r="O20" s="79" t="e">
        <f t="shared" si="6"/>
        <v>#DIV/0!</v>
      </c>
      <c r="P20" s="79" t="e">
        <f t="shared" si="6"/>
        <v>#DIV/0!</v>
      </c>
      <c r="Q20" s="79" t="e">
        <f t="shared" si="6"/>
        <v>#DIV/0!</v>
      </c>
      <c r="R20" s="79" t="e">
        <f t="shared" si="6"/>
        <v>#DIV/0!</v>
      </c>
      <c r="S20" s="79" t="e">
        <f t="shared" si="6"/>
        <v>#DIV/0!</v>
      </c>
      <c r="T20" s="79" t="e">
        <f t="shared" si="6"/>
        <v>#DIV/0!</v>
      </c>
      <c r="U20" s="79" t="e">
        <f t="shared" si="6"/>
        <v>#DIV/0!</v>
      </c>
      <c r="V20" s="79" t="e">
        <f t="shared" si="6"/>
        <v>#DIV/0!</v>
      </c>
      <c r="W20" s="79" t="e">
        <f t="shared" si="6"/>
        <v>#DIV/0!</v>
      </c>
      <c r="X20" s="79" t="e">
        <f t="shared" si="6"/>
        <v>#DIV/0!</v>
      </c>
      <c r="Y20" s="79" t="e">
        <f t="shared" si="6"/>
        <v>#DIV/0!</v>
      </c>
      <c r="Z20" s="79" t="e">
        <f t="shared" si="6"/>
        <v>#DIV/0!</v>
      </c>
      <c r="AA20" s="182" t="e">
        <f>SUM(F16:Z16)/$F53</f>
        <v>#DIV/0!</v>
      </c>
    </row>
    <row r="21" spans="1:27" hidden="1" outlineLevel="1" x14ac:dyDescent="0.25">
      <c r="A21" s="36" t="str">
        <f t="shared" si="2"/>
        <v>БС-215</v>
      </c>
      <c r="B21" s="36"/>
      <c r="D21" s="183" t="s">
        <v>54</v>
      </c>
      <c r="E21" s="64" t="str">
        <f>E15</f>
        <v>тыс. руб.</v>
      </c>
      <c r="F21" s="29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175"/>
    </row>
    <row r="22" spans="1:27" hidden="1" outlineLevel="1" x14ac:dyDescent="0.25">
      <c r="A22" s="36" t="str">
        <f t="shared" si="2"/>
        <v>БС-215</v>
      </c>
      <c r="B22" s="36"/>
      <c r="D22" s="63"/>
      <c r="E22" s="64"/>
      <c r="F22" s="2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175"/>
    </row>
    <row r="23" spans="1:27" hidden="1" outlineLevel="1" x14ac:dyDescent="0.25">
      <c r="A23" s="36" t="str">
        <f t="shared" si="2"/>
        <v>БС-215</v>
      </c>
      <c r="B23" s="36"/>
      <c r="D23" s="183" t="s">
        <v>183</v>
      </c>
      <c r="E23" s="64" t="str">
        <f>E15</f>
        <v>тыс. руб.</v>
      </c>
      <c r="F23" s="70"/>
      <c r="G23" s="80">
        <f>G25*G26</f>
        <v>0</v>
      </c>
      <c r="H23" s="80">
        <f t="shared" ref="H23:Z23" si="7">H25*H26</f>
        <v>0</v>
      </c>
      <c r="I23" s="80">
        <f t="shared" si="7"/>
        <v>0</v>
      </c>
      <c r="J23" s="80">
        <f t="shared" si="7"/>
        <v>0</v>
      </c>
      <c r="K23" s="80">
        <f t="shared" si="7"/>
        <v>0</v>
      </c>
      <c r="L23" s="80">
        <f t="shared" si="7"/>
        <v>0</v>
      </c>
      <c r="M23" s="80">
        <f t="shared" si="7"/>
        <v>0</v>
      </c>
      <c r="N23" s="80">
        <f t="shared" si="7"/>
        <v>0</v>
      </c>
      <c r="O23" s="80">
        <f t="shared" si="7"/>
        <v>0</v>
      </c>
      <c r="P23" s="80">
        <f t="shared" si="7"/>
        <v>0</v>
      </c>
      <c r="Q23" s="80">
        <f t="shared" si="7"/>
        <v>0</v>
      </c>
      <c r="R23" s="80">
        <f t="shared" si="7"/>
        <v>0</v>
      </c>
      <c r="S23" s="80">
        <f t="shared" si="7"/>
        <v>0</v>
      </c>
      <c r="T23" s="80">
        <f t="shared" si="7"/>
        <v>0</v>
      </c>
      <c r="U23" s="80">
        <f t="shared" si="7"/>
        <v>0</v>
      </c>
      <c r="V23" s="80">
        <f t="shared" si="7"/>
        <v>0</v>
      </c>
      <c r="W23" s="80">
        <f t="shared" si="7"/>
        <v>0</v>
      </c>
      <c r="X23" s="80">
        <f t="shared" si="7"/>
        <v>0</v>
      </c>
      <c r="Y23" s="80">
        <f t="shared" si="7"/>
        <v>0</v>
      </c>
      <c r="Z23" s="80">
        <f t="shared" si="7"/>
        <v>0</v>
      </c>
      <c r="AA23" s="175"/>
    </row>
    <row r="24" spans="1:27" hidden="1" outlineLevel="1" x14ac:dyDescent="0.25">
      <c r="A24" s="36" t="str">
        <f t="shared" si="2"/>
        <v>БС-215</v>
      </c>
      <c r="B24" s="36"/>
      <c r="D24" s="187" t="s">
        <v>48</v>
      </c>
      <c r="E24" s="9" t="s">
        <v>185</v>
      </c>
      <c r="F24" s="81">
        <f>SUMIFS('ФОТ, МТР, макро'!$B$4:$B$31,'ФОТ, МТР, макро'!$A$4:$A$31,$A24)</f>
        <v>0</v>
      </c>
      <c r="G24" s="82">
        <f>F24</f>
        <v>0</v>
      </c>
      <c r="H24" s="82">
        <f t="shared" ref="H24:Z24" si="8">G24</f>
        <v>0</v>
      </c>
      <c r="I24" s="82">
        <f t="shared" si="8"/>
        <v>0</v>
      </c>
      <c r="J24" s="82">
        <f t="shared" si="8"/>
        <v>0</v>
      </c>
      <c r="K24" s="82">
        <f t="shared" si="8"/>
        <v>0</v>
      </c>
      <c r="L24" s="82">
        <f t="shared" si="8"/>
        <v>0</v>
      </c>
      <c r="M24" s="82">
        <f t="shared" si="8"/>
        <v>0</v>
      </c>
      <c r="N24" s="82">
        <f t="shared" si="8"/>
        <v>0</v>
      </c>
      <c r="O24" s="82">
        <f t="shared" si="8"/>
        <v>0</v>
      </c>
      <c r="P24" s="82">
        <f t="shared" si="8"/>
        <v>0</v>
      </c>
      <c r="Q24" s="82">
        <f t="shared" si="8"/>
        <v>0</v>
      </c>
      <c r="R24" s="82">
        <f t="shared" si="8"/>
        <v>0</v>
      </c>
      <c r="S24" s="82">
        <f t="shared" si="8"/>
        <v>0</v>
      </c>
      <c r="T24" s="82">
        <f t="shared" si="8"/>
        <v>0</v>
      </c>
      <c r="U24" s="82">
        <f t="shared" si="8"/>
        <v>0</v>
      </c>
      <c r="V24" s="82">
        <f t="shared" si="8"/>
        <v>0</v>
      </c>
      <c r="W24" s="82">
        <f t="shared" si="8"/>
        <v>0</v>
      </c>
      <c r="X24" s="82">
        <f t="shared" si="8"/>
        <v>0</v>
      </c>
      <c r="Y24" s="82">
        <f t="shared" si="8"/>
        <v>0</v>
      </c>
      <c r="Z24" s="82">
        <f t="shared" si="8"/>
        <v>0</v>
      </c>
      <c r="AA24" s="175"/>
    </row>
    <row r="25" spans="1:27" hidden="1" outlineLevel="1" x14ac:dyDescent="0.25">
      <c r="A25" s="36" t="str">
        <f t="shared" si="2"/>
        <v>БС-215</v>
      </c>
      <c r="B25" s="36"/>
      <c r="D25" s="187" t="s">
        <v>49</v>
      </c>
      <c r="E25" s="9" t="s">
        <v>50</v>
      </c>
      <c r="F25" s="70"/>
      <c r="G25" s="74">
        <f>G11*G24</f>
        <v>0</v>
      </c>
      <c r="H25" s="74">
        <f t="shared" ref="H25:Z25" si="9">H11*H24</f>
        <v>0</v>
      </c>
      <c r="I25" s="74">
        <f t="shared" si="9"/>
        <v>0</v>
      </c>
      <c r="J25" s="74">
        <f t="shared" si="9"/>
        <v>0</v>
      </c>
      <c r="K25" s="74">
        <f t="shared" si="9"/>
        <v>0</v>
      </c>
      <c r="L25" s="74">
        <f t="shared" si="9"/>
        <v>0</v>
      </c>
      <c r="M25" s="74">
        <f t="shared" si="9"/>
        <v>0</v>
      </c>
      <c r="N25" s="74">
        <f t="shared" si="9"/>
        <v>0</v>
      </c>
      <c r="O25" s="74">
        <f t="shared" si="9"/>
        <v>0</v>
      </c>
      <c r="P25" s="74">
        <f t="shared" si="9"/>
        <v>0</v>
      </c>
      <c r="Q25" s="74">
        <f t="shared" si="9"/>
        <v>0</v>
      </c>
      <c r="R25" s="74">
        <f t="shared" si="9"/>
        <v>0</v>
      </c>
      <c r="S25" s="74">
        <f t="shared" si="9"/>
        <v>0</v>
      </c>
      <c r="T25" s="74">
        <f t="shared" si="9"/>
        <v>0</v>
      </c>
      <c r="U25" s="74">
        <f t="shared" si="9"/>
        <v>0</v>
      </c>
      <c r="V25" s="74">
        <f t="shared" si="9"/>
        <v>0</v>
      </c>
      <c r="W25" s="74">
        <f t="shared" si="9"/>
        <v>0</v>
      </c>
      <c r="X25" s="74">
        <f t="shared" si="9"/>
        <v>0</v>
      </c>
      <c r="Y25" s="74">
        <f t="shared" si="9"/>
        <v>0</v>
      </c>
      <c r="Z25" s="74">
        <f t="shared" si="9"/>
        <v>0</v>
      </c>
      <c r="AA25" s="175"/>
    </row>
    <row r="26" spans="1:27" hidden="1" outlineLevel="1" x14ac:dyDescent="0.25">
      <c r="A26" s="36" t="str">
        <f t="shared" si="2"/>
        <v>БС-215</v>
      </c>
      <c r="B26" s="36"/>
      <c r="D26" s="187" t="s">
        <v>51</v>
      </c>
      <c r="E26" s="9" t="s">
        <v>52</v>
      </c>
      <c r="F26" s="74">
        <f>SUMIFS('ФОТ, МТР, макро'!$C$4:$C$31,'ФОТ, МТР, макро'!$A$4:$A$31,$A26)</f>
        <v>0</v>
      </c>
      <c r="G26" s="83">
        <f>F26</f>
        <v>0</v>
      </c>
      <c r="H26" s="83">
        <f t="shared" ref="H26:Z26" si="10">G26</f>
        <v>0</v>
      </c>
      <c r="I26" s="83">
        <f t="shared" si="10"/>
        <v>0</v>
      </c>
      <c r="J26" s="83">
        <f t="shared" si="10"/>
        <v>0</v>
      </c>
      <c r="K26" s="83">
        <f t="shared" si="10"/>
        <v>0</v>
      </c>
      <c r="L26" s="83">
        <f t="shared" si="10"/>
        <v>0</v>
      </c>
      <c r="M26" s="83">
        <f t="shared" si="10"/>
        <v>0</v>
      </c>
      <c r="N26" s="83">
        <f t="shared" si="10"/>
        <v>0</v>
      </c>
      <c r="O26" s="83">
        <f t="shared" si="10"/>
        <v>0</v>
      </c>
      <c r="P26" s="83">
        <f t="shared" si="10"/>
        <v>0</v>
      </c>
      <c r="Q26" s="83">
        <f t="shared" si="10"/>
        <v>0</v>
      </c>
      <c r="R26" s="83">
        <f t="shared" si="10"/>
        <v>0</v>
      </c>
      <c r="S26" s="83">
        <f t="shared" si="10"/>
        <v>0</v>
      </c>
      <c r="T26" s="83">
        <f t="shared" si="10"/>
        <v>0</v>
      </c>
      <c r="U26" s="83">
        <f t="shared" si="10"/>
        <v>0</v>
      </c>
      <c r="V26" s="83">
        <f t="shared" si="10"/>
        <v>0</v>
      </c>
      <c r="W26" s="83">
        <f t="shared" si="10"/>
        <v>0</v>
      </c>
      <c r="X26" s="83">
        <f t="shared" si="10"/>
        <v>0</v>
      </c>
      <c r="Y26" s="83">
        <f t="shared" si="10"/>
        <v>0</v>
      </c>
      <c r="Z26" s="83">
        <f t="shared" si="10"/>
        <v>0</v>
      </c>
      <c r="AA26" s="175"/>
    </row>
    <row r="27" spans="1:27" hidden="1" outlineLevel="1" x14ac:dyDescent="0.25">
      <c r="A27" s="36" t="str">
        <f t="shared" si="2"/>
        <v>БС-215</v>
      </c>
      <c r="B27" s="36"/>
      <c r="D27" s="183" t="s">
        <v>184</v>
      </c>
      <c r="E27" s="64" t="str">
        <f>E15</f>
        <v>тыс. руб.</v>
      </c>
      <c r="F27" s="70"/>
      <c r="G27" s="80">
        <f>G29*G30</f>
        <v>0</v>
      </c>
      <c r="H27" s="80">
        <f t="shared" ref="H27:Z27" si="11">H29*H30</f>
        <v>0</v>
      </c>
      <c r="I27" s="80">
        <f t="shared" si="11"/>
        <v>0</v>
      </c>
      <c r="J27" s="80">
        <f t="shared" si="11"/>
        <v>0</v>
      </c>
      <c r="K27" s="80">
        <f t="shared" si="11"/>
        <v>0</v>
      </c>
      <c r="L27" s="80">
        <f t="shared" si="11"/>
        <v>0</v>
      </c>
      <c r="M27" s="80">
        <f t="shared" si="11"/>
        <v>0</v>
      </c>
      <c r="N27" s="80">
        <f t="shared" si="11"/>
        <v>0</v>
      </c>
      <c r="O27" s="80">
        <f t="shared" si="11"/>
        <v>0</v>
      </c>
      <c r="P27" s="80">
        <f t="shared" si="11"/>
        <v>0</v>
      </c>
      <c r="Q27" s="80">
        <f t="shared" si="11"/>
        <v>0</v>
      </c>
      <c r="R27" s="80">
        <f t="shared" si="11"/>
        <v>0</v>
      </c>
      <c r="S27" s="80">
        <f t="shared" si="11"/>
        <v>0</v>
      </c>
      <c r="T27" s="80">
        <f t="shared" si="11"/>
        <v>0</v>
      </c>
      <c r="U27" s="80">
        <f t="shared" si="11"/>
        <v>0</v>
      </c>
      <c r="V27" s="80">
        <f t="shared" si="11"/>
        <v>0</v>
      </c>
      <c r="W27" s="80">
        <f t="shared" si="11"/>
        <v>0</v>
      </c>
      <c r="X27" s="80">
        <f t="shared" si="11"/>
        <v>0</v>
      </c>
      <c r="Y27" s="80">
        <f t="shared" si="11"/>
        <v>0</v>
      </c>
      <c r="Z27" s="80">
        <f t="shared" si="11"/>
        <v>0</v>
      </c>
      <c r="AA27" s="175"/>
    </row>
    <row r="28" spans="1:27" hidden="1" outlineLevel="1" x14ac:dyDescent="0.25">
      <c r="A28" s="36" t="str">
        <f t="shared" si="2"/>
        <v>БС-215</v>
      </c>
      <c r="B28" s="36"/>
      <c r="D28" s="187" t="s">
        <v>48</v>
      </c>
      <c r="E28" s="9" t="s">
        <v>185</v>
      </c>
      <c r="F28" s="81">
        <f>SUMIFS('ФОТ, МТР, макро'!$E$4:$E$31,'ФОТ, МТР, макро'!$A$4:$A$31,$A28)</f>
        <v>0</v>
      </c>
      <c r="G28" s="82">
        <f>F28</f>
        <v>0</v>
      </c>
      <c r="H28" s="82">
        <f t="shared" ref="H28:Z28" si="12">G28</f>
        <v>0</v>
      </c>
      <c r="I28" s="82">
        <f t="shared" si="12"/>
        <v>0</v>
      </c>
      <c r="J28" s="82">
        <f t="shared" si="12"/>
        <v>0</v>
      </c>
      <c r="K28" s="82">
        <f t="shared" si="12"/>
        <v>0</v>
      </c>
      <c r="L28" s="82">
        <f t="shared" si="12"/>
        <v>0</v>
      </c>
      <c r="M28" s="82">
        <f t="shared" si="12"/>
        <v>0</v>
      </c>
      <c r="N28" s="82">
        <f t="shared" si="12"/>
        <v>0</v>
      </c>
      <c r="O28" s="82">
        <f t="shared" si="12"/>
        <v>0</v>
      </c>
      <c r="P28" s="82">
        <f t="shared" si="12"/>
        <v>0</v>
      </c>
      <c r="Q28" s="82">
        <f t="shared" si="12"/>
        <v>0</v>
      </c>
      <c r="R28" s="82">
        <f t="shared" si="12"/>
        <v>0</v>
      </c>
      <c r="S28" s="82">
        <f t="shared" si="12"/>
        <v>0</v>
      </c>
      <c r="T28" s="82">
        <f t="shared" si="12"/>
        <v>0</v>
      </c>
      <c r="U28" s="82">
        <f t="shared" si="12"/>
        <v>0</v>
      </c>
      <c r="V28" s="82">
        <f t="shared" si="12"/>
        <v>0</v>
      </c>
      <c r="W28" s="82">
        <f t="shared" si="12"/>
        <v>0</v>
      </c>
      <c r="X28" s="82">
        <f t="shared" si="12"/>
        <v>0</v>
      </c>
      <c r="Y28" s="82">
        <f t="shared" si="12"/>
        <v>0</v>
      </c>
      <c r="Z28" s="82">
        <f t="shared" si="12"/>
        <v>0</v>
      </c>
      <c r="AA28" s="175"/>
    </row>
    <row r="29" spans="1:27" hidden="1" outlineLevel="1" x14ac:dyDescent="0.25">
      <c r="A29" s="36" t="str">
        <f t="shared" si="2"/>
        <v>БС-215</v>
      </c>
      <c r="B29" s="36"/>
      <c r="D29" s="187" t="s">
        <v>49</v>
      </c>
      <c r="E29" s="9" t="s">
        <v>50</v>
      </c>
      <c r="F29" s="70"/>
      <c r="G29" s="74">
        <f>G11*G28</f>
        <v>0</v>
      </c>
      <c r="H29" s="74">
        <f t="shared" ref="H29:Z29" si="13">H11*H28</f>
        <v>0</v>
      </c>
      <c r="I29" s="74">
        <f t="shared" si="13"/>
        <v>0</v>
      </c>
      <c r="J29" s="74">
        <f t="shared" si="13"/>
        <v>0</v>
      </c>
      <c r="K29" s="74">
        <f t="shared" si="13"/>
        <v>0</v>
      </c>
      <c r="L29" s="74">
        <f t="shared" si="13"/>
        <v>0</v>
      </c>
      <c r="M29" s="74">
        <f t="shared" si="13"/>
        <v>0</v>
      </c>
      <c r="N29" s="74">
        <f t="shared" si="13"/>
        <v>0</v>
      </c>
      <c r="O29" s="74">
        <f t="shared" si="13"/>
        <v>0</v>
      </c>
      <c r="P29" s="74">
        <f t="shared" si="13"/>
        <v>0</v>
      </c>
      <c r="Q29" s="74">
        <f t="shared" si="13"/>
        <v>0</v>
      </c>
      <c r="R29" s="74">
        <f t="shared" si="13"/>
        <v>0</v>
      </c>
      <c r="S29" s="74">
        <f t="shared" si="13"/>
        <v>0</v>
      </c>
      <c r="T29" s="74">
        <f t="shared" si="13"/>
        <v>0</v>
      </c>
      <c r="U29" s="74">
        <f t="shared" si="13"/>
        <v>0</v>
      </c>
      <c r="V29" s="74">
        <f t="shared" si="13"/>
        <v>0</v>
      </c>
      <c r="W29" s="74">
        <f t="shared" si="13"/>
        <v>0</v>
      </c>
      <c r="X29" s="74">
        <f t="shared" si="13"/>
        <v>0</v>
      </c>
      <c r="Y29" s="74">
        <f t="shared" si="13"/>
        <v>0</v>
      </c>
      <c r="Z29" s="74">
        <f t="shared" si="13"/>
        <v>0</v>
      </c>
      <c r="AA29" s="175"/>
    </row>
    <row r="30" spans="1:27" hidden="1" outlineLevel="1" x14ac:dyDescent="0.25">
      <c r="A30" s="36" t="str">
        <f t="shared" si="2"/>
        <v>БС-215</v>
      </c>
      <c r="B30" s="36"/>
      <c r="D30" s="187" t="s">
        <v>51</v>
      </c>
      <c r="E30" s="9" t="s">
        <v>52</v>
      </c>
      <c r="F30" s="74">
        <f>SUMIFS('ФОТ, МТР, макро'!$F$4:$F$31,'ФОТ, МТР, макро'!$A$4:$A$31,$A30)</f>
        <v>0</v>
      </c>
      <c r="G30" s="83">
        <f>F30</f>
        <v>0</v>
      </c>
      <c r="H30" s="83">
        <f t="shared" ref="H30:Z30" si="14">G30</f>
        <v>0</v>
      </c>
      <c r="I30" s="83">
        <f t="shared" si="14"/>
        <v>0</v>
      </c>
      <c r="J30" s="83">
        <f t="shared" si="14"/>
        <v>0</v>
      </c>
      <c r="K30" s="83">
        <f t="shared" si="14"/>
        <v>0</v>
      </c>
      <c r="L30" s="83">
        <f t="shared" si="14"/>
        <v>0</v>
      </c>
      <c r="M30" s="83">
        <f t="shared" si="14"/>
        <v>0</v>
      </c>
      <c r="N30" s="83">
        <f t="shared" si="14"/>
        <v>0</v>
      </c>
      <c r="O30" s="83">
        <f t="shared" si="14"/>
        <v>0</v>
      </c>
      <c r="P30" s="83">
        <f t="shared" si="14"/>
        <v>0</v>
      </c>
      <c r="Q30" s="83">
        <f t="shared" si="14"/>
        <v>0</v>
      </c>
      <c r="R30" s="83">
        <f t="shared" si="14"/>
        <v>0</v>
      </c>
      <c r="S30" s="83">
        <f t="shared" si="14"/>
        <v>0</v>
      </c>
      <c r="T30" s="83">
        <f t="shared" si="14"/>
        <v>0</v>
      </c>
      <c r="U30" s="83">
        <f t="shared" si="14"/>
        <v>0</v>
      </c>
      <c r="V30" s="83">
        <f t="shared" si="14"/>
        <v>0</v>
      </c>
      <c r="W30" s="83">
        <f t="shared" si="14"/>
        <v>0</v>
      </c>
      <c r="X30" s="83">
        <f t="shared" si="14"/>
        <v>0</v>
      </c>
      <c r="Y30" s="83">
        <f t="shared" si="14"/>
        <v>0</v>
      </c>
      <c r="Z30" s="83">
        <f t="shared" si="14"/>
        <v>0</v>
      </c>
      <c r="AA30" s="175"/>
    </row>
    <row r="31" spans="1:27" hidden="1" outlineLevel="1" x14ac:dyDescent="0.25">
      <c r="A31" s="36" t="str">
        <f t="shared" si="2"/>
        <v>БС-215</v>
      </c>
      <c r="B31" s="36"/>
      <c r="D31" s="183" t="s">
        <v>187</v>
      </c>
      <c r="E31" s="64" t="str">
        <f>E15</f>
        <v>тыс. руб.</v>
      </c>
      <c r="F31" s="70"/>
      <c r="G31" s="80">
        <f>G11*G32</f>
        <v>0</v>
      </c>
      <c r="H31" s="80">
        <f t="shared" ref="H31:Z31" si="15">H11*H32</f>
        <v>0</v>
      </c>
      <c r="I31" s="80">
        <f t="shared" si="15"/>
        <v>0</v>
      </c>
      <c r="J31" s="80">
        <f t="shared" si="15"/>
        <v>0</v>
      </c>
      <c r="K31" s="80">
        <f t="shared" si="15"/>
        <v>0</v>
      </c>
      <c r="L31" s="80">
        <f t="shared" si="15"/>
        <v>0</v>
      </c>
      <c r="M31" s="80">
        <f t="shared" si="15"/>
        <v>0</v>
      </c>
      <c r="N31" s="80">
        <f t="shared" si="15"/>
        <v>0</v>
      </c>
      <c r="O31" s="80">
        <f t="shared" si="15"/>
        <v>0</v>
      </c>
      <c r="P31" s="80">
        <f t="shared" si="15"/>
        <v>0</v>
      </c>
      <c r="Q31" s="80">
        <f t="shared" si="15"/>
        <v>0</v>
      </c>
      <c r="R31" s="80">
        <f t="shared" si="15"/>
        <v>0</v>
      </c>
      <c r="S31" s="80">
        <f t="shared" si="15"/>
        <v>0</v>
      </c>
      <c r="T31" s="80">
        <f t="shared" si="15"/>
        <v>0</v>
      </c>
      <c r="U31" s="80">
        <f t="shared" si="15"/>
        <v>0</v>
      </c>
      <c r="V31" s="80">
        <f t="shared" si="15"/>
        <v>0</v>
      </c>
      <c r="W31" s="80">
        <f t="shared" si="15"/>
        <v>0</v>
      </c>
      <c r="X31" s="80">
        <f t="shared" si="15"/>
        <v>0</v>
      </c>
      <c r="Y31" s="80">
        <f t="shared" si="15"/>
        <v>0</v>
      </c>
      <c r="Z31" s="80">
        <f t="shared" si="15"/>
        <v>0</v>
      </c>
      <c r="AA31" s="175"/>
    </row>
    <row r="32" spans="1:27" hidden="1" outlineLevel="1" x14ac:dyDescent="0.25">
      <c r="A32" s="36" t="str">
        <f t="shared" si="2"/>
        <v>БС-215</v>
      </c>
      <c r="B32" s="36"/>
      <c r="D32" s="187" t="s">
        <v>48</v>
      </c>
      <c r="E32" s="9" t="s">
        <v>188</v>
      </c>
      <c r="F32" s="74">
        <f>SUMIFS('ФОТ, МТР, макро'!$H$4:$H$31,'ФОТ, МТР, макро'!$A$4:$A$31,$A32)</f>
        <v>0</v>
      </c>
      <c r="G32" s="83">
        <f>F32</f>
        <v>0</v>
      </c>
      <c r="H32" s="83">
        <f t="shared" ref="H32:Z32" si="16">G32</f>
        <v>0</v>
      </c>
      <c r="I32" s="83">
        <f t="shared" si="16"/>
        <v>0</v>
      </c>
      <c r="J32" s="83">
        <f t="shared" si="16"/>
        <v>0</v>
      </c>
      <c r="K32" s="83">
        <f t="shared" si="16"/>
        <v>0</v>
      </c>
      <c r="L32" s="83">
        <f t="shared" si="16"/>
        <v>0</v>
      </c>
      <c r="M32" s="83">
        <f t="shared" si="16"/>
        <v>0</v>
      </c>
      <c r="N32" s="83">
        <f t="shared" si="16"/>
        <v>0</v>
      </c>
      <c r="O32" s="83">
        <f t="shared" si="16"/>
        <v>0</v>
      </c>
      <c r="P32" s="83">
        <f t="shared" si="16"/>
        <v>0</v>
      </c>
      <c r="Q32" s="83">
        <f t="shared" si="16"/>
        <v>0</v>
      </c>
      <c r="R32" s="83">
        <f t="shared" si="16"/>
        <v>0</v>
      </c>
      <c r="S32" s="83">
        <f t="shared" si="16"/>
        <v>0</v>
      </c>
      <c r="T32" s="83">
        <f t="shared" si="16"/>
        <v>0</v>
      </c>
      <c r="U32" s="83">
        <f t="shared" si="16"/>
        <v>0</v>
      </c>
      <c r="V32" s="83">
        <f t="shared" si="16"/>
        <v>0</v>
      </c>
      <c r="W32" s="83">
        <f t="shared" si="16"/>
        <v>0</v>
      </c>
      <c r="X32" s="83">
        <f t="shared" si="16"/>
        <v>0</v>
      </c>
      <c r="Y32" s="83">
        <f t="shared" si="16"/>
        <v>0</v>
      </c>
      <c r="Z32" s="83">
        <f t="shared" si="16"/>
        <v>0</v>
      </c>
      <c r="AA32" s="175"/>
    </row>
    <row r="33" spans="1:27" hidden="1" outlineLevel="1" x14ac:dyDescent="0.25">
      <c r="A33" s="36" t="str">
        <f t="shared" si="2"/>
        <v>БС-215</v>
      </c>
      <c r="B33" s="36"/>
      <c r="C33" s="193">
        <f>SUMIFS('ФОТ, МТР, макро'!$N$4:$N$31,'ФОТ, МТР, макро'!$J$4:$J$31,$A33)</f>
        <v>1</v>
      </c>
      <c r="D33" s="63" t="s">
        <v>189</v>
      </c>
      <c r="E33" s="64" t="str">
        <f>E15</f>
        <v>тыс. руб.</v>
      </c>
      <c r="F33" s="83"/>
      <c r="G33" s="80">
        <f>IF($C33=1,G34,G38)</f>
        <v>16532.217269905108</v>
      </c>
      <c r="H33" s="80">
        <f t="shared" ref="H33:Z33" si="17">IF($C33=1,H34,H38)</f>
        <v>16484.631132404778</v>
      </c>
      <c r="I33" s="80">
        <f t="shared" si="17"/>
        <v>16460.838063654617</v>
      </c>
      <c r="J33" s="80">
        <f t="shared" si="17"/>
        <v>15913.597482400861</v>
      </c>
      <c r="K33" s="80">
        <f t="shared" si="17"/>
        <v>16437.044994904452</v>
      </c>
      <c r="L33" s="80">
        <f t="shared" si="17"/>
        <v>16318.079651153634</v>
      </c>
      <c r="M33" s="80">
        <f t="shared" si="17"/>
        <v>15913.597482400861</v>
      </c>
      <c r="N33" s="80">
        <f t="shared" si="17"/>
        <v>16389.458857404126</v>
      </c>
      <c r="O33" s="80">
        <f t="shared" si="17"/>
        <v>16413.251926154291</v>
      </c>
      <c r="P33" s="80">
        <f t="shared" si="17"/>
        <v>15866.011344900535</v>
      </c>
      <c r="Q33" s="80">
        <f t="shared" si="17"/>
        <v>16341.8727199038</v>
      </c>
      <c r="R33" s="80">
        <f t="shared" si="17"/>
        <v>16460.838063654617</v>
      </c>
      <c r="S33" s="80">
        <f t="shared" si="17"/>
        <v>0</v>
      </c>
      <c r="T33" s="80">
        <f t="shared" si="17"/>
        <v>0</v>
      </c>
      <c r="U33" s="80">
        <f t="shared" si="17"/>
        <v>0</v>
      </c>
      <c r="V33" s="80">
        <f t="shared" si="17"/>
        <v>0</v>
      </c>
      <c r="W33" s="80">
        <f t="shared" si="17"/>
        <v>0</v>
      </c>
      <c r="X33" s="80">
        <f t="shared" si="17"/>
        <v>0</v>
      </c>
      <c r="Y33" s="80">
        <f t="shared" si="17"/>
        <v>0</v>
      </c>
      <c r="Z33" s="80">
        <f t="shared" si="17"/>
        <v>0</v>
      </c>
      <c r="AA33" s="175"/>
    </row>
    <row r="34" spans="1:27" hidden="1" outlineLevel="1" x14ac:dyDescent="0.25">
      <c r="A34" s="36" t="str">
        <f t="shared" si="2"/>
        <v>БС-215</v>
      </c>
      <c r="B34" s="36"/>
      <c r="D34" s="192" t="s">
        <v>190</v>
      </c>
      <c r="E34" s="188" t="str">
        <f>E33</f>
        <v>тыс. руб.</v>
      </c>
      <c r="F34" s="189"/>
      <c r="G34" s="190">
        <f>G36*G37</f>
        <v>16532.217269905108</v>
      </c>
      <c r="H34" s="190">
        <f t="shared" ref="H34:Z34" si="18">H36*H37</f>
        <v>16484.631132404778</v>
      </c>
      <c r="I34" s="190">
        <f t="shared" si="18"/>
        <v>16460.838063654617</v>
      </c>
      <c r="J34" s="190">
        <f t="shared" si="18"/>
        <v>15913.597482400861</v>
      </c>
      <c r="K34" s="190">
        <f t="shared" si="18"/>
        <v>16437.044994904452</v>
      </c>
      <c r="L34" s="190">
        <f t="shared" si="18"/>
        <v>16318.079651153634</v>
      </c>
      <c r="M34" s="190">
        <f t="shared" si="18"/>
        <v>15913.597482400861</v>
      </c>
      <c r="N34" s="190">
        <f t="shared" si="18"/>
        <v>16389.458857404126</v>
      </c>
      <c r="O34" s="190">
        <f t="shared" si="18"/>
        <v>16413.251926154291</v>
      </c>
      <c r="P34" s="190">
        <f t="shared" si="18"/>
        <v>15866.011344900535</v>
      </c>
      <c r="Q34" s="190">
        <f t="shared" si="18"/>
        <v>16341.8727199038</v>
      </c>
      <c r="R34" s="190">
        <f t="shared" si="18"/>
        <v>16460.838063654617</v>
      </c>
      <c r="S34" s="190">
        <f t="shared" si="18"/>
        <v>0</v>
      </c>
      <c r="T34" s="190">
        <f t="shared" si="18"/>
        <v>0</v>
      </c>
      <c r="U34" s="190">
        <f t="shared" si="18"/>
        <v>0</v>
      </c>
      <c r="V34" s="190">
        <f t="shared" si="18"/>
        <v>0</v>
      </c>
      <c r="W34" s="190">
        <f t="shared" si="18"/>
        <v>0</v>
      </c>
      <c r="X34" s="190">
        <f t="shared" si="18"/>
        <v>0</v>
      </c>
      <c r="Y34" s="190">
        <f t="shared" si="18"/>
        <v>0</v>
      </c>
      <c r="Z34" s="190">
        <f t="shared" si="18"/>
        <v>0</v>
      </c>
      <c r="AA34" s="175"/>
    </row>
    <row r="35" spans="1:27" hidden="1" outlineLevel="1" x14ac:dyDescent="0.25">
      <c r="A35" s="36" t="str">
        <f t="shared" si="2"/>
        <v>БС-215</v>
      </c>
      <c r="B35" s="36"/>
      <c r="D35" s="187" t="s">
        <v>48</v>
      </c>
      <c r="E35" s="73" t="str">
        <f>VLOOKUP($A35,'ФОТ, МТР, макро'!$J$4:$N$31,2,FALSE)</f>
        <v>кг/час</v>
      </c>
      <c r="F35" s="74">
        <f>SUMIFS('ФОТ, МТР, макро'!$L$4:$L$31,'ФОТ, МТР, макро'!$J$4:$J$31,$A35)</f>
        <v>38.01483145946878</v>
      </c>
      <c r="G35" s="83">
        <f>F35</f>
        <v>38.01483145946878</v>
      </c>
      <c r="H35" s="83">
        <f t="shared" ref="H35:Z35" si="19">G35</f>
        <v>38.01483145946878</v>
      </c>
      <c r="I35" s="83">
        <f t="shared" si="19"/>
        <v>38.01483145946878</v>
      </c>
      <c r="J35" s="83">
        <f t="shared" si="19"/>
        <v>38.01483145946878</v>
      </c>
      <c r="K35" s="83">
        <f t="shared" si="19"/>
        <v>38.01483145946878</v>
      </c>
      <c r="L35" s="83">
        <f t="shared" si="19"/>
        <v>38.01483145946878</v>
      </c>
      <c r="M35" s="83">
        <f t="shared" si="19"/>
        <v>38.01483145946878</v>
      </c>
      <c r="N35" s="83">
        <f t="shared" si="19"/>
        <v>38.01483145946878</v>
      </c>
      <c r="O35" s="83">
        <f t="shared" si="19"/>
        <v>38.01483145946878</v>
      </c>
      <c r="P35" s="83">
        <f t="shared" si="19"/>
        <v>38.01483145946878</v>
      </c>
      <c r="Q35" s="83">
        <f t="shared" si="19"/>
        <v>38.01483145946878</v>
      </c>
      <c r="R35" s="83">
        <f t="shared" si="19"/>
        <v>38.01483145946878</v>
      </c>
      <c r="S35" s="83">
        <f t="shared" si="19"/>
        <v>38.01483145946878</v>
      </c>
      <c r="T35" s="83">
        <f t="shared" si="19"/>
        <v>38.01483145946878</v>
      </c>
      <c r="U35" s="83">
        <f t="shared" si="19"/>
        <v>38.01483145946878</v>
      </c>
      <c r="V35" s="83">
        <f t="shared" si="19"/>
        <v>38.01483145946878</v>
      </c>
      <c r="W35" s="83">
        <f t="shared" si="19"/>
        <v>38.01483145946878</v>
      </c>
      <c r="X35" s="83">
        <f t="shared" si="19"/>
        <v>38.01483145946878</v>
      </c>
      <c r="Y35" s="83">
        <f t="shared" si="19"/>
        <v>38.01483145946878</v>
      </c>
      <c r="Z35" s="83">
        <f t="shared" si="19"/>
        <v>38.01483145946878</v>
      </c>
      <c r="AA35" s="175"/>
    </row>
    <row r="36" spans="1:27" hidden="1" outlineLevel="1" x14ac:dyDescent="0.25">
      <c r="A36" s="36" t="str">
        <f t="shared" si="2"/>
        <v>БС-215</v>
      </c>
      <c r="B36" s="36"/>
      <c r="D36" s="187" t="s">
        <v>49</v>
      </c>
      <c r="E36" s="73" t="str">
        <f>IF(E35="кг/час","т","тыс. кВт*ч")</f>
        <v>т</v>
      </c>
      <c r="F36" s="83"/>
      <c r="G36" s="74">
        <f>G$3*G10*G35/1000</f>
        <v>250.41635637602874</v>
      </c>
      <c r="H36" s="74">
        <f t="shared" ref="H36:Z36" si="20">H$3*H10*H35/1000</f>
        <v>249.69556091512388</v>
      </c>
      <c r="I36" s="74">
        <f t="shared" si="20"/>
        <v>249.33516318467144</v>
      </c>
      <c r="J36" s="74">
        <f t="shared" si="20"/>
        <v>241.04601538426559</v>
      </c>
      <c r="K36" s="74">
        <f t="shared" si="20"/>
        <v>248.97476545421898</v>
      </c>
      <c r="L36" s="74">
        <f t="shared" si="20"/>
        <v>247.17277680195684</v>
      </c>
      <c r="M36" s="74">
        <f t="shared" si="20"/>
        <v>241.04601538426559</v>
      </c>
      <c r="N36" s="74">
        <f t="shared" si="20"/>
        <v>248.25396999331414</v>
      </c>
      <c r="O36" s="74">
        <f t="shared" si="20"/>
        <v>248.61436772376661</v>
      </c>
      <c r="P36" s="74">
        <f t="shared" si="20"/>
        <v>240.32521992336075</v>
      </c>
      <c r="Q36" s="74">
        <f t="shared" si="20"/>
        <v>247.5331745324093</v>
      </c>
      <c r="R36" s="74">
        <f t="shared" si="20"/>
        <v>249.33516318467144</v>
      </c>
      <c r="S36" s="74">
        <f t="shared" si="20"/>
        <v>0</v>
      </c>
      <c r="T36" s="74">
        <f t="shared" si="20"/>
        <v>0</v>
      </c>
      <c r="U36" s="74">
        <f t="shared" si="20"/>
        <v>0</v>
      </c>
      <c r="V36" s="74">
        <f t="shared" si="20"/>
        <v>0</v>
      </c>
      <c r="W36" s="74">
        <f t="shared" si="20"/>
        <v>0</v>
      </c>
      <c r="X36" s="74">
        <f t="shared" si="20"/>
        <v>0</v>
      </c>
      <c r="Y36" s="74">
        <f t="shared" si="20"/>
        <v>0</v>
      </c>
      <c r="Z36" s="74">
        <f t="shared" si="20"/>
        <v>0</v>
      </c>
      <c r="AA36" s="175"/>
    </row>
    <row r="37" spans="1:27" hidden="1" outlineLevel="1" x14ac:dyDescent="0.25">
      <c r="A37" s="36" t="str">
        <f t="shared" si="2"/>
        <v>БС-215</v>
      </c>
      <c r="B37" s="36"/>
      <c r="D37" s="187" t="s">
        <v>51</v>
      </c>
      <c r="E37" s="73" t="str">
        <f>IF(E36="т","тыс. руб./т","руб./кВт*ч")</f>
        <v>тыс. руб./т</v>
      </c>
      <c r="F37" s="74">
        <f>IF(E36="т",'ФОТ, МТР, макро'!$Q$2,'ФОТ, МТР, макро'!$Q$15)</f>
        <v>66.018919487352079</v>
      </c>
      <c r="G37" s="83">
        <f>F37</f>
        <v>66.018919487352079</v>
      </c>
      <c r="H37" s="83">
        <f t="shared" ref="H37:Z37" si="21">G37</f>
        <v>66.018919487352079</v>
      </c>
      <c r="I37" s="83">
        <f t="shared" si="21"/>
        <v>66.018919487352079</v>
      </c>
      <c r="J37" s="83">
        <f t="shared" si="21"/>
        <v>66.018919487352079</v>
      </c>
      <c r="K37" s="83">
        <f t="shared" si="21"/>
        <v>66.018919487352079</v>
      </c>
      <c r="L37" s="83">
        <f t="shared" si="21"/>
        <v>66.018919487352079</v>
      </c>
      <c r="M37" s="83">
        <f t="shared" si="21"/>
        <v>66.018919487352079</v>
      </c>
      <c r="N37" s="83">
        <f t="shared" si="21"/>
        <v>66.018919487352079</v>
      </c>
      <c r="O37" s="83">
        <f t="shared" si="21"/>
        <v>66.018919487352079</v>
      </c>
      <c r="P37" s="83">
        <f t="shared" si="21"/>
        <v>66.018919487352079</v>
      </c>
      <c r="Q37" s="83">
        <f t="shared" si="21"/>
        <v>66.018919487352079</v>
      </c>
      <c r="R37" s="83">
        <f t="shared" si="21"/>
        <v>66.018919487352079</v>
      </c>
      <c r="S37" s="83">
        <f t="shared" si="21"/>
        <v>66.018919487352079</v>
      </c>
      <c r="T37" s="83">
        <f t="shared" si="21"/>
        <v>66.018919487352079</v>
      </c>
      <c r="U37" s="83">
        <f t="shared" si="21"/>
        <v>66.018919487352079</v>
      </c>
      <c r="V37" s="83">
        <f t="shared" si="21"/>
        <v>66.018919487352079</v>
      </c>
      <c r="W37" s="83">
        <f t="shared" si="21"/>
        <v>66.018919487352079</v>
      </c>
      <c r="X37" s="83">
        <f t="shared" si="21"/>
        <v>66.018919487352079</v>
      </c>
      <c r="Y37" s="83">
        <f t="shared" si="21"/>
        <v>66.018919487352079</v>
      </c>
      <c r="Z37" s="83">
        <f t="shared" si="21"/>
        <v>66.018919487352079</v>
      </c>
      <c r="AA37" s="175"/>
    </row>
    <row r="38" spans="1:27" hidden="1" outlineLevel="1" x14ac:dyDescent="0.25">
      <c r="A38" s="36" t="str">
        <f t="shared" si="2"/>
        <v>БС-215</v>
      </c>
      <c r="B38" s="36"/>
      <c r="D38" s="192" t="s">
        <v>191</v>
      </c>
      <c r="E38" s="188" t="str">
        <f>E34</f>
        <v>тыс. руб.</v>
      </c>
      <c r="F38" s="83"/>
      <c r="G38" s="190">
        <f>G40*G41</f>
        <v>16634.489389965765</v>
      </c>
      <c r="H38" s="190">
        <f t="shared" ref="H38:Z38" si="22">H40*H41</f>
        <v>16586.608873611825</v>
      </c>
      <c r="I38" s="190">
        <f t="shared" si="22"/>
        <v>16562.66861543485</v>
      </c>
      <c r="J38" s="190">
        <f t="shared" si="22"/>
        <v>16012.042677364505</v>
      </c>
      <c r="K38" s="190">
        <f t="shared" si="22"/>
        <v>16538.728357257878</v>
      </c>
      <c r="L38" s="190">
        <f t="shared" si="22"/>
        <v>16419.027066373023</v>
      </c>
      <c r="M38" s="190">
        <f t="shared" si="22"/>
        <v>16012.042677364505</v>
      </c>
      <c r="N38" s="190">
        <f t="shared" si="22"/>
        <v>16490.847840903938</v>
      </c>
      <c r="O38" s="190">
        <f t="shared" si="22"/>
        <v>16514.78809908091</v>
      </c>
      <c r="P38" s="190">
        <f t="shared" si="22"/>
        <v>15964.162161010563</v>
      </c>
      <c r="Q38" s="190">
        <f t="shared" si="22"/>
        <v>16442.967324549991</v>
      </c>
      <c r="R38" s="190">
        <f t="shared" si="22"/>
        <v>16562.66861543485</v>
      </c>
      <c r="S38" s="190">
        <f t="shared" si="22"/>
        <v>0</v>
      </c>
      <c r="T38" s="190">
        <f t="shared" si="22"/>
        <v>0</v>
      </c>
      <c r="U38" s="190">
        <f t="shared" si="22"/>
        <v>0</v>
      </c>
      <c r="V38" s="190">
        <f t="shared" si="22"/>
        <v>0</v>
      </c>
      <c r="W38" s="190">
        <f t="shared" si="22"/>
        <v>0</v>
      </c>
      <c r="X38" s="190">
        <f t="shared" si="22"/>
        <v>0</v>
      </c>
      <c r="Y38" s="190">
        <f t="shared" si="22"/>
        <v>0</v>
      </c>
      <c r="Z38" s="190">
        <f t="shared" si="22"/>
        <v>0</v>
      </c>
      <c r="AA38" s="175"/>
    </row>
    <row r="39" spans="1:27" hidden="1" outlineLevel="1" x14ac:dyDescent="0.25">
      <c r="A39" s="36" t="str">
        <f t="shared" si="2"/>
        <v>БС-215</v>
      </c>
      <c r="B39" s="36"/>
      <c r="D39" s="187" t="s">
        <v>48</v>
      </c>
      <c r="E39" s="196" t="str">
        <f>E35</f>
        <v>кг/час</v>
      </c>
      <c r="F39" s="74">
        <f>SUMIFS('ФОТ, МТР, макро'!$M$4:$M$31,'ФОТ, МТР, макро'!$J$4:$J$31,$A39)</f>
        <v>38.25</v>
      </c>
      <c r="G39" s="83">
        <f>F39</f>
        <v>38.25</v>
      </c>
      <c r="H39" s="83">
        <f t="shared" ref="H39:Z39" si="23">G39</f>
        <v>38.25</v>
      </c>
      <c r="I39" s="83">
        <f t="shared" si="23"/>
        <v>38.25</v>
      </c>
      <c r="J39" s="83">
        <f t="shared" si="23"/>
        <v>38.25</v>
      </c>
      <c r="K39" s="83">
        <f t="shared" si="23"/>
        <v>38.25</v>
      </c>
      <c r="L39" s="83">
        <f t="shared" si="23"/>
        <v>38.25</v>
      </c>
      <c r="M39" s="83">
        <f t="shared" si="23"/>
        <v>38.25</v>
      </c>
      <c r="N39" s="83">
        <f t="shared" si="23"/>
        <v>38.25</v>
      </c>
      <c r="O39" s="83">
        <f t="shared" si="23"/>
        <v>38.25</v>
      </c>
      <c r="P39" s="83">
        <f t="shared" si="23"/>
        <v>38.25</v>
      </c>
      <c r="Q39" s="83">
        <f t="shared" si="23"/>
        <v>38.25</v>
      </c>
      <c r="R39" s="83">
        <f t="shared" si="23"/>
        <v>38.25</v>
      </c>
      <c r="S39" s="83">
        <f t="shared" si="23"/>
        <v>38.25</v>
      </c>
      <c r="T39" s="83">
        <f t="shared" si="23"/>
        <v>38.25</v>
      </c>
      <c r="U39" s="83">
        <f t="shared" si="23"/>
        <v>38.25</v>
      </c>
      <c r="V39" s="83">
        <f t="shared" si="23"/>
        <v>38.25</v>
      </c>
      <c r="W39" s="83">
        <f t="shared" si="23"/>
        <v>38.25</v>
      </c>
      <c r="X39" s="83">
        <f t="shared" si="23"/>
        <v>38.25</v>
      </c>
      <c r="Y39" s="83">
        <f t="shared" si="23"/>
        <v>38.25</v>
      </c>
      <c r="Z39" s="83">
        <f t="shared" si="23"/>
        <v>38.25</v>
      </c>
      <c r="AA39" s="175"/>
    </row>
    <row r="40" spans="1:27" hidden="1" outlineLevel="1" x14ac:dyDescent="0.25">
      <c r="A40" s="36" t="str">
        <f t="shared" si="2"/>
        <v>БС-215</v>
      </c>
      <c r="B40" s="36"/>
      <c r="D40" s="187" t="s">
        <v>49</v>
      </c>
      <c r="E40" s="196" t="str">
        <f t="shared" ref="E40:E41" si="24">E36</f>
        <v>т</v>
      </c>
      <c r="F40" s="83"/>
      <c r="G40" s="74">
        <f>G$3*G10*G39/1000</f>
        <v>251.96548987980037</v>
      </c>
      <c r="H40" s="74">
        <f t="shared" ref="H40:Z40" si="25">H$3*H10*H39/1000</f>
        <v>251.24023541144888</v>
      </c>
      <c r="I40" s="74">
        <f t="shared" si="25"/>
        <v>250.87760817727303</v>
      </c>
      <c r="J40" s="74">
        <f t="shared" si="25"/>
        <v>242.53718179123027</v>
      </c>
      <c r="K40" s="74">
        <f t="shared" si="25"/>
        <v>250.51498094309727</v>
      </c>
      <c r="L40" s="74">
        <f t="shared" si="25"/>
        <v>248.70184477221841</v>
      </c>
      <c r="M40" s="74">
        <f t="shared" si="25"/>
        <v>242.53718179123027</v>
      </c>
      <c r="N40" s="74">
        <f t="shared" si="25"/>
        <v>249.78972647474575</v>
      </c>
      <c r="O40" s="74">
        <f t="shared" si="25"/>
        <v>250.15235370892154</v>
      </c>
      <c r="P40" s="74">
        <f t="shared" si="25"/>
        <v>241.81192732287872</v>
      </c>
      <c r="Q40" s="74">
        <f t="shared" si="25"/>
        <v>249.06447200639417</v>
      </c>
      <c r="R40" s="74">
        <f t="shared" si="25"/>
        <v>250.87760817727303</v>
      </c>
      <c r="S40" s="74">
        <f t="shared" si="25"/>
        <v>0</v>
      </c>
      <c r="T40" s="74">
        <f t="shared" si="25"/>
        <v>0</v>
      </c>
      <c r="U40" s="74">
        <f t="shared" si="25"/>
        <v>0</v>
      </c>
      <c r="V40" s="74">
        <f t="shared" si="25"/>
        <v>0</v>
      </c>
      <c r="W40" s="74">
        <f t="shared" si="25"/>
        <v>0</v>
      </c>
      <c r="X40" s="74">
        <f t="shared" si="25"/>
        <v>0</v>
      </c>
      <c r="Y40" s="74">
        <f t="shared" si="25"/>
        <v>0</v>
      </c>
      <c r="Z40" s="74">
        <f t="shared" si="25"/>
        <v>0</v>
      </c>
      <c r="AA40" s="175"/>
    </row>
    <row r="41" spans="1:27" hidden="1" outlineLevel="1" x14ac:dyDescent="0.25">
      <c r="A41" s="36" t="str">
        <f t="shared" si="2"/>
        <v>БС-215</v>
      </c>
      <c r="B41" s="36"/>
      <c r="D41" s="187" t="s">
        <v>51</v>
      </c>
      <c r="E41" s="196" t="str">
        <f t="shared" si="24"/>
        <v>тыс. руб./т</v>
      </c>
      <c r="F41" s="83"/>
      <c r="G41" s="83">
        <f>G37</f>
        <v>66.018919487352079</v>
      </c>
      <c r="H41" s="83">
        <f t="shared" ref="H41:Z41" si="26">H37</f>
        <v>66.018919487352079</v>
      </c>
      <c r="I41" s="83">
        <f t="shared" si="26"/>
        <v>66.018919487352079</v>
      </c>
      <c r="J41" s="83">
        <f t="shared" si="26"/>
        <v>66.018919487352079</v>
      </c>
      <c r="K41" s="83">
        <f t="shared" si="26"/>
        <v>66.018919487352079</v>
      </c>
      <c r="L41" s="83">
        <f t="shared" si="26"/>
        <v>66.018919487352079</v>
      </c>
      <c r="M41" s="83">
        <f t="shared" si="26"/>
        <v>66.018919487352079</v>
      </c>
      <c r="N41" s="83">
        <f t="shared" si="26"/>
        <v>66.018919487352079</v>
      </c>
      <c r="O41" s="83">
        <f t="shared" si="26"/>
        <v>66.018919487352079</v>
      </c>
      <c r="P41" s="83">
        <f t="shared" si="26"/>
        <v>66.018919487352079</v>
      </c>
      <c r="Q41" s="83">
        <f t="shared" si="26"/>
        <v>66.018919487352079</v>
      </c>
      <c r="R41" s="83">
        <f t="shared" si="26"/>
        <v>66.018919487352079</v>
      </c>
      <c r="S41" s="83">
        <f t="shared" si="26"/>
        <v>66.018919487352079</v>
      </c>
      <c r="T41" s="83">
        <f t="shared" si="26"/>
        <v>66.018919487352079</v>
      </c>
      <c r="U41" s="83">
        <f t="shared" si="26"/>
        <v>66.018919487352079</v>
      </c>
      <c r="V41" s="83">
        <f t="shared" si="26"/>
        <v>66.018919487352079</v>
      </c>
      <c r="W41" s="83">
        <f t="shared" si="26"/>
        <v>66.018919487352079</v>
      </c>
      <c r="X41" s="83">
        <f t="shared" si="26"/>
        <v>66.018919487352079</v>
      </c>
      <c r="Y41" s="83">
        <f t="shared" si="26"/>
        <v>66.018919487352079</v>
      </c>
      <c r="Z41" s="83">
        <f t="shared" si="26"/>
        <v>66.018919487352079</v>
      </c>
      <c r="AA41" s="175"/>
    </row>
    <row r="42" spans="1:27" hidden="1" outlineLevel="1" x14ac:dyDescent="0.25">
      <c r="A42" s="36" t="str">
        <f t="shared" si="2"/>
        <v>БС-215</v>
      </c>
      <c r="B42" s="36"/>
      <c r="D42" s="63" t="s">
        <v>55</v>
      </c>
      <c r="E42" s="64" t="str">
        <f>E15</f>
        <v>тыс. руб.</v>
      </c>
      <c r="F42" s="70"/>
      <c r="G42" s="80">
        <f>G43+G44</f>
        <v>15710.122113662099</v>
      </c>
      <c r="H42" s="80">
        <f t="shared" ref="H42:Z42" si="27">H43+H44</f>
        <v>15710.122113662099</v>
      </c>
      <c r="I42" s="80">
        <f t="shared" si="27"/>
        <v>15710.122113662099</v>
      </c>
      <c r="J42" s="80">
        <f t="shared" si="27"/>
        <v>15710.122113662099</v>
      </c>
      <c r="K42" s="80">
        <f t="shared" si="27"/>
        <v>15710.122113662099</v>
      </c>
      <c r="L42" s="80">
        <f t="shared" si="27"/>
        <v>15710.122113662099</v>
      </c>
      <c r="M42" s="80">
        <f t="shared" si="27"/>
        <v>15710.122113662099</v>
      </c>
      <c r="N42" s="80">
        <f t="shared" si="27"/>
        <v>15710.122113662099</v>
      </c>
      <c r="O42" s="80">
        <f t="shared" si="27"/>
        <v>15710.122113662099</v>
      </c>
      <c r="P42" s="80">
        <f t="shared" si="27"/>
        <v>15710.122113662099</v>
      </c>
      <c r="Q42" s="80">
        <f t="shared" si="27"/>
        <v>15710.122113662099</v>
      </c>
      <c r="R42" s="80">
        <f t="shared" si="27"/>
        <v>15710.122113662099</v>
      </c>
      <c r="S42" s="80">
        <f t="shared" si="27"/>
        <v>0</v>
      </c>
      <c r="T42" s="80">
        <f t="shared" si="27"/>
        <v>0</v>
      </c>
      <c r="U42" s="80">
        <f t="shared" si="27"/>
        <v>0</v>
      </c>
      <c r="V42" s="80">
        <f t="shared" si="27"/>
        <v>0</v>
      </c>
      <c r="W42" s="80">
        <f t="shared" si="27"/>
        <v>0</v>
      </c>
      <c r="X42" s="80">
        <f t="shared" si="27"/>
        <v>0</v>
      </c>
      <c r="Y42" s="80">
        <f t="shared" si="27"/>
        <v>0</v>
      </c>
      <c r="Z42" s="80">
        <f t="shared" si="27"/>
        <v>0</v>
      </c>
      <c r="AA42" s="175"/>
    </row>
    <row r="43" spans="1:27" hidden="1" outlineLevel="1" x14ac:dyDescent="0.25">
      <c r="A43" s="36" t="str">
        <f t="shared" si="2"/>
        <v>БС-215</v>
      </c>
      <c r="B43" s="36"/>
      <c r="D43" s="187" t="s">
        <v>213</v>
      </c>
      <c r="E43" s="9" t="str">
        <f>E42</f>
        <v>тыс. руб.</v>
      </c>
      <c r="F43" s="74">
        <f>SUMIFS('ФОТ, МТР, макро'!$X$4:$X$31,'ФОТ, МТР, макро'!$W$4:$W$31,$A43)</f>
        <v>12529.553373000001</v>
      </c>
      <c r="G43" s="83">
        <f>IF(G11=0,0,$F43)</f>
        <v>12529.553373000001</v>
      </c>
      <c r="H43" s="83">
        <f t="shared" ref="H43:Z43" si="28">IF(H11=0,0,$F43)</f>
        <v>12529.553373000001</v>
      </c>
      <c r="I43" s="83">
        <f t="shared" si="28"/>
        <v>12529.553373000001</v>
      </c>
      <c r="J43" s="83">
        <f t="shared" si="28"/>
        <v>12529.553373000001</v>
      </c>
      <c r="K43" s="83">
        <f t="shared" si="28"/>
        <v>12529.553373000001</v>
      </c>
      <c r="L43" s="83">
        <f t="shared" si="28"/>
        <v>12529.553373000001</v>
      </c>
      <c r="M43" s="83">
        <f t="shared" si="28"/>
        <v>12529.553373000001</v>
      </c>
      <c r="N43" s="83">
        <f t="shared" si="28"/>
        <v>12529.553373000001</v>
      </c>
      <c r="O43" s="83">
        <f t="shared" si="28"/>
        <v>12529.553373000001</v>
      </c>
      <c r="P43" s="83">
        <f t="shared" si="28"/>
        <v>12529.553373000001</v>
      </c>
      <c r="Q43" s="83">
        <f t="shared" si="28"/>
        <v>12529.553373000001</v>
      </c>
      <c r="R43" s="83">
        <f t="shared" si="28"/>
        <v>12529.553373000001</v>
      </c>
      <c r="S43" s="83">
        <f t="shared" si="28"/>
        <v>0</v>
      </c>
      <c r="T43" s="83">
        <f t="shared" si="28"/>
        <v>0</v>
      </c>
      <c r="U43" s="83">
        <f t="shared" si="28"/>
        <v>0</v>
      </c>
      <c r="V43" s="83">
        <f t="shared" si="28"/>
        <v>0</v>
      </c>
      <c r="W43" s="83">
        <f t="shared" si="28"/>
        <v>0</v>
      </c>
      <c r="X43" s="83">
        <f t="shared" si="28"/>
        <v>0</v>
      </c>
      <c r="Y43" s="83">
        <f t="shared" si="28"/>
        <v>0</v>
      </c>
      <c r="Z43" s="83">
        <f t="shared" si="28"/>
        <v>0</v>
      </c>
      <c r="AA43" s="175"/>
    </row>
    <row r="44" spans="1:27" hidden="1" outlineLevel="1" x14ac:dyDescent="0.25">
      <c r="A44" s="36" t="str">
        <f t="shared" si="2"/>
        <v>БС-215</v>
      </c>
      <c r="B44" s="36"/>
      <c r="D44" s="187" t="s">
        <v>56</v>
      </c>
      <c r="E44" s="9"/>
      <c r="F44" s="74">
        <f>SUMIFS('ФОТ, МТР, макро'!$Y$4:$Y$31,'ФОТ, МТР, макро'!$W$4:$W$31,$A44)</f>
        <v>3180.5687406620973</v>
      </c>
      <c r="G44" s="83">
        <f t="shared" ref="G44:Z44" si="29">IF(G11=0,0,$F44)</f>
        <v>3180.5687406620973</v>
      </c>
      <c r="H44" s="83">
        <f t="shared" si="29"/>
        <v>3180.5687406620973</v>
      </c>
      <c r="I44" s="83">
        <f t="shared" si="29"/>
        <v>3180.5687406620973</v>
      </c>
      <c r="J44" s="83">
        <f t="shared" si="29"/>
        <v>3180.5687406620973</v>
      </c>
      <c r="K44" s="83">
        <f t="shared" si="29"/>
        <v>3180.5687406620973</v>
      </c>
      <c r="L44" s="83">
        <f t="shared" si="29"/>
        <v>3180.5687406620973</v>
      </c>
      <c r="M44" s="83">
        <f t="shared" si="29"/>
        <v>3180.5687406620973</v>
      </c>
      <c r="N44" s="83">
        <f t="shared" si="29"/>
        <v>3180.5687406620973</v>
      </c>
      <c r="O44" s="83">
        <f t="shared" si="29"/>
        <v>3180.5687406620973</v>
      </c>
      <c r="P44" s="83">
        <f t="shared" si="29"/>
        <v>3180.5687406620973</v>
      </c>
      <c r="Q44" s="83">
        <f t="shared" si="29"/>
        <v>3180.5687406620973</v>
      </c>
      <c r="R44" s="83">
        <f t="shared" si="29"/>
        <v>3180.5687406620973</v>
      </c>
      <c r="S44" s="83">
        <f t="shared" si="29"/>
        <v>0</v>
      </c>
      <c r="T44" s="83">
        <f t="shared" si="29"/>
        <v>0</v>
      </c>
      <c r="U44" s="83">
        <f t="shared" si="29"/>
        <v>0</v>
      </c>
      <c r="V44" s="83">
        <f t="shared" si="29"/>
        <v>0</v>
      </c>
      <c r="W44" s="83">
        <f t="shared" si="29"/>
        <v>0</v>
      </c>
      <c r="X44" s="83">
        <f t="shared" si="29"/>
        <v>0</v>
      </c>
      <c r="Y44" s="83">
        <f t="shared" si="29"/>
        <v>0</v>
      </c>
      <c r="Z44" s="83">
        <f t="shared" si="29"/>
        <v>0</v>
      </c>
      <c r="AA44" s="175"/>
    </row>
    <row r="45" spans="1:27" hidden="1" outlineLevel="1" x14ac:dyDescent="0.25">
      <c r="A45" s="36" t="str">
        <f t="shared" si="2"/>
        <v>БС-215</v>
      </c>
      <c r="B45" s="36"/>
      <c r="D45" s="85" t="s">
        <v>57</v>
      </c>
      <c r="E45" s="64" t="str">
        <f>E15</f>
        <v>тыс. руб.</v>
      </c>
      <c r="F45" s="70"/>
      <c r="G45" s="80">
        <f t="shared" ref="G45:Z45" si="30">IF(G11=0,0,G46*G47/1000)</f>
        <v>0</v>
      </c>
      <c r="H45" s="80">
        <f t="shared" si="30"/>
        <v>0</v>
      </c>
      <c r="I45" s="80">
        <f t="shared" si="30"/>
        <v>0</v>
      </c>
      <c r="J45" s="80">
        <f t="shared" si="30"/>
        <v>0</v>
      </c>
      <c r="K45" s="80">
        <f t="shared" si="30"/>
        <v>0</v>
      </c>
      <c r="L45" s="80">
        <f t="shared" si="30"/>
        <v>0</v>
      </c>
      <c r="M45" s="80">
        <f t="shared" si="30"/>
        <v>0</v>
      </c>
      <c r="N45" s="80">
        <f t="shared" si="30"/>
        <v>0</v>
      </c>
      <c r="O45" s="80">
        <f t="shared" si="30"/>
        <v>0</v>
      </c>
      <c r="P45" s="80">
        <f t="shared" si="30"/>
        <v>0</v>
      </c>
      <c r="Q45" s="80">
        <f t="shared" si="30"/>
        <v>0</v>
      </c>
      <c r="R45" s="80">
        <f t="shared" si="30"/>
        <v>0</v>
      </c>
      <c r="S45" s="80">
        <f t="shared" si="30"/>
        <v>0</v>
      </c>
      <c r="T45" s="80">
        <f t="shared" si="30"/>
        <v>0</v>
      </c>
      <c r="U45" s="80">
        <f t="shared" si="30"/>
        <v>0</v>
      </c>
      <c r="V45" s="80">
        <f t="shared" si="30"/>
        <v>0</v>
      </c>
      <c r="W45" s="80">
        <f t="shared" si="30"/>
        <v>0</v>
      </c>
      <c r="X45" s="80">
        <f t="shared" si="30"/>
        <v>0</v>
      </c>
      <c r="Y45" s="80">
        <f t="shared" si="30"/>
        <v>0</v>
      </c>
      <c r="Z45" s="80">
        <f t="shared" si="30"/>
        <v>0</v>
      </c>
      <c r="AA45" s="175"/>
    </row>
    <row r="46" spans="1:27" hidden="1" outlineLevel="1" x14ac:dyDescent="0.25">
      <c r="A46" s="36" t="str">
        <f t="shared" si="2"/>
        <v>БС-215</v>
      </c>
      <c r="B46" s="36"/>
      <c r="D46" s="30" t="s">
        <v>58</v>
      </c>
      <c r="E46" s="9" t="s">
        <v>10</v>
      </c>
      <c r="F46" s="74">
        <f>SUMIFS('ФОТ, МТР, макро'!$AB$4:$AB$31,'ФОТ, МТР, макро'!$W$4:$W$31,$A46)</f>
        <v>0</v>
      </c>
      <c r="G46" s="83">
        <f>F46</f>
        <v>0</v>
      </c>
      <c r="H46" s="83">
        <f t="shared" ref="H46:Z47" si="31">G46</f>
        <v>0</v>
      </c>
      <c r="I46" s="83">
        <f t="shared" si="31"/>
        <v>0</v>
      </c>
      <c r="J46" s="83">
        <f t="shared" si="31"/>
        <v>0</v>
      </c>
      <c r="K46" s="83">
        <f t="shared" si="31"/>
        <v>0</v>
      </c>
      <c r="L46" s="83">
        <f t="shared" si="31"/>
        <v>0</v>
      </c>
      <c r="M46" s="83">
        <f t="shared" si="31"/>
        <v>0</v>
      </c>
      <c r="N46" s="83">
        <f t="shared" si="31"/>
        <v>0</v>
      </c>
      <c r="O46" s="83">
        <f t="shared" si="31"/>
        <v>0</v>
      </c>
      <c r="P46" s="83">
        <f t="shared" si="31"/>
        <v>0</v>
      </c>
      <c r="Q46" s="83">
        <f t="shared" si="31"/>
        <v>0</v>
      </c>
      <c r="R46" s="83">
        <f t="shared" si="31"/>
        <v>0</v>
      </c>
      <c r="S46" s="83">
        <f t="shared" si="31"/>
        <v>0</v>
      </c>
      <c r="T46" s="83">
        <f t="shared" si="31"/>
        <v>0</v>
      </c>
      <c r="U46" s="83">
        <f t="shared" si="31"/>
        <v>0</v>
      </c>
      <c r="V46" s="83">
        <f t="shared" si="31"/>
        <v>0</v>
      </c>
      <c r="W46" s="83">
        <f t="shared" si="31"/>
        <v>0</v>
      </c>
      <c r="X46" s="83">
        <f t="shared" si="31"/>
        <v>0</v>
      </c>
      <c r="Y46" s="83">
        <f t="shared" si="31"/>
        <v>0</v>
      </c>
      <c r="Z46" s="83">
        <f t="shared" si="31"/>
        <v>0</v>
      </c>
      <c r="AA46" s="175"/>
    </row>
    <row r="47" spans="1:27" hidden="1" outlineLevel="1" x14ac:dyDescent="0.25">
      <c r="A47" s="36" t="str">
        <f t="shared" si="2"/>
        <v>БС-215</v>
      </c>
      <c r="B47" s="36"/>
      <c r="D47" s="30" t="s">
        <v>59</v>
      </c>
      <c r="E47" s="9" t="s">
        <v>60</v>
      </c>
      <c r="F47" s="74">
        <f>SUMIFS('ФОТ, МТР, макро'!$AC$4:$AC$31,'ФОТ, МТР, макро'!$W$4:$W$31,$A47)</f>
        <v>15</v>
      </c>
      <c r="G47" s="83">
        <f>F47</f>
        <v>15</v>
      </c>
      <c r="H47" s="83">
        <f t="shared" si="31"/>
        <v>15</v>
      </c>
      <c r="I47" s="83">
        <f t="shared" si="31"/>
        <v>15</v>
      </c>
      <c r="J47" s="83">
        <f t="shared" si="31"/>
        <v>15</v>
      </c>
      <c r="K47" s="83">
        <f t="shared" si="31"/>
        <v>15</v>
      </c>
      <c r="L47" s="83">
        <f t="shared" si="31"/>
        <v>15</v>
      </c>
      <c r="M47" s="83">
        <f t="shared" si="31"/>
        <v>15</v>
      </c>
      <c r="N47" s="83">
        <f t="shared" si="31"/>
        <v>15</v>
      </c>
      <c r="O47" s="83">
        <f t="shared" si="31"/>
        <v>15</v>
      </c>
      <c r="P47" s="83">
        <f t="shared" si="31"/>
        <v>15</v>
      </c>
      <c r="Q47" s="83">
        <f t="shared" si="31"/>
        <v>15</v>
      </c>
      <c r="R47" s="83">
        <f t="shared" si="31"/>
        <v>15</v>
      </c>
      <c r="S47" s="83">
        <f t="shared" si="31"/>
        <v>15</v>
      </c>
      <c r="T47" s="83">
        <f t="shared" si="31"/>
        <v>15</v>
      </c>
      <c r="U47" s="83">
        <f t="shared" si="31"/>
        <v>15</v>
      </c>
      <c r="V47" s="83">
        <f t="shared" si="31"/>
        <v>15</v>
      </c>
      <c r="W47" s="83">
        <f t="shared" si="31"/>
        <v>15</v>
      </c>
      <c r="X47" s="83">
        <f t="shared" si="31"/>
        <v>15</v>
      </c>
      <c r="Y47" s="83">
        <f t="shared" si="31"/>
        <v>15</v>
      </c>
      <c r="Z47" s="83">
        <f t="shared" si="31"/>
        <v>15</v>
      </c>
      <c r="AA47" s="175"/>
    </row>
    <row r="48" spans="1:27" hidden="1" outlineLevel="1" x14ac:dyDescent="0.25">
      <c r="A48" s="36" t="str">
        <f t="shared" si="2"/>
        <v>БС-215</v>
      </c>
      <c r="B48" s="36"/>
      <c r="C48" s="86">
        <f>SUMIFS('ФОТ, МТР, макро'!$AF$4:$AF$31,'ФОТ, МТР, макро'!$W$4:$W$31,$A48)</f>
        <v>19.672131147540984</v>
      </c>
      <c r="D48" s="85" t="s">
        <v>61</v>
      </c>
      <c r="E48" s="64" t="str">
        <f>E15</f>
        <v>тыс. руб.</v>
      </c>
      <c r="F48" s="80"/>
      <c r="G48" s="87">
        <f>IF(G8&lt;=$C49,$F53*$C48%,"ОШИБКА")</f>
        <v>0</v>
      </c>
      <c r="H48" s="71">
        <f>IF(H8&lt;=$C49,$F53*$C48%,$F53-SUM($G48:G48))</f>
        <v>0</v>
      </c>
      <c r="I48" s="71">
        <f>IF(I8&lt;=$C49,$F53*$C48%,$F53-SUM($G48:H48))</f>
        <v>0</v>
      </c>
      <c r="J48" s="71">
        <f>IF(J8&lt;=$C49,$F53*$C48%,$F53-SUM($G48:I48))</f>
        <v>0</v>
      </c>
      <c r="K48" s="71">
        <f>IF(K8&lt;=$C49,$F53*$C48%,$F53-SUM($G48:J48))</f>
        <v>0</v>
      </c>
      <c r="L48" s="71">
        <f>IF(L8&lt;=$C49,$F53*$C48%,$F53-SUM($G48:K48))</f>
        <v>0</v>
      </c>
      <c r="M48" s="71">
        <f>IF(M8&lt;=$C49,$F53*$C48%,$F53-SUM($G48:L48))</f>
        <v>0</v>
      </c>
      <c r="N48" s="71">
        <f>IF(N8&lt;=$C49,$F53*$C48%,$F53-SUM($G48:M48))</f>
        <v>0</v>
      </c>
      <c r="O48" s="71">
        <f>IF(O8&lt;=$C49,$F53*$C48%,$F53-SUM($G48:N48))</f>
        <v>0</v>
      </c>
      <c r="P48" s="71">
        <f>IF(P8&lt;=$C49,$F53*$C48%,$F53-SUM($G48:O48))</f>
        <v>0</v>
      </c>
      <c r="Q48" s="71">
        <f>IF(Q8&lt;=$C49,$F53*$C48%,$F53-SUM($G48:P48))</f>
        <v>0</v>
      </c>
      <c r="R48" s="71">
        <f>IF(R8&lt;=$C49,$F53*$C48%,$F53-SUM($G48:Q48))</f>
        <v>0</v>
      </c>
      <c r="S48" s="71">
        <f>IF(S8&lt;=$C49,$F53*$C48%,$F53-SUM($G48:R48))</f>
        <v>0</v>
      </c>
      <c r="T48" s="71">
        <f>IF(T8&lt;=$C49,$F53*$C48%,$F53-SUM($G48:S48))</f>
        <v>0</v>
      </c>
      <c r="U48" s="71">
        <f>IF(U8&lt;=$C49,$F53*$C48%,$F53-SUM($G48:T48))</f>
        <v>0</v>
      </c>
      <c r="V48" s="71">
        <f>IF(V8&lt;=$C49,$F53*$C48%,$F53-SUM($G48:U48))</f>
        <v>0</v>
      </c>
      <c r="W48" s="71">
        <f>IF(W8&lt;=$C49,$F53*$C48%,$F53-SUM($G48:V48))</f>
        <v>0</v>
      </c>
      <c r="X48" s="71">
        <f>IF(X8&lt;=$C49,$F53*$C48%,$F53-SUM($G48:W48))</f>
        <v>0</v>
      </c>
      <c r="Y48" s="71">
        <f>IF(Y8&lt;=$C49,$F53*$C48%,$F53-SUM($G48:X48))</f>
        <v>0</v>
      </c>
      <c r="Z48" s="71">
        <f>IF(Z8&lt;=$C49,$F53*$C48%,$F53-SUM($G48:Y48))</f>
        <v>0</v>
      </c>
      <c r="AA48" s="175"/>
    </row>
    <row r="49" spans="1:28" hidden="1" outlineLevel="1" x14ac:dyDescent="0.25">
      <c r="A49" s="36" t="str">
        <f t="shared" si="2"/>
        <v>БС-215</v>
      </c>
      <c r="B49" s="36"/>
      <c r="C49" s="86">
        <f>SUMIFS('ФОТ, МТР, макро'!$AE$4:$AE$31,'ФОТ, МТР, макро'!$W$4:$W$31,$A49)/12</f>
        <v>5.083333333333333</v>
      </c>
      <c r="D49" s="85" t="s">
        <v>62</v>
      </c>
      <c r="E49" s="64" t="str">
        <f>E15</f>
        <v>тыс. руб.</v>
      </c>
      <c r="F49" s="65"/>
      <c r="G49" s="65">
        <f t="shared" ref="G49:Z49" si="32">SUM(G16,G21,G23,G27,G31,G33,G42,G45,G48)</f>
        <v>43855.660423567206</v>
      </c>
      <c r="H49" s="65">
        <f t="shared" si="32"/>
        <v>44184.713966066876</v>
      </c>
      <c r="I49" s="65">
        <f t="shared" si="32"/>
        <v>49734.314737316716</v>
      </c>
      <c r="J49" s="65">
        <f t="shared" si="32"/>
        <v>55442.308476062957</v>
      </c>
      <c r="K49" s="65">
        <f t="shared" si="32"/>
        <v>45868.759508566553</v>
      </c>
      <c r="L49" s="65">
        <f t="shared" si="32"/>
        <v>50899.603364815732</v>
      </c>
      <c r="M49" s="65">
        <f t="shared" si="32"/>
        <v>51345.868476062955</v>
      </c>
      <c r="N49" s="65">
        <f t="shared" si="32"/>
        <v>51017.389051066231</v>
      </c>
      <c r="O49" s="65">
        <f t="shared" si="32"/>
        <v>50063.368279816394</v>
      </c>
      <c r="P49" s="65">
        <f t="shared" si="32"/>
        <v>51129.914018562631</v>
      </c>
      <c r="Q49" s="65">
        <f t="shared" si="32"/>
        <v>56105.818593565898</v>
      </c>
      <c r="R49" s="65">
        <f t="shared" si="32"/>
        <v>44974.938737316712</v>
      </c>
      <c r="S49" s="65">
        <f t="shared" si="32"/>
        <v>0</v>
      </c>
      <c r="T49" s="65">
        <f t="shared" si="32"/>
        <v>0</v>
      </c>
      <c r="U49" s="65">
        <f t="shared" si="32"/>
        <v>0</v>
      </c>
      <c r="V49" s="65">
        <f t="shared" si="32"/>
        <v>0</v>
      </c>
      <c r="W49" s="65">
        <f t="shared" si="32"/>
        <v>0</v>
      </c>
      <c r="X49" s="65">
        <f t="shared" si="32"/>
        <v>0</v>
      </c>
      <c r="Y49" s="65">
        <f t="shared" si="32"/>
        <v>0</v>
      </c>
      <c r="Z49" s="65">
        <f t="shared" si="32"/>
        <v>0</v>
      </c>
      <c r="AA49" s="175"/>
      <c r="AB49" s="39"/>
    </row>
    <row r="50" spans="1:28" hidden="1" outlineLevel="1" x14ac:dyDescent="0.25">
      <c r="A50" s="36" t="str">
        <f t="shared" si="2"/>
        <v>БС-215</v>
      </c>
      <c r="B50" s="36"/>
      <c r="D50" s="85" t="s">
        <v>63</v>
      </c>
      <c r="E50" s="64" t="str">
        <f>E15</f>
        <v>тыс. руб.</v>
      </c>
      <c r="F50" s="65"/>
      <c r="G50" s="65">
        <f>-G49*'ФОТ, МТР, макро'!AJ$12</f>
        <v>-10963.915105891801</v>
      </c>
      <c r="H50" s="65">
        <f>-H49*'ФОТ, МТР, макро'!AK$12</f>
        <v>-11046.178491516719</v>
      </c>
      <c r="I50" s="65">
        <f>-I49*'ФОТ, МТР, макро'!AL$12</f>
        <v>-12433.578684329179</v>
      </c>
      <c r="J50" s="65">
        <f>-J49*'ФОТ, МТР, макро'!AM$12</f>
        <v>-13860.577119015739</v>
      </c>
      <c r="K50" s="65">
        <f>-K49*'ФОТ, МТР, макро'!AN$12</f>
        <v>-11467.189877141638</v>
      </c>
      <c r="L50" s="65">
        <f>-L49*'ФОТ, МТР, макро'!AO$12</f>
        <v>-12724.900841203933</v>
      </c>
      <c r="M50" s="65">
        <f>-M49*'ФОТ, МТР, макро'!AP$12</f>
        <v>-12836.467119015739</v>
      </c>
      <c r="N50" s="65">
        <f>-N49*'ФОТ, МТР, макро'!AQ$12</f>
        <v>-12754.347262766558</v>
      </c>
      <c r="O50" s="65">
        <f>-O49*'ФОТ, МТР, макро'!AR$12</f>
        <v>-12515.842069954098</v>
      </c>
      <c r="P50" s="65">
        <f>-P49*'ФОТ, МТР, макро'!AS$12</f>
        <v>-12782.478504640658</v>
      </c>
      <c r="Q50" s="65">
        <f>-Q49*'ФОТ, МТР, макро'!AT$12</f>
        <v>-14026.454648391475</v>
      </c>
      <c r="R50" s="65">
        <f>-R49*'ФОТ, МТР, макро'!AU$12</f>
        <v>-11243.734684329178</v>
      </c>
      <c r="S50" s="65">
        <f>-S49*'ФОТ, МТР, макро'!AV$12</f>
        <v>0</v>
      </c>
      <c r="T50" s="65">
        <f>-T49*'ФОТ, МТР, макро'!AW$12</f>
        <v>0</v>
      </c>
      <c r="U50" s="65">
        <f>-U49*'ФОТ, МТР, макро'!AX$12</f>
        <v>0</v>
      </c>
      <c r="V50" s="65">
        <f>-V49*'ФОТ, МТР, макро'!AY$12</f>
        <v>0</v>
      </c>
      <c r="W50" s="65">
        <f>-W49*'ФОТ, МТР, макро'!AZ$12</f>
        <v>0</v>
      </c>
      <c r="X50" s="65">
        <f>-X49*'ФОТ, МТР, макро'!BA$12</f>
        <v>0</v>
      </c>
      <c r="Y50" s="65">
        <f>-Y49*'ФОТ, МТР, макро'!BB$12</f>
        <v>0</v>
      </c>
      <c r="Z50" s="65">
        <f>-Z49*'ФОТ, МТР, макро'!BC$12</f>
        <v>0</v>
      </c>
      <c r="AA50" s="175"/>
    </row>
    <row r="51" spans="1:28" hidden="1" outlineLevel="1" x14ac:dyDescent="0.25">
      <c r="A51" s="36" t="str">
        <f t="shared" si="2"/>
        <v>БС-215</v>
      </c>
      <c r="B51" s="36"/>
      <c r="D51" s="88"/>
      <c r="E51" s="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75"/>
    </row>
    <row r="52" spans="1:28" hidden="1" outlineLevel="1" x14ac:dyDescent="0.25">
      <c r="A52" s="36" t="str">
        <f t="shared" si="2"/>
        <v>БС-215</v>
      </c>
      <c r="B52" s="36"/>
      <c r="D52" s="66" t="s">
        <v>64</v>
      </c>
      <c r="E52" s="67" t="str">
        <f>E15</f>
        <v>тыс. руб.</v>
      </c>
      <c r="F52" s="68">
        <f>F53</f>
        <v>0</v>
      </c>
      <c r="G52" s="68">
        <f t="shared" ref="G52:Z52" si="33">G53</f>
        <v>0</v>
      </c>
      <c r="H52" s="68">
        <f t="shared" si="33"/>
        <v>0</v>
      </c>
      <c r="I52" s="68">
        <f t="shared" si="33"/>
        <v>0</v>
      </c>
      <c r="J52" s="68">
        <f t="shared" si="33"/>
        <v>0</v>
      </c>
      <c r="K52" s="68">
        <f t="shared" si="33"/>
        <v>0</v>
      </c>
      <c r="L52" s="68">
        <f t="shared" si="33"/>
        <v>0</v>
      </c>
      <c r="M52" s="68">
        <f t="shared" si="33"/>
        <v>0</v>
      </c>
      <c r="N52" s="68">
        <f t="shared" si="33"/>
        <v>0</v>
      </c>
      <c r="O52" s="68">
        <f t="shared" si="33"/>
        <v>0</v>
      </c>
      <c r="P52" s="68">
        <f t="shared" si="33"/>
        <v>0</v>
      </c>
      <c r="Q52" s="68">
        <f t="shared" si="33"/>
        <v>0</v>
      </c>
      <c r="R52" s="68">
        <f t="shared" si="33"/>
        <v>0</v>
      </c>
      <c r="S52" s="68">
        <f t="shared" si="33"/>
        <v>0</v>
      </c>
      <c r="T52" s="68">
        <f t="shared" si="33"/>
        <v>0</v>
      </c>
      <c r="U52" s="68">
        <f t="shared" si="33"/>
        <v>0</v>
      </c>
      <c r="V52" s="68">
        <f t="shared" si="33"/>
        <v>0</v>
      </c>
      <c r="W52" s="68">
        <f t="shared" si="33"/>
        <v>0</v>
      </c>
      <c r="X52" s="68">
        <f t="shared" si="33"/>
        <v>0</v>
      </c>
      <c r="Y52" s="68">
        <f t="shared" si="33"/>
        <v>0</v>
      </c>
      <c r="Z52" s="68">
        <f t="shared" si="33"/>
        <v>0</v>
      </c>
      <c r="AA52" s="175"/>
    </row>
    <row r="53" spans="1:28" hidden="1" outlineLevel="1" x14ac:dyDescent="0.25">
      <c r="A53" s="36" t="str">
        <f t="shared" si="2"/>
        <v>БС-215</v>
      </c>
      <c r="B53" s="36"/>
      <c r="D53" s="88" t="s">
        <v>206</v>
      </c>
      <c r="E53" s="9" t="str">
        <f>E52</f>
        <v>тыс. руб.</v>
      </c>
      <c r="F53" s="74">
        <f>SUMIFS(Свод_215_диз!$D$33:$P$33,Свод_215_диз!$D$19:$P$19,$A53)</f>
        <v>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175"/>
    </row>
    <row r="54" spans="1:28" hidden="1" outlineLevel="1" x14ac:dyDescent="0.25">
      <c r="A54" s="36" t="str">
        <f t="shared" si="2"/>
        <v>БС-215</v>
      </c>
      <c r="B54" s="36"/>
      <c r="D54" s="88"/>
      <c r="E54" s="9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175"/>
    </row>
    <row r="55" spans="1:28" hidden="1" outlineLevel="1" x14ac:dyDescent="0.25">
      <c r="A55" s="36" t="str">
        <f t="shared" si="2"/>
        <v>БС-215</v>
      </c>
      <c r="B55" s="36"/>
      <c r="D55" s="66" t="s">
        <v>65</v>
      </c>
      <c r="E55" s="67" t="str">
        <f>E15</f>
        <v>тыс. руб.</v>
      </c>
      <c r="F55" s="68">
        <f t="shared" ref="F55:Z55" si="34">F15+F52</f>
        <v>0</v>
      </c>
      <c r="G55" s="68">
        <f t="shared" si="34"/>
        <v>32891.745317675406</v>
      </c>
      <c r="H55" s="68">
        <f t="shared" si="34"/>
        <v>33138.535474550154</v>
      </c>
      <c r="I55" s="68">
        <f t="shared" si="34"/>
        <v>37300.736052987537</v>
      </c>
      <c r="J55" s="68">
        <f t="shared" si="34"/>
        <v>41581.731357047218</v>
      </c>
      <c r="K55" s="68">
        <f t="shared" si="34"/>
        <v>34401.569631424914</v>
      </c>
      <c r="L55" s="68">
        <f t="shared" si="34"/>
        <v>38174.702523611799</v>
      </c>
      <c r="M55" s="68">
        <f t="shared" si="34"/>
        <v>38509.401357047216</v>
      </c>
      <c r="N55" s="68">
        <f t="shared" si="34"/>
        <v>38263.04178829967</v>
      </c>
      <c r="O55" s="68">
        <f t="shared" si="34"/>
        <v>37547.526209862292</v>
      </c>
      <c r="P55" s="68">
        <f t="shared" si="34"/>
        <v>38347.43551392197</v>
      </c>
      <c r="Q55" s="68">
        <f t="shared" si="34"/>
        <v>42079.363945174424</v>
      </c>
      <c r="R55" s="68">
        <f t="shared" si="34"/>
        <v>33731.204052987538</v>
      </c>
      <c r="S55" s="68">
        <f t="shared" si="34"/>
        <v>0</v>
      </c>
      <c r="T55" s="68">
        <f t="shared" si="34"/>
        <v>0</v>
      </c>
      <c r="U55" s="68">
        <f t="shared" si="34"/>
        <v>0</v>
      </c>
      <c r="V55" s="68">
        <f t="shared" si="34"/>
        <v>0</v>
      </c>
      <c r="W55" s="68">
        <f t="shared" si="34"/>
        <v>0</v>
      </c>
      <c r="X55" s="68">
        <f t="shared" si="34"/>
        <v>0</v>
      </c>
      <c r="Y55" s="68">
        <f t="shared" si="34"/>
        <v>0</v>
      </c>
      <c r="Z55" s="68">
        <f t="shared" si="34"/>
        <v>0</v>
      </c>
      <c r="AA55" s="175"/>
    </row>
    <row r="56" spans="1:28" hidden="1" outlineLevel="1" x14ac:dyDescent="0.25">
      <c r="A56" s="36" t="str">
        <f t="shared" si="2"/>
        <v>БС-215</v>
      </c>
      <c r="B56" s="36"/>
      <c r="D56" s="63" t="s">
        <v>66</v>
      </c>
      <c r="E56" s="64" t="str">
        <f>E55</f>
        <v>тыс. руб.</v>
      </c>
      <c r="F56" s="89"/>
      <c r="G56" s="65">
        <f>G15*'ФОТ, МТР, макро'!AJ$14</f>
        <v>29367.629747924468</v>
      </c>
      <c r="H56" s="65">
        <f>H15*'ФОТ, МТР, макро'!AK$14</f>
        <v>26417.837591318676</v>
      </c>
      <c r="I56" s="65">
        <f>I15*'ФОТ, МТР, макро'!AL$14</f>
        <v>26549.927151418098</v>
      </c>
      <c r="J56" s="65">
        <f>J15*'ФОТ, МТР, макро'!AM$14</f>
        <v>26425.942008776557</v>
      </c>
      <c r="K56" s="65">
        <f>K15*'ФОТ, МТР, макро'!AN$14</f>
        <v>19520.374487743888</v>
      </c>
      <c r="L56" s="65">
        <f>L15*'ФОТ, МТР, макро'!AO$14</f>
        <v>19340.492340148139</v>
      </c>
      <c r="M56" s="65">
        <f>M15*'ФОТ, МТР, макро'!AP$14</f>
        <v>17419.697486953806</v>
      </c>
      <c r="N56" s="65">
        <f>N15*'ФОТ, МТР, макро'!AQ$14</f>
        <v>15453.800829767963</v>
      </c>
      <c r="O56" s="65">
        <f>O15*'ФОТ, МТР, макро'!AR$14</f>
        <v>13540.014364534953</v>
      </c>
      <c r="P56" s="65">
        <f>P15*'ФОТ, МТР, макро'!AS$14</f>
        <v>12346.847927370456</v>
      </c>
      <c r="Q56" s="65">
        <f>Q15*'ФОТ, МТР, макро'!AT$14</f>
        <v>12096.811609915756</v>
      </c>
      <c r="R56" s="65">
        <f>R15*'ФОТ, МТР, макро'!AU$14</f>
        <v>8657.9599354604579</v>
      </c>
      <c r="S56" s="65">
        <f>S15*'ФОТ, МТР, макро'!AV$14</f>
        <v>0</v>
      </c>
      <c r="T56" s="65">
        <f>T15*'ФОТ, МТР, макро'!AW$14</f>
        <v>0</v>
      </c>
      <c r="U56" s="65">
        <f>U15*'ФОТ, МТР, макро'!AX$14</f>
        <v>0</v>
      </c>
      <c r="V56" s="65">
        <f>V15*'ФОТ, МТР, макро'!AY$14</f>
        <v>0</v>
      </c>
      <c r="W56" s="65">
        <f>W15*'ФОТ, МТР, макро'!AZ$14</f>
        <v>0</v>
      </c>
      <c r="X56" s="65">
        <f>X15*'ФОТ, МТР, макро'!BA$14</f>
        <v>0</v>
      </c>
      <c r="Y56" s="65">
        <f>Y15*'ФОТ, МТР, макро'!BB$14</f>
        <v>0</v>
      </c>
      <c r="Z56" s="65">
        <f>Z15*'ФОТ, МТР, макро'!BC$14</f>
        <v>0</v>
      </c>
      <c r="AA56" s="175"/>
    </row>
    <row r="57" spans="1:28" hidden="1" outlineLevel="1" x14ac:dyDescent="0.25">
      <c r="A57" s="36" t="str">
        <f t="shared" si="2"/>
        <v>БС-215</v>
      </c>
      <c r="B57" s="36"/>
      <c r="D57" s="17" t="str">
        <f>D16</f>
        <v>ТО, ТР, ППР</v>
      </c>
      <c r="E57" s="9" t="str">
        <f>E56</f>
        <v>тыс. руб.</v>
      </c>
      <c r="F57" s="90"/>
      <c r="G57" s="70">
        <f>G16*'ФОТ, МТР, макро'!AJ$14</f>
        <v>10369.036642857141</v>
      </c>
      <c r="H57" s="70">
        <f>H16*'ФОТ, МТР, макро'!AK$14</f>
        <v>9558.3232780612216</v>
      </c>
      <c r="I57" s="70">
        <f>I16*'ФОТ, МТР, макро'!AL$14</f>
        <v>12501.2488611516</v>
      </c>
      <c r="J57" s="70">
        <f>J16*'ФОТ, МТР, макро'!AM$14</f>
        <v>15137.143835332276</v>
      </c>
      <c r="K57" s="70">
        <f>K16*'ФОТ, МТР, макро'!AN$14</f>
        <v>7786.000030984228</v>
      </c>
      <c r="L57" s="70">
        <f>L16*'ФОТ, МТР, макро'!AO$14</f>
        <v>9560.8393507954825</v>
      </c>
      <c r="M57" s="70">
        <f>M16*'ФОТ, МТР, макро'!AP$14</f>
        <v>8921.2985706253912</v>
      </c>
      <c r="N57" s="70">
        <f>N16*'ФОТ, МТР, макро'!AQ$14</f>
        <v>7640.5853936445901</v>
      </c>
      <c r="O57" s="70">
        <f>O16*'ФОТ, МТР, макро'!AR$14</f>
        <v>6469.3417710557924</v>
      </c>
      <c r="P57" s="70">
        <f>P16*'ФОТ, МТР, макро'!AS$14</f>
        <v>6295.7940144874319</v>
      </c>
      <c r="Q57" s="70">
        <f>Q16*'ФОТ, МТР, макро'!AT$14</f>
        <v>6914.8995432048077</v>
      </c>
      <c r="R57" s="70">
        <f>R16*'ФОТ, МТР, макро'!AU$14</f>
        <v>3286.4623869587676</v>
      </c>
      <c r="S57" s="70">
        <f>S16*'ФОТ, МТР, макро'!AV$14</f>
        <v>0</v>
      </c>
      <c r="T57" s="70">
        <f>T16*'ФОТ, МТР, макро'!AW$14</f>
        <v>0</v>
      </c>
      <c r="U57" s="70">
        <f>U16*'ФОТ, МТР, макро'!AX$14</f>
        <v>0</v>
      </c>
      <c r="V57" s="70">
        <f>V16*'ФОТ, МТР, макро'!AY$14</f>
        <v>0</v>
      </c>
      <c r="W57" s="70">
        <f>W16*'ФОТ, МТР, макро'!AZ$14</f>
        <v>0</v>
      </c>
      <c r="X57" s="70">
        <f>X16*'ФОТ, МТР, макро'!BA$14</f>
        <v>0</v>
      </c>
      <c r="Y57" s="70">
        <f>Y16*'ФОТ, МТР, макро'!BB$14</f>
        <v>0</v>
      </c>
      <c r="Z57" s="70">
        <f>Z16*'ФОТ, МТР, макро'!BC$14</f>
        <v>0</v>
      </c>
      <c r="AA57" s="175"/>
    </row>
    <row r="58" spans="1:28" hidden="1" outlineLevel="1" x14ac:dyDescent="0.25">
      <c r="A58" s="36" t="str">
        <f t="shared" si="2"/>
        <v>БС-215</v>
      </c>
      <c r="B58" s="36"/>
      <c r="D58" s="17" t="str">
        <f>D21</f>
        <v>Смазочные</v>
      </c>
      <c r="E58" s="9" t="str">
        <f t="shared" ref="E58:E65" si="35">E57</f>
        <v>тыс. руб.</v>
      </c>
      <c r="F58" s="90"/>
      <c r="G58" s="70">
        <f>G21*'ФОТ, МТР, макро'!AJ$14</f>
        <v>0</v>
      </c>
      <c r="H58" s="70">
        <f>H21*'ФОТ, МТР, макро'!AK$14</f>
        <v>0</v>
      </c>
      <c r="I58" s="70">
        <f>I21*'ФОТ, МТР, макро'!AL$14</f>
        <v>0</v>
      </c>
      <c r="J58" s="70">
        <f>J21*'ФОТ, МТР, макро'!AM$14</f>
        <v>0</v>
      </c>
      <c r="K58" s="70">
        <f>K21*'ФОТ, МТР, макро'!AN$14</f>
        <v>0</v>
      </c>
      <c r="L58" s="70">
        <f>L21*'ФОТ, МТР, макро'!AO$14</f>
        <v>0</v>
      </c>
      <c r="M58" s="70">
        <f>M21*'ФОТ, МТР, макро'!AP$14</f>
        <v>0</v>
      </c>
      <c r="N58" s="70">
        <f>N21*'ФОТ, МТР, макро'!AQ$14</f>
        <v>0</v>
      </c>
      <c r="O58" s="70">
        <f>O21*'ФОТ, МТР, макро'!AR$14</f>
        <v>0</v>
      </c>
      <c r="P58" s="70">
        <f>P21*'ФОТ, МТР, макро'!AS$14</f>
        <v>0</v>
      </c>
      <c r="Q58" s="70">
        <f>Q21*'ФОТ, МТР, макро'!AT$14</f>
        <v>0</v>
      </c>
      <c r="R58" s="70">
        <f>R21*'ФОТ, МТР, макро'!AU$14</f>
        <v>0</v>
      </c>
      <c r="S58" s="70">
        <f>S21*'ФОТ, МТР, макро'!AV$14</f>
        <v>0</v>
      </c>
      <c r="T58" s="70">
        <f>T21*'ФОТ, МТР, макро'!AW$14</f>
        <v>0</v>
      </c>
      <c r="U58" s="70">
        <f>U21*'ФОТ, МТР, макро'!AX$14</f>
        <v>0</v>
      </c>
      <c r="V58" s="70">
        <f>V21*'ФОТ, МТР, макро'!AY$14</f>
        <v>0</v>
      </c>
      <c r="W58" s="70">
        <f>W21*'ФОТ, МТР, макро'!AZ$14</f>
        <v>0</v>
      </c>
      <c r="X58" s="70">
        <f>X21*'ФОТ, МТР, макро'!BA$14</f>
        <v>0</v>
      </c>
      <c r="Y58" s="70">
        <f>Y21*'ФОТ, МТР, макро'!BB$14</f>
        <v>0</v>
      </c>
      <c r="Z58" s="70">
        <f>Z21*'ФОТ, МТР, макро'!BC$14</f>
        <v>0</v>
      </c>
      <c r="AA58" s="175"/>
    </row>
    <row r="59" spans="1:28" hidden="1" outlineLevel="1" x14ac:dyDescent="0.25">
      <c r="A59" s="36" t="str">
        <f t="shared" si="2"/>
        <v>БС-215</v>
      </c>
      <c r="B59" s="36"/>
      <c r="D59" s="17" t="str">
        <f>D23</f>
        <v>Долота</v>
      </c>
      <c r="E59" s="9" t="str">
        <f t="shared" si="35"/>
        <v>тыс. руб.</v>
      </c>
      <c r="F59" s="90"/>
      <c r="G59" s="70">
        <f>G23*'ФОТ, МТР, макро'!AJ$14</f>
        <v>0</v>
      </c>
      <c r="H59" s="70">
        <f>H23*'ФОТ, МТР, макро'!AK$14</f>
        <v>0</v>
      </c>
      <c r="I59" s="70">
        <f>I23*'ФОТ, МТР, макро'!AL$14</f>
        <v>0</v>
      </c>
      <c r="J59" s="70">
        <f>J23*'ФОТ, МТР, макро'!AM$14</f>
        <v>0</v>
      </c>
      <c r="K59" s="70">
        <f>K23*'ФОТ, МТР, макро'!AN$14</f>
        <v>0</v>
      </c>
      <c r="L59" s="70">
        <f>L23*'ФОТ, МТР, макро'!AO$14</f>
        <v>0</v>
      </c>
      <c r="M59" s="70">
        <f>M23*'ФОТ, МТР, макро'!AP$14</f>
        <v>0</v>
      </c>
      <c r="N59" s="70">
        <f>N23*'ФОТ, МТР, макро'!AQ$14</f>
        <v>0</v>
      </c>
      <c r="O59" s="70">
        <f>O23*'ФОТ, МТР, макро'!AR$14</f>
        <v>0</v>
      </c>
      <c r="P59" s="70">
        <f>P23*'ФОТ, МТР, макро'!AS$14</f>
        <v>0</v>
      </c>
      <c r="Q59" s="70">
        <f>Q23*'ФОТ, МТР, макро'!AT$14</f>
        <v>0</v>
      </c>
      <c r="R59" s="70">
        <f>R23*'ФОТ, МТР, макро'!AU$14</f>
        <v>0</v>
      </c>
      <c r="S59" s="70">
        <f>S23*'ФОТ, МТР, макро'!AV$14</f>
        <v>0</v>
      </c>
      <c r="T59" s="70">
        <f>T23*'ФОТ, МТР, макро'!AW$14</f>
        <v>0</v>
      </c>
      <c r="U59" s="70">
        <f>U23*'ФОТ, МТР, макро'!AX$14</f>
        <v>0</v>
      </c>
      <c r="V59" s="70">
        <f>V23*'ФОТ, МТР, макро'!AY$14</f>
        <v>0</v>
      </c>
      <c r="W59" s="70">
        <f>W23*'ФОТ, МТР, макро'!AZ$14</f>
        <v>0</v>
      </c>
      <c r="X59" s="70">
        <f>X23*'ФОТ, МТР, макро'!BA$14</f>
        <v>0</v>
      </c>
      <c r="Y59" s="70">
        <f>Y23*'ФОТ, МТР, макро'!BB$14</f>
        <v>0</v>
      </c>
      <c r="Z59" s="70">
        <f>Z23*'ФОТ, МТР, макро'!BC$14</f>
        <v>0</v>
      </c>
      <c r="AA59" s="175"/>
    </row>
    <row r="60" spans="1:28" hidden="1" outlineLevel="1" x14ac:dyDescent="0.25">
      <c r="A60" s="36" t="str">
        <f t="shared" si="2"/>
        <v>БС-215</v>
      </c>
      <c r="B60" s="36"/>
      <c r="D60" s="17" t="str">
        <f>D27</f>
        <v>Штанги буровые</v>
      </c>
      <c r="E60" s="9" t="str">
        <f t="shared" si="35"/>
        <v>тыс. руб.</v>
      </c>
      <c r="F60" s="90"/>
      <c r="G60" s="70">
        <f>G27*'ФОТ, МТР, макро'!AJ$14</f>
        <v>0</v>
      </c>
      <c r="H60" s="70">
        <f>H27*'ФОТ, МТР, макро'!AK$14</f>
        <v>0</v>
      </c>
      <c r="I60" s="70">
        <f>I27*'ФОТ, МТР, макро'!AL$14</f>
        <v>0</v>
      </c>
      <c r="J60" s="70">
        <f>J27*'ФОТ, МТР, макро'!AM$14</f>
        <v>0</v>
      </c>
      <c r="K60" s="70">
        <f>K27*'ФОТ, МТР, макро'!AN$14</f>
        <v>0</v>
      </c>
      <c r="L60" s="70">
        <f>L27*'ФОТ, МТР, макро'!AO$14</f>
        <v>0</v>
      </c>
      <c r="M60" s="70">
        <f>M27*'ФОТ, МТР, макро'!AP$14</f>
        <v>0</v>
      </c>
      <c r="N60" s="70">
        <f>N27*'ФОТ, МТР, макро'!AQ$14</f>
        <v>0</v>
      </c>
      <c r="O60" s="70">
        <f>O27*'ФОТ, МТР, макро'!AR$14</f>
        <v>0</v>
      </c>
      <c r="P60" s="70">
        <f>P27*'ФОТ, МТР, макро'!AS$14</f>
        <v>0</v>
      </c>
      <c r="Q60" s="70">
        <f>Q27*'ФОТ, МТР, макро'!AT$14</f>
        <v>0</v>
      </c>
      <c r="R60" s="70">
        <f>R27*'ФОТ, МТР, макро'!AU$14</f>
        <v>0</v>
      </c>
      <c r="S60" s="70">
        <f>S27*'ФОТ, МТР, макро'!AV$14</f>
        <v>0</v>
      </c>
      <c r="T60" s="70">
        <f>T27*'ФОТ, МТР, макро'!AW$14</f>
        <v>0</v>
      </c>
      <c r="U60" s="70">
        <f>U27*'ФОТ, МТР, макро'!AX$14</f>
        <v>0</v>
      </c>
      <c r="V60" s="70">
        <f>V27*'ФОТ, МТР, макро'!AY$14</f>
        <v>0</v>
      </c>
      <c r="W60" s="70">
        <f>W27*'ФОТ, МТР, макро'!AZ$14</f>
        <v>0</v>
      </c>
      <c r="X60" s="70">
        <f>X27*'ФОТ, МТР, макро'!BA$14</f>
        <v>0</v>
      </c>
      <c r="Y60" s="70">
        <f>Y27*'ФОТ, МТР, макро'!BB$14</f>
        <v>0</v>
      </c>
      <c r="Z60" s="70">
        <f>Z27*'ФОТ, МТР, макро'!BC$14</f>
        <v>0</v>
      </c>
      <c r="AA60" s="175"/>
    </row>
    <row r="61" spans="1:28" hidden="1" outlineLevel="1" x14ac:dyDescent="0.25">
      <c r="A61" s="36" t="str">
        <f t="shared" si="2"/>
        <v>БС-215</v>
      </c>
      <c r="B61" s="36"/>
      <c r="D61" s="17" t="str">
        <f>D31</f>
        <v>Расходники</v>
      </c>
      <c r="E61" s="9" t="str">
        <f t="shared" si="35"/>
        <v>тыс. руб.</v>
      </c>
      <c r="F61" s="90"/>
      <c r="G61" s="70">
        <f>G31*'ФОТ, МТР, макро'!AJ$14</f>
        <v>0</v>
      </c>
      <c r="H61" s="70">
        <f>H31*'ФОТ, МТР, макро'!AK$14</f>
        <v>0</v>
      </c>
      <c r="I61" s="70">
        <f>I31*'ФОТ, МТР, макро'!AL$14</f>
        <v>0</v>
      </c>
      <c r="J61" s="70">
        <f>J31*'ФОТ, МТР, макро'!AM$14</f>
        <v>0</v>
      </c>
      <c r="K61" s="70">
        <f>K31*'ФОТ, МТР, макро'!AN$14</f>
        <v>0</v>
      </c>
      <c r="L61" s="70">
        <f>L31*'ФОТ, МТР, макро'!AO$14</f>
        <v>0</v>
      </c>
      <c r="M61" s="70">
        <f>M31*'ФОТ, МТР, макро'!AP$14</f>
        <v>0</v>
      </c>
      <c r="N61" s="70">
        <f>N31*'ФОТ, МТР, макро'!AQ$14</f>
        <v>0</v>
      </c>
      <c r="O61" s="70">
        <f>O31*'ФОТ, МТР, макро'!AR$14</f>
        <v>0</v>
      </c>
      <c r="P61" s="70">
        <f>P31*'ФОТ, МТР, макро'!AS$14</f>
        <v>0</v>
      </c>
      <c r="Q61" s="70">
        <f>Q31*'ФОТ, МТР, макро'!AT$14</f>
        <v>0</v>
      </c>
      <c r="R61" s="70">
        <f>R31*'ФОТ, МТР, макро'!AU$14</f>
        <v>0</v>
      </c>
      <c r="S61" s="70">
        <f>S31*'ФОТ, МТР, макро'!AV$14</f>
        <v>0</v>
      </c>
      <c r="T61" s="70">
        <f>T31*'ФОТ, МТР, макро'!AW$14</f>
        <v>0</v>
      </c>
      <c r="U61" s="70">
        <f>U31*'ФОТ, МТР, макро'!AX$14</f>
        <v>0</v>
      </c>
      <c r="V61" s="70">
        <f>V31*'ФОТ, МТР, макро'!AY$14</f>
        <v>0</v>
      </c>
      <c r="W61" s="70">
        <f>W31*'ФОТ, МТР, макро'!AZ$14</f>
        <v>0</v>
      </c>
      <c r="X61" s="70">
        <f>X31*'ФОТ, МТР, макро'!BA$14</f>
        <v>0</v>
      </c>
      <c r="Y61" s="70">
        <f>Y31*'ФОТ, МТР, макро'!BB$14</f>
        <v>0</v>
      </c>
      <c r="Z61" s="70">
        <f>Z31*'ФОТ, МТР, макро'!BC$14</f>
        <v>0</v>
      </c>
      <c r="AA61" s="175"/>
    </row>
    <row r="62" spans="1:28" hidden="1" outlineLevel="1" x14ac:dyDescent="0.25">
      <c r="A62" s="36" t="str">
        <f t="shared" si="2"/>
        <v>БС-215</v>
      </c>
      <c r="B62" s="36"/>
      <c r="D62" s="17" t="str">
        <f>D33</f>
        <v>Топливо/Электроэнергия</v>
      </c>
      <c r="E62" s="9" t="str">
        <f t="shared" si="35"/>
        <v>тыс. руб.</v>
      </c>
      <c r="F62" s="90"/>
      <c r="G62" s="70">
        <f>G33*'ФОТ, МТР, макро'!AJ$14</f>
        <v>14760.908276700988</v>
      </c>
      <c r="H62" s="70">
        <f>H33*'ФОТ, МТР, макро'!AK$14</f>
        <v>13141.44701244003</v>
      </c>
      <c r="I62" s="70">
        <f>I33*'ФОТ, МТР, макро'!AL$14</f>
        <v>11716.49939616451</v>
      </c>
      <c r="J62" s="70">
        <f>J33*'ФОТ, МТР, макро'!AM$14</f>
        <v>10113.378892523353</v>
      </c>
      <c r="K62" s="70">
        <f>K33*'ФОТ, МТР, макро'!AN$14</f>
        <v>9326.8207587637717</v>
      </c>
      <c r="L62" s="70">
        <f>L33*'ФОТ, МТР, макро'!AO$14</f>
        <v>8267.2469891247874</v>
      </c>
      <c r="M62" s="70">
        <f>M33*'ФОТ, МТР, макро'!AP$14</f>
        <v>7198.5033343511923</v>
      </c>
      <c r="N62" s="70">
        <f>N33*'ФОТ, МТР, макро'!AQ$14</f>
        <v>6619.4275481634413</v>
      </c>
      <c r="O62" s="70">
        <f>O33*'ФОТ, МТР, макро'!AR$14</f>
        <v>5918.7831871194567</v>
      </c>
      <c r="P62" s="70">
        <f>P33*'ФОТ, МТР, макро'!AS$14</f>
        <v>5108.4310245023262</v>
      </c>
      <c r="Q62" s="70">
        <f>Q33*'ФОТ, МТР, макро'!AT$14</f>
        <v>4697.8979031969875</v>
      </c>
      <c r="R62" s="70">
        <f>R33*'ФОТ, МТР, макро'!AU$14</f>
        <v>4225.0871399475454</v>
      </c>
      <c r="S62" s="70">
        <f>S33*'ФОТ, МТР, макро'!AV$14</f>
        <v>0</v>
      </c>
      <c r="T62" s="70">
        <f>T33*'ФОТ, МТР, макро'!AW$14</f>
        <v>0</v>
      </c>
      <c r="U62" s="70">
        <f>U33*'ФОТ, МТР, макро'!AX$14</f>
        <v>0</v>
      </c>
      <c r="V62" s="70">
        <f>V33*'ФОТ, МТР, макро'!AY$14</f>
        <v>0</v>
      </c>
      <c r="W62" s="70">
        <f>W33*'ФОТ, МТР, макро'!AZ$14</f>
        <v>0</v>
      </c>
      <c r="X62" s="70">
        <f>X33*'ФОТ, МТР, макро'!BA$14</f>
        <v>0</v>
      </c>
      <c r="Y62" s="70">
        <f>Y33*'ФОТ, МТР, макро'!BB$14</f>
        <v>0</v>
      </c>
      <c r="Z62" s="70">
        <f>Z33*'ФОТ, МТР, макро'!BC$14</f>
        <v>0</v>
      </c>
      <c r="AA62" s="175"/>
    </row>
    <row r="63" spans="1:28" hidden="1" outlineLevel="1" x14ac:dyDescent="0.25">
      <c r="A63" s="36" t="str">
        <f t="shared" si="2"/>
        <v>БС-215</v>
      </c>
      <c r="B63" s="36"/>
      <c r="D63" s="17" t="str">
        <f>D42</f>
        <v>Затраты на персонал</v>
      </c>
      <c r="E63" s="9" t="str">
        <f t="shared" si="35"/>
        <v>тыс. руб.</v>
      </c>
      <c r="F63" s="90"/>
      <c r="G63" s="70">
        <f>G42*'ФОТ, МТР, макро'!AJ$14</f>
        <v>14026.894744341158</v>
      </c>
      <c r="H63" s="70">
        <f>H42*'ФОТ, МТР, макро'!AK$14</f>
        <v>12524.013164590318</v>
      </c>
      <c r="I63" s="70">
        <f>I42*'ФОТ, МТР, макро'!AL$14</f>
        <v>11182.154611241354</v>
      </c>
      <c r="J63" s="70">
        <f>J42*'ФОТ, МТР, макро'!AM$14</f>
        <v>9984.0666171797802</v>
      </c>
      <c r="K63" s="70">
        <f>K42*'ФОТ, МТР, макро'!AN$14</f>
        <v>8914.345193910518</v>
      </c>
      <c r="L63" s="70">
        <f>L42*'ФОТ, МТР, макро'!AO$14</f>
        <v>7959.2367802772478</v>
      </c>
      <c r="M63" s="70">
        <f>M42*'ФОТ, МТР, макро'!AP$14</f>
        <v>7106.4614109618278</v>
      </c>
      <c r="N63" s="70">
        <f>N42*'ФОТ, МТР, макро'!AQ$14</f>
        <v>6345.0548312159171</v>
      </c>
      <c r="O63" s="70">
        <f>O42*'ФОТ, МТР, макро'!AR$14</f>
        <v>5665.2275278713541</v>
      </c>
      <c r="P63" s="70">
        <f>P42*'ФОТ, МТР, макро'!AS$14</f>
        <v>5058.2388641708521</v>
      </c>
      <c r="Q63" s="70">
        <f>Q42*'ФОТ, МТР, макро'!AT$14</f>
        <v>4516.2847001525461</v>
      </c>
      <c r="R63" s="70">
        <f>R42*'ФОТ, МТР, макро'!AU$14</f>
        <v>4032.3970537076302</v>
      </c>
      <c r="S63" s="70">
        <f>S42*'ФОТ, МТР, макро'!AV$14</f>
        <v>0</v>
      </c>
      <c r="T63" s="70">
        <f>T42*'ФОТ, МТР, макро'!AW$14</f>
        <v>0</v>
      </c>
      <c r="U63" s="70">
        <f>U42*'ФОТ, МТР, макро'!AX$14</f>
        <v>0</v>
      </c>
      <c r="V63" s="70">
        <f>V42*'ФОТ, МТР, макро'!AY$14</f>
        <v>0</v>
      </c>
      <c r="W63" s="70">
        <f>W42*'ФОТ, МТР, макро'!AZ$14</f>
        <v>0</v>
      </c>
      <c r="X63" s="70">
        <f>X42*'ФОТ, МТР, макро'!BA$14</f>
        <v>0</v>
      </c>
      <c r="Y63" s="70">
        <f>Y42*'ФОТ, МТР, макро'!BB$14</f>
        <v>0</v>
      </c>
      <c r="Z63" s="70">
        <f>Z42*'ФОТ, МТР, макро'!BC$14</f>
        <v>0</v>
      </c>
      <c r="AA63" s="175"/>
    </row>
    <row r="64" spans="1:28" hidden="1" outlineLevel="1" x14ac:dyDescent="0.25">
      <c r="A64" s="36" t="str">
        <f t="shared" si="2"/>
        <v>БС-215</v>
      </c>
      <c r="B64" s="36"/>
      <c r="D64" s="17" t="str">
        <f>D45</f>
        <v>Транспортный налог</v>
      </c>
      <c r="E64" s="9" t="str">
        <f t="shared" si="35"/>
        <v>тыс. руб.</v>
      </c>
      <c r="F64" s="90"/>
      <c r="G64" s="70">
        <f>G45*'ФОТ, МТР, макро'!AJ$14</f>
        <v>0</v>
      </c>
      <c r="H64" s="70">
        <f>H45*'ФОТ, МТР, макро'!AK$14</f>
        <v>0</v>
      </c>
      <c r="I64" s="70">
        <f>I45*'ФОТ, МТР, макро'!AL$14</f>
        <v>0</v>
      </c>
      <c r="J64" s="70">
        <f>J45*'ФОТ, МТР, макро'!AM$14</f>
        <v>0</v>
      </c>
      <c r="K64" s="70">
        <f>K45*'ФОТ, МТР, макро'!AN$14</f>
        <v>0</v>
      </c>
      <c r="L64" s="70">
        <f>L45*'ФОТ, МТР, макро'!AO$14</f>
        <v>0</v>
      </c>
      <c r="M64" s="70">
        <f>M45*'ФОТ, МТР, макро'!AP$14</f>
        <v>0</v>
      </c>
      <c r="N64" s="70">
        <f>N45*'ФОТ, МТР, макро'!AQ$14</f>
        <v>0</v>
      </c>
      <c r="O64" s="70">
        <f>O45*'ФОТ, МТР, макро'!AR$14</f>
        <v>0</v>
      </c>
      <c r="P64" s="70">
        <f>P45*'ФОТ, МТР, макро'!AS$14</f>
        <v>0</v>
      </c>
      <c r="Q64" s="70">
        <f>Q45*'ФОТ, МТР, макро'!AT$14</f>
        <v>0</v>
      </c>
      <c r="R64" s="70">
        <f>R45*'ФОТ, МТР, макро'!AU$14</f>
        <v>0</v>
      </c>
      <c r="S64" s="70">
        <f>S45*'ФОТ, МТР, макро'!AV$14</f>
        <v>0</v>
      </c>
      <c r="T64" s="70">
        <f>T45*'ФОТ, МТР, макро'!AW$14</f>
        <v>0</v>
      </c>
      <c r="U64" s="70">
        <f>U45*'ФОТ, МТР, макро'!AX$14</f>
        <v>0</v>
      </c>
      <c r="V64" s="70">
        <f>V45*'ФОТ, МТР, макро'!AY$14</f>
        <v>0</v>
      </c>
      <c r="W64" s="70">
        <f>W45*'ФОТ, МТР, макро'!AZ$14</f>
        <v>0</v>
      </c>
      <c r="X64" s="70">
        <f>X45*'ФОТ, МТР, макро'!BA$14</f>
        <v>0</v>
      </c>
      <c r="Y64" s="70">
        <f>Y45*'ФОТ, МТР, макро'!BB$14</f>
        <v>0</v>
      </c>
      <c r="Z64" s="70">
        <f>Z45*'ФОТ, МТР, макро'!BC$14</f>
        <v>0</v>
      </c>
      <c r="AA64" s="175"/>
    </row>
    <row r="65" spans="1:27" hidden="1" outlineLevel="1" x14ac:dyDescent="0.25">
      <c r="A65" s="36" t="str">
        <f t="shared" si="2"/>
        <v>БС-215</v>
      </c>
      <c r="B65" s="36"/>
      <c r="D65" s="17" t="str">
        <f>D50</f>
        <v>Налог на прибыль</v>
      </c>
      <c r="E65" s="9" t="str">
        <f t="shared" si="35"/>
        <v>тыс. руб.</v>
      </c>
      <c r="F65" s="90"/>
      <c r="G65" s="70">
        <f>G50*'ФОТ, МТР, макро'!AJ$14</f>
        <v>-9789.2099159748213</v>
      </c>
      <c r="H65" s="70">
        <f>H50*'ФОТ, МТР, макро'!AK$14</f>
        <v>-8805.9458637728931</v>
      </c>
      <c r="I65" s="70">
        <f>I50*'ФОТ, МТР, макро'!AL$14</f>
        <v>-8849.9757171393667</v>
      </c>
      <c r="J65" s="70">
        <f>J50*'ФОТ, МТР, макро'!AM$14</f>
        <v>-8808.6473362588531</v>
      </c>
      <c r="K65" s="70">
        <f>K50*'ФОТ, МТР, макро'!AN$14</f>
        <v>-6506.7914959146292</v>
      </c>
      <c r="L65" s="70">
        <f>L50*'ФОТ, МТР, макро'!AO$14</f>
        <v>-6446.8307800493794</v>
      </c>
      <c r="M65" s="70">
        <f>M50*'ФОТ, МТР, макро'!AP$14</f>
        <v>-5806.5658289846024</v>
      </c>
      <c r="N65" s="70">
        <f>N50*'ФОТ, МТР, макро'!AQ$14</f>
        <v>-5151.2669432559878</v>
      </c>
      <c r="O65" s="70">
        <f>O50*'ФОТ, МТР, макро'!AR$14</f>
        <v>-4513.3381215116515</v>
      </c>
      <c r="P65" s="70">
        <f>P50*'ФОТ, МТР, макро'!AS$14</f>
        <v>-4115.6159757901523</v>
      </c>
      <c r="Q65" s="70">
        <f>Q50*'ФОТ, МТР, макро'!AT$14</f>
        <v>-4032.2705366385849</v>
      </c>
      <c r="R65" s="70">
        <f>R50*'ФОТ, МТР, макро'!AU$14</f>
        <v>-2885.9866451534858</v>
      </c>
      <c r="S65" s="70">
        <f>S50*'ФОТ, МТР, макро'!AV$14</f>
        <v>0</v>
      </c>
      <c r="T65" s="70">
        <f>T50*'ФОТ, МТР, макро'!AW$14</f>
        <v>0</v>
      </c>
      <c r="U65" s="70">
        <f>U50*'ФОТ, МТР, макро'!AX$14</f>
        <v>0</v>
      </c>
      <c r="V65" s="70">
        <f>V50*'ФОТ, МТР, макро'!AY$14</f>
        <v>0</v>
      </c>
      <c r="W65" s="70">
        <f>W50*'ФОТ, МТР, макро'!AZ$14</f>
        <v>0</v>
      </c>
      <c r="X65" s="70">
        <f>X50*'ФОТ, МТР, макро'!BA$14</f>
        <v>0</v>
      </c>
      <c r="Y65" s="70">
        <f>Y50*'ФОТ, МТР, макро'!BB$14</f>
        <v>0</v>
      </c>
      <c r="Z65" s="70">
        <f>Z50*'ФОТ, МТР, макро'!BC$14</f>
        <v>0</v>
      </c>
      <c r="AA65" s="175"/>
    </row>
    <row r="66" spans="1:27" hidden="1" outlineLevel="1" x14ac:dyDescent="0.25">
      <c r="A66" s="36" t="str">
        <f t="shared" si="2"/>
        <v>БС-215</v>
      </c>
      <c r="B66" s="36"/>
      <c r="D66" s="91" t="s">
        <v>67</v>
      </c>
      <c r="E66" s="9"/>
      <c r="F66" s="92"/>
      <c r="G66" s="93">
        <f>G56-SUM(G57:G65)</f>
        <v>0</v>
      </c>
      <c r="H66" s="93">
        <f t="shared" ref="H66:Z66" si="36">H56-SUM(H57:H65)</f>
        <v>0</v>
      </c>
      <c r="I66" s="93">
        <f t="shared" si="36"/>
        <v>0</v>
      </c>
      <c r="J66" s="93">
        <f t="shared" si="36"/>
        <v>0</v>
      </c>
      <c r="K66" s="93">
        <f t="shared" si="36"/>
        <v>0</v>
      </c>
      <c r="L66" s="93">
        <f t="shared" si="36"/>
        <v>0</v>
      </c>
      <c r="M66" s="93">
        <f t="shared" si="36"/>
        <v>0</v>
      </c>
      <c r="N66" s="93">
        <f t="shared" si="36"/>
        <v>0</v>
      </c>
      <c r="O66" s="93">
        <f t="shared" si="36"/>
        <v>0</v>
      </c>
      <c r="P66" s="93">
        <f t="shared" si="36"/>
        <v>0</v>
      </c>
      <c r="Q66" s="93">
        <f t="shared" si="36"/>
        <v>0</v>
      </c>
      <c r="R66" s="93">
        <f t="shared" si="36"/>
        <v>0</v>
      </c>
      <c r="S66" s="93">
        <f t="shared" si="36"/>
        <v>0</v>
      </c>
      <c r="T66" s="93">
        <f t="shared" si="36"/>
        <v>0</v>
      </c>
      <c r="U66" s="93">
        <f t="shared" si="36"/>
        <v>0</v>
      </c>
      <c r="V66" s="93">
        <f t="shared" si="36"/>
        <v>0</v>
      </c>
      <c r="W66" s="93">
        <f t="shared" si="36"/>
        <v>0</v>
      </c>
      <c r="X66" s="93">
        <f t="shared" si="36"/>
        <v>0</v>
      </c>
      <c r="Y66" s="93">
        <f t="shared" si="36"/>
        <v>0</v>
      </c>
      <c r="Z66" s="93">
        <f t="shared" si="36"/>
        <v>0</v>
      </c>
      <c r="AA66" s="175"/>
    </row>
    <row r="67" spans="1:27" ht="27.2" hidden="1" outlineLevel="1" x14ac:dyDescent="0.25">
      <c r="A67" s="36" t="str">
        <f t="shared" si="2"/>
        <v>БС-215</v>
      </c>
      <c r="B67" s="36"/>
      <c r="D67" s="94" t="s">
        <v>68</v>
      </c>
      <c r="E67" s="64" t="str">
        <f>E56</f>
        <v>тыс. руб.</v>
      </c>
      <c r="F67" s="65">
        <f>F56</f>
        <v>0</v>
      </c>
      <c r="G67" s="65">
        <f>F67+G56</f>
        <v>29367.629747924468</v>
      </c>
      <c r="H67" s="65">
        <f t="shared" ref="H67:Z68" si="37">G67+H56</f>
        <v>55785.467339243143</v>
      </c>
      <c r="I67" s="65">
        <f t="shared" si="37"/>
        <v>82335.394490661245</v>
      </c>
      <c r="J67" s="65">
        <f t="shared" si="37"/>
        <v>108761.33649943781</v>
      </c>
      <c r="K67" s="65">
        <f t="shared" si="37"/>
        <v>128281.71098718169</v>
      </c>
      <c r="L67" s="65">
        <f t="shared" si="37"/>
        <v>147622.20332732983</v>
      </c>
      <c r="M67" s="65">
        <f t="shared" si="37"/>
        <v>165041.90081428364</v>
      </c>
      <c r="N67" s="65">
        <f t="shared" si="37"/>
        <v>180495.70164405159</v>
      </c>
      <c r="O67" s="65">
        <f t="shared" si="37"/>
        <v>194035.71600858655</v>
      </c>
      <c r="P67" s="65">
        <f t="shared" si="37"/>
        <v>206382.56393595701</v>
      </c>
      <c r="Q67" s="65">
        <f t="shared" si="37"/>
        <v>218479.37554587275</v>
      </c>
      <c r="R67" s="65">
        <f t="shared" si="37"/>
        <v>227137.3354813332</v>
      </c>
      <c r="S67" s="65">
        <f t="shared" si="37"/>
        <v>227137.3354813332</v>
      </c>
      <c r="T67" s="65">
        <f t="shared" si="37"/>
        <v>227137.3354813332</v>
      </c>
      <c r="U67" s="65">
        <f t="shared" si="37"/>
        <v>227137.3354813332</v>
      </c>
      <c r="V67" s="65">
        <f t="shared" si="37"/>
        <v>227137.3354813332</v>
      </c>
      <c r="W67" s="65">
        <f t="shared" si="37"/>
        <v>227137.3354813332</v>
      </c>
      <c r="X67" s="65">
        <f t="shared" si="37"/>
        <v>227137.3354813332</v>
      </c>
      <c r="Y67" s="65">
        <f t="shared" si="37"/>
        <v>227137.3354813332</v>
      </c>
      <c r="Z67" s="65">
        <f t="shared" si="37"/>
        <v>227137.3354813332</v>
      </c>
      <c r="AA67" s="175"/>
    </row>
    <row r="68" spans="1:27" hidden="1" outlineLevel="1" x14ac:dyDescent="0.25">
      <c r="A68" s="36" t="str">
        <f t="shared" si="2"/>
        <v>БС-215</v>
      </c>
      <c r="B68" s="36"/>
      <c r="D68" s="201" t="str">
        <f>D57</f>
        <v>ТО, ТР, ППР</v>
      </c>
      <c r="E68" s="196" t="str">
        <f>E57</f>
        <v>тыс. руб.</v>
      </c>
      <c r="F68" s="83">
        <f>F57</f>
        <v>0</v>
      </c>
      <c r="G68" s="83">
        <f>F68+G57</f>
        <v>10369.036642857141</v>
      </c>
      <c r="H68" s="83">
        <f t="shared" si="37"/>
        <v>19927.359920918363</v>
      </c>
      <c r="I68" s="83">
        <f t="shared" si="37"/>
        <v>32428.608782069961</v>
      </c>
      <c r="J68" s="83">
        <f t="shared" si="37"/>
        <v>47565.752617402235</v>
      </c>
      <c r="K68" s="83">
        <f t="shared" si="37"/>
        <v>55351.752648386464</v>
      </c>
      <c r="L68" s="83">
        <f t="shared" si="37"/>
        <v>64912.591999181946</v>
      </c>
      <c r="M68" s="83">
        <f t="shared" si="37"/>
        <v>73833.890569807336</v>
      </c>
      <c r="N68" s="83">
        <f t="shared" si="37"/>
        <v>81474.475963451929</v>
      </c>
      <c r="O68" s="83">
        <f t="shared" si="37"/>
        <v>87943.817734507727</v>
      </c>
      <c r="P68" s="83">
        <f t="shared" si="37"/>
        <v>94239.611748995158</v>
      </c>
      <c r="Q68" s="83">
        <f t="shared" si="37"/>
        <v>101154.51129219997</v>
      </c>
      <c r="R68" s="83">
        <f t="shared" si="37"/>
        <v>104440.97367915873</v>
      </c>
      <c r="S68" s="83">
        <f t="shared" si="37"/>
        <v>104440.97367915873</v>
      </c>
      <c r="T68" s="83">
        <f t="shared" si="37"/>
        <v>104440.97367915873</v>
      </c>
      <c r="U68" s="83">
        <f t="shared" si="37"/>
        <v>104440.97367915873</v>
      </c>
      <c r="V68" s="83">
        <f t="shared" si="37"/>
        <v>104440.97367915873</v>
      </c>
      <c r="W68" s="83">
        <f t="shared" si="37"/>
        <v>104440.97367915873</v>
      </c>
      <c r="X68" s="83">
        <f t="shared" si="37"/>
        <v>104440.97367915873</v>
      </c>
      <c r="Y68" s="83">
        <f t="shared" si="37"/>
        <v>104440.97367915873</v>
      </c>
      <c r="Z68" s="83">
        <f t="shared" si="37"/>
        <v>104440.97367915873</v>
      </c>
      <c r="AA68" s="175"/>
    </row>
    <row r="69" spans="1:27" hidden="1" outlineLevel="1" x14ac:dyDescent="0.25">
      <c r="A69" s="36" t="str">
        <f t="shared" si="2"/>
        <v>БС-215</v>
      </c>
      <c r="B69" s="36"/>
      <c r="D69" s="201" t="str">
        <f t="shared" ref="D69:F76" si="38">D58</f>
        <v>Смазочные</v>
      </c>
      <c r="E69" s="196" t="str">
        <f t="shared" si="38"/>
        <v>тыс. руб.</v>
      </c>
      <c r="F69" s="83">
        <f t="shared" si="38"/>
        <v>0</v>
      </c>
      <c r="G69" s="83">
        <f t="shared" ref="G69:Z76" si="39">F69+G58</f>
        <v>0</v>
      </c>
      <c r="H69" s="83">
        <f t="shared" si="39"/>
        <v>0</v>
      </c>
      <c r="I69" s="83">
        <f t="shared" si="39"/>
        <v>0</v>
      </c>
      <c r="J69" s="83">
        <f t="shared" si="39"/>
        <v>0</v>
      </c>
      <c r="K69" s="83">
        <f t="shared" si="39"/>
        <v>0</v>
      </c>
      <c r="L69" s="83">
        <f t="shared" si="39"/>
        <v>0</v>
      </c>
      <c r="M69" s="83">
        <f t="shared" si="39"/>
        <v>0</v>
      </c>
      <c r="N69" s="83">
        <f t="shared" si="39"/>
        <v>0</v>
      </c>
      <c r="O69" s="83">
        <f t="shared" si="39"/>
        <v>0</v>
      </c>
      <c r="P69" s="83">
        <f t="shared" si="39"/>
        <v>0</v>
      </c>
      <c r="Q69" s="83">
        <f t="shared" si="39"/>
        <v>0</v>
      </c>
      <c r="R69" s="83">
        <f t="shared" si="39"/>
        <v>0</v>
      </c>
      <c r="S69" s="83">
        <f t="shared" si="39"/>
        <v>0</v>
      </c>
      <c r="T69" s="83">
        <f t="shared" si="39"/>
        <v>0</v>
      </c>
      <c r="U69" s="83">
        <f t="shared" si="39"/>
        <v>0</v>
      </c>
      <c r="V69" s="83">
        <f t="shared" si="39"/>
        <v>0</v>
      </c>
      <c r="W69" s="83">
        <f t="shared" si="39"/>
        <v>0</v>
      </c>
      <c r="X69" s="83">
        <f t="shared" si="39"/>
        <v>0</v>
      </c>
      <c r="Y69" s="83">
        <f t="shared" si="39"/>
        <v>0</v>
      </c>
      <c r="Z69" s="83">
        <f t="shared" si="39"/>
        <v>0</v>
      </c>
      <c r="AA69" s="175"/>
    </row>
    <row r="70" spans="1:27" hidden="1" outlineLevel="1" x14ac:dyDescent="0.25">
      <c r="A70" s="36" t="str">
        <f t="shared" si="2"/>
        <v>БС-215</v>
      </c>
      <c r="B70" s="36"/>
      <c r="D70" s="201" t="str">
        <f t="shared" si="38"/>
        <v>Долота</v>
      </c>
      <c r="E70" s="196" t="str">
        <f t="shared" si="38"/>
        <v>тыс. руб.</v>
      </c>
      <c r="F70" s="83">
        <f t="shared" si="38"/>
        <v>0</v>
      </c>
      <c r="G70" s="83">
        <f t="shared" si="39"/>
        <v>0</v>
      </c>
      <c r="H70" s="83">
        <f t="shared" si="39"/>
        <v>0</v>
      </c>
      <c r="I70" s="83">
        <f t="shared" si="39"/>
        <v>0</v>
      </c>
      <c r="J70" s="83">
        <f t="shared" si="39"/>
        <v>0</v>
      </c>
      <c r="K70" s="83">
        <f t="shared" si="39"/>
        <v>0</v>
      </c>
      <c r="L70" s="83">
        <f t="shared" si="39"/>
        <v>0</v>
      </c>
      <c r="M70" s="83">
        <f t="shared" si="39"/>
        <v>0</v>
      </c>
      <c r="N70" s="83">
        <f t="shared" si="39"/>
        <v>0</v>
      </c>
      <c r="O70" s="83">
        <f t="shared" si="39"/>
        <v>0</v>
      </c>
      <c r="P70" s="83">
        <f t="shared" si="39"/>
        <v>0</v>
      </c>
      <c r="Q70" s="83">
        <f t="shared" si="39"/>
        <v>0</v>
      </c>
      <c r="R70" s="83">
        <f t="shared" si="39"/>
        <v>0</v>
      </c>
      <c r="S70" s="83">
        <f t="shared" si="39"/>
        <v>0</v>
      </c>
      <c r="T70" s="83">
        <f t="shared" si="39"/>
        <v>0</v>
      </c>
      <c r="U70" s="83">
        <f t="shared" si="39"/>
        <v>0</v>
      </c>
      <c r="V70" s="83">
        <f t="shared" si="39"/>
        <v>0</v>
      </c>
      <c r="W70" s="83">
        <f t="shared" si="39"/>
        <v>0</v>
      </c>
      <c r="X70" s="83">
        <f t="shared" si="39"/>
        <v>0</v>
      </c>
      <c r="Y70" s="83">
        <f t="shared" si="39"/>
        <v>0</v>
      </c>
      <c r="Z70" s="83">
        <f t="shared" si="39"/>
        <v>0</v>
      </c>
      <c r="AA70" s="175"/>
    </row>
    <row r="71" spans="1:27" hidden="1" outlineLevel="1" x14ac:dyDescent="0.25">
      <c r="A71" s="36" t="str">
        <f t="shared" si="2"/>
        <v>БС-215</v>
      </c>
      <c r="B71" s="36"/>
      <c r="D71" s="201" t="str">
        <f t="shared" si="38"/>
        <v>Штанги буровые</v>
      </c>
      <c r="E71" s="196" t="str">
        <f t="shared" si="38"/>
        <v>тыс. руб.</v>
      </c>
      <c r="F71" s="83">
        <f t="shared" si="38"/>
        <v>0</v>
      </c>
      <c r="G71" s="83">
        <f t="shared" si="39"/>
        <v>0</v>
      </c>
      <c r="H71" s="83">
        <f t="shared" si="39"/>
        <v>0</v>
      </c>
      <c r="I71" s="83">
        <f t="shared" si="39"/>
        <v>0</v>
      </c>
      <c r="J71" s="83">
        <f t="shared" si="39"/>
        <v>0</v>
      </c>
      <c r="K71" s="83">
        <f t="shared" si="39"/>
        <v>0</v>
      </c>
      <c r="L71" s="83">
        <f t="shared" si="39"/>
        <v>0</v>
      </c>
      <c r="M71" s="83">
        <f t="shared" si="39"/>
        <v>0</v>
      </c>
      <c r="N71" s="83">
        <f t="shared" si="39"/>
        <v>0</v>
      </c>
      <c r="O71" s="83">
        <f t="shared" si="39"/>
        <v>0</v>
      </c>
      <c r="P71" s="83">
        <f t="shared" si="39"/>
        <v>0</v>
      </c>
      <c r="Q71" s="83">
        <f t="shared" si="39"/>
        <v>0</v>
      </c>
      <c r="R71" s="83">
        <f t="shared" si="39"/>
        <v>0</v>
      </c>
      <c r="S71" s="83">
        <f t="shared" si="39"/>
        <v>0</v>
      </c>
      <c r="T71" s="83">
        <f t="shared" si="39"/>
        <v>0</v>
      </c>
      <c r="U71" s="83">
        <f t="shared" si="39"/>
        <v>0</v>
      </c>
      <c r="V71" s="83">
        <f t="shared" si="39"/>
        <v>0</v>
      </c>
      <c r="W71" s="83">
        <f t="shared" si="39"/>
        <v>0</v>
      </c>
      <c r="X71" s="83">
        <f t="shared" si="39"/>
        <v>0</v>
      </c>
      <c r="Y71" s="83">
        <f t="shared" si="39"/>
        <v>0</v>
      </c>
      <c r="Z71" s="83">
        <f t="shared" si="39"/>
        <v>0</v>
      </c>
      <c r="AA71" s="175"/>
    </row>
    <row r="72" spans="1:27" hidden="1" outlineLevel="1" x14ac:dyDescent="0.25">
      <c r="A72" s="36" t="str">
        <f t="shared" si="2"/>
        <v>БС-215</v>
      </c>
      <c r="B72" s="36"/>
      <c r="D72" s="201" t="str">
        <f t="shared" si="38"/>
        <v>Расходники</v>
      </c>
      <c r="E72" s="196" t="str">
        <f t="shared" si="38"/>
        <v>тыс. руб.</v>
      </c>
      <c r="F72" s="83">
        <f t="shared" si="38"/>
        <v>0</v>
      </c>
      <c r="G72" s="83">
        <f t="shared" si="39"/>
        <v>0</v>
      </c>
      <c r="H72" s="83">
        <f t="shared" si="39"/>
        <v>0</v>
      </c>
      <c r="I72" s="83">
        <f t="shared" si="39"/>
        <v>0</v>
      </c>
      <c r="J72" s="83">
        <f t="shared" si="39"/>
        <v>0</v>
      </c>
      <c r="K72" s="83">
        <f t="shared" si="39"/>
        <v>0</v>
      </c>
      <c r="L72" s="83">
        <f t="shared" si="39"/>
        <v>0</v>
      </c>
      <c r="M72" s="83">
        <f t="shared" si="39"/>
        <v>0</v>
      </c>
      <c r="N72" s="83">
        <f t="shared" si="39"/>
        <v>0</v>
      </c>
      <c r="O72" s="83">
        <f t="shared" si="39"/>
        <v>0</v>
      </c>
      <c r="P72" s="83">
        <f t="shared" si="39"/>
        <v>0</v>
      </c>
      <c r="Q72" s="83">
        <f t="shared" si="39"/>
        <v>0</v>
      </c>
      <c r="R72" s="83">
        <f t="shared" si="39"/>
        <v>0</v>
      </c>
      <c r="S72" s="83">
        <f t="shared" si="39"/>
        <v>0</v>
      </c>
      <c r="T72" s="83">
        <f t="shared" si="39"/>
        <v>0</v>
      </c>
      <c r="U72" s="83">
        <f t="shared" si="39"/>
        <v>0</v>
      </c>
      <c r="V72" s="83">
        <f t="shared" si="39"/>
        <v>0</v>
      </c>
      <c r="W72" s="83">
        <f t="shared" si="39"/>
        <v>0</v>
      </c>
      <c r="X72" s="83">
        <f t="shared" si="39"/>
        <v>0</v>
      </c>
      <c r="Y72" s="83">
        <f t="shared" si="39"/>
        <v>0</v>
      </c>
      <c r="Z72" s="83">
        <f t="shared" si="39"/>
        <v>0</v>
      </c>
      <c r="AA72" s="175"/>
    </row>
    <row r="73" spans="1:27" hidden="1" outlineLevel="1" x14ac:dyDescent="0.25">
      <c r="A73" s="36" t="str">
        <f t="shared" si="2"/>
        <v>БС-215</v>
      </c>
      <c r="B73" s="36"/>
      <c r="D73" s="201" t="str">
        <f t="shared" si="38"/>
        <v>Топливо/Электроэнергия</v>
      </c>
      <c r="E73" s="196" t="str">
        <f t="shared" si="38"/>
        <v>тыс. руб.</v>
      </c>
      <c r="F73" s="83">
        <f t="shared" si="38"/>
        <v>0</v>
      </c>
      <c r="G73" s="83">
        <f t="shared" si="39"/>
        <v>14760.908276700988</v>
      </c>
      <c r="H73" s="83">
        <f t="shared" si="39"/>
        <v>27902.355289141018</v>
      </c>
      <c r="I73" s="83">
        <f t="shared" si="39"/>
        <v>39618.85468530553</v>
      </c>
      <c r="J73" s="83">
        <f t="shared" si="39"/>
        <v>49732.233577828883</v>
      </c>
      <c r="K73" s="83">
        <f t="shared" si="39"/>
        <v>59059.054336592657</v>
      </c>
      <c r="L73" s="83">
        <f t="shared" si="39"/>
        <v>67326.301325717446</v>
      </c>
      <c r="M73" s="83">
        <f t="shared" si="39"/>
        <v>74524.804660068636</v>
      </c>
      <c r="N73" s="83">
        <f t="shared" si="39"/>
        <v>81144.232208232075</v>
      </c>
      <c r="O73" s="83">
        <f t="shared" si="39"/>
        <v>87063.015395351526</v>
      </c>
      <c r="P73" s="83">
        <f t="shared" si="39"/>
        <v>92171.446419853848</v>
      </c>
      <c r="Q73" s="83">
        <f t="shared" si="39"/>
        <v>96869.344323050842</v>
      </c>
      <c r="R73" s="83">
        <f t="shared" si="39"/>
        <v>101094.43146299839</v>
      </c>
      <c r="S73" s="83">
        <f t="shared" si="39"/>
        <v>101094.43146299839</v>
      </c>
      <c r="T73" s="83">
        <f t="shared" si="39"/>
        <v>101094.43146299839</v>
      </c>
      <c r="U73" s="83">
        <f t="shared" si="39"/>
        <v>101094.43146299839</v>
      </c>
      <c r="V73" s="83">
        <f t="shared" si="39"/>
        <v>101094.43146299839</v>
      </c>
      <c r="W73" s="83">
        <f t="shared" si="39"/>
        <v>101094.43146299839</v>
      </c>
      <c r="X73" s="83">
        <f t="shared" si="39"/>
        <v>101094.43146299839</v>
      </c>
      <c r="Y73" s="83">
        <f t="shared" si="39"/>
        <v>101094.43146299839</v>
      </c>
      <c r="Z73" s="83">
        <f t="shared" si="39"/>
        <v>101094.43146299839</v>
      </c>
      <c r="AA73" s="175"/>
    </row>
    <row r="74" spans="1:27" hidden="1" outlineLevel="1" x14ac:dyDescent="0.25">
      <c r="A74" s="36" t="str">
        <f t="shared" ref="A74:A112" si="40">A73</f>
        <v>БС-215</v>
      </c>
      <c r="B74" s="36"/>
      <c r="D74" s="201" t="str">
        <f t="shared" si="38"/>
        <v>Затраты на персонал</v>
      </c>
      <c r="E74" s="196" t="str">
        <f t="shared" si="38"/>
        <v>тыс. руб.</v>
      </c>
      <c r="F74" s="83">
        <f t="shared" si="38"/>
        <v>0</v>
      </c>
      <c r="G74" s="83">
        <f t="shared" si="39"/>
        <v>14026.894744341158</v>
      </c>
      <c r="H74" s="83">
        <f t="shared" si="39"/>
        <v>26550.907908931476</v>
      </c>
      <c r="I74" s="83">
        <f t="shared" si="39"/>
        <v>37733.062520172833</v>
      </c>
      <c r="J74" s="83">
        <f t="shared" si="39"/>
        <v>47717.129137352611</v>
      </c>
      <c r="K74" s="83">
        <f t="shared" si="39"/>
        <v>56631.474331263133</v>
      </c>
      <c r="L74" s="83">
        <f t="shared" si="39"/>
        <v>64590.711111540382</v>
      </c>
      <c r="M74" s="83">
        <f t="shared" si="39"/>
        <v>71697.172522502209</v>
      </c>
      <c r="N74" s="83">
        <f t="shared" si="39"/>
        <v>78042.227353718132</v>
      </c>
      <c r="O74" s="83">
        <f t="shared" si="39"/>
        <v>83707.454881589481</v>
      </c>
      <c r="P74" s="83">
        <f t="shared" si="39"/>
        <v>88765.693745760334</v>
      </c>
      <c r="Q74" s="83">
        <f t="shared" si="39"/>
        <v>93281.978445912886</v>
      </c>
      <c r="R74" s="83">
        <f t="shared" si="39"/>
        <v>97314.37549962051</v>
      </c>
      <c r="S74" s="83">
        <f t="shared" si="39"/>
        <v>97314.37549962051</v>
      </c>
      <c r="T74" s="83">
        <f t="shared" si="39"/>
        <v>97314.37549962051</v>
      </c>
      <c r="U74" s="83">
        <f t="shared" si="39"/>
        <v>97314.37549962051</v>
      </c>
      <c r="V74" s="83">
        <f t="shared" si="39"/>
        <v>97314.37549962051</v>
      </c>
      <c r="W74" s="83">
        <f t="shared" si="39"/>
        <v>97314.37549962051</v>
      </c>
      <c r="X74" s="83">
        <f t="shared" si="39"/>
        <v>97314.37549962051</v>
      </c>
      <c r="Y74" s="83">
        <f t="shared" si="39"/>
        <v>97314.37549962051</v>
      </c>
      <c r="Z74" s="83">
        <f t="shared" si="39"/>
        <v>97314.37549962051</v>
      </c>
      <c r="AA74" s="175"/>
    </row>
    <row r="75" spans="1:27" hidden="1" outlineLevel="1" x14ac:dyDescent="0.25">
      <c r="A75" s="36" t="str">
        <f t="shared" si="40"/>
        <v>БС-215</v>
      </c>
      <c r="B75" s="36"/>
      <c r="D75" s="201" t="str">
        <f t="shared" si="38"/>
        <v>Транспортный налог</v>
      </c>
      <c r="E75" s="196" t="str">
        <f t="shared" si="38"/>
        <v>тыс. руб.</v>
      </c>
      <c r="F75" s="83">
        <f t="shared" si="38"/>
        <v>0</v>
      </c>
      <c r="G75" s="83">
        <f t="shared" si="39"/>
        <v>0</v>
      </c>
      <c r="H75" s="83">
        <f t="shared" si="39"/>
        <v>0</v>
      </c>
      <c r="I75" s="83">
        <f t="shared" si="39"/>
        <v>0</v>
      </c>
      <c r="J75" s="83">
        <f t="shared" si="39"/>
        <v>0</v>
      </c>
      <c r="K75" s="83">
        <f t="shared" si="39"/>
        <v>0</v>
      </c>
      <c r="L75" s="83">
        <f t="shared" si="39"/>
        <v>0</v>
      </c>
      <c r="M75" s="83">
        <f t="shared" si="39"/>
        <v>0</v>
      </c>
      <c r="N75" s="83">
        <f t="shared" si="39"/>
        <v>0</v>
      </c>
      <c r="O75" s="83">
        <f t="shared" si="39"/>
        <v>0</v>
      </c>
      <c r="P75" s="83">
        <f t="shared" si="39"/>
        <v>0</v>
      </c>
      <c r="Q75" s="83">
        <f t="shared" si="39"/>
        <v>0</v>
      </c>
      <c r="R75" s="83">
        <f t="shared" si="39"/>
        <v>0</v>
      </c>
      <c r="S75" s="83">
        <f t="shared" si="39"/>
        <v>0</v>
      </c>
      <c r="T75" s="83">
        <f t="shared" si="39"/>
        <v>0</v>
      </c>
      <c r="U75" s="83">
        <f t="shared" si="39"/>
        <v>0</v>
      </c>
      <c r="V75" s="83">
        <f t="shared" si="39"/>
        <v>0</v>
      </c>
      <c r="W75" s="83">
        <f t="shared" si="39"/>
        <v>0</v>
      </c>
      <c r="X75" s="83">
        <f t="shared" si="39"/>
        <v>0</v>
      </c>
      <c r="Y75" s="83">
        <f t="shared" si="39"/>
        <v>0</v>
      </c>
      <c r="Z75" s="83">
        <f t="shared" si="39"/>
        <v>0</v>
      </c>
      <c r="AA75" s="175"/>
    </row>
    <row r="76" spans="1:27" hidden="1" outlineLevel="1" x14ac:dyDescent="0.25">
      <c r="A76" s="36" t="str">
        <f t="shared" si="40"/>
        <v>БС-215</v>
      </c>
      <c r="B76" s="36"/>
      <c r="D76" s="201" t="str">
        <f t="shared" si="38"/>
        <v>Налог на прибыль</v>
      </c>
      <c r="E76" s="196" t="str">
        <f t="shared" si="38"/>
        <v>тыс. руб.</v>
      </c>
      <c r="F76" s="83">
        <f t="shared" si="38"/>
        <v>0</v>
      </c>
      <c r="G76" s="83">
        <f t="shared" si="39"/>
        <v>-9789.2099159748213</v>
      </c>
      <c r="H76" s="83">
        <f t="shared" si="39"/>
        <v>-18595.155779747714</v>
      </c>
      <c r="I76" s="83">
        <f t="shared" si="39"/>
        <v>-27445.131496887079</v>
      </c>
      <c r="J76" s="83">
        <f t="shared" si="39"/>
        <v>-36253.778833145931</v>
      </c>
      <c r="K76" s="83">
        <f t="shared" si="39"/>
        <v>-42760.57032906056</v>
      </c>
      <c r="L76" s="83">
        <f t="shared" si="39"/>
        <v>-49207.401109109938</v>
      </c>
      <c r="M76" s="83">
        <f t="shared" si="39"/>
        <v>-55013.966938094542</v>
      </c>
      <c r="N76" s="83">
        <f t="shared" si="39"/>
        <v>-60165.233881350527</v>
      </c>
      <c r="O76" s="83">
        <f t="shared" si="39"/>
        <v>-64678.57200286218</v>
      </c>
      <c r="P76" s="83">
        <f t="shared" si="39"/>
        <v>-68794.187978652335</v>
      </c>
      <c r="Q76" s="83">
        <f t="shared" si="39"/>
        <v>-72826.458515290913</v>
      </c>
      <c r="R76" s="83">
        <f t="shared" si="39"/>
        <v>-75712.445160444404</v>
      </c>
      <c r="S76" s="83">
        <f t="shared" si="39"/>
        <v>-75712.445160444404</v>
      </c>
      <c r="T76" s="83">
        <f t="shared" si="39"/>
        <v>-75712.445160444404</v>
      </c>
      <c r="U76" s="83">
        <f t="shared" si="39"/>
        <v>-75712.445160444404</v>
      </c>
      <c r="V76" s="83">
        <f t="shared" si="39"/>
        <v>-75712.445160444404</v>
      </c>
      <c r="W76" s="83">
        <f t="shared" si="39"/>
        <v>-75712.445160444404</v>
      </c>
      <c r="X76" s="83">
        <f t="shared" si="39"/>
        <v>-75712.445160444404</v>
      </c>
      <c r="Y76" s="83">
        <f t="shared" si="39"/>
        <v>-75712.445160444404</v>
      </c>
      <c r="Z76" s="83">
        <f t="shared" si="39"/>
        <v>-75712.445160444404</v>
      </c>
      <c r="AA76" s="175"/>
    </row>
    <row r="77" spans="1:27" hidden="1" outlineLevel="1" x14ac:dyDescent="0.25">
      <c r="A77" s="36" t="str">
        <f t="shared" si="40"/>
        <v>БС-215</v>
      </c>
      <c r="B77" s="36"/>
      <c r="D77" s="88"/>
      <c r="E77" s="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175"/>
    </row>
    <row r="78" spans="1:27" hidden="1" outlineLevel="1" x14ac:dyDescent="0.25">
      <c r="A78" s="36" t="str">
        <f t="shared" si="40"/>
        <v>БС-215</v>
      </c>
      <c r="B78" s="36"/>
      <c r="D78" s="63" t="s">
        <v>69</v>
      </c>
      <c r="E78" s="64" t="str">
        <f>E55</f>
        <v>тыс. руб.</v>
      </c>
      <c r="F78" s="65">
        <f>F52*'ФОТ, МТР, макро'!AI$14</f>
        <v>0</v>
      </c>
      <c r="G78" s="65">
        <f>G52*'ФОТ, МТР, макро'!AJ$14</f>
        <v>0</v>
      </c>
      <c r="H78" s="65">
        <f>H52*'ФОТ, МТР, макро'!AK$14</f>
        <v>0</v>
      </c>
      <c r="I78" s="65">
        <f>I52*'ФОТ, МТР, макро'!AL$14</f>
        <v>0</v>
      </c>
      <c r="J78" s="65">
        <f>J52*'ФОТ, МТР, макро'!AM$14</f>
        <v>0</v>
      </c>
      <c r="K78" s="65">
        <f>K52*'ФОТ, МТР, макро'!AN$14</f>
        <v>0</v>
      </c>
      <c r="L78" s="65">
        <f>L52*'ФОТ, МТР, макро'!AO$14</f>
        <v>0</v>
      </c>
      <c r="M78" s="65">
        <f>M52*'ФОТ, МТР, макро'!AP$14</f>
        <v>0</v>
      </c>
      <c r="N78" s="65">
        <f>N52*'ФОТ, МТР, макро'!AQ$14</f>
        <v>0</v>
      </c>
      <c r="O78" s="65">
        <f>O52*'ФОТ, МТР, макро'!AR$14</f>
        <v>0</v>
      </c>
      <c r="P78" s="65">
        <f>P52*'ФОТ, МТР, макро'!AS$14</f>
        <v>0</v>
      </c>
      <c r="Q78" s="65">
        <f>Q52*'ФОТ, МТР, макро'!AT$14</f>
        <v>0</v>
      </c>
      <c r="R78" s="65">
        <f>R52*'ФОТ, МТР, макро'!AU$14</f>
        <v>0</v>
      </c>
      <c r="S78" s="65">
        <f>S52*'ФОТ, МТР, макро'!AV$14</f>
        <v>0</v>
      </c>
      <c r="T78" s="65">
        <f>T52*'ФОТ, МТР, макро'!AW$14</f>
        <v>0</v>
      </c>
      <c r="U78" s="65">
        <f>U52*'ФОТ, МТР, макро'!AX$14</f>
        <v>0</v>
      </c>
      <c r="V78" s="65">
        <f>V52*'ФОТ, МТР, макро'!AY$14</f>
        <v>0</v>
      </c>
      <c r="W78" s="65">
        <f>W52*'ФОТ, МТР, макро'!AZ$14</f>
        <v>0</v>
      </c>
      <c r="X78" s="65">
        <f>X52*'ФОТ, МТР, макро'!BA$14</f>
        <v>0</v>
      </c>
      <c r="Y78" s="65">
        <f>Y52*'ФОТ, МТР, макро'!BB$14</f>
        <v>0</v>
      </c>
      <c r="Z78" s="65">
        <f>Z52*'ФОТ, МТР, макро'!BC$14</f>
        <v>0</v>
      </c>
      <c r="AA78" s="175"/>
    </row>
    <row r="79" spans="1:27" hidden="1" outlineLevel="1" x14ac:dyDescent="0.25">
      <c r="A79" s="36" t="str">
        <f t="shared" si="40"/>
        <v>БС-215</v>
      </c>
      <c r="B79" s="36"/>
      <c r="D79" s="88" t="str">
        <f>D53</f>
        <v>Буровой станок</v>
      </c>
      <c r="E79" s="9" t="str">
        <f>E78</f>
        <v>тыс. руб.</v>
      </c>
      <c r="F79" s="70">
        <f>F53*'ФОТ, МТР, макро'!AI$14</f>
        <v>0</v>
      </c>
      <c r="G79" s="70">
        <f>G53*'ФОТ, МТР, макро'!AJ$14</f>
        <v>0</v>
      </c>
      <c r="H79" s="70">
        <f>H53*'ФОТ, МТР, макро'!AK$14</f>
        <v>0</v>
      </c>
      <c r="I79" s="70">
        <f>I53*'ФОТ, МТР, макро'!AL$14</f>
        <v>0</v>
      </c>
      <c r="J79" s="70">
        <f>J53*'ФОТ, МТР, макро'!AM$14</f>
        <v>0</v>
      </c>
      <c r="K79" s="70">
        <f>K53*'ФОТ, МТР, макро'!AN$14</f>
        <v>0</v>
      </c>
      <c r="L79" s="70">
        <f>L53*'ФОТ, МТР, макро'!AO$14</f>
        <v>0</v>
      </c>
      <c r="M79" s="70">
        <f>M53*'ФОТ, МТР, макро'!AP$14</f>
        <v>0</v>
      </c>
      <c r="N79" s="70">
        <f>N53*'ФОТ, МТР, макро'!AQ$14</f>
        <v>0</v>
      </c>
      <c r="O79" s="70">
        <f>O53*'ФОТ, МТР, макро'!AR$14</f>
        <v>0</v>
      </c>
      <c r="P79" s="70">
        <f>P53*'ФОТ, МТР, макро'!AS$14</f>
        <v>0</v>
      </c>
      <c r="Q79" s="70">
        <f>Q53*'ФОТ, МТР, макро'!AT$14</f>
        <v>0</v>
      </c>
      <c r="R79" s="70">
        <f>R53*'ФОТ, МТР, макро'!AU$14</f>
        <v>0</v>
      </c>
      <c r="S79" s="70">
        <f>S53*'ФОТ, МТР, макро'!AV$14</f>
        <v>0</v>
      </c>
      <c r="T79" s="70">
        <f>T53*'ФОТ, МТР, макро'!AW$14</f>
        <v>0</v>
      </c>
      <c r="U79" s="70">
        <f>U53*'ФОТ, МТР, макро'!AX$14</f>
        <v>0</v>
      </c>
      <c r="V79" s="70">
        <f>V53*'ФОТ, МТР, макро'!AY$14</f>
        <v>0</v>
      </c>
      <c r="W79" s="70">
        <f>W53*'ФОТ, МТР, макро'!AZ$14</f>
        <v>0</v>
      </c>
      <c r="X79" s="70">
        <f>X53*'ФОТ, МТР, макро'!BA$14</f>
        <v>0</v>
      </c>
      <c r="Y79" s="70">
        <f>Y53*'ФОТ, МТР, макро'!BB$14</f>
        <v>0</v>
      </c>
      <c r="Z79" s="70">
        <f>Z53*'ФОТ, МТР, макро'!BC$14</f>
        <v>0</v>
      </c>
      <c r="AA79" s="175"/>
    </row>
    <row r="80" spans="1:27" hidden="1" outlineLevel="1" x14ac:dyDescent="0.25">
      <c r="A80" s="36" t="str">
        <f t="shared" si="40"/>
        <v>БС-215</v>
      </c>
      <c r="B80" s="36"/>
      <c r="D80" s="91" t="s">
        <v>67</v>
      </c>
      <c r="E80" s="9"/>
      <c r="F80" s="93">
        <f>F78-F79</f>
        <v>0</v>
      </c>
      <c r="G80" s="93">
        <f t="shared" ref="G80:Z80" si="41">G78-G79</f>
        <v>0</v>
      </c>
      <c r="H80" s="93">
        <f t="shared" si="41"/>
        <v>0</v>
      </c>
      <c r="I80" s="93">
        <f t="shared" si="41"/>
        <v>0</v>
      </c>
      <c r="J80" s="93">
        <f t="shared" si="41"/>
        <v>0</v>
      </c>
      <c r="K80" s="93">
        <f t="shared" si="41"/>
        <v>0</v>
      </c>
      <c r="L80" s="93">
        <f t="shared" si="41"/>
        <v>0</v>
      </c>
      <c r="M80" s="93">
        <f t="shared" si="41"/>
        <v>0</v>
      </c>
      <c r="N80" s="93">
        <f t="shared" si="41"/>
        <v>0</v>
      </c>
      <c r="O80" s="93">
        <f t="shared" si="41"/>
        <v>0</v>
      </c>
      <c r="P80" s="93">
        <f t="shared" si="41"/>
        <v>0</v>
      </c>
      <c r="Q80" s="93">
        <f t="shared" si="41"/>
        <v>0</v>
      </c>
      <c r="R80" s="93">
        <f t="shared" si="41"/>
        <v>0</v>
      </c>
      <c r="S80" s="93">
        <f t="shared" si="41"/>
        <v>0</v>
      </c>
      <c r="T80" s="93">
        <f t="shared" si="41"/>
        <v>0</v>
      </c>
      <c r="U80" s="93">
        <f t="shared" si="41"/>
        <v>0</v>
      </c>
      <c r="V80" s="93">
        <f t="shared" si="41"/>
        <v>0</v>
      </c>
      <c r="W80" s="93">
        <f t="shared" si="41"/>
        <v>0</v>
      </c>
      <c r="X80" s="93">
        <f t="shared" si="41"/>
        <v>0</v>
      </c>
      <c r="Y80" s="93">
        <f t="shared" si="41"/>
        <v>0</v>
      </c>
      <c r="Z80" s="93">
        <f t="shared" si="41"/>
        <v>0</v>
      </c>
      <c r="AA80" s="175"/>
    </row>
    <row r="81" spans="1:29" hidden="1" outlineLevel="1" x14ac:dyDescent="0.25">
      <c r="A81" s="36" t="str">
        <f t="shared" si="40"/>
        <v>БС-215</v>
      </c>
      <c r="B81" s="36"/>
      <c r="D81" s="94" t="s">
        <v>70</v>
      </c>
      <c r="E81" s="64" t="str">
        <f>E78</f>
        <v>тыс. руб.</v>
      </c>
      <c r="F81" s="65">
        <f>F78</f>
        <v>0</v>
      </c>
      <c r="G81" s="65">
        <f>F81+G78</f>
        <v>0</v>
      </c>
      <c r="H81" s="65">
        <f t="shared" ref="H81:Z82" si="42">G81+H78</f>
        <v>0</v>
      </c>
      <c r="I81" s="65">
        <f t="shared" si="42"/>
        <v>0</v>
      </c>
      <c r="J81" s="65">
        <f t="shared" si="42"/>
        <v>0</v>
      </c>
      <c r="K81" s="65">
        <f t="shared" si="42"/>
        <v>0</v>
      </c>
      <c r="L81" s="65">
        <f t="shared" si="42"/>
        <v>0</v>
      </c>
      <c r="M81" s="65">
        <f t="shared" si="42"/>
        <v>0</v>
      </c>
      <c r="N81" s="65">
        <f t="shared" si="42"/>
        <v>0</v>
      </c>
      <c r="O81" s="65">
        <f t="shared" si="42"/>
        <v>0</v>
      </c>
      <c r="P81" s="65">
        <f t="shared" si="42"/>
        <v>0</v>
      </c>
      <c r="Q81" s="65">
        <f t="shared" si="42"/>
        <v>0</v>
      </c>
      <c r="R81" s="65">
        <f t="shared" si="42"/>
        <v>0</v>
      </c>
      <c r="S81" s="65">
        <f t="shared" si="42"/>
        <v>0</v>
      </c>
      <c r="T81" s="65">
        <f t="shared" si="42"/>
        <v>0</v>
      </c>
      <c r="U81" s="65">
        <f t="shared" si="42"/>
        <v>0</v>
      </c>
      <c r="V81" s="65">
        <f t="shared" si="42"/>
        <v>0</v>
      </c>
      <c r="W81" s="65">
        <f t="shared" si="42"/>
        <v>0</v>
      </c>
      <c r="X81" s="65">
        <f t="shared" si="42"/>
        <v>0</v>
      </c>
      <c r="Y81" s="65">
        <f t="shared" si="42"/>
        <v>0</v>
      </c>
      <c r="Z81" s="65">
        <f t="shared" si="42"/>
        <v>0</v>
      </c>
      <c r="AA81" s="175"/>
    </row>
    <row r="82" spans="1:29" hidden="1" outlineLevel="1" x14ac:dyDescent="0.25">
      <c r="A82" s="36" t="str">
        <f t="shared" si="40"/>
        <v>БС-215</v>
      </c>
      <c r="B82" s="36"/>
      <c r="D82" s="88" t="str">
        <f>D79</f>
        <v>Буровой станок</v>
      </c>
      <c r="E82" s="9" t="str">
        <f>E79</f>
        <v>тыс. руб.</v>
      </c>
      <c r="F82" s="70">
        <f>F79</f>
        <v>0</v>
      </c>
      <c r="G82" s="70">
        <f>F82+G79</f>
        <v>0</v>
      </c>
      <c r="H82" s="70">
        <f t="shared" si="42"/>
        <v>0</v>
      </c>
      <c r="I82" s="70">
        <f t="shared" si="42"/>
        <v>0</v>
      </c>
      <c r="J82" s="70">
        <f t="shared" si="42"/>
        <v>0</v>
      </c>
      <c r="K82" s="70">
        <f t="shared" si="42"/>
        <v>0</v>
      </c>
      <c r="L82" s="70">
        <f t="shared" si="42"/>
        <v>0</v>
      </c>
      <c r="M82" s="70">
        <f t="shared" si="42"/>
        <v>0</v>
      </c>
      <c r="N82" s="70">
        <f t="shared" si="42"/>
        <v>0</v>
      </c>
      <c r="O82" s="70">
        <f t="shared" si="42"/>
        <v>0</v>
      </c>
      <c r="P82" s="70">
        <f t="shared" si="42"/>
        <v>0</v>
      </c>
      <c r="Q82" s="70">
        <f t="shared" si="42"/>
        <v>0</v>
      </c>
      <c r="R82" s="70">
        <f t="shared" si="42"/>
        <v>0</v>
      </c>
      <c r="S82" s="70">
        <f t="shared" si="42"/>
        <v>0</v>
      </c>
      <c r="T82" s="70">
        <f t="shared" si="42"/>
        <v>0</v>
      </c>
      <c r="U82" s="70">
        <f t="shared" si="42"/>
        <v>0</v>
      </c>
      <c r="V82" s="70">
        <f t="shared" si="42"/>
        <v>0</v>
      </c>
      <c r="W82" s="70">
        <f t="shared" si="42"/>
        <v>0</v>
      </c>
      <c r="X82" s="70">
        <f t="shared" si="42"/>
        <v>0</v>
      </c>
      <c r="Y82" s="70">
        <f t="shared" si="42"/>
        <v>0</v>
      </c>
      <c r="Z82" s="70">
        <f t="shared" si="42"/>
        <v>0</v>
      </c>
      <c r="AA82" s="175"/>
    </row>
    <row r="83" spans="1:29" hidden="1" outlineLevel="1" x14ac:dyDescent="0.25">
      <c r="A83" s="36" t="str">
        <f t="shared" si="40"/>
        <v>БС-215</v>
      </c>
      <c r="B83" s="36"/>
      <c r="D83" s="88"/>
      <c r="E83" s="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175"/>
    </row>
    <row r="84" spans="1:29" hidden="1" outlineLevel="1" x14ac:dyDescent="0.25">
      <c r="A84" s="36" t="str">
        <f t="shared" si="40"/>
        <v>БС-215</v>
      </c>
      <c r="B84" s="36"/>
      <c r="D84" s="63" t="s">
        <v>71</v>
      </c>
      <c r="E84" s="64" t="str">
        <f>E55</f>
        <v>тыс. руб.</v>
      </c>
      <c r="F84" s="65">
        <f>F55*'ФОТ, МТР, макро'!AI$14</f>
        <v>0</v>
      </c>
      <c r="G84" s="65">
        <f>G55*'ФОТ, МТР, макро'!AJ$14</f>
        <v>29367.629747924468</v>
      </c>
      <c r="H84" s="65">
        <f>H55*'ФОТ, МТР, макро'!AK$14</f>
        <v>26417.837591318676</v>
      </c>
      <c r="I84" s="65">
        <f>I55*'ФОТ, МТР, макро'!AL$14</f>
        <v>26549.927151418098</v>
      </c>
      <c r="J84" s="65">
        <f>J55*'ФОТ, МТР, макро'!AM$14</f>
        <v>26425.942008776557</v>
      </c>
      <c r="K84" s="65">
        <f>K55*'ФОТ, МТР, макро'!AN$14</f>
        <v>19520.374487743888</v>
      </c>
      <c r="L84" s="65">
        <f>L55*'ФОТ, МТР, макро'!AO$14</f>
        <v>19340.492340148139</v>
      </c>
      <c r="M84" s="65">
        <f>M55*'ФОТ, МТР, макро'!AP$14</f>
        <v>17419.697486953806</v>
      </c>
      <c r="N84" s="65">
        <f>N55*'ФОТ, МТР, макро'!AQ$14</f>
        <v>15453.800829767963</v>
      </c>
      <c r="O84" s="65">
        <f>O55*'ФОТ, МТР, макро'!AR$14</f>
        <v>13540.014364534953</v>
      </c>
      <c r="P84" s="65">
        <f>P55*'ФОТ, МТР, макро'!AS$14</f>
        <v>12346.847927370456</v>
      </c>
      <c r="Q84" s="65">
        <f>Q55*'ФОТ, МТР, макро'!AT$14</f>
        <v>12096.811609915756</v>
      </c>
      <c r="R84" s="65">
        <f>R55*'ФОТ, МТР, макро'!AU$14</f>
        <v>8657.9599354604579</v>
      </c>
      <c r="S84" s="65">
        <f>S55*'ФОТ, МТР, макро'!AV$14</f>
        <v>0</v>
      </c>
      <c r="T84" s="65">
        <f>T55*'ФОТ, МТР, макро'!AW$14</f>
        <v>0</v>
      </c>
      <c r="U84" s="65">
        <f>U55*'ФОТ, МТР, макро'!AX$14</f>
        <v>0</v>
      </c>
      <c r="V84" s="65">
        <f>V55*'ФОТ, МТР, макро'!AY$14</f>
        <v>0</v>
      </c>
      <c r="W84" s="65">
        <f>W55*'ФОТ, МТР, макро'!AZ$14</f>
        <v>0</v>
      </c>
      <c r="X84" s="65">
        <f>X55*'ФОТ, МТР, макро'!BA$14</f>
        <v>0</v>
      </c>
      <c r="Y84" s="65">
        <f>Y55*'ФОТ, МТР, макро'!BB$14</f>
        <v>0</v>
      </c>
      <c r="Z84" s="65">
        <f>Z55*'ФОТ, МТР, макро'!BC$14</f>
        <v>0</v>
      </c>
      <c r="AA84" s="175"/>
    </row>
    <row r="85" spans="1:29" hidden="1" outlineLevel="1" x14ac:dyDescent="0.25">
      <c r="A85" s="36" t="str">
        <f t="shared" si="40"/>
        <v>БС-215</v>
      </c>
      <c r="B85" s="36"/>
      <c r="D85" s="94" t="s">
        <v>72</v>
      </c>
      <c r="E85" s="64" t="str">
        <f>E84</f>
        <v>тыс. руб.</v>
      </c>
      <c r="F85" s="65">
        <f>F84</f>
        <v>0</v>
      </c>
      <c r="G85" s="65">
        <f>F85+G84</f>
        <v>29367.629747924468</v>
      </c>
      <c r="H85" s="65">
        <f t="shared" ref="H85:Z85" si="43">G85+H84</f>
        <v>55785.467339243143</v>
      </c>
      <c r="I85" s="65">
        <f t="shared" si="43"/>
        <v>82335.394490661245</v>
      </c>
      <c r="J85" s="65">
        <f t="shared" si="43"/>
        <v>108761.33649943781</v>
      </c>
      <c r="K85" s="65">
        <f t="shared" si="43"/>
        <v>128281.71098718169</v>
      </c>
      <c r="L85" s="65">
        <f t="shared" si="43"/>
        <v>147622.20332732983</v>
      </c>
      <c r="M85" s="65">
        <f t="shared" si="43"/>
        <v>165041.90081428364</v>
      </c>
      <c r="N85" s="65">
        <f t="shared" si="43"/>
        <v>180495.70164405159</v>
      </c>
      <c r="O85" s="65">
        <f t="shared" si="43"/>
        <v>194035.71600858655</v>
      </c>
      <c r="P85" s="65">
        <f t="shared" si="43"/>
        <v>206382.56393595701</v>
      </c>
      <c r="Q85" s="65">
        <f t="shared" si="43"/>
        <v>218479.37554587275</v>
      </c>
      <c r="R85" s="65">
        <f t="shared" si="43"/>
        <v>227137.3354813332</v>
      </c>
      <c r="S85" s="65">
        <f t="shared" si="43"/>
        <v>227137.3354813332</v>
      </c>
      <c r="T85" s="65">
        <f t="shared" si="43"/>
        <v>227137.3354813332</v>
      </c>
      <c r="U85" s="65">
        <f t="shared" si="43"/>
        <v>227137.3354813332</v>
      </c>
      <c r="V85" s="65">
        <f t="shared" si="43"/>
        <v>227137.3354813332</v>
      </c>
      <c r="W85" s="65">
        <f t="shared" si="43"/>
        <v>227137.3354813332</v>
      </c>
      <c r="X85" s="65">
        <f t="shared" si="43"/>
        <v>227137.3354813332</v>
      </c>
      <c r="Y85" s="65">
        <f t="shared" si="43"/>
        <v>227137.3354813332</v>
      </c>
      <c r="Z85" s="65">
        <f t="shared" si="43"/>
        <v>227137.3354813332</v>
      </c>
      <c r="AA85" s="175"/>
    </row>
    <row r="86" spans="1:29" hidden="1" outlineLevel="1" x14ac:dyDescent="0.25">
      <c r="A86" s="36" t="str">
        <f t="shared" si="40"/>
        <v>БС-215</v>
      </c>
      <c r="B86" s="36"/>
      <c r="D86" s="88"/>
      <c r="E86" s="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175"/>
    </row>
    <row r="87" spans="1:29" hidden="1" outlineLevel="1" x14ac:dyDescent="0.25">
      <c r="A87" s="36" t="str">
        <f t="shared" si="40"/>
        <v>БС-215</v>
      </c>
      <c r="B87" s="36" t="str">
        <f>D87</f>
        <v>Аннуитет операционный</v>
      </c>
      <c r="C87" s="57">
        <f>E6</f>
        <v>12</v>
      </c>
      <c r="D87" s="95" t="s">
        <v>73</v>
      </c>
      <c r="E87" s="96" t="s">
        <v>207</v>
      </c>
      <c r="F87" s="97"/>
      <c r="G87" s="98">
        <f>G67/'ФОТ, МТР, макро'!AJ$15/(G13/G8)</f>
        <v>12.946332223652865</v>
      </c>
      <c r="H87" s="98">
        <f>H67/'ФОТ, МТР, макро'!AK$15/(H13/H8)</f>
        <v>12.592639512958327</v>
      </c>
      <c r="I87" s="98">
        <f>I67/'ФОТ, МТР, макро'!AL$15/(I13/I8)</f>
        <v>12.884484263912237</v>
      </c>
      <c r="J87" s="98">
        <f>J67/'ФОТ, МТР, макро'!AM$15/(J13/J8)</f>
        <v>13.407860497936367</v>
      </c>
      <c r="K87" s="98">
        <f>K67/'ФОТ, МТР, макро'!AN$15/(K13/K8)</f>
        <v>13.056618048950513</v>
      </c>
      <c r="L87" s="98">
        <f>L67/'ФОТ, МТР, макро'!AO$15/(L13/L8)</f>
        <v>13.031302980854655</v>
      </c>
      <c r="M87" s="98">
        <f>M67/'ФОТ, МТР, макро'!AP$15/(M13/M8)</f>
        <v>13.157602206739949</v>
      </c>
      <c r="N87" s="98">
        <f>N67/'ФОТ, МТР, макро'!AQ$15/(N13/N8)</f>
        <v>13.045902153598806</v>
      </c>
      <c r="O87" s="98">
        <f>O67/'ФОТ, МТР, макро'!AR$15/(O13/O8)</f>
        <v>13.01502574022094</v>
      </c>
      <c r="P87" s="98">
        <f>P67/'ФОТ, МТР, макро'!AS$15/(P13/P8)</f>
        <v>13.134242120845432</v>
      </c>
      <c r="Q87" s="98">
        <f>Q67/'ФОТ, МТР, макро'!AT$15/(Q13/Q8)</f>
        <v>13.284141340421126</v>
      </c>
      <c r="R87" s="98">
        <f>R67/'ФОТ, МТР, макро'!AU$15/(R13/R8)</f>
        <v>13.256544983441632</v>
      </c>
      <c r="S87" s="98" t="e">
        <f>S67/'ФОТ, МТР, макро'!AV$15/(S13/S8)</f>
        <v>#DIV/0!</v>
      </c>
      <c r="T87" s="98" t="e">
        <f>T67/'ФОТ, МТР, макро'!AW$15/(T13/T8)</f>
        <v>#DIV/0!</v>
      </c>
      <c r="U87" s="98" t="e">
        <f>U67/'ФОТ, МТР, макро'!AX$15/(U13/U8)</f>
        <v>#DIV/0!</v>
      </c>
      <c r="V87" s="98" t="e">
        <f>V67/'ФОТ, МТР, макро'!AY$15/(V13/V8)</f>
        <v>#DIV/0!</v>
      </c>
      <c r="W87" s="98" t="e">
        <f>W67/'ФОТ, МТР, макро'!AZ$15/(W13/W8)</f>
        <v>#DIV/0!</v>
      </c>
      <c r="X87" s="98" t="e">
        <f>X67/'ФОТ, МТР, макро'!BA$15/(X13/X8)</f>
        <v>#DIV/0!</v>
      </c>
      <c r="Y87" s="98" t="e">
        <f>Y67/'ФОТ, МТР, макро'!BB$15/(Y13/Y8)</f>
        <v>#DIV/0!</v>
      </c>
      <c r="Z87" s="98" t="e">
        <f>Z67/'ФОТ, МТР, макро'!BC$15/(Z13/Z8)</f>
        <v>#DIV/0!</v>
      </c>
      <c r="AA87" s="175"/>
      <c r="AC87" s="99" cm="1">
        <f t="array" ref="AC87">INDEX(G87:Z87,1,$C87)</f>
        <v>13.256544983441632</v>
      </c>
    </row>
    <row r="88" spans="1:29" hidden="1" outlineLevel="1" x14ac:dyDescent="0.25">
      <c r="A88" s="36" t="str">
        <f t="shared" si="40"/>
        <v>БС-215</v>
      </c>
      <c r="B88" s="36" t="str">
        <f t="shared" ref="B88:B99" si="44">D88</f>
        <v>ТО, ТР, ППР</v>
      </c>
      <c r="C88" s="36">
        <f>C87</f>
        <v>12</v>
      </c>
      <c r="D88" s="100" t="str">
        <f>D68</f>
        <v>ТО, ТР, ППР</v>
      </c>
      <c r="E88" s="101" t="str">
        <f>E87</f>
        <v>руб/м3</v>
      </c>
      <c r="F88" s="102"/>
      <c r="G88" s="103">
        <f>G68/'ФОТ, МТР, макро'!AJ$15/(G13/G8)</f>
        <v>4.571053039346701</v>
      </c>
      <c r="H88" s="103">
        <f>H68/'ФОТ, МТР, макро'!AK$15/(H13/H8)</f>
        <v>4.4982693862380261</v>
      </c>
      <c r="I88" s="103">
        <f>I68/'ФОТ, МТР, макро'!AL$15/(I13/I8)</f>
        <v>5.0746814555013495</v>
      </c>
      <c r="J88" s="103">
        <f>J68/'ФОТ, МТР, макро'!AM$15/(J13/J8)</f>
        <v>5.8638023042018927</v>
      </c>
      <c r="K88" s="103">
        <f>K68/'ФОТ, МТР, макро'!AN$15/(K13/K8)</f>
        <v>5.6337469083350644</v>
      </c>
      <c r="L88" s="103">
        <f>L68/'ФОТ, МТР, макро'!AO$15/(L13/L8)</f>
        <v>5.7301383839820925</v>
      </c>
      <c r="M88" s="103">
        <f>M68/'ФОТ, МТР, макро'!AP$15/(M13/M8)</f>
        <v>5.8862443821867076</v>
      </c>
      <c r="N88" s="103">
        <f>N68/'ФОТ, МТР, макро'!AQ$15/(N13/N8)</f>
        <v>5.888827444384523</v>
      </c>
      <c r="O88" s="103">
        <f>O68/'ФОТ, МТР, макро'!AR$15/(O13/O8)</f>
        <v>5.8988678736715983</v>
      </c>
      <c r="P88" s="103">
        <f>P68/'ФОТ, МТР, макро'!AS$15/(P13/P8)</f>
        <v>5.9974343494921678</v>
      </c>
      <c r="Q88" s="103">
        <f>Q68/'ФОТ, МТР, макро'!AT$15/(Q13/Q8)</f>
        <v>6.1504699098916564</v>
      </c>
      <c r="R88" s="103">
        <f>R68/'ФОТ, МТР, макро'!AU$15/(R13/R8)</f>
        <v>6.0955477123926896</v>
      </c>
      <c r="S88" s="103" t="e">
        <f>S68/'ФОТ, МТР, макро'!AV$15/(S13/S8)</f>
        <v>#DIV/0!</v>
      </c>
      <c r="T88" s="103" t="e">
        <f>T68/'ФОТ, МТР, макро'!AW$15/(T13/T8)</f>
        <v>#DIV/0!</v>
      </c>
      <c r="U88" s="103" t="e">
        <f>U68/'ФОТ, МТР, макро'!AX$15/(U13/U8)</f>
        <v>#DIV/0!</v>
      </c>
      <c r="V88" s="103" t="e">
        <f>V68/'ФОТ, МТР, макро'!AY$15/(V13/V8)</f>
        <v>#DIV/0!</v>
      </c>
      <c r="W88" s="103" t="e">
        <f>W68/'ФОТ, МТР, макро'!AZ$15/(W13/W8)</f>
        <v>#DIV/0!</v>
      </c>
      <c r="X88" s="103" t="e">
        <f>X68/'ФОТ, МТР, макро'!BA$15/(X13/X8)</f>
        <v>#DIV/0!</v>
      </c>
      <c r="Y88" s="103" t="e">
        <f>Y68/'ФОТ, МТР, макро'!BB$15/(Y13/Y8)</f>
        <v>#DIV/0!</v>
      </c>
      <c r="Z88" s="103" t="e">
        <f>Z68/'ФОТ, МТР, макро'!BC$15/(Z13/Z8)</f>
        <v>#DIV/0!</v>
      </c>
      <c r="AA88" s="175"/>
      <c r="AC88" s="104" cm="1">
        <f t="array" ref="AC88">INDEX(G88:Z88,1,$C88)</f>
        <v>6.0955477123926896</v>
      </c>
    </row>
    <row r="89" spans="1:29" hidden="1" outlineLevel="1" x14ac:dyDescent="0.25">
      <c r="A89" s="36" t="str">
        <f t="shared" si="40"/>
        <v>БС-215</v>
      </c>
      <c r="B89" s="36" t="str">
        <f t="shared" si="44"/>
        <v>Смазочные</v>
      </c>
      <c r="C89" s="36">
        <f t="shared" ref="C89:C99" si="45">C88</f>
        <v>12</v>
      </c>
      <c r="D89" s="100" t="str">
        <f t="shared" ref="D89:D96" si="46">D69</f>
        <v>Смазочные</v>
      </c>
      <c r="E89" s="101" t="str">
        <f t="shared" ref="E89:E96" si="47">E88</f>
        <v>руб/м3</v>
      </c>
      <c r="F89" s="102"/>
      <c r="G89" s="103">
        <f>G69/'ФОТ, МТР, макро'!AJ$15/(G13/G8)</f>
        <v>0</v>
      </c>
      <c r="H89" s="103">
        <f>H69/'ФОТ, МТР, макро'!AK$15/(H13/H8)</f>
        <v>0</v>
      </c>
      <c r="I89" s="103">
        <f>I69/'ФОТ, МТР, макро'!AL$15/(I13/I8)</f>
        <v>0</v>
      </c>
      <c r="J89" s="103">
        <f>J69/'ФОТ, МТР, макро'!AM$15/(J13/J8)</f>
        <v>0</v>
      </c>
      <c r="K89" s="103">
        <f>K69/'ФОТ, МТР, макро'!AN$15/(K13/K8)</f>
        <v>0</v>
      </c>
      <c r="L89" s="103">
        <f>L69/'ФОТ, МТР, макро'!AO$15/(L13/L8)</f>
        <v>0</v>
      </c>
      <c r="M89" s="103">
        <f>M69/'ФОТ, МТР, макро'!AP$15/(M13/M8)</f>
        <v>0</v>
      </c>
      <c r="N89" s="103">
        <f>N69/'ФОТ, МТР, макро'!AQ$15/(N13/N8)</f>
        <v>0</v>
      </c>
      <c r="O89" s="103">
        <f>O69/'ФОТ, МТР, макро'!AR$15/(O13/O8)</f>
        <v>0</v>
      </c>
      <c r="P89" s="103">
        <f>P69/'ФОТ, МТР, макро'!AS$15/(P13/P8)</f>
        <v>0</v>
      </c>
      <c r="Q89" s="103">
        <f>Q69/'ФОТ, МТР, макро'!AT$15/(Q13/Q8)</f>
        <v>0</v>
      </c>
      <c r="R89" s="103">
        <f>R69/'ФОТ, МТР, макро'!AU$15/(R13/R8)</f>
        <v>0</v>
      </c>
      <c r="S89" s="103" t="e">
        <f>S69/'ФОТ, МТР, макро'!AV$15/(S13/S8)</f>
        <v>#DIV/0!</v>
      </c>
      <c r="T89" s="103" t="e">
        <f>T69/'ФОТ, МТР, макро'!AW$15/(T13/T8)</f>
        <v>#DIV/0!</v>
      </c>
      <c r="U89" s="103" t="e">
        <f>U69/'ФОТ, МТР, макро'!AX$15/(U13/U8)</f>
        <v>#DIV/0!</v>
      </c>
      <c r="V89" s="103" t="e">
        <f>V69/'ФОТ, МТР, макро'!AY$15/(V13/V8)</f>
        <v>#DIV/0!</v>
      </c>
      <c r="W89" s="103" t="e">
        <f>W69/'ФОТ, МТР, макро'!AZ$15/(W13/W8)</f>
        <v>#DIV/0!</v>
      </c>
      <c r="X89" s="103" t="e">
        <f>X69/'ФОТ, МТР, макро'!BA$15/(X13/X8)</f>
        <v>#DIV/0!</v>
      </c>
      <c r="Y89" s="103" t="e">
        <f>Y69/'ФОТ, МТР, макро'!BB$15/(Y13/Y8)</f>
        <v>#DIV/0!</v>
      </c>
      <c r="Z89" s="103" t="e">
        <f>Z69/'ФОТ, МТР, макро'!BC$15/(Z13/Z8)</f>
        <v>#DIV/0!</v>
      </c>
      <c r="AA89" s="175"/>
      <c r="AC89" s="104" cm="1">
        <f t="array" ref="AC89">INDEX(G89:Z89,1,$C89)</f>
        <v>0</v>
      </c>
    </row>
    <row r="90" spans="1:29" hidden="1" outlineLevel="1" x14ac:dyDescent="0.25">
      <c r="A90" s="36" t="str">
        <f t="shared" si="40"/>
        <v>БС-215</v>
      </c>
      <c r="B90" s="36" t="str">
        <f t="shared" si="44"/>
        <v>Долота</v>
      </c>
      <c r="C90" s="36">
        <f t="shared" si="45"/>
        <v>12</v>
      </c>
      <c r="D90" s="100" t="str">
        <f t="shared" si="46"/>
        <v>Долота</v>
      </c>
      <c r="E90" s="101" t="str">
        <f t="shared" si="47"/>
        <v>руб/м3</v>
      </c>
      <c r="F90" s="102"/>
      <c r="G90" s="103">
        <f>G70/'ФОТ, МТР, макро'!AJ$15/(G13/G8)</f>
        <v>0</v>
      </c>
      <c r="H90" s="103">
        <f>H70/'ФОТ, МТР, макро'!AK$15/(H13/H8)</f>
        <v>0</v>
      </c>
      <c r="I90" s="103">
        <f>I70/'ФОТ, МТР, макро'!AL$15/(I13/I8)</f>
        <v>0</v>
      </c>
      <c r="J90" s="103">
        <f>J70/'ФОТ, МТР, макро'!AM$15/(J13/J8)</f>
        <v>0</v>
      </c>
      <c r="K90" s="103">
        <f>K70/'ФОТ, МТР, макро'!AN$15/(K13/K8)</f>
        <v>0</v>
      </c>
      <c r="L90" s="103">
        <f>L70/'ФОТ, МТР, макро'!AO$15/(L13/L8)</f>
        <v>0</v>
      </c>
      <c r="M90" s="103">
        <f>M70/'ФОТ, МТР, макро'!AP$15/(M13/M8)</f>
        <v>0</v>
      </c>
      <c r="N90" s="103">
        <f>N70/'ФОТ, МТР, макро'!AQ$15/(N13/N8)</f>
        <v>0</v>
      </c>
      <c r="O90" s="103">
        <f>O70/'ФОТ, МТР, макро'!AR$15/(O13/O8)</f>
        <v>0</v>
      </c>
      <c r="P90" s="103">
        <f>P70/'ФОТ, МТР, макро'!AS$15/(P13/P8)</f>
        <v>0</v>
      </c>
      <c r="Q90" s="103">
        <f>Q70/'ФОТ, МТР, макро'!AT$15/(Q13/Q8)</f>
        <v>0</v>
      </c>
      <c r="R90" s="103">
        <f>R70/'ФОТ, МТР, макро'!AU$15/(R13/R8)</f>
        <v>0</v>
      </c>
      <c r="S90" s="103" t="e">
        <f>S70/'ФОТ, МТР, макро'!AV$15/(S13/S8)</f>
        <v>#DIV/0!</v>
      </c>
      <c r="T90" s="103" t="e">
        <f>T70/'ФОТ, МТР, макро'!AW$15/(T13/T8)</f>
        <v>#DIV/0!</v>
      </c>
      <c r="U90" s="103" t="e">
        <f>U70/'ФОТ, МТР, макро'!AX$15/(U13/U8)</f>
        <v>#DIV/0!</v>
      </c>
      <c r="V90" s="103" t="e">
        <f>V70/'ФОТ, МТР, макро'!AY$15/(V13/V8)</f>
        <v>#DIV/0!</v>
      </c>
      <c r="W90" s="103" t="e">
        <f>W70/'ФОТ, МТР, макро'!AZ$15/(W13/W8)</f>
        <v>#DIV/0!</v>
      </c>
      <c r="X90" s="103" t="e">
        <f>X70/'ФОТ, МТР, макро'!BA$15/(X13/X8)</f>
        <v>#DIV/0!</v>
      </c>
      <c r="Y90" s="103" t="e">
        <f>Y70/'ФОТ, МТР, макро'!BB$15/(Y13/Y8)</f>
        <v>#DIV/0!</v>
      </c>
      <c r="Z90" s="103" t="e">
        <f>Z70/'ФОТ, МТР, макро'!BC$15/(Z13/Z8)</f>
        <v>#DIV/0!</v>
      </c>
      <c r="AA90" s="175"/>
      <c r="AC90" s="104" cm="1">
        <f t="array" ref="AC90">INDEX(G90:Z90,1,$C90)</f>
        <v>0</v>
      </c>
    </row>
    <row r="91" spans="1:29" hidden="1" outlineLevel="1" x14ac:dyDescent="0.25">
      <c r="A91" s="36" t="str">
        <f t="shared" si="40"/>
        <v>БС-215</v>
      </c>
      <c r="B91" s="36" t="str">
        <f t="shared" si="44"/>
        <v>Штанги буровые</v>
      </c>
      <c r="C91" s="36">
        <f t="shared" si="45"/>
        <v>12</v>
      </c>
      <c r="D91" s="100" t="str">
        <f t="shared" si="46"/>
        <v>Штанги буровые</v>
      </c>
      <c r="E91" s="101" t="str">
        <f t="shared" si="47"/>
        <v>руб/м3</v>
      </c>
      <c r="F91" s="102"/>
      <c r="G91" s="103">
        <f>G71/'ФОТ, МТР, макро'!AJ$15/(G13/G8)</f>
        <v>0</v>
      </c>
      <c r="H91" s="103">
        <f>H71/'ФОТ, МТР, макро'!AK$15/(H13/H8)</f>
        <v>0</v>
      </c>
      <c r="I91" s="103">
        <f>I71/'ФОТ, МТР, макро'!AL$15/(I13/I8)</f>
        <v>0</v>
      </c>
      <c r="J91" s="103">
        <f>J71/'ФОТ, МТР, макро'!AM$15/(J13/J8)</f>
        <v>0</v>
      </c>
      <c r="K91" s="103">
        <f>K71/'ФОТ, МТР, макро'!AN$15/(K13/K8)</f>
        <v>0</v>
      </c>
      <c r="L91" s="103">
        <f>L71/'ФОТ, МТР, макро'!AO$15/(L13/L8)</f>
        <v>0</v>
      </c>
      <c r="M91" s="103">
        <f>M71/'ФОТ, МТР, макро'!AP$15/(M13/M8)</f>
        <v>0</v>
      </c>
      <c r="N91" s="103">
        <f>N71/'ФОТ, МТР, макро'!AQ$15/(N13/N8)</f>
        <v>0</v>
      </c>
      <c r="O91" s="103">
        <f>O71/'ФОТ, МТР, макро'!AR$15/(O13/O8)</f>
        <v>0</v>
      </c>
      <c r="P91" s="103">
        <f>P71/'ФОТ, МТР, макро'!AS$15/(P13/P8)</f>
        <v>0</v>
      </c>
      <c r="Q91" s="103">
        <f>Q71/'ФОТ, МТР, макро'!AT$15/(Q13/Q8)</f>
        <v>0</v>
      </c>
      <c r="R91" s="103">
        <f>R71/'ФОТ, МТР, макро'!AU$15/(R13/R8)</f>
        <v>0</v>
      </c>
      <c r="S91" s="103" t="e">
        <f>S71/'ФОТ, МТР, макро'!AV$15/(S13/S8)</f>
        <v>#DIV/0!</v>
      </c>
      <c r="T91" s="103" t="e">
        <f>T71/'ФОТ, МТР, макро'!AW$15/(T13/T8)</f>
        <v>#DIV/0!</v>
      </c>
      <c r="U91" s="103" t="e">
        <f>U71/'ФОТ, МТР, макро'!AX$15/(U13/U8)</f>
        <v>#DIV/0!</v>
      </c>
      <c r="V91" s="103" t="e">
        <f>V71/'ФОТ, МТР, макро'!AY$15/(V13/V8)</f>
        <v>#DIV/0!</v>
      </c>
      <c r="W91" s="103" t="e">
        <f>W71/'ФОТ, МТР, макро'!AZ$15/(W13/W8)</f>
        <v>#DIV/0!</v>
      </c>
      <c r="X91" s="103" t="e">
        <f>X71/'ФОТ, МТР, макро'!BA$15/(X13/X8)</f>
        <v>#DIV/0!</v>
      </c>
      <c r="Y91" s="103" t="e">
        <f>Y71/'ФОТ, МТР, макро'!BB$15/(Y13/Y8)</f>
        <v>#DIV/0!</v>
      </c>
      <c r="Z91" s="103" t="e">
        <f>Z71/'ФОТ, МТР, макро'!BC$15/(Z13/Z8)</f>
        <v>#DIV/0!</v>
      </c>
      <c r="AA91" s="175"/>
      <c r="AC91" s="104" cm="1">
        <f t="array" ref="AC91">INDEX(G91:Z91,1,$C91)</f>
        <v>0</v>
      </c>
    </row>
    <row r="92" spans="1:29" hidden="1" outlineLevel="1" x14ac:dyDescent="0.25">
      <c r="A92" s="36" t="str">
        <f t="shared" si="40"/>
        <v>БС-215</v>
      </c>
      <c r="B92" s="36" t="str">
        <f t="shared" si="44"/>
        <v>Расходники</v>
      </c>
      <c r="C92" s="36">
        <f t="shared" si="45"/>
        <v>12</v>
      </c>
      <c r="D92" s="100" t="str">
        <f t="shared" si="46"/>
        <v>Расходники</v>
      </c>
      <c r="E92" s="101" t="str">
        <f t="shared" si="47"/>
        <v>руб/м3</v>
      </c>
      <c r="F92" s="102"/>
      <c r="G92" s="103">
        <f>G72/'ФОТ, МТР, макро'!AJ$15/(G13/G8)</f>
        <v>0</v>
      </c>
      <c r="H92" s="103">
        <f>H72/'ФОТ, МТР, макро'!AK$15/(H13/H8)</f>
        <v>0</v>
      </c>
      <c r="I92" s="103">
        <f>I72/'ФОТ, МТР, макро'!AL$15/(I13/I8)</f>
        <v>0</v>
      </c>
      <c r="J92" s="103">
        <f>J72/'ФОТ, МТР, макро'!AM$15/(J13/J8)</f>
        <v>0</v>
      </c>
      <c r="K92" s="103">
        <f>K72/'ФОТ, МТР, макро'!AN$15/(K13/K8)</f>
        <v>0</v>
      </c>
      <c r="L92" s="103">
        <f>L72/'ФОТ, МТР, макро'!AO$15/(L13/L8)</f>
        <v>0</v>
      </c>
      <c r="M92" s="103">
        <f>M72/'ФОТ, МТР, макро'!AP$15/(M13/M8)</f>
        <v>0</v>
      </c>
      <c r="N92" s="103">
        <f>N72/'ФОТ, МТР, макро'!AQ$15/(N13/N8)</f>
        <v>0</v>
      </c>
      <c r="O92" s="103">
        <f>O72/'ФОТ, МТР, макро'!AR$15/(O13/O8)</f>
        <v>0</v>
      </c>
      <c r="P92" s="103">
        <f>P72/'ФОТ, МТР, макро'!AS$15/(P13/P8)</f>
        <v>0</v>
      </c>
      <c r="Q92" s="103">
        <f>Q72/'ФОТ, МТР, макро'!AT$15/(Q13/Q8)</f>
        <v>0</v>
      </c>
      <c r="R92" s="103">
        <f>R72/'ФОТ, МТР, макро'!AU$15/(R13/R8)</f>
        <v>0</v>
      </c>
      <c r="S92" s="103" t="e">
        <f>S72/'ФОТ, МТР, макро'!AV$15/(S13/S8)</f>
        <v>#DIV/0!</v>
      </c>
      <c r="T92" s="103" t="e">
        <f>T72/'ФОТ, МТР, макро'!AW$15/(T13/T8)</f>
        <v>#DIV/0!</v>
      </c>
      <c r="U92" s="103" t="e">
        <f>U72/'ФОТ, МТР, макро'!AX$15/(U13/U8)</f>
        <v>#DIV/0!</v>
      </c>
      <c r="V92" s="103" t="e">
        <f>V72/'ФОТ, МТР, макро'!AY$15/(V13/V8)</f>
        <v>#DIV/0!</v>
      </c>
      <c r="W92" s="103" t="e">
        <f>W72/'ФОТ, МТР, макро'!AZ$15/(W13/W8)</f>
        <v>#DIV/0!</v>
      </c>
      <c r="X92" s="103" t="e">
        <f>X72/'ФОТ, МТР, макро'!BA$15/(X13/X8)</f>
        <v>#DIV/0!</v>
      </c>
      <c r="Y92" s="103" t="e">
        <f>Y72/'ФОТ, МТР, макро'!BB$15/(Y13/Y8)</f>
        <v>#DIV/0!</v>
      </c>
      <c r="Z92" s="103" t="e">
        <f>Z72/'ФОТ, МТР, макро'!BC$15/(Z13/Z8)</f>
        <v>#DIV/0!</v>
      </c>
      <c r="AA92" s="175"/>
      <c r="AC92" s="104" cm="1">
        <f t="array" ref="AC92">INDEX(G92:Z92,1,$C92)</f>
        <v>0</v>
      </c>
    </row>
    <row r="93" spans="1:29" hidden="1" outlineLevel="1" x14ac:dyDescent="0.25">
      <c r="A93" s="36" t="str">
        <f t="shared" si="40"/>
        <v>БС-215</v>
      </c>
      <c r="B93" s="36" t="str">
        <f t="shared" si="44"/>
        <v>Топливо/Электроэнергия</v>
      </c>
      <c r="C93" s="36">
        <f t="shared" si="45"/>
        <v>12</v>
      </c>
      <c r="D93" s="100" t="str">
        <f t="shared" si="46"/>
        <v>Топливо/Электроэнергия</v>
      </c>
      <c r="E93" s="101" t="str">
        <f t="shared" si="47"/>
        <v>руб/м3</v>
      </c>
      <c r="F93" s="102"/>
      <c r="G93" s="103">
        <f>G73/'ФОТ, МТР, макро'!AJ$15/(G13/G8)</f>
        <v>6.5071517215836625</v>
      </c>
      <c r="H93" s="103">
        <f>H73/'ФОТ, МТР, макро'!AK$15/(H13/H8)</f>
        <v>6.2984916767286148</v>
      </c>
      <c r="I93" s="103">
        <f>I73/'ФОТ, МТР, макро'!AL$15/(I13/I8)</f>
        <v>6.1998671762597031</v>
      </c>
      <c r="J93" s="103">
        <f>J73/'ФОТ, МТР, макро'!AM$15/(J13/J8)</f>
        <v>6.1308813547520469</v>
      </c>
      <c r="K93" s="103">
        <f>K73/'ФОТ, МТР, макро'!AN$15/(K13/K8)</f>
        <v>6.0110791232131024</v>
      </c>
      <c r="L93" s="103">
        <f>L73/'ФОТ, МТР, макро'!AO$15/(L13/L8)</f>
        <v>5.9432078060124276</v>
      </c>
      <c r="M93" s="103">
        <f>M73/'ФОТ, МТР, макро'!AP$15/(M13/M8)</f>
        <v>5.9413259870024406</v>
      </c>
      <c r="N93" s="103">
        <f>N73/'ФОТ, МТР, макро'!AQ$15/(N13/N8)</f>
        <v>5.8649580243474109</v>
      </c>
      <c r="O93" s="103">
        <f>O73/'ФОТ, МТР, макро'!AR$15/(O13/O8)</f>
        <v>5.8397876932183381</v>
      </c>
      <c r="P93" s="103">
        <f>P73/'ФОТ, МТР, макро'!AS$15/(P13/P8)</f>
        <v>5.8658157492536853</v>
      </c>
      <c r="Q93" s="103">
        <f>Q73/'ФОТ, МТР, макро'!AT$15/(Q13/Q8)</f>
        <v>5.8899200820497652</v>
      </c>
      <c r="R93" s="103">
        <f>R73/'ФОТ, МТР, макро'!AU$15/(R13/R8)</f>
        <v>5.900231573222948</v>
      </c>
      <c r="S93" s="103" t="e">
        <f>S73/'ФОТ, МТР, макро'!AV$15/(S13/S8)</f>
        <v>#DIV/0!</v>
      </c>
      <c r="T93" s="103" t="e">
        <f>T73/'ФОТ, МТР, макро'!AW$15/(T13/T8)</f>
        <v>#DIV/0!</v>
      </c>
      <c r="U93" s="103" t="e">
        <f>U73/'ФОТ, МТР, макро'!AX$15/(U13/U8)</f>
        <v>#DIV/0!</v>
      </c>
      <c r="V93" s="103" t="e">
        <f>V73/'ФОТ, МТР, макро'!AY$15/(V13/V8)</f>
        <v>#DIV/0!</v>
      </c>
      <c r="W93" s="103" t="e">
        <f>W73/'ФОТ, МТР, макро'!AZ$15/(W13/W8)</f>
        <v>#DIV/0!</v>
      </c>
      <c r="X93" s="103" t="e">
        <f>X73/'ФОТ, МТР, макро'!BA$15/(X13/X8)</f>
        <v>#DIV/0!</v>
      </c>
      <c r="Y93" s="103" t="e">
        <f>Y73/'ФОТ, МТР, макро'!BB$15/(Y13/Y8)</f>
        <v>#DIV/0!</v>
      </c>
      <c r="Z93" s="103" t="e">
        <f>Z73/'ФОТ, МТР, макро'!BC$15/(Z13/Z8)</f>
        <v>#DIV/0!</v>
      </c>
      <c r="AA93" s="175"/>
      <c r="AC93" s="104" cm="1">
        <f t="array" ref="AC93">INDEX(G93:Z93,1,$C93)</f>
        <v>5.900231573222948</v>
      </c>
    </row>
    <row r="94" spans="1:29" hidden="1" outlineLevel="1" x14ac:dyDescent="0.25">
      <c r="A94" s="36" t="str">
        <f t="shared" si="40"/>
        <v>БС-215</v>
      </c>
      <c r="B94" s="36" t="str">
        <f t="shared" si="44"/>
        <v>Затраты на персонал</v>
      </c>
      <c r="C94" s="36">
        <f t="shared" si="45"/>
        <v>12</v>
      </c>
      <c r="D94" s="100" t="str">
        <f t="shared" si="46"/>
        <v>Затраты на персонал</v>
      </c>
      <c r="E94" s="101" t="str">
        <f t="shared" si="47"/>
        <v>руб/м3</v>
      </c>
      <c r="F94" s="102"/>
      <c r="G94" s="103">
        <f>G74/'ФОТ, МТР, макро'!AJ$15/(G13/G8)</f>
        <v>6.1835715372734557</v>
      </c>
      <c r="H94" s="103">
        <f>H74/'ФОТ, МТР, макро'!AK$15/(H13/H8)</f>
        <v>5.993424954311128</v>
      </c>
      <c r="I94" s="103">
        <f>I74/'ФОТ, МТР, макро'!AL$15/(I13/I8)</f>
        <v>5.9047637201219283</v>
      </c>
      <c r="J94" s="103">
        <f>J74/'ФОТ, МТР, макро'!AM$15/(J13/J8)</f>
        <v>5.8824636716278826</v>
      </c>
      <c r="K94" s="103">
        <f>K74/'ФОТ, МТР, макро'!AN$15/(K13/K8)</f>
        <v>5.7639980337191838</v>
      </c>
      <c r="L94" s="103">
        <f>L74/'ФОТ, МТР, макро'!AO$15/(L13/L8)</f>
        <v>5.7017244511450187</v>
      </c>
      <c r="M94" s="103">
        <f>M74/'ФОТ, МТР, макро'!AP$15/(M13/M8)</f>
        <v>5.7158992397974488</v>
      </c>
      <c r="N94" s="103">
        <f>N74/'ФОТ, МТР, макро'!AQ$15/(N13/N8)</f>
        <v>5.6407507360664768</v>
      </c>
      <c r="O94" s="103">
        <f>O74/'ФОТ, МТР, макро'!AR$15/(O13/O8)</f>
        <v>5.6147120867379865</v>
      </c>
      <c r="P94" s="103">
        <f>P74/'ФОТ, МТР, макро'!AS$15/(P13/P8)</f>
        <v>5.6490727290480551</v>
      </c>
      <c r="Q94" s="103">
        <f>Q74/'ФОТ, МТР, макро'!AT$15/(Q13/Q8)</f>
        <v>5.6717984619534167</v>
      </c>
      <c r="R94" s="103">
        <f>R74/'ФОТ, МТР, макро'!AU$15/(R13/R8)</f>
        <v>5.6796140256398742</v>
      </c>
      <c r="S94" s="103" t="e">
        <f>S74/'ФОТ, МТР, макро'!AV$15/(S13/S8)</f>
        <v>#DIV/0!</v>
      </c>
      <c r="T94" s="103" t="e">
        <f>T74/'ФОТ, МТР, макро'!AW$15/(T13/T8)</f>
        <v>#DIV/0!</v>
      </c>
      <c r="U94" s="103" t="e">
        <f>U74/'ФОТ, МТР, макро'!AX$15/(U13/U8)</f>
        <v>#DIV/0!</v>
      </c>
      <c r="V94" s="103" t="e">
        <f>V74/'ФОТ, МТР, макро'!AY$15/(V13/V8)</f>
        <v>#DIV/0!</v>
      </c>
      <c r="W94" s="103" t="e">
        <f>W74/'ФОТ, МТР, макро'!AZ$15/(W13/W8)</f>
        <v>#DIV/0!</v>
      </c>
      <c r="X94" s="103" t="e">
        <f>X74/'ФОТ, МТР, макро'!BA$15/(X13/X8)</f>
        <v>#DIV/0!</v>
      </c>
      <c r="Y94" s="103" t="e">
        <f>Y74/'ФОТ, МТР, макро'!BB$15/(Y13/Y8)</f>
        <v>#DIV/0!</v>
      </c>
      <c r="Z94" s="103" t="e">
        <f>Z74/'ФОТ, МТР, макро'!BC$15/(Z13/Z8)</f>
        <v>#DIV/0!</v>
      </c>
      <c r="AA94" s="175"/>
      <c r="AC94" s="104" cm="1">
        <f t="array" ref="AC94">INDEX(G94:Z94,1,$C94)</f>
        <v>5.6796140256398742</v>
      </c>
    </row>
    <row r="95" spans="1:29" hidden="1" outlineLevel="1" x14ac:dyDescent="0.25">
      <c r="A95" s="36" t="str">
        <f t="shared" si="40"/>
        <v>БС-215</v>
      </c>
      <c r="B95" s="36" t="str">
        <f t="shared" si="44"/>
        <v>Транспортный налог</v>
      </c>
      <c r="C95" s="36">
        <f t="shared" si="45"/>
        <v>12</v>
      </c>
      <c r="D95" s="100" t="str">
        <f t="shared" si="46"/>
        <v>Транспортный налог</v>
      </c>
      <c r="E95" s="101" t="str">
        <f t="shared" si="47"/>
        <v>руб/м3</v>
      </c>
      <c r="F95" s="102"/>
      <c r="G95" s="103">
        <f>G75/'ФОТ, МТР, макро'!AJ$15/(G13/G8)</f>
        <v>0</v>
      </c>
      <c r="H95" s="103">
        <f>H75/'ФОТ, МТР, макро'!AK$15/(H13/H8)</f>
        <v>0</v>
      </c>
      <c r="I95" s="103">
        <f>I75/'ФОТ, МТР, макро'!AL$15/(I13/I8)</f>
        <v>0</v>
      </c>
      <c r="J95" s="103">
        <f>J75/'ФОТ, МТР, макро'!AM$15/(J13/J8)</f>
        <v>0</v>
      </c>
      <c r="K95" s="103">
        <f>K75/'ФОТ, МТР, макро'!AN$15/(K13/K8)</f>
        <v>0</v>
      </c>
      <c r="L95" s="103">
        <f>L75/'ФОТ, МТР, макро'!AO$15/(L13/L8)</f>
        <v>0</v>
      </c>
      <c r="M95" s="103">
        <f>M75/'ФОТ, МТР, макро'!AP$15/(M13/M8)</f>
        <v>0</v>
      </c>
      <c r="N95" s="103">
        <f>N75/'ФОТ, МТР, макро'!AQ$15/(N13/N8)</f>
        <v>0</v>
      </c>
      <c r="O95" s="103">
        <f>O75/'ФОТ, МТР, макро'!AR$15/(O13/O8)</f>
        <v>0</v>
      </c>
      <c r="P95" s="103">
        <f>P75/'ФОТ, МТР, макро'!AS$15/(P13/P8)</f>
        <v>0</v>
      </c>
      <c r="Q95" s="103">
        <f>Q75/'ФОТ, МТР, макро'!AT$15/(Q13/Q8)</f>
        <v>0</v>
      </c>
      <c r="R95" s="103">
        <f>R75/'ФОТ, МТР, макро'!AU$15/(R13/R8)</f>
        <v>0</v>
      </c>
      <c r="S95" s="103" t="e">
        <f>S75/'ФОТ, МТР, макро'!AV$15/(S13/S8)</f>
        <v>#DIV/0!</v>
      </c>
      <c r="T95" s="103" t="e">
        <f>T75/'ФОТ, МТР, макро'!AW$15/(T13/T8)</f>
        <v>#DIV/0!</v>
      </c>
      <c r="U95" s="103" t="e">
        <f>U75/'ФОТ, МТР, макро'!AX$15/(U13/U8)</f>
        <v>#DIV/0!</v>
      </c>
      <c r="V95" s="103" t="e">
        <f>V75/'ФОТ, МТР, макро'!AY$15/(V13/V8)</f>
        <v>#DIV/0!</v>
      </c>
      <c r="W95" s="103" t="e">
        <f>W75/'ФОТ, МТР, макро'!AZ$15/(W13/W8)</f>
        <v>#DIV/0!</v>
      </c>
      <c r="X95" s="103" t="e">
        <f>X75/'ФОТ, МТР, макро'!BA$15/(X13/X8)</f>
        <v>#DIV/0!</v>
      </c>
      <c r="Y95" s="103" t="e">
        <f>Y75/'ФОТ, МТР, макро'!BB$15/(Y13/Y8)</f>
        <v>#DIV/0!</v>
      </c>
      <c r="Z95" s="103" t="e">
        <f>Z75/'ФОТ, МТР, макро'!BC$15/(Z13/Z8)</f>
        <v>#DIV/0!</v>
      </c>
      <c r="AA95" s="175"/>
      <c r="AC95" s="104" cm="1">
        <f t="array" ref="AC95">INDEX(G95:Z95,1,$C95)</f>
        <v>0</v>
      </c>
    </row>
    <row r="96" spans="1:29" hidden="1" outlineLevel="1" x14ac:dyDescent="0.25">
      <c r="A96" s="36" t="str">
        <f t="shared" si="40"/>
        <v>БС-215</v>
      </c>
      <c r="B96" s="36" t="str">
        <f t="shared" si="44"/>
        <v>Налог на прибыль</v>
      </c>
      <c r="C96" s="36">
        <f t="shared" si="45"/>
        <v>12</v>
      </c>
      <c r="D96" s="100" t="str">
        <f t="shared" si="46"/>
        <v>Налог на прибыль</v>
      </c>
      <c r="E96" s="101" t="str">
        <f t="shared" si="47"/>
        <v>руб/м3</v>
      </c>
      <c r="F96" s="29"/>
      <c r="G96" s="103">
        <f>G76/'ФОТ, МТР, макро'!AJ$15/(G13/G8)</f>
        <v>-4.315444074550955</v>
      </c>
      <c r="H96" s="103">
        <f>H76/'ФОТ, МТР, макро'!AK$15/(H13/H8)</f>
        <v>-4.1975465043194422</v>
      </c>
      <c r="I96" s="103">
        <f>I76/'ФОТ, МТР, макро'!AL$15/(I13/I8)</f>
        <v>-4.2948280879707443</v>
      </c>
      <c r="J96" s="103">
        <f>J76/'ФОТ, МТР, макро'!AM$15/(J13/J8)</f>
        <v>-4.4692868326454551</v>
      </c>
      <c r="K96" s="103">
        <f>K76/'ФОТ, МТР, макро'!AN$15/(K13/K8)</f>
        <v>-4.3522060163168375</v>
      </c>
      <c r="L96" s="103">
        <f>L76/'ФОТ, МТР, макро'!AO$15/(L13/L8)</f>
        <v>-4.3437676602848843</v>
      </c>
      <c r="M96" s="103">
        <f>M76/'ФОТ, МТР, макро'!AP$15/(M13/M8)</f>
        <v>-4.3858674022466486</v>
      </c>
      <c r="N96" s="103">
        <f>N76/'ФОТ, МТР, макро'!AQ$15/(N13/N8)</f>
        <v>-4.3486340511996024</v>
      </c>
      <c r="O96" s="103">
        <f>O76/'ФОТ, МТР, макро'!AR$15/(O13/O8)</f>
        <v>-4.3383419134069801</v>
      </c>
      <c r="P96" s="103">
        <f>P76/'ФОТ, МТР, макро'!AS$15/(P13/P8)</f>
        <v>-4.3780807069484773</v>
      </c>
      <c r="Q96" s="103">
        <f>Q76/'ФОТ, МТР, макро'!AT$15/(Q13/Q8)</f>
        <v>-4.4280471134737089</v>
      </c>
      <c r="R96" s="103">
        <f>R76/'ФОТ, МТР, макро'!AU$15/(R13/R8)</f>
        <v>-4.4188483278138779</v>
      </c>
      <c r="S96" s="103" t="e">
        <f>S76/'ФОТ, МТР, макро'!AV$15/(S13/S8)</f>
        <v>#DIV/0!</v>
      </c>
      <c r="T96" s="103" t="e">
        <f>T76/'ФОТ, МТР, макро'!AW$15/(T13/T8)</f>
        <v>#DIV/0!</v>
      </c>
      <c r="U96" s="103" t="e">
        <f>U76/'ФОТ, МТР, макро'!AX$15/(U13/U8)</f>
        <v>#DIV/0!</v>
      </c>
      <c r="V96" s="103" t="e">
        <f>V76/'ФОТ, МТР, макро'!AY$15/(V13/V8)</f>
        <v>#DIV/0!</v>
      </c>
      <c r="W96" s="103" t="e">
        <f>W76/'ФОТ, МТР, макро'!AZ$15/(W13/W8)</f>
        <v>#DIV/0!</v>
      </c>
      <c r="X96" s="103" t="e">
        <f>X76/'ФОТ, МТР, макро'!BA$15/(X13/X8)</f>
        <v>#DIV/0!</v>
      </c>
      <c r="Y96" s="103" t="e">
        <f>Y76/'ФОТ, МТР, макро'!BB$15/(Y13/Y8)</f>
        <v>#DIV/0!</v>
      </c>
      <c r="Z96" s="103" t="e">
        <f>Z76/'ФОТ, МТР, макро'!BC$15/(Z13/Z8)</f>
        <v>#DIV/0!</v>
      </c>
      <c r="AA96" s="175"/>
      <c r="AC96" s="104" cm="1">
        <f t="array" ref="AC96">INDEX(G96:Z96,1,$C96)</f>
        <v>-4.4188483278138779</v>
      </c>
    </row>
    <row r="97" spans="1:29" hidden="1" outlineLevel="1" x14ac:dyDescent="0.25">
      <c r="A97" s="36" t="str">
        <f t="shared" si="40"/>
        <v>БС-215</v>
      </c>
      <c r="B97" s="36" t="str">
        <f t="shared" si="44"/>
        <v>Аннуитет инвестиционный</v>
      </c>
      <c r="C97" s="36">
        <f t="shared" si="45"/>
        <v>12</v>
      </c>
      <c r="D97" s="95" t="s">
        <v>74</v>
      </c>
      <c r="E97" s="105" t="str">
        <f>E87</f>
        <v>руб/м3</v>
      </c>
      <c r="F97" s="106"/>
      <c r="G97" s="98">
        <f>G81/'ФОТ, МТР, макро'!AJ$15/(G13/G8)</f>
        <v>0</v>
      </c>
      <c r="H97" s="98">
        <f>H81/'ФОТ, МТР, макро'!AK$15/(H13/H8)</f>
        <v>0</v>
      </c>
      <c r="I97" s="98">
        <f>I81/'ФОТ, МТР, макро'!AL$15/(I13/I8)</f>
        <v>0</v>
      </c>
      <c r="J97" s="98">
        <f>J81/'ФОТ, МТР, макро'!AM$15/(J13/J8)</f>
        <v>0</v>
      </c>
      <c r="K97" s="98">
        <f>K81/'ФОТ, МТР, макро'!AN$15/(K13/K8)</f>
        <v>0</v>
      </c>
      <c r="L97" s="98">
        <f>L81/'ФОТ, МТР, макро'!AO$15/(L13/L8)</f>
        <v>0</v>
      </c>
      <c r="M97" s="98">
        <f>M81/'ФОТ, МТР, макро'!AP$15/(M13/M8)</f>
        <v>0</v>
      </c>
      <c r="N97" s="98">
        <f>N81/'ФОТ, МТР, макро'!AQ$15/(N13/N8)</f>
        <v>0</v>
      </c>
      <c r="O97" s="98">
        <f>O81/'ФОТ, МТР, макро'!AR$15/(O13/O8)</f>
        <v>0</v>
      </c>
      <c r="P97" s="98">
        <f>P81/'ФОТ, МТР, макро'!AS$15/(P13/P8)</f>
        <v>0</v>
      </c>
      <c r="Q97" s="98">
        <f>Q81/'ФОТ, МТР, макро'!AT$15/(Q13/Q8)</f>
        <v>0</v>
      </c>
      <c r="R97" s="98">
        <f>R81/'ФОТ, МТР, макро'!AU$15/(R13/R8)</f>
        <v>0</v>
      </c>
      <c r="S97" s="98" t="e">
        <f>S81/'ФОТ, МТР, макро'!AV$15/(S13/S8)</f>
        <v>#DIV/0!</v>
      </c>
      <c r="T97" s="98" t="e">
        <f>T81/'ФОТ, МТР, макро'!AW$15/(T13/T8)</f>
        <v>#DIV/0!</v>
      </c>
      <c r="U97" s="98" t="e">
        <f>U81/'ФОТ, МТР, макро'!AX$15/(U13/U8)</f>
        <v>#DIV/0!</v>
      </c>
      <c r="V97" s="98" t="e">
        <f>V81/'ФОТ, МТР, макро'!AY$15/(V13/V8)</f>
        <v>#DIV/0!</v>
      </c>
      <c r="W97" s="98" t="e">
        <f>W81/'ФОТ, МТР, макро'!AZ$15/(W13/W8)</f>
        <v>#DIV/0!</v>
      </c>
      <c r="X97" s="98" t="e">
        <f>X81/'ФОТ, МТР, макро'!BA$15/(X13/X8)</f>
        <v>#DIV/0!</v>
      </c>
      <c r="Y97" s="98" t="e">
        <f>Y81/'ФОТ, МТР, макро'!BB$15/(Y13/Y8)</f>
        <v>#DIV/0!</v>
      </c>
      <c r="Z97" s="98" t="e">
        <f>Z81/'ФОТ, МТР, макро'!BC$15/(Z13/Z8)</f>
        <v>#DIV/0!</v>
      </c>
      <c r="AA97" s="175"/>
      <c r="AC97" s="99" cm="1">
        <f t="array" ref="AC97">INDEX(G97:Z97,1,$C97)</f>
        <v>0</v>
      </c>
    </row>
    <row r="98" spans="1:29" hidden="1" outlineLevel="1" x14ac:dyDescent="0.25">
      <c r="A98" s="36" t="str">
        <f t="shared" si="40"/>
        <v>БС-215</v>
      </c>
      <c r="B98" s="36" t="str">
        <f t="shared" si="44"/>
        <v>Буровой станок</v>
      </c>
      <c r="C98" s="36">
        <f t="shared" si="45"/>
        <v>12</v>
      </c>
      <c r="D98" s="88" t="str">
        <f>D82</f>
        <v>Буровой станок</v>
      </c>
      <c r="E98" s="9" t="str">
        <f>E97</f>
        <v>руб/м3</v>
      </c>
      <c r="F98" s="29"/>
      <c r="G98" s="107">
        <f>G82/'ФОТ, МТР, макро'!AJ$15/(G13/G8)</f>
        <v>0</v>
      </c>
      <c r="H98" s="107">
        <f>H82/'ФОТ, МТР, макро'!AK$15/(H13/H8)</f>
        <v>0</v>
      </c>
      <c r="I98" s="107">
        <f>I82/'ФОТ, МТР, макро'!AL$15/(I13/I8)</f>
        <v>0</v>
      </c>
      <c r="J98" s="107">
        <f>J82/'ФОТ, МТР, макро'!AM$15/(J13/J8)</f>
        <v>0</v>
      </c>
      <c r="K98" s="107">
        <f>K82/'ФОТ, МТР, макро'!AN$15/(K13/K8)</f>
        <v>0</v>
      </c>
      <c r="L98" s="107">
        <f>L82/'ФОТ, МТР, макро'!AO$15/(L13/L8)</f>
        <v>0</v>
      </c>
      <c r="M98" s="107">
        <f>M82/'ФОТ, МТР, макро'!AP$15/(M13/M8)</f>
        <v>0</v>
      </c>
      <c r="N98" s="107">
        <f>N82/'ФОТ, МТР, макро'!AQ$15/(N13/N8)</f>
        <v>0</v>
      </c>
      <c r="O98" s="107">
        <f>O82/'ФОТ, МТР, макро'!AR$15/(O13/O8)</f>
        <v>0</v>
      </c>
      <c r="P98" s="107">
        <f>P82/'ФОТ, МТР, макро'!AS$15/(P13/P8)</f>
        <v>0</v>
      </c>
      <c r="Q98" s="107">
        <f>Q82/'ФОТ, МТР, макро'!AT$15/(Q13/Q8)</f>
        <v>0</v>
      </c>
      <c r="R98" s="107">
        <f>R82/'ФОТ, МТР, макро'!AU$15/(R13/R8)</f>
        <v>0</v>
      </c>
      <c r="S98" s="107" t="e">
        <f>S82/'ФОТ, МТР, макро'!AV$15/(S13/S8)</f>
        <v>#DIV/0!</v>
      </c>
      <c r="T98" s="107" t="e">
        <f>T82/'ФОТ, МТР, макро'!AW$15/(T13/T8)</f>
        <v>#DIV/0!</v>
      </c>
      <c r="U98" s="107" t="e">
        <f>U82/'ФОТ, МТР, макро'!AX$15/(U13/U8)</f>
        <v>#DIV/0!</v>
      </c>
      <c r="V98" s="107" t="e">
        <f>V82/'ФОТ, МТР, макро'!AY$15/(V13/V8)</f>
        <v>#DIV/0!</v>
      </c>
      <c r="W98" s="107" t="e">
        <f>W82/'ФОТ, МТР, макро'!AZ$15/(W13/W8)</f>
        <v>#DIV/0!</v>
      </c>
      <c r="X98" s="107" t="e">
        <f>X82/'ФОТ, МТР, макро'!BA$15/(X13/X8)</f>
        <v>#DIV/0!</v>
      </c>
      <c r="Y98" s="107" t="e">
        <f>Y82/'ФОТ, МТР, макро'!BB$15/(Y13/Y8)</f>
        <v>#DIV/0!</v>
      </c>
      <c r="Z98" s="107" t="e">
        <f>Z82/'ФОТ, МТР, макро'!BC$15/(Z13/Z8)</f>
        <v>#DIV/0!</v>
      </c>
      <c r="AA98" s="175"/>
      <c r="AC98" s="104" cm="1">
        <f t="array" ref="AC98">INDEX(G98:Z98,1,$C98)</f>
        <v>0</v>
      </c>
    </row>
    <row r="99" spans="1:29" hidden="1" outlineLevel="1" x14ac:dyDescent="0.25">
      <c r="A99" s="36" t="str">
        <f t="shared" si="40"/>
        <v>БС-215</v>
      </c>
      <c r="B99" s="36" t="str">
        <f t="shared" si="44"/>
        <v>Аннуитет общий</v>
      </c>
      <c r="C99" s="36">
        <f t="shared" si="45"/>
        <v>12</v>
      </c>
      <c r="D99" s="95" t="s">
        <v>75</v>
      </c>
      <c r="E99" s="105" t="str">
        <f>E87</f>
        <v>руб/м3</v>
      </c>
      <c r="F99" s="106"/>
      <c r="G99" s="98">
        <f>G85/'ФОТ, МТР, макро'!AJ$15/(G13/G8)</f>
        <v>12.946332223652865</v>
      </c>
      <c r="H99" s="98">
        <f>H85/'ФОТ, МТР, макро'!AK$15/(H13/H8)</f>
        <v>12.592639512958327</v>
      </c>
      <c r="I99" s="98">
        <f>I85/'ФОТ, МТР, макро'!AL$15/(I13/I8)</f>
        <v>12.884484263912237</v>
      </c>
      <c r="J99" s="98">
        <f>J85/'ФОТ, МТР, макро'!AM$15/(J13/J8)</f>
        <v>13.407860497936367</v>
      </c>
      <c r="K99" s="98">
        <f>K85/'ФОТ, МТР, макро'!AN$15/(K13/K8)</f>
        <v>13.056618048950513</v>
      </c>
      <c r="L99" s="98">
        <f>L85/'ФОТ, МТР, макро'!AO$15/(L13/L8)</f>
        <v>13.031302980854655</v>
      </c>
      <c r="M99" s="98">
        <f>M85/'ФОТ, МТР, макро'!AP$15/(M13/M8)</f>
        <v>13.157602206739949</v>
      </c>
      <c r="N99" s="98">
        <f>N85/'ФОТ, МТР, макро'!AQ$15/(N13/N8)</f>
        <v>13.045902153598806</v>
      </c>
      <c r="O99" s="98">
        <f>O85/'ФОТ, МТР, макро'!AR$15/(O13/O8)</f>
        <v>13.01502574022094</v>
      </c>
      <c r="P99" s="98">
        <f>P85/'ФОТ, МТР, макро'!AS$15/(P13/P8)</f>
        <v>13.134242120845432</v>
      </c>
      <c r="Q99" s="98">
        <f>Q85/'ФОТ, МТР, макро'!AT$15/(Q13/Q8)</f>
        <v>13.284141340421126</v>
      </c>
      <c r="R99" s="98">
        <f>R85/'ФОТ, МТР, макро'!AU$15/(R13/R8)</f>
        <v>13.256544983441632</v>
      </c>
      <c r="S99" s="98" t="e">
        <f>S85/'ФОТ, МТР, макро'!AV$15/(S13/S8)</f>
        <v>#DIV/0!</v>
      </c>
      <c r="T99" s="98" t="e">
        <f>T85/'ФОТ, МТР, макро'!AW$15/(T13/T8)</f>
        <v>#DIV/0!</v>
      </c>
      <c r="U99" s="98" t="e">
        <f>U85/'ФОТ, МТР, макро'!AX$15/(U13/U8)</f>
        <v>#DIV/0!</v>
      </c>
      <c r="V99" s="98" t="e">
        <f>V85/'ФОТ, МТР, макро'!AY$15/(V13/V8)</f>
        <v>#DIV/0!</v>
      </c>
      <c r="W99" s="98" t="e">
        <f>W85/'ФОТ, МТР, макро'!AZ$15/(W13/W8)</f>
        <v>#DIV/0!</v>
      </c>
      <c r="X99" s="98" t="e">
        <f>X85/'ФОТ, МТР, макро'!BA$15/(X13/X8)</f>
        <v>#DIV/0!</v>
      </c>
      <c r="Y99" s="98" t="e">
        <f>Y85/'ФОТ, МТР, макро'!BB$15/(Y13/Y8)</f>
        <v>#DIV/0!</v>
      </c>
      <c r="Z99" s="98" t="e">
        <f>Z85/'ФОТ, МТР, макро'!BC$15/(Z13/Z8)</f>
        <v>#DIV/0!</v>
      </c>
      <c r="AA99" s="175"/>
      <c r="AC99" s="99" cm="1">
        <f t="array" ref="AC99">INDEX(G99:Z99,1,$C99)</f>
        <v>13.256544983441632</v>
      </c>
    </row>
    <row r="100" spans="1:29" hidden="1" outlineLevel="1" x14ac:dyDescent="0.25">
      <c r="A100" s="36" t="str">
        <f t="shared" si="40"/>
        <v>БС-215</v>
      </c>
      <c r="B100" s="36"/>
      <c r="D100" s="108"/>
      <c r="E100" s="12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75"/>
    </row>
    <row r="101" spans="1:29" hidden="1" outlineLevel="1" x14ac:dyDescent="0.25">
      <c r="A101" s="36" t="str">
        <f t="shared" si="40"/>
        <v>БС-215</v>
      </c>
      <c r="B101" s="36"/>
      <c r="D101" s="110" t="s">
        <v>67</v>
      </c>
      <c r="E101" s="111"/>
      <c r="F101" s="112"/>
      <c r="G101" s="113">
        <f>G99-G87-G97+G87-SUM(G88:G96)+G97-G98</f>
        <v>0</v>
      </c>
      <c r="H101" s="113">
        <f t="shared" ref="H101:Z101" si="48">H99-H87-H97+H87-SUM(H88:H96)+H97-H98</f>
        <v>0</v>
      </c>
      <c r="I101" s="113">
        <f t="shared" si="48"/>
        <v>0</v>
      </c>
      <c r="J101" s="113">
        <f t="shared" si="48"/>
        <v>1.7763568394002505E-15</v>
      </c>
      <c r="K101" s="113">
        <f t="shared" si="48"/>
        <v>1.7763568394002505E-15</v>
      </c>
      <c r="L101" s="113">
        <f t="shared" si="48"/>
        <v>1.7763568394002505E-15</v>
      </c>
      <c r="M101" s="113">
        <f t="shared" si="48"/>
        <v>0</v>
      </c>
      <c r="N101" s="113">
        <f t="shared" si="48"/>
        <v>0</v>
      </c>
      <c r="O101" s="113">
        <f t="shared" si="48"/>
        <v>0</v>
      </c>
      <c r="P101" s="113">
        <f t="shared" si="48"/>
        <v>0</v>
      </c>
      <c r="Q101" s="113">
        <f t="shared" si="48"/>
        <v>-3.5527136788005009E-15</v>
      </c>
      <c r="R101" s="113">
        <f t="shared" si="48"/>
        <v>-1.7763568394002505E-15</v>
      </c>
      <c r="S101" s="113" t="e">
        <f t="shared" si="48"/>
        <v>#DIV/0!</v>
      </c>
      <c r="T101" s="113" t="e">
        <f t="shared" si="48"/>
        <v>#DIV/0!</v>
      </c>
      <c r="U101" s="113" t="e">
        <f t="shared" si="48"/>
        <v>#DIV/0!</v>
      </c>
      <c r="V101" s="113" t="e">
        <f t="shared" si="48"/>
        <v>#DIV/0!</v>
      </c>
      <c r="W101" s="113" t="e">
        <f t="shared" si="48"/>
        <v>#DIV/0!</v>
      </c>
      <c r="X101" s="113" t="e">
        <f t="shared" si="48"/>
        <v>#DIV/0!</v>
      </c>
      <c r="Y101" s="113" t="e">
        <f t="shared" si="48"/>
        <v>#DIV/0!</v>
      </c>
      <c r="Z101" s="113" t="e">
        <f t="shared" si="48"/>
        <v>#DIV/0!</v>
      </c>
      <c r="AA101" s="175"/>
    </row>
    <row r="102" spans="1:29" hidden="1" outlineLevel="1" x14ac:dyDescent="0.25">
      <c r="A102" s="36" t="str">
        <f t="shared" si="40"/>
        <v>БС-215</v>
      </c>
      <c r="B102" s="36"/>
      <c r="D102" s="112"/>
      <c r="E102" s="111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75"/>
    </row>
    <row r="103" spans="1:29" hidden="1" outlineLevel="1" x14ac:dyDescent="0.25">
      <c r="A103" s="36" t="str">
        <f t="shared" si="40"/>
        <v>БС-215</v>
      </c>
      <c r="B103" s="36"/>
      <c r="D103" s="114" t="s">
        <v>76</v>
      </c>
      <c r="E103" s="115" t="str">
        <f>E99</f>
        <v>руб/м3</v>
      </c>
      <c r="F103" s="116"/>
      <c r="G103" s="117">
        <f>SUM(G104:G111)</f>
        <v>17.26177629820382</v>
      </c>
      <c r="H103" s="117">
        <f t="shared" ref="H103:Z103" si="49">SUM(H104:H111)</f>
        <v>16.353627286478282</v>
      </c>
      <c r="I103" s="117">
        <f t="shared" si="49"/>
        <v>18.15584234049679</v>
      </c>
      <c r="J103" s="117">
        <f t="shared" si="49"/>
        <v>20.527126928168972</v>
      </c>
      <c r="K103" s="117">
        <f t="shared" si="49"/>
        <v>15.574507916343983</v>
      </c>
      <c r="L103" s="117">
        <f t="shared" si="49"/>
        <v>17.526388889996063</v>
      </c>
      <c r="M103" s="117">
        <f t="shared" si="49"/>
        <v>18.964324693760826</v>
      </c>
      <c r="N103" s="117">
        <f t="shared" si="49"/>
        <v>16.774154436670827</v>
      </c>
      <c r="O103" s="117">
        <f t="shared" si="49"/>
        <v>17.255153762014221</v>
      </c>
      <c r="P103" s="117">
        <f t="shared" si="49"/>
        <v>19.457032226520489</v>
      </c>
      <c r="Q103" s="117">
        <f t="shared" si="49"/>
        <v>21.104816099339473</v>
      </c>
      <c r="R103" s="117">
        <f t="shared" si="49"/>
        <v>16.509850166881115</v>
      </c>
      <c r="S103" s="117" t="e">
        <f t="shared" si="49"/>
        <v>#DIV/0!</v>
      </c>
      <c r="T103" s="117" t="e">
        <f t="shared" si="49"/>
        <v>#DIV/0!</v>
      </c>
      <c r="U103" s="117" t="e">
        <f t="shared" si="49"/>
        <v>#DIV/0!</v>
      </c>
      <c r="V103" s="117" t="e">
        <f t="shared" si="49"/>
        <v>#DIV/0!</v>
      </c>
      <c r="W103" s="117" t="e">
        <f t="shared" si="49"/>
        <v>#DIV/0!</v>
      </c>
      <c r="X103" s="117" t="e">
        <f t="shared" si="49"/>
        <v>#DIV/0!</v>
      </c>
      <c r="Y103" s="117" t="e">
        <f t="shared" si="49"/>
        <v>#DIV/0!</v>
      </c>
      <c r="Z103" s="117" t="e">
        <f t="shared" si="49"/>
        <v>#DIV/0!</v>
      </c>
      <c r="AA103" s="175"/>
    </row>
    <row r="104" spans="1:29" hidden="1" outlineLevel="1" x14ac:dyDescent="0.25">
      <c r="A104" s="36" t="str">
        <f t="shared" si="40"/>
        <v>БС-215</v>
      </c>
      <c r="B104" s="36"/>
      <c r="D104" s="100" t="str">
        <f>D88</f>
        <v>ТО, ТР, ППР</v>
      </c>
      <c r="E104" s="101" t="str">
        <f>E103</f>
        <v>руб/м3</v>
      </c>
      <c r="F104" s="102"/>
      <c r="G104" s="103">
        <f t="shared" ref="G104:Z104" si="50">G16/G12</f>
        <v>4.571053039346701</v>
      </c>
      <c r="H104" s="103">
        <f t="shared" si="50"/>
        <v>4.4377190931909274</v>
      </c>
      <c r="I104" s="103">
        <f t="shared" si="50"/>
        <v>6.4116193828311614</v>
      </c>
      <c r="J104" s="103">
        <f t="shared" si="50"/>
        <v>8.8186659363350053</v>
      </c>
      <c r="K104" s="103">
        <f t="shared" si="50"/>
        <v>4.6590980821867012</v>
      </c>
      <c r="L104" s="103">
        <f t="shared" si="50"/>
        <v>6.4980373416725401</v>
      </c>
      <c r="M104" s="103">
        <f t="shared" si="50"/>
        <v>7.2842712786789328</v>
      </c>
      <c r="N104" s="103">
        <f t="shared" si="50"/>
        <v>6.2200406614220336</v>
      </c>
      <c r="O104" s="103">
        <f t="shared" si="50"/>
        <v>6.1833106668064719</v>
      </c>
      <c r="P104" s="103">
        <f t="shared" si="50"/>
        <v>7.4410165909550523</v>
      </c>
      <c r="Q104" s="103">
        <f t="shared" si="50"/>
        <v>9.0481083721134556</v>
      </c>
      <c r="R104" s="103">
        <f t="shared" si="50"/>
        <v>4.7002124627723338</v>
      </c>
      <c r="S104" s="103" t="e">
        <f t="shared" si="50"/>
        <v>#DIV/0!</v>
      </c>
      <c r="T104" s="103" t="e">
        <f t="shared" si="50"/>
        <v>#DIV/0!</v>
      </c>
      <c r="U104" s="103" t="e">
        <f t="shared" si="50"/>
        <v>#DIV/0!</v>
      </c>
      <c r="V104" s="103" t="e">
        <f t="shared" si="50"/>
        <v>#DIV/0!</v>
      </c>
      <c r="W104" s="103" t="e">
        <f t="shared" si="50"/>
        <v>#DIV/0!</v>
      </c>
      <c r="X104" s="103" t="e">
        <f t="shared" si="50"/>
        <v>#DIV/0!</v>
      </c>
      <c r="Y104" s="103" t="e">
        <f t="shared" si="50"/>
        <v>#DIV/0!</v>
      </c>
      <c r="Z104" s="103" t="e">
        <f t="shared" si="50"/>
        <v>#DIV/0!</v>
      </c>
      <c r="AA104" s="175"/>
    </row>
    <row r="105" spans="1:29" hidden="1" outlineLevel="1" x14ac:dyDescent="0.25">
      <c r="A105" s="36" t="str">
        <f t="shared" si="40"/>
        <v>БС-215</v>
      </c>
      <c r="B105" s="36"/>
      <c r="D105" s="100" t="str">
        <f t="shared" ref="D105:D111" si="51">D89</f>
        <v>Смазочные</v>
      </c>
      <c r="E105" s="101" t="str">
        <f t="shared" ref="E105:E111" si="52">E104</f>
        <v>руб/м3</v>
      </c>
      <c r="F105" s="102"/>
      <c r="G105" s="103">
        <f t="shared" ref="G105:Z105" si="53">G21/G12</f>
        <v>0</v>
      </c>
      <c r="H105" s="103">
        <f t="shared" si="53"/>
        <v>0</v>
      </c>
      <c r="I105" s="103">
        <f t="shared" si="53"/>
        <v>0</v>
      </c>
      <c r="J105" s="103">
        <f t="shared" si="53"/>
        <v>0</v>
      </c>
      <c r="K105" s="103">
        <f t="shared" si="53"/>
        <v>0</v>
      </c>
      <c r="L105" s="103">
        <f t="shared" si="53"/>
        <v>0</v>
      </c>
      <c r="M105" s="103">
        <f t="shared" si="53"/>
        <v>0</v>
      </c>
      <c r="N105" s="103">
        <f t="shared" si="53"/>
        <v>0</v>
      </c>
      <c r="O105" s="103">
        <f t="shared" si="53"/>
        <v>0</v>
      </c>
      <c r="P105" s="103">
        <f t="shared" si="53"/>
        <v>0</v>
      </c>
      <c r="Q105" s="103">
        <f t="shared" si="53"/>
        <v>0</v>
      </c>
      <c r="R105" s="103">
        <f t="shared" si="53"/>
        <v>0</v>
      </c>
      <c r="S105" s="103" t="e">
        <f t="shared" si="53"/>
        <v>#DIV/0!</v>
      </c>
      <c r="T105" s="103" t="e">
        <f t="shared" si="53"/>
        <v>#DIV/0!</v>
      </c>
      <c r="U105" s="103" t="e">
        <f t="shared" si="53"/>
        <v>#DIV/0!</v>
      </c>
      <c r="V105" s="103" t="e">
        <f t="shared" si="53"/>
        <v>#DIV/0!</v>
      </c>
      <c r="W105" s="103" t="e">
        <f t="shared" si="53"/>
        <v>#DIV/0!</v>
      </c>
      <c r="X105" s="103" t="e">
        <f t="shared" si="53"/>
        <v>#DIV/0!</v>
      </c>
      <c r="Y105" s="103" t="e">
        <f t="shared" si="53"/>
        <v>#DIV/0!</v>
      </c>
      <c r="Z105" s="103" t="e">
        <f t="shared" si="53"/>
        <v>#DIV/0!</v>
      </c>
      <c r="AA105" s="175"/>
    </row>
    <row r="106" spans="1:29" hidden="1" outlineLevel="1" x14ac:dyDescent="0.25">
      <c r="A106" s="36" t="str">
        <f t="shared" si="40"/>
        <v>БС-215</v>
      </c>
      <c r="B106" s="36"/>
      <c r="D106" s="100" t="str">
        <f t="shared" si="51"/>
        <v>Долота</v>
      </c>
      <c r="E106" s="101" t="str">
        <f t="shared" si="52"/>
        <v>руб/м3</v>
      </c>
      <c r="F106" s="102"/>
      <c r="G106" s="103">
        <f t="shared" ref="G106:Z106" si="54">G23/G12</f>
        <v>0</v>
      </c>
      <c r="H106" s="103">
        <f t="shared" si="54"/>
        <v>0</v>
      </c>
      <c r="I106" s="103">
        <f t="shared" si="54"/>
        <v>0</v>
      </c>
      <c r="J106" s="103">
        <f t="shared" si="54"/>
        <v>0</v>
      </c>
      <c r="K106" s="103">
        <f t="shared" si="54"/>
        <v>0</v>
      </c>
      <c r="L106" s="103">
        <f t="shared" si="54"/>
        <v>0</v>
      </c>
      <c r="M106" s="103">
        <f t="shared" si="54"/>
        <v>0</v>
      </c>
      <c r="N106" s="103">
        <f t="shared" si="54"/>
        <v>0</v>
      </c>
      <c r="O106" s="103">
        <f t="shared" si="54"/>
        <v>0</v>
      </c>
      <c r="P106" s="103">
        <f t="shared" si="54"/>
        <v>0</v>
      </c>
      <c r="Q106" s="103">
        <f t="shared" si="54"/>
        <v>0</v>
      </c>
      <c r="R106" s="103">
        <f t="shared" si="54"/>
        <v>0</v>
      </c>
      <c r="S106" s="103" t="e">
        <f t="shared" si="54"/>
        <v>#DIV/0!</v>
      </c>
      <c r="T106" s="103" t="e">
        <f t="shared" si="54"/>
        <v>#DIV/0!</v>
      </c>
      <c r="U106" s="103" t="e">
        <f t="shared" si="54"/>
        <v>#DIV/0!</v>
      </c>
      <c r="V106" s="103" t="e">
        <f t="shared" si="54"/>
        <v>#DIV/0!</v>
      </c>
      <c r="W106" s="103" t="e">
        <f t="shared" si="54"/>
        <v>#DIV/0!</v>
      </c>
      <c r="X106" s="103" t="e">
        <f t="shared" si="54"/>
        <v>#DIV/0!</v>
      </c>
      <c r="Y106" s="103" t="e">
        <f t="shared" si="54"/>
        <v>#DIV/0!</v>
      </c>
      <c r="Z106" s="103" t="e">
        <f t="shared" si="54"/>
        <v>#DIV/0!</v>
      </c>
      <c r="AA106" s="175"/>
    </row>
    <row r="107" spans="1:29" hidden="1" outlineLevel="1" x14ac:dyDescent="0.25">
      <c r="A107" s="36" t="str">
        <f t="shared" si="40"/>
        <v>БС-215</v>
      </c>
      <c r="B107" s="36"/>
      <c r="D107" s="100" t="str">
        <f t="shared" si="51"/>
        <v>Штанги буровые</v>
      </c>
      <c r="E107" s="101" t="str">
        <f t="shared" si="52"/>
        <v>руб/м3</v>
      </c>
      <c r="F107" s="102"/>
      <c r="G107" s="103">
        <f t="shared" ref="G107:Z107" si="55">G27/G12</f>
        <v>0</v>
      </c>
      <c r="H107" s="103">
        <f t="shared" si="55"/>
        <v>0</v>
      </c>
      <c r="I107" s="103">
        <f t="shared" si="55"/>
        <v>0</v>
      </c>
      <c r="J107" s="103">
        <f t="shared" si="55"/>
        <v>0</v>
      </c>
      <c r="K107" s="103">
        <f t="shared" si="55"/>
        <v>0</v>
      </c>
      <c r="L107" s="103">
        <f t="shared" si="55"/>
        <v>0</v>
      </c>
      <c r="M107" s="103">
        <f t="shared" si="55"/>
        <v>0</v>
      </c>
      <c r="N107" s="103">
        <f t="shared" si="55"/>
        <v>0</v>
      </c>
      <c r="O107" s="103">
        <f t="shared" si="55"/>
        <v>0</v>
      </c>
      <c r="P107" s="103">
        <f t="shared" si="55"/>
        <v>0</v>
      </c>
      <c r="Q107" s="103">
        <f t="shared" si="55"/>
        <v>0</v>
      </c>
      <c r="R107" s="103">
        <f t="shared" si="55"/>
        <v>0</v>
      </c>
      <c r="S107" s="103" t="e">
        <f t="shared" si="55"/>
        <v>#DIV/0!</v>
      </c>
      <c r="T107" s="103" t="e">
        <f t="shared" si="55"/>
        <v>#DIV/0!</v>
      </c>
      <c r="U107" s="103" t="e">
        <f t="shared" si="55"/>
        <v>#DIV/0!</v>
      </c>
      <c r="V107" s="103" t="e">
        <f t="shared" si="55"/>
        <v>#DIV/0!</v>
      </c>
      <c r="W107" s="103" t="e">
        <f t="shared" si="55"/>
        <v>#DIV/0!</v>
      </c>
      <c r="X107" s="103" t="e">
        <f t="shared" si="55"/>
        <v>#DIV/0!</v>
      </c>
      <c r="Y107" s="103" t="e">
        <f t="shared" si="55"/>
        <v>#DIV/0!</v>
      </c>
      <c r="Z107" s="103" t="e">
        <f t="shared" si="55"/>
        <v>#DIV/0!</v>
      </c>
      <c r="AA107" s="175"/>
    </row>
    <row r="108" spans="1:29" hidden="1" outlineLevel="1" x14ac:dyDescent="0.25">
      <c r="A108" s="36" t="str">
        <f t="shared" si="40"/>
        <v>БС-215</v>
      </c>
      <c r="B108" s="36"/>
      <c r="D108" s="100" t="str">
        <f t="shared" si="51"/>
        <v>Расходники</v>
      </c>
      <c r="E108" s="101" t="str">
        <f t="shared" si="52"/>
        <v>руб/м3</v>
      </c>
      <c r="F108" s="102"/>
      <c r="G108" s="103">
        <f t="shared" ref="G108:Z108" si="56">G31/G12</f>
        <v>0</v>
      </c>
      <c r="H108" s="103">
        <f t="shared" si="56"/>
        <v>0</v>
      </c>
      <c r="I108" s="103">
        <f t="shared" si="56"/>
        <v>0</v>
      </c>
      <c r="J108" s="103">
        <f t="shared" si="56"/>
        <v>0</v>
      </c>
      <c r="K108" s="103">
        <f t="shared" si="56"/>
        <v>0</v>
      </c>
      <c r="L108" s="103">
        <f t="shared" si="56"/>
        <v>0</v>
      </c>
      <c r="M108" s="103">
        <f t="shared" si="56"/>
        <v>0</v>
      </c>
      <c r="N108" s="103">
        <f t="shared" si="56"/>
        <v>0</v>
      </c>
      <c r="O108" s="103">
        <f t="shared" si="56"/>
        <v>0</v>
      </c>
      <c r="P108" s="103">
        <f t="shared" si="56"/>
        <v>0</v>
      </c>
      <c r="Q108" s="103">
        <f t="shared" si="56"/>
        <v>0</v>
      </c>
      <c r="R108" s="103">
        <f t="shared" si="56"/>
        <v>0</v>
      </c>
      <c r="S108" s="103" t="e">
        <f t="shared" si="56"/>
        <v>#DIV/0!</v>
      </c>
      <c r="T108" s="103" t="e">
        <f t="shared" si="56"/>
        <v>#DIV/0!</v>
      </c>
      <c r="U108" s="103" t="e">
        <f t="shared" si="56"/>
        <v>#DIV/0!</v>
      </c>
      <c r="V108" s="103" t="e">
        <f t="shared" si="56"/>
        <v>#DIV/0!</v>
      </c>
      <c r="W108" s="103" t="e">
        <f t="shared" si="56"/>
        <v>#DIV/0!</v>
      </c>
      <c r="X108" s="103" t="e">
        <f t="shared" si="56"/>
        <v>#DIV/0!</v>
      </c>
      <c r="Y108" s="103" t="e">
        <f t="shared" si="56"/>
        <v>#DIV/0!</v>
      </c>
      <c r="Z108" s="103" t="e">
        <f t="shared" si="56"/>
        <v>#DIV/0!</v>
      </c>
      <c r="AA108" s="175"/>
    </row>
    <row r="109" spans="1:29" hidden="1" outlineLevel="1" x14ac:dyDescent="0.25">
      <c r="A109" s="36" t="str">
        <f t="shared" si="40"/>
        <v>БС-215</v>
      </c>
      <c r="B109" s="36"/>
      <c r="D109" s="100" t="str">
        <f t="shared" si="51"/>
        <v>Топливо/Электроэнергия</v>
      </c>
      <c r="E109" s="101" t="str">
        <f t="shared" si="52"/>
        <v>руб/м3</v>
      </c>
      <c r="F109" s="102"/>
      <c r="G109" s="103">
        <f t="shared" ref="G109:Z109" si="57">G33/G12</f>
        <v>6.5071517215836625</v>
      </c>
      <c r="H109" s="103">
        <f t="shared" si="57"/>
        <v>6.1012845687189428</v>
      </c>
      <c r="I109" s="103">
        <f t="shared" si="57"/>
        <v>6.0091384038296676</v>
      </c>
      <c r="J109" s="103">
        <f t="shared" si="57"/>
        <v>5.8918981619617679</v>
      </c>
      <c r="K109" s="103">
        <f t="shared" si="57"/>
        <v>5.5811164316887769</v>
      </c>
      <c r="L109" s="103">
        <f t="shared" si="57"/>
        <v>5.6188455508033455</v>
      </c>
      <c r="M109" s="103">
        <f t="shared" si="57"/>
        <v>5.8776029826578391</v>
      </c>
      <c r="N109" s="103">
        <f t="shared" si="57"/>
        <v>5.3887374309253051</v>
      </c>
      <c r="O109" s="103">
        <f t="shared" si="57"/>
        <v>5.6570941079617478</v>
      </c>
      <c r="P109" s="103">
        <f t="shared" si="57"/>
        <v>6.0376689452674288</v>
      </c>
      <c r="Q109" s="103">
        <f t="shared" si="57"/>
        <v>6.1471738068880759</v>
      </c>
      <c r="R109" s="103">
        <f t="shared" si="57"/>
        <v>6.0426090103095778</v>
      </c>
      <c r="S109" s="103" t="e">
        <f t="shared" si="57"/>
        <v>#DIV/0!</v>
      </c>
      <c r="T109" s="103" t="e">
        <f t="shared" si="57"/>
        <v>#DIV/0!</v>
      </c>
      <c r="U109" s="103" t="e">
        <f t="shared" si="57"/>
        <v>#DIV/0!</v>
      </c>
      <c r="V109" s="103" t="e">
        <f t="shared" si="57"/>
        <v>#DIV/0!</v>
      </c>
      <c r="W109" s="103" t="e">
        <f t="shared" si="57"/>
        <v>#DIV/0!</v>
      </c>
      <c r="X109" s="103" t="e">
        <f t="shared" si="57"/>
        <v>#DIV/0!</v>
      </c>
      <c r="Y109" s="103" t="e">
        <f t="shared" si="57"/>
        <v>#DIV/0!</v>
      </c>
      <c r="Z109" s="103" t="e">
        <f t="shared" si="57"/>
        <v>#DIV/0!</v>
      </c>
      <c r="AA109" s="175"/>
    </row>
    <row r="110" spans="1:29" hidden="1" outlineLevel="1" x14ac:dyDescent="0.25">
      <c r="A110" s="36" t="str">
        <f t="shared" si="40"/>
        <v>БС-215</v>
      </c>
      <c r="B110" s="36"/>
      <c r="D110" s="100" t="str">
        <f t="shared" si="51"/>
        <v>Затраты на персонал</v>
      </c>
      <c r="E110" s="101" t="str">
        <f t="shared" si="52"/>
        <v>руб/м3</v>
      </c>
      <c r="F110" s="102"/>
      <c r="G110" s="103">
        <f t="shared" ref="G110:Z110" si="58">G42/G12</f>
        <v>6.1835715372734557</v>
      </c>
      <c r="H110" s="103">
        <f t="shared" si="58"/>
        <v>5.8146236245684131</v>
      </c>
      <c r="I110" s="103">
        <f t="shared" si="58"/>
        <v>5.7350845538359598</v>
      </c>
      <c r="J110" s="103">
        <f t="shared" si="58"/>
        <v>5.8165628298721979</v>
      </c>
      <c r="K110" s="103">
        <f t="shared" si="58"/>
        <v>5.3342934024685036</v>
      </c>
      <c r="L110" s="103">
        <f t="shared" si="58"/>
        <v>5.4095059975201769</v>
      </c>
      <c r="M110" s="103">
        <f t="shared" si="58"/>
        <v>5.8024504324240551</v>
      </c>
      <c r="N110" s="103">
        <f t="shared" si="58"/>
        <v>5.1653763443234872</v>
      </c>
      <c r="O110" s="103">
        <f t="shared" si="58"/>
        <v>5.4147489872460008</v>
      </c>
      <c r="P110" s="103">
        <f t="shared" si="58"/>
        <v>5.9783466902980082</v>
      </c>
      <c r="Q110" s="103">
        <f t="shared" si="58"/>
        <v>5.9095339203379433</v>
      </c>
      <c r="R110" s="103">
        <f t="shared" si="58"/>
        <v>5.7670286937992064</v>
      </c>
      <c r="S110" s="103" t="e">
        <f t="shared" si="58"/>
        <v>#DIV/0!</v>
      </c>
      <c r="T110" s="103" t="e">
        <f t="shared" si="58"/>
        <v>#DIV/0!</v>
      </c>
      <c r="U110" s="103" t="e">
        <f t="shared" si="58"/>
        <v>#DIV/0!</v>
      </c>
      <c r="V110" s="103" t="e">
        <f t="shared" si="58"/>
        <v>#DIV/0!</v>
      </c>
      <c r="W110" s="103" t="e">
        <f t="shared" si="58"/>
        <v>#DIV/0!</v>
      </c>
      <c r="X110" s="103" t="e">
        <f t="shared" si="58"/>
        <v>#DIV/0!</v>
      </c>
      <c r="Y110" s="103" t="e">
        <f t="shared" si="58"/>
        <v>#DIV/0!</v>
      </c>
      <c r="Z110" s="103" t="e">
        <f t="shared" si="58"/>
        <v>#DIV/0!</v>
      </c>
      <c r="AA110" s="175"/>
    </row>
    <row r="111" spans="1:29" hidden="1" outlineLevel="1" x14ac:dyDescent="0.25">
      <c r="A111" s="36" t="str">
        <f t="shared" si="40"/>
        <v>БС-215</v>
      </c>
      <c r="B111" s="36"/>
      <c r="D111" s="100" t="str">
        <f t="shared" si="51"/>
        <v>Транспортный налог</v>
      </c>
      <c r="E111" s="101" t="str">
        <f t="shared" si="52"/>
        <v>руб/м3</v>
      </c>
      <c r="F111" s="102"/>
      <c r="G111" s="103">
        <f t="shared" ref="G111:Z111" si="59">G45/G12</f>
        <v>0</v>
      </c>
      <c r="H111" s="103">
        <f t="shared" si="59"/>
        <v>0</v>
      </c>
      <c r="I111" s="103">
        <f t="shared" si="59"/>
        <v>0</v>
      </c>
      <c r="J111" s="103">
        <f t="shared" si="59"/>
        <v>0</v>
      </c>
      <c r="K111" s="103">
        <f t="shared" si="59"/>
        <v>0</v>
      </c>
      <c r="L111" s="103">
        <f t="shared" si="59"/>
        <v>0</v>
      </c>
      <c r="M111" s="103">
        <f t="shared" si="59"/>
        <v>0</v>
      </c>
      <c r="N111" s="103">
        <f t="shared" si="59"/>
        <v>0</v>
      </c>
      <c r="O111" s="103">
        <f t="shared" si="59"/>
        <v>0</v>
      </c>
      <c r="P111" s="103">
        <f t="shared" si="59"/>
        <v>0</v>
      </c>
      <c r="Q111" s="103">
        <f t="shared" si="59"/>
        <v>0</v>
      </c>
      <c r="R111" s="103">
        <f t="shared" si="59"/>
        <v>0</v>
      </c>
      <c r="S111" s="103" t="e">
        <f t="shared" si="59"/>
        <v>#DIV/0!</v>
      </c>
      <c r="T111" s="103" t="e">
        <f t="shared" si="59"/>
        <v>#DIV/0!</v>
      </c>
      <c r="U111" s="103" t="e">
        <f t="shared" si="59"/>
        <v>#DIV/0!</v>
      </c>
      <c r="V111" s="103" t="e">
        <f t="shared" si="59"/>
        <v>#DIV/0!</v>
      </c>
      <c r="W111" s="103" t="e">
        <f t="shared" si="59"/>
        <v>#DIV/0!</v>
      </c>
      <c r="X111" s="103" t="e">
        <f t="shared" si="59"/>
        <v>#DIV/0!</v>
      </c>
      <c r="Y111" s="103" t="e">
        <f t="shared" si="59"/>
        <v>#DIV/0!</v>
      </c>
      <c r="Z111" s="103" t="e">
        <f t="shared" si="59"/>
        <v>#DIV/0!</v>
      </c>
      <c r="AA111" s="175"/>
    </row>
    <row r="112" spans="1:29" hidden="1" outlineLevel="1" x14ac:dyDescent="0.25">
      <c r="A112" s="36" t="str">
        <f t="shared" si="40"/>
        <v>БС-215</v>
      </c>
      <c r="B112" s="36"/>
      <c r="D112" s="108"/>
      <c r="E112" s="12"/>
      <c r="F112" s="109"/>
      <c r="G112" s="118">
        <f t="shared" ref="G112:Z112" si="60">G103-(G15-G50)/G12</f>
        <v>0</v>
      </c>
      <c r="H112" s="118">
        <f t="shared" si="60"/>
        <v>0</v>
      </c>
      <c r="I112" s="118">
        <f t="shared" si="60"/>
        <v>0</v>
      </c>
      <c r="J112" s="118">
        <f t="shared" si="60"/>
        <v>0</v>
      </c>
      <c r="K112" s="118">
        <f t="shared" si="60"/>
        <v>0</v>
      </c>
      <c r="L112" s="118">
        <f t="shared" si="60"/>
        <v>0</v>
      </c>
      <c r="M112" s="118">
        <f t="shared" si="60"/>
        <v>0</v>
      </c>
      <c r="N112" s="118">
        <f t="shared" si="60"/>
        <v>0</v>
      </c>
      <c r="O112" s="118">
        <f t="shared" si="60"/>
        <v>0</v>
      </c>
      <c r="P112" s="118">
        <f t="shared" si="60"/>
        <v>0</v>
      </c>
      <c r="Q112" s="118">
        <f t="shared" si="60"/>
        <v>0</v>
      </c>
      <c r="R112" s="118">
        <f t="shared" si="60"/>
        <v>0</v>
      </c>
      <c r="S112" s="118" t="e">
        <f t="shared" si="60"/>
        <v>#DIV/0!</v>
      </c>
      <c r="T112" s="118" t="e">
        <f t="shared" si="60"/>
        <v>#DIV/0!</v>
      </c>
      <c r="U112" s="118" t="e">
        <f t="shared" si="60"/>
        <v>#DIV/0!</v>
      </c>
      <c r="V112" s="118" t="e">
        <f t="shared" si="60"/>
        <v>#DIV/0!</v>
      </c>
      <c r="W112" s="118" t="e">
        <f t="shared" si="60"/>
        <v>#DIV/0!</v>
      </c>
      <c r="X112" s="118" t="e">
        <f t="shared" si="60"/>
        <v>#DIV/0!</v>
      </c>
      <c r="Y112" s="118" t="e">
        <f t="shared" si="60"/>
        <v>#DIV/0!</v>
      </c>
      <c r="Z112" s="118" t="e">
        <f t="shared" si="60"/>
        <v>#DIV/0!</v>
      </c>
      <c r="AA112" s="175"/>
    </row>
    <row r="113" spans="1:28" hidden="1" outlineLevel="1" x14ac:dyDescent="0.25">
      <c r="A113" s="2" t="s">
        <v>34</v>
      </c>
      <c r="AA113" s="175"/>
    </row>
    <row r="114" spans="1:28" collapsed="1" x14ac:dyDescent="0.25">
      <c r="A114" s="2" t="s">
        <v>34</v>
      </c>
      <c r="AA114" s="175"/>
    </row>
    <row r="115" spans="1:28" ht="14.3" x14ac:dyDescent="0.25">
      <c r="A115" s="2" t="s">
        <v>34</v>
      </c>
      <c r="C115" s="54" t="e">
        <f>SUM(F175:Z175,F189:Z189,F210:Z210,AA157)</f>
        <v>#DIV/0!</v>
      </c>
      <c r="D115" s="673" t="str">
        <f>Свод_215_диз!G19</f>
        <v>СБ-55Д-01</v>
      </c>
      <c r="E115" s="55">
        <f>SUMIFS(Производительность!$Y$7:$Y$34,Производительность!$C$7:$C$34,$D115)</f>
        <v>0</v>
      </c>
      <c r="F115" s="56" t="str">
        <f>$F$2</f>
        <v>лет</v>
      </c>
      <c r="AA115" s="175"/>
    </row>
    <row r="116" spans="1:28" outlineLevel="1" x14ac:dyDescent="0.25">
      <c r="A116" s="2" t="s">
        <v>34</v>
      </c>
      <c r="AA116" s="175"/>
    </row>
    <row r="117" spans="1:28" outlineLevel="1" x14ac:dyDescent="0.25">
      <c r="A117" s="57" t="str">
        <f>D115</f>
        <v>СБ-55Д-01</v>
      </c>
      <c r="D117" s="58" t="str">
        <f>D$1</f>
        <v>Показатель</v>
      </c>
      <c r="E117" s="58" t="str">
        <f t="shared" ref="E117:Z117" si="61">E$1</f>
        <v>Ед. изм.</v>
      </c>
      <c r="F117" s="58">
        <f t="shared" si="61"/>
        <v>0</v>
      </c>
      <c r="G117" s="58">
        <f t="shared" si="61"/>
        <v>1</v>
      </c>
      <c r="H117" s="58">
        <f t="shared" si="61"/>
        <v>2</v>
      </c>
      <c r="I117" s="58">
        <f t="shared" si="61"/>
        <v>3</v>
      </c>
      <c r="J117" s="58">
        <f t="shared" si="61"/>
        <v>4</v>
      </c>
      <c r="K117" s="58">
        <f t="shared" si="61"/>
        <v>5</v>
      </c>
      <c r="L117" s="58">
        <f t="shared" si="61"/>
        <v>6</v>
      </c>
      <c r="M117" s="58">
        <f t="shared" si="61"/>
        <v>7</v>
      </c>
      <c r="N117" s="58">
        <f t="shared" si="61"/>
        <v>8</v>
      </c>
      <c r="O117" s="58">
        <f t="shared" si="61"/>
        <v>9</v>
      </c>
      <c r="P117" s="58">
        <f t="shared" si="61"/>
        <v>10</v>
      </c>
      <c r="Q117" s="58">
        <f t="shared" si="61"/>
        <v>11</v>
      </c>
      <c r="R117" s="58">
        <f t="shared" si="61"/>
        <v>12</v>
      </c>
      <c r="S117" s="58">
        <f t="shared" si="61"/>
        <v>13</v>
      </c>
      <c r="T117" s="58">
        <f t="shared" si="61"/>
        <v>14</v>
      </c>
      <c r="U117" s="58">
        <f t="shared" si="61"/>
        <v>15</v>
      </c>
      <c r="V117" s="58">
        <f t="shared" si="61"/>
        <v>16</v>
      </c>
      <c r="W117" s="58">
        <f t="shared" si="61"/>
        <v>17</v>
      </c>
      <c r="X117" s="58">
        <f t="shared" si="61"/>
        <v>18</v>
      </c>
      <c r="Y117" s="58">
        <f t="shared" si="61"/>
        <v>19</v>
      </c>
      <c r="Z117" s="58">
        <f t="shared" si="61"/>
        <v>20</v>
      </c>
      <c r="AA117" s="175"/>
    </row>
    <row r="118" spans="1:28" outlineLevel="1" x14ac:dyDescent="0.25">
      <c r="A118" s="36" t="str">
        <f>A117</f>
        <v>СБ-55Д-01</v>
      </c>
      <c r="B118" s="36"/>
      <c r="D118" s="59" t="s">
        <v>39</v>
      </c>
      <c r="E118" s="60" t="s">
        <v>40</v>
      </c>
      <c r="F118" s="61"/>
      <c r="G118" s="62">
        <f>SUMIFS(Производительность!E$7:E$34,Производительность!$C$7:$C$34,$A118)</f>
        <v>0</v>
      </c>
      <c r="H118" s="62">
        <f>SUMIFS(Производительность!F$7:F$34,Производительность!$C$7:$C$34,$A118)</f>
        <v>0</v>
      </c>
      <c r="I118" s="62">
        <f>SUMIFS(Производительность!G$7:G$34,Производительность!$C$7:$C$34,$A118)</f>
        <v>0</v>
      </c>
      <c r="J118" s="62">
        <f>SUMIFS(Производительность!H$7:H$34,Производительность!$C$7:$C$34,$A118)</f>
        <v>0</v>
      </c>
      <c r="K118" s="62">
        <f>SUMIFS(Производительность!I$7:I$34,Производительность!$C$7:$C$34,$A118)</f>
        <v>0</v>
      </c>
      <c r="L118" s="62">
        <f>SUMIFS(Производительность!J$7:J$34,Производительность!$C$7:$C$34,$A118)</f>
        <v>0</v>
      </c>
      <c r="M118" s="62">
        <f>SUMIFS(Производительность!K$7:K$34,Производительность!$C$7:$C$34,$A118)</f>
        <v>0</v>
      </c>
      <c r="N118" s="62">
        <f>SUMIFS(Производительность!L$7:L$34,Производительность!$C$7:$C$34,$A118)</f>
        <v>0</v>
      </c>
      <c r="O118" s="62">
        <f>SUMIFS(Производительность!M$7:M$34,Производительность!$C$7:$C$34,$A118)</f>
        <v>0</v>
      </c>
      <c r="P118" s="62">
        <f>SUMIFS(Производительность!N$7:N$34,Производительность!$C$7:$C$34,$A118)</f>
        <v>0</v>
      </c>
      <c r="Q118" s="62">
        <f>SUMIFS(Производительность!O$7:O$34,Производительность!$C$7:$C$34,$A118)</f>
        <v>0</v>
      </c>
      <c r="R118" s="62">
        <f>SUMIFS(Производительность!P$7:P$34,Производительность!$C$7:$C$34,$A118)</f>
        <v>0</v>
      </c>
      <c r="S118" s="62">
        <f>SUMIFS(Производительность!Q$7:Q$34,Производительность!$C$7:$C$34,$A118)</f>
        <v>0</v>
      </c>
      <c r="T118" s="62">
        <f>SUMIFS(Производительность!R$7:R$34,Производительность!$C$7:$C$34,$A118)</f>
        <v>0</v>
      </c>
      <c r="U118" s="62">
        <f>SUMIFS(Производительность!S$7:S$34,Производительность!$C$7:$C$34,$A118)</f>
        <v>0</v>
      </c>
      <c r="V118" s="62">
        <f>SUMIFS(Производительность!T$7:T$34,Производительность!$C$7:$C$34,$A118)</f>
        <v>0</v>
      </c>
      <c r="W118" s="62">
        <f>SUMIFS(Производительность!U$7:U$34,Производительность!$C$7:$C$34,$A118)</f>
        <v>0</v>
      </c>
      <c r="X118" s="62">
        <f>SUMIFS(Производительность!V$7:V$34,Производительность!$C$7:$C$34,$A118)</f>
        <v>0</v>
      </c>
      <c r="Y118" s="62">
        <f>SUMIFS(Производительность!W$7:W$34,Производительность!$C$7:$C$34,$A118)</f>
        <v>0</v>
      </c>
      <c r="Z118" s="62">
        <f>SUMIFS(Производительность!X$7:X$34,Производительность!$C$7:$C$34,$A118)</f>
        <v>0</v>
      </c>
      <c r="AA118" s="175"/>
    </row>
    <row r="119" spans="1:28" outlineLevel="1" x14ac:dyDescent="0.25">
      <c r="A119" s="36" t="str">
        <f t="shared" ref="A119:A182" si="62">A118</f>
        <v>СБ-55Д-01</v>
      </c>
      <c r="B119" s="36"/>
      <c r="D119" s="59" t="s">
        <v>41</v>
      </c>
      <c r="E119" s="60" t="str">
        <f>E118</f>
        <v>%</v>
      </c>
      <c r="F119" s="61"/>
      <c r="G119" s="62">
        <f>SUMIFS(Производительность!E$115:E$142,Производительность!$C$115:$C$142,$A119)</f>
        <v>0</v>
      </c>
      <c r="H119" s="62">
        <f>SUMIFS(Производительность!F$115:F$142,Производительность!$C$115:$C$142,$A119)</f>
        <v>0</v>
      </c>
      <c r="I119" s="62">
        <f>SUMIFS(Производительность!G$115:G$142,Производительность!$C$115:$C$142,$A119)</f>
        <v>0</v>
      </c>
      <c r="J119" s="62">
        <f>SUMIFS(Производительность!H$115:H$142,Производительность!$C$115:$C$142,$A119)</f>
        <v>0</v>
      </c>
      <c r="K119" s="62">
        <f>SUMIFS(Производительность!I$115:I$142,Производительность!$C$115:$C$142,$A119)</f>
        <v>0</v>
      </c>
      <c r="L119" s="62">
        <f>SUMIFS(Производительность!J$115:J$142,Производительность!$C$115:$C$142,$A119)</f>
        <v>0</v>
      </c>
      <c r="M119" s="62">
        <f>SUMIFS(Производительность!K$115:K$142,Производительность!$C$115:$C$142,$A119)</f>
        <v>0</v>
      </c>
      <c r="N119" s="62">
        <f>SUMIFS(Производительность!L$115:L$142,Производительность!$C$115:$C$142,$A119)</f>
        <v>0</v>
      </c>
      <c r="O119" s="62">
        <f>SUMIFS(Производительность!M$115:M$142,Производительность!$C$115:$C$142,$A119)</f>
        <v>0</v>
      </c>
      <c r="P119" s="62">
        <f>SUMIFS(Производительность!N$115:N$142,Производительность!$C$115:$C$142,$A119)</f>
        <v>0</v>
      </c>
      <c r="Q119" s="62">
        <f>SUMIFS(Производительность!O$115:O$142,Производительность!$C$115:$C$142,$A119)</f>
        <v>0</v>
      </c>
      <c r="R119" s="62">
        <f>SUMIFS(Производительность!P$115:P$142,Производительность!$C$115:$C$142,$A119)</f>
        <v>0</v>
      </c>
      <c r="S119" s="62">
        <f>SUMIFS(Производительность!Q$115:Q$142,Производительность!$C$115:$C$142,$A119)</f>
        <v>0</v>
      </c>
      <c r="T119" s="62">
        <f>SUMIFS(Производительность!R$115:R$142,Производительность!$C$115:$C$142,$A119)</f>
        <v>0</v>
      </c>
      <c r="U119" s="62">
        <f>SUMIFS(Производительность!S$115:S$142,Производительность!$C$115:$C$142,$A119)</f>
        <v>0</v>
      </c>
      <c r="V119" s="62">
        <f>SUMIFS(Производительность!T$115:T$142,Производительность!$C$115:$C$142,$A119)</f>
        <v>0</v>
      </c>
      <c r="W119" s="62">
        <f>SUMIFS(Производительность!U$115:U$142,Производительность!$C$115:$C$142,$A119)</f>
        <v>0</v>
      </c>
      <c r="X119" s="62">
        <f>SUMIFS(Производительность!V$115:V$142,Производительность!$C$115:$C$142,$A119)</f>
        <v>0</v>
      </c>
      <c r="Y119" s="62">
        <f>SUMIFS(Производительность!W$115:W$142,Производительность!$C$115:$C$142,$A119)</f>
        <v>0</v>
      </c>
      <c r="Z119" s="62">
        <f>SUMIFS(Производительность!X$115:X$142,Производительность!$C$115:$C$142,$A119)</f>
        <v>0</v>
      </c>
      <c r="AA119" s="175"/>
    </row>
    <row r="120" spans="1:28" outlineLevel="1" x14ac:dyDescent="0.25">
      <c r="A120" s="36" t="str">
        <f t="shared" si="62"/>
        <v>СБ-55Д-01</v>
      </c>
      <c r="B120" s="36"/>
      <c r="D120" s="63" t="s">
        <v>177</v>
      </c>
      <c r="E120" s="64" t="s">
        <v>171</v>
      </c>
      <c r="F120" s="65"/>
      <c r="G120" s="65">
        <f>SUMIFS(Производительность!E$196:E$223,Производительность!$C$196:$C$223,$A120)</f>
        <v>0</v>
      </c>
      <c r="H120" s="65">
        <f>SUMIFS(Производительность!F$196:F$223,Производительность!$C$196:$C$223,$A120)</f>
        <v>0</v>
      </c>
      <c r="I120" s="65">
        <f>SUMIFS(Производительность!G$196:G$223,Производительность!$C$196:$C$223,$A120)</f>
        <v>0</v>
      </c>
      <c r="J120" s="65">
        <f>SUMIFS(Производительность!H$196:H$223,Производительность!$C$196:$C$223,$A120)</f>
        <v>0</v>
      </c>
      <c r="K120" s="65">
        <f>SUMIFS(Производительность!I$196:I$223,Производительность!$C$196:$C$223,$A120)</f>
        <v>0</v>
      </c>
      <c r="L120" s="65">
        <f>SUMIFS(Производительность!J$196:J$223,Производительность!$C$196:$C$223,$A120)</f>
        <v>0</v>
      </c>
      <c r="M120" s="65">
        <f>SUMIFS(Производительность!K$196:K$223,Производительность!$C$196:$C$223,$A120)</f>
        <v>0</v>
      </c>
      <c r="N120" s="65">
        <f>SUMIFS(Производительность!L$196:L$223,Производительность!$C$196:$C$223,$A120)</f>
        <v>0</v>
      </c>
      <c r="O120" s="65">
        <f>SUMIFS(Производительность!M$196:M$223,Производительность!$C$196:$C$223,$A120)</f>
        <v>0</v>
      </c>
      <c r="P120" s="65">
        <f>SUMIFS(Производительность!N$196:N$223,Производительность!$C$196:$C$223,$A120)</f>
        <v>0</v>
      </c>
      <c r="Q120" s="65">
        <f>SUMIFS(Производительность!O$196:O$223,Производительность!$C$196:$C$223,$A120)</f>
        <v>0</v>
      </c>
      <c r="R120" s="65">
        <f>SUMIFS(Производительность!P$196:P$223,Производительность!$C$196:$C$223,$A120)</f>
        <v>0</v>
      </c>
      <c r="S120" s="65">
        <f>SUMIFS(Производительность!Q$196:Q$223,Производительность!$C$196:$C$223,$A120)</f>
        <v>0</v>
      </c>
      <c r="T120" s="65">
        <f>SUMIFS(Производительность!R$196:R$223,Производительность!$C$196:$C$223,$A120)</f>
        <v>0</v>
      </c>
      <c r="U120" s="65">
        <f>SUMIFS(Производительность!S$196:S$223,Производительность!$C$196:$C$223,$A120)</f>
        <v>0</v>
      </c>
      <c r="V120" s="65">
        <f>SUMIFS(Производительность!T$196:T$223,Производительность!$C$196:$C$223,$A120)</f>
        <v>0</v>
      </c>
      <c r="W120" s="65">
        <f>SUMIFS(Производительность!U$196:U$223,Производительность!$C$196:$C$223,$A120)</f>
        <v>0</v>
      </c>
      <c r="X120" s="65">
        <f>SUMIFS(Производительность!V$196:V$223,Производительность!$C$196:$C$223,$A120)</f>
        <v>0</v>
      </c>
      <c r="Y120" s="65">
        <f>SUMIFS(Производительность!W$196:W$223,Производительность!$C$196:$C$223,$A120)</f>
        <v>0</v>
      </c>
      <c r="Z120" s="65">
        <f>SUMIFS(Производительность!X$196:X$223,Производительность!$C$196:$C$223,$A120)</f>
        <v>0</v>
      </c>
      <c r="AA120" s="175"/>
    </row>
    <row r="121" spans="1:28" outlineLevel="1" x14ac:dyDescent="0.25">
      <c r="A121" s="36" t="str">
        <f t="shared" si="62"/>
        <v>СБ-55Д-01</v>
      </c>
      <c r="B121" s="36"/>
      <c r="D121" s="63" t="s">
        <v>178</v>
      </c>
      <c r="E121" s="64" t="s">
        <v>175</v>
      </c>
      <c r="F121" s="65"/>
      <c r="G121" s="65">
        <f>SUMIFS(Производительность!E$250:E$277,Производительность!$C$250:$C$277,$A121)</f>
        <v>0</v>
      </c>
      <c r="H121" s="65">
        <f>SUMIFS(Производительность!F$250:F$277,Производительность!$C$250:$C$277,$A121)</f>
        <v>0</v>
      </c>
      <c r="I121" s="65">
        <f>SUMIFS(Производительность!G$250:G$277,Производительность!$C$250:$C$277,$A121)</f>
        <v>0</v>
      </c>
      <c r="J121" s="65">
        <f>SUMIFS(Производительность!H$250:H$277,Производительность!$C$250:$C$277,$A121)</f>
        <v>0</v>
      </c>
      <c r="K121" s="65">
        <f>SUMIFS(Производительность!I$250:I$277,Производительность!$C$250:$C$277,$A121)</f>
        <v>0</v>
      </c>
      <c r="L121" s="65">
        <f>SUMIFS(Производительность!J$250:J$277,Производительность!$C$250:$C$277,$A121)</f>
        <v>0</v>
      </c>
      <c r="M121" s="65">
        <f>SUMIFS(Производительность!K$250:K$277,Производительность!$C$250:$C$277,$A121)</f>
        <v>0</v>
      </c>
      <c r="N121" s="65">
        <f>SUMIFS(Производительность!L$250:L$277,Производительность!$C$250:$C$277,$A121)</f>
        <v>0</v>
      </c>
      <c r="O121" s="65">
        <f>SUMIFS(Производительность!M$250:M$277,Производительность!$C$250:$C$277,$A121)</f>
        <v>0</v>
      </c>
      <c r="P121" s="65">
        <f>SUMIFS(Производительность!N$250:N$277,Производительность!$C$250:$C$277,$A121)</f>
        <v>0</v>
      </c>
      <c r="Q121" s="65">
        <f>SUMIFS(Производительность!O$250:O$277,Производительность!$C$250:$C$277,$A121)</f>
        <v>0</v>
      </c>
      <c r="R121" s="65">
        <f>SUMIFS(Производительность!P$250:P$277,Производительность!$C$250:$C$277,$A121)</f>
        <v>0</v>
      </c>
      <c r="S121" s="65">
        <f>SUMIFS(Производительность!Q$250:Q$277,Производительность!$C$250:$C$277,$A121)</f>
        <v>0</v>
      </c>
      <c r="T121" s="65">
        <f>SUMIFS(Производительность!R$250:R$277,Производительность!$C$250:$C$277,$A121)</f>
        <v>0</v>
      </c>
      <c r="U121" s="65">
        <f>SUMIFS(Производительность!S$250:S$277,Производительность!$C$250:$C$277,$A121)</f>
        <v>0</v>
      </c>
      <c r="V121" s="65">
        <f>SUMIFS(Производительность!T$250:T$277,Производительность!$C$250:$C$277,$A121)</f>
        <v>0</v>
      </c>
      <c r="W121" s="65">
        <f>SUMIFS(Производительность!U$250:U$277,Производительность!$C$250:$C$277,$A121)</f>
        <v>0</v>
      </c>
      <c r="X121" s="65">
        <f>SUMIFS(Производительность!V$250:V$277,Производительность!$C$250:$C$277,$A121)</f>
        <v>0</v>
      </c>
      <c r="Y121" s="65">
        <f>SUMIFS(Производительность!W$250:W$277,Производительность!$C$250:$C$277,$A121)</f>
        <v>0</v>
      </c>
      <c r="Z121" s="65">
        <f>SUMIFS(Производительность!X$250:X$277,Производительность!$C$250:$C$277,$A121)</f>
        <v>0</v>
      </c>
      <c r="AA121" s="175"/>
    </row>
    <row r="122" spans="1:28" outlineLevel="1" x14ac:dyDescent="0.25">
      <c r="A122" s="36" t="str">
        <f t="shared" si="62"/>
        <v>СБ-55Д-01</v>
      </c>
      <c r="B122" s="36"/>
      <c r="D122" s="179" t="s">
        <v>179</v>
      </c>
      <c r="E122" s="60" t="str">
        <f>E121</f>
        <v>тыс. м3</v>
      </c>
      <c r="F122" s="61"/>
      <c r="G122" s="320">
        <f>G121</f>
        <v>0</v>
      </c>
      <c r="H122" s="61">
        <f>IF(H121=0,0,G122+H121)</f>
        <v>0</v>
      </c>
      <c r="I122" s="61">
        <f t="shared" ref="I122" si="63">IF(I121=0,0,H122+I121)</f>
        <v>0</v>
      </c>
      <c r="J122" s="61">
        <f t="shared" ref="J122" si="64">IF(J121=0,0,I122+J121)</f>
        <v>0</v>
      </c>
      <c r="K122" s="61">
        <f t="shared" ref="K122" si="65">IF(K121=0,0,J122+K121)</f>
        <v>0</v>
      </c>
      <c r="L122" s="61">
        <f t="shared" ref="L122" si="66">IF(L121=0,0,K122+L121)</f>
        <v>0</v>
      </c>
      <c r="M122" s="61">
        <f t="shared" ref="M122" si="67">IF(M121=0,0,L122+M121)</f>
        <v>0</v>
      </c>
      <c r="N122" s="61">
        <f t="shared" ref="N122" si="68">IF(N121=0,0,M122+N121)</f>
        <v>0</v>
      </c>
      <c r="O122" s="61">
        <f t="shared" ref="O122" si="69">IF(O121=0,0,N122+O121)</f>
        <v>0</v>
      </c>
      <c r="P122" s="61">
        <f t="shared" ref="P122" si="70">IF(P121=0,0,O122+P121)</f>
        <v>0</v>
      </c>
      <c r="Q122" s="61">
        <f t="shared" ref="Q122" si="71">IF(Q121=0,0,P122+Q121)</f>
        <v>0</v>
      </c>
      <c r="R122" s="61">
        <f t="shared" ref="R122" si="72">IF(R121=0,0,Q122+R121)</f>
        <v>0</v>
      </c>
      <c r="S122" s="61">
        <f t="shared" ref="S122" si="73">IF(S121=0,0,R122+S121)</f>
        <v>0</v>
      </c>
      <c r="T122" s="61">
        <f t="shared" ref="T122" si="74">IF(T121=0,0,S122+T121)</f>
        <v>0</v>
      </c>
      <c r="U122" s="61">
        <f t="shared" ref="U122" si="75">IF(U121=0,0,T122+U121)</f>
        <v>0</v>
      </c>
      <c r="V122" s="61">
        <f t="shared" ref="V122" si="76">IF(V121=0,0,U122+V121)</f>
        <v>0</v>
      </c>
      <c r="W122" s="61">
        <f t="shared" ref="W122" si="77">IF(W121=0,0,V122+W121)</f>
        <v>0</v>
      </c>
      <c r="X122" s="61">
        <f t="shared" ref="X122" si="78">IF(X121=0,0,W122+X121)</f>
        <v>0</v>
      </c>
      <c r="Y122" s="61">
        <f t="shared" ref="Y122" si="79">IF(Y121=0,0,X122+Y121)</f>
        <v>0</v>
      </c>
      <c r="Z122" s="61">
        <f t="shared" ref="Z122" si="80">IF(Z121=0,0,Y122+Z121)</f>
        <v>0</v>
      </c>
      <c r="AA122" s="175"/>
    </row>
    <row r="123" spans="1:28" outlineLevel="1" x14ac:dyDescent="0.25">
      <c r="A123" s="36" t="str">
        <f t="shared" si="62"/>
        <v>СБ-55Д-01</v>
      </c>
      <c r="B123" s="36"/>
      <c r="D123" s="30"/>
      <c r="E123" s="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175"/>
    </row>
    <row r="124" spans="1:28" outlineLevel="1" x14ac:dyDescent="0.25">
      <c r="A124" s="36" t="str">
        <f t="shared" si="62"/>
        <v>СБ-55Д-01</v>
      </c>
      <c r="B124" s="36"/>
      <c r="D124" s="66" t="s">
        <v>42</v>
      </c>
      <c r="E124" s="67" t="s">
        <v>21</v>
      </c>
      <c r="F124" s="68">
        <f>F158+F159-F157</f>
        <v>0</v>
      </c>
      <c r="G124" s="68">
        <f t="shared" ref="G124:Z124" si="81">G158+G159-G157</f>
        <v>0</v>
      </c>
      <c r="H124" s="68">
        <f t="shared" si="81"/>
        <v>0</v>
      </c>
      <c r="I124" s="68">
        <f t="shared" si="81"/>
        <v>0</v>
      </c>
      <c r="J124" s="68">
        <f t="shared" si="81"/>
        <v>0</v>
      </c>
      <c r="K124" s="68">
        <f t="shared" si="81"/>
        <v>0</v>
      </c>
      <c r="L124" s="68">
        <f t="shared" si="81"/>
        <v>0</v>
      </c>
      <c r="M124" s="68">
        <f t="shared" si="81"/>
        <v>0</v>
      </c>
      <c r="N124" s="68">
        <f t="shared" si="81"/>
        <v>0</v>
      </c>
      <c r="O124" s="68">
        <f t="shared" si="81"/>
        <v>0</v>
      </c>
      <c r="P124" s="68">
        <f t="shared" si="81"/>
        <v>0</v>
      </c>
      <c r="Q124" s="68">
        <f t="shared" si="81"/>
        <v>0</v>
      </c>
      <c r="R124" s="68">
        <f t="shared" si="81"/>
        <v>0</v>
      </c>
      <c r="S124" s="68">
        <f t="shared" si="81"/>
        <v>0</v>
      </c>
      <c r="T124" s="68">
        <f t="shared" si="81"/>
        <v>0</v>
      </c>
      <c r="U124" s="68">
        <f t="shared" si="81"/>
        <v>0</v>
      </c>
      <c r="V124" s="68">
        <f t="shared" si="81"/>
        <v>0</v>
      </c>
      <c r="W124" s="68">
        <f t="shared" si="81"/>
        <v>0</v>
      </c>
      <c r="X124" s="68">
        <f t="shared" si="81"/>
        <v>0</v>
      </c>
      <c r="Y124" s="68">
        <f t="shared" si="81"/>
        <v>0</v>
      </c>
      <c r="Z124" s="68">
        <f t="shared" si="81"/>
        <v>0</v>
      </c>
      <c r="AA124" s="175"/>
    </row>
    <row r="125" spans="1:28" outlineLevel="1" x14ac:dyDescent="0.25">
      <c r="A125" s="36" t="str">
        <f t="shared" si="62"/>
        <v>СБ-55Д-01</v>
      </c>
      <c r="B125" s="36"/>
      <c r="D125" s="69" t="s">
        <v>43</v>
      </c>
      <c r="E125" s="64" t="str">
        <f>E124</f>
        <v>тыс. руб.</v>
      </c>
      <c r="F125" s="70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175"/>
      <c r="AB125" s="679" t="e">
        <f>SUM(F125:Z125,F130:Z130)/E115</f>
        <v>#DIV/0!</v>
      </c>
    </row>
    <row r="126" spans="1:28" outlineLevel="1" x14ac:dyDescent="0.25">
      <c r="A126" s="36" t="str">
        <f t="shared" si="62"/>
        <v>СБ-55Д-01</v>
      </c>
      <c r="B126" s="36"/>
      <c r="D126" s="72" t="s">
        <v>44</v>
      </c>
      <c r="E126" s="32" t="s">
        <v>21</v>
      </c>
      <c r="F126" s="29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5"/>
    </row>
    <row r="127" spans="1:28" outlineLevel="1" x14ac:dyDescent="0.25">
      <c r="A127" s="36" t="str">
        <f t="shared" si="62"/>
        <v>СБ-55Д-01</v>
      </c>
      <c r="B127" s="36"/>
      <c r="D127" s="72" t="s">
        <v>45</v>
      </c>
      <c r="E127" s="32" t="s">
        <v>21</v>
      </c>
      <c r="F127" s="29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5"/>
    </row>
    <row r="128" spans="1:28" outlineLevel="1" x14ac:dyDescent="0.25">
      <c r="A128" s="36" t="str">
        <f t="shared" si="62"/>
        <v>СБ-55Д-01</v>
      </c>
      <c r="B128" s="36"/>
      <c r="D128" s="72" t="s">
        <v>46</v>
      </c>
      <c r="E128" s="32" t="s">
        <v>21</v>
      </c>
      <c r="F128" s="29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5"/>
    </row>
    <row r="129" spans="1:27" outlineLevel="1" x14ac:dyDescent="0.25">
      <c r="A129" s="36" t="str">
        <f t="shared" si="62"/>
        <v>СБ-55Д-01</v>
      </c>
      <c r="B129" s="36"/>
      <c r="D129" s="76" t="s">
        <v>47</v>
      </c>
      <c r="E129" s="77"/>
      <c r="F129" s="78"/>
      <c r="G129" s="79" t="e">
        <f t="shared" ref="G129:Z129" si="82">G125/$F162</f>
        <v>#DIV/0!</v>
      </c>
      <c r="H129" s="79" t="e">
        <f t="shared" si="82"/>
        <v>#DIV/0!</v>
      </c>
      <c r="I129" s="79" t="e">
        <f t="shared" si="82"/>
        <v>#DIV/0!</v>
      </c>
      <c r="J129" s="79" t="e">
        <f t="shared" si="82"/>
        <v>#DIV/0!</v>
      </c>
      <c r="K129" s="79" t="e">
        <f t="shared" si="82"/>
        <v>#DIV/0!</v>
      </c>
      <c r="L129" s="79" t="e">
        <f t="shared" si="82"/>
        <v>#DIV/0!</v>
      </c>
      <c r="M129" s="79" t="e">
        <f t="shared" si="82"/>
        <v>#DIV/0!</v>
      </c>
      <c r="N129" s="79" t="e">
        <f t="shared" si="82"/>
        <v>#DIV/0!</v>
      </c>
      <c r="O129" s="79" t="e">
        <f t="shared" si="82"/>
        <v>#DIV/0!</v>
      </c>
      <c r="P129" s="79" t="e">
        <f t="shared" si="82"/>
        <v>#DIV/0!</v>
      </c>
      <c r="Q129" s="79" t="e">
        <f t="shared" si="82"/>
        <v>#DIV/0!</v>
      </c>
      <c r="R129" s="79" t="e">
        <f t="shared" si="82"/>
        <v>#DIV/0!</v>
      </c>
      <c r="S129" s="79" t="e">
        <f t="shared" si="82"/>
        <v>#DIV/0!</v>
      </c>
      <c r="T129" s="79" t="e">
        <f t="shared" si="82"/>
        <v>#DIV/0!</v>
      </c>
      <c r="U129" s="79" t="e">
        <f t="shared" si="82"/>
        <v>#DIV/0!</v>
      </c>
      <c r="V129" s="79" t="e">
        <f t="shared" si="82"/>
        <v>#DIV/0!</v>
      </c>
      <c r="W129" s="79" t="e">
        <f t="shared" si="82"/>
        <v>#DIV/0!</v>
      </c>
      <c r="X129" s="79" t="e">
        <f t="shared" si="82"/>
        <v>#DIV/0!</v>
      </c>
      <c r="Y129" s="79" t="e">
        <f t="shared" si="82"/>
        <v>#DIV/0!</v>
      </c>
      <c r="Z129" s="79" t="e">
        <f t="shared" si="82"/>
        <v>#DIV/0!</v>
      </c>
      <c r="AA129" s="182" t="e">
        <f>SUM(F125:Z125)/$F162</f>
        <v>#DIV/0!</v>
      </c>
    </row>
    <row r="130" spans="1:27" outlineLevel="1" x14ac:dyDescent="0.25">
      <c r="A130" s="36" t="str">
        <f t="shared" si="62"/>
        <v>СБ-55Д-01</v>
      </c>
      <c r="B130" s="36"/>
      <c r="D130" s="183" t="s">
        <v>54</v>
      </c>
      <c r="E130" s="64" t="str">
        <f>E124</f>
        <v>тыс. руб.</v>
      </c>
      <c r="F130" s="29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175"/>
    </row>
    <row r="131" spans="1:27" outlineLevel="1" x14ac:dyDescent="0.25">
      <c r="A131" s="36" t="str">
        <f t="shared" si="62"/>
        <v>СБ-55Д-01</v>
      </c>
      <c r="B131" s="36"/>
      <c r="D131" s="63"/>
      <c r="E131" s="64"/>
      <c r="F131" s="29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175"/>
    </row>
    <row r="132" spans="1:27" outlineLevel="1" x14ac:dyDescent="0.25">
      <c r="A132" s="36" t="str">
        <f t="shared" si="62"/>
        <v>СБ-55Д-01</v>
      </c>
      <c r="B132" s="36"/>
      <c r="D132" s="183" t="s">
        <v>183</v>
      </c>
      <c r="E132" s="64" t="str">
        <f>E124</f>
        <v>тыс. руб.</v>
      </c>
      <c r="F132" s="70"/>
      <c r="G132" s="80">
        <f>G134*G135</f>
        <v>0</v>
      </c>
      <c r="H132" s="80">
        <f t="shared" ref="H132:Z132" si="83">H134*H135</f>
        <v>0</v>
      </c>
      <c r="I132" s="80">
        <f t="shared" si="83"/>
        <v>0</v>
      </c>
      <c r="J132" s="80">
        <f t="shared" si="83"/>
        <v>0</v>
      </c>
      <c r="K132" s="80">
        <f t="shared" si="83"/>
        <v>0</v>
      </c>
      <c r="L132" s="80">
        <f t="shared" si="83"/>
        <v>0</v>
      </c>
      <c r="M132" s="80">
        <f t="shared" si="83"/>
        <v>0</v>
      </c>
      <c r="N132" s="80">
        <f t="shared" si="83"/>
        <v>0</v>
      </c>
      <c r="O132" s="80">
        <f t="shared" si="83"/>
        <v>0</v>
      </c>
      <c r="P132" s="80">
        <f t="shared" si="83"/>
        <v>0</v>
      </c>
      <c r="Q132" s="80">
        <f t="shared" si="83"/>
        <v>0</v>
      </c>
      <c r="R132" s="80">
        <f t="shared" si="83"/>
        <v>0</v>
      </c>
      <c r="S132" s="80">
        <f t="shared" si="83"/>
        <v>0</v>
      </c>
      <c r="T132" s="80">
        <f t="shared" si="83"/>
        <v>0</v>
      </c>
      <c r="U132" s="80">
        <f t="shared" si="83"/>
        <v>0</v>
      </c>
      <c r="V132" s="80">
        <f t="shared" si="83"/>
        <v>0</v>
      </c>
      <c r="W132" s="80">
        <f t="shared" si="83"/>
        <v>0</v>
      </c>
      <c r="X132" s="80">
        <f t="shared" si="83"/>
        <v>0</v>
      </c>
      <c r="Y132" s="80">
        <f t="shared" si="83"/>
        <v>0</v>
      </c>
      <c r="Z132" s="80">
        <f t="shared" si="83"/>
        <v>0</v>
      </c>
      <c r="AA132" s="175"/>
    </row>
    <row r="133" spans="1:27" outlineLevel="1" x14ac:dyDescent="0.25">
      <c r="A133" s="36" t="str">
        <f t="shared" si="62"/>
        <v>СБ-55Д-01</v>
      </c>
      <c r="B133" s="36"/>
      <c r="D133" s="187" t="s">
        <v>48</v>
      </c>
      <c r="E133" s="9" t="s">
        <v>185</v>
      </c>
      <c r="F133" s="81">
        <f>SUMIFS('ФОТ, МТР, макро'!$B$4:$B$31,'ФОТ, МТР, макро'!$A$4:$A$31,$A133)</f>
        <v>0</v>
      </c>
      <c r="G133" s="82">
        <f>F133</f>
        <v>0</v>
      </c>
      <c r="H133" s="82">
        <f t="shared" ref="H133" si="84">G133</f>
        <v>0</v>
      </c>
      <c r="I133" s="82">
        <f t="shared" ref="I133" si="85">H133</f>
        <v>0</v>
      </c>
      <c r="J133" s="82">
        <f t="shared" ref="J133" si="86">I133</f>
        <v>0</v>
      </c>
      <c r="K133" s="82">
        <f t="shared" ref="K133" si="87">J133</f>
        <v>0</v>
      </c>
      <c r="L133" s="82">
        <f t="shared" ref="L133" si="88">K133</f>
        <v>0</v>
      </c>
      <c r="M133" s="82">
        <f t="shared" ref="M133" si="89">L133</f>
        <v>0</v>
      </c>
      <c r="N133" s="82">
        <f t="shared" ref="N133" si="90">M133</f>
        <v>0</v>
      </c>
      <c r="O133" s="82">
        <f t="shared" ref="O133" si="91">N133</f>
        <v>0</v>
      </c>
      <c r="P133" s="82">
        <f t="shared" ref="P133" si="92">O133</f>
        <v>0</v>
      </c>
      <c r="Q133" s="82">
        <f t="shared" ref="Q133" si="93">P133</f>
        <v>0</v>
      </c>
      <c r="R133" s="82">
        <f t="shared" ref="R133" si="94">Q133</f>
        <v>0</v>
      </c>
      <c r="S133" s="82">
        <f t="shared" ref="S133" si="95">R133</f>
        <v>0</v>
      </c>
      <c r="T133" s="82">
        <f t="shared" ref="T133" si="96">S133</f>
        <v>0</v>
      </c>
      <c r="U133" s="82">
        <f t="shared" ref="U133" si="97">T133</f>
        <v>0</v>
      </c>
      <c r="V133" s="82">
        <f t="shared" ref="V133" si="98">U133</f>
        <v>0</v>
      </c>
      <c r="W133" s="82">
        <f t="shared" ref="W133" si="99">V133</f>
        <v>0</v>
      </c>
      <c r="X133" s="82">
        <f t="shared" ref="X133" si="100">W133</f>
        <v>0</v>
      </c>
      <c r="Y133" s="82">
        <f t="shared" ref="Y133" si="101">X133</f>
        <v>0</v>
      </c>
      <c r="Z133" s="82">
        <f t="shared" ref="Z133" si="102">Y133</f>
        <v>0</v>
      </c>
      <c r="AA133" s="175"/>
    </row>
    <row r="134" spans="1:27" outlineLevel="1" x14ac:dyDescent="0.25">
      <c r="A134" s="36" t="str">
        <f t="shared" si="62"/>
        <v>СБ-55Д-01</v>
      </c>
      <c r="B134" s="36"/>
      <c r="D134" s="187" t="s">
        <v>49</v>
      </c>
      <c r="E134" s="9" t="s">
        <v>50</v>
      </c>
      <c r="F134" s="70"/>
      <c r="G134" s="74">
        <f>G120*G133</f>
        <v>0</v>
      </c>
      <c r="H134" s="74">
        <f t="shared" ref="H134:Z134" si="103">H120*H133</f>
        <v>0</v>
      </c>
      <c r="I134" s="74">
        <f t="shared" si="103"/>
        <v>0</v>
      </c>
      <c r="J134" s="74">
        <f t="shared" si="103"/>
        <v>0</v>
      </c>
      <c r="K134" s="74">
        <f t="shared" si="103"/>
        <v>0</v>
      </c>
      <c r="L134" s="74">
        <f t="shared" si="103"/>
        <v>0</v>
      </c>
      <c r="M134" s="74">
        <f t="shared" si="103"/>
        <v>0</v>
      </c>
      <c r="N134" s="74">
        <f t="shared" si="103"/>
        <v>0</v>
      </c>
      <c r="O134" s="74">
        <f t="shared" si="103"/>
        <v>0</v>
      </c>
      <c r="P134" s="74">
        <f t="shared" si="103"/>
        <v>0</v>
      </c>
      <c r="Q134" s="74">
        <f t="shared" si="103"/>
        <v>0</v>
      </c>
      <c r="R134" s="74">
        <f t="shared" si="103"/>
        <v>0</v>
      </c>
      <c r="S134" s="74">
        <f t="shared" si="103"/>
        <v>0</v>
      </c>
      <c r="T134" s="74">
        <f t="shared" si="103"/>
        <v>0</v>
      </c>
      <c r="U134" s="74">
        <f t="shared" si="103"/>
        <v>0</v>
      </c>
      <c r="V134" s="74">
        <f t="shared" si="103"/>
        <v>0</v>
      </c>
      <c r="W134" s="74">
        <f t="shared" si="103"/>
        <v>0</v>
      </c>
      <c r="X134" s="74">
        <f t="shared" si="103"/>
        <v>0</v>
      </c>
      <c r="Y134" s="74">
        <f t="shared" si="103"/>
        <v>0</v>
      </c>
      <c r="Z134" s="74">
        <f t="shared" si="103"/>
        <v>0</v>
      </c>
      <c r="AA134" s="175"/>
    </row>
    <row r="135" spans="1:27" outlineLevel="1" x14ac:dyDescent="0.25">
      <c r="A135" s="36" t="str">
        <f t="shared" si="62"/>
        <v>СБ-55Д-01</v>
      </c>
      <c r="B135" s="36"/>
      <c r="D135" s="187" t="s">
        <v>51</v>
      </c>
      <c r="E135" s="9" t="s">
        <v>52</v>
      </c>
      <c r="F135" s="74">
        <f>SUMIFS('ФОТ, МТР, макро'!$C$4:$C$31,'ФОТ, МТР, макро'!$A$4:$A$31,$A135)</f>
        <v>0</v>
      </c>
      <c r="G135" s="83">
        <f>F135</f>
        <v>0</v>
      </c>
      <c r="H135" s="83">
        <f t="shared" ref="H135" si="104">G135</f>
        <v>0</v>
      </c>
      <c r="I135" s="83">
        <f t="shared" ref="I135" si="105">H135</f>
        <v>0</v>
      </c>
      <c r="J135" s="83">
        <f t="shared" ref="J135" si="106">I135</f>
        <v>0</v>
      </c>
      <c r="K135" s="83">
        <f t="shared" ref="K135" si="107">J135</f>
        <v>0</v>
      </c>
      <c r="L135" s="83">
        <f t="shared" ref="L135" si="108">K135</f>
        <v>0</v>
      </c>
      <c r="M135" s="83">
        <f t="shared" ref="M135" si="109">L135</f>
        <v>0</v>
      </c>
      <c r="N135" s="83">
        <f t="shared" ref="N135" si="110">M135</f>
        <v>0</v>
      </c>
      <c r="O135" s="83">
        <f t="shared" ref="O135" si="111">N135</f>
        <v>0</v>
      </c>
      <c r="P135" s="83">
        <f t="shared" ref="P135" si="112">O135</f>
        <v>0</v>
      </c>
      <c r="Q135" s="83">
        <f t="shared" ref="Q135" si="113">P135</f>
        <v>0</v>
      </c>
      <c r="R135" s="83">
        <f t="shared" ref="R135" si="114">Q135</f>
        <v>0</v>
      </c>
      <c r="S135" s="83">
        <f t="shared" ref="S135" si="115">R135</f>
        <v>0</v>
      </c>
      <c r="T135" s="83">
        <f t="shared" ref="T135" si="116">S135</f>
        <v>0</v>
      </c>
      <c r="U135" s="83">
        <f t="shared" ref="U135" si="117">T135</f>
        <v>0</v>
      </c>
      <c r="V135" s="83">
        <f t="shared" ref="V135" si="118">U135</f>
        <v>0</v>
      </c>
      <c r="W135" s="83">
        <f t="shared" ref="W135" si="119">V135</f>
        <v>0</v>
      </c>
      <c r="X135" s="83">
        <f t="shared" ref="X135" si="120">W135</f>
        <v>0</v>
      </c>
      <c r="Y135" s="83">
        <f t="shared" ref="Y135" si="121">X135</f>
        <v>0</v>
      </c>
      <c r="Z135" s="83">
        <f t="shared" ref="Z135" si="122">Y135</f>
        <v>0</v>
      </c>
      <c r="AA135" s="175"/>
    </row>
    <row r="136" spans="1:27" outlineLevel="1" x14ac:dyDescent="0.25">
      <c r="A136" s="36" t="str">
        <f t="shared" si="62"/>
        <v>СБ-55Д-01</v>
      </c>
      <c r="B136" s="36"/>
      <c r="D136" s="183" t="s">
        <v>184</v>
      </c>
      <c r="E136" s="64" t="str">
        <f>E124</f>
        <v>тыс. руб.</v>
      </c>
      <c r="F136" s="70"/>
      <c r="G136" s="80">
        <f>G138*G139</f>
        <v>0</v>
      </c>
      <c r="H136" s="80">
        <f t="shared" ref="H136:Z136" si="123">H138*H139</f>
        <v>0</v>
      </c>
      <c r="I136" s="80">
        <f t="shared" si="123"/>
        <v>0</v>
      </c>
      <c r="J136" s="80">
        <f t="shared" si="123"/>
        <v>0</v>
      </c>
      <c r="K136" s="80">
        <f t="shared" si="123"/>
        <v>0</v>
      </c>
      <c r="L136" s="80">
        <f t="shared" si="123"/>
        <v>0</v>
      </c>
      <c r="M136" s="80">
        <f t="shared" si="123"/>
        <v>0</v>
      </c>
      <c r="N136" s="80">
        <f t="shared" si="123"/>
        <v>0</v>
      </c>
      <c r="O136" s="80">
        <f t="shared" si="123"/>
        <v>0</v>
      </c>
      <c r="P136" s="80">
        <f t="shared" si="123"/>
        <v>0</v>
      </c>
      <c r="Q136" s="80">
        <f t="shared" si="123"/>
        <v>0</v>
      </c>
      <c r="R136" s="80">
        <f t="shared" si="123"/>
        <v>0</v>
      </c>
      <c r="S136" s="80">
        <f t="shared" si="123"/>
        <v>0</v>
      </c>
      <c r="T136" s="80">
        <f t="shared" si="123"/>
        <v>0</v>
      </c>
      <c r="U136" s="80">
        <f t="shared" si="123"/>
        <v>0</v>
      </c>
      <c r="V136" s="80">
        <f t="shared" si="123"/>
        <v>0</v>
      </c>
      <c r="W136" s="80">
        <f t="shared" si="123"/>
        <v>0</v>
      </c>
      <c r="X136" s="80">
        <f t="shared" si="123"/>
        <v>0</v>
      </c>
      <c r="Y136" s="80">
        <f t="shared" si="123"/>
        <v>0</v>
      </c>
      <c r="Z136" s="80">
        <f t="shared" si="123"/>
        <v>0</v>
      </c>
      <c r="AA136" s="175"/>
    </row>
    <row r="137" spans="1:27" outlineLevel="1" x14ac:dyDescent="0.25">
      <c r="A137" s="36" t="str">
        <f t="shared" si="62"/>
        <v>СБ-55Д-01</v>
      </c>
      <c r="B137" s="36"/>
      <c r="D137" s="187" t="s">
        <v>48</v>
      </c>
      <c r="E137" s="9" t="s">
        <v>185</v>
      </c>
      <c r="F137" s="81">
        <f>SUMIFS('ФОТ, МТР, макро'!$E$4:$E$31,'ФОТ, МТР, макро'!$A$4:$A$31,$A137)</f>
        <v>0</v>
      </c>
      <c r="G137" s="82">
        <f>F137</f>
        <v>0</v>
      </c>
      <c r="H137" s="82">
        <f t="shared" ref="H137" si="124">G137</f>
        <v>0</v>
      </c>
      <c r="I137" s="82">
        <f t="shared" ref="I137" si="125">H137</f>
        <v>0</v>
      </c>
      <c r="J137" s="82">
        <f t="shared" ref="J137" si="126">I137</f>
        <v>0</v>
      </c>
      <c r="K137" s="82">
        <f t="shared" ref="K137" si="127">J137</f>
        <v>0</v>
      </c>
      <c r="L137" s="82">
        <f t="shared" ref="L137" si="128">K137</f>
        <v>0</v>
      </c>
      <c r="M137" s="82">
        <f t="shared" ref="M137" si="129">L137</f>
        <v>0</v>
      </c>
      <c r="N137" s="82">
        <f t="shared" ref="N137" si="130">M137</f>
        <v>0</v>
      </c>
      <c r="O137" s="82">
        <f t="shared" ref="O137" si="131">N137</f>
        <v>0</v>
      </c>
      <c r="P137" s="82">
        <f t="shared" ref="P137" si="132">O137</f>
        <v>0</v>
      </c>
      <c r="Q137" s="82">
        <f t="shared" ref="Q137" si="133">P137</f>
        <v>0</v>
      </c>
      <c r="R137" s="82">
        <f t="shared" ref="R137" si="134">Q137</f>
        <v>0</v>
      </c>
      <c r="S137" s="82">
        <f t="shared" ref="S137" si="135">R137</f>
        <v>0</v>
      </c>
      <c r="T137" s="82">
        <f t="shared" ref="T137" si="136">S137</f>
        <v>0</v>
      </c>
      <c r="U137" s="82">
        <f t="shared" ref="U137" si="137">T137</f>
        <v>0</v>
      </c>
      <c r="V137" s="82">
        <f t="shared" ref="V137" si="138">U137</f>
        <v>0</v>
      </c>
      <c r="W137" s="82">
        <f t="shared" ref="W137" si="139">V137</f>
        <v>0</v>
      </c>
      <c r="X137" s="82">
        <f t="shared" ref="X137" si="140">W137</f>
        <v>0</v>
      </c>
      <c r="Y137" s="82">
        <f t="shared" ref="Y137" si="141">X137</f>
        <v>0</v>
      </c>
      <c r="Z137" s="82">
        <f t="shared" ref="Z137" si="142">Y137</f>
        <v>0</v>
      </c>
      <c r="AA137" s="175"/>
    </row>
    <row r="138" spans="1:27" outlineLevel="1" x14ac:dyDescent="0.25">
      <c r="A138" s="36" t="str">
        <f t="shared" si="62"/>
        <v>СБ-55Д-01</v>
      </c>
      <c r="B138" s="36"/>
      <c r="D138" s="187" t="s">
        <v>49</v>
      </c>
      <c r="E138" s="9" t="s">
        <v>50</v>
      </c>
      <c r="F138" s="70"/>
      <c r="G138" s="74">
        <f>G120*G137</f>
        <v>0</v>
      </c>
      <c r="H138" s="74">
        <f t="shared" ref="H138:Z138" si="143">H120*H137</f>
        <v>0</v>
      </c>
      <c r="I138" s="74">
        <f t="shared" si="143"/>
        <v>0</v>
      </c>
      <c r="J138" s="74">
        <f t="shared" si="143"/>
        <v>0</v>
      </c>
      <c r="K138" s="74">
        <f t="shared" si="143"/>
        <v>0</v>
      </c>
      <c r="L138" s="74">
        <f t="shared" si="143"/>
        <v>0</v>
      </c>
      <c r="M138" s="74">
        <f t="shared" si="143"/>
        <v>0</v>
      </c>
      <c r="N138" s="74">
        <f t="shared" si="143"/>
        <v>0</v>
      </c>
      <c r="O138" s="74">
        <f t="shared" si="143"/>
        <v>0</v>
      </c>
      <c r="P138" s="74">
        <f t="shared" si="143"/>
        <v>0</v>
      </c>
      <c r="Q138" s="74">
        <f t="shared" si="143"/>
        <v>0</v>
      </c>
      <c r="R138" s="74">
        <f t="shared" si="143"/>
        <v>0</v>
      </c>
      <c r="S138" s="74">
        <f t="shared" si="143"/>
        <v>0</v>
      </c>
      <c r="T138" s="74">
        <f t="shared" si="143"/>
        <v>0</v>
      </c>
      <c r="U138" s="74">
        <f t="shared" si="143"/>
        <v>0</v>
      </c>
      <c r="V138" s="74">
        <f t="shared" si="143"/>
        <v>0</v>
      </c>
      <c r="W138" s="74">
        <f t="shared" si="143"/>
        <v>0</v>
      </c>
      <c r="X138" s="74">
        <f t="shared" si="143"/>
        <v>0</v>
      </c>
      <c r="Y138" s="74">
        <f t="shared" si="143"/>
        <v>0</v>
      </c>
      <c r="Z138" s="74">
        <f t="shared" si="143"/>
        <v>0</v>
      </c>
      <c r="AA138" s="175"/>
    </row>
    <row r="139" spans="1:27" outlineLevel="1" x14ac:dyDescent="0.25">
      <c r="A139" s="36" t="str">
        <f t="shared" si="62"/>
        <v>СБ-55Д-01</v>
      </c>
      <c r="B139" s="36"/>
      <c r="D139" s="187" t="s">
        <v>51</v>
      </c>
      <c r="E139" s="9" t="s">
        <v>52</v>
      </c>
      <c r="F139" s="74">
        <f>SUMIFS('ФОТ, МТР, макро'!$F$4:$F$31,'ФОТ, МТР, макро'!$A$4:$A$31,$A139)</f>
        <v>0</v>
      </c>
      <c r="G139" s="83">
        <f>F139</f>
        <v>0</v>
      </c>
      <c r="H139" s="83">
        <f t="shared" ref="H139" si="144">G139</f>
        <v>0</v>
      </c>
      <c r="I139" s="83">
        <f t="shared" ref="I139" si="145">H139</f>
        <v>0</v>
      </c>
      <c r="J139" s="83">
        <f t="shared" ref="J139" si="146">I139</f>
        <v>0</v>
      </c>
      <c r="K139" s="83">
        <f t="shared" ref="K139" si="147">J139</f>
        <v>0</v>
      </c>
      <c r="L139" s="83">
        <f t="shared" ref="L139" si="148">K139</f>
        <v>0</v>
      </c>
      <c r="M139" s="83">
        <f t="shared" ref="M139" si="149">L139</f>
        <v>0</v>
      </c>
      <c r="N139" s="83">
        <f t="shared" ref="N139" si="150">M139</f>
        <v>0</v>
      </c>
      <c r="O139" s="83">
        <f t="shared" ref="O139" si="151">N139</f>
        <v>0</v>
      </c>
      <c r="P139" s="83">
        <f t="shared" ref="P139" si="152">O139</f>
        <v>0</v>
      </c>
      <c r="Q139" s="83">
        <f t="shared" ref="Q139" si="153">P139</f>
        <v>0</v>
      </c>
      <c r="R139" s="83">
        <f t="shared" ref="R139" si="154">Q139</f>
        <v>0</v>
      </c>
      <c r="S139" s="83">
        <f t="shared" ref="S139" si="155">R139</f>
        <v>0</v>
      </c>
      <c r="T139" s="83">
        <f t="shared" ref="T139" si="156">S139</f>
        <v>0</v>
      </c>
      <c r="U139" s="83">
        <f t="shared" ref="U139" si="157">T139</f>
        <v>0</v>
      </c>
      <c r="V139" s="83">
        <f t="shared" ref="V139" si="158">U139</f>
        <v>0</v>
      </c>
      <c r="W139" s="83">
        <f t="shared" ref="W139" si="159">V139</f>
        <v>0</v>
      </c>
      <c r="X139" s="83">
        <f t="shared" ref="X139" si="160">W139</f>
        <v>0</v>
      </c>
      <c r="Y139" s="83">
        <f t="shared" ref="Y139" si="161">X139</f>
        <v>0</v>
      </c>
      <c r="Z139" s="83">
        <f t="shared" ref="Z139" si="162">Y139</f>
        <v>0</v>
      </c>
      <c r="AA139" s="175"/>
    </row>
    <row r="140" spans="1:27" outlineLevel="1" x14ac:dyDescent="0.25">
      <c r="A140" s="36" t="str">
        <f t="shared" si="62"/>
        <v>СБ-55Д-01</v>
      </c>
      <c r="B140" s="36"/>
      <c r="D140" s="183" t="s">
        <v>187</v>
      </c>
      <c r="E140" s="64" t="str">
        <f>E124</f>
        <v>тыс. руб.</v>
      </c>
      <c r="F140" s="70"/>
      <c r="G140" s="80">
        <f>G120*G141</f>
        <v>0</v>
      </c>
      <c r="H140" s="80">
        <f t="shared" ref="H140:Z140" si="163">H120*H141</f>
        <v>0</v>
      </c>
      <c r="I140" s="80">
        <f t="shared" si="163"/>
        <v>0</v>
      </c>
      <c r="J140" s="80">
        <f t="shared" si="163"/>
        <v>0</v>
      </c>
      <c r="K140" s="80">
        <f t="shared" si="163"/>
        <v>0</v>
      </c>
      <c r="L140" s="80">
        <f t="shared" si="163"/>
        <v>0</v>
      </c>
      <c r="M140" s="80">
        <f t="shared" si="163"/>
        <v>0</v>
      </c>
      <c r="N140" s="80">
        <f t="shared" si="163"/>
        <v>0</v>
      </c>
      <c r="O140" s="80">
        <f t="shared" si="163"/>
        <v>0</v>
      </c>
      <c r="P140" s="80">
        <f t="shared" si="163"/>
        <v>0</v>
      </c>
      <c r="Q140" s="80">
        <f t="shared" si="163"/>
        <v>0</v>
      </c>
      <c r="R140" s="80">
        <f t="shared" si="163"/>
        <v>0</v>
      </c>
      <c r="S140" s="80">
        <f t="shared" si="163"/>
        <v>0</v>
      </c>
      <c r="T140" s="80">
        <f t="shared" si="163"/>
        <v>0</v>
      </c>
      <c r="U140" s="80">
        <f t="shared" si="163"/>
        <v>0</v>
      </c>
      <c r="V140" s="80">
        <f t="shared" si="163"/>
        <v>0</v>
      </c>
      <c r="W140" s="80">
        <f t="shared" si="163"/>
        <v>0</v>
      </c>
      <c r="X140" s="80">
        <f t="shared" si="163"/>
        <v>0</v>
      </c>
      <c r="Y140" s="80">
        <f t="shared" si="163"/>
        <v>0</v>
      </c>
      <c r="Z140" s="80">
        <f t="shared" si="163"/>
        <v>0</v>
      </c>
      <c r="AA140" s="175"/>
    </row>
    <row r="141" spans="1:27" outlineLevel="1" x14ac:dyDescent="0.25">
      <c r="A141" s="36" t="str">
        <f t="shared" si="62"/>
        <v>СБ-55Д-01</v>
      </c>
      <c r="B141" s="36"/>
      <c r="D141" s="187" t="s">
        <v>48</v>
      </c>
      <c r="E141" s="9" t="s">
        <v>188</v>
      </c>
      <c r="F141" s="74">
        <f>SUMIFS('ФОТ, МТР, макро'!$H$4:$H$31,'ФОТ, МТР, макро'!$A$4:$A$31,$A141)</f>
        <v>0</v>
      </c>
      <c r="G141" s="83">
        <f>F141</f>
        <v>0</v>
      </c>
      <c r="H141" s="83">
        <f t="shared" ref="H141" si="164">G141</f>
        <v>0</v>
      </c>
      <c r="I141" s="83">
        <f t="shared" ref="I141" si="165">H141</f>
        <v>0</v>
      </c>
      <c r="J141" s="83">
        <f t="shared" ref="J141" si="166">I141</f>
        <v>0</v>
      </c>
      <c r="K141" s="83">
        <f t="shared" ref="K141" si="167">J141</f>
        <v>0</v>
      </c>
      <c r="L141" s="83">
        <f t="shared" ref="L141" si="168">K141</f>
        <v>0</v>
      </c>
      <c r="M141" s="83">
        <f t="shared" ref="M141" si="169">L141</f>
        <v>0</v>
      </c>
      <c r="N141" s="83">
        <f t="shared" ref="N141" si="170">M141</f>
        <v>0</v>
      </c>
      <c r="O141" s="83">
        <f t="shared" ref="O141" si="171">N141</f>
        <v>0</v>
      </c>
      <c r="P141" s="83">
        <f t="shared" ref="P141" si="172">O141</f>
        <v>0</v>
      </c>
      <c r="Q141" s="83">
        <f t="shared" ref="Q141" si="173">P141</f>
        <v>0</v>
      </c>
      <c r="R141" s="83">
        <f t="shared" ref="R141" si="174">Q141</f>
        <v>0</v>
      </c>
      <c r="S141" s="83">
        <f t="shared" ref="S141" si="175">R141</f>
        <v>0</v>
      </c>
      <c r="T141" s="83">
        <f t="shared" ref="T141" si="176">S141</f>
        <v>0</v>
      </c>
      <c r="U141" s="83">
        <f t="shared" ref="U141" si="177">T141</f>
        <v>0</v>
      </c>
      <c r="V141" s="83">
        <f t="shared" ref="V141" si="178">U141</f>
        <v>0</v>
      </c>
      <c r="W141" s="83">
        <f t="shared" ref="W141" si="179">V141</f>
        <v>0</v>
      </c>
      <c r="X141" s="83">
        <f t="shared" ref="X141" si="180">W141</f>
        <v>0</v>
      </c>
      <c r="Y141" s="83">
        <f t="shared" ref="Y141" si="181">X141</f>
        <v>0</v>
      </c>
      <c r="Z141" s="83">
        <f t="shared" ref="Z141" si="182">Y141</f>
        <v>0</v>
      </c>
      <c r="AA141" s="175"/>
    </row>
    <row r="142" spans="1:27" outlineLevel="1" x14ac:dyDescent="0.25">
      <c r="A142" s="36" t="str">
        <f t="shared" si="62"/>
        <v>СБ-55Д-01</v>
      </c>
      <c r="B142" s="36"/>
      <c r="C142" s="193">
        <f>SUMIFS('ФОТ, МТР, макро'!$N$4:$N$31,'ФОТ, МТР, макро'!$J$4:$J$31,$A142)</f>
        <v>0</v>
      </c>
      <c r="D142" s="63" t="s">
        <v>189</v>
      </c>
      <c r="E142" s="64" t="str">
        <f>E124</f>
        <v>тыс. руб.</v>
      </c>
      <c r="F142" s="83"/>
      <c r="G142" s="80">
        <f>IF($C142=1,G143,G147)</f>
        <v>0</v>
      </c>
      <c r="H142" s="80">
        <f t="shared" ref="H142:Z142" si="183">IF($C142=1,H143,H147)</f>
        <v>0</v>
      </c>
      <c r="I142" s="80">
        <f t="shared" si="183"/>
        <v>0</v>
      </c>
      <c r="J142" s="80">
        <f t="shared" si="183"/>
        <v>0</v>
      </c>
      <c r="K142" s="80">
        <f t="shared" si="183"/>
        <v>0</v>
      </c>
      <c r="L142" s="80">
        <f t="shared" si="183"/>
        <v>0</v>
      </c>
      <c r="M142" s="80">
        <f t="shared" si="183"/>
        <v>0</v>
      </c>
      <c r="N142" s="80">
        <f t="shared" si="183"/>
        <v>0</v>
      </c>
      <c r="O142" s="80">
        <f t="shared" si="183"/>
        <v>0</v>
      </c>
      <c r="P142" s="80">
        <f t="shared" si="183"/>
        <v>0</v>
      </c>
      <c r="Q142" s="80">
        <f t="shared" si="183"/>
        <v>0</v>
      </c>
      <c r="R142" s="80">
        <f t="shared" si="183"/>
        <v>0</v>
      </c>
      <c r="S142" s="80">
        <f t="shared" si="183"/>
        <v>0</v>
      </c>
      <c r="T142" s="80">
        <f t="shared" si="183"/>
        <v>0</v>
      </c>
      <c r="U142" s="80">
        <f t="shared" si="183"/>
        <v>0</v>
      </c>
      <c r="V142" s="80">
        <f t="shared" si="183"/>
        <v>0</v>
      </c>
      <c r="W142" s="80">
        <f t="shared" si="183"/>
        <v>0</v>
      </c>
      <c r="X142" s="80">
        <f t="shared" si="183"/>
        <v>0</v>
      </c>
      <c r="Y142" s="80">
        <f t="shared" si="183"/>
        <v>0</v>
      </c>
      <c r="Z142" s="80">
        <f t="shared" si="183"/>
        <v>0</v>
      </c>
      <c r="AA142" s="175"/>
    </row>
    <row r="143" spans="1:27" outlineLevel="1" x14ac:dyDescent="0.25">
      <c r="A143" s="36" t="str">
        <f t="shared" si="62"/>
        <v>СБ-55Д-01</v>
      </c>
      <c r="B143" s="36"/>
      <c r="D143" s="192" t="s">
        <v>190</v>
      </c>
      <c r="E143" s="188" t="str">
        <f>E142</f>
        <v>тыс. руб.</v>
      </c>
      <c r="F143" s="189"/>
      <c r="G143" s="190">
        <f>G145*G146</f>
        <v>0</v>
      </c>
      <c r="H143" s="190">
        <f t="shared" ref="H143:Z143" si="184">H145*H146</f>
        <v>0</v>
      </c>
      <c r="I143" s="190">
        <f t="shared" si="184"/>
        <v>0</v>
      </c>
      <c r="J143" s="190">
        <f t="shared" si="184"/>
        <v>0</v>
      </c>
      <c r="K143" s="190">
        <f t="shared" si="184"/>
        <v>0</v>
      </c>
      <c r="L143" s="190">
        <f t="shared" si="184"/>
        <v>0</v>
      </c>
      <c r="M143" s="190">
        <f t="shared" si="184"/>
        <v>0</v>
      </c>
      <c r="N143" s="190">
        <f t="shared" si="184"/>
        <v>0</v>
      </c>
      <c r="O143" s="190">
        <f t="shared" si="184"/>
        <v>0</v>
      </c>
      <c r="P143" s="190">
        <f t="shared" si="184"/>
        <v>0</v>
      </c>
      <c r="Q143" s="190">
        <f t="shared" si="184"/>
        <v>0</v>
      </c>
      <c r="R143" s="190">
        <f t="shared" si="184"/>
        <v>0</v>
      </c>
      <c r="S143" s="190">
        <f t="shared" si="184"/>
        <v>0</v>
      </c>
      <c r="T143" s="190">
        <f t="shared" si="184"/>
        <v>0</v>
      </c>
      <c r="U143" s="190">
        <f t="shared" si="184"/>
        <v>0</v>
      </c>
      <c r="V143" s="190">
        <f t="shared" si="184"/>
        <v>0</v>
      </c>
      <c r="W143" s="190">
        <f t="shared" si="184"/>
        <v>0</v>
      </c>
      <c r="X143" s="190">
        <f t="shared" si="184"/>
        <v>0</v>
      </c>
      <c r="Y143" s="190">
        <f t="shared" si="184"/>
        <v>0</v>
      </c>
      <c r="Z143" s="190">
        <f t="shared" si="184"/>
        <v>0</v>
      </c>
      <c r="AA143" s="175"/>
    </row>
    <row r="144" spans="1:27" outlineLevel="1" x14ac:dyDescent="0.25">
      <c r="A144" s="36" t="str">
        <f t="shared" si="62"/>
        <v>СБ-55Д-01</v>
      </c>
      <c r="B144" s="36"/>
      <c r="D144" s="187" t="s">
        <v>48</v>
      </c>
      <c r="E144" s="73" t="str">
        <f>VLOOKUP($A144,'ФОТ, МТР, макро'!$J$4:$N$31,2,FALSE)</f>
        <v>кг/час</v>
      </c>
      <c r="F144" s="74">
        <f>SUMIFS('ФОТ, МТР, макро'!$L$4:$L$31,'ФОТ, МТР, макро'!$J$4:$J$31,$A144)</f>
        <v>0</v>
      </c>
      <c r="G144" s="83">
        <f>F144</f>
        <v>0</v>
      </c>
      <c r="H144" s="83">
        <f t="shared" ref="H144" si="185">G144</f>
        <v>0</v>
      </c>
      <c r="I144" s="83">
        <f t="shared" ref="I144" si="186">H144</f>
        <v>0</v>
      </c>
      <c r="J144" s="83">
        <f t="shared" ref="J144" si="187">I144</f>
        <v>0</v>
      </c>
      <c r="K144" s="83">
        <f t="shared" ref="K144" si="188">J144</f>
        <v>0</v>
      </c>
      <c r="L144" s="83">
        <f t="shared" ref="L144" si="189">K144</f>
        <v>0</v>
      </c>
      <c r="M144" s="83">
        <f t="shared" ref="M144" si="190">L144</f>
        <v>0</v>
      </c>
      <c r="N144" s="83">
        <f t="shared" ref="N144" si="191">M144</f>
        <v>0</v>
      </c>
      <c r="O144" s="83">
        <f t="shared" ref="O144" si="192">N144</f>
        <v>0</v>
      </c>
      <c r="P144" s="83">
        <f t="shared" ref="P144" si="193">O144</f>
        <v>0</v>
      </c>
      <c r="Q144" s="83">
        <f t="shared" ref="Q144" si="194">P144</f>
        <v>0</v>
      </c>
      <c r="R144" s="83">
        <f t="shared" ref="R144" si="195">Q144</f>
        <v>0</v>
      </c>
      <c r="S144" s="83">
        <f t="shared" ref="S144" si="196">R144</f>
        <v>0</v>
      </c>
      <c r="T144" s="83">
        <f t="shared" ref="T144" si="197">S144</f>
        <v>0</v>
      </c>
      <c r="U144" s="83">
        <f t="shared" ref="U144" si="198">T144</f>
        <v>0</v>
      </c>
      <c r="V144" s="83">
        <f t="shared" ref="V144" si="199">U144</f>
        <v>0</v>
      </c>
      <c r="W144" s="83">
        <f t="shared" ref="W144" si="200">V144</f>
        <v>0</v>
      </c>
      <c r="X144" s="83">
        <f t="shared" ref="X144" si="201">W144</f>
        <v>0</v>
      </c>
      <c r="Y144" s="83">
        <f t="shared" ref="Y144" si="202">X144</f>
        <v>0</v>
      </c>
      <c r="Z144" s="83">
        <f t="shared" ref="Z144" si="203">Y144</f>
        <v>0</v>
      </c>
      <c r="AA144" s="175"/>
    </row>
    <row r="145" spans="1:28" outlineLevel="1" x14ac:dyDescent="0.25">
      <c r="A145" s="36" t="str">
        <f t="shared" si="62"/>
        <v>СБ-55Д-01</v>
      </c>
      <c r="B145" s="36"/>
      <c r="D145" s="187" t="s">
        <v>49</v>
      </c>
      <c r="E145" s="73" t="str">
        <f>IF(E144="кг/час","т","тыс. кВт*ч")</f>
        <v>т</v>
      </c>
      <c r="F145" s="83"/>
      <c r="G145" s="74">
        <f>G$3*G119*G144/1000</f>
        <v>0</v>
      </c>
      <c r="H145" s="74">
        <f t="shared" ref="H145:Z145" si="204">H$3*H119*H144/1000</f>
        <v>0</v>
      </c>
      <c r="I145" s="74">
        <f t="shared" si="204"/>
        <v>0</v>
      </c>
      <c r="J145" s="74">
        <f t="shared" si="204"/>
        <v>0</v>
      </c>
      <c r="K145" s="74">
        <f t="shared" si="204"/>
        <v>0</v>
      </c>
      <c r="L145" s="74">
        <f t="shared" si="204"/>
        <v>0</v>
      </c>
      <c r="M145" s="74">
        <f t="shared" si="204"/>
        <v>0</v>
      </c>
      <c r="N145" s="74">
        <f t="shared" si="204"/>
        <v>0</v>
      </c>
      <c r="O145" s="74">
        <f t="shared" si="204"/>
        <v>0</v>
      </c>
      <c r="P145" s="74">
        <f t="shared" si="204"/>
        <v>0</v>
      </c>
      <c r="Q145" s="74">
        <f t="shared" si="204"/>
        <v>0</v>
      </c>
      <c r="R145" s="74">
        <f t="shared" si="204"/>
        <v>0</v>
      </c>
      <c r="S145" s="74">
        <f t="shared" si="204"/>
        <v>0</v>
      </c>
      <c r="T145" s="74">
        <f t="shared" si="204"/>
        <v>0</v>
      </c>
      <c r="U145" s="74">
        <f t="shared" si="204"/>
        <v>0</v>
      </c>
      <c r="V145" s="74">
        <f t="shared" si="204"/>
        <v>0</v>
      </c>
      <c r="W145" s="74">
        <f t="shared" si="204"/>
        <v>0</v>
      </c>
      <c r="X145" s="74">
        <f t="shared" si="204"/>
        <v>0</v>
      </c>
      <c r="Y145" s="74">
        <f t="shared" si="204"/>
        <v>0</v>
      </c>
      <c r="Z145" s="74">
        <f t="shared" si="204"/>
        <v>0</v>
      </c>
      <c r="AA145" s="175"/>
    </row>
    <row r="146" spans="1:28" outlineLevel="1" x14ac:dyDescent="0.25">
      <c r="A146" s="36" t="str">
        <f t="shared" si="62"/>
        <v>СБ-55Д-01</v>
      </c>
      <c r="B146" s="36"/>
      <c r="D146" s="187" t="s">
        <v>51</v>
      </c>
      <c r="E146" s="73" t="str">
        <f>IF(E145="т","тыс. руб./т","руб./кВт*ч")</f>
        <v>тыс. руб./т</v>
      </c>
      <c r="F146" s="74">
        <f>IF(E145="т",'ФОТ, МТР, макро'!$Q$2,'ФОТ, МТР, макро'!$Q$15)</f>
        <v>66.018919487352079</v>
      </c>
      <c r="G146" s="83">
        <f>F146</f>
        <v>66.018919487352079</v>
      </c>
      <c r="H146" s="83">
        <f t="shared" ref="H146" si="205">G146</f>
        <v>66.018919487352079</v>
      </c>
      <c r="I146" s="83">
        <f t="shared" ref="I146" si="206">H146</f>
        <v>66.018919487352079</v>
      </c>
      <c r="J146" s="83">
        <f t="shared" ref="J146" si="207">I146</f>
        <v>66.018919487352079</v>
      </c>
      <c r="K146" s="83">
        <f t="shared" ref="K146" si="208">J146</f>
        <v>66.018919487352079</v>
      </c>
      <c r="L146" s="83">
        <f t="shared" ref="L146" si="209">K146</f>
        <v>66.018919487352079</v>
      </c>
      <c r="M146" s="83">
        <f t="shared" ref="M146" si="210">L146</f>
        <v>66.018919487352079</v>
      </c>
      <c r="N146" s="83">
        <f t="shared" ref="N146" si="211">M146</f>
        <v>66.018919487352079</v>
      </c>
      <c r="O146" s="83">
        <f t="shared" ref="O146" si="212">N146</f>
        <v>66.018919487352079</v>
      </c>
      <c r="P146" s="83">
        <f t="shared" ref="P146" si="213">O146</f>
        <v>66.018919487352079</v>
      </c>
      <c r="Q146" s="83">
        <f t="shared" ref="Q146" si="214">P146</f>
        <v>66.018919487352079</v>
      </c>
      <c r="R146" s="83">
        <f t="shared" ref="R146" si="215">Q146</f>
        <v>66.018919487352079</v>
      </c>
      <c r="S146" s="83">
        <f t="shared" ref="S146" si="216">R146</f>
        <v>66.018919487352079</v>
      </c>
      <c r="T146" s="83">
        <f t="shared" ref="T146" si="217">S146</f>
        <v>66.018919487352079</v>
      </c>
      <c r="U146" s="83">
        <f t="shared" ref="U146" si="218">T146</f>
        <v>66.018919487352079</v>
      </c>
      <c r="V146" s="83">
        <f t="shared" ref="V146" si="219">U146</f>
        <v>66.018919487352079</v>
      </c>
      <c r="W146" s="83">
        <f t="shared" ref="W146" si="220">V146</f>
        <v>66.018919487352079</v>
      </c>
      <c r="X146" s="83">
        <f t="shared" ref="X146" si="221">W146</f>
        <v>66.018919487352079</v>
      </c>
      <c r="Y146" s="83">
        <f t="shared" ref="Y146" si="222">X146</f>
        <v>66.018919487352079</v>
      </c>
      <c r="Z146" s="83">
        <f t="shared" ref="Z146" si="223">Y146</f>
        <v>66.018919487352079</v>
      </c>
      <c r="AA146" s="175"/>
    </row>
    <row r="147" spans="1:28" outlineLevel="1" x14ac:dyDescent="0.25">
      <c r="A147" s="36" t="str">
        <f t="shared" si="62"/>
        <v>СБ-55Д-01</v>
      </c>
      <c r="B147" s="36"/>
      <c r="D147" s="192" t="s">
        <v>191</v>
      </c>
      <c r="E147" s="188" t="str">
        <f>E143</f>
        <v>тыс. руб.</v>
      </c>
      <c r="F147" s="83"/>
      <c r="G147" s="190">
        <f>G149*G150</f>
        <v>0</v>
      </c>
      <c r="H147" s="190">
        <f t="shared" ref="H147:Z147" si="224">H149*H150</f>
        <v>0</v>
      </c>
      <c r="I147" s="190">
        <f t="shared" si="224"/>
        <v>0</v>
      </c>
      <c r="J147" s="190">
        <f t="shared" si="224"/>
        <v>0</v>
      </c>
      <c r="K147" s="190">
        <f t="shared" si="224"/>
        <v>0</v>
      </c>
      <c r="L147" s="190">
        <f t="shared" si="224"/>
        <v>0</v>
      </c>
      <c r="M147" s="190">
        <f t="shared" si="224"/>
        <v>0</v>
      </c>
      <c r="N147" s="190">
        <f t="shared" si="224"/>
        <v>0</v>
      </c>
      <c r="O147" s="190">
        <f t="shared" si="224"/>
        <v>0</v>
      </c>
      <c r="P147" s="190">
        <f t="shared" si="224"/>
        <v>0</v>
      </c>
      <c r="Q147" s="190">
        <f t="shared" si="224"/>
        <v>0</v>
      </c>
      <c r="R147" s="190">
        <f t="shared" si="224"/>
        <v>0</v>
      </c>
      <c r="S147" s="190">
        <f t="shared" si="224"/>
        <v>0</v>
      </c>
      <c r="T147" s="190">
        <f t="shared" si="224"/>
        <v>0</v>
      </c>
      <c r="U147" s="190">
        <f t="shared" si="224"/>
        <v>0</v>
      </c>
      <c r="V147" s="190">
        <f t="shared" si="224"/>
        <v>0</v>
      </c>
      <c r="W147" s="190">
        <f t="shared" si="224"/>
        <v>0</v>
      </c>
      <c r="X147" s="190">
        <f t="shared" si="224"/>
        <v>0</v>
      </c>
      <c r="Y147" s="190">
        <f t="shared" si="224"/>
        <v>0</v>
      </c>
      <c r="Z147" s="190">
        <f t="shared" si="224"/>
        <v>0</v>
      </c>
      <c r="AA147" s="175"/>
    </row>
    <row r="148" spans="1:28" outlineLevel="1" x14ac:dyDescent="0.25">
      <c r="A148" s="36" t="str">
        <f t="shared" si="62"/>
        <v>СБ-55Д-01</v>
      </c>
      <c r="B148" s="36"/>
      <c r="D148" s="187" t="s">
        <v>48</v>
      </c>
      <c r="E148" s="196" t="str">
        <f>E144</f>
        <v>кг/час</v>
      </c>
      <c r="F148" s="74">
        <f>SUMIFS('ФОТ, МТР, макро'!$M$4:$M$31,'ФОТ, МТР, макро'!$J$4:$J$31,$A148)</f>
        <v>0</v>
      </c>
      <c r="G148" s="83">
        <f>F148</f>
        <v>0</v>
      </c>
      <c r="H148" s="83">
        <f t="shared" ref="H148" si="225">G148</f>
        <v>0</v>
      </c>
      <c r="I148" s="83">
        <f t="shared" ref="I148" si="226">H148</f>
        <v>0</v>
      </c>
      <c r="J148" s="83">
        <f t="shared" ref="J148" si="227">I148</f>
        <v>0</v>
      </c>
      <c r="K148" s="83">
        <f t="shared" ref="K148" si="228">J148</f>
        <v>0</v>
      </c>
      <c r="L148" s="83">
        <f t="shared" ref="L148" si="229">K148</f>
        <v>0</v>
      </c>
      <c r="M148" s="83">
        <f t="shared" ref="M148" si="230">L148</f>
        <v>0</v>
      </c>
      <c r="N148" s="83">
        <f t="shared" ref="N148" si="231">M148</f>
        <v>0</v>
      </c>
      <c r="O148" s="83">
        <f t="shared" ref="O148" si="232">N148</f>
        <v>0</v>
      </c>
      <c r="P148" s="83">
        <f t="shared" ref="P148" si="233">O148</f>
        <v>0</v>
      </c>
      <c r="Q148" s="83">
        <f t="shared" ref="Q148" si="234">P148</f>
        <v>0</v>
      </c>
      <c r="R148" s="83">
        <f t="shared" ref="R148" si="235">Q148</f>
        <v>0</v>
      </c>
      <c r="S148" s="83">
        <f t="shared" ref="S148" si="236">R148</f>
        <v>0</v>
      </c>
      <c r="T148" s="83">
        <f t="shared" ref="T148" si="237">S148</f>
        <v>0</v>
      </c>
      <c r="U148" s="83">
        <f t="shared" ref="U148" si="238">T148</f>
        <v>0</v>
      </c>
      <c r="V148" s="83">
        <f t="shared" ref="V148" si="239">U148</f>
        <v>0</v>
      </c>
      <c r="W148" s="83">
        <f t="shared" ref="W148" si="240">V148</f>
        <v>0</v>
      </c>
      <c r="X148" s="83">
        <f t="shared" ref="X148" si="241">W148</f>
        <v>0</v>
      </c>
      <c r="Y148" s="83">
        <f t="shared" ref="Y148" si="242">X148</f>
        <v>0</v>
      </c>
      <c r="Z148" s="83">
        <f t="shared" ref="Z148" si="243">Y148</f>
        <v>0</v>
      </c>
      <c r="AA148" s="175"/>
    </row>
    <row r="149" spans="1:28" outlineLevel="1" x14ac:dyDescent="0.25">
      <c r="A149" s="36" t="str">
        <f t="shared" si="62"/>
        <v>СБ-55Д-01</v>
      </c>
      <c r="B149" s="36"/>
      <c r="D149" s="187" t="s">
        <v>49</v>
      </c>
      <c r="E149" s="196" t="str">
        <f t="shared" ref="E149:E150" si="244">E145</f>
        <v>т</v>
      </c>
      <c r="F149" s="83"/>
      <c r="G149" s="74">
        <f>G$3*G119*G148/1000</f>
        <v>0</v>
      </c>
      <c r="H149" s="74">
        <f t="shared" ref="H149:Z149" si="245">H$3*H119*H148/1000</f>
        <v>0</v>
      </c>
      <c r="I149" s="74">
        <f t="shared" si="245"/>
        <v>0</v>
      </c>
      <c r="J149" s="74">
        <f t="shared" si="245"/>
        <v>0</v>
      </c>
      <c r="K149" s="74">
        <f t="shared" si="245"/>
        <v>0</v>
      </c>
      <c r="L149" s="74">
        <f t="shared" si="245"/>
        <v>0</v>
      </c>
      <c r="M149" s="74">
        <f t="shared" si="245"/>
        <v>0</v>
      </c>
      <c r="N149" s="74">
        <f t="shared" si="245"/>
        <v>0</v>
      </c>
      <c r="O149" s="74">
        <f t="shared" si="245"/>
        <v>0</v>
      </c>
      <c r="P149" s="74">
        <f t="shared" si="245"/>
        <v>0</v>
      </c>
      <c r="Q149" s="74">
        <f t="shared" si="245"/>
        <v>0</v>
      </c>
      <c r="R149" s="74">
        <f t="shared" si="245"/>
        <v>0</v>
      </c>
      <c r="S149" s="74">
        <f t="shared" si="245"/>
        <v>0</v>
      </c>
      <c r="T149" s="74">
        <f t="shared" si="245"/>
        <v>0</v>
      </c>
      <c r="U149" s="74">
        <f t="shared" si="245"/>
        <v>0</v>
      </c>
      <c r="V149" s="74">
        <f t="shared" si="245"/>
        <v>0</v>
      </c>
      <c r="W149" s="74">
        <f t="shared" si="245"/>
        <v>0</v>
      </c>
      <c r="X149" s="74">
        <f t="shared" si="245"/>
        <v>0</v>
      </c>
      <c r="Y149" s="74">
        <f t="shared" si="245"/>
        <v>0</v>
      </c>
      <c r="Z149" s="74">
        <f t="shared" si="245"/>
        <v>0</v>
      </c>
      <c r="AA149" s="175"/>
    </row>
    <row r="150" spans="1:28" outlineLevel="1" x14ac:dyDescent="0.25">
      <c r="A150" s="36" t="str">
        <f t="shared" si="62"/>
        <v>СБ-55Д-01</v>
      </c>
      <c r="B150" s="36"/>
      <c r="D150" s="187" t="s">
        <v>51</v>
      </c>
      <c r="E150" s="196" t="str">
        <f t="shared" si="244"/>
        <v>тыс. руб./т</v>
      </c>
      <c r="F150" s="83"/>
      <c r="G150" s="83">
        <f>G146</f>
        <v>66.018919487352079</v>
      </c>
      <c r="H150" s="83">
        <f t="shared" ref="H150:Z150" si="246">H146</f>
        <v>66.018919487352079</v>
      </c>
      <c r="I150" s="83">
        <f t="shared" si="246"/>
        <v>66.018919487352079</v>
      </c>
      <c r="J150" s="83">
        <f t="shared" si="246"/>
        <v>66.018919487352079</v>
      </c>
      <c r="K150" s="83">
        <f t="shared" si="246"/>
        <v>66.018919487352079</v>
      </c>
      <c r="L150" s="83">
        <f t="shared" si="246"/>
        <v>66.018919487352079</v>
      </c>
      <c r="M150" s="83">
        <f t="shared" si="246"/>
        <v>66.018919487352079</v>
      </c>
      <c r="N150" s="83">
        <f t="shared" si="246"/>
        <v>66.018919487352079</v>
      </c>
      <c r="O150" s="83">
        <f t="shared" si="246"/>
        <v>66.018919487352079</v>
      </c>
      <c r="P150" s="83">
        <f t="shared" si="246"/>
        <v>66.018919487352079</v>
      </c>
      <c r="Q150" s="83">
        <f t="shared" si="246"/>
        <v>66.018919487352079</v>
      </c>
      <c r="R150" s="83">
        <f t="shared" si="246"/>
        <v>66.018919487352079</v>
      </c>
      <c r="S150" s="83">
        <f t="shared" si="246"/>
        <v>66.018919487352079</v>
      </c>
      <c r="T150" s="83">
        <f t="shared" si="246"/>
        <v>66.018919487352079</v>
      </c>
      <c r="U150" s="83">
        <f t="shared" si="246"/>
        <v>66.018919487352079</v>
      </c>
      <c r="V150" s="83">
        <f t="shared" si="246"/>
        <v>66.018919487352079</v>
      </c>
      <c r="W150" s="83">
        <f t="shared" si="246"/>
        <v>66.018919487352079</v>
      </c>
      <c r="X150" s="83">
        <f t="shared" si="246"/>
        <v>66.018919487352079</v>
      </c>
      <c r="Y150" s="83">
        <f t="shared" si="246"/>
        <v>66.018919487352079</v>
      </c>
      <c r="Z150" s="83">
        <f t="shared" si="246"/>
        <v>66.018919487352079</v>
      </c>
      <c r="AA150" s="175"/>
    </row>
    <row r="151" spans="1:28" outlineLevel="1" x14ac:dyDescent="0.25">
      <c r="A151" s="36" t="str">
        <f t="shared" si="62"/>
        <v>СБ-55Д-01</v>
      </c>
      <c r="B151" s="36"/>
      <c r="D151" s="63" t="s">
        <v>55</v>
      </c>
      <c r="E151" s="64" t="str">
        <f>E124</f>
        <v>тыс. руб.</v>
      </c>
      <c r="F151" s="70"/>
      <c r="G151" s="80">
        <f>G152+G153</f>
        <v>0</v>
      </c>
      <c r="H151" s="80">
        <f t="shared" ref="H151:Z151" si="247">H152+H153</f>
        <v>0</v>
      </c>
      <c r="I151" s="80">
        <f t="shared" si="247"/>
        <v>0</v>
      </c>
      <c r="J151" s="80">
        <f t="shared" si="247"/>
        <v>0</v>
      </c>
      <c r="K151" s="80">
        <f t="shared" si="247"/>
        <v>0</v>
      </c>
      <c r="L151" s="80">
        <f t="shared" si="247"/>
        <v>0</v>
      </c>
      <c r="M151" s="80">
        <f t="shared" si="247"/>
        <v>0</v>
      </c>
      <c r="N151" s="80">
        <f t="shared" si="247"/>
        <v>0</v>
      </c>
      <c r="O151" s="80">
        <f t="shared" si="247"/>
        <v>0</v>
      </c>
      <c r="P151" s="80">
        <f t="shared" si="247"/>
        <v>0</v>
      </c>
      <c r="Q151" s="80">
        <f t="shared" si="247"/>
        <v>0</v>
      </c>
      <c r="R151" s="80">
        <f t="shared" si="247"/>
        <v>0</v>
      </c>
      <c r="S151" s="80">
        <f t="shared" si="247"/>
        <v>0</v>
      </c>
      <c r="T151" s="80">
        <f t="shared" si="247"/>
        <v>0</v>
      </c>
      <c r="U151" s="80">
        <f t="shared" si="247"/>
        <v>0</v>
      </c>
      <c r="V151" s="80">
        <f t="shared" si="247"/>
        <v>0</v>
      </c>
      <c r="W151" s="80">
        <f t="shared" si="247"/>
        <v>0</v>
      </c>
      <c r="X151" s="80">
        <f t="shared" si="247"/>
        <v>0</v>
      </c>
      <c r="Y151" s="80">
        <f t="shared" si="247"/>
        <v>0</v>
      </c>
      <c r="Z151" s="80">
        <f t="shared" si="247"/>
        <v>0</v>
      </c>
      <c r="AA151" s="175"/>
    </row>
    <row r="152" spans="1:28" outlineLevel="1" x14ac:dyDescent="0.25">
      <c r="A152" s="36" t="str">
        <f t="shared" si="62"/>
        <v>СБ-55Д-01</v>
      </c>
      <c r="B152" s="36"/>
      <c r="D152" s="187" t="s">
        <v>213</v>
      </c>
      <c r="E152" s="9" t="str">
        <f>E151</f>
        <v>тыс. руб.</v>
      </c>
      <c r="F152" s="74">
        <f>SUMIFS('ФОТ, МТР, макро'!$X$4:$X$31,'ФОТ, МТР, макро'!$W$4:$W$31,$A152)</f>
        <v>12529.553373000001</v>
      </c>
      <c r="G152" s="83">
        <f>IF(G120=0,0,$F152)</f>
        <v>0</v>
      </c>
      <c r="H152" s="83">
        <f t="shared" ref="H152:Z152" si="248">IF(H120=0,0,$F152)</f>
        <v>0</v>
      </c>
      <c r="I152" s="83">
        <f t="shared" si="248"/>
        <v>0</v>
      </c>
      <c r="J152" s="83">
        <f t="shared" si="248"/>
        <v>0</v>
      </c>
      <c r="K152" s="83">
        <f t="shared" si="248"/>
        <v>0</v>
      </c>
      <c r="L152" s="83">
        <f t="shared" si="248"/>
        <v>0</v>
      </c>
      <c r="M152" s="83">
        <f t="shared" si="248"/>
        <v>0</v>
      </c>
      <c r="N152" s="83">
        <f t="shared" si="248"/>
        <v>0</v>
      </c>
      <c r="O152" s="83">
        <f t="shared" si="248"/>
        <v>0</v>
      </c>
      <c r="P152" s="83">
        <f t="shared" si="248"/>
        <v>0</v>
      </c>
      <c r="Q152" s="83">
        <f t="shared" si="248"/>
        <v>0</v>
      </c>
      <c r="R152" s="83">
        <f t="shared" si="248"/>
        <v>0</v>
      </c>
      <c r="S152" s="83">
        <f t="shared" si="248"/>
        <v>0</v>
      </c>
      <c r="T152" s="83">
        <f t="shared" si="248"/>
        <v>0</v>
      </c>
      <c r="U152" s="83">
        <f t="shared" si="248"/>
        <v>0</v>
      </c>
      <c r="V152" s="83">
        <f t="shared" si="248"/>
        <v>0</v>
      </c>
      <c r="W152" s="83">
        <f t="shared" si="248"/>
        <v>0</v>
      </c>
      <c r="X152" s="83">
        <f t="shared" si="248"/>
        <v>0</v>
      </c>
      <c r="Y152" s="83">
        <f t="shared" si="248"/>
        <v>0</v>
      </c>
      <c r="Z152" s="83">
        <f t="shared" si="248"/>
        <v>0</v>
      </c>
      <c r="AA152" s="175"/>
    </row>
    <row r="153" spans="1:28" outlineLevel="1" x14ac:dyDescent="0.25">
      <c r="A153" s="36" t="str">
        <f t="shared" si="62"/>
        <v>СБ-55Д-01</v>
      </c>
      <c r="B153" s="36"/>
      <c r="D153" s="187" t="s">
        <v>56</v>
      </c>
      <c r="E153" s="9"/>
      <c r="F153" s="74">
        <f>SUMIFS('ФОТ, МТР, макро'!$Y$4:$Y$31,'ФОТ, МТР, макро'!$W$4:$W$31,$A153)</f>
        <v>3180.5687406620973</v>
      </c>
      <c r="G153" s="83">
        <f t="shared" ref="G153:Z153" si="249">IF(G120=0,0,$F153)</f>
        <v>0</v>
      </c>
      <c r="H153" s="83">
        <f t="shared" si="249"/>
        <v>0</v>
      </c>
      <c r="I153" s="83">
        <f t="shared" si="249"/>
        <v>0</v>
      </c>
      <c r="J153" s="83">
        <f t="shared" si="249"/>
        <v>0</v>
      </c>
      <c r="K153" s="83">
        <f t="shared" si="249"/>
        <v>0</v>
      </c>
      <c r="L153" s="83">
        <f t="shared" si="249"/>
        <v>0</v>
      </c>
      <c r="M153" s="83">
        <f t="shared" si="249"/>
        <v>0</v>
      </c>
      <c r="N153" s="83">
        <f t="shared" si="249"/>
        <v>0</v>
      </c>
      <c r="O153" s="83">
        <f t="shared" si="249"/>
        <v>0</v>
      </c>
      <c r="P153" s="83">
        <f t="shared" si="249"/>
        <v>0</v>
      </c>
      <c r="Q153" s="83">
        <f t="shared" si="249"/>
        <v>0</v>
      </c>
      <c r="R153" s="83">
        <f t="shared" si="249"/>
        <v>0</v>
      </c>
      <c r="S153" s="83">
        <f t="shared" si="249"/>
        <v>0</v>
      </c>
      <c r="T153" s="83">
        <f t="shared" si="249"/>
        <v>0</v>
      </c>
      <c r="U153" s="83">
        <f t="shared" si="249"/>
        <v>0</v>
      </c>
      <c r="V153" s="83">
        <f t="shared" si="249"/>
        <v>0</v>
      </c>
      <c r="W153" s="83">
        <f t="shared" si="249"/>
        <v>0</v>
      </c>
      <c r="X153" s="83">
        <f t="shared" si="249"/>
        <v>0</v>
      </c>
      <c r="Y153" s="83">
        <f t="shared" si="249"/>
        <v>0</v>
      </c>
      <c r="Z153" s="83">
        <f t="shared" si="249"/>
        <v>0</v>
      </c>
      <c r="AA153" s="175"/>
    </row>
    <row r="154" spans="1:28" outlineLevel="1" x14ac:dyDescent="0.25">
      <c r="A154" s="36" t="str">
        <f t="shared" si="62"/>
        <v>СБ-55Д-01</v>
      </c>
      <c r="B154" s="36"/>
      <c r="D154" s="85" t="s">
        <v>57</v>
      </c>
      <c r="E154" s="64" t="str">
        <f>E124</f>
        <v>тыс. руб.</v>
      </c>
      <c r="F154" s="70"/>
      <c r="G154" s="80">
        <f t="shared" ref="G154:Z154" si="250">IF(G120=0,0,G155*G156/1000)</f>
        <v>0</v>
      </c>
      <c r="H154" s="80">
        <f t="shared" si="250"/>
        <v>0</v>
      </c>
      <c r="I154" s="80">
        <f t="shared" si="250"/>
        <v>0</v>
      </c>
      <c r="J154" s="80">
        <f t="shared" si="250"/>
        <v>0</v>
      </c>
      <c r="K154" s="80">
        <f t="shared" si="250"/>
        <v>0</v>
      </c>
      <c r="L154" s="80">
        <f t="shared" si="250"/>
        <v>0</v>
      </c>
      <c r="M154" s="80">
        <f t="shared" si="250"/>
        <v>0</v>
      </c>
      <c r="N154" s="80">
        <f t="shared" si="250"/>
        <v>0</v>
      </c>
      <c r="O154" s="80">
        <f t="shared" si="250"/>
        <v>0</v>
      </c>
      <c r="P154" s="80">
        <f t="shared" si="250"/>
        <v>0</v>
      </c>
      <c r="Q154" s="80">
        <f t="shared" si="250"/>
        <v>0</v>
      </c>
      <c r="R154" s="80">
        <f t="shared" si="250"/>
        <v>0</v>
      </c>
      <c r="S154" s="80">
        <f t="shared" si="250"/>
        <v>0</v>
      </c>
      <c r="T154" s="80">
        <f t="shared" si="250"/>
        <v>0</v>
      </c>
      <c r="U154" s="80">
        <f t="shared" si="250"/>
        <v>0</v>
      </c>
      <c r="V154" s="80">
        <f t="shared" si="250"/>
        <v>0</v>
      </c>
      <c r="W154" s="80">
        <f t="shared" si="250"/>
        <v>0</v>
      </c>
      <c r="X154" s="80">
        <f t="shared" si="250"/>
        <v>0</v>
      </c>
      <c r="Y154" s="80">
        <f t="shared" si="250"/>
        <v>0</v>
      </c>
      <c r="Z154" s="80">
        <f t="shared" si="250"/>
        <v>0</v>
      </c>
      <c r="AA154" s="175"/>
    </row>
    <row r="155" spans="1:28" outlineLevel="1" x14ac:dyDescent="0.25">
      <c r="A155" s="36" t="str">
        <f t="shared" si="62"/>
        <v>СБ-55Д-01</v>
      </c>
      <c r="B155" s="36"/>
      <c r="D155" s="30" t="s">
        <v>58</v>
      </c>
      <c r="E155" s="9" t="s">
        <v>10</v>
      </c>
      <c r="F155" s="74">
        <f>SUMIFS('ФОТ, МТР, макро'!$AB$4:$AB$31,'ФОТ, МТР, макро'!$W$4:$W$31,$A155)</f>
        <v>0</v>
      </c>
      <c r="G155" s="83">
        <f>F155</f>
        <v>0</v>
      </c>
      <c r="H155" s="83">
        <f t="shared" ref="H155:H156" si="251">G155</f>
        <v>0</v>
      </c>
      <c r="I155" s="83">
        <f t="shared" ref="I155:I156" si="252">H155</f>
        <v>0</v>
      </c>
      <c r="J155" s="83">
        <f t="shared" ref="J155:J156" si="253">I155</f>
        <v>0</v>
      </c>
      <c r="K155" s="83">
        <f t="shared" ref="K155:K156" si="254">J155</f>
        <v>0</v>
      </c>
      <c r="L155" s="83">
        <f t="shared" ref="L155:L156" si="255">K155</f>
        <v>0</v>
      </c>
      <c r="M155" s="83">
        <f t="shared" ref="M155:M156" si="256">L155</f>
        <v>0</v>
      </c>
      <c r="N155" s="83">
        <f t="shared" ref="N155:N156" si="257">M155</f>
        <v>0</v>
      </c>
      <c r="O155" s="83">
        <f t="shared" ref="O155:O156" si="258">N155</f>
        <v>0</v>
      </c>
      <c r="P155" s="83">
        <f t="shared" ref="P155:P156" si="259">O155</f>
        <v>0</v>
      </c>
      <c r="Q155" s="83">
        <f t="shared" ref="Q155:Q156" si="260">P155</f>
        <v>0</v>
      </c>
      <c r="R155" s="83">
        <f t="shared" ref="R155:R156" si="261">Q155</f>
        <v>0</v>
      </c>
      <c r="S155" s="83">
        <f t="shared" ref="S155:S156" si="262">R155</f>
        <v>0</v>
      </c>
      <c r="T155" s="83">
        <f t="shared" ref="T155:T156" si="263">S155</f>
        <v>0</v>
      </c>
      <c r="U155" s="83">
        <f t="shared" ref="U155:U156" si="264">T155</f>
        <v>0</v>
      </c>
      <c r="V155" s="83">
        <f t="shared" ref="V155:V156" si="265">U155</f>
        <v>0</v>
      </c>
      <c r="W155" s="83">
        <f t="shared" ref="W155:W156" si="266">V155</f>
        <v>0</v>
      </c>
      <c r="X155" s="83">
        <f t="shared" ref="X155:X156" si="267">W155</f>
        <v>0</v>
      </c>
      <c r="Y155" s="83">
        <f t="shared" ref="Y155:Y156" si="268">X155</f>
        <v>0</v>
      </c>
      <c r="Z155" s="83">
        <f t="shared" ref="Z155:Z156" si="269">Y155</f>
        <v>0</v>
      </c>
      <c r="AA155" s="175"/>
    </row>
    <row r="156" spans="1:28" outlineLevel="1" x14ac:dyDescent="0.25">
      <c r="A156" s="36" t="str">
        <f t="shared" si="62"/>
        <v>СБ-55Д-01</v>
      </c>
      <c r="B156" s="36"/>
      <c r="D156" s="30" t="s">
        <v>59</v>
      </c>
      <c r="E156" s="9" t="s">
        <v>60</v>
      </c>
      <c r="F156" s="74">
        <f>SUMIFS('ФОТ, МТР, макро'!$AC$4:$AC$31,'ФОТ, МТР, макро'!$W$4:$W$31,$A156)</f>
        <v>15</v>
      </c>
      <c r="G156" s="83">
        <f>F156</f>
        <v>15</v>
      </c>
      <c r="H156" s="83">
        <f t="shared" si="251"/>
        <v>15</v>
      </c>
      <c r="I156" s="83">
        <f t="shared" si="252"/>
        <v>15</v>
      </c>
      <c r="J156" s="83">
        <f t="shared" si="253"/>
        <v>15</v>
      </c>
      <c r="K156" s="83">
        <f t="shared" si="254"/>
        <v>15</v>
      </c>
      <c r="L156" s="83">
        <f t="shared" si="255"/>
        <v>15</v>
      </c>
      <c r="M156" s="83">
        <f t="shared" si="256"/>
        <v>15</v>
      </c>
      <c r="N156" s="83">
        <f t="shared" si="257"/>
        <v>15</v>
      </c>
      <c r="O156" s="83">
        <f t="shared" si="258"/>
        <v>15</v>
      </c>
      <c r="P156" s="83">
        <f t="shared" si="259"/>
        <v>15</v>
      </c>
      <c r="Q156" s="83">
        <f t="shared" si="260"/>
        <v>15</v>
      </c>
      <c r="R156" s="83">
        <f t="shared" si="261"/>
        <v>15</v>
      </c>
      <c r="S156" s="83">
        <f t="shared" si="262"/>
        <v>15</v>
      </c>
      <c r="T156" s="83">
        <f t="shared" si="263"/>
        <v>15</v>
      </c>
      <c r="U156" s="83">
        <f t="shared" si="264"/>
        <v>15</v>
      </c>
      <c r="V156" s="83">
        <f t="shared" si="265"/>
        <v>15</v>
      </c>
      <c r="W156" s="83">
        <f t="shared" si="266"/>
        <v>15</v>
      </c>
      <c r="X156" s="83">
        <f t="shared" si="267"/>
        <v>15</v>
      </c>
      <c r="Y156" s="83">
        <f t="shared" si="268"/>
        <v>15</v>
      </c>
      <c r="Z156" s="83">
        <f t="shared" si="269"/>
        <v>15</v>
      </c>
      <c r="AA156" s="175"/>
    </row>
    <row r="157" spans="1:28" outlineLevel="1" x14ac:dyDescent="0.25">
      <c r="A157" s="36" t="str">
        <f t="shared" si="62"/>
        <v>СБ-55Д-01</v>
      </c>
      <c r="B157" s="36"/>
      <c r="C157" s="86">
        <f>SUMIFS('ФОТ, МТР, макро'!$AF$4:$AF$31,'ФОТ, МТР, макро'!$W$4:$W$31,$A157)</f>
        <v>19.672131147540984</v>
      </c>
      <c r="D157" s="85" t="s">
        <v>61</v>
      </c>
      <c r="E157" s="64" t="str">
        <f>E124</f>
        <v>тыс. руб.</v>
      </c>
      <c r="F157" s="80"/>
      <c r="G157" s="87">
        <f>IF(G117&lt;=$C158,$F162*$C157%,"ОШИБКА")</f>
        <v>0</v>
      </c>
      <c r="H157" s="71">
        <f>IF(H117&lt;=$C158,$F162*$C157%,$F162-SUM($G157:G157))</f>
        <v>0</v>
      </c>
      <c r="I157" s="71">
        <f>IF(I117&lt;=$C158,$F162*$C157%,$F162-SUM($G157:H157))</f>
        <v>0</v>
      </c>
      <c r="J157" s="71">
        <f>IF(J117&lt;=$C158,$F162*$C157%,$F162-SUM($G157:I157))</f>
        <v>0</v>
      </c>
      <c r="K157" s="71">
        <f>IF(K117&lt;=$C158,$F162*$C157%,$F162-SUM($G157:J157))</f>
        <v>0</v>
      </c>
      <c r="L157" s="71">
        <f>IF(L117&lt;=$C158,$F162*$C157%,$F162-SUM($G157:K157))</f>
        <v>0</v>
      </c>
      <c r="M157" s="71">
        <f>IF(M117&lt;=$C158,$F162*$C157%,$F162-SUM($G157:L157))</f>
        <v>0</v>
      </c>
      <c r="N157" s="71">
        <f>IF(N117&lt;=$C158,$F162*$C157%,$F162-SUM($G157:M157))</f>
        <v>0</v>
      </c>
      <c r="O157" s="71">
        <f>IF(O117&lt;=$C158,$F162*$C157%,$F162-SUM($G157:N157))</f>
        <v>0</v>
      </c>
      <c r="P157" s="71">
        <f>IF(P117&lt;=$C158,$F162*$C157%,$F162-SUM($G157:O157))</f>
        <v>0</v>
      </c>
      <c r="Q157" s="71">
        <f>IF(Q117&lt;=$C158,$F162*$C157%,$F162-SUM($G157:P157))</f>
        <v>0</v>
      </c>
      <c r="R157" s="71">
        <f>IF(R117&lt;=$C158,$F162*$C157%,$F162-SUM($G157:Q157))</f>
        <v>0</v>
      </c>
      <c r="S157" s="71">
        <f>IF(S117&lt;=$C158,$F162*$C157%,$F162-SUM($G157:R157))</f>
        <v>0</v>
      </c>
      <c r="T157" s="71">
        <f>IF(T117&lt;=$C158,$F162*$C157%,$F162-SUM($G157:S157))</f>
        <v>0</v>
      </c>
      <c r="U157" s="71">
        <f>IF(U117&lt;=$C158,$F162*$C157%,$F162-SUM($G157:T157))</f>
        <v>0</v>
      </c>
      <c r="V157" s="71">
        <f>IF(V117&lt;=$C158,$F162*$C157%,$F162-SUM($G157:U157))</f>
        <v>0</v>
      </c>
      <c r="W157" s="71">
        <f>IF(W117&lt;=$C158,$F162*$C157%,$F162-SUM($G157:V157))</f>
        <v>0</v>
      </c>
      <c r="X157" s="71">
        <f>IF(X117&lt;=$C158,$F162*$C157%,$F162-SUM($G157:W157))</f>
        <v>0</v>
      </c>
      <c r="Y157" s="71">
        <f>IF(Y117&lt;=$C158,$F162*$C157%,$F162-SUM($G157:X157))</f>
        <v>0</v>
      </c>
      <c r="Z157" s="71">
        <f>IF(Z117&lt;=$C158,$F162*$C157%,$F162-SUM($G157:Y157))</f>
        <v>0</v>
      </c>
      <c r="AA157" s="175"/>
    </row>
    <row r="158" spans="1:28" outlineLevel="1" x14ac:dyDescent="0.25">
      <c r="A158" s="36" t="str">
        <f t="shared" si="62"/>
        <v>СБ-55Д-01</v>
      </c>
      <c r="B158" s="36"/>
      <c r="C158" s="86">
        <f>SUMIFS('ФОТ, МТР, макро'!$AE$4:$AE$31,'ФОТ, МТР, макро'!$W$4:$W$31,$A158)/12</f>
        <v>5.083333333333333</v>
      </c>
      <c r="D158" s="85" t="s">
        <v>62</v>
      </c>
      <c r="E158" s="64" t="str">
        <f>E124</f>
        <v>тыс. руб.</v>
      </c>
      <c r="F158" s="65"/>
      <c r="G158" s="65">
        <f t="shared" ref="G158:Z158" si="270">SUM(G125,G130,G132,G136,G140,G142,G151,G154,G157)</f>
        <v>0</v>
      </c>
      <c r="H158" s="65">
        <f t="shared" si="270"/>
        <v>0</v>
      </c>
      <c r="I158" s="65">
        <f t="shared" si="270"/>
        <v>0</v>
      </c>
      <c r="J158" s="65">
        <f t="shared" si="270"/>
        <v>0</v>
      </c>
      <c r="K158" s="65">
        <f t="shared" si="270"/>
        <v>0</v>
      </c>
      <c r="L158" s="65">
        <f t="shared" si="270"/>
        <v>0</v>
      </c>
      <c r="M158" s="65">
        <f t="shared" si="270"/>
        <v>0</v>
      </c>
      <c r="N158" s="65">
        <f t="shared" si="270"/>
        <v>0</v>
      </c>
      <c r="O158" s="65">
        <f t="shared" si="270"/>
        <v>0</v>
      </c>
      <c r="P158" s="65">
        <f t="shared" si="270"/>
        <v>0</v>
      </c>
      <c r="Q158" s="65">
        <f t="shared" si="270"/>
        <v>0</v>
      </c>
      <c r="R158" s="65">
        <f t="shared" si="270"/>
        <v>0</v>
      </c>
      <c r="S158" s="65">
        <f t="shared" si="270"/>
        <v>0</v>
      </c>
      <c r="T158" s="65">
        <f t="shared" si="270"/>
        <v>0</v>
      </c>
      <c r="U158" s="65">
        <f t="shared" si="270"/>
        <v>0</v>
      </c>
      <c r="V158" s="65">
        <f t="shared" si="270"/>
        <v>0</v>
      </c>
      <c r="W158" s="65">
        <f t="shared" si="270"/>
        <v>0</v>
      </c>
      <c r="X158" s="65">
        <f t="shared" si="270"/>
        <v>0</v>
      </c>
      <c r="Y158" s="65">
        <f t="shared" si="270"/>
        <v>0</v>
      </c>
      <c r="Z158" s="65">
        <f t="shared" si="270"/>
        <v>0</v>
      </c>
      <c r="AA158" s="175"/>
      <c r="AB158" s="39"/>
    </row>
    <row r="159" spans="1:28" outlineLevel="1" x14ac:dyDescent="0.25">
      <c r="A159" s="36" t="str">
        <f t="shared" si="62"/>
        <v>СБ-55Д-01</v>
      </c>
      <c r="B159" s="36"/>
      <c r="D159" s="85" t="s">
        <v>63</v>
      </c>
      <c r="E159" s="64" t="str">
        <f>E124</f>
        <v>тыс. руб.</v>
      </c>
      <c r="F159" s="65"/>
      <c r="G159" s="65">
        <f>-G158*'ФОТ, МТР, макро'!AJ$12</f>
        <v>0</v>
      </c>
      <c r="H159" s="65">
        <f>-H158*'ФОТ, МТР, макро'!AK$12</f>
        <v>0</v>
      </c>
      <c r="I159" s="65">
        <f>-I158*'ФОТ, МТР, макро'!AL$12</f>
        <v>0</v>
      </c>
      <c r="J159" s="65">
        <f>-J158*'ФОТ, МТР, макро'!AM$12</f>
        <v>0</v>
      </c>
      <c r="K159" s="65">
        <f>-K158*'ФОТ, МТР, макро'!AN$12</f>
        <v>0</v>
      </c>
      <c r="L159" s="65">
        <f>-L158*'ФОТ, МТР, макро'!AO$12</f>
        <v>0</v>
      </c>
      <c r="M159" s="65">
        <f>-M158*'ФОТ, МТР, макро'!AP$12</f>
        <v>0</v>
      </c>
      <c r="N159" s="65">
        <f>-N158*'ФОТ, МТР, макро'!AQ$12</f>
        <v>0</v>
      </c>
      <c r="O159" s="65">
        <f>-O158*'ФОТ, МТР, макро'!AR$12</f>
        <v>0</v>
      </c>
      <c r="P159" s="65">
        <f>-P158*'ФОТ, МТР, макро'!AS$12</f>
        <v>0</v>
      </c>
      <c r="Q159" s="65">
        <f>-Q158*'ФОТ, МТР, макро'!AT$12</f>
        <v>0</v>
      </c>
      <c r="R159" s="65">
        <f>-R158*'ФОТ, МТР, макро'!AU$12</f>
        <v>0</v>
      </c>
      <c r="S159" s="65">
        <f>-S158*'ФОТ, МТР, макро'!AV$12</f>
        <v>0</v>
      </c>
      <c r="T159" s="65">
        <f>-T158*'ФОТ, МТР, макро'!AW$12</f>
        <v>0</v>
      </c>
      <c r="U159" s="65">
        <f>-U158*'ФОТ, МТР, макро'!AX$12</f>
        <v>0</v>
      </c>
      <c r="V159" s="65">
        <f>-V158*'ФОТ, МТР, макро'!AY$12</f>
        <v>0</v>
      </c>
      <c r="W159" s="65">
        <f>-W158*'ФОТ, МТР, макро'!AZ$12</f>
        <v>0</v>
      </c>
      <c r="X159" s="65">
        <f>-X158*'ФОТ, МТР, макро'!BA$12</f>
        <v>0</v>
      </c>
      <c r="Y159" s="65">
        <f>-Y158*'ФОТ, МТР, макро'!BB$12</f>
        <v>0</v>
      </c>
      <c r="Z159" s="65">
        <f>-Z158*'ФОТ, МТР, макро'!BC$12</f>
        <v>0</v>
      </c>
      <c r="AA159" s="175"/>
    </row>
    <row r="160" spans="1:28" outlineLevel="1" x14ac:dyDescent="0.25">
      <c r="A160" s="36" t="str">
        <f t="shared" si="62"/>
        <v>СБ-55Д-01</v>
      </c>
      <c r="B160" s="36"/>
      <c r="D160" s="88"/>
      <c r="E160" s="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175"/>
    </row>
    <row r="161" spans="1:27" outlineLevel="1" x14ac:dyDescent="0.25">
      <c r="A161" s="36" t="str">
        <f t="shared" si="62"/>
        <v>СБ-55Д-01</v>
      </c>
      <c r="B161" s="36"/>
      <c r="D161" s="66" t="s">
        <v>64</v>
      </c>
      <c r="E161" s="67" t="str">
        <f>E124</f>
        <v>тыс. руб.</v>
      </c>
      <c r="F161" s="68">
        <f>F162</f>
        <v>0</v>
      </c>
      <c r="G161" s="68">
        <f t="shared" ref="G161:Z161" si="271">G162</f>
        <v>0</v>
      </c>
      <c r="H161" s="68">
        <f t="shared" si="271"/>
        <v>0</v>
      </c>
      <c r="I161" s="68">
        <f t="shared" si="271"/>
        <v>0</v>
      </c>
      <c r="J161" s="68">
        <f t="shared" si="271"/>
        <v>0</v>
      </c>
      <c r="K161" s="68">
        <f t="shared" si="271"/>
        <v>0</v>
      </c>
      <c r="L161" s="68">
        <f t="shared" si="271"/>
        <v>0</v>
      </c>
      <c r="M161" s="68">
        <f t="shared" si="271"/>
        <v>0</v>
      </c>
      <c r="N161" s="68">
        <f t="shared" si="271"/>
        <v>0</v>
      </c>
      <c r="O161" s="68">
        <f t="shared" si="271"/>
        <v>0</v>
      </c>
      <c r="P161" s="68">
        <f t="shared" si="271"/>
        <v>0</v>
      </c>
      <c r="Q161" s="68">
        <f t="shared" si="271"/>
        <v>0</v>
      </c>
      <c r="R161" s="68">
        <f t="shared" si="271"/>
        <v>0</v>
      </c>
      <c r="S161" s="68">
        <f t="shared" si="271"/>
        <v>0</v>
      </c>
      <c r="T161" s="68">
        <f t="shared" si="271"/>
        <v>0</v>
      </c>
      <c r="U161" s="68">
        <f t="shared" si="271"/>
        <v>0</v>
      </c>
      <c r="V161" s="68">
        <f t="shared" si="271"/>
        <v>0</v>
      </c>
      <c r="W161" s="68">
        <f t="shared" si="271"/>
        <v>0</v>
      </c>
      <c r="X161" s="68">
        <f t="shared" si="271"/>
        <v>0</v>
      </c>
      <c r="Y161" s="68">
        <f t="shared" si="271"/>
        <v>0</v>
      </c>
      <c r="Z161" s="68">
        <f t="shared" si="271"/>
        <v>0</v>
      </c>
      <c r="AA161" s="175"/>
    </row>
    <row r="162" spans="1:27" outlineLevel="1" x14ac:dyDescent="0.25">
      <c r="A162" s="36" t="str">
        <f t="shared" si="62"/>
        <v>СБ-55Д-01</v>
      </c>
      <c r="B162" s="36"/>
      <c r="D162" s="88" t="s">
        <v>206</v>
      </c>
      <c r="E162" s="9" t="str">
        <f>E161</f>
        <v>тыс. руб.</v>
      </c>
      <c r="F162" s="74">
        <f>SUMIFS(Свод_215_диз!$D$33:$P$33,Свод_215_диз!$D$19:$P$19,$A162)</f>
        <v>0</v>
      </c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175"/>
    </row>
    <row r="163" spans="1:27" outlineLevel="1" x14ac:dyDescent="0.25">
      <c r="A163" s="36" t="str">
        <f t="shared" si="62"/>
        <v>СБ-55Д-01</v>
      </c>
      <c r="B163" s="36"/>
      <c r="D163" s="88"/>
      <c r="E163" s="9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175"/>
    </row>
    <row r="164" spans="1:27" outlineLevel="1" x14ac:dyDescent="0.25">
      <c r="A164" s="36" t="str">
        <f t="shared" si="62"/>
        <v>СБ-55Д-01</v>
      </c>
      <c r="B164" s="36"/>
      <c r="D164" s="66" t="s">
        <v>65</v>
      </c>
      <c r="E164" s="67" t="str">
        <f>E124</f>
        <v>тыс. руб.</v>
      </c>
      <c r="F164" s="68">
        <f t="shared" ref="F164:Z164" si="272">F124+F161</f>
        <v>0</v>
      </c>
      <c r="G164" s="68">
        <f t="shared" si="272"/>
        <v>0</v>
      </c>
      <c r="H164" s="68">
        <f t="shared" si="272"/>
        <v>0</v>
      </c>
      <c r="I164" s="68">
        <f t="shared" si="272"/>
        <v>0</v>
      </c>
      <c r="J164" s="68">
        <f t="shared" si="272"/>
        <v>0</v>
      </c>
      <c r="K164" s="68">
        <f t="shared" si="272"/>
        <v>0</v>
      </c>
      <c r="L164" s="68">
        <f t="shared" si="272"/>
        <v>0</v>
      </c>
      <c r="M164" s="68">
        <f t="shared" si="272"/>
        <v>0</v>
      </c>
      <c r="N164" s="68">
        <f t="shared" si="272"/>
        <v>0</v>
      </c>
      <c r="O164" s="68">
        <f t="shared" si="272"/>
        <v>0</v>
      </c>
      <c r="P164" s="68">
        <f t="shared" si="272"/>
        <v>0</v>
      </c>
      <c r="Q164" s="68">
        <f t="shared" si="272"/>
        <v>0</v>
      </c>
      <c r="R164" s="68">
        <f t="shared" si="272"/>
        <v>0</v>
      </c>
      <c r="S164" s="68">
        <f t="shared" si="272"/>
        <v>0</v>
      </c>
      <c r="T164" s="68">
        <f t="shared" si="272"/>
        <v>0</v>
      </c>
      <c r="U164" s="68">
        <f t="shared" si="272"/>
        <v>0</v>
      </c>
      <c r="V164" s="68">
        <f t="shared" si="272"/>
        <v>0</v>
      </c>
      <c r="W164" s="68">
        <f t="shared" si="272"/>
        <v>0</v>
      </c>
      <c r="X164" s="68">
        <f t="shared" si="272"/>
        <v>0</v>
      </c>
      <c r="Y164" s="68">
        <f t="shared" si="272"/>
        <v>0</v>
      </c>
      <c r="Z164" s="68">
        <f t="shared" si="272"/>
        <v>0</v>
      </c>
      <c r="AA164" s="175"/>
    </row>
    <row r="165" spans="1:27" outlineLevel="1" x14ac:dyDescent="0.25">
      <c r="A165" s="36" t="str">
        <f t="shared" si="62"/>
        <v>СБ-55Д-01</v>
      </c>
      <c r="B165" s="36"/>
      <c r="D165" s="63" t="s">
        <v>66</v>
      </c>
      <c r="E165" s="64" t="str">
        <f>E164</f>
        <v>тыс. руб.</v>
      </c>
      <c r="F165" s="89"/>
      <c r="G165" s="65">
        <f>G124*'ФОТ, МТР, макро'!AJ$14</f>
        <v>0</v>
      </c>
      <c r="H165" s="65">
        <f>H124*'ФОТ, МТР, макро'!AK$14</f>
        <v>0</v>
      </c>
      <c r="I165" s="65">
        <f>I124*'ФОТ, МТР, макро'!AL$14</f>
        <v>0</v>
      </c>
      <c r="J165" s="65">
        <f>J124*'ФОТ, МТР, макро'!AM$14</f>
        <v>0</v>
      </c>
      <c r="K165" s="65">
        <f>K124*'ФОТ, МТР, макро'!AN$14</f>
        <v>0</v>
      </c>
      <c r="L165" s="65">
        <f>L124*'ФОТ, МТР, макро'!AO$14</f>
        <v>0</v>
      </c>
      <c r="M165" s="65">
        <f>M124*'ФОТ, МТР, макро'!AP$14</f>
        <v>0</v>
      </c>
      <c r="N165" s="65">
        <f>N124*'ФОТ, МТР, макро'!AQ$14</f>
        <v>0</v>
      </c>
      <c r="O165" s="65">
        <f>O124*'ФОТ, МТР, макро'!AR$14</f>
        <v>0</v>
      </c>
      <c r="P165" s="65">
        <f>P124*'ФОТ, МТР, макро'!AS$14</f>
        <v>0</v>
      </c>
      <c r="Q165" s="65">
        <f>Q124*'ФОТ, МТР, макро'!AT$14</f>
        <v>0</v>
      </c>
      <c r="R165" s="65">
        <f>R124*'ФОТ, МТР, макро'!AU$14</f>
        <v>0</v>
      </c>
      <c r="S165" s="65">
        <f>S124*'ФОТ, МТР, макро'!AV$14</f>
        <v>0</v>
      </c>
      <c r="T165" s="65">
        <f>T124*'ФОТ, МТР, макро'!AW$14</f>
        <v>0</v>
      </c>
      <c r="U165" s="65">
        <f>U124*'ФОТ, МТР, макро'!AX$14</f>
        <v>0</v>
      </c>
      <c r="V165" s="65">
        <f>V124*'ФОТ, МТР, макро'!AY$14</f>
        <v>0</v>
      </c>
      <c r="W165" s="65">
        <f>W124*'ФОТ, МТР, макро'!AZ$14</f>
        <v>0</v>
      </c>
      <c r="X165" s="65">
        <f>X124*'ФОТ, МТР, макро'!BA$14</f>
        <v>0</v>
      </c>
      <c r="Y165" s="65">
        <f>Y124*'ФОТ, МТР, макро'!BB$14</f>
        <v>0</v>
      </c>
      <c r="Z165" s="65">
        <f>Z124*'ФОТ, МТР, макро'!BC$14</f>
        <v>0</v>
      </c>
      <c r="AA165" s="175"/>
    </row>
    <row r="166" spans="1:27" outlineLevel="1" x14ac:dyDescent="0.25">
      <c r="A166" s="36" t="str">
        <f t="shared" si="62"/>
        <v>СБ-55Д-01</v>
      </c>
      <c r="B166" s="36"/>
      <c r="D166" s="17" t="str">
        <f>D125</f>
        <v>ТО, ТР, ППР</v>
      </c>
      <c r="E166" s="9" t="str">
        <f>E165</f>
        <v>тыс. руб.</v>
      </c>
      <c r="F166" s="90"/>
      <c r="G166" s="70">
        <f>G125*'ФОТ, МТР, макро'!AJ$14</f>
        <v>0</v>
      </c>
      <c r="H166" s="70">
        <f>H125*'ФОТ, МТР, макро'!AK$14</f>
        <v>0</v>
      </c>
      <c r="I166" s="70">
        <f>I125*'ФОТ, МТР, макро'!AL$14</f>
        <v>0</v>
      </c>
      <c r="J166" s="70">
        <f>J125*'ФОТ, МТР, макро'!AM$14</f>
        <v>0</v>
      </c>
      <c r="K166" s="70">
        <f>K125*'ФОТ, МТР, макро'!AN$14</f>
        <v>0</v>
      </c>
      <c r="L166" s="70">
        <f>L125*'ФОТ, МТР, макро'!AO$14</f>
        <v>0</v>
      </c>
      <c r="M166" s="70">
        <f>M125*'ФОТ, МТР, макро'!AP$14</f>
        <v>0</v>
      </c>
      <c r="N166" s="70">
        <f>N125*'ФОТ, МТР, макро'!AQ$14</f>
        <v>0</v>
      </c>
      <c r="O166" s="70">
        <f>O125*'ФОТ, МТР, макро'!AR$14</f>
        <v>0</v>
      </c>
      <c r="P166" s="70">
        <f>P125*'ФОТ, МТР, макро'!AS$14</f>
        <v>0</v>
      </c>
      <c r="Q166" s="70">
        <f>Q125*'ФОТ, МТР, макро'!AT$14</f>
        <v>0</v>
      </c>
      <c r="R166" s="70">
        <f>R125*'ФОТ, МТР, макро'!AU$14</f>
        <v>0</v>
      </c>
      <c r="S166" s="70">
        <f>S125*'ФОТ, МТР, макро'!AV$14</f>
        <v>0</v>
      </c>
      <c r="T166" s="70">
        <f>T125*'ФОТ, МТР, макро'!AW$14</f>
        <v>0</v>
      </c>
      <c r="U166" s="70">
        <f>U125*'ФОТ, МТР, макро'!AX$14</f>
        <v>0</v>
      </c>
      <c r="V166" s="70">
        <f>V125*'ФОТ, МТР, макро'!AY$14</f>
        <v>0</v>
      </c>
      <c r="W166" s="70">
        <f>W125*'ФОТ, МТР, макро'!AZ$14</f>
        <v>0</v>
      </c>
      <c r="X166" s="70">
        <f>X125*'ФОТ, МТР, макро'!BA$14</f>
        <v>0</v>
      </c>
      <c r="Y166" s="70">
        <f>Y125*'ФОТ, МТР, макро'!BB$14</f>
        <v>0</v>
      </c>
      <c r="Z166" s="70">
        <f>Z125*'ФОТ, МТР, макро'!BC$14</f>
        <v>0</v>
      </c>
      <c r="AA166" s="175"/>
    </row>
    <row r="167" spans="1:27" outlineLevel="1" x14ac:dyDescent="0.25">
      <c r="A167" s="36" t="str">
        <f t="shared" si="62"/>
        <v>СБ-55Д-01</v>
      </c>
      <c r="B167" s="36"/>
      <c r="D167" s="17" t="str">
        <f>D130</f>
        <v>Смазочные</v>
      </c>
      <c r="E167" s="9" t="str">
        <f t="shared" ref="E167:E174" si="273">E166</f>
        <v>тыс. руб.</v>
      </c>
      <c r="F167" s="90"/>
      <c r="G167" s="70">
        <f>G130*'ФОТ, МТР, макро'!AJ$14</f>
        <v>0</v>
      </c>
      <c r="H167" s="70">
        <f>H130*'ФОТ, МТР, макро'!AK$14</f>
        <v>0</v>
      </c>
      <c r="I167" s="70">
        <f>I130*'ФОТ, МТР, макро'!AL$14</f>
        <v>0</v>
      </c>
      <c r="J167" s="70">
        <f>J130*'ФОТ, МТР, макро'!AM$14</f>
        <v>0</v>
      </c>
      <c r="K167" s="70">
        <f>K130*'ФОТ, МТР, макро'!AN$14</f>
        <v>0</v>
      </c>
      <c r="L167" s="70">
        <f>L130*'ФОТ, МТР, макро'!AO$14</f>
        <v>0</v>
      </c>
      <c r="M167" s="70">
        <f>M130*'ФОТ, МТР, макро'!AP$14</f>
        <v>0</v>
      </c>
      <c r="N167" s="70">
        <f>N130*'ФОТ, МТР, макро'!AQ$14</f>
        <v>0</v>
      </c>
      <c r="O167" s="70">
        <f>O130*'ФОТ, МТР, макро'!AR$14</f>
        <v>0</v>
      </c>
      <c r="P167" s="70">
        <f>P130*'ФОТ, МТР, макро'!AS$14</f>
        <v>0</v>
      </c>
      <c r="Q167" s="70">
        <f>Q130*'ФОТ, МТР, макро'!AT$14</f>
        <v>0</v>
      </c>
      <c r="R167" s="70">
        <f>R130*'ФОТ, МТР, макро'!AU$14</f>
        <v>0</v>
      </c>
      <c r="S167" s="70">
        <f>S130*'ФОТ, МТР, макро'!AV$14</f>
        <v>0</v>
      </c>
      <c r="T167" s="70">
        <f>T130*'ФОТ, МТР, макро'!AW$14</f>
        <v>0</v>
      </c>
      <c r="U167" s="70">
        <f>U130*'ФОТ, МТР, макро'!AX$14</f>
        <v>0</v>
      </c>
      <c r="V167" s="70">
        <f>V130*'ФОТ, МТР, макро'!AY$14</f>
        <v>0</v>
      </c>
      <c r="W167" s="70">
        <f>W130*'ФОТ, МТР, макро'!AZ$14</f>
        <v>0</v>
      </c>
      <c r="X167" s="70">
        <f>X130*'ФОТ, МТР, макро'!BA$14</f>
        <v>0</v>
      </c>
      <c r="Y167" s="70">
        <f>Y130*'ФОТ, МТР, макро'!BB$14</f>
        <v>0</v>
      </c>
      <c r="Z167" s="70">
        <f>Z130*'ФОТ, МТР, макро'!BC$14</f>
        <v>0</v>
      </c>
      <c r="AA167" s="175"/>
    </row>
    <row r="168" spans="1:27" outlineLevel="1" x14ac:dyDescent="0.25">
      <c r="A168" s="36" t="str">
        <f t="shared" si="62"/>
        <v>СБ-55Д-01</v>
      </c>
      <c r="B168" s="36"/>
      <c r="D168" s="17" t="str">
        <f>D132</f>
        <v>Долота</v>
      </c>
      <c r="E168" s="9" t="str">
        <f t="shared" si="273"/>
        <v>тыс. руб.</v>
      </c>
      <c r="F168" s="90"/>
      <c r="G168" s="70">
        <f>G132*'ФОТ, МТР, макро'!AJ$14</f>
        <v>0</v>
      </c>
      <c r="H168" s="70">
        <f>H132*'ФОТ, МТР, макро'!AK$14</f>
        <v>0</v>
      </c>
      <c r="I168" s="70">
        <f>I132*'ФОТ, МТР, макро'!AL$14</f>
        <v>0</v>
      </c>
      <c r="J168" s="70">
        <f>J132*'ФОТ, МТР, макро'!AM$14</f>
        <v>0</v>
      </c>
      <c r="K168" s="70">
        <f>K132*'ФОТ, МТР, макро'!AN$14</f>
        <v>0</v>
      </c>
      <c r="L168" s="70">
        <f>L132*'ФОТ, МТР, макро'!AO$14</f>
        <v>0</v>
      </c>
      <c r="M168" s="70">
        <f>M132*'ФОТ, МТР, макро'!AP$14</f>
        <v>0</v>
      </c>
      <c r="N168" s="70">
        <f>N132*'ФОТ, МТР, макро'!AQ$14</f>
        <v>0</v>
      </c>
      <c r="O168" s="70">
        <f>O132*'ФОТ, МТР, макро'!AR$14</f>
        <v>0</v>
      </c>
      <c r="P168" s="70">
        <f>P132*'ФОТ, МТР, макро'!AS$14</f>
        <v>0</v>
      </c>
      <c r="Q168" s="70">
        <f>Q132*'ФОТ, МТР, макро'!AT$14</f>
        <v>0</v>
      </c>
      <c r="R168" s="70">
        <f>R132*'ФОТ, МТР, макро'!AU$14</f>
        <v>0</v>
      </c>
      <c r="S168" s="70">
        <f>S132*'ФОТ, МТР, макро'!AV$14</f>
        <v>0</v>
      </c>
      <c r="T168" s="70">
        <f>T132*'ФОТ, МТР, макро'!AW$14</f>
        <v>0</v>
      </c>
      <c r="U168" s="70">
        <f>U132*'ФОТ, МТР, макро'!AX$14</f>
        <v>0</v>
      </c>
      <c r="V168" s="70">
        <f>V132*'ФОТ, МТР, макро'!AY$14</f>
        <v>0</v>
      </c>
      <c r="W168" s="70">
        <f>W132*'ФОТ, МТР, макро'!AZ$14</f>
        <v>0</v>
      </c>
      <c r="X168" s="70">
        <f>X132*'ФОТ, МТР, макро'!BA$14</f>
        <v>0</v>
      </c>
      <c r="Y168" s="70">
        <f>Y132*'ФОТ, МТР, макро'!BB$14</f>
        <v>0</v>
      </c>
      <c r="Z168" s="70">
        <f>Z132*'ФОТ, МТР, макро'!BC$14</f>
        <v>0</v>
      </c>
      <c r="AA168" s="175"/>
    </row>
    <row r="169" spans="1:27" outlineLevel="1" x14ac:dyDescent="0.25">
      <c r="A169" s="36" t="str">
        <f t="shared" si="62"/>
        <v>СБ-55Д-01</v>
      </c>
      <c r="B169" s="36"/>
      <c r="D169" s="17" t="str">
        <f>D136</f>
        <v>Штанги буровые</v>
      </c>
      <c r="E169" s="9" t="str">
        <f t="shared" si="273"/>
        <v>тыс. руб.</v>
      </c>
      <c r="F169" s="90"/>
      <c r="G169" s="70">
        <f>G136*'ФОТ, МТР, макро'!AJ$14</f>
        <v>0</v>
      </c>
      <c r="H169" s="70">
        <f>H136*'ФОТ, МТР, макро'!AK$14</f>
        <v>0</v>
      </c>
      <c r="I169" s="70">
        <f>I136*'ФОТ, МТР, макро'!AL$14</f>
        <v>0</v>
      </c>
      <c r="J169" s="70">
        <f>J136*'ФОТ, МТР, макро'!AM$14</f>
        <v>0</v>
      </c>
      <c r="K169" s="70">
        <f>K136*'ФОТ, МТР, макро'!AN$14</f>
        <v>0</v>
      </c>
      <c r="L169" s="70">
        <f>L136*'ФОТ, МТР, макро'!AO$14</f>
        <v>0</v>
      </c>
      <c r="M169" s="70">
        <f>M136*'ФОТ, МТР, макро'!AP$14</f>
        <v>0</v>
      </c>
      <c r="N169" s="70">
        <f>N136*'ФОТ, МТР, макро'!AQ$14</f>
        <v>0</v>
      </c>
      <c r="O169" s="70">
        <f>O136*'ФОТ, МТР, макро'!AR$14</f>
        <v>0</v>
      </c>
      <c r="P169" s="70">
        <f>P136*'ФОТ, МТР, макро'!AS$14</f>
        <v>0</v>
      </c>
      <c r="Q169" s="70">
        <f>Q136*'ФОТ, МТР, макро'!AT$14</f>
        <v>0</v>
      </c>
      <c r="R169" s="70">
        <f>R136*'ФОТ, МТР, макро'!AU$14</f>
        <v>0</v>
      </c>
      <c r="S169" s="70">
        <f>S136*'ФОТ, МТР, макро'!AV$14</f>
        <v>0</v>
      </c>
      <c r="T169" s="70">
        <f>T136*'ФОТ, МТР, макро'!AW$14</f>
        <v>0</v>
      </c>
      <c r="U169" s="70">
        <f>U136*'ФОТ, МТР, макро'!AX$14</f>
        <v>0</v>
      </c>
      <c r="V169" s="70">
        <f>V136*'ФОТ, МТР, макро'!AY$14</f>
        <v>0</v>
      </c>
      <c r="W169" s="70">
        <f>W136*'ФОТ, МТР, макро'!AZ$14</f>
        <v>0</v>
      </c>
      <c r="X169" s="70">
        <f>X136*'ФОТ, МТР, макро'!BA$14</f>
        <v>0</v>
      </c>
      <c r="Y169" s="70">
        <f>Y136*'ФОТ, МТР, макро'!BB$14</f>
        <v>0</v>
      </c>
      <c r="Z169" s="70">
        <f>Z136*'ФОТ, МТР, макро'!BC$14</f>
        <v>0</v>
      </c>
      <c r="AA169" s="175"/>
    </row>
    <row r="170" spans="1:27" outlineLevel="1" x14ac:dyDescent="0.25">
      <c r="A170" s="36" t="str">
        <f t="shared" si="62"/>
        <v>СБ-55Д-01</v>
      </c>
      <c r="B170" s="36"/>
      <c r="D170" s="17" t="str">
        <f>D140</f>
        <v>Расходники</v>
      </c>
      <c r="E170" s="9" t="str">
        <f t="shared" si="273"/>
        <v>тыс. руб.</v>
      </c>
      <c r="F170" s="90"/>
      <c r="G170" s="70">
        <f>G140*'ФОТ, МТР, макро'!AJ$14</f>
        <v>0</v>
      </c>
      <c r="H170" s="70">
        <f>H140*'ФОТ, МТР, макро'!AK$14</f>
        <v>0</v>
      </c>
      <c r="I170" s="70">
        <f>I140*'ФОТ, МТР, макро'!AL$14</f>
        <v>0</v>
      </c>
      <c r="J170" s="70">
        <f>J140*'ФОТ, МТР, макро'!AM$14</f>
        <v>0</v>
      </c>
      <c r="K170" s="70">
        <f>K140*'ФОТ, МТР, макро'!AN$14</f>
        <v>0</v>
      </c>
      <c r="L170" s="70">
        <f>L140*'ФОТ, МТР, макро'!AO$14</f>
        <v>0</v>
      </c>
      <c r="M170" s="70">
        <f>M140*'ФОТ, МТР, макро'!AP$14</f>
        <v>0</v>
      </c>
      <c r="N170" s="70">
        <f>N140*'ФОТ, МТР, макро'!AQ$14</f>
        <v>0</v>
      </c>
      <c r="O170" s="70">
        <f>O140*'ФОТ, МТР, макро'!AR$14</f>
        <v>0</v>
      </c>
      <c r="P170" s="70">
        <f>P140*'ФОТ, МТР, макро'!AS$14</f>
        <v>0</v>
      </c>
      <c r="Q170" s="70">
        <f>Q140*'ФОТ, МТР, макро'!AT$14</f>
        <v>0</v>
      </c>
      <c r="R170" s="70">
        <f>R140*'ФОТ, МТР, макро'!AU$14</f>
        <v>0</v>
      </c>
      <c r="S170" s="70">
        <f>S140*'ФОТ, МТР, макро'!AV$14</f>
        <v>0</v>
      </c>
      <c r="T170" s="70">
        <f>T140*'ФОТ, МТР, макро'!AW$14</f>
        <v>0</v>
      </c>
      <c r="U170" s="70">
        <f>U140*'ФОТ, МТР, макро'!AX$14</f>
        <v>0</v>
      </c>
      <c r="V170" s="70">
        <f>V140*'ФОТ, МТР, макро'!AY$14</f>
        <v>0</v>
      </c>
      <c r="W170" s="70">
        <f>W140*'ФОТ, МТР, макро'!AZ$14</f>
        <v>0</v>
      </c>
      <c r="X170" s="70">
        <f>X140*'ФОТ, МТР, макро'!BA$14</f>
        <v>0</v>
      </c>
      <c r="Y170" s="70">
        <f>Y140*'ФОТ, МТР, макро'!BB$14</f>
        <v>0</v>
      </c>
      <c r="Z170" s="70">
        <f>Z140*'ФОТ, МТР, макро'!BC$14</f>
        <v>0</v>
      </c>
      <c r="AA170" s="175"/>
    </row>
    <row r="171" spans="1:27" outlineLevel="1" x14ac:dyDescent="0.25">
      <c r="A171" s="36" t="str">
        <f t="shared" si="62"/>
        <v>СБ-55Д-01</v>
      </c>
      <c r="B171" s="36"/>
      <c r="D171" s="17" t="str">
        <f>D142</f>
        <v>Топливо/Электроэнергия</v>
      </c>
      <c r="E171" s="9" t="str">
        <f t="shared" si="273"/>
        <v>тыс. руб.</v>
      </c>
      <c r="F171" s="90"/>
      <c r="G171" s="70">
        <f>G142*'ФОТ, МТР, макро'!AJ$14</f>
        <v>0</v>
      </c>
      <c r="H171" s="70">
        <f>H142*'ФОТ, МТР, макро'!AK$14</f>
        <v>0</v>
      </c>
      <c r="I171" s="70">
        <f>I142*'ФОТ, МТР, макро'!AL$14</f>
        <v>0</v>
      </c>
      <c r="J171" s="70">
        <f>J142*'ФОТ, МТР, макро'!AM$14</f>
        <v>0</v>
      </c>
      <c r="K171" s="70">
        <f>K142*'ФОТ, МТР, макро'!AN$14</f>
        <v>0</v>
      </c>
      <c r="L171" s="70">
        <f>L142*'ФОТ, МТР, макро'!AO$14</f>
        <v>0</v>
      </c>
      <c r="M171" s="70">
        <f>M142*'ФОТ, МТР, макро'!AP$14</f>
        <v>0</v>
      </c>
      <c r="N171" s="70">
        <f>N142*'ФОТ, МТР, макро'!AQ$14</f>
        <v>0</v>
      </c>
      <c r="O171" s="70">
        <f>O142*'ФОТ, МТР, макро'!AR$14</f>
        <v>0</v>
      </c>
      <c r="P171" s="70">
        <f>P142*'ФОТ, МТР, макро'!AS$14</f>
        <v>0</v>
      </c>
      <c r="Q171" s="70">
        <f>Q142*'ФОТ, МТР, макро'!AT$14</f>
        <v>0</v>
      </c>
      <c r="R171" s="70">
        <f>R142*'ФОТ, МТР, макро'!AU$14</f>
        <v>0</v>
      </c>
      <c r="S171" s="70">
        <f>S142*'ФОТ, МТР, макро'!AV$14</f>
        <v>0</v>
      </c>
      <c r="T171" s="70">
        <f>T142*'ФОТ, МТР, макро'!AW$14</f>
        <v>0</v>
      </c>
      <c r="U171" s="70">
        <f>U142*'ФОТ, МТР, макро'!AX$14</f>
        <v>0</v>
      </c>
      <c r="V171" s="70">
        <f>V142*'ФОТ, МТР, макро'!AY$14</f>
        <v>0</v>
      </c>
      <c r="W171" s="70">
        <f>W142*'ФОТ, МТР, макро'!AZ$14</f>
        <v>0</v>
      </c>
      <c r="X171" s="70">
        <f>X142*'ФОТ, МТР, макро'!BA$14</f>
        <v>0</v>
      </c>
      <c r="Y171" s="70">
        <f>Y142*'ФОТ, МТР, макро'!BB$14</f>
        <v>0</v>
      </c>
      <c r="Z171" s="70">
        <f>Z142*'ФОТ, МТР, макро'!BC$14</f>
        <v>0</v>
      </c>
      <c r="AA171" s="175"/>
    </row>
    <row r="172" spans="1:27" outlineLevel="1" x14ac:dyDescent="0.25">
      <c r="A172" s="36" t="str">
        <f t="shared" si="62"/>
        <v>СБ-55Д-01</v>
      </c>
      <c r="B172" s="36"/>
      <c r="D172" s="17" t="str">
        <f>D151</f>
        <v>Затраты на персонал</v>
      </c>
      <c r="E172" s="9" t="str">
        <f t="shared" si="273"/>
        <v>тыс. руб.</v>
      </c>
      <c r="F172" s="90"/>
      <c r="G172" s="70">
        <f>G151*'ФОТ, МТР, макро'!AJ$14</f>
        <v>0</v>
      </c>
      <c r="H172" s="70">
        <f>H151*'ФОТ, МТР, макро'!AK$14</f>
        <v>0</v>
      </c>
      <c r="I172" s="70">
        <f>I151*'ФОТ, МТР, макро'!AL$14</f>
        <v>0</v>
      </c>
      <c r="J172" s="70">
        <f>J151*'ФОТ, МТР, макро'!AM$14</f>
        <v>0</v>
      </c>
      <c r="K172" s="70">
        <f>K151*'ФОТ, МТР, макро'!AN$14</f>
        <v>0</v>
      </c>
      <c r="L172" s="70">
        <f>L151*'ФОТ, МТР, макро'!AO$14</f>
        <v>0</v>
      </c>
      <c r="M172" s="70">
        <f>M151*'ФОТ, МТР, макро'!AP$14</f>
        <v>0</v>
      </c>
      <c r="N172" s="70">
        <f>N151*'ФОТ, МТР, макро'!AQ$14</f>
        <v>0</v>
      </c>
      <c r="O172" s="70">
        <f>O151*'ФОТ, МТР, макро'!AR$14</f>
        <v>0</v>
      </c>
      <c r="P172" s="70">
        <f>P151*'ФОТ, МТР, макро'!AS$14</f>
        <v>0</v>
      </c>
      <c r="Q172" s="70">
        <f>Q151*'ФОТ, МТР, макро'!AT$14</f>
        <v>0</v>
      </c>
      <c r="R172" s="70">
        <f>R151*'ФОТ, МТР, макро'!AU$14</f>
        <v>0</v>
      </c>
      <c r="S172" s="70">
        <f>S151*'ФОТ, МТР, макро'!AV$14</f>
        <v>0</v>
      </c>
      <c r="T172" s="70">
        <f>T151*'ФОТ, МТР, макро'!AW$14</f>
        <v>0</v>
      </c>
      <c r="U172" s="70">
        <f>U151*'ФОТ, МТР, макро'!AX$14</f>
        <v>0</v>
      </c>
      <c r="V172" s="70">
        <f>V151*'ФОТ, МТР, макро'!AY$14</f>
        <v>0</v>
      </c>
      <c r="W172" s="70">
        <f>W151*'ФОТ, МТР, макро'!AZ$14</f>
        <v>0</v>
      </c>
      <c r="X172" s="70">
        <f>X151*'ФОТ, МТР, макро'!BA$14</f>
        <v>0</v>
      </c>
      <c r="Y172" s="70">
        <f>Y151*'ФОТ, МТР, макро'!BB$14</f>
        <v>0</v>
      </c>
      <c r="Z172" s="70">
        <f>Z151*'ФОТ, МТР, макро'!BC$14</f>
        <v>0</v>
      </c>
      <c r="AA172" s="175"/>
    </row>
    <row r="173" spans="1:27" outlineLevel="1" x14ac:dyDescent="0.25">
      <c r="A173" s="36" t="str">
        <f t="shared" si="62"/>
        <v>СБ-55Д-01</v>
      </c>
      <c r="B173" s="36"/>
      <c r="D173" s="17" t="str">
        <f>D154</f>
        <v>Транспортный налог</v>
      </c>
      <c r="E173" s="9" t="str">
        <f t="shared" si="273"/>
        <v>тыс. руб.</v>
      </c>
      <c r="F173" s="90"/>
      <c r="G173" s="70">
        <f>G154*'ФОТ, МТР, макро'!AJ$14</f>
        <v>0</v>
      </c>
      <c r="H173" s="70">
        <f>H154*'ФОТ, МТР, макро'!AK$14</f>
        <v>0</v>
      </c>
      <c r="I173" s="70">
        <f>I154*'ФОТ, МТР, макро'!AL$14</f>
        <v>0</v>
      </c>
      <c r="J173" s="70">
        <f>J154*'ФОТ, МТР, макро'!AM$14</f>
        <v>0</v>
      </c>
      <c r="K173" s="70">
        <f>K154*'ФОТ, МТР, макро'!AN$14</f>
        <v>0</v>
      </c>
      <c r="L173" s="70">
        <f>L154*'ФОТ, МТР, макро'!AO$14</f>
        <v>0</v>
      </c>
      <c r="M173" s="70">
        <f>M154*'ФОТ, МТР, макро'!AP$14</f>
        <v>0</v>
      </c>
      <c r="N173" s="70">
        <f>N154*'ФОТ, МТР, макро'!AQ$14</f>
        <v>0</v>
      </c>
      <c r="O173" s="70">
        <f>O154*'ФОТ, МТР, макро'!AR$14</f>
        <v>0</v>
      </c>
      <c r="P173" s="70">
        <f>P154*'ФОТ, МТР, макро'!AS$14</f>
        <v>0</v>
      </c>
      <c r="Q173" s="70">
        <f>Q154*'ФОТ, МТР, макро'!AT$14</f>
        <v>0</v>
      </c>
      <c r="R173" s="70">
        <f>R154*'ФОТ, МТР, макро'!AU$14</f>
        <v>0</v>
      </c>
      <c r="S173" s="70">
        <f>S154*'ФОТ, МТР, макро'!AV$14</f>
        <v>0</v>
      </c>
      <c r="T173" s="70">
        <f>T154*'ФОТ, МТР, макро'!AW$14</f>
        <v>0</v>
      </c>
      <c r="U173" s="70">
        <f>U154*'ФОТ, МТР, макро'!AX$14</f>
        <v>0</v>
      </c>
      <c r="V173" s="70">
        <f>V154*'ФОТ, МТР, макро'!AY$14</f>
        <v>0</v>
      </c>
      <c r="W173" s="70">
        <f>W154*'ФОТ, МТР, макро'!AZ$14</f>
        <v>0</v>
      </c>
      <c r="X173" s="70">
        <f>X154*'ФОТ, МТР, макро'!BA$14</f>
        <v>0</v>
      </c>
      <c r="Y173" s="70">
        <f>Y154*'ФОТ, МТР, макро'!BB$14</f>
        <v>0</v>
      </c>
      <c r="Z173" s="70">
        <f>Z154*'ФОТ, МТР, макро'!BC$14</f>
        <v>0</v>
      </c>
      <c r="AA173" s="175"/>
    </row>
    <row r="174" spans="1:27" outlineLevel="1" x14ac:dyDescent="0.25">
      <c r="A174" s="36" t="str">
        <f t="shared" si="62"/>
        <v>СБ-55Д-01</v>
      </c>
      <c r="B174" s="36"/>
      <c r="D174" s="17" t="str">
        <f>D159</f>
        <v>Налог на прибыль</v>
      </c>
      <c r="E174" s="9" t="str">
        <f t="shared" si="273"/>
        <v>тыс. руб.</v>
      </c>
      <c r="F174" s="90"/>
      <c r="G174" s="70">
        <f>G159*'ФОТ, МТР, макро'!AJ$14</f>
        <v>0</v>
      </c>
      <c r="H174" s="70">
        <f>H159*'ФОТ, МТР, макро'!AK$14</f>
        <v>0</v>
      </c>
      <c r="I174" s="70">
        <f>I159*'ФОТ, МТР, макро'!AL$14</f>
        <v>0</v>
      </c>
      <c r="J174" s="70">
        <f>J159*'ФОТ, МТР, макро'!AM$14</f>
        <v>0</v>
      </c>
      <c r="K174" s="70">
        <f>K159*'ФОТ, МТР, макро'!AN$14</f>
        <v>0</v>
      </c>
      <c r="L174" s="70">
        <f>L159*'ФОТ, МТР, макро'!AO$14</f>
        <v>0</v>
      </c>
      <c r="M174" s="70">
        <f>M159*'ФОТ, МТР, макро'!AP$14</f>
        <v>0</v>
      </c>
      <c r="N174" s="70">
        <f>N159*'ФОТ, МТР, макро'!AQ$14</f>
        <v>0</v>
      </c>
      <c r="O174" s="70">
        <f>O159*'ФОТ, МТР, макро'!AR$14</f>
        <v>0</v>
      </c>
      <c r="P174" s="70">
        <f>P159*'ФОТ, МТР, макро'!AS$14</f>
        <v>0</v>
      </c>
      <c r="Q174" s="70">
        <f>Q159*'ФОТ, МТР, макро'!AT$14</f>
        <v>0</v>
      </c>
      <c r="R174" s="70">
        <f>R159*'ФОТ, МТР, макро'!AU$14</f>
        <v>0</v>
      </c>
      <c r="S174" s="70">
        <f>S159*'ФОТ, МТР, макро'!AV$14</f>
        <v>0</v>
      </c>
      <c r="T174" s="70">
        <f>T159*'ФОТ, МТР, макро'!AW$14</f>
        <v>0</v>
      </c>
      <c r="U174" s="70">
        <f>U159*'ФОТ, МТР, макро'!AX$14</f>
        <v>0</v>
      </c>
      <c r="V174" s="70">
        <f>V159*'ФОТ, МТР, макро'!AY$14</f>
        <v>0</v>
      </c>
      <c r="W174" s="70">
        <f>W159*'ФОТ, МТР, макро'!AZ$14</f>
        <v>0</v>
      </c>
      <c r="X174" s="70">
        <f>X159*'ФОТ, МТР, макро'!BA$14</f>
        <v>0</v>
      </c>
      <c r="Y174" s="70">
        <f>Y159*'ФОТ, МТР, макро'!BB$14</f>
        <v>0</v>
      </c>
      <c r="Z174" s="70">
        <f>Z159*'ФОТ, МТР, макро'!BC$14</f>
        <v>0</v>
      </c>
      <c r="AA174" s="175"/>
    </row>
    <row r="175" spans="1:27" outlineLevel="1" x14ac:dyDescent="0.25">
      <c r="A175" s="36" t="str">
        <f t="shared" si="62"/>
        <v>СБ-55Д-01</v>
      </c>
      <c r="B175" s="36"/>
      <c r="D175" s="91" t="s">
        <v>67</v>
      </c>
      <c r="E175" s="9"/>
      <c r="F175" s="92"/>
      <c r="G175" s="93">
        <f>G165-SUM(G166:G174)</f>
        <v>0</v>
      </c>
      <c r="H175" s="93">
        <f t="shared" ref="H175:Z175" si="274">H165-SUM(H166:H174)</f>
        <v>0</v>
      </c>
      <c r="I175" s="93">
        <f t="shared" si="274"/>
        <v>0</v>
      </c>
      <c r="J175" s="93">
        <f t="shared" si="274"/>
        <v>0</v>
      </c>
      <c r="K175" s="93">
        <f t="shared" si="274"/>
        <v>0</v>
      </c>
      <c r="L175" s="93">
        <f t="shared" si="274"/>
        <v>0</v>
      </c>
      <c r="M175" s="93">
        <f t="shared" si="274"/>
        <v>0</v>
      </c>
      <c r="N175" s="93">
        <f t="shared" si="274"/>
        <v>0</v>
      </c>
      <c r="O175" s="93">
        <f t="shared" si="274"/>
        <v>0</v>
      </c>
      <c r="P175" s="93">
        <f t="shared" si="274"/>
        <v>0</v>
      </c>
      <c r="Q175" s="93">
        <f t="shared" si="274"/>
        <v>0</v>
      </c>
      <c r="R175" s="93">
        <f t="shared" si="274"/>
        <v>0</v>
      </c>
      <c r="S175" s="93">
        <f t="shared" si="274"/>
        <v>0</v>
      </c>
      <c r="T175" s="93">
        <f t="shared" si="274"/>
        <v>0</v>
      </c>
      <c r="U175" s="93">
        <f t="shared" si="274"/>
        <v>0</v>
      </c>
      <c r="V175" s="93">
        <f t="shared" si="274"/>
        <v>0</v>
      </c>
      <c r="W175" s="93">
        <f t="shared" si="274"/>
        <v>0</v>
      </c>
      <c r="X175" s="93">
        <f t="shared" si="274"/>
        <v>0</v>
      </c>
      <c r="Y175" s="93">
        <f t="shared" si="274"/>
        <v>0</v>
      </c>
      <c r="Z175" s="93">
        <f t="shared" si="274"/>
        <v>0</v>
      </c>
      <c r="AA175" s="175"/>
    </row>
    <row r="176" spans="1:27" ht="27.2" outlineLevel="1" x14ac:dyDescent="0.25">
      <c r="A176" s="36" t="str">
        <f t="shared" si="62"/>
        <v>СБ-55Д-01</v>
      </c>
      <c r="B176" s="36"/>
      <c r="D176" s="94" t="s">
        <v>68</v>
      </c>
      <c r="E176" s="64" t="str">
        <f>E165</f>
        <v>тыс. руб.</v>
      </c>
      <c r="F176" s="65">
        <f>F165</f>
        <v>0</v>
      </c>
      <c r="G176" s="65">
        <f>F176+G165</f>
        <v>0</v>
      </c>
      <c r="H176" s="65">
        <f t="shared" ref="H176:H185" si="275">G176+H165</f>
        <v>0</v>
      </c>
      <c r="I176" s="65">
        <f t="shared" ref="I176:I185" si="276">H176+I165</f>
        <v>0</v>
      </c>
      <c r="J176" s="65">
        <f t="shared" ref="J176:J185" si="277">I176+J165</f>
        <v>0</v>
      </c>
      <c r="K176" s="65">
        <f t="shared" ref="K176:K185" si="278">J176+K165</f>
        <v>0</v>
      </c>
      <c r="L176" s="65">
        <f t="shared" ref="L176:L185" si="279">K176+L165</f>
        <v>0</v>
      </c>
      <c r="M176" s="65">
        <f t="shared" ref="M176:M185" si="280">L176+M165</f>
        <v>0</v>
      </c>
      <c r="N176" s="65">
        <f t="shared" ref="N176:N185" si="281">M176+N165</f>
        <v>0</v>
      </c>
      <c r="O176" s="65">
        <f t="shared" ref="O176:O185" si="282">N176+O165</f>
        <v>0</v>
      </c>
      <c r="P176" s="65">
        <f t="shared" ref="P176:P185" si="283">O176+P165</f>
        <v>0</v>
      </c>
      <c r="Q176" s="65">
        <f t="shared" ref="Q176:Q185" si="284">P176+Q165</f>
        <v>0</v>
      </c>
      <c r="R176" s="65">
        <f t="shared" ref="R176:R185" si="285">Q176+R165</f>
        <v>0</v>
      </c>
      <c r="S176" s="65">
        <f t="shared" ref="S176:S185" si="286">R176+S165</f>
        <v>0</v>
      </c>
      <c r="T176" s="65">
        <f t="shared" ref="T176:T185" si="287">S176+T165</f>
        <v>0</v>
      </c>
      <c r="U176" s="65">
        <f t="shared" ref="U176:U185" si="288">T176+U165</f>
        <v>0</v>
      </c>
      <c r="V176" s="65">
        <f t="shared" ref="V176:V185" si="289">U176+V165</f>
        <v>0</v>
      </c>
      <c r="W176" s="65">
        <f t="shared" ref="W176:W185" si="290">V176+W165</f>
        <v>0</v>
      </c>
      <c r="X176" s="65">
        <f t="shared" ref="X176:X185" si="291">W176+X165</f>
        <v>0</v>
      </c>
      <c r="Y176" s="65">
        <f t="shared" ref="Y176:Y185" si="292">X176+Y165</f>
        <v>0</v>
      </c>
      <c r="Z176" s="65">
        <f t="shared" ref="Z176:Z185" si="293">Y176+Z165</f>
        <v>0</v>
      </c>
      <c r="AA176" s="175"/>
    </row>
    <row r="177" spans="1:27" outlineLevel="1" x14ac:dyDescent="0.25">
      <c r="A177" s="36" t="str">
        <f t="shared" si="62"/>
        <v>СБ-55Д-01</v>
      </c>
      <c r="B177" s="36"/>
      <c r="D177" s="201" t="str">
        <f>D166</f>
        <v>ТО, ТР, ППР</v>
      </c>
      <c r="E177" s="196" t="str">
        <f>E166</f>
        <v>тыс. руб.</v>
      </c>
      <c r="F177" s="83">
        <f>F166</f>
        <v>0</v>
      </c>
      <c r="G177" s="83">
        <f>F177+G166</f>
        <v>0</v>
      </c>
      <c r="H177" s="83">
        <f t="shared" si="275"/>
        <v>0</v>
      </c>
      <c r="I177" s="83">
        <f t="shared" si="276"/>
        <v>0</v>
      </c>
      <c r="J177" s="83">
        <f t="shared" si="277"/>
        <v>0</v>
      </c>
      <c r="K177" s="83">
        <f t="shared" si="278"/>
        <v>0</v>
      </c>
      <c r="L177" s="83">
        <f t="shared" si="279"/>
        <v>0</v>
      </c>
      <c r="M177" s="83">
        <f t="shared" si="280"/>
        <v>0</v>
      </c>
      <c r="N177" s="83">
        <f t="shared" si="281"/>
        <v>0</v>
      </c>
      <c r="O177" s="83">
        <f t="shared" si="282"/>
        <v>0</v>
      </c>
      <c r="P177" s="83">
        <f t="shared" si="283"/>
        <v>0</v>
      </c>
      <c r="Q177" s="83">
        <f t="shared" si="284"/>
        <v>0</v>
      </c>
      <c r="R177" s="83">
        <f t="shared" si="285"/>
        <v>0</v>
      </c>
      <c r="S177" s="83">
        <f t="shared" si="286"/>
        <v>0</v>
      </c>
      <c r="T177" s="83">
        <f t="shared" si="287"/>
        <v>0</v>
      </c>
      <c r="U177" s="83">
        <f t="shared" si="288"/>
        <v>0</v>
      </c>
      <c r="V177" s="83">
        <f t="shared" si="289"/>
        <v>0</v>
      </c>
      <c r="W177" s="83">
        <f t="shared" si="290"/>
        <v>0</v>
      </c>
      <c r="X177" s="83">
        <f t="shared" si="291"/>
        <v>0</v>
      </c>
      <c r="Y177" s="83">
        <f t="shared" si="292"/>
        <v>0</v>
      </c>
      <c r="Z177" s="83">
        <f t="shared" si="293"/>
        <v>0</v>
      </c>
      <c r="AA177" s="175"/>
    </row>
    <row r="178" spans="1:27" outlineLevel="1" x14ac:dyDescent="0.25">
      <c r="A178" s="36" t="str">
        <f t="shared" si="62"/>
        <v>СБ-55Д-01</v>
      </c>
      <c r="B178" s="36"/>
      <c r="D178" s="201" t="str">
        <f t="shared" ref="D178:F178" si="294">D167</f>
        <v>Смазочные</v>
      </c>
      <c r="E178" s="196" t="str">
        <f t="shared" si="294"/>
        <v>тыс. руб.</v>
      </c>
      <c r="F178" s="83">
        <f t="shared" si="294"/>
        <v>0</v>
      </c>
      <c r="G178" s="83">
        <f t="shared" ref="G178:G185" si="295">F178+G167</f>
        <v>0</v>
      </c>
      <c r="H178" s="83">
        <f t="shared" si="275"/>
        <v>0</v>
      </c>
      <c r="I178" s="83">
        <f t="shared" si="276"/>
        <v>0</v>
      </c>
      <c r="J178" s="83">
        <f t="shared" si="277"/>
        <v>0</v>
      </c>
      <c r="K178" s="83">
        <f t="shared" si="278"/>
        <v>0</v>
      </c>
      <c r="L178" s="83">
        <f t="shared" si="279"/>
        <v>0</v>
      </c>
      <c r="M178" s="83">
        <f t="shared" si="280"/>
        <v>0</v>
      </c>
      <c r="N178" s="83">
        <f t="shared" si="281"/>
        <v>0</v>
      </c>
      <c r="O178" s="83">
        <f t="shared" si="282"/>
        <v>0</v>
      </c>
      <c r="P178" s="83">
        <f t="shared" si="283"/>
        <v>0</v>
      </c>
      <c r="Q178" s="83">
        <f t="shared" si="284"/>
        <v>0</v>
      </c>
      <c r="R178" s="83">
        <f t="shared" si="285"/>
        <v>0</v>
      </c>
      <c r="S178" s="83">
        <f t="shared" si="286"/>
        <v>0</v>
      </c>
      <c r="T178" s="83">
        <f t="shared" si="287"/>
        <v>0</v>
      </c>
      <c r="U178" s="83">
        <f t="shared" si="288"/>
        <v>0</v>
      </c>
      <c r="V178" s="83">
        <f t="shared" si="289"/>
        <v>0</v>
      </c>
      <c r="W178" s="83">
        <f t="shared" si="290"/>
        <v>0</v>
      </c>
      <c r="X178" s="83">
        <f t="shared" si="291"/>
        <v>0</v>
      </c>
      <c r="Y178" s="83">
        <f t="shared" si="292"/>
        <v>0</v>
      </c>
      <c r="Z178" s="83">
        <f t="shared" si="293"/>
        <v>0</v>
      </c>
      <c r="AA178" s="175"/>
    </row>
    <row r="179" spans="1:27" outlineLevel="1" x14ac:dyDescent="0.25">
      <c r="A179" s="36" t="str">
        <f t="shared" si="62"/>
        <v>СБ-55Д-01</v>
      </c>
      <c r="B179" s="36"/>
      <c r="D179" s="201" t="str">
        <f t="shared" ref="D179:F179" si="296">D168</f>
        <v>Долота</v>
      </c>
      <c r="E179" s="196" t="str">
        <f t="shared" si="296"/>
        <v>тыс. руб.</v>
      </c>
      <c r="F179" s="83">
        <f t="shared" si="296"/>
        <v>0</v>
      </c>
      <c r="G179" s="83">
        <f t="shared" si="295"/>
        <v>0</v>
      </c>
      <c r="H179" s="83">
        <f t="shared" si="275"/>
        <v>0</v>
      </c>
      <c r="I179" s="83">
        <f t="shared" si="276"/>
        <v>0</v>
      </c>
      <c r="J179" s="83">
        <f t="shared" si="277"/>
        <v>0</v>
      </c>
      <c r="K179" s="83">
        <f t="shared" si="278"/>
        <v>0</v>
      </c>
      <c r="L179" s="83">
        <f t="shared" si="279"/>
        <v>0</v>
      </c>
      <c r="M179" s="83">
        <f t="shared" si="280"/>
        <v>0</v>
      </c>
      <c r="N179" s="83">
        <f t="shared" si="281"/>
        <v>0</v>
      </c>
      <c r="O179" s="83">
        <f t="shared" si="282"/>
        <v>0</v>
      </c>
      <c r="P179" s="83">
        <f t="shared" si="283"/>
        <v>0</v>
      </c>
      <c r="Q179" s="83">
        <f t="shared" si="284"/>
        <v>0</v>
      </c>
      <c r="R179" s="83">
        <f t="shared" si="285"/>
        <v>0</v>
      </c>
      <c r="S179" s="83">
        <f t="shared" si="286"/>
        <v>0</v>
      </c>
      <c r="T179" s="83">
        <f t="shared" si="287"/>
        <v>0</v>
      </c>
      <c r="U179" s="83">
        <f t="shared" si="288"/>
        <v>0</v>
      </c>
      <c r="V179" s="83">
        <f t="shared" si="289"/>
        <v>0</v>
      </c>
      <c r="W179" s="83">
        <f t="shared" si="290"/>
        <v>0</v>
      </c>
      <c r="X179" s="83">
        <f t="shared" si="291"/>
        <v>0</v>
      </c>
      <c r="Y179" s="83">
        <f t="shared" si="292"/>
        <v>0</v>
      </c>
      <c r="Z179" s="83">
        <f t="shared" si="293"/>
        <v>0</v>
      </c>
      <c r="AA179" s="175"/>
    </row>
    <row r="180" spans="1:27" outlineLevel="1" x14ac:dyDescent="0.25">
      <c r="A180" s="36" t="str">
        <f t="shared" si="62"/>
        <v>СБ-55Д-01</v>
      </c>
      <c r="B180" s="36"/>
      <c r="D180" s="201" t="str">
        <f t="shared" ref="D180:F180" si="297">D169</f>
        <v>Штанги буровые</v>
      </c>
      <c r="E180" s="196" t="str">
        <f t="shared" si="297"/>
        <v>тыс. руб.</v>
      </c>
      <c r="F180" s="83">
        <f t="shared" si="297"/>
        <v>0</v>
      </c>
      <c r="G180" s="83">
        <f t="shared" si="295"/>
        <v>0</v>
      </c>
      <c r="H180" s="83">
        <f t="shared" si="275"/>
        <v>0</v>
      </c>
      <c r="I180" s="83">
        <f t="shared" si="276"/>
        <v>0</v>
      </c>
      <c r="J180" s="83">
        <f t="shared" si="277"/>
        <v>0</v>
      </c>
      <c r="K180" s="83">
        <f t="shared" si="278"/>
        <v>0</v>
      </c>
      <c r="L180" s="83">
        <f t="shared" si="279"/>
        <v>0</v>
      </c>
      <c r="M180" s="83">
        <f t="shared" si="280"/>
        <v>0</v>
      </c>
      <c r="N180" s="83">
        <f t="shared" si="281"/>
        <v>0</v>
      </c>
      <c r="O180" s="83">
        <f t="shared" si="282"/>
        <v>0</v>
      </c>
      <c r="P180" s="83">
        <f t="shared" si="283"/>
        <v>0</v>
      </c>
      <c r="Q180" s="83">
        <f t="shared" si="284"/>
        <v>0</v>
      </c>
      <c r="R180" s="83">
        <f t="shared" si="285"/>
        <v>0</v>
      </c>
      <c r="S180" s="83">
        <f t="shared" si="286"/>
        <v>0</v>
      </c>
      <c r="T180" s="83">
        <f t="shared" si="287"/>
        <v>0</v>
      </c>
      <c r="U180" s="83">
        <f t="shared" si="288"/>
        <v>0</v>
      </c>
      <c r="V180" s="83">
        <f t="shared" si="289"/>
        <v>0</v>
      </c>
      <c r="W180" s="83">
        <f t="shared" si="290"/>
        <v>0</v>
      </c>
      <c r="X180" s="83">
        <f t="shared" si="291"/>
        <v>0</v>
      </c>
      <c r="Y180" s="83">
        <f t="shared" si="292"/>
        <v>0</v>
      </c>
      <c r="Z180" s="83">
        <f t="shared" si="293"/>
        <v>0</v>
      </c>
      <c r="AA180" s="175"/>
    </row>
    <row r="181" spans="1:27" outlineLevel="1" x14ac:dyDescent="0.25">
      <c r="A181" s="36" t="str">
        <f t="shared" si="62"/>
        <v>СБ-55Д-01</v>
      </c>
      <c r="B181" s="36"/>
      <c r="D181" s="201" t="str">
        <f t="shared" ref="D181:F181" si="298">D170</f>
        <v>Расходники</v>
      </c>
      <c r="E181" s="196" t="str">
        <f t="shared" si="298"/>
        <v>тыс. руб.</v>
      </c>
      <c r="F181" s="83">
        <f t="shared" si="298"/>
        <v>0</v>
      </c>
      <c r="G181" s="83">
        <f t="shared" si="295"/>
        <v>0</v>
      </c>
      <c r="H181" s="83">
        <f t="shared" si="275"/>
        <v>0</v>
      </c>
      <c r="I181" s="83">
        <f t="shared" si="276"/>
        <v>0</v>
      </c>
      <c r="J181" s="83">
        <f t="shared" si="277"/>
        <v>0</v>
      </c>
      <c r="K181" s="83">
        <f t="shared" si="278"/>
        <v>0</v>
      </c>
      <c r="L181" s="83">
        <f t="shared" si="279"/>
        <v>0</v>
      </c>
      <c r="M181" s="83">
        <f t="shared" si="280"/>
        <v>0</v>
      </c>
      <c r="N181" s="83">
        <f t="shared" si="281"/>
        <v>0</v>
      </c>
      <c r="O181" s="83">
        <f t="shared" si="282"/>
        <v>0</v>
      </c>
      <c r="P181" s="83">
        <f t="shared" si="283"/>
        <v>0</v>
      </c>
      <c r="Q181" s="83">
        <f t="shared" si="284"/>
        <v>0</v>
      </c>
      <c r="R181" s="83">
        <f t="shared" si="285"/>
        <v>0</v>
      </c>
      <c r="S181" s="83">
        <f t="shared" si="286"/>
        <v>0</v>
      </c>
      <c r="T181" s="83">
        <f t="shared" si="287"/>
        <v>0</v>
      </c>
      <c r="U181" s="83">
        <f t="shared" si="288"/>
        <v>0</v>
      </c>
      <c r="V181" s="83">
        <f t="shared" si="289"/>
        <v>0</v>
      </c>
      <c r="W181" s="83">
        <f t="shared" si="290"/>
        <v>0</v>
      </c>
      <c r="X181" s="83">
        <f t="shared" si="291"/>
        <v>0</v>
      </c>
      <c r="Y181" s="83">
        <f t="shared" si="292"/>
        <v>0</v>
      </c>
      <c r="Z181" s="83">
        <f t="shared" si="293"/>
        <v>0</v>
      </c>
      <c r="AA181" s="175"/>
    </row>
    <row r="182" spans="1:27" outlineLevel="1" x14ac:dyDescent="0.25">
      <c r="A182" s="36" t="str">
        <f t="shared" si="62"/>
        <v>СБ-55Д-01</v>
      </c>
      <c r="B182" s="36"/>
      <c r="D182" s="201" t="str">
        <f t="shared" ref="D182:F182" si="299">D171</f>
        <v>Топливо/Электроэнергия</v>
      </c>
      <c r="E182" s="196" t="str">
        <f t="shared" si="299"/>
        <v>тыс. руб.</v>
      </c>
      <c r="F182" s="83">
        <f t="shared" si="299"/>
        <v>0</v>
      </c>
      <c r="G182" s="83">
        <f t="shared" si="295"/>
        <v>0</v>
      </c>
      <c r="H182" s="83">
        <f t="shared" si="275"/>
        <v>0</v>
      </c>
      <c r="I182" s="83">
        <f t="shared" si="276"/>
        <v>0</v>
      </c>
      <c r="J182" s="83">
        <f t="shared" si="277"/>
        <v>0</v>
      </c>
      <c r="K182" s="83">
        <f t="shared" si="278"/>
        <v>0</v>
      </c>
      <c r="L182" s="83">
        <f t="shared" si="279"/>
        <v>0</v>
      </c>
      <c r="M182" s="83">
        <f t="shared" si="280"/>
        <v>0</v>
      </c>
      <c r="N182" s="83">
        <f t="shared" si="281"/>
        <v>0</v>
      </c>
      <c r="O182" s="83">
        <f t="shared" si="282"/>
        <v>0</v>
      </c>
      <c r="P182" s="83">
        <f t="shared" si="283"/>
        <v>0</v>
      </c>
      <c r="Q182" s="83">
        <f t="shared" si="284"/>
        <v>0</v>
      </c>
      <c r="R182" s="83">
        <f t="shared" si="285"/>
        <v>0</v>
      </c>
      <c r="S182" s="83">
        <f t="shared" si="286"/>
        <v>0</v>
      </c>
      <c r="T182" s="83">
        <f t="shared" si="287"/>
        <v>0</v>
      </c>
      <c r="U182" s="83">
        <f t="shared" si="288"/>
        <v>0</v>
      </c>
      <c r="V182" s="83">
        <f t="shared" si="289"/>
        <v>0</v>
      </c>
      <c r="W182" s="83">
        <f t="shared" si="290"/>
        <v>0</v>
      </c>
      <c r="X182" s="83">
        <f t="shared" si="291"/>
        <v>0</v>
      </c>
      <c r="Y182" s="83">
        <f t="shared" si="292"/>
        <v>0</v>
      </c>
      <c r="Z182" s="83">
        <f t="shared" si="293"/>
        <v>0</v>
      </c>
      <c r="AA182" s="175"/>
    </row>
    <row r="183" spans="1:27" outlineLevel="1" x14ac:dyDescent="0.25">
      <c r="A183" s="36" t="str">
        <f t="shared" ref="A183:A221" si="300">A182</f>
        <v>СБ-55Д-01</v>
      </c>
      <c r="B183" s="36"/>
      <c r="D183" s="201" t="str">
        <f t="shared" ref="D183:F183" si="301">D172</f>
        <v>Затраты на персонал</v>
      </c>
      <c r="E183" s="196" t="str">
        <f t="shared" si="301"/>
        <v>тыс. руб.</v>
      </c>
      <c r="F183" s="83">
        <f t="shared" si="301"/>
        <v>0</v>
      </c>
      <c r="G183" s="83">
        <f t="shared" si="295"/>
        <v>0</v>
      </c>
      <c r="H183" s="83">
        <f t="shared" si="275"/>
        <v>0</v>
      </c>
      <c r="I183" s="83">
        <f t="shared" si="276"/>
        <v>0</v>
      </c>
      <c r="J183" s="83">
        <f t="shared" si="277"/>
        <v>0</v>
      </c>
      <c r="K183" s="83">
        <f t="shared" si="278"/>
        <v>0</v>
      </c>
      <c r="L183" s="83">
        <f t="shared" si="279"/>
        <v>0</v>
      </c>
      <c r="M183" s="83">
        <f t="shared" si="280"/>
        <v>0</v>
      </c>
      <c r="N183" s="83">
        <f t="shared" si="281"/>
        <v>0</v>
      </c>
      <c r="O183" s="83">
        <f t="shared" si="282"/>
        <v>0</v>
      </c>
      <c r="P183" s="83">
        <f t="shared" si="283"/>
        <v>0</v>
      </c>
      <c r="Q183" s="83">
        <f t="shared" si="284"/>
        <v>0</v>
      </c>
      <c r="R183" s="83">
        <f t="shared" si="285"/>
        <v>0</v>
      </c>
      <c r="S183" s="83">
        <f t="shared" si="286"/>
        <v>0</v>
      </c>
      <c r="T183" s="83">
        <f t="shared" si="287"/>
        <v>0</v>
      </c>
      <c r="U183" s="83">
        <f t="shared" si="288"/>
        <v>0</v>
      </c>
      <c r="V183" s="83">
        <f t="shared" si="289"/>
        <v>0</v>
      </c>
      <c r="W183" s="83">
        <f t="shared" si="290"/>
        <v>0</v>
      </c>
      <c r="X183" s="83">
        <f t="shared" si="291"/>
        <v>0</v>
      </c>
      <c r="Y183" s="83">
        <f t="shared" si="292"/>
        <v>0</v>
      </c>
      <c r="Z183" s="83">
        <f t="shared" si="293"/>
        <v>0</v>
      </c>
      <c r="AA183" s="175"/>
    </row>
    <row r="184" spans="1:27" outlineLevel="1" x14ac:dyDescent="0.25">
      <c r="A184" s="36" t="str">
        <f t="shared" si="300"/>
        <v>СБ-55Д-01</v>
      </c>
      <c r="B184" s="36"/>
      <c r="D184" s="201" t="str">
        <f t="shared" ref="D184:F184" si="302">D173</f>
        <v>Транспортный налог</v>
      </c>
      <c r="E184" s="196" t="str">
        <f t="shared" si="302"/>
        <v>тыс. руб.</v>
      </c>
      <c r="F184" s="83">
        <f t="shared" si="302"/>
        <v>0</v>
      </c>
      <c r="G184" s="83">
        <f t="shared" si="295"/>
        <v>0</v>
      </c>
      <c r="H184" s="83">
        <f t="shared" si="275"/>
        <v>0</v>
      </c>
      <c r="I184" s="83">
        <f t="shared" si="276"/>
        <v>0</v>
      </c>
      <c r="J184" s="83">
        <f t="shared" si="277"/>
        <v>0</v>
      </c>
      <c r="K184" s="83">
        <f t="shared" si="278"/>
        <v>0</v>
      </c>
      <c r="L184" s="83">
        <f t="shared" si="279"/>
        <v>0</v>
      </c>
      <c r="M184" s="83">
        <f t="shared" si="280"/>
        <v>0</v>
      </c>
      <c r="N184" s="83">
        <f t="shared" si="281"/>
        <v>0</v>
      </c>
      <c r="O184" s="83">
        <f t="shared" si="282"/>
        <v>0</v>
      </c>
      <c r="P184" s="83">
        <f t="shared" si="283"/>
        <v>0</v>
      </c>
      <c r="Q184" s="83">
        <f t="shared" si="284"/>
        <v>0</v>
      </c>
      <c r="R184" s="83">
        <f t="shared" si="285"/>
        <v>0</v>
      </c>
      <c r="S184" s="83">
        <f t="shared" si="286"/>
        <v>0</v>
      </c>
      <c r="T184" s="83">
        <f t="shared" si="287"/>
        <v>0</v>
      </c>
      <c r="U184" s="83">
        <f t="shared" si="288"/>
        <v>0</v>
      </c>
      <c r="V184" s="83">
        <f t="shared" si="289"/>
        <v>0</v>
      </c>
      <c r="W184" s="83">
        <f t="shared" si="290"/>
        <v>0</v>
      </c>
      <c r="X184" s="83">
        <f t="shared" si="291"/>
        <v>0</v>
      </c>
      <c r="Y184" s="83">
        <f t="shared" si="292"/>
        <v>0</v>
      </c>
      <c r="Z184" s="83">
        <f t="shared" si="293"/>
        <v>0</v>
      </c>
      <c r="AA184" s="175"/>
    </row>
    <row r="185" spans="1:27" outlineLevel="1" x14ac:dyDescent="0.25">
      <c r="A185" s="36" t="str">
        <f t="shared" si="300"/>
        <v>СБ-55Д-01</v>
      </c>
      <c r="B185" s="36"/>
      <c r="D185" s="201" t="str">
        <f t="shared" ref="D185:F185" si="303">D174</f>
        <v>Налог на прибыль</v>
      </c>
      <c r="E185" s="196" t="str">
        <f t="shared" si="303"/>
        <v>тыс. руб.</v>
      </c>
      <c r="F185" s="83">
        <f t="shared" si="303"/>
        <v>0</v>
      </c>
      <c r="G185" s="83">
        <f t="shared" si="295"/>
        <v>0</v>
      </c>
      <c r="H185" s="83">
        <f t="shared" si="275"/>
        <v>0</v>
      </c>
      <c r="I185" s="83">
        <f t="shared" si="276"/>
        <v>0</v>
      </c>
      <c r="J185" s="83">
        <f t="shared" si="277"/>
        <v>0</v>
      </c>
      <c r="K185" s="83">
        <f t="shared" si="278"/>
        <v>0</v>
      </c>
      <c r="L185" s="83">
        <f t="shared" si="279"/>
        <v>0</v>
      </c>
      <c r="M185" s="83">
        <f t="shared" si="280"/>
        <v>0</v>
      </c>
      <c r="N185" s="83">
        <f t="shared" si="281"/>
        <v>0</v>
      </c>
      <c r="O185" s="83">
        <f t="shared" si="282"/>
        <v>0</v>
      </c>
      <c r="P185" s="83">
        <f t="shared" si="283"/>
        <v>0</v>
      </c>
      <c r="Q185" s="83">
        <f t="shared" si="284"/>
        <v>0</v>
      </c>
      <c r="R185" s="83">
        <f t="shared" si="285"/>
        <v>0</v>
      </c>
      <c r="S185" s="83">
        <f t="shared" si="286"/>
        <v>0</v>
      </c>
      <c r="T185" s="83">
        <f t="shared" si="287"/>
        <v>0</v>
      </c>
      <c r="U185" s="83">
        <f t="shared" si="288"/>
        <v>0</v>
      </c>
      <c r="V185" s="83">
        <f t="shared" si="289"/>
        <v>0</v>
      </c>
      <c r="W185" s="83">
        <f t="shared" si="290"/>
        <v>0</v>
      </c>
      <c r="X185" s="83">
        <f t="shared" si="291"/>
        <v>0</v>
      </c>
      <c r="Y185" s="83">
        <f t="shared" si="292"/>
        <v>0</v>
      </c>
      <c r="Z185" s="83">
        <f t="shared" si="293"/>
        <v>0</v>
      </c>
      <c r="AA185" s="175"/>
    </row>
    <row r="186" spans="1:27" outlineLevel="1" x14ac:dyDescent="0.25">
      <c r="A186" s="36" t="str">
        <f t="shared" si="300"/>
        <v>СБ-55Д-01</v>
      </c>
      <c r="B186" s="36"/>
      <c r="D186" s="88"/>
      <c r="E186" s="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175"/>
    </row>
    <row r="187" spans="1:27" outlineLevel="1" x14ac:dyDescent="0.25">
      <c r="A187" s="36" t="str">
        <f t="shared" si="300"/>
        <v>СБ-55Д-01</v>
      </c>
      <c r="B187" s="36"/>
      <c r="D187" s="63" t="s">
        <v>69</v>
      </c>
      <c r="E187" s="64" t="str">
        <f>E164</f>
        <v>тыс. руб.</v>
      </c>
      <c r="F187" s="65">
        <f>F161*'ФОТ, МТР, макро'!AI$14</f>
        <v>0</v>
      </c>
      <c r="G187" s="65">
        <f>G161*'ФОТ, МТР, макро'!AJ$14</f>
        <v>0</v>
      </c>
      <c r="H187" s="65">
        <f>H161*'ФОТ, МТР, макро'!AK$14</f>
        <v>0</v>
      </c>
      <c r="I187" s="65">
        <f>I161*'ФОТ, МТР, макро'!AL$14</f>
        <v>0</v>
      </c>
      <c r="J187" s="65">
        <f>J161*'ФОТ, МТР, макро'!AM$14</f>
        <v>0</v>
      </c>
      <c r="K187" s="65">
        <f>K161*'ФОТ, МТР, макро'!AN$14</f>
        <v>0</v>
      </c>
      <c r="L187" s="65">
        <f>L161*'ФОТ, МТР, макро'!AO$14</f>
        <v>0</v>
      </c>
      <c r="M187" s="65">
        <f>M161*'ФОТ, МТР, макро'!AP$14</f>
        <v>0</v>
      </c>
      <c r="N187" s="65">
        <f>N161*'ФОТ, МТР, макро'!AQ$14</f>
        <v>0</v>
      </c>
      <c r="O187" s="65">
        <f>O161*'ФОТ, МТР, макро'!AR$14</f>
        <v>0</v>
      </c>
      <c r="P187" s="65">
        <f>P161*'ФОТ, МТР, макро'!AS$14</f>
        <v>0</v>
      </c>
      <c r="Q187" s="65">
        <f>Q161*'ФОТ, МТР, макро'!AT$14</f>
        <v>0</v>
      </c>
      <c r="R187" s="65">
        <f>R161*'ФОТ, МТР, макро'!AU$14</f>
        <v>0</v>
      </c>
      <c r="S187" s="65">
        <f>S161*'ФОТ, МТР, макро'!AV$14</f>
        <v>0</v>
      </c>
      <c r="T187" s="65">
        <f>T161*'ФОТ, МТР, макро'!AW$14</f>
        <v>0</v>
      </c>
      <c r="U187" s="65">
        <f>U161*'ФОТ, МТР, макро'!AX$14</f>
        <v>0</v>
      </c>
      <c r="V187" s="65">
        <f>V161*'ФОТ, МТР, макро'!AY$14</f>
        <v>0</v>
      </c>
      <c r="W187" s="65">
        <f>W161*'ФОТ, МТР, макро'!AZ$14</f>
        <v>0</v>
      </c>
      <c r="X187" s="65">
        <f>X161*'ФОТ, МТР, макро'!BA$14</f>
        <v>0</v>
      </c>
      <c r="Y187" s="65">
        <f>Y161*'ФОТ, МТР, макро'!BB$14</f>
        <v>0</v>
      </c>
      <c r="Z187" s="65">
        <f>Z161*'ФОТ, МТР, макро'!BC$14</f>
        <v>0</v>
      </c>
      <c r="AA187" s="175"/>
    </row>
    <row r="188" spans="1:27" outlineLevel="1" x14ac:dyDescent="0.25">
      <c r="A188" s="36" t="str">
        <f t="shared" si="300"/>
        <v>СБ-55Д-01</v>
      </c>
      <c r="B188" s="36"/>
      <c r="D188" s="88" t="str">
        <f>D162</f>
        <v>Буровой станок</v>
      </c>
      <c r="E188" s="9" t="str">
        <f>E187</f>
        <v>тыс. руб.</v>
      </c>
      <c r="F188" s="70">
        <f>F162*'ФОТ, МТР, макро'!AI$14</f>
        <v>0</v>
      </c>
      <c r="G188" s="70">
        <f>G162*'ФОТ, МТР, макро'!AJ$14</f>
        <v>0</v>
      </c>
      <c r="H188" s="70">
        <f>H162*'ФОТ, МТР, макро'!AK$14</f>
        <v>0</v>
      </c>
      <c r="I188" s="70">
        <f>I162*'ФОТ, МТР, макро'!AL$14</f>
        <v>0</v>
      </c>
      <c r="J188" s="70">
        <f>J162*'ФОТ, МТР, макро'!AM$14</f>
        <v>0</v>
      </c>
      <c r="K188" s="70">
        <f>K162*'ФОТ, МТР, макро'!AN$14</f>
        <v>0</v>
      </c>
      <c r="L188" s="70">
        <f>L162*'ФОТ, МТР, макро'!AO$14</f>
        <v>0</v>
      </c>
      <c r="M188" s="70">
        <f>M162*'ФОТ, МТР, макро'!AP$14</f>
        <v>0</v>
      </c>
      <c r="N188" s="70">
        <f>N162*'ФОТ, МТР, макро'!AQ$14</f>
        <v>0</v>
      </c>
      <c r="O188" s="70">
        <f>O162*'ФОТ, МТР, макро'!AR$14</f>
        <v>0</v>
      </c>
      <c r="P188" s="70">
        <f>P162*'ФОТ, МТР, макро'!AS$14</f>
        <v>0</v>
      </c>
      <c r="Q188" s="70">
        <f>Q162*'ФОТ, МТР, макро'!AT$14</f>
        <v>0</v>
      </c>
      <c r="R188" s="70">
        <f>R162*'ФОТ, МТР, макро'!AU$14</f>
        <v>0</v>
      </c>
      <c r="S188" s="70">
        <f>S162*'ФОТ, МТР, макро'!AV$14</f>
        <v>0</v>
      </c>
      <c r="T188" s="70">
        <f>T162*'ФОТ, МТР, макро'!AW$14</f>
        <v>0</v>
      </c>
      <c r="U188" s="70">
        <f>U162*'ФОТ, МТР, макро'!AX$14</f>
        <v>0</v>
      </c>
      <c r="V188" s="70">
        <f>V162*'ФОТ, МТР, макро'!AY$14</f>
        <v>0</v>
      </c>
      <c r="W188" s="70">
        <f>W162*'ФОТ, МТР, макро'!AZ$14</f>
        <v>0</v>
      </c>
      <c r="X188" s="70">
        <f>X162*'ФОТ, МТР, макро'!BA$14</f>
        <v>0</v>
      </c>
      <c r="Y188" s="70">
        <f>Y162*'ФОТ, МТР, макро'!BB$14</f>
        <v>0</v>
      </c>
      <c r="Z188" s="70">
        <f>Z162*'ФОТ, МТР, макро'!BC$14</f>
        <v>0</v>
      </c>
      <c r="AA188" s="175"/>
    </row>
    <row r="189" spans="1:27" outlineLevel="1" x14ac:dyDescent="0.25">
      <c r="A189" s="36" t="str">
        <f t="shared" si="300"/>
        <v>СБ-55Д-01</v>
      </c>
      <c r="B189" s="36"/>
      <c r="D189" s="91" t="s">
        <v>67</v>
      </c>
      <c r="E189" s="9"/>
      <c r="F189" s="93">
        <f>F187-F188</f>
        <v>0</v>
      </c>
      <c r="G189" s="93">
        <f t="shared" ref="G189:Z189" si="304">G187-G188</f>
        <v>0</v>
      </c>
      <c r="H189" s="93">
        <f t="shared" si="304"/>
        <v>0</v>
      </c>
      <c r="I189" s="93">
        <f t="shared" si="304"/>
        <v>0</v>
      </c>
      <c r="J189" s="93">
        <f t="shared" si="304"/>
        <v>0</v>
      </c>
      <c r="K189" s="93">
        <f t="shared" si="304"/>
        <v>0</v>
      </c>
      <c r="L189" s="93">
        <f t="shared" si="304"/>
        <v>0</v>
      </c>
      <c r="M189" s="93">
        <f t="shared" si="304"/>
        <v>0</v>
      </c>
      <c r="N189" s="93">
        <f t="shared" si="304"/>
        <v>0</v>
      </c>
      <c r="O189" s="93">
        <f t="shared" si="304"/>
        <v>0</v>
      </c>
      <c r="P189" s="93">
        <f t="shared" si="304"/>
        <v>0</v>
      </c>
      <c r="Q189" s="93">
        <f t="shared" si="304"/>
        <v>0</v>
      </c>
      <c r="R189" s="93">
        <f t="shared" si="304"/>
        <v>0</v>
      </c>
      <c r="S189" s="93">
        <f t="shared" si="304"/>
        <v>0</v>
      </c>
      <c r="T189" s="93">
        <f t="shared" si="304"/>
        <v>0</v>
      </c>
      <c r="U189" s="93">
        <f t="shared" si="304"/>
        <v>0</v>
      </c>
      <c r="V189" s="93">
        <f t="shared" si="304"/>
        <v>0</v>
      </c>
      <c r="W189" s="93">
        <f t="shared" si="304"/>
        <v>0</v>
      </c>
      <c r="X189" s="93">
        <f t="shared" si="304"/>
        <v>0</v>
      </c>
      <c r="Y189" s="93">
        <f t="shared" si="304"/>
        <v>0</v>
      </c>
      <c r="Z189" s="93">
        <f t="shared" si="304"/>
        <v>0</v>
      </c>
      <c r="AA189" s="175"/>
    </row>
    <row r="190" spans="1:27" outlineLevel="1" x14ac:dyDescent="0.25">
      <c r="A190" s="36" t="str">
        <f t="shared" si="300"/>
        <v>СБ-55Д-01</v>
      </c>
      <c r="B190" s="36"/>
      <c r="D190" s="94" t="s">
        <v>70</v>
      </c>
      <c r="E190" s="64" t="str">
        <f>E187</f>
        <v>тыс. руб.</v>
      </c>
      <c r="F190" s="65">
        <f>F187</f>
        <v>0</v>
      </c>
      <c r="G190" s="65">
        <f>F190+G187</f>
        <v>0</v>
      </c>
      <c r="H190" s="65">
        <f t="shared" ref="H190:H191" si="305">G190+H187</f>
        <v>0</v>
      </c>
      <c r="I190" s="65">
        <f t="shared" ref="I190:I191" si="306">H190+I187</f>
        <v>0</v>
      </c>
      <c r="J190" s="65">
        <f t="shared" ref="J190:J191" si="307">I190+J187</f>
        <v>0</v>
      </c>
      <c r="K190" s="65">
        <f t="shared" ref="K190:K191" si="308">J190+K187</f>
        <v>0</v>
      </c>
      <c r="L190" s="65">
        <f t="shared" ref="L190:L191" si="309">K190+L187</f>
        <v>0</v>
      </c>
      <c r="M190" s="65">
        <f t="shared" ref="M190:M191" si="310">L190+M187</f>
        <v>0</v>
      </c>
      <c r="N190" s="65">
        <f t="shared" ref="N190:N191" si="311">M190+N187</f>
        <v>0</v>
      </c>
      <c r="O190" s="65">
        <f t="shared" ref="O190:O191" si="312">N190+O187</f>
        <v>0</v>
      </c>
      <c r="P190" s="65">
        <f t="shared" ref="P190:P191" si="313">O190+P187</f>
        <v>0</v>
      </c>
      <c r="Q190" s="65">
        <f t="shared" ref="Q190:Q191" si="314">P190+Q187</f>
        <v>0</v>
      </c>
      <c r="R190" s="65">
        <f t="shared" ref="R190:R191" si="315">Q190+R187</f>
        <v>0</v>
      </c>
      <c r="S190" s="65">
        <f t="shared" ref="S190:S191" si="316">R190+S187</f>
        <v>0</v>
      </c>
      <c r="T190" s="65">
        <f t="shared" ref="T190:T191" si="317">S190+T187</f>
        <v>0</v>
      </c>
      <c r="U190" s="65">
        <f t="shared" ref="U190:U191" si="318">T190+U187</f>
        <v>0</v>
      </c>
      <c r="V190" s="65">
        <f t="shared" ref="V190:V191" si="319">U190+V187</f>
        <v>0</v>
      </c>
      <c r="W190" s="65">
        <f t="shared" ref="W190:W191" si="320">V190+W187</f>
        <v>0</v>
      </c>
      <c r="X190" s="65">
        <f t="shared" ref="X190:X191" si="321">W190+X187</f>
        <v>0</v>
      </c>
      <c r="Y190" s="65">
        <f t="shared" ref="Y190:Y191" si="322">X190+Y187</f>
        <v>0</v>
      </c>
      <c r="Z190" s="65">
        <f t="shared" ref="Z190:Z191" si="323">Y190+Z187</f>
        <v>0</v>
      </c>
      <c r="AA190" s="175"/>
    </row>
    <row r="191" spans="1:27" outlineLevel="1" x14ac:dyDescent="0.25">
      <c r="A191" s="36" t="str">
        <f t="shared" si="300"/>
        <v>СБ-55Д-01</v>
      </c>
      <c r="B191" s="36"/>
      <c r="D191" s="88" t="str">
        <f>D188</f>
        <v>Буровой станок</v>
      </c>
      <c r="E191" s="9" t="str">
        <f>E188</f>
        <v>тыс. руб.</v>
      </c>
      <c r="F191" s="70">
        <f>F188</f>
        <v>0</v>
      </c>
      <c r="G191" s="70">
        <f>F191+G188</f>
        <v>0</v>
      </c>
      <c r="H191" s="70">
        <f t="shared" si="305"/>
        <v>0</v>
      </c>
      <c r="I191" s="70">
        <f t="shared" si="306"/>
        <v>0</v>
      </c>
      <c r="J191" s="70">
        <f t="shared" si="307"/>
        <v>0</v>
      </c>
      <c r="K191" s="70">
        <f t="shared" si="308"/>
        <v>0</v>
      </c>
      <c r="L191" s="70">
        <f t="shared" si="309"/>
        <v>0</v>
      </c>
      <c r="M191" s="70">
        <f t="shared" si="310"/>
        <v>0</v>
      </c>
      <c r="N191" s="70">
        <f t="shared" si="311"/>
        <v>0</v>
      </c>
      <c r="O191" s="70">
        <f t="shared" si="312"/>
        <v>0</v>
      </c>
      <c r="P191" s="70">
        <f t="shared" si="313"/>
        <v>0</v>
      </c>
      <c r="Q191" s="70">
        <f t="shared" si="314"/>
        <v>0</v>
      </c>
      <c r="R191" s="70">
        <f t="shared" si="315"/>
        <v>0</v>
      </c>
      <c r="S191" s="70">
        <f t="shared" si="316"/>
        <v>0</v>
      </c>
      <c r="T191" s="70">
        <f t="shared" si="317"/>
        <v>0</v>
      </c>
      <c r="U191" s="70">
        <f t="shared" si="318"/>
        <v>0</v>
      </c>
      <c r="V191" s="70">
        <f t="shared" si="319"/>
        <v>0</v>
      </c>
      <c r="W191" s="70">
        <f t="shared" si="320"/>
        <v>0</v>
      </c>
      <c r="X191" s="70">
        <f t="shared" si="321"/>
        <v>0</v>
      </c>
      <c r="Y191" s="70">
        <f t="shared" si="322"/>
        <v>0</v>
      </c>
      <c r="Z191" s="70">
        <f t="shared" si="323"/>
        <v>0</v>
      </c>
      <c r="AA191" s="175"/>
    </row>
    <row r="192" spans="1:27" outlineLevel="1" x14ac:dyDescent="0.25">
      <c r="A192" s="36" t="str">
        <f t="shared" si="300"/>
        <v>СБ-55Д-01</v>
      </c>
      <c r="B192" s="36"/>
      <c r="D192" s="88"/>
      <c r="E192" s="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175"/>
    </row>
    <row r="193" spans="1:48" outlineLevel="1" x14ac:dyDescent="0.25">
      <c r="A193" s="36" t="str">
        <f t="shared" si="300"/>
        <v>СБ-55Д-01</v>
      </c>
      <c r="B193" s="36"/>
      <c r="D193" s="63" t="s">
        <v>71</v>
      </c>
      <c r="E193" s="64" t="str">
        <f>E164</f>
        <v>тыс. руб.</v>
      </c>
      <c r="F193" s="65">
        <f>F164*'ФОТ, МТР, макро'!AI$14</f>
        <v>0</v>
      </c>
      <c r="G193" s="65">
        <f>G164*'ФОТ, МТР, макро'!AJ$14</f>
        <v>0</v>
      </c>
      <c r="H193" s="65">
        <f>H164*'ФОТ, МТР, макро'!AK$14</f>
        <v>0</v>
      </c>
      <c r="I193" s="65">
        <f>I164*'ФОТ, МТР, макро'!AL$14</f>
        <v>0</v>
      </c>
      <c r="J193" s="65">
        <f>J164*'ФОТ, МТР, макро'!AM$14</f>
        <v>0</v>
      </c>
      <c r="K193" s="65">
        <f>K164*'ФОТ, МТР, макро'!AN$14</f>
        <v>0</v>
      </c>
      <c r="L193" s="65">
        <f>L164*'ФОТ, МТР, макро'!AO$14</f>
        <v>0</v>
      </c>
      <c r="M193" s="65">
        <f>M164*'ФОТ, МТР, макро'!AP$14</f>
        <v>0</v>
      </c>
      <c r="N193" s="65">
        <f>N164*'ФОТ, МТР, макро'!AQ$14</f>
        <v>0</v>
      </c>
      <c r="O193" s="65">
        <f>O164*'ФОТ, МТР, макро'!AR$14</f>
        <v>0</v>
      </c>
      <c r="P193" s="65">
        <f>P164*'ФОТ, МТР, макро'!AS$14</f>
        <v>0</v>
      </c>
      <c r="Q193" s="65">
        <f>Q164*'ФОТ, МТР, макро'!AT$14</f>
        <v>0</v>
      </c>
      <c r="R193" s="65">
        <f>R164*'ФОТ, МТР, макро'!AU$14</f>
        <v>0</v>
      </c>
      <c r="S193" s="65">
        <f>S164*'ФОТ, МТР, макро'!AV$14</f>
        <v>0</v>
      </c>
      <c r="T193" s="65">
        <f>T164*'ФОТ, МТР, макро'!AW$14</f>
        <v>0</v>
      </c>
      <c r="U193" s="65">
        <f>U164*'ФОТ, МТР, макро'!AX$14</f>
        <v>0</v>
      </c>
      <c r="V193" s="65">
        <f>V164*'ФОТ, МТР, макро'!AY$14</f>
        <v>0</v>
      </c>
      <c r="W193" s="65">
        <f>W164*'ФОТ, МТР, макро'!AZ$14</f>
        <v>0</v>
      </c>
      <c r="X193" s="65">
        <f>X164*'ФОТ, МТР, макро'!BA$14</f>
        <v>0</v>
      </c>
      <c r="Y193" s="65">
        <f>Y164*'ФОТ, МТР, макро'!BB$14</f>
        <v>0</v>
      </c>
      <c r="Z193" s="65">
        <f>Z164*'ФОТ, МТР, макро'!BC$14</f>
        <v>0</v>
      </c>
      <c r="AA193" s="175"/>
    </row>
    <row r="194" spans="1:48" outlineLevel="1" x14ac:dyDescent="0.25">
      <c r="A194" s="36" t="str">
        <f t="shared" si="300"/>
        <v>СБ-55Д-01</v>
      </c>
      <c r="B194" s="36"/>
      <c r="D194" s="94" t="s">
        <v>72</v>
      </c>
      <c r="E194" s="64" t="str">
        <f>E193</f>
        <v>тыс. руб.</v>
      </c>
      <c r="F194" s="65">
        <f>F193</f>
        <v>0</v>
      </c>
      <c r="G194" s="65">
        <f>F194+G193</f>
        <v>0</v>
      </c>
      <c r="H194" s="65">
        <f t="shared" ref="H194" si="324">G194+H193</f>
        <v>0</v>
      </c>
      <c r="I194" s="65">
        <f t="shared" ref="I194" si="325">H194+I193</f>
        <v>0</v>
      </c>
      <c r="J194" s="65">
        <f t="shared" ref="J194" si="326">I194+J193</f>
        <v>0</v>
      </c>
      <c r="K194" s="65">
        <f t="shared" ref="K194" si="327">J194+K193</f>
        <v>0</v>
      </c>
      <c r="L194" s="65">
        <f t="shared" ref="L194" si="328">K194+L193</f>
        <v>0</v>
      </c>
      <c r="M194" s="65">
        <f t="shared" ref="M194" si="329">L194+M193</f>
        <v>0</v>
      </c>
      <c r="N194" s="65">
        <f t="shared" ref="N194" si="330">M194+N193</f>
        <v>0</v>
      </c>
      <c r="O194" s="65">
        <f t="shared" ref="O194" si="331">N194+O193</f>
        <v>0</v>
      </c>
      <c r="P194" s="65">
        <f t="shared" ref="P194" si="332">O194+P193</f>
        <v>0</v>
      </c>
      <c r="Q194" s="65">
        <f t="shared" ref="Q194" si="333">P194+Q193</f>
        <v>0</v>
      </c>
      <c r="R194" s="65">
        <f t="shared" ref="R194" si="334">Q194+R193</f>
        <v>0</v>
      </c>
      <c r="S194" s="65">
        <f t="shared" ref="S194" si="335">R194+S193</f>
        <v>0</v>
      </c>
      <c r="T194" s="65">
        <f t="shared" ref="T194" si="336">S194+T193</f>
        <v>0</v>
      </c>
      <c r="U194" s="65">
        <f t="shared" ref="U194" si="337">T194+U193</f>
        <v>0</v>
      </c>
      <c r="V194" s="65">
        <f t="shared" ref="V194" si="338">U194+V193</f>
        <v>0</v>
      </c>
      <c r="W194" s="65">
        <f t="shared" ref="W194" si="339">V194+W193</f>
        <v>0</v>
      </c>
      <c r="X194" s="65">
        <f t="shared" ref="X194" si="340">W194+X193</f>
        <v>0</v>
      </c>
      <c r="Y194" s="65">
        <f t="shared" ref="Y194" si="341">X194+Y193</f>
        <v>0</v>
      </c>
      <c r="Z194" s="65">
        <f t="shared" ref="Z194" si="342">Y194+Z193</f>
        <v>0</v>
      </c>
      <c r="AA194" s="175"/>
    </row>
    <row r="195" spans="1:48" outlineLevel="1" x14ac:dyDescent="0.25">
      <c r="A195" s="36" t="str">
        <f t="shared" si="300"/>
        <v>СБ-55Д-01</v>
      </c>
      <c r="B195" s="36"/>
      <c r="D195" s="88"/>
      <c r="E195" s="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175"/>
    </row>
    <row r="196" spans="1:48" outlineLevel="1" x14ac:dyDescent="0.25">
      <c r="A196" s="36" t="str">
        <f t="shared" si="300"/>
        <v>СБ-55Д-01</v>
      </c>
      <c r="B196" s="36" t="str">
        <f>D196</f>
        <v>Аннуитет операционный</v>
      </c>
      <c r="C196" s="57">
        <f>E115</f>
        <v>0</v>
      </c>
      <c r="D196" s="95" t="s">
        <v>73</v>
      </c>
      <c r="E196" s="96" t="s">
        <v>207</v>
      </c>
      <c r="F196" s="97"/>
      <c r="G196" s="98" t="e">
        <f>G176/'ФОТ, МТР, макро'!AJ$15/(G122/G117)</f>
        <v>#DIV/0!</v>
      </c>
      <c r="H196" s="98" t="e">
        <f>H176/'ФОТ, МТР, макро'!AK$15/(H122/H117)</f>
        <v>#DIV/0!</v>
      </c>
      <c r="I196" s="98" t="e">
        <f>I176/'ФОТ, МТР, макро'!AL$15/(I122/I117)</f>
        <v>#DIV/0!</v>
      </c>
      <c r="J196" s="98" t="e">
        <f>J176/'ФОТ, МТР, макро'!AM$15/(J122/J117)</f>
        <v>#DIV/0!</v>
      </c>
      <c r="K196" s="98" t="e">
        <f>K176/'ФОТ, МТР, макро'!AN$15/(K122/K117)</f>
        <v>#DIV/0!</v>
      </c>
      <c r="L196" s="98" t="e">
        <f>L176/'ФОТ, МТР, макро'!AO$15/(L122/L117)</f>
        <v>#DIV/0!</v>
      </c>
      <c r="M196" s="98" t="e">
        <f>M176/'ФОТ, МТР, макро'!AP$15/(M122/M117)</f>
        <v>#DIV/0!</v>
      </c>
      <c r="N196" s="98" t="e">
        <f>N176/'ФОТ, МТР, макро'!AQ$15/(N122/N117)</f>
        <v>#DIV/0!</v>
      </c>
      <c r="O196" s="98" t="e">
        <f>O176/'ФОТ, МТР, макро'!AR$15/(O122/O117)</f>
        <v>#DIV/0!</v>
      </c>
      <c r="P196" s="98" t="e">
        <f>P176/'ФОТ, МТР, макро'!AS$15/(P122/P117)</f>
        <v>#DIV/0!</v>
      </c>
      <c r="Q196" s="98" t="e">
        <f>Q176/'ФОТ, МТР, макро'!AT$15/(Q122/Q117)</f>
        <v>#DIV/0!</v>
      </c>
      <c r="R196" s="98" t="e">
        <f>R176/'ФОТ, МТР, макро'!AU$15/(R122/R117)</f>
        <v>#DIV/0!</v>
      </c>
      <c r="S196" s="98" t="e">
        <f>S176/'ФОТ, МТР, макро'!AV$15/(S122/S117)</f>
        <v>#DIV/0!</v>
      </c>
      <c r="T196" s="98" t="e">
        <f>T176/'ФОТ, МТР, макро'!AW$15/(T122/T117)</f>
        <v>#DIV/0!</v>
      </c>
      <c r="U196" s="98" t="e">
        <f>U176/'ФОТ, МТР, макро'!AX$15/(U122/U117)</f>
        <v>#DIV/0!</v>
      </c>
      <c r="V196" s="98" t="e">
        <f>V176/'ФОТ, МТР, макро'!AY$15/(V122/V117)</f>
        <v>#DIV/0!</v>
      </c>
      <c r="W196" s="98" t="e">
        <f>W176/'ФОТ, МТР, макро'!AZ$15/(W122/W117)</f>
        <v>#DIV/0!</v>
      </c>
      <c r="X196" s="98" t="e">
        <f>X176/'ФОТ, МТР, макро'!BA$15/(X122/X117)</f>
        <v>#DIV/0!</v>
      </c>
      <c r="Y196" s="98" t="e">
        <f>Y176/'ФОТ, МТР, макро'!BB$15/(Y122/Y117)</f>
        <v>#DIV/0!</v>
      </c>
      <c r="Z196" s="98" t="e">
        <f>Z176/'ФОТ, МТР, макро'!BC$15/(Z122/Z117)</f>
        <v>#DIV/0!</v>
      </c>
      <c r="AA196" s="175"/>
      <c r="AC196" s="99" t="e" cm="1">
        <f t="array" ref="AC196:AV196">INDEX(G196:Z196,1,$C196)</f>
        <v>#DIV/0!</v>
      </c>
      <c r="AD196" s="2" t="e">
        <v>#DIV/0!</v>
      </c>
      <c r="AE196" s="2" t="e">
        <v>#DIV/0!</v>
      </c>
      <c r="AF196" s="2" t="e">
        <v>#DIV/0!</v>
      </c>
      <c r="AG196" s="2" t="e">
        <v>#DIV/0!</v>
      </c>
      <c r="AH196" s="2" t="e">
        <v>#DIV/0!</v>
      </c>
      <c r="AI196" s="2" t="e">
        <v>#DIV/0!</v>
      </c>
      <c r="AJ196" s="2" t="e">
        <v>#DIV/0!</v>
      </c>
      <c r="AK196" s="2" t="e">
        <v>#DIV/0!</v>
      </c>
      <c r="AL196" s="2" t="e">
        <v>#DIV/0!</v>
      </c>
      <c r="AM196" s="2" t="e">
        <v>#DIV/0!</v>
      </c>
      <c r="AN196" s="2" t="e">
        <v>#DIV/0!</v>
      </c>
      <c r="AO196" s="2" t="e">
        <v>#DIV/0!</v>
      </c>
      <c r="AP196" s="2" t="e">
        <v>#DIV/0!</v>
      </c>
      <c r="AQ196" s="2" t="e">
        <v>#DIV/0!</v>
      </c>
      <c r="AR196" s="2" t="e">
        <v>#DIV/0!</v>
      </c>
      <c r="AS196" s="2" t="e">
        <v>#DIV/0!</v>
      </c>
      <c r="AT196" s="2" t="e">
        <v>#DIV/0!</v>
      </c>
      <c r="AU196" s="2" t="e">
        <v>#DIV/0!</v>
      </c>
      <c r="AV196" s="2" t="e">
        <v>#DIV/0!</v>
      </c>
    </row>
    <row r="197" spans="1:48" outlineLevel="1" x14ac:dyDescent="0.25">
      <c r="A197" s="36" t="str">
        <f t="shared" si="300"/>
        <v>СБ-55Д-01</v>
      </c>
      <c r="B197" s="36" t="str">
        <f t="shared" ref="B197:B208" si="343">D197</f>
        <v>ТО, ТР, ППР</v>
      </c>
      <c r="C197" s="36">
        <f>C196</f>
        <v>0</v>
      </c>
      <c r="D197" s="100" t="str">
        <f>D177</f>
        <v>ТО, ТР, ППР</v>
      </c>
      <c r="E197" s="101" t="str">
        <f>E196</f>
        <v>руб/м3</v>
      </c>
      <c r="F197" s="102"/>
      <c r="G197" s="103" t="e">
        <f>G177/'ФОТ, МТР, макро'!AJ$15/(G122/G117)</f>
        <v>#DIV/0!</v>
      </c>
      <c r="H197" s="103" t="e">
        <f>H177/'ФОТ, МТР, макро'!AK$15/(H122/H117)</f>
        <v>#DIV/0!</v>
      </c>
      <c r="I197" s="103" t="e">
        <f>I177/'ФОТ, МТР, макро'!AL$15/(I122/I117)</f>
        <v>#DIV/0!</v>
      </c>
      <c r="J197" s="103" t="e">
        <f>J177/'ФОТ, МТР, макро'!AM$15/(J122/J117)</f>
        <v>#DIV/0!</v>
      </c>
      <c r="K197" s="103" t="e">
        <f>K177/'ФОТ, МТР, макро'!AN$15/(K122/K117)</f>
        <v>#DIV/0!</v>
      </c>
      <c r="L197" s="103" t="e">
        <f>L177/'ФОТ, МТР, макро'!AO$15/(L122/L117)</f>
        <v>#DIV/0!</v>
      </c>
      <c r="M197" s="103" t="e">
        <f>M177/'ФОТ, МТР, макро'!AP$15/(M122/M117)</f>
        <v>#DIV/0!</v>
      </c>
      <c r="N197" s="103" t="e">
        <f>N177/'ФОТ, МТР, макро'!AQ$15/(N122/N117)</f>
        <v>#DIV/0!</v>
      </c>
      <c r="O197" s="103" t="e">
        <f>O177/'ФОТ, МТР, макро'!AR$15/(O122/O117)</f>
        <v>#DIV/0!</v>
      </c>
      <c r="P197" s="103" t="e">
        <f>P177/'ФОТ, МТР, макро'!AS$15/(P122/P117)</f>
        <v>#DIV/0!</v>
      </c>
      <c r="Q197" s="103" t="e">
        <f>Q177/'ФОТ, МТР, макро'!AT$15/(Q122/Q117)</f>
        <v>#DIV/0!</v>
      </c>
      <c r="R197" s="103" t="e">
        <f>R177/'ФОТ, МТР, макро'!AU$15/(R122/R117)</f>
        <v>#DIV/0!</v>
      </c>
      <c r="S197" s="103" t="e">
        <f>S177/'ФОТ, МТР, макро'!AV$15/(S122/S117)</f>
        <v>#DIV/0!</v>
      </c>
      <c r="T197" s="103" t="e">
        <f>T177/'ФОТ, МТР, макро'!AW$15/(T122/T117)</f>
        <v>#DIV/0!</v>
      </c>
      <c r="U197" s="103" t="e">
        <f>U177/'ФОТ, МТР, макро'!AX$15/(U122/U117)</f>
        <v>#DIV/0!</v>
      </c>
      <c r="V197" s="103" t="e">
        <f>V177/'ФОТ, МТР, макро'!AY$15/(V122/V117)</f>
        <v>#DIV/0!</v>
      </c>
      <c r="W197" s="103" t="e">
        <f>W177/'ФОТ, МТР, макро'!AZ$15/(W122/W117)</f>
        <v>#DIV/0!</v>
      </c>
      <c r="X197" s="103" t="e">
        <f>X177/'ФОТ, МТР, макро'!BA$15/(X122/X117)</f>
        <v>#DIV/0!</v>
      </c>
      <c r="Y197" s="103" t="e">
        <f>Y177/'ФОТ, МТР, макро'!BB$15/(Y122/Y117)</f>
        <v>#DIV/0!</v>
      </c>
      <c r="Z197" s="103" t="e">
        <f>Z177/'ФОТ, МТР, макро'!BC$15/(Z122/Z117)</f>
        <v>#DIV/0!</v>
      </c>
      <c r="AA197" s="175"/>
      <c r="AC197" s="104" t="e" cm="1">
        <f t="array" ref="AC197:AV197">INDEX(G197:Z197,1,$C197)</f>
        <v>#DIV/0!</v>
      </c>
      <c r="AD197" s="2" t="e">
        <v>#DIV/0!</v>
      </c>
      <c r="AE197" s="2" t="e">
        <v>#DIV/0!</v>
      </c>
      <c r="AF197" s="2" t="e">
        <v>#DIV/0!</v>
      </c>
      <c r="AG197" s="2" t="e">
        <v>#DIV/0!</v>
      </c>
      <c r="AH197" s="2" t="e">
        <v>#DIV/0!</v>
      </c>
      <c r="AI197" s="2" t="e">
        <v>#DIV/0!</v>
      </c>
      <c r="AJ197" s="2" t="e">
        <v>#DIV/0!</v>
      </c>
      <c r="AK197" s="2" t="e">
        <v>#DIV/0!</v>
      </c>
      <c r="AL197" s="2" t="e">
        <v>#DIV/0!</v>
      </c>
      <c r="AM197" s="2" t="e">
        <v>#DIV/0!</v>
      </c>
      <c r="AN197" s="2" t="e">
        <v>#DIV/0!</v>
      </c>
      <c r="AO197" s="2" t="e">
        <v>#DIV/0!</v>
      </c>
      <c r="AP197" s="2" t="e">
        <v>#DIV/0!</v>
      </c>
      <c r="AQ197" s="2" t="e">
        <v>#DIV/0!</v>
      </c>
      <c r="AR197" s="2" t="e">
        <v>#DIV/0!</v>
      </c>
      <c r="AS197" s="2" t="e">
        <v>#DIV/0!</v>
      </c>
      <c r="AT197" s="2" t="e">
        <v>#DIV/0!</v>
      </c>
      <c r="AU197" s="2" t="e">
        <v>#DIV/0!</v>
      </c>
      <c r="AV197" s="2" t="e">
        <v>#DIV/0!</v>
      </c>
    </row>
    <row r="198" spans="1:48" outlineLevel="1" x14ac:dyDescent="0.25">
      <c r="A198" s="36" t="str">
        <f t="shared" si="300"/>
        <v>СБ-55Д-01</v>
      </c>
      <c r="B198" s="36" t="str">
        <f t="shared" si="343"/>
        <v>Смазочные</v>
      </c>
      <c r="C198" s="36">
        <f t="shared" ref="C198:C208" si="344">C197</f>
        <v>0</v>
      </c>
      <c r="D198" s="100" t="str">
        <f t="shared" ref="D198:D205" si="345">D178</f>
        <v>Смазочные</v>
      </c>
      <c r="E198" s="101" t="str">
        <f t="shared" ref="E198:E205" si="346">E197</f>
        <v>руб/м3</v>
      </c>
      <c r="F198" s="102"/>
      <c r="G198" s="103" t="e">
        <f>G178/'ФОТ, МТР, макро'!AJ$15/(G122/G117)</f>
        <v>#DIV/0!</v>
      </c>
      <c r="H198" s="103" t="e">
        <f>H178/'ФОТ, МТР, макро'!AK$15/(H122/H117)</f>
        <v>#DIV/0!</v>
      </c>
      <c r="I198" s="103" t="e">
        <f>I178/'ФОТ, МТР, макро'!AL$15/(I122/I117)</f>
        <v>#DIV/0!</v>
      </c>
      <c r="J198" s="103" t="e">
        <f>J178/'ФОТ, МТР, макро'!AM$15/(J122/J117)</f>
        <v>#DIV/0!</v>
      </c>
      <c r="K198" s="103" t="e">
        <f>K178/'ФОТ, МТР, макро'!AN$15/(K122/K117)</f>
        <v>#DIV/0!</v>
      </c>
      <c r="L198" s="103" t="e">
        <f>L178/'ФОТ, МТР, макро'!AO$15/(L122/L117)</f>
        <v>#DIV/0!</v>
      </c>
      <c r="M198" s="103" t="e">
        <f>M178/'ФОТ, МТР, макро'!AP$15/(M122/M117)</f>
        <v>#DIV/0!</v>
      </c>
      <c r="N198" s="103" t="e">
        <f>N178/'ФОТ, МТР, макро'!AQ$15/(N122/N117)</f>
        <v>#DIV/0!</v>
      </c>
      <c r="O198" s="103" t="e">
        <f>O178/'ФОТ, МТР, макро'!AR$15/(O122/O117)</f>
        <v>#DIV/0!</v>
      </c>
      <c r="P198" s="103" t="e">
        <f>P178/'ФОТ, МТР, макро'!AS$15/(P122/P117)</f>
        <v>#DIV/0!</v>
      </c>
      <c r="Q198" s="103" t="e">
        <f>Q178/'ФОТ, МТР, макро'!AT$15/(Q122/Q117)</f>
        <v>#DIV/0!</v>
      </c>
      <c r="R198" s="103" t="e">
        <f>R178/'ФОТ, МТР, макро'!AU$15/(R122/R117)</f>
        <v>#DIV/0!</v>
      </c>
      <c r="S198" s="103" t="e">
        <f>S178/'ФОТ, МТР, макро'!AV$15/(S122/S117)</f>
        <v>#DIV/0!</v>
      </c>
      <c r="T198" s="103" t="e">
        <f>T178/'ФОТ, МТР, макро'!AW$15/(T122/T117)</f>
        <v>#DIV/0!</v>
      </c>
      <c r="U198" s="103" t="e">
        <f>U178/'ФОТ, МТР, макро'!AX$15/(U122/U117)</f>
        <v>#DIV/0!</v>
      </c>
      <c r="V198" s="103" t="e">
        <f>V178/'ФОТ, МТР, макро'!AY$15/(V122/V117)</f>
        <v>#DIV/0!</v>
      </c>
      <c r="W198" s="103" t="e">
        <f>W178/'ФОТ, МТР, макро'!AZ$15/(W122/W117)</f>
        <v>#DIV/0!</v>
      </c>
      <c r="X198" s="103" t="e">
        <f>X178/'ФОТ, МТР, макро'!BA$15/(X122/X117)</f>
        <v>#DIV/0!</v>
      </c>
      <c r="Y198" s="103" t="e">
        <f>Y178/'ФОТ, МТР, макро'!BB$15/(Y122/Y117)</f>
        <v>#DIV/0!</v>
      </c>
      <c r="Z198" s="103" t="e">
        <f>Z178/'ФОТ, МТР, макро'!BC$15/(Z122/Z117)</f>
        <v>#DIV/0!</v>
      </c>
      <c r="AA198" s="175"/>
      <c r="AC198" s="104" t="e" cm="1">
        <f t="array" ref="AC198:AV198">INDEX(G198:Z198,1,$C198)</f>
        <v>#DIV/0!</v>
      </c>
      <c r="AD198" s="2" t="e">
        <v>#DIV/0!</v>
      </c>
      <c r="AE198" s="2" t="e">
        <v>#DIV/0!</v>
      </c>
      <c r="AF198" s="2" t="e">
        <v>#DIV/0!</v>
      </c>
      <c r="AG198" s="2" t="e">
        <v>#DIV/0!</v>
      </c>
      <c r="AH198" s="2" t="e">
        <v>#DIV/0!</v>
      </c>
      <c r="AI198" s="2" t="e">
        <v>#DIV/0!</v>
      </c>
      <c r="AJ198" s="2" t="e">
        <v>#DIV/0!</v>
      </c>
      <c r="AK198" s="2" t="e">
        <v>#DIV/0!</v>
      </c>
      <c r="AL198" s="2" t="e">
        <v>#DIV/0!</v>
      </c>
      <c r="AM198" s="2" t="e">
        <v>#DIV/0!</v>
      </c>
      <c r="AN198" s="2" t="e">
        <v>#DIV/0!</v>
      </c>
      <c r="AO198" s="2" t="e">
        <v>#DIV/0!</v>
      </c>
      <c r="AP198" s="2" t="e">
        <v>#DIV/0!</v>
      </c>
      <c r="AQ198" s="2" t="e">
        <v>#DIV/0!</v>
      </c>
      <c r="AR198" s="2" t="e">
        <v>#DIV/0!</v>
      </c>
      <c r="AS198" s="2" t="e">
        <v>#DIV/0!</v>
      </c>
      <c r="AT198" s="2" t="e">
        <v>#DIV/0!</v>
      </c>
      <c r="AU198" s="2" t="e">
        <v>#DIV/0!</v>
      </c>
      <c r="AV198" s="2" t="e">
        <v>#DIV/0!</v>
      </c>
    </row>
    <row r="199" spans="1:48" outlineLevel="1" x14ac:dyDescent="0.25">
      <c r="A199" s="36" t="str">
        <f t="shared" si="300"/>
        <v>СБ-55Д-01</v>
      </c>
      <c r="B199" s="36" t="str">
        <f t="shared" si="343"/>
        <v>Долота</v>
      </c>
      <c r="C199" s="36">
        <f t="shared" si="344"/>
        <v>0</v>
      </c>
      <c r="D199" s="100" t="str">
        <f t="shared" si="345"/>
        <v>Долота</v>
      </c>
      <c r="E199" s="101" t="str">
        <f t="shared" si="346"/>
        <v>руб/м3</v>
      </c>
      <c r="F199" s="102"/>
      <c r="G199" s="103" t="e">
        <f>G179/'ФОТ, МТР, макро'!AJ$15/(G122/G117)</f>
        <v>#DIV/0!</v>
      </c>
      <c r="H199" s="103" t="e">
        <f>H179/'ФОТ, МТР, макро'!AK$15/(H122/H117)</f>
        <v>#DIV/0!</v>
      </c>
      <c r="I199" s="103" t="e">
        <f>I179/'ФОТ, МТР, макро'!AL$15/(I122/I117)</f>
        <v>#DIV/0!</v>
      </c>
      <c r="J199" s="103" t="e">
        <f>J179/'ФОТ, МТР, макро'!AM$15/(J122/J117)</f>
        <v>#DIV/0!</v>
      </c>
      <c r="K199" s="103" t="e">
        <f>K179/'ФОТ, МТР, макро'!AN$15/(K122/K117)</f>
        <v>#DIV/0!</v>
      </c>
      <c r="L199" s="103" t="e">
        <f>L179/'ФОТ, МТР, макро'!AO$15/(L122/L117)</f>
        <v>#DIV/0!</v>
      </c>
      <c r="M199" s="103" t="e">
        <f>M179/'ФОТ, МТР, макро'!AP$15/(M122/M117)</f>
        <v>#DIV/0!</v>
      </c>
      <c r="N199" s="103" t="e">
        <f>N179/'ФОТ, МТР, макро'!AQ$15/(N122/N117)</f>
        <v>#DIV/0!</v>
      </c>
      <c r="O199" s="103" t="e">
        <f>O179/'ФОТ, МТР, макро'!AR$15/(O122/O117)</f>
        <v>#DIV/0!</v>
      </c>
      <c r="P199" s="103" t="e">
        <f>P179/'ФОТ, МТР, макро'!AS$15/(P122/P117)</f>
        <v>#DIV/0!</v>
      </c>
      <c r="Q199" s="103" t="e">
        <f>Q179/'ФОТ, МТР, макро'!AT$15/(Q122/Q117)</f>
        <v>#DIV/0!</v>
      </c>
      <c r="R199" s="103" t="e">
        <f>R179/'ФОТ, МТР, макро'!AU$15/(R122/R117)</f>
        <v>#DIV/0!</v>
      </c>
      <c r="S199" s="103" t="e">
        <f>S179/'ФОТ, МТР, макро'!AV$15/(S122/S117)</f>
        <v>#DIV/0!</v>
      </c>
      <c r="T199" s="103" t="e">
        <f>T179/'ФОТ, МТР, макро'!AW$15/(T122/T117)</f>
        <v>#DIV/0!</v>
      </c>
      <c r="U199" s="103" t="e">
        <f>U179/'ФОТ, МТР, макро'!AX$15/(U122/U117)</f>
        <v>#DIV/0!</v>
      </c>
      <c r="V199" s="103" t="e">
        <f>V179/'ФОТ, МТР, макро'!AY$15/(V122/V117)</f>
        <v>#DIV/0!</v>
      </c>
      <c r="W199" s="103" t="e">
        <f>W179/'ФОТ, МТР, макро'!AZ$15/(W122/W117)</f>
        <v>#DIV/0!</v>
      </c>
      <c r="X199" s="103" t="e">
        <f>X179/'ФОТ, МТР, макро'!BA$15/(X122/X117)</f>
        <v>#DIV/0!</v>
      </c>
      <c r="Y199" s="103" t="e">
        <f>Y179/'ФОТ, МТР, макро'!BB$15/(Y122/Y117)</f>
        <v>#DIV/0!</v>
      </c>
      <c r="Z199" s="103" t="e">
        <f>Z179/'ФОТ, МТР, макро'!BC$15/(Z122/Z117)</f>
        <v>#DIV/0!</v>
      </c>
      <c r="AA199" s="175"/>
      <c r="AC199" s="104" t="e" cm="1">
        <f t="array" ref="AC199:AV199">INDEX(G199:Z199,1,$C199)</f>
        <v>#DIV/0!</v>
      </c>
      <c r="AD199" s="2" t="e">
        <v>#DIV/0!</v>
      </c>
      <c r="AE199" s="2" t="e">
        <v>#DIV/0!</v>
      </c>
      <c r="AF199" s="2" t="e">
        <v>#DIV/0!</v>
      </c>
      <c r="AG199" s="2" t="e">
        <v>#DIV/0!</v>
      </c>
      <c r="AH199" s="2" t="e">
        <v>#DIV/0!</v>
      </c>
      <c r="AI199" s="2" t="e">
        <v>#DIV/0!</v>
      </c>
      <c r="AJ199" s="2" t="e">
        <v>#DIV/0!</v>
      </c>
      <c r="AK199" s="2" t="e">
        <v>#DIV/0!</v>
      </c>
      <c r="AL199" s="2" t="e">
        <v>#DIV/0!</v>
      </c>
      <c r="AM199" s="2" t="e">
        <v>#DIV/0!</v>
      </c>
      <c r="AN199" s="2" t="e">
        <v>#DIV/0!</v>
      </c>
      <c r="AO199" s="2" t="e">
        <v>#DIV/0!</v>
      </c>
      <c r="AP199" s="2" t="e">
        <v>#DIV/0!</v>
      </c>
      <c r="AQ199" s="2" t="e">
        <v>#DIV/0!</v>
      </c>
      <c r="AR199" s="2" t="e">
        <v>#DIV/0!</v>
      </c>
      <c r="AS199" s="2" t="e">
        <v>#DIV/0!</v>
      </c>
      <c r="AT199" s="2" t="e">
        <v>#DIV/0!</v>
      </c>
      <c r="AU199" s="2" t="e">
        <v>#DIV/0!</v>
      </c>
      <c r="AV199" s="2" t="e">
        <v>#DIV/0!</v>
      </c>
    </row>
    <row r="200" spans="1:48" outlineLevel="1" x14ac:dyDescent="0.25">
      <c r="A200" s="36" t="str">
        <f t="shared" si="300"/>
        <v>СБ-55Д-01</v>
      </c>
      <c r="B200" s="36" t="str">
        <f t="shared" si="343"/>
        <v>Штанги буровые</v>
      </c>
      <c r="C200" s="36">
        <f t="shared" si="344"/>
        <v>0</v>
      </c>
      <c r="D200" s="100" t="str">
        <f t="shared" si="345"/>
        <v>Штанги буровые</v>
      </c>
      <c r="E200" s="101" t="str">
        <f t="shared" si="346"/>
        <v>руб/м3</v>
      </c>
      <c r="F200" s="102"/>
      <c r="G200" s="103" t="e">
        <f>G180/'ФОТ, МТР, макро'!AJ$15/(G122/G117)</f>
        <v>#DIV/0!</v>
      </c>
      <c r="H200" s="103" t="e">
        <f>H180/'ФОТ, МТР, макро'!AK$15/(H122/H117)</f>
        <v>#DIV/0!</v>
      </c>
      <c r="I200" s="103" t="e">
        <f>I180/'ФОТ, МТР, макро'!AL$15/(I122/I117)</f>
        <v>#DIV/0!</v>
      </c>
      <c r="J200" s="103" t="e">
        <f>J180/'ФОТ, МТР, макро'!AM$15/(J122/J117)</f>
        <v>#DIV/0!</v>
      </c>
      <c r="K200" s="103" t="e">
        <f>K180/'ФОТ, МТР, макро'!AN$15/(K122/K117)</f>
        <v>#DIV/0!</v>
      </c>
      <c r="L200" s="103" t="e">
        <f>L180/'ФОТ, МТР, макро'!AO$15/(L122/L117)</f>
        <v>#DIV/0!</v>
      </c>
      <c r="M200" s="103" t="e">
        <f>M180/'ФОТ, МТР, макро'!AP$15/(M122/M117)</f>
        <v>#DIV/0!</v>
      </c>
      <c r="N200" s="103" t="e">
        <f>N180/'ФОТ, МТР, макро'!AQ$15/(N122/N117)</f>
        <v>#DIV/0!</v>
      </c>
      <c r="O200" s="103" t="e">
        <f>O180/'ФОТ, МТР, макро'!AR$15/(O122/O117)</f>
        <v>#DIV/0!</v>
      </c>
      <c r="P200" s="103" t="e">
        <f>P180/'ФОТ, МТР, макро'!AS$15/(P122/P117)</f>
        <v>#DIV/0!</v>
      </c>
      <c r="Q200" s="103" t="e">
        <f>Q180/'ФОТ, МТР, макро'!AT$15/(Q122/Q117)</f>
        <v>#DIV/0!</v>
      </c>
      <c r="R200" s="103" t="e">
        <f>R180/'ФОТ, МТР, макро'!AU$15/(R122/R117)</f>
        <v>#DIV/0!</v>
      </c>
      <c r="S200" s="103" t="e">
        <f>S180/'ФОТ, МТР, макро'!AV$15/(S122/S117)</f>
        <v>#DIV/0!</v>
      </c>
      <c r="T200" s="103" t="e">
        <f>T180/'ФОТ, МТР, макро'!AW$15/(T122/T117)</f>
        <v>#DIV/0!</v>
      </c>
      <c r="U200" s="103" t="e">
        <f>U180/'ФОТ, МТР, макро'!AX$15/(U122/U117)</f>
        <v>#DIV/0!</v>
      </c>
      <c r="V200" s="103" t="e">
        <f>V180/'ФОТ, МТР, макро'!AY$15/(V122/V117)</f>
        <v>#DIV/0!</v>
      </c>
      <c r="W200" s="103" t="e">
        <f>W180/'ФОТ, МТР, макро'!AZ$15/(W122/W117)</f>
        <v>#DIV/0!</v>
      </c>
      <c r="X200" s="103" t="e">
        <f>X180/'ФОТ, МТР, макро'!BA$15/(X122/X117)</f>
        <v>#DIV/0!</v>
      </c>
      <c r="Y200" s="103" t="e">
        <f>Y180/'ФОТ, МТР, макро'!BB$15/(Y122/Y117)</f>
        <v>#DIV/0!</v>
      </c>
      <c r="Z200" s="103" t="e">
        <f>Z180/'ФОТ, МТР, макро'!BC$15/(Z122/Z117)</f>
        <v>#DIV/0!</v>
      </c>
      <c r="AA200" s="175"/>
      <c r="AC200" s="104" t="e" cm="1">
        <f t="array" ref="AC200:AV200">INDEX(G200:Z200,1,$C200)</f>
        <v>#DIV/0!</v>
      </c>
      <c r="AD200" s="2" t="e">
        <v>#DIV/0!</v>
      </c>
      <c r="AE200" s="2" t="e">
        <v>#DIV/0!</v>
      </c>
      <c r="AF200" s="2" t="e">
        <v>#DIV/0!</v>
      </c>
      <c r="AG200" s="2" t="e">
        <v>#DIV/0!</v>
      </c>
      <c r="AH200" s="2" t="e">
        <v>#DIV/0!</v>
      </c>
      <c r="AI200" s="2" t="e">
        <v>#DIV/0!</v>
      </c>
      <c r="AJ200" s="2" t="e">
        <v>#DIV/0!</v>
      </c>
      <c r="AK200" s="2" t="e">
        <v>#DIV/0!</v>
      </c>
      <c r="AL200" s="2" t="e">
        <v>#DIV/0!</v>
      </c>
      <c r="AM200" s="2" t="e">
        <v>#DIV/0!</v>
      </c>
      <c r="AN200" s="2" t="e">
        <v>#DIV/0!</v>
      </c>
      <c r="AO200" s="2" t="e">
        <v>#DIV/0!</v>
      </c>
      <c r="AP200" s="2" t="e">
        <v>#DIV/0!</v>
      </c>
      <c r="AQ200" s="2" t="e">
        <v>#DIV/0!</v>
      </c>
      <c r="AR200" s="2" t="e">
        <v>#DIV/0!</v>
      </c>
      <c r="AS200" s="2" t="e">
        <v>#DIV/0!</v>
      </c>
      <c r="AT200" s="2" t="e">
        <v>#DIV/0!</v>
      </c>
      <c r="AU200" s="2" t="e">
        <v>#DIV/0!</v>
      </c>
      <c r="AV200" s="2" t="e">
        <v>#DIV/0!</v>
      </c>
    </row>
    <row r="201" spans="1:48" outlineLevel="1" x14ac:dyDescent="0.25">
      <c r="A201" s="36" t="str">
        <f t="shared" si="300"/>
        <v>СБ-55Д-01</v>
      </c>
      <c r="B201" s="36" t="str">
        <f t="shared" si="343"/>
        <v>Расходники</v>
      </c>
      <c r="C201" s="36">
        <f t="shared" si="344"/>
        <v>0</v>
      </c>
      <c r="D201" s="100" t="str">
        <f t="shared" si="345"/>
        <v>Расходники</v>
      </c>
      <c r="E201" s="101" t="str">
        <f t="shared" si="346"/>
        <v>руб/м3</v>
      </c>
      <c r="F201" s="102"/>
      <c r="G201" s="103" t="e">
        <f>G181/'ФОТ, МТР, макро'!AJ$15/(G122/G117)</f>
        <v>#DIV/0!</v>
      </c>
      <c r="H201" s="103" t="e">
        <f>H181/'ФОТ, МТР, макро'!AK$15/(H122/H117)</f>
        <v>#DIV/0!</v>
      </c>
      <c r="I201" s="103" t="e">
        <f>I181/'ФОТ, МТР, макро'!AL$15/(I122/I117)</f>
        <v>#DIV/0!</v>
      </c>
      <c r="J201" s="103" t="e">
        <f>J181/'ФОТ, МТР, макро'!AM$15/(J122/J117)</f>
        <v>#DIV/0!</v>
      </c>
      <c r="K201" s="103" t="e">
        <f>K181/'ФОТ, МТР, макро'!AN$15/(K122/K117)</f>
        <v>#DIV/0!</v>
      </c>
      <c r="L201" s="103" t="e">
        <f>L181/'ФОТ, МТР, макро'!AO$15/(L122/L117)</f>
        <v>#DIV/0!</v>
      </c>
      <c r="M201" s="103" t="e">
        <f>M181/'ФОТ, МТР, макро'!AP$15/(M122/M117)</f>
        <v>#DIV/0!</v>
      </c>
      <c r="N201" s="103" t="e">
        <f>N181/'ФОТ, МТР, макро'!AQ$15/(N122/N117)</f>
        <v>#DIV/0!</v>
      </c>
      <c r="O201" s="103" t="e">
        <f>O181/'ФОТ, МТР, макро'!AR$15/(O122/O117)</f>
        <v>#DIV/0!</v>
      </c>
      <c r="P201" s="103" t="e">
        <f>P181/'ФОТ, МТР, макро'!AS$15/(P122/P117)</f>
        <v>#DIV/0!</v>
      </c>
      <c r="Q201" s="103" t="e">
        <f>Q181/'ФОТ, МТР, макро'!AT$15/(Q122/Q117)</f>
        <v>#DIV/0!</v>
      </c>
      <c r="R201" s="103" t="e">
        <f>R181/'ФОТ, МТР, макро'!AU$15/(R122/R117)</f>
        <v>#DIV/0!</v>
      </c>
      <c r="S201" s="103" t="e">
        <f>S181/'ФОТ, МТР, макро'!AV$15/(S122/S117)</f>
        <v>#DIV/0!</v>
      </c>
      <c r="T201" s="103" t="e">
        <f>T181/'ФОТ, МТР, макро'!AW$15/(T122/T117)</f>
        <v>#DIV/0!</v>
      </c>
      <c r="U201" s="103" t="e">
        <f>U181/'ФОТ, МТР, макро'!AX$15/(U122/U117)</f>
        <v>#DIV/0!</v>
      </c>
      <c r="V201" s="103" t="e">
        <f>V181/'ФОТ, МТР, макро'!AY$15/(V122/V117)</f>
        <v>#DIV/0!</v>
      </c>
      <c r="W201" s="103" t="e">
        <f>W181/'ФОТ, МТР, макро'!AZ$15/(W122/W117)</f>
        <v>#DIV/0!</v>
      </c>
      <c r="X201" s="103" t="e">
        <f>X181/'ФОТ, МТР, макро'!BA$15/(X122/X117)</f>
        <v>#DIV/0!</v>
      </c>
      <c r="Y201" s="103" t="e">
        <f>Y181/'ФОТ, МТР, макро'!BB$15/(Y122/Y117)</f>
        <v>#DIV/0!</v>
      </c>
      <c r="Z201" s="103" t="e">
        <f>Z181/'ФОТ, МТР, макро'!BC$15/(Z122/Z117)</f>
        <v>#DIV/0!</v>
      </c>
      <c r="AA201" s="175"/>
      <c r="AC201" s="104" t="e" cm="1">
        <f t="array" ref="AC201:AV201">INDEX(G201:Z201,1,$C201)</f>
        <v>#DIV/0!</v>
      </c>
      <c r="AD201" s="2" t="e">
        <v>#DIV/0!</v>
      </c>
      <c r="AE201" s="2" t="e">
        <v>#DIV/0!</v>
      </c>
      <c r="AF201" s="2" t="e">
        <v>#DIV/0!</v>
      </c>
      <c r="AG201" s="2" t="e">
        <v>#DIV/0!</v>
      </c>
      <c r="AH201" s="2" t="e">
        <v>#DIV/0!</v>
      </c>
      <c r="AI201" s="2" t="e">
        <v>#DIV/0!</v>
      </c>
      <c r="AJ201" s="2" t="e">
        <v>#DIV/0!</v>
      </c>
      <c r="AK201" s="2" t="e">
        <v>#DIV/0!</v>
      </c>
      <c r="AL201" s="2" t="e">
        <v>#DIV/0!</v>
      </c>
      <c r="AM201" s="2" t="e">
        <v>#DIV/0!</v>
      </c>
      <c r="AN201" s="2" t="e">
        <v>#DIV/0!</v>
      </c>
      <c r="AO201" s="2" t="e">
        <v>#DIV/0!</v>
      </c>
      <c r="AP201" s="2" t="e">
        <v>#DIV/0!</v>
      </c>
      <c r="AQ201" s="2" t="e">
        <v>#DIV/0!</v>
      </c>
      <c r="AR201" s="2" t="e">
        <v>#DIV/0!</v>
      </c>
      <c r="AS201" s="2" t="e">
        <v>#DIV/0!</v>
      </c>
      <c r="AT201" s="2" t="e">
        <v>#DIV/0!</v>
      </c>
      <c r="AU201" s="2" t="e">
        <v>#DIV/0!</v>
      </c>
      <c r="AV201" s="2" t="e">
        <v>#DIV/0!</v>
      </c>
    </row>
    <row r="202" spans="1:48" outlineLevel="1" x14ac:dyDescent="0.25">
      <c r="A202" s="36" t="str">
        <f t="shared" si="300"/>
        <v>СБ-55Д-01</v>
      </c>
      <c r="B202" s="36" t="str">
        <f t="shared" si="343"/>
        <v>Топливо/Электроэнергия</v>
      </c>
      <c r="C202" s="36">
        <f t="shared" si="344"/>
        <v>0</v>
      </c>
      <c r="D202" s="100" t="str">
        <f t="shared" si="345"/>
        <v>Топливо/Электроэнергия</v>
      </c>
      <c r="E202" s="101" t="str">
        <f t="shared" si="346"/>
        <v>руб/м3</v>
      </c>
      <c r="F202" s="102"/>
      <c r="G202" s="103" t="e">
        <f>G182/'ФОТ, МТР, макро'!AJ$15/(G122/G117)</f>
        <v>#DIV/0!</v>
      </c>
      <c r="H202" s="103" t="e">
        <f>H182/'ФОТ, МТР, макро'!AK$15/(H122/H117)</f>
        <v>#DIV/0!</v>
      </c>
      <c r="I202" s="103" t="e">
        <f>I182/'ФОТ, МТР, макро'!AL$15/(I122/I117)</f>
        <v>#DIV/0!</v>
      </c>
      <c r="J202" s="103" t="e">
        <f>J182/'ФОТ, МТР, макро'!AM$15/(J122/J117)</f>
        <v>#DIV/0!</v>
      </c>
      <c r="K202" s="103" t="e">
        <f>K182/'ФОТ, МТР, макро'!AN$15/(K122/K117)</f>
        <v>#DIV/0!</v>
      </c>
      <c r="L202" s="103" t="e">
        <f>L182/'ФОТ, МТР, макро'!AO$15/(L122/L117)</f>
        <v>#DIV/0!</v>
      </c>
      <c r="M202" s="103" t="e">
        <f>M182/'ФОТ, МТР, макро'!AP$15/(M122/M117)</f>
        <v>#DIV/0!</v>
      </c>
      <c r="N202" s="103" t="e">
        <f>N182/'ФОТ, МТР, макро'!AQ$15/(N122/N117)</f>
        <v>#DIV/0!</v>
      </c>
      <c r="O202" s="103" t="e">
        <f>O182/'ФОТ, МТР, макро'!AR$15/(O122/O117)</f>
        <v>#DIV/0!</v>
      </c>
      <c r="P202" s="103" t="e">
        <f>P182/'ФОТ, МТР, макро'!AS$15/(P122/P117)</f>
        <v>#DIV/0!</v>
      </c>
      <c r="Q202" s="103" t="e">
        <f>Q182/'ФОТ, МТР, макро'!AT$15/(Q122/Q117)</f>
        <v>#DIV/0!</v>
      </c>
      <c r="R202" s="103" t="e">
        <f>R182/'ФОТ, МТР, макро'!AU$15/(R122/R117)</f>
        <v>#DIV/0!</v>
      </c>
      <c r="S202" s="103" t="e">
        <f>S182/'ФОТ, МТР, макро'!AV$15/(S122/S117)</f>
        <v>#DIV/0!</v>
      </c>
      <c r="T202" s="103" t="e">
        <f>T182/'ФОТ, МТР, макро'!AW$15/(T122/T117)</f>
        <v>#DIV/0!</v>
      </c>
      <c r="U202" s="103" t="e">
        <f>U182/'ФОТ, МТР, макро'!AX$15/(U122/U117)</f>
        <v>#DIV/0!</v>
      </c>
      <c r="V202" s="103" t="e">
        <f>V182/'ФОТ, МТР, макро'!AY$15/(V122/V117)</f>
        <v>#DIV/0!</v>
      </c>
      <c r="W202" s="103" t="e">
        <f>W182/'ФОТ, МТР, макро'!AZ$15/(W122/W117)</f>
        <v>#DIV/0!</v>
      </c>
      <c r="X202" s="103" t="e">
        <f>X182/'ФОТ, МТР, макро'!BA$15/(X122/X117)</f>
        <v>#DIV/0!</v>
      </c>
      <c r="Y202" s="103" t="e">
        <f>Y182/'ФОТ, МТР, макро'!BB$15/(Y122/Y117)</f>
        <v>#DIV/0!</v>
      </c>
      <c r="Z202" s="103" t="e">
        <f>Z182/'ФОТ, МТР, макро'!BC$15/(Z122/Z117)</f>
        <v>#DIV/0!</v>
      </c>
      <c r="AA202" s="175"/>
      <c r="AC202" s="104" t="e" cm="1">
        <f t="array" ref="AC202:AV202">INDEX(G202:Z202,1,$C202)</f>
        <v>#DIV/0!</v>
      </c>
      <c r="AD202" s="2" t="e">
        <v>#DIV/0!</v>
      </c>
      <c r="AE202" s="2" t="e">
        <v>#DIV/0!</v>
      </c>
      <c r="AF202" s="2" t="e">
        <v>#DIV/0!</v>
      </c>
      <c r="AG202" s="2" t="e">
        <v>#DIV/0!</v>
      </c>
      <c r="AH202" s="2" t="e">
        <v>#DIV/0!</v>
      </c>
      <c r="AI202" s="2" t="e">
        <v>#DIV/0!</v>
      </c>
      <c r="AJ202" s="2" t="e">
        <v>#DIV/0!</v>
      </c>
      <c r="AK202" s="2" t="e">
        <v>#DIV/0!</v>
      </c>
      <c r="AL202" s="2" t="e">
        <v>#DIV/0!</v>
      </c>
      <c r="AM202" s="2" t="e">
        <v>#DIV/0!</v>
      </c>
      <c r="AN202" s="2" t="e">
        <v>#DIV/0!</v>
      </c>
      <c r="AO202" s="2" t="e">
        <v>#DIV/0!</v>
      </c>
      <c r="AP202" s="2" t="e">
        <v>#DIV/0!</v>
      </c>
      <c r="AQ202" s="2" t="e">
        <v>#DIV/0!</v>
      </c>
      <c r="AR202" s="2" t="e">
        <v>#DIV/0!</v>
      </c>
      <c r="AS202" s="2" t="e">
        <v>#DIV/0!</v>
      </c>
      <c r="AT202" s="2" t="e">
        <v>#DIV/0!</v>
      </c>
      <c r="AU202" s="2" t="e">
        <v>#DIV/0!</v>
      </c>
      <c r="AV202" s="2" t="e">
        <v>#DIV/0!</v>
      </c>
    </row>
    <row r="203" spans="1:48" outlineLevel="1" x14ac:dyDescent="0.25">
      <c r="A203" s="36" t="str">
        <f t="shared" si="300"/>
        <v>СБ-55Д-01</v>
      </c>
      <c r="B203" s="36" t="str">
        <f t="shared" si="343"/>
        <v>Затраты на персонал</v>
      </c>
      <c r="C203" s="36">
        <f t="shared" si="344"/>
        <v>0</v>
      </c>
      <c r="D203" s="100" t="str">
        <f t="shared" si="345"/>
        <v>Затраты на персонал</v>
      </c>
      <c r="E203" s="101" t="str">
        <f t="shared" si="346"/>
        <v>руб/м3</v>
      </c>
      <c r="F203" s="102"/>
      <c r="G203" s="103" t="e">
        <f>G183/'ФОТ, МТР, макро'!AJ$15/(G122/G117)</f>
        <v>#DIV/0!</v>
      </c>
      <c r="H203" s="103" t="e">
        <f>H183/'ФОТ, МТР, макро'!AK$15/(H122/H117)</f>
        <v>#DIV/0!</v>
      </c>
      <c r="I203" s="103" t="e">
        <f>I183/'ФОТ, МТР, макро'!AL$15/(I122/I117)</f>
        <v>#DIV/0!</v>
      </c>
      <c r="J203" s="103" t="e">
        <f>J183/'ФОТ, МТР, макро'!AM$15/(J122/J117)</f>
        <v>#DIV/0!</v>
      </c>
      <c r="K203" s="103" t="e">
        <f>K183/'ФОТ, МТР, макро'!AN$15/(K122/K117)</f>
        <v>#DIV/0!</v>
      </c>
      <c r="L203" s="103" t="e">
        <f>L183/'ФОТ, МТР, макро'!AO$15/(L122/L117)</f>
        <v>#DIV/0!</v>
      </c>
      <c r="M203" s="103" t="e">
        <f>M183/'ФОТ, МТР, макро'!AP$15/(M122/M117)</f>
        <v>#DIV/0!</v>
      </c>
      <c r="N203" s="103" t="e">
        <f>N183/'ФОТ, МТР, макро'!AQ$15/(N122/N117)</f>
        <v>#DIV/0!</v>
      </c>
      <c r="O203" s="103" t="e">
        <f>O183/'ФОТ, МТР, макро'!AR$15/(O122/O117)</f>
        <v>#DIV/0!</v>
      </c>
      <c r="P203" s="103" t="e">
        <f>P183/'ФОТ, МТР, макро'!AS$15/(P122/P117)</f>
        <v>#DIV/0!</v>
      </c>
      <c r="Q203" s="103" t="e">
        <f>Q183/'ФОТ, МТР, макро'!AT$15/(Q122/Q117)</f>
        <v>#DIV/0!</v>
      </c>
      <c r="R203" s="103" t="e">
        <f>R183/'ФОТ, МТР, макро'!AU$15/(R122/R117)</f>
        <v>#DIV/0!</v>
      </c>
      <c r="S203" s="103" t="e">
        <f>S183/'ФОТ, МТР, макро'!AV$15/(S122/S117)</f>
        <v>#DIV/0!</v>
      </c>
      <c r="T203" s="103" t="e">
        <f>T183/'ФОТ, МТР, макро'!AW$15/(T122/T117)</f>
        <v>#DIV/0!</v>
      </c>
      <c r="U203" s="103" t="e">
        <f>U183/'ФОТ, МТР, макро'!AX$15/(U122/U117)</f>
        <v>#DIV/0!</v>
      </c>
      <c r="V203" s="103" t="e">
        <f>V183/'ФОТ, МТР, макро'!AY$15/(V122/V117)</f>
        <v>#DIV/0!</v>
      </c>
      <c r="W203" s="103" t="e">
        <f>W183/'ФОТ, МТР, макро'!AZ$15/(W122/W117)</f>
        <v>#DIV/0!</v>
      </c>
      <c r="X203" s="103" t="e">
        <f>X183/'ФОТ, МТР, макро'!BA$15/(X122/X117)</f>
        <v>#DIV/0!</v>
      </c>
      <c r="Y203" s="103" t="e">
        <f>Y183/'ФОТ, МТР, макро'!BB$15/(Y122/Y117)</f>
        <v>#DIV/0!</v>
      </c>
      <c r="Z203" s="103" t="e">
        <f>Z183/'ФОТ, МТР, макро'!BC$15/(Z122/Z117)</f>
        <v>#DIV/0!</v>
      </c>
      <c r="AA203" s="175"/>
      <c r="AC203" s="104" t="e" cm="1">
        <f t="array" ref="AC203:AV203">INDEX(G203:Z203,1,$C203)</f>
        <v>#DIV/0!</v>
      </c>
      <c r="AD203" s="2" t="e">
        <v>#DIV/0!</v>
      </c>
      <c r="AE203" s="2" t="e">
        <v>#DIV/0!</v>
      </c>
      <c r="AF203" s="2" t="e">
        <v>#DIV/0!</v>
      </c>
      <c r="AG203" s="2" t="e">
        <v>#DIV/0!</v>
      </c>
      <c r="AH203" s="2" t="e">
        <v>#DIV/0!</v>
      </c>
      <c r="AI203" s="2" t="e">
        <v>#DIV/0!</v>
      </c>
      <c r="AJ203" s="2" t="e">
        <v>#DIV/0!</v>
      </c>
      <c r="AK203" s="2" t="e">
        <v>#DIV/0!</v>
      </c>
      <c r="AL203" s="2" t="e">
        <v>#DIV/0!</v>
      </c>
      <c r="AM203" s="2" t="e">
        <v>#DIV/0!</v>
      </c>
      <c r="AN203" s="2" t="e">
        <v>#DIV/0!</v>
      </c>
      <c r="AO203" s="2" t="e">
        <v>#DIV/0!</v>
      </c>
      <c r="AP203" s="2" t="e">
        <v>#DIV/0!</v>
      </c>
      <c r="AQ203" s="2" t="e">
        <v>#DIV/0!</v>
      </c>
      <c r="AR203" s="2" t="e">
        <v>#DIV/0!</v>
      </c>
      <c r="AS203" s="2" t="e">
        <v>#DIV/0!</v>
      </c>
      <c r="AT203" s="2" t="e">
        <v>#DIV/0!</v>
      </c>
      <c r="AU203" s="2" t="e">
        <v>#DIV/0!</v>
      </c>
      <c r="AV203" s="2" t="e">
        <v>#DIV/0!</v>
      </c>
    </row>
    <row r="204" spans="1:48" outlineLevel="1" x14ac:dyDescent="0.25">
      <c r="A204" s="36" t="str">
        <f t="shared" si="300"/>
        <v>СБ-55Д-01</v>
      </c>
      <c r="B204" s="36" t="str">
        <f t="shared" si="343"/>
        <v>Транспортный налог</v>
      </c>
      <c r="C204" s="36">
        <f t="shared" si="344"/>
        <v>0</v>
      </c>
      <c r="D204" s="100" t="str">
        <f t="shared" si="345"/>
        <v>Транспортный налог</v>
      </c>
      <c r="E204" s="101" t="str">
        <f t="shared" si="346"/>
        <v>руб/м3</v>
      </c>
      <c r="F204" s="102"/>
      <c r="G204" s="103" t="e">
        <f>G184/'ФОТ, МТР, макро'!AJ$15/(G122/G117)</f>
        <v>#DIV/0!</v>
      </c>
      <c r="H204" s="103" t="e">
        <f>H184/'ФОТ, МТР, макро'!AK$15/(H122/H117)</f>
        <v>#DIV/0!</v>
      </c>
      <c r="I204" s="103" t="e">
        <f>I184/'ФОТ, МТР, макро'!AL$15/(I122/I117)</f>
        <v>#DIV/0!</v>
      </c>
      <c r="J204" s="103" t="e">
        <f>J184/'ФОТ, МТР, макро'!AM$15/(J122/J117)</f>
        <v>#DIV/0!</v>
      </c>
      <c r="K204" s="103" t="e">
        <f>K184/'ФОТ, МТР, макро'!AN$15/(K122/K117)</f>
        <v>#DIV/0!</v>
      </c>
      <c r="L204" s="103" t="e">
        <f>L184/'ФОТ, МТР, макро'!AO$15/(L122/L117)</f>
        <v>#DIV/0!</v>
      </c>
      <c r="M204" s="103" t="e">
        <f>M184/'ФОТ, МТР, макро'!AP$15/(M122/M117)</f>
        <v>#DIV/0!</v>
      </c>
      <c r="N204" s="103" t="e">
        <f>N184/'ФОТ, МТР, макро'!AQ$15/(N122/N117)</f>
        <v>#DIV/0!</v>
      </c>
      <c r="O204" s="103" t="e">
        <f>O184/'ФОТ, МТР, макро'!AR$15/(O122/O117)</f>
        <v>#DIV/0!</v>
      </c>
      <c r="P204" s="103" t="e">
        <f>P184/'ФОТ, МТР, макро'!AS$15/(P122/P117)</f>
        <v>#DIV/0!</v>
      </c>
      <c r="Q204" s="103" t="e">
        <f>Q184/'ФОТ, МТР, макро'!AT$15/(Q122/Q117)</f>
        <v>#DIV/0!</v>
      </c>
      <c r="R204" s="103" t="e">
        <f>R184/'ФОТ, МТР, макро'!AU$15/(R122/R117)</f>
        <v>#DIV/0!</v>
      </c>
      <c r="S204" s="103" t="e">
        <f>S184/'ФОТ, МТР, макро'!AV$15/(S122/S117)</f>
        <v>#DIV/0!</v>
      </c>
      <c r="T204" s="103" t="e">
        <f>T184/'ФОТ, МТР, макро'!AW$15/(T122/T117)</f>
        <v>#DIV/0!</v>
      </c>
      <c r="U204" s="103" t="e">
        <f>U184/'ФОТ, МТР, макро'!AX$15/(U122/U117)</f>
        <v>#DIV/0!</v>
      </c>
      <c r="V204" s="103" t="e">
        <f>V184/'ФОТ, МТР, макро'!AY$15/(V122/V117)</f>
        <v>#DIV/0!</v>
      </c>
      <c r="W204" s="103" t="e">
        <f>W184/'ФОТ, МТР, макро'!AZ$15/(W122/W117)</f>
        <v>#DIV/0!</v>
      </c>
      <c r="X204" s="103" t="e">
        <f>X184/'ФОТ, МТР, макро'!BA$15/(X122/X117)</f>
        <v>#DIV/0!</v>
      </c>
      <c r="Y204" s="103" t="e">
        <f>Y184/'ФОТ, МТР, макро'!BB$15/(Y122/Y117)</f>
        <v>#DIV/0!</v>
      </c>
      <c r="Z204" s="103" t="e">
        <f>Z184/'ФОТ, МТР, макро'!BC$15/(Z122/Z117)</f>
        <v>#DIV/0!</v>
      </c>
      <c r="AA204" s="175"/>
      <c r="AC204" s="104" t="e" cm="1">
        <f t="array" ref="AC204:AV204">INDEX(G204:Z204,1,$C204)</f>
        <v>#DIV/0!</v>
      </c>
      <c r="AD204" s="2" t="e">
        <v>#DIV/0!</v>
      </c>
      <c r="AE204" s="2" t="e">
        <v>#DIV/0!</v>
      </c>
      <c r="AF204" s="2" t="e">
        <v>#DIV/0!</v>
      </c>
      <c r="AG204" s="2" t="e">
        <v>#DIV/0!</v>
      </c>
      <c r="AH204" s="2" t="e">
        <v>#DIV/0!</v>
      </c>
      <c r="AI204" s="2" t="e">
        <v>#DIV/0!</v>
      </c>
      <c r="AJ204" s="2" t="e">
        <v>#DIV/0!</v>
      </c>
      <c r="AK204" s="2" t="e">
        <v>#DIV/0!</v>
      </c>
      <c r="AL204" s="2" t="e">
        <v>#DIV/0!</v>
      </c>
      <c r="AM204" s="2" t="e">
        <v>#DIV/0!</v>
      </c>
      <c r="AN204" s="2" t="e">
        <v>#DIV/0!</v>
      </c>
      <c r="AO204" s="2" t="e">
        <v>#DIV/0!</v>
      </c>
      <c r="AP204" s="2" t="e">
        <v>#DIV/0!</v>
      </c>
      <c r="AQ204" s="2" t="e">
        <v>#DIV/0!</v>
      </c>
      <c r="AR204" s="2" t="e">
        <v>#DIV/0!</v>
      </c>
      <c r="AS204" s="2" t="e">
        <v>#DIV/0!</v>
      </c>
      <c r="AT204" s="2" t="e">
        <v>#DIV/0!</v>
      </c>
      <c r="AU204" s="2" t="e">
        <v>#DIV/0!</v>
      </c>
      <c r="AV204" s="2" t="e">
        <v>#DIV/0!</v>
      </c>
    </row>
    <row r="205" spans="1:48" outlineLevel="1" x14ac:dyDescent="0.25">
      <c r="A205" s="36" t="str">
        <f t="shared" si="300"/>
        <v>СБ-55Д-01</v>
      </c>
      <c r="B205" s="36" t="str">
        <f t="shared" si="343"/>
        <v>Налог на прибыль</v>
      </c>
      <c r="C205" s="36">
        <f t="shared" si="344"/>
        <v>0</v>
      </c>
      <c r="D205" s="100" t="str">
        <f t="shared" si="345"/>
        <v>Налог на прибыль</v>
      </c>
      <c r="E205" s="101" t="str">
        <f t="shared" si="346"/>
        <v>руб/м3</v>
      </c>
      <c r="F205" s="29"/>
      <c r="G205" s="103" t="e">
        <f>G185/'ФОТ, МТР, макро'!AJ$15/(G122/G117)</f>
        <v>#DIV/0!</v>
      </c>
      <c r="H205" s="103" t="e">
        <f>H185/'ФОТ, МТР, макро'!AK$15/(H122/H117)</f>
        <v>#DIV/0!</v>
      </c>
      <c r="I205" s="103" t="e">
        <f>I185/'ФОТ, МТР, макро'!AL$15/(I122/I117)</f>
        <v>#DIV/0!</v>
      </c>
      <c r="J205" s="103" t="e">
        <f>J185/'ФОТ, МТР, макро'!AM$15/(J122/J117)</f>
        <v>#DIV/0!</v>
      </c>
      <c r="K205" s="103" t="e">
        <f>K185/'ФОТ, МТР, макро'!AN$15/(K122/K117)</f>
        <v>#DIV/0!</v>
      </c>
      <c r="L205" s="103" t="e">
        <f>L185/'ФОТ, МТР, макро'!AO$15/(L122/L117)</f>
        <v>#DIV/0!</v>
      </c>
      <c r="M205" s="103" t="e">
        <f>M185/'ФОТ, МТР, макро'!AP$15/(M122/M117)</f>
        <v>#DIV/0!</v>
      </c>
      <c r="N205" s="103" t="e">
        <f>N185/'ФОТ, МТР, макро'!AQ$15/(N122/N117)</f>
        <v>#DIV/0!</v>
      </c>
      <c r="O205" s="103" t="e">
        <f>O185/'ФОТ, МТР, макро'!AR$15/(O122/O117)</f>
        <v>#DIV/0!</v>
      </c>
      <c r="P205" s="103" t="e">
        <f>P185/'ФОТ, МТР, макро'!AS$15/(P122/P117)</f>
        <v>#DIV/0!</v>
      </c>
      <c r="Q205" s="103" t="e">
        <f>Q185/'ФОТ, МТР, макро'!AT$15/(Q122/Q117)</f>
        <v>#DIV/0!</v>
      </c>
      <c r="R205" s="103" t="e">
        <f>R185/'ФОТ, МТР, макро'!AU$15/(R122/R117)</f>
        <v>#DIV/0!</v>
      </c>
      <c r="S205" s="103" t="e">
        <f>S185/'ФОТ, МТР, макро'!AV$15/(S122/S117)</f>
        <v>#DIV/0!</v>
      </c>
      <c r="T205" s="103" t="e">
        <f>T185/'ФОТ, МТР, макро'!AW$15/(T122/T117)</f>
        <v>#DIV/0!</v>
      </c>
      <c r="U205" s="103" t="e">
        <f>U185/'ФОТ, МТР, макро'!AX$15/(U122/U117)</f>
        <v>#DIV/0!</v>
      </c>
      <c r="V205" s="103" t="e">
        <f>V185/'ФОТ, МТР, макро'!AY$15/(V122/V117)</f>
        <v>#DIV/0!</v>
      </c>
      <c r="W205" s="103" t="e">
        <f>W185/'ФОТ, МТР, макро'!AZ$15/(W122/W117)</f>
        <v>#DIV/0!</v>
      </c>
      <c r="X205" s="103" t="e">
        <f>X185/'ФОТ, МТР, макро'!BA$15/(X122/X117)</f>
        <v>#DIV/0!</v>
      </c>
      <c r="Y205" s="103" t="e">
        <f>Y185/'ФОТ, МТР, макро'!BB$15/(Y122/Y117)</f>
        <v>#DIV/0!</v>
      </c>
      <c r="Z205" s="103" t="e">
        <f>Z185/'ФОТ, МТР, макро'!BC$15/(Z122/Z117)</f>
        <v>#DIV/0!</v>
      </c>
      <c r="AA205" s="175"/>
      <c r="AC205" s="104" t="e" cm="1">
        <f t="array" ref="AC205:AV205">INDEX(G205:Z205,1,$C205)</f>
        <v>#DIV/0!</v>
      </c>
      <c r="AD205" s="2" t="e">
        <v>#DIV/0!</v>
      </c>
      <c r="AE205" s="2" t="e">
        <v>#DIV/0!</v>
      </c>
      <c r="AF205" s="2" t="e">
        <v>#DIV/0!</v>
      </c>
      <c r="AG205" s="2" t="e">
        <v>#DIV/0!</v>
      </c>
      <c r="AH205" s="2" t="e">
        <v>#DIV/0!</v>
      </c>
      <c r="AI205" s="2" t="e">
        <v>#DIV/0!</v>
      </c>
      <c r="AJ205" s="2" t="e">
        <v>#DIV/0!</v>
      </c>
      <c r="AK205" s="2" t="e">
        <v>#DIV/0!</v>
      </c>
      <c r="AL205" s="2" t="e">
        <v>#DIV/0!</v>
      </c>
      <c r="AM205" s="2" t="e">
        <v>#DIV/0!</v>
      </c>
      <c r="AN205" s="2" t="e">
        <v>#DIV/0!</v>
      </c>
      <c r="AO205" s="2" t="e">
        <v>#DIV/0!</v>
      </c>
      <c r="AP205" s="2" t="e">
        <v>#DIV/0!</v>
      </c>
      <c r="AQ205" s="2" t="e">
        <v>#DIV/0!</v>
      </c>
      <c r="AR205" s="2" t="e">
        <v>#DIV/0!</v>
      </c>
      <c r="AS205" s="2" t="e">
        <v>#DIV/0!</v>
      </c>
      <c r="AT205" s="2" t="e">
        <v>#DIV/0!</v>
      </c>
      <c r="AU205" s="2" t="e">
        <v>#DIV/0!</v>
      </c>
      <c r="AV205" s="2" t="e">
        <v>#DIV/0!</v>
      </c>
    </row>
    <row r="206" spans="1:48" outlineLevel="1" x14ac:dyDescent="0.25">
      <c r="A206" s="36" t="str">
        <f t="shared" si="300"/>
        <v>СБ-55Д-01</v>
      </c>
      <c r="B206" s="36" t="str">
        <f t="shared" si="343"/>
        <v>Аннуитет инвестиционный</v>
      </c>
      <c r="C206" s="36">
        <f t="shared" si="344"/>
        <v>0</v>
      </c>
      <c r="D206" s="95" t="s">
        <v>74</v>
      </c>
      <c r="E206" s="105" t="str">
        <f>E196</f>
        <v>руб/м3</v>
      </c>
      <c r="F206" s="106"/>
      <c r="G206" s="98" t="e">
        <f>G190/'ФОТ, МТР, макро'!AJ$15/(G122/G117)</f>
        <v>#DIV/0!</v>
      </c>
      <c r="H206" s="98" t="e">
        <f>H190/'ФОТ, МТР, макро'!AK$15/(H122/H117)</f>
        <v>#DIV/0!</v>
      </c>
      <c r="I206" s="98" t="e">
        <f>I190/'ФОТ, МТР, макро'!AL$15/(I122/I117)</f>
        <v>#DIV/0!</v>
      </c>
      <c r="J206" s="98" t="e">
        <f>J190/'ФОТ, МТР, макро'!AM$15/(J122/J117)</f>
        <v>#DIV/0!</v>
      </c>
      <c r="K206" s="98" t="e">
        <f>K190/'ФОТ, МТР, макро'!AN$15/(K122/K117)</f>
        <v>#DIV/0!</v>
      </c>
      <c r="L206" s="98" t="e">
        <f>L190/'ФОТ, МТР, макро'!AO$15/(L122/L117)</f>
        <v>#DIV/0!</v>
      </c>
      <c r="M206" s="98" t="e">
        <f>M190/'ФОТ, МТР, макро'!AP$15/(M122/M117)</f>
        <v>#DIV/0!</v>
      </c>
      <c r="N206" s="98" t="e">
        <f>N190/'ФОТ, МТР, макро'!AQ$15/(N122/N117)</f>
        <v>#DIV/0!</v>
      </c>
      <c r="O206" s="98" t="e">
        <f>O190/'ФОТ, МТР, макро'!AR$15/(O122/O117)</f>
        <v>#DIV/0!</v>
      </c>
      <c r="P206" s="98" t="e">
        <f>P190/'ФОТ, МТР, макро'!AS$15/(P122/P117)</f>
        <v>#DIV/0!</v>
      </c>
      <c r="Q206" s="98" t="e">
        <f>Q190/'ФОТ, МТР, макро'!AT$15/(Q122/Q117)</f>
        <v>#DIV/0!</v>
      </c>
      <c r="R206" s="98" t="e">
        <f>R190/'ФОТ, МТР, макро'!AU$15/(R122/R117)</f>
        <v>#DIV/0!</v>
      </c>
      <c r="S206" s="98" t="e">
        <f>S190/'ФОТ, МТР, макро'!AV$15/(S122/S117)</f>
        <v>#DIV/0!</v>
      </c>
      <c r="T206" s="98" t="e">
        <f>T190/'ФОТ, МТР, макро'!AW$15/(T122/T117)</f>
        <v>#DIV/0!</v>
      </c>
      <c r="U206" s="98" t="e">
        <f>U190/'ФОТ, МТР, макро'!AX$15/(U122/U117)</f>
        <v>#DIV/0!</v>
      </c>
      <c r="V206" s="98" t="e">
        <f>V190/'ФОТ, МТР, макро'!AY$15/(V122/V117)</f>
        <v>#DIV/0!</v>
      </c>
      <c r="W206" s="98" t="e">
        <f>W190/'ФОТ, МТР, макро'!AZ$15/(W122/W117)</f>
        <v>#DIV/0!</v>
      </c>
      <c r="X206" s="98" t="e">
        <f>X190/'ФОТ, МТР, макро'!BA$15/(X122/X117)</f>
        <v>#DIV/0!</v>
      </c>
      <c r="Y206" s="98" t="e">
        <f>Y190/'ФОТ, МТР, макро'!BB$15/(Y122/Y117)</f>
        <v>#DIV/0!</v>
      </c>
      <c r="Z206" s="98" t="e">
        <f>Z190/'ФОТ, МТР, макро'!BC$15/(Z122/Z117)</f>
        <v>#DIV/0!</v>
      </c>
      <c r="AA206" s="175"/>
      <c r="AC206" s="99" t="e" cm="1">
        <f t="array" ref="AC206:AV206">INDEX(G206:Z206,1,$C206)</f>
        <v>#DIV/0!</v>
      </c>
      <c r="AD206" s="2" t="e">
        <v>#DIV/0!</v>
      </c>
      <c r="AE206" s="2" t="e">
        <v>#DIV/0!</v>
      </c>
      <c r="AF206" s="2" t="e">
        <v>#DIV/0!</v>
      </c>
      <c r="AG206" s="2" t="e">
        <v>#DIV/0!</v>
      </c>
      <c r="AH206" s="2" t="e">
        <v>#DIV/0!</v>
      </c>
      <c r="AI206" s="2" t="e">
        <v>#DIV/0!</v>
      </c>
      <c r="AJ206" s="2" t="e">
        <v>#DIV/0!</v>
      </c>
      <c r="AK206" s="2" t="e">
        <v>#DIV/0!</v>
      </c>
      <c r="AL206" s="2" t="e">
        <v>#DIV/0!</v>
      </c>
      <c r="AM206" s="2" t="e">
        <v>#DIV/0!</v>
      </c>
      <c r="AN206" s="2" t="e">
        <v>#DIV/0!</v>
      </c>
      <c r="AO206" s="2" t="e">
        <v>#DIV/0!</v>
      </c>
      <c r="AP206" s="2" t="e">
        <v>#DIV/0!</v>
      </c>
      <c r="AQ206" s="2" t="e">
        <v>#DIV/0!</v>
      </c>
      <c r="AR206" s="2" t="e">
        <v>#DIV/0!</v>
      </c>
      <c r="AS206" s="2" t="e">
        <v>#DIV/0!</v>
      </c>
      <c r="AT206" s="2" t="e">
        <v>#DIV/0!</v>
      </c>
      <c r="AU206" s="2" t="e">
        <v>#DIV/0!</v>
      </c>
      <c r="AV206" s="2" t="e">
        <v>#DIV/0!</v>
      </c>
    </row>
    <row r="207" spans="1:48" outlineLevel="1" x14ac:dyDescent="0.25">
      <c r="A207" s="36" t="str">
        <f t="shared" si="300"/>
        <v>СБ-55Д-01</v>
      </c>
      <c r="B207" s="36" t="str">
        <f t="shared" si="343"/>
        <v>Буровой станок</v>
      </c>
      <c r="C207" s="36">
        <f t="shared" si="344"/>
        <v>0</v>
      </c>
      <c r="D207" s="88" t="str">
        <f>D191</f>
        <v>Буровой станок</v>
      </c>
      <c r="E207" s="9" t="str">
        <f>E206</f>
        <v>руб/м3</v>
      </c>
      <c r="F207" s="29"/>
      <c r="G207" s="107" t="e">
        <f>G191/'ФОТ, МТР, макро'!AJ$15/(G122/G117)</f>
        <v>#DIV/0!</v>
      </c>
      <c r="H207" s="107" t="e">
        <f>H191/'ФОТ, МТР, макро'!AK$15/(H122/H117)</f>
        <v>#DIV/0!</v>
      </c>
      <c r="I207" s="107" t="e">
        <f>I191/'ФОТ, МТР, макро'!AL$15/(I122/I117)</f>
        <v>#DIV/0!</v>
      </c>
      <c r="J207" s="107" t="e">
        <f>J191/'ФОТ, МТР, макро'!AM$15/(J122/J117)</f>
        <v>#DIV/0!</v>
      </c>
      <c r="K207" s="107" t="e">
        <f>K191/'ФОТ, МТР, макро'!AN$15/(K122/K117)</f>
        <v>#DIV/0!</v>
      </c>
      <c r="L207" s="107" t="e">
        <f>L191/'ФОТ, МТР, макро'!AO$15/(L122/L117)</f>
        <v>#DIV/0!</v>
      </c>
      <c r="M207" s="107" t="e">
        <f>M191/'ФОТ, МТР, макро'!AP$15/(M122/M117)</f>
        <v>#DIV/0!</v>
      </c>
      <c r="N207" s="107" t="e">
        <f>N191/'ФОТ, МТР, макро'!AQ$15/(N122/N117)</f>
        <v>#DIV/0!</v>
      </c>
      <c r="O207" s="107" t="e">
        <f>O191/'ФОТ, МТР, макро'!AR$15/(O122/O117)</f>
        <v>#DIV/0!</v>
      </c>
      <c r="P207" s="107" t="e">
        <f>P191/'ФОТ, МТР, макро'!AS$15/(P122/P117)</f>
        <v>#DIV/0!</v>
      </c>
      <c r="Q207" s="107" t="e">
        <f>Q191/'ФОТ, МТР, макро'!AT$15/(Q122/Q117)</f>
        <v>#DIV/0!</v>
      </c>
      <c r="R207" s="107" t="e">
        <f>R191/'ФОТ, МТР, макро'!AU$15/(R122/R117)</f>
        <v>#DIV/0!</v>
      </c>
      <c r="S207" s="107" t="e">
        <f>S191/'ФОТ, МТР, макро'!AV$15/(S122/S117)</f>
        <v>#DIV/0!</v>
      </c>
      <c r="T207" s="107" t="e">
        <f>T191/'ФОТ, МТР, макро'!AW$15/(T122/T117)</f>
        <v>#DIV/0!</v>
      </c>
      <c r="U207" s="107" t="e">
        <f>U191/'ФОТ, МТР, макро'!AX$15/(U122/U117)</f>
        <v>#DIV/0!</v>
      </c>
      <c r="V207" s="107" t="e">
        <f>V191/'ФОТ, МТР, макро'!AY$15/(V122/V117)</f>
        <v>#DIV/0!</v>
      </c>
      <c r="W207" s="107" t="e">
        <f>W191/'ФОТ, МТР, макро'!AZ$15/(W122/W117)</f>
        <v>#DIV/0!</v>
      </c>
      <c r="X207" s="107" t="e">
        <f>X191/'ФОТ, МТР, макро'!BA$15/(X122/X117)</f>
        <v>#DIV/0!</v>
      </c>
      <c r="Y207" s="107" t="e">
        <f>Y191/'ФОТ, МТР, макро'!BB$15/(Y122/Y117)</f>
        <v>#DIV/0!</v>
      </c>
      <c r="Z207" s="107" t="e">
        <f>Z191/'ФОТ, МТР, макро'!BC$15/(Z122/Z117)</f>
        <v>#DIV/0!</v>
      </c>
      <c r="AA207" s="175"/>
      <c r="AC207" s="104" t="e" cm="1">
        <f t="array" ref="AC207:AV207">INDEX(G207:Z207,1,$C207)</f>
        <v>#DIV/0!</v>
      </c>
      <c r="AD207" s="2" t="e">
        <v>#DIV/0!</v>
      </c>
      <c r="AE207" s="2" t="e">
        <v>#DIV/0!</v>
      </c>
      <c r="AF207" s="2" t="e">
        <v>#DIV/0!</v>
      </c>
      <c r="AG207" s="2" t="e">
        <v>#DIV/0!</v>
      </c>
      <c r="AH207" s="2" t="e">
        <v>#DIV/0!</v>
      </c>
      <c r="AI207" s="2" t="e">
        <v>#DIV/0!</v>
      </c>
      <c r="AJ207" s="2" t="e">
        <v>#DIV/0!</v>
      </c>
      <c r="AK207" s="2" t="e">
        <v>#DIV/0!</v>
      </c>
      <c r="AL207" s="2" t="e">
        <v>#DIV/0!</v>
      </c>
      <c r="AM207" s="2" t="e">
        <v>#DIV/0!</v>
      </c>
      <c r="AN207" s="2" t="e">
        <v>#DIV/0!</v>
      </c>
      <c r="AO207" s="2" t="e">
        <v>#DIV/0!</v>
      </c>
      <c r="AP207" s="2" t="e">
        <v>#DIV/0!</v>
      </c>
      <c r="AQ207" s="2" t="e">
        <v>#DIV/0!</v>
      </c>
      <c r="AR207" s="2" t="e">
        <v>#DIV/0!</v>
      </c>
      <c r="AS207" s="2" t="e">
        <v>#DIV/0!</v>
      </c>
      <c r="AT207" s="2" t="e">
        <v>#DIV/0!</v>
      </c>
      <c r="AU207" s="2" t="e">
        <v>#DIV/0!</v>
      </c>
      <c r="AV207" s="2" t="e">
        <v>#DIV/0!</v>
      </c>
    </row>
    <row r="208" spans="1:48" outlineLevel="1" x14ac:dyDescent="0.25">
      <c r="A208" s="36" t="str">
        <f t="shared" si="300"/>
        <v>СБ-55Д-01</v>
      </c>
      <c r="B208" s="36" t="str">
        <f t="shared" si="343"/>
        <v>Аннуитет общий</v>
      </c>
      <c r="C208" s="36">
        <f t="shared" si="344"/>
        <v>0</v>
      </c>
      <c r="D208" s="95" t="s">
        <v>75</v>
      </c>
      <c r="E208" s="105" t="str">
        <f>E196</f>
        <v>руб/м3</v>
      </c>
      <c r="F208" s="106"/>
      <c r="G208" s="98" t="e">
        <f>G194/'ФОТ, МТР, макро'!AJ$15/(G122/G117)</f>
        <v>#DIV/0!</v>
      </c>
      <c r="H208" s="98" t="e">
        <f>H194/'ФОТ, МТР, макро'!AK$15/(H122/H117)</f>
        <v>#DIV/0!</v>
      </c>
      <c r="I208" s="98" t="e">
        <f>I194/'ФОТ, МТР, макро'!AL$15/(I122/I117)</f>
        <v>#DIV/0!</v>
      </c>
      <c r="J208" s="98" t="e">
        <f>J194/'ФОТ, МТР, макро'!AM$15/(J122/J117)</f>
        <v>#DIV/0!</v>
      </c>
      <c r="K208" s="98" t="e">
        <f>K194/'ФОТ, МТР, макро'!AN$15/(K122/K117)</f>
        <v>#DIV/0!</v>
      </c>
      <c r="L208" s="98" t="e">
        <f>L194/'ФОТ, МТР, макро'!AO$15/(L122/L117)</f>
        <v>#DIV/0!</v>
      </c>
      <c r="M208" s="98" t="e">
        <f>M194/'ФОТ, МТР, макро'!AP$15/(M122/M117)</f>
        <v>#DIV/0!</v>
      </c>
      <c r="N208" s="98" t="e">
        <f>N194/'ФОТ, МТР, макро'!AQ$15/(N122/N117)</f>
        <v>#DIV/0!</v>
      </c>
      <c r="O208" s="98" t="e">
        <f>O194/'ФОТ, МТР, макро'!AR$15/(O122/O117)</f>
        <v>#DIV/0!</v>
      </c>
      <c r="P208" s="98" t="e">
        <f>P194/'ФОТ, МТР, макро'!AS$15/(P122/P117)</f>
        <v>#DIV/0!</v>
      </c>
      <c r="Q208" s="98" t="e">
        <f>Q194/'ФОТ, МТР, макро'!AT$15/(Q122/Q117)</f>
        <v>#DIV/0!</v>
      </c>
      <c r="R208" s="98" t="e">
        <f>R194/'ФОТ, МТР, макро'!AU$15/(R122/R117)</f>
        <v>#DIV/0!</v>
      </c>
      <c r="S208" s="98" t="e">
        <f>S194/'ФОТ, МТР, макро'!AV$15/(S122/S117)</f>
        <v>#DIV/0!</v>
      </c>
      <c r="T208" s="98" t="e">
        <f>T194/'ФОТ, МТР, макро'!AW$15/(T122/T117)</f>
        <v>#DIV/0!</v>
      </c>
      <c r="U208" s="98" t="e">
        <f>U194/'ФОТ, МТР, макро'!AX$15/(U122/U117)</f>
        <v>#DIV/0!</v>
      </c>
      <c r="V208" s="98" t="e">
        <f>V194/'ФОТ, МТР, макро'!AY$15/(V122/V117)</f>
        <v>#DIV/0!</v>
      </c>
      <c r="W208" s="98" t="e">
        <f>W194/'ФОТ, МТР, макро'!AZ$15/(W122/W117)</f>
        <v>#DIV/0!</v>
      </c>
      <c r="X208" s="98" t="e">
        <f>X194/'ФОТ, МТР, макро'!BA$15/(X122/X117)</f>
        <v>#DIV/0!</v>
      </c>
      <c r="Y208" s="98" t="e">
        <f>Y194/'ФОТ, МТР, макро'!BB$15/(Y122/Y117)</f>
        <v>#DIV/0!</v>
      </c>
      <c r="Z208" s="98" t="e">
        <f>Z194/'ФОТ, МТР, макро'!BC$15/(Z122/Z117)</f>
        <v>#DIV/0!</v>
      </c>
      <c r="AA208" s="175"/>
      <c r="AC208" s="99" t="e" cm="1">
        <f t="array" ref="AC208:AV208">INDEX(G208:Z208,1,$C208)</f>
        <v>#DIV/0!</v>
      </c>
      <c r="AD208" s="2" t="e">
        <v>#DIV/0!</v>
      </c>
      <c r="AE208" s="2" t="e">
        <v>#DIV/0!</v>
      </c>
      <c r="AF208" s="2" t="e">
        <v>#DIV/0!</v>
      </c>
      <c r="AG208" s="2" t="e">
        <v>#DIV/0!</v>
      </c>
      <c r="AH208" s="2" t="e">
        <v>#DIV/0!</v>
      </c>
      <c r="AI208" s="2" t="e">
        <v>#DIV/0!</v>
      </c>
      <c r="AJ208" s="2" t="e">
        <v>#DIV/0!</v>
      </c>
      <c r="AK208" s="2" t="e">
        <v>#DIV/0!</v>
      </c>
      <c r="AL208" s="2" t="e">
        <v>#DIV/0!</v>
      </c>
      <c r="AM208" s="2" t="e">
        <v>#DIV/0!</v>
      </c>
      <c r="AN208" s="2" t="e">
        <v>#DIV/0!</v>
      </c>
      <c r="AO208" s="2" t="e">
        <v>#DIV/0!</v>
      </c>
      <c r="AP208" s="2" t="e">
        <v>#DIV/0!</v>
      </c>
      <c r="AQ208" s="2" t="e">
        <v>#DIV/0!</v>
      </c>
      <c r="AR208" s="2" t="e">
        <v>#DIV/0!</v>
      </c>
      <c r="AS208" s="2" t="e">
        <v>#DIV/0!</v>
      </c>
      <c r="AT208" s="2" t="e">
        <v>#DIV/0!</v>
      </c>
      <c r="AU208" s="2" t="e">
        <v>#DIV/0!</v>
      </c>
      <c r="AV208" s="2" t="e">
        <v>#DIV/0!</v>
      </c>
    </row>
    <row r="209" spans="1:27" outlineLevel="1" x14ac:dyDescent="0.25">
      <c r="A209" s="36" t="str">
        <f t="shared" si="300"/>
        <v>СБ-55Д-01</v>
      </c>
      <c r="B209" s="36"/>
      <c r="D209" s="108"/>
      <c r="E209" s="12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75"/>
    </row>
    <row r="210" spans="1:27" outlineLevel="1" x14ac:dyDescent="0.25">
      <c r="A210" s="36" t="str">
        <f t="shared" si="300"/>
        <v>СБ-55Д-01</v>
      </c>
      <c r="B210" s="36"/>
      <c r="D210" s="110" t="s">
        <v>67</v>
      </c>
      <c r="E210" s="111"/>
      <c r="F210" s="112"/>
      <c r="G210" s="113" t="e">
        <f>G208-G196-G206+G196-SUM(G197:G205)+G206-G207</f>
        <v>#DIV/0!</v>
      </c>
      <c r="H210" s="113" t="e">
        <f t="shared" ref="H210:Z210" si="347">H208-H196-H206+H196-SUM(H197:H205)+H206-H207</f>
        <v>#DIV/0!</v>
      </c>
      <c r="I210" s="113" t="e">
        <f t="shared" si="347"/>
        <v>#DIV/0!</v>
      </c>
      <c r="J210" s="113" t="e">
        <f t="shared" si="347"/>
        <v>#DIV/0!</v>
      </c>
      <c r="K210" s="113" t="e">
        <f t="shared" si="347"/>
        <v>#DIV/0!</v>
      </c>
      <c r="L210" s="113" t="e">
        <f t="shared" si="347"/>
        <v>#DIV/0!</v>
      </c>
      <c r="M210" s="113" t="e">
        <f t="shared" si="347"/>
        <v>#DIV/0!</v>
      </c>
      <c r="N210" s="113" t="e">
        <f t="shared" si="347"/>
        <v>#DIV/0!</v>
      </c>
      <c r="O210" s="113" t="e">
        <f t="shared" si="347"/>
        <v>#DIV/0!</v>
      </c>
      <c r="P210" s="113" t="e">
        <f t="shared" si="347"/>
        <v>#DIV/0!</v>
      </c>
      <c r="Q210" s="113" t="e">
        <f t="shared" si="347"/>
        <v>#DIV/0!</v>
      </c>
      <c r="R210" s="113" t="e">
        <f t="shared" si="347"/>
        <v>#DIV/0!</v>
      </c>
      <c r="S210" s="113" t="e">
        <f t="shared" si="347"/>
        <v>#DIV/0!</v>
      </c>
      <c r="T210" s="113" t="e">
        <f t="shared" si="347"/>
        <v>#DIV/0!</v>
      </c>
      <c r="U210" s="113" t="e">
        <f t="shared" si="347"/>
        <v>#DIV/0!</v>
      </c>
      <c r="V210" s="113" t="e">
        <f t="shared" si="347"/>
        <v>#DIV/0!</v>
      </c>
      <c r="W210" s="113" t="e">
        <f t="shared" si="347"/>
        <v>#DIV/0!</v>
      </c>
      <c r="X210" s="113" t="e">
        <f t="shared" si="347"/>
        <v>#DIV/0!</v>
      </c>
      <c r="Y210" s="113" t="e">
        <f t="shared" si="347"/>
        <v>#DIV/0!</v>
      </c>
      <c r="Z210" s="113" t="e">
        <f t="shared" si="347"/>
        <v>#DIV/0!</v>
      </c>
      <c r="AA210" s="175"/>
    </row>
    <row r="211" spans="1:27" outlineLevel="1" x14ac:dyDescent="0.25">
      <c r="A211" s="36" t="str">
        <f t="shared" si="300"/>
        <v>СБ-55Д-01</v>
      </c>
      <c r="B211" s="36"/>
      <c r="D211" s="112"/>
      <c r="E211" s="111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75"/>
    </row>
    <row r="212" spans="1:27" outlineLevel="1" x14ac:dyDescent="0.25">
      <c r="A212" s="36" t="str">
        <f t="shared" si="300"/>
        <v>СБ-55Д-01</v>
      </c>
      <c r="B212" s="36"/>
      <c r="D212" s="114" t="s">
        <v>76</v>
      </c>
      <c r="E212" s="115" t="str">
        <f>E208</f>
        <v>руб/м3</v>
      </c>
      <c r="F212" s="116"/>
      <c r="G212" s="117" t="e">
        <f>SUM(G213:G220)</f>
        <v>#DIV/0!</v>
      </c>
      <c r="H212" s="117" t="e">
        <f t="shared" ref="H212:Z212" si="348">SUM(H213:H220)</f>
        <v>#DIV/0!</v>
      </c>
      <c r="I212" s="117" t="e">
        <f t="shared" si="348"/>
        <v>#DIV/0!</v>
      </c>
      <c r="J212" s="117" t="e">
        <f t="shared" si="348"/>
        <v>#DIV/0!</v>
      </c>
      <c r="K212" s="117" t="e">
        <f t="shared" si="348"/>
        <v>#DIV/0!</v>
      </c>
      <c r="L212" s="117" t="e">
        <f t="shared" si="348"/>
        <v>#DIV/0!</v>
      </c>
      <c r="M212" s="117" t="e">
        <f t="shared" si="348"/>
        <v>#DIV/0!</v>
      </c>
      <c r="N212" s="117" t="e">
        <f t="shared" si="348"/>
        <v>#DIV/0!</v>
      </c>
      <c r="O212" s="117" t="e">
        <f t="shared" si="348"/>
        <v>#DIV/0!</v>
      </c>
      <c r="P212" s="117" t="e">
        <f t="shared" si="348"/>
        <v>#DIV/0!</v>
      </c>
      <c r="Q212" s="117" t="e">
        <f t="shared" si="348"/>
        <v>#DIV/0!</v>
      </c>
      <c r="R212" s="117" t="e">
        <f t="shared" si="348"/>
        <v>#DIV/0!</v>
      </c>
      <c r="S212" s="117" t="e">
        <f t="shared" si="348"/>
        <v>#DIV/0!</v>
      </c>
      <c r="T212" s="117" t="e">
        <f t="shared" si="348"/>
        <v>#DIV/0!</v>
      </c>
      <c r="U212" s="117" t="e">
        <f t="shared" si="348"/>
        <v>#DIV/0!</v>
      </c>
      <c r="V212" s="117" t="e">
        <f t="shared" si="348"/>
        <v>#DIV/0!</v>
      </c>
      <c r="W212" s="117" t="e">
        <f t="shared" si="348"/>
        <v>#DIV/0!</v>
      </c>
      <c r="X212" s="117" t="e">
        <f t="shared" si="348"/>
        <v>#DIV/0!</v>
      </c>
      <c r="Y212" s="117" t="e">
        <f t="shared" si="348"/>
        <v>#DIV/0!</v>
      </c>
      <c r="Z212" s="117" t="e">
        <f t="shared" si="348"/>
        <v>#DIV/0!</v>
      </c>
      <c r="AA212" s="175"/>
    </row>
    <row r="213" spans="1:27" outlineLevel="1" x14ac:dyDescent="0.25">
      <c r="A213" s="36" t="str">
        <f t="shared" si="300"/>
        <v>СБ-55Д-01</v>
      </c>
      <c r="B213" s="36"/>
      <c r="D213" s="100" t="str">
        <f>D197</f>
        <v>ТО, ТР, ППР</v>
      </c>
      <c r="E213" s="101" t="str">
        <f>E212</f>
        <v>руб/м3</v>
      </c>
      <c r="F213" s="102"/>
      <c r="G213" s="103" t="e">
        <f t="shared" ref="G213:Z213" si="349">G125/G121</f>
        <v>#DIV/0!</v>
      </c>
      <c r="H213" s="103" t="e">
        <f t="shared" si="349"/>
        <v>#DIV/0!</v>
      </c>
      <c r="I213" s="103" t="e">
        <f t="shared" si="349"/>
        <v>#DIV/0!</v>
      </c>
      <c r="J213" s="103" t="e">
        <f t="shared" si="349"/>
        <v>#DIV/0!</v>
      </c>
      <c r="K213" s="103" t="e">
        <f t="shared" si="349"/>
        <v>#DIV/0!</v>
      </c>
      <c r="L213" s="103" t="e">
        <f t="shared" si="349"/>
        <v>#DIV/0!</v>
      </c>
      <c r="M213" s="103" t="e">
        <f t="shared" si="349"/>
        <v>#DIV/0!</v>
      </c>
      <c r="N213" s="103" t="e">
        <f t="shared" si="349"/>
        <v>#DIV/0!</v>
      </c>
      <c r="O213" s="103" t="e">
        <f t="shared" si="349"/>
        <v>#DIV/0!</v>
      </c>
      <c r="P213" s="103" t="e">
        <f t="shared" si="349"/>
        <v>#DIV/0!</v>
      </c>
      <c r="Q213" s="103" t="e">
        <f t="shared" si="349"/>
        <v>#DIV/0!</v>
      </c>
      <c r="R213" s="103" t="e">
        <f t="shared" si="349"/>
        <v>#DIV/0!</v>
      </c>
      <c r="S213" s="103" t="e">
        <f t="shared" si="349"/>
        <v>#DIV/0!</v>
      </c>
      <c r="T213" s="103" t="e">
        <f t="shared" si="349"/>
        <v>#DIV/0!</v>
      </c>
      <c r="U213" s="103" t="e">
        <f t="shared" si="349"/>
        <v>#DIV/0!</v>
      </c>
      <c r="V213" s="103" t="e">
        <f t="shared" si="349"/>
        <v>#DIV/0!</v>
      </c>
      <c r="W213" s="103" t="e">
        <f t="shared" si="349"/>
        <v>#DIV/0!</v>
      </c>
      <c r="X213" s="103" t="e">
        <f t="shared" si="349"/>
        <v>#DIV/0!</v>
      </c>
      <c r="Y213" s="103" t="e">
        <f t="shared" si="349"/>
        <v>#DIV/0!</v>
      </c>
      <c r="Z213" s="103" t="e">
        <f t="shared" si="349"/>
        <v>#DIV/0!</v>
      </c>
      <c r="AA213" s="175"/>
    </row>
    <row r="214" spans="1:27" outlineLevel="1" x14ac:dyDescent="0.25">
      <c r="A214" s="36" t="str">
        <f t="shared" si="300"/>
        <v>СБ-55Д-01</v>
      </c>
      <c r="B214" s="36"/>
      <c r="D214" s="100" t="str">
        <f t="shared" ref="D214:D220" si="350">D198</f>
        <v>Смазочные</v>
      </c>
      <c r="E214" s="101" t="str">
        <f t="shared" ref="E214:E220" si="351">E213</f>
        <v>руб/м3</v>
      </c>
      <c r="F214" s="102"/>
      <c r="G214" s="103" t="e">
        <f t="shared" ref="G214:Z214" si="352">G130/G121</f>
        <v>#DIV/0!</v>
      </c>
      <c r="H214" s="103" t="e">
        <f t="shared" si="352"/>
        <v>#DIV/0!</v>
      </c>
      <c r="I214" s="103" t="e">
        <f t="shared" si="352"/>
        <v>#DIV/0!</v>
      </c>
      <c r="J214" s="103" t="e">
        <f t="shared" si="352"/>
        <v>#DIV/0!</v>
      </c>
      <c r="K214" s="103" t="e">
        <f t="shared" si="352"/>
        <v>#DIV/0!</v>
      </c>
      <c r="L214" s="103" t="e">
        <f t="shared" si="352"/>
        <v>#DIV/0!</v>
      </c>
      <c r="M214" s="103" t="e">
        <f t="shared" si="352"/>
        <v>#DIV/0!</v>
      </c>
      <c r="N214" s="103" t="e">
        <f t="shared" si="352"/>
        <v>#DIV/0!</v>
      </c>
      <c r="O214" s="103" t="e">
        <f t="shared" si="352"/>
        <v>#DIV/0!</v>
      </c>
      <c r="P214" s="103" t="e">
        <f t="shared" si="352"/>
        <v>#DIV/0!</v>
      </c>
      <c r="Q214" s="103" t="e">
        <f t="shared" si="352"/>
        <v>#DIV/0!</v>
      </c>
      <c r="R214" s="103" t="e">
        <f t="shared" si="352"/>
        <v>#DIV/0!</v>
      </c>
      <c r="S214" s="103" t="e">
        <f t="shared" si="352"/>
        <v>#DIV/0!</v>
      </c>
      <c r="T214" s="103" t="e">
        <f t="shared" si="352"/>
        <v>#DIV/0!</v>
      </c>
      <c r="U214" s="103" t="e">
        <f t="shared" si="352"/>
        <v>#DIV/0!</v>
      </c>
      <c r="V214" s="103" t="e">
        <f t="shared" si="352"/>
        <v>#DIV/0!</v>
      </c>
      <c r="W214" s="103" t="e">
        <f t="shared" si="352"/>
        <v>#DIV/0!</v>
      </c>
      <c r="X214" s="103" t="e">
        <f t="shared" si="352"/>
        <v>#DIV/0!</v>
      </c>
      <c r="Y214" s="103" t="e">
        <f t="shared" si="352"/>
        <v>#DIV/0!</v>
      </c>
      <c r="Z214" s="103" t="e">
        <f t="shared" si="352"/>
        <v>#DIV/0!</v>
      </c>
      <c r="AA214" s="175"/>
    </row>
    <row r="215" spans="1:27" outlineLevel="1" x14ac:dyDescent="0.25">
      <c r="A215" s="36" t="str">
        <f t="shared" si="300"/>
        <v>СБ-55Д-01</v>
      </c>
      <c r="B215" s="36"/>
      <c r="D215" s="100" t="str">
        <f t="shared" si="350"/>
        <v>Долота</v>
      </c>
      <c r="E215" s="101" t="str">
        <f t="shared" si="351"/>
        <v>руб/м3</v>
      </c>
      <c r="F215" s="102"/>
      <c r="G215" s="103" t="e">
        <f t="shared" ref="G215:Z215" si="353">G132/G121</f>
        <v>#DIV/0!</v>
      </c>
      <c r="H215" s="103" t="e">
        <f t="shared" si="353"/>
        <v>#DIV/0!</v>
      </c>
      <c r="I215" s="103" t="e">
        <f t="shared" si="353"/>
        <v>#DIV/0!</v>
      </c>
      <c r="J215" s="103" t="e">
        <f t="shared" si="353"/>
        <v>#DIV/0!</v>
      </c>
      <c r="K215" s="103" t="e">
        <f t="shared" si="353"/>
        <v>#DIV/0!</v>
      </c>
      <c r="L215" s="103" t="e">
        <f t="shared" si="353"/>
        <v>#DIV/0!</v>
      </c>
      <c r="M215" s="103" t="e">
        <f t="shared" si="353"/>
        <v>#DIV/0!</v>
      </c>
      <c r="N215" s="103" t="e">
        <f t="shared" si="353"/>
        <v>#DIV/0!</v>
      </c>
      <c r="O215" s="103" t="e">
        <f t="shared" si="353"/>
        <v>#DIV/0!</v>
      </c>
      <c r="P215" s="103" t="e">
        <f t="shared" si="353"/>
        <v>#DIV/0!</v>
      </c>
      <c r="Q215" s="103" t="e">
        <f t="shared" si="353"/>
        <v>#DIV/0!</v>
      </c>
      <c r="R215" s="103" t="e">
        <f t="shared" si="353"/>
        <v>#DIV/0!</v>
      </c>
      <c r="S215" s="103" t="e">
        <f t="shared" si="353"/>
        <v>#DIV/0!</v>
      </c>
      <c r="T215" s="103" t="e">
        <f t="shared" si="353"/>
        <v>#DIV/0!</v>
      </c>
      <c r="U215" s="103" t="e">
        <f t="shared" si="353"/>
        <v>#DIV/0!</v>
      </c>
      <c r="V215" s="103" t="e">
        <f t="shared" si="353"/>
        <v>#DIV/0!</v>
      </c>
      <c r="W215" s="103" t="e">
        <f t="shared" si="353"/>
        <v>#DIV/0!</v>
      </c>
      <c r="X215" s="103" t="e">
        <f t="shared" si="353"/>
        <v>#DIV/0!</v>
      </c>
      <c r="Y215" s="103" t="e">
        <f t="shared" si="353"/>
        <v>#DIV/0!</v>
      </c>
      <c r="Z215" s="103" t="e">
        <f t="shared" si="353"/>
        <v>#DIV/0!</v>
      </c>
      <c r="AA215" s="175"/>
    </row>
    <row r="216" spans="1:27" outlineLevel="1" x14ac:dyDescent="0.25">
      <c r="A216" s="36" t="str">
        <f t="shared" si="300"/>
        <v>СБ-55Д-01</v>
      </c>
      <c r="B216" s="36"/>
      <c r="D216" s="100" t="str">
        <f t="shared" si="350"/>
        <v>Штанги буровые</v>
      </c>
      <c r="E216" s="101" t="str">
        <f t="shared" si="351"/>
        <v>руб/м3</v>
      </c>
      <c r="F216" s="102"/>
      <c r="G216" s="103" t="e">
        <f t="shared" ref="G216:Z216" si="354">G136/G121</f>
        <v>#DIV/0!</v>
      </c>
      <c r="H216" s="103" t="e">
        <f t="shared" si="354"/>
        <v>#DIV/0!</v>
      </c>
      <c r="I216" s="103" t="e">
        <f t="shared" si="354"/>
        <v>#DIV/0!</v>
      </c>
      <c r="J216" s="103" t="e">
        <f t="shared" si="354"/>
        <v>#DIV/0!</v>
      </c>
      <c r="K216" s="103" t="e">
        <f t="shared" si="354"/>
        <v>#DIV/0!</v>
      </c>
      <c r="L216" s="103" t="e">
        <f t="shared" si="354"/>
        <v>#DIV/0!</v>
      </c>
      <c r="M216" s="103" t="e">
        <f t="shared" si="354"/>
        <v>#DIV/0!</v>
      </c>
      <c r="N216" s="103" t="e">
        <f t="shared" si="354"/>
        <v>#DIV/0!</v>
      </c>
      <c r="O216" s="103" t="e">
        <f t="shared" si="354"/>
        <v>#DIV/0!</v>
      </c>
      <c r="P216" s="103" t="e">
        <f t="shared" si="354"/>
        <v>#DIV/0!</v>
      </c>
      <c r="Q216" s="103" t="e">
        <f t="shared" si="354"/>
        <v>#DIV/0!</v>
      </c>
      <c r="R216" s="103" t="e">
        <f t="shared" si="354"/>
        <v>#DIV/0!</v>
      </c>
      <c r="S216" s="103" t="e">
        <f t="shared" si="354"/>
        <v>#DIV/0!</v>
      </c>
      <c r="T216" s="103" t="e">
        <f t="shared" si="354"/>
        <v>#DIV/0!</v>
      </c>
      <c r="U216" s="103" t="e">
        <f t="shared" si="354"/>
        <v>#DIV/0!</v>
      </c>
      <c r="V216" s="103" t="e">
        <f t="shared" si="354"/>
        <v>#DIV/0!</v>
      </c>
      <c r="W216" s="103" t="e">
        <f t="shared" si="354"/>
        <v>#DIV/0!</v>
      </c>
      <c r="X216" s="103" t="e">
        <f t="shared" si="354"/>
        <v>#DIV/0!</v>
      </c>
      <c r="Y216" s="103" t="e">
        <f t="shared" si="354"/>
        <v>#DIV/0!</v>
      </c>
      <c r="Z216" s="103" t="e">
        <f t="shared" si="354"/>
        <v>#DIV/0!</v>
      </c>
      <c r="AA216" s="175"/>
    </row>
    <row r="217" spans="1:27" outlineLevel="1" x14ac:dyDescent="0.25">
      <c r="A217" s="36" t="str">
        <f t="shared" si="300"/>
        <v>СБ-55Д-01</v>
      </c>
      <c r="B217" s="36"/>
      <c r="D217" s="100" t="str">
        <f t="shared" si="350"/>
        <v>Расходники</v>
      </c>
      <c r="E217" s="101" t="str">
        <f t="shared" si="351"/>
        <v>руб/м3</v>
      </c>
      <c r="F217" s="102"/>
      <c r="G217" s="103" t="e">
        <f t="shared" ref="G217:Z217" si="355">G140/G121</f>
        <v>#DIV/0!</v>
      </c>
      <c r="H217" s="103" t="e">
        <f t="shared" si="355"/>
        <v>#DIV/0!</v>
      </c>
      <c r="I217" s="103" t="e">
        <f t="shared" si="355"/>
        <v>#DIV/0!</v>
      </c>
      <c r="J217" s="103" t="e">
        <f t="shared" si="355"/>
        <v>#DIV/0!</v>
      </c>
      <c r="K217" s="103" t="e">
        <f t="shared" si="355"/>
        <v>#DIV/0!</v>
      </c>
      <c r="L217" s="103" t="e">
        <f t="shared" si="355"/>
        <v>#DIV/0!</v>
      </c>
      <c r="M217" s="103" t="e">
        <f t="shared" si="355"/>
        <v>#DIV/0!</v>
      </c>
      <c r="N217" s="103" t="e">
        <f t="shared" si="355"/>
        <v>#DIV/0!</v>
      </c>
      <c r="O217" s="103" t="e">
        <f t="shared" si="355"/>
        <v>#DIV/0!</v>
      </c>
      <c r="P217" s="103" t="e">
        <f t="shared" si="355"/>
        <v>#DIV/0!</v>
      </c>
      <c r="Q217" s="103" t="e">
        <f t="shared" si="355"/>
        <v>#DIV/0!</v>
      </c>
      <c r="R217" s="103" t="e">
        <f t="shared" si="355"/>
        <v>#DIV/0!</v>
      </c>
      <c r="S217" s="103" t="e">
        <f t="shared" si="355"/>
        <v>#DIV/0!</v>
      </c>
      <c r="T217" s="103" t="e">
        <f t="shared" si="355"/>
        <v>#DIV/0!</v>
      </c>
      <c r="U217" s="103" t="e">
        <f t="shared" si="355"/>
        <v>#DIV/0!</v>
      </c>
      <c r="V217" s="103" t="e">
        <f t="shared" si="355"/>
        <v>#DIV/0!</v>
      </c>
      <c r="W217" s="103" t="e">
        <f t="shared" si="355"/>
        <v>#DIV/0!</v>
      </c>
      <c r="X217" s="103" t="e">
        <f t="shared" si="355"/>
        <v>#DIV/0!</v>
      </c>
      <c r="Y217" s="103" t="e">
        <f t="shared" si="355"/>
        <v>#DIV/0!</v>
      </c>
      <c r="Z217" s="103" t="e">
        <f t="shared" si="355"/>
        <v>#DIV/0!</v>
      </c>
      <c r="AA217" s="175"/>
    </row>
    <row r="218" spans="1:27" outlineLevel="1" x14ac:dyDescent="0.25">
      <c r="A218" s="36" t="str">
        <f t="shared" si="300"/>
        <v>СБ-55Д-01</v>
      </c>
      <c r="B218" s="36"/>
      <c r="D218" s="100" t="str">
        <f t="shared" si="350"/>
        <v>Топливо/Электроэнергия</v>
      </c>
      <c r="E218" s="101" t="str">
        <f t="shared" si="351"/>
        <v>руб/м3</v>
      </c>
      <c r="F218" s="102"/>
      <c r="G218" s="103" t="e">
        <f t="shared" ref="G218:Z218" si="356">G142/G121</f>
        <v>#DIV/0!</v>
      </c>
      <c r="H218" s="103" t="e">
        <f t="shared" si="356"/>
        <v>#DIV/0!</v>
      </c>
      <c r="I218" s="103" t="e">
        <f t="shared" si="356"/>
        <v>#DIV/0!</v>
      </c>
      <c r="J218" s="103" t="e">
        <f t="shared" si="356"/>
        <v>#DIV/0!</v>
      </c>
      <c r="K218" s="103" t="e">
        <f t="shared" si="356"/>
        <v>#DIV/0!</v>
      </c>
      <c r="L218" s="103" t="e">
        <f t="shared" si="356"/>
        <v>#DIV/0!</v>
      </c>
      <c r="M218" s="103" t="e">
        <f t="shared" si="356"/>
        <v>#DIV/0!</v>
      </c>
      <c r="N218" s="103" t="e">
        <f t="shared" si="356"/>
        <v>#DIV/0!</v>
      </c>
      <c r="O218" s="103" t="e">
        <f t="shared" si="356"/>
        <v>#DIV/0!</v>
      </c>
      <c r="P218" s="103" t="e">
        <f t="shared" si="356"/>
        <v>#DIV/0!</v>
      </c>
      <c r="Q218" s="103" t="e">
        <f t="shared" si="356"/>
        <v>#DIV/0!</v>
      </c>
      <c r="R218" s="103" t="e">
        <f t="shared" si="356"/>
        <v>#DIV/0!</v>
      </c>
      <c r="S218" s="103" t="e">
        <f t="shared" si="356"/>
        <v>#DIV/0!</v>
      </c>
      <c r="T218" s="103" t="e">
        <f t="shared" si="356"/>
        <v>#DIV/0!</v>
      </c>
      <c r="U218" s="103" t="e">
        <f t="shared" si="356"/>
        <v>#DIV/0!</v>
      </c>
      <c r="V218" s="103" t="e">
        <f t="shared" si="356"/>
        <v>#DIV/0!</v>
      </c>
      <c r="W218" s="103" t="e">
        <f t="shared" si="356"/>
        <v>#DIV/0!</v>
      </c>
      <c r="X218" s="103" t="e">
        <f t="shared" si="356"/>
        <v>#DIV/0!</v>
      </c>
      <c r="Y218" s="103" t="e">
        <f t="shared" si="356"/>
        <v>#DIV/0!</v>
      </c>
      <c r="Z218" s="103" t="e">
        <f t="shared" si="356"/>
        <v>#DIV/0!</v>
      </c>
      <c r="AA218" s="175"/>
    </row>
    <row r="219" spans="1:27" outlineLevel="1" x14ac:dyDescent="0.25">
      <c r="A219" s="36" t="str">
        <f t="shared" si="300"/>
        <v>СБ-55Д-01</v>
      </c>
      <c r="B219" s="36"/>
      <c r="D219" s="100" t="str">
        <f t="shared" si="350"/>
        <v>Затраты на персонал</v>
      </c>
      <c r="E219" s="101" t="str">
        <f t="shared" si="351"/>
        <v>руб/м3</v>
      </c>
      <c r="F219" s="102"/>
      <c r="G219" s="103" t="e">
        <f t="shared" ref="G219:Z219" si="357">G151/G121</f>
        <v>#DIV/0!</v>
      </c>
      <c r="H219" s="103" t="e">
        <f t="shared" si="357"/>
        <v>#DIV/0!</v>
      </c>
      <c r="I219" s="103" t="e">
        <f t="shared" si="357"/>
        <v>#DIV/0!</v>
      </c>
      <c r="J219" s="103" t="e">
        <f t="shared" si="357"/>
        <v>#DIV/0!</v>
      </c>
      <c r="K219" s="103" t="e">
        <f t="shared" si="357"/>
        <v>#DIV/0!</v>
      </c>
      <c r="L219" s="103" t="e">
        <f t="shared" si="357"/>
        <v>#DIV/0!</v>
      </c>
      <c r="M219" s="103" t="e">
        <f t="shared" si="357"/>
        <v>#DIV/0!</v>
      </c>
      <c r="N219" s="103" t="e">
        <f t="shared" si="357"/>
        <v>#DIV/0!</v>
      </c>
      <c r="O219" s="103" t="e">
        <f t="shared" si="357"/>
        <v>#DIV/0!</v>
      </c>
      <c r="P219" s="103" t="e">
        <f t="shared" si="357"/>
        <v>#DIV/0!</v>
      </c>
      <c r="Q219" s="103" t="e">
        <f t="shared" si="357"/>
        <v>#DIV/0!</v>
      </c>
      <c r="R219" s="103" t="e">
        <f t="shared" si="357"/>
        <v>#DIV/0!</v>
      </c>
      <c r="S219" s="103" t="e">
        <f t="shared" si="357"/>
        <v>#DIV/0!</v>
      </c>
      <c r="T219" s="103" t="e">
        <f t="shared" si="357"/>
        <v>#DIV/0!</v>
      </c>
      <c r="U219" s="103" t="e">
        <f t="shared" si="357"/>
        <v>#DIV/0!</v>
      </c>
      <c r="V219" s="103" t="e">
        <f t="shared" si="357"/>
        <v>#DIV/0!</v>
      </c>
      <c r="W219" s="103" t="e">
        <f t="shared" si="357"/>
        <v>#DIV/0!</v>
      </c>
      <c r="X219" s="103" t="e">
        <f t="shared" si="357"/>
        <v>#DIV/0!</v>
      </c>
      <c r="Y219" s="103" t="e">
        <f t="shared" si="357"/>
        <v>#DIV/0!</v>
      </c>
      <c r="Z219" s="103" t="e">
        <f t="shared" si="357"/>
        <v>#DIV/0!</v>
      </c>
      <c r="AA219" s="175"/>
    </row>
    <row r="220" spans="1:27" outlineLevel="1" x14ac:dyDescent="0.25">
      <c r="A220" s="36" t="str">
        <f t="shared" si="300"/>
        <v>СБ-55Д-01</v>
      </c>
      <c r="B220" s="36"/>
      <c r="D220" s="100" t="str">
        <f t="shared" si="350"/>
        <v>Транспортный налог</v>
      </c>
      <c r="E220" s="101" t="str">
        <f t="shared" si="351"/>
        <v>руб/м3</v>
      </c>
      <c r="F220" s="102"/>
      <c r="G220" s="103" t="e">
        <f t="shared" ref="G220:Z220" si="358">G154/G121</f>
        <v>#DIV/0!</v>
      </c>
      <c r="H220" s="103" t="e">
        <f t="shared" si="358"/>
        <v>#DIV/0!</v>
      </c>
      <c r="I220" s="103" t="e">
        <f t="shared" si="358"/>
        <v>#DIV/0!</v>
      </c>
      <c r="J220" s="103" t="e">
        <f t="shared" si="358"/>
        <v>#DIV/0!</v>
      </c>
      <c r="K220" s="103" t="e">
        <f t="shared" si="358"/>
        <v>#DIV/0!</v>
      </c>
      <c r="L220" s="103" t="e">
        <f t="shared" si="358"/>
        <v>#DIV/0!</v>
      </c>
      <c r="M220" s="103" t="e">
        <f t="shared" si="358"/>
        <v>#DIV/0!</v>
      </c>
      <c r="N220" s="103" t="e">
        <f t="shared" si="358"/>
        <v>#DIV/0!</v>
      </c>
      <c r="O220" s="103" t="e">
        <f t="shared" si="358"/>
        <v>#DIV/0!</v>
      </c>
      <c r="P220" s="103" t="e">
        <f t="shared" si="358"/>
        <v>#DIV/0!</v>
      </c>
      <c r="Q220" s="103" t="e">
        <f t="shared" si="358"/>
        <v>#DIV/0!</v>
      </c>
      <c r="R220" s="103" t="e">
        <f t="shared" si="358"/>
        <v>#DIV/0!</v>
      </c>
      <c r="S220" s="103" t="e">
        <f t="shared" si="358"/>
        <v>#DIV/0!</v>
      </c>
      <c r="T220" s="103" t="e">
        <f t="shared" si="358"/>
        <v>#DIV/0!</v>
      </c>
      <c r="U220" s="103" t="e">
        <f t="shared" si="358"/>
        <v>#DIV/0!</v>
      </c>
      <c r="V220" s="103" t="e">
        <f t="shared" si="358"/>
        <v>#DIV/0!</v>
      </c>
      <c r="W220" s="103" t="e">
        <f t="shared" si="358"/>
        <v>#DIV/0!</v>
      </c>
      <c r="X220" s="103" t="e">
        <f t="shared" si="358"/>
        <v>#DIV/0!</v>
      </c>
      <c r="Y220" s="103" t="e">
        <f t="shared" si="358"/>
        <v>#DIV/0!</v>
      </c>
      <c r="Z220" s="103" t="e">
        <f t="shared" si="358"/>
        <v>#DIV/0!</v>
      </c>
      <c r="AA220" s="175"/>
    </row>
    <row r="221" spans="1:27" outlineLevel="1" x14ac:dyDescent="0.25">
      <c r="A221" s="36" t="str">
        <f t="shared" si="300"/>
        <v>СБ-55Д-01</v>
      </c>
      <c r="B221" s="36"/>
      <c r="D221" s="108"/>
      <c r="E221" s="12"/>
      <c r="F221" s="109"/>
      <c r="G221" s="118" t="e">
        <f t="shared" ref="G221:Z221" si="359">G212-(G124-G159)/G121</f>
        <v>#DIV/0!</v>
      </c>
      <c r="H221" s="118" t="e">
        <f t="shared" si="359"/>
        <v>#DIV/0!</v>
      </c>
      <c r="I221" s="118" t="e">
        <f t="shared" si="359"/>
        <v>#DIV/0!</v>
      </c>
      <c r="J221" s="118" t="e">
        <f t="shared" si="359"/>
        <v>#DIV/0!</v>
      </c>
      <c r="K221" s="118" t="e">
        <f t="shared" si="359"/>
        <v>#DIV/0!</v>
      </c>
      <c r="L221" s="118" t="e">
        <f t="shared" si="359"/>
        <v>#DIV/0!</v>
      </c>
      <c r="M221" s="118" t="e">
        <f t="shared" si="359"/>
        <v>#DIV/0!</v>
      </c>
      <c r="N221" s="118" t="e">
        <f t="shared" si="359"/>
        <v>#DIV/0!</v>
      </c>
      <c r="O221" s="118" t="e">
        <f t="shared" si="359"/>
        <v>#DIV/0!</v>
      </c>
      <c r="P221" s="118" t="e">
        <f t="shared" si="359"/>
        <v>#DIV/0!</v>
      </c>
      <c r="Q221" s="118" t="e">
        <f t="shared" si="359"/>
        <v>#DIV/0!</v>
      </c>
      <c r="R221" s="118" t="e">
        <f t="shared" si="359"/>
        <v>#DIV/0!</v>
      </c>
      <c r="S221" s="118" t="e">
        <f t="shared" si="359"/>
        <v>#DIV/0!</v>
      </c>
      <c r="T221" s="118" t="e">
        <f t="shared" si="359"/>
        <v>#DIV/0!</v>
      </c>
      <c r="U221" s="118" t="e">
        <f t="shared" si="359"/>
        <v>#DIV/0!</v>
      </c>
      <c r="V221" s="118" t="e">
        <f t="shared" si="359"/>
        <v>#DIV/0!</v>
      </c>
      <c r="W221" s="118" t="e">
        <f t="shared" si="359"/>
        <v>#DIV/0!</v>
      </c>
      <c r="X221" s="118" t="e">
        <f t="shared" si="359"/>
        <v>#DIV/0!</v>
      </c>
      <c r="Y221" s="118" t="e">
        <f t="shared" si="359"/>
        <v>#DIV/0!</v>
      </c>
      <c r="Z221" s="118" t="e">
        <f t="shared" si="359"/>
        <v>#DIV/0!</v>
      </c>
      <c r="AA221" s="175"/>
    </row>
    <row r="222" spans="1:27" outlineLevel="1" x14ac:dyDescent="0.25">
      <c r="A222" s="2" t="s">
        <v>34</v>
      </c>
      <c r="AA222" s="175"/>
    </row>
    <row r="223" spans="1:27" x14ac:dyDescent="0.25">
      <c r="A223" s="2" t="s">
        <v>34</v>
      </c>
      <c r="AA223" s="175"/>
    </row>
  </sheetData>
  <autoFilter ref="A1:AC114" xr:uid="{258B067A-4FCE-4127-B7BC-1322746EDD23}"/>
  <conditionalFormatting sqref="G99:Z99">
    <cfRule type="cellIs" dxfId="12" priority="2" operator="equal">
      <formula>$AC$99</formula>
    </cfRule>
  </conditionalFormatting>
  <conditionalFormatting sqref="G208:Z208">
    <cfRule type="cellIs" dxfId="11" priority="1" operator="equal">
      <formula>$AC$208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E208-30DA-475C-A0FD-3DFD0BB7E4EC}">
  <sheetPr>
    <tabColor rgb="FFFF0000"/>
  </sheetPr>
  <dimension ref="A1:AC277"/>
  <sheetViews>
    <sheetView showGridLines="0" zoomScaleNormal="100" workbookViewId="0">
      <pane xSplit="4" ySplit="4" topLeftCell="E5" activePane="bottomRight" state="frozen"/>
      <selection activeCell="F43" sqref="F43"/>
      <selection pane="topRight" activeCell="F43" sqref="F43"/>
      <selection pane="bottomLeft" activeCell="F43" sqref="F43"/>
      <selection pane="bottomRight" activeCell="AB23" sqref="AB23"/>
    </sheetView>
  </sheetViews>
  <sheetFormatPr defaultRowHeight="13.6" outlineLevelRow="1" outlineLevelCol="1" x14ac:dyDescent="0.25"/>
  <cols>
    <col min="1" max="1" width="3.125" style="2" customWidth="1" outlineLevel="1"/>
    <col min="2" max="2" width="4" style="2" customWidth="1"/>
    <col min="3" max="3" width="36.25" style="2" bestFit="1" customWidth="1"/>
    <col min="4" max="4" width="7.625" style="2" bestFit="1" customWidth="1"/>
    <col min="5" max="24" width="6.875" style="2" customWidth="1"/>
    <col min="25" max="26" width="14" style="2" bestFit="1" customWidth="1" outlineLevel="1"/>
    <col min="27" max="27" width="22.875" style="2" bestFit="1" customWidth="1" outlineLevel="1"/>
    <col min="28" max="28" width="18" style="2" bestFit="1" customWidth="1" outlineLevel="1"/>
    <col min="29" max="29" width="9" style="2" outlineLevel="1"/>
    <col min="30" max="16384" width="9" style="2"/>
  </cols>
  <sheetData>
    <row r="1" spans="1:29" x14ac:dyDescent="0.25">
      <c r="E1" s="53">
        <f>'ТСО_250-270_диз'!G2</f>
        <v>2027</v>
      </c>
      <c r="F1" s="53">
        <f>'ТСО_250-270_диз'!H2</f>
        <v>2028</v>
      </c>
      <c r="G1" s="53">
        <f>'ТСО_250-270_диз'!I2</f>
        <v>2029</v>
      </c>
      <c r="H1" s="53">
        <f>'ТСО_250-270_диз'!J2</f>
        <v>2030</v>
      </c>
      <c r="I1" s="53">
        <f>'ТСО_250-270_диз'!K2</f>
        <v>2031</v>
      </c>
      <c r="J1" s="53">
        <f>'ТСО_250-270_диз'!L2</f>
        <v>2032</v>
      </c>
      <c r="K1" s="53">
        <f>'ТСО_250-270_диз'!M2</f>
        <v>2033</v>
      </c>
      <c r="L1" s="53">
        <f>'ТСО_250-270_диз'!N2</f>
        <v>2034</v>
      </c>
      <c r="M1" s="53">
        <f>'ТСО_250-270_диз'!O2</f>
        <v>2035</v>
      </c>
      <c r="N1" s="53">
        <f>'ТСО_250-270_диз'!P2</f>
        <v>2036</v>
      </c>
      <c r="O1" s="53">
        <f>'ТСО_250-270_диз'!Q2</f>
        <v>2037</v>
      </c>
      <c r="P1" s="53">
        <f>'ТСО_250-270_диз'!R2</f>
        <v>2038</v>
      </c>
      <c r="Q1" s="53">
        <f>'ТСО_250-270_диз'!S2</f>
        <v>2039</v>
      </c>
      <c r="R1" s="53">
        <f>'ТСО_250-270_диз'!T2</f>
        <v>2040</v>
      </c>
      <c r="S1" s="53">
        <f>'ТСО_250-270_диз'!U2</f>
        <v>2041</v>
      </c>
      <c r="T1" s="53">
        <f>'ТСО_250-270_диз'!V2</f>
        <v>2042</v>
      </c>
      <c r="U1" s="53">
        <f>'ТСО_250-270_диз'!W2</f>
        <v>2043</v>
      </c>
      <c r="V1" s="53">
        <f>'ТСО_250-270_диз'!X2</f>
        <v>2044</v>
      </c>
      <c r="W1" s="53">
        <f>'ТСО_250-270_диз'!Y2</f>
        <v>2045</v>
      </c>
      <c r="X1" s="53">
        <f>'ТСО_250-270_диз'!Z2</f>
        <v>2046</v>
      </c>
      <c r="Y1" s="175"/>
    </row>
    <row r="2" spans="1:29" ht="14.3" x14ac:dyDescent="0.25">
      <c r="B2" s="3" t="s">
        <v>77</v>
      </c>
      <c r="Y2" s="175"/>
    </row>
    <row r="3" spans="1:29" x14ac:dyDescent="0.25">
      <c r="Y3" s="176" t="s">
        <v>33</v>
      </c>
      <c r="Z3" s="119" t="s">
        <v>33</v>
      </c>
      <c r="AA3" s="119" t="s">
        <v>33</v>
      </c>
      <c r="AB3" s="119" t="s">
        <v>33</v>
      </c>
    </row>
    <row r="4" spans="1:29" x14ac:dyDescent="0.25">
      <c r="A4" s="53">
        <v>1</v>
      </c>
      <c r="B4" s="120" t="s">
        <v>3</v>
      </c>
      <c r="C4" s="121" t="s">
        <v>78</v>
      </c>
      <c r="D4" s="120" t="s">
        <v>7</v>
      </c>
      <c r="E4" s="120">
        <f>'ТСО_250-270_диз'!G1</f>
        <v>1</v>
      </c>
      <c r="F4" s="120">
        <f>'ТСО_250-270_диз'!H1</f>
        <v>2</v>
      </c>
      <c r="G4" s="120">
        <f>'ТСО_250-270_диз'!I1</f>
        <v>3</v>
      </c>
      <c r="H4" s="120">
        <f>'ТСО_250-270_диз'!J1</f>
        <v>4</v>
      </c>
      <c r="I4" s="120">
        <f>'ТСО_250-270_диз'!K1</f>
        <v>5</v>
      </c>
      <c r="J4" s="120">
        <f>'ТСО_250-270_диз'!L1</f>
        <v>6</v>
      </c>
      <c r="K4" s="120">
        <f>'ТСО_250-270_диз'!M1</f>
        <v>7</v>
      </c>
      <c r="L4" s="120">
        <f>'ТСО_250-270_диз'!N1</f>
        <v>8</v>
      </c>
      <c r="M4" s="120">
        <f>'ТСО_250-270_диз'!O1</f>
        <v>9</v>
      </c>
      <c r="N4" s="120">
        <f>'ТСО_250-270_диз'!P1</f>
        <v>10</v>
      </c>
      <c r="O4" s="120">
        <f>'ТСО_250-270_диз'!Q1</f>
        <v>11</v>
      </c>
      <c r="P4" s="120">
        <f>'ТСО_250-270_диз'!R1</f>
        <v>12</v>
      </c>
      <c r="Q4" s="120">
        <f>'ТСО_250-270_диз'!S1</f>
        <v>13</v>
      </c>
      <c r="R4" s="120">
        <f>'ТСО_250-270_диз'!T1</f>
        <v>14</v>
      </c>
      <c r="S4" s="120">
        <f>'ТСО_250-270_диз'!U1</f>
        <v>15</v>
      </c>
      <c r="T4" s="120">
        <f>'ТСО_250-270_диз'!V1</f>
        <v>16</v>
      </c>
      <c r="U4" s="120">
        <f>'ТСО_250-270_диз'!W1</f>
        <v>17</v>
      </c>
      <c r="V4" s="120">
        <f>'ТСО_250-270_диз'!X1</f>
        <v>18</v>
      </c>
      <c r="W4" s="120">
        <f>'ТСО_250-270_диз'!Y1</f>
        <v>19</v>
      </c>
      <c r="X4" s="120">
        <f>'ТСО_250-270_диз'!Z1</f>
        <v>20</v>
      </c>
      <c r="Y4" s="175"/>
      <c r="Z4" s="53" t="s">
        <v>79</v>
      </c>
    </row>
    <row r="5" spans="1:29" outlineLevel="1" x14ac:dyDescent="0.25">
      <c r="A5" s="53">
        <v>0</v>
      </c>
      <c r="B5" s="122" t="s">
        <v>34</v>
      </c>
      <c r="C5" s="123" t="s">
        <v>80</v>
      </c>
      <c r="D5" s="6" t="s">
        <v>81</v>
      </c>
      <c r="E5" s="124">
        <v>365</v>
      </c>
      <c r="F5" s="125">
        <f>E5</f>
        <v>365</v>
      </c>
      <c r="G5" s="125">
        <f t="shared" ref="G5:X5" si="0">F5</f>
        <v>365</v>
      </c>
      <c r="H5" s="125">
        <f t="shared" si="0"/>
        <v>365</v>
      </c>
      <c r="I5" s="125">
        <f t="shared" si="0"/>
        <v>365</v>
      </c>
      <c r="J5" s="125">
        <f t="shared" si="0"/>
        <v>365</v>
      </c>
      <c r="K5" s="125">
        <f t="shared" si="0"/>
        <v>365</v>
      </c>
      <c r="L5" s="125">
        <f t="shared" si="0"/>
        <v>365</v>
      </c>
      <c r="M5" s="125">
        <f t="shared" si="0"/>
        <v>365</v>
      </c>
      <c r="N5" s="125">
        <f t="shared" si="0"/>
        <v>365</v>
      </c>
      <c r="O5" s="125">
        <f t="shared" si="0"/>
        <v>365</v>
      </c>
      <c r="P5" s="125">
        <f t="shared" si="0"/>
        <v>365</v>
      </c>
      <c r="Q5" s="125">
        <f t="shared" si="0"/>
        <v>365</v>
      </c>
      <c r="R5" s="125">
        <f t="shared" si="0"/>
        <v>365</v>
      </c>
      <c r="S5" s="125">
        <f t="shared" si="0"/>
        <v>365</v>
      </c>
      <c r="T5" s="125">
        <f t="shared" si="0"/>
        <v>365</v>
      </c>
      <c r="U5" s="125">
        <f t="shared" si="0"/>
        <v>365</v>
      </c>
      <c r="V5" s="125">
        <f t="shared" si="0"/>
        <v>365</v>
      </c>
      <c r="W5" s="125">
        <f t="shared" si="0"/>
        <v>365</v>
      </c>
      <c r="X5" s="125">
        <f t="shared" si="0"/>
        <v>365</v>
      </c>
      <c r="Y5" s="175"/>
    </row>
    <row r="6" spans="1:29" outlineLevel="1" x14ac:dyDescent="0.25">
      <c r="A6" s="53">
        <v>0</v>
      </c>
      <c r="B6" s="64" t="s">
        <v>34</v>
      </c>
      <c r="C6" s="88" t="s">
        <v>82</v>
      </c>
      <c r="D6" s="9" t="s">
        <v>83</v>
      </c>
      <c r="E6" s="70">
        <f>E5*24</f>
        <v>8760</v>
      </c>
      <c r="F6" s="70">
        <f t="shared" ref="F6:X6" si="1">F5*24</f>
        <v>8760</v>
      </c>
      <c r="G6" s="70">
        <f t="shared" si="1"/>
        <v>8760</v>
      </c>
      <c r="H6" s="70">
        <f t="shared" si="1"/>
        <v>8760</v>
      </c>
      <c r="I6" s="70">
        <f t="shared" si="1"/>
        <v>8760</v>
      </c>
      <c r="J6" s="70">
        <f t="shared" si="1"/>
        <v>8760</v>
      </c>
      <c r="K6" s="70">
        <f t="shared" si="1"/>
        <v>8760</v>
      </c>
      <c r="L6" s="70">
        <f t="shared" si="1"/>
        <v>8760</v>
      </c>
      <c r="M6" s="70">
        <f t="shared" si="1"/>
        <v>8760</v>
      </c>
      <c r="N6" s="70">
        <f t="shared" si="1"/>
        <v>8760</v>
      </c>
      <c r="O6" s="70">
        <f t="shared" si="1"/>
        <v>8760</v>
      </c>
      <c r="P6" s="70">
        <f t="shared" si="1"/>
        <v>8760</v>
      </c>
      <c r="Q6" s="70">
        <f t="shared" si="1"/>
        <v>8760</v>
      </c>
      <c r="R6" s="70">
        <f t="shared" si="1"/>
        <v>8760</v>
      </c>
      <c r="S6" s="70">
        <f t="shared" si="1"/>
        <v>8760</v>
      </c>
      <c r="T6" s="70">
        <f t="shared" si="1"/>
        <v>8760</v>
      </c>
      <c r="U6" s="70">
        <f t="shared" si="1"/>
        <v>8760</v>
      </c>
      <c r="V6" s="70">
        <f t="shared" si="1"/>
        <v>8760</v>
      </c>
      <c r="W6" s="70">
        <f t="shared" si="1"/>
        <v>8760</v>
      </c>
      <c r="X6" s="70">
        <f t="shared" si="1"/>
        <v>8760</v>
      </c>
      <c r="Y6" s="175"/>
    </row>
    <row r="7" spans="1:29" x14ac:dyDescent="0.25">
      <c r="A7" s="53">
        <v>1</v>
      </c>
      <c r="B7" s="64">
        <v>1</v>
      </c>
      <c r="C7" s="63" t="s">
        <v>39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174" t="s">
        <v>12</v>
      </c>
      <c r="AA7" s="2" t="s">
        <v>250</v>
      </c>
    </row>
    <row r="8" spans="1:29" x14ac:dyDescent="0.25">
      <c r="A8" s="128">
        <f>IF(MAX(E8:X8)=0,0,1)</f>
        <v>1</v>
      </c>
      <c r="B8" s="29"/>
      <c r="C8" s="218" t="s">
        <v>251</v>
      </c>
      <c r="D8" s="9" t="s">
        <v>14</v>
      </c>
      <c r="E8" s="671">
        <f>'DR-75'!E6</f>
        <v>0.93093607305936077</v>
      </c>
      <c r="F8" s="671">
        <f>'DR-75'!F6</f>
        <v>0.91717402333840692</v>
      </c>
      <c r="G8" s="671">
        <f>'DR-75'!G6</f>
        <v>0.93093607305936077</v>
      </c>
      <c r="H8" s="671">
        <f>'DR-75'!H6</f>
        <v>0.91717402333840692</v>
      </c>
      <c r="I8" s="671">
        <f>'DR-75'!I6</f>
        <v>0.88654236428209032</v>
      </c>
      <c r="J8" s="671">
        <f>'DR-75'!J6</f>
        <v>0.91717402333840692</v>
      </c>
      <c r="K8" s="671">
        <f>'DR-75'!K6</f>
        <v>0.8505834601725013</v>
      </c>
      <c r="L8" s="671">
        <f>'DR-75'!L6</f>
        <v>0.91983764586504313</v>
      </c>
      <c r="M8" s="671">
        <f>'DR-75'!M6</f>
        <v>0.92827245053272456</v>
      </c>
      <c r="N8" s="671">
        <f>'DR-75'!N6</f>
        <v>0.85324708269913752</v>
      </c>
      <c r="O8" s="671">
        <f>'DR-75'!O6</f>
        <v>0.92827245053272456</v>
      </c>
      <c r="P8" s="671">
        <f>'DR-75'!P6</f>
        <v>0.91717402333840692</v>
      </c>
      <c r="Q8" s="671"/>
      <c r="R8" s="671"/>
      <c r="S8" s="671"/>
      <c r="T8" s="671"/>
      <c r="U8" s="671"/>
      <c r="V8" s="671"/>
      <c r="W8" s="671"/>
      <c r="X8" s="671"/>
      <c r="Y8" s="174">
        <f>COUNT(E8:X8)</f>
        <v>12</v>
      </c>
      <c r="Z8" s="672">
        <f>SUM(E8:X8)/Y8</f>
        <v>0.90811030779638069</v>
      </c>
      <c r="AA8" s="376" t="s">
        <v>203</v>
      </c>
      <c r="AB8" s="376" t="s">
        <v>818</v>
      </c>
      <c r="AC8" s="175" t="s">
        <v>817</v>
      </c>
    </row>
    <row r="9" spans="1:29" x14ac:dyDescent="0.25">
      <c r="A9" s="128">
        <f t="shared" ref="A9:A32" si="2">IF(MAX(E9:X9)=0,0,1)</f>
        <v>1</v>
      </c>
      <c r="B9" s="29"/>
      <c r="C9" s="218" t="s">
        <v>248</v>
      </c>
      <c r="D9" s="9" t="str">
        <f>D8</f>
        <v>коэфф.</v>
      </c>
      <c r="E9" s="671">
        <f>SWDRT250SM!E6</f>
        <v>0.89479459982242504</v>
      </c>
      <c r="F9" s="671">
        <f>SWDRT250SM!F6</f>
        <v>0.86538376775748349</v>
      </c>
      <c r="G9" s="671">
        <f>SWDRT250SM!G6</f>
        <v>0.84540659880771174</v>
      </c>
      <c r="H9" s="671">
        <f>SWDRT250SM!H6</f>
        <v>0.8748174308726534</v>
      </c>
      <c r="I9" s="671">
        <f>SWDRT250SM!I6</f>
        <v>0.86538376775748349</v>
      </c>
      <c r="J9" s="671">
        <f>SWDRT250SM!J6</f>
        <v>0.84318691336884821</v>
      </c>
      <c r="K9" s="671">
        <f>SWDRT250SM!K6</f>
        <v>0.86205423959918825</v>
      </c>
      <c r="L9" s="671">
        <f>SWDRT250SM!L6</f>
        <v>0.86538376775748349</v>
      </c>
      <c r="M9" s="671">
        <f>SWDRT250SM!M6</f>
        <v>0.8498459696854388</v>
      </c>
      <c r="N9" s="671">
        <f>SWDRT250SM!N6</f>
        <v>0.85428534056316585</v>
      </c>
      <c r="O9" s="671">
        <f>SWDRT250SM!O6</f>
        <v>0.85428534056316585</v>
      </c>
      <c r="P9" s="671">
        <f>SWDRT250SM!P6</f>
        <v>0.85428534056316585</v>
      </c>
      <c r="Q9" s="671"/>
      <c r="R9" s="671"/>
      <c r="S9" s="671"/>
      <c r="T9" s="671"/>
      <c r="U9" s="671"/>
      <c r="V9" s="671"/>
      <c r="W9" s="671"/>
      <c r="X9" s="671"/>
      <c r="Y9" s="174">
        <f t="shared" ref="Y9:Y33" si="3">COUNT(E9:X9)</f>
        <v>12</v>
      </c>
      <c r="Z9" s="672">
        <f t="shared" ref="Z9:Z33" si="4">SUM(E9:X9)/Y9</f>
        <v>0.86075942309318443</v>
      </c>
      <c r="AA9" s="376" t="s">
        <v>203</v>
      </c>
      <c r="AB9" s="376" t="s">
        <v>653</v>
      </c>
      <c r="AC9" s="175" t="s">
        <v>655</v>
      </c>
    </row>
    <row r="10" spans="1:29" x14ac:dyDescent="0.25">
      <c r="A10" s="128">
        <f t="shared" si="2"/>
        <v>1</v>
      </c>
      <c r="B10" s="29"/>
      <c r="C10" s="218" t="s">
        <v>246</v>
      </c>
      <c r="D10" s="9" t="str">
        <f t="shared" ref="D10:D32" si="5">D9</f>
        <v>коэфф.</v>
      </c>
      <c r="E10" s="671">
        <f>SWDRT270SM!E6</f>
        <v>0.89479459982242504</v>
      </c>
      <c r="F10" s="671">
        <f>SWDRT270SM!F6</f>
        <v>0.86538376775748349</v>
      </c>
      <c r="G10" s="671">
        <f>SWDRT270SM!G6</f>
        <v>0.84540659880771174</v>
      </c>
      <c r="H10" s="671">
        <f>SWDRT270SM!H6</f>
        <v>0.8748174308726534</v>
      </c>
      <c r="I10" s="671">
        <f>SWDRT270SM!I6</f>
        <v>0.86538376775748349</v>
      </c>
      <c r="J10" s="671">
        <f>SWDRT270SM!J6</f>
        <v>0.84318691336884821</v>
      </c>
      <c r="K10" s="671">
        <f>SWDRT270SM!K6</f>
        <v>0.86205423959918825</v>
      </c>
      <c r="L10" s="671">
        <f>SWDRT270SM!L6</f>
        <v>0.86538376775748349</v>
      </c>
      <c r="M10" s="671">
        <f>SWDRT270SM!M6</f>
        <v>0.8498459696854388</v>
      </c>
      <c r="N10" s="671">
        <f>SWDRT270SM!N6</f>
        <v>0.85428534056316585</v>
      </c>
      <c r="O10" s="671">
        <f>SWDRT270SM!O6</f>
        <v>0.85428534056316585</v>
      </c>
      <c r="P10" s="671">
        <f>SWDRT270SM!P6</f>
        <v>0.85428534056316585</v>
      </c>
      <c r="Q10" s="671"/>
      <c r="R10" s="671"/>
      <c r="S10" s="671"/>
      <c r="T10" s="671"/>
      <c r="U10" s="671"/>
      <c r="V10" s="671"/>
      <c r="W10" s="671"/>
      <c r="X10" s="671"/>
      <c r="Y10" s="174">
        <f t="shared" si="3"/>
        <v>12</v>
      </c>
      <c r="Z10" s="672">
        <f t="shared" si="4"/>
        <v>0.86075942309318443</v>
      </c>
      <c r="AA10" s="376" t="s">
        <v>203</v>
      </c>
      <c r="AB10" s="376" t="s">
        <v>653</v>
      </c>
      <c r="AC10" s="175" t="s">
        <v>655</v>
      </c>
    </row>
    <row r="11" spans="1:29" x14ac:dyDescent="0.25">
      <c r="A11" s="128">
        <f t="shared" si="2"/>
        <v>1</v>
      </c>
      <c r="B11" s="29"/>
      <c r="C11" s="218" t="s">
        <v>247</v>
      </c>
      <c r="D11" s="9" t="str">
        <f t="shared" si="5"/>
        <v>коэфф.</v>
      </c>
      <c r="E11" s="671">
        <f>SWDRT270B!E6</f>
        <v>0.93</v>
      </c>
      <c r="F11" s="671">
        <f>SWDRT270B!F6</f>
        <v>0.93</v>
      </c>
      <c r="G11" s="671">
        <f>SWDRT270B!G6</f>
        <v>0.92</v>
      </c>
      <c r="H11" s="671">
        <f>SWDRT270B!H6</f>
        <v>0.92</v>
      </c>
      <c r="I11" s="671">
        <f>SWDRT270B!I6</f>
        <v>0.87</v>
      </c>
      <c r="J11" s="671">
        <f>SWDRT270B!J6</f>
        <v>0.9</v>
      </c>
      <c r="K11" s="671">
        <f>SWDRT270B!K6</f>
        <v>0.85</v>
      </c>
      <c r="L11" s="671">
        <f>SWDRT270B!L6</f>
        <v>0.9</v>
      </c>
      <c r="M11" s="671">
        <f>SWDRT270B!M6</f>
        <v>0.9</v>
      </c>
      <c r="N11" s="671">
        <f>SWDRT270B!N6</f>
        <v>0.85</v>
      </c>
      <c r="O11" s="671">
        <f>SWDRT270B!O6</f>
        <v>0.89</v>
      </c>
      <c r="P11" s="671">
        <f>SWDRT270B!P6</f>
        <v>0.89</v>
      </c>
      <c r="Q11" s="671"/>
      <c r="R11" s="671"/>
      <c r="S11" s="671"/>
      <c r="T11" s="671"/>
      <c r="U11" s="671"/>
      <c r="V11" s="671"/>
      <c r="W11" s="671"/>
      <c r="X11" s="671"/>
      <c r="Y11" s="174">
        <f t="shared" si="3"/>
        <v>12</v>
      </c>
      <c r="Z11" s="672">
        <f t="shared" si="4"/>
        <v>0.89583333333333348</v>
      </c>
      <c r="AA11" s="376" t="s">
        <v>203</v>
      </c>
      <c r="AB11" s="376" t="s">
        <v>818</v>
      </c>
      <c r="AC11" s="175" t="s">
        <v>817</v>
      </c>
    </row>
    <row r="12" spans="1:29" x14ac:dyDescent="0.25">
      <c r="A12" s="128">
        <f t="shared" si="2"/>
        <v>1</v>
      </c>
      <c r="B12" s="29"/>
      <c r="C12" s="218" t="s">
        <v>249</v>
      </c>
      <c r="D12" s="9" t="str">
        <f t="shared" si="5"/>
        <v>коэфф.</v>
      </c>
      <c r="E12" s="671">
        <f>'HIFO 75D'!E6</f>
        <v>0.89322361745306944</v>
      </c>
      <c r="F12" s="671">
        <f>'HIFO 75D'!F6</f>
        <v>0.8669947044647387</v>
      </c>
      <c r="G12" s="671">
        <f>'HIFO 75D'!G6</f>
        <v>0.85358336504312537</v>
      </c>
      <c r="H12" s="671">
        <f>'HIFO 75D'!H6</f>
        <v>0.86506357813292745</v>
      </c>
      <c r="I12" s="671">
        <f>'HIFO 75D'!I6</f>
        <v>0.87024876331811263</v>
      </c>
      <c r="J12" s="671">
        <f>'HIFO 75D'!J6</f>
        <v>0.84426956494165395</v>
      </c>
      <c r="K12" s="671">
        <f>'HIFO 75D'!K6</f>
        <v>0.85844003678335867</v>
      </c>
      <c r="L12" s="671">
        <f>'HIFO 75D'!L6</f>
        <v>0.87057949644850341</v>
      </c>
      <c r="M12" s="671">
        <f>'HIFO 75D'!M6</f>
        <v>0.85290636098427197</v>
      </c>
      <c r="N12" s="671">
        <f>'HIFO 75D'!N6</f>
        <v>0.85267773338406894</v>
      </c>
      <c r="O12" s="671"/>
      <c r="P12" s="671"/>
      <c r="Q12" s="671"/>
      <c r="R12" s="671"/>
      <c r="S12" s="671"/>
      <c r="T12" s="671"/>
      <c r="U12" s="671"/>
      <c r="V12" s="671"/>
      <c r="W12" s="671"/>
      <c r="X12" s="671"/>
      <c r="Y12" s="174">
        <f t="shared" si="3"/>
        <v>10</v>
      </c>
      <c r="Z12" s="672">
        <f t="shared" si="4"/>
        <v>0.862798722095383</v>
      </c>
      <c r="AA12" s="376" t="s">
        <v>203</v>
      </c>
      <c r="AB12" s="376" t="s">
        <v>548</v>
      </c>
      <c r="AC12" s="175" t="s">
        <v>547</v>
      </c>
    </row>
    <row r="13" spans="1:29" x14ac:dyDescent="0.25">
      <c r="A13" s="128">
        <f t="shared" si="2"/>
        <v>0</v>
      </c>
      <c r="B13" s="29"/>
      <c r="C13" s="218" t="s">
        <v>261</v>
      </c>
      <c r="D13" s="9" t="str">
        <f t="shared" si="5"/>
        <v>коэфф.</v>
      </c>
      <c r="E13" s="801"/>
      <c r="F13" s="801"/>
      <c r="G13" s="801"/>
      <c r="H13" s="801"/>
      <c r="I13" s="801"/>
      <c r="J13" s="801"/>
      <c r="K13" s="801"/>
      <c r="L13" s="801"/>
      <c r="M13" s="801"/>
      <c r="N13" s="801"/>
      <c r="O13" s="801"/>
      <c r="P13" s="801"/>
      <c r="Q13" s="801"/>
      <c r="R13" s="801"/>
      <c r="S13" s="801"/>
      <c r="T13" s="801"/>
      <c r="U13" s="801"/>
      <c r="V13" s="801"/>
      <c r="W13" s="801"/>
      <c r="X13" s="801"/>
      <c r="Y13" s="174">
        <f t="shared" si="3"/>
        <v>0</v>
      </c>
      <c r="Z13" s="672" t="e">
        <f t="shared" si="4"/>
        <v>#DIV/0!</v>
      </c>
      <c r="AA13" s="376" t="s">
        <v>203</v>
      </c>
      <c r="AB13" s="376" t="s">
        <v>313</v>
      </c>
    </row>
    <row r="14" spans="1:29" x14ac:dyDescent="0.25">
      <c r="A14" s="128">
        <f t="shared" si="2"/>
        <v>0</v>
      </c>
      <c r="B14" s="29"/>
      <c r="C14" s="218" t="s">
        <v>275</v>
      </c>
      <c r="D14" s="9" t="str">
        <f t="shared" si="5"/>
        <v>коэфф.</v>
      </c>
      <c r="E14" s="801"/>
      <c r="F14" s="801"/>
      <c r="G14" s="801"/>
      <c r="H14" s="801"/>
      <c r="I14" s="801"/>
      <c r="J14" s="801"/>
      <c r="K14" s="801"/>
      <c r="L14" s="801"/>
      <c r="M14" s="801"/>
      <c r="N14" s="801"/>
      <c r="O14" s="801"/>
      <c r="P14" s="801"/>
      <c r="Q14" s="801"/>
      <c r="R14" s="801"/>
      <c r="S14" s="801"/>
      <c r="T14" s="801"/>
      <c r="U14" s="801"/>
      <c r="V14" s="801"/>
      <c r="W14" s="801"/>
      <c r="X14" s="801"/>
      <c r="Y14" s="174">
        <f t="shared" si="3"/>
        <v>0</v>
      </c>
      <c r="Z14" s="672" t="e">
        <f t="shared" si="4"/>
        <v>#DIV/0!</v>
      </c>
      <c r="AA14" s="376" t="s">
        <v>203</v>
      </c>
      <c r="AB14" s="376" t="s">
        <v>818</v>
      </c>
    </row>
    <row r="15" spans="1:29" x14ac:dyDescent="0.25">
      <c r="A15" s="128">
        <f t="shared" si="2"/>
        <v>0</v>
      </c>
      <c r="B15" s="239"/>
      <c r="C15" s="187" t="s">
        <v>34</v>
      </c>
      <c r="D15" s="196" t="str">
        <f t="shared" si="5"/>
        <v>коэфф.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174">
        <f t="shared" si="3"/>
        <v>0</v>
      </c>
      <c r="Z15" s="672" t="e">
        <f t="shared" si="4"/>
        <v>#DIV/0!</v>
      </c>
      <c r="AA15" s="175" t="str">
        <f>C15</f>
        <v>*</v>
      </c>
      <c r="AB15" s="175" t="str">
        <f>C15</f>
        <v>*</v>
      </c>
    </row>
    <row r="16" spans="1:29" x14ac:dyDescent="0.25">
      <c r="A16" s="128">
        <f t="shared" si="2"/>
        <v>0</v>
      </c>
      <c r="B16" s="29"/>
      <c r="C16" s="218" t="s">
        <v>252</v>
      </c>
      <c r="D16" s="9" t="str">
        <f t="shared" si="5"/>
        <v>коэфф.</v>
      </c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74">
        <f t="shared" si="3"/>
        <v>0</v>
      </c>
      <c r="Z16" s="672" t="e">
        <f t="shared" si="4"/>
        <v>#DIV/0!</v>
      </c>
      <c r="AA16" s="376" t="s">
        <v>204</v>
      </c>
      <c r="AB16" s="376" t="s">
        <v>298</v>
      </c>
      <c r="AC16" s="172"/>
    </row>
    <row r="17" spans="1:29" x14ac:dyDescent="0.25">
      <c r="A17" s="128">
        <f t="shared" si="2"/>
        <v>0</v>
      </c>
      <c r="B17" s="29"/>
      <c r="C17" s="218" t="s">
        <v>254</v>
      </c>
      <c r="D17" s="9" t="str">
        <f t="shared" si="5"/>
        <v>коэфф.</v>
      </c>
      <c r="E17" s="801"/>
      <c r="F17" s="801"/>
      <c r="G17" s="801"/>
      <c r="H17" s="801"/>
      <c r="I17" s="801"/>
      <c r="J17" s="801"/>
      <c r="K17" s="801"/>
      <c r="L17" s="801"/>
      <c r="M17" s="801"/>
      <c r="N17" s="801"/>
      <c r="O17" s="801"/>
      <c r="P17" s="801"/>
      <c r="Q17" s="801"/>
      <c r="R17" s="801"/>
      <c r="S17" s="801"/>
      <c r="T17" s="801"/>
      <c r="U17" s="801"/>
      <c r="V17" s="801"/>
      <c r="W17" s="801"/>
      <c r="X17" s="801"/>
      <c r="Y17" s="174">
        <f t="shared" si="3"/>
        <v>0</v>
      </c>
      <c r="Z17" s="672" t="e">
        <f t="shared" si="4"/>
        <v>#DIV/0!</v>
      </c>
      <c r="AA17" s="376" t="s">
        <v>204</v>
      </c>
      <c r="AB17" s="376" t="s">
        <v>653</v>
      </c>
    </row>
    <row r="18" spans="1:29" x14ac:dyDescent="0.25">
      <c r="A18" s="128">
        <f t="shared" si="2"/>
        <v>0</v>
      </c>
      <c r="B18" s="29"/>
      <c r="C18" s="218" t="s">
        <v>255</v>
      </c>
      <c r="D18" s="9" t="str">
        <f t="shared" si="5"/>
        <v>коэфф.</v>
      </c>
      <c r="E18" s="801"/>
      <c r="F18" s="801"/>
      <c r="G18" s="801"/>
      <c r="H18" s="801"/>
      <c r="I18" s="801"/>
      <c r="J18" s="801"/>
      <c r="K18" s="801"/>
      <c r="L18" s="801"/>
      <c r="M18" s="801"/>
      <c r="N18" s="801"/>
      <c r="O18" s="801"/>
      <c r="P18" s="801"/>
      <c r="Q18" s="801"/>
      <c r="R18" s="801"/>
      <c r="S18" s="801"/>
      <c r="T18" s="801"/>
      <c r="U18" s="801"/>
      <c r="V18" s="801"/>
      <c r="W18" s="801"/>
      <c r="X18" s="801"/>
      <c r="Y18" s="174">
        <f t="shared" si="3"/>
        <v>0</v>
      </c>
      <c r="Z18" s="672" t="e">
        <f t="shared" si="4"/>
        <v>#DIV/0!</v>
      </c>
      <c r="AA18" s="376" t="s">
        <v>204</v>
      </c>
      <c r="AB18" s="376" t="s">
        <v>297</v>
      </c>
    </row>
    <row r="19" spans="1:29" x14ac:dyDescent="0.25">
      <c r="A19" s="128">
        <f t="shared" si="2"/>
        <v>0</v>
      </c>
      <c r="B19" s="29"/>
      <c r="C19" s="218" t="s">
        <v>253</v>
      </c>
      <c r="D19" s="9" t="str">
        <f t="shared" si="5"/>
        <v>коэфф.</v>
      </c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174">
        <f t="shared" si="3"/>
        <v>0</v>
      </c>
      <c r="Z19" s="672" t="e">
        <f t="shared" si="4"/>
        <v>#DIV/0!</v>
      </c>
      <c r="AA19" s="376" t="s">
        <v>204</v>
      </c>
      <c r="AB19" s="376" t="s">
        <v>548</v>
      </c>
    </row>
    <row r="20" spans="1:29" x14ac:dyDescent="0.25">
      <c r="A20" s="128">
        <f t="shared" si="2"/>
        <v>0</v>
      </c>
      <c r="B20" s="29"/>
      <c r="C20" s="218" t="s">
        <v>256</v>
      </c>
      <c r="D20" s="9" t="str">
        <f t="shared" si="5"/>
        <v>коэфф.</v>
      </c>
      <c r="E20" s="801"/>
      <c r="F20" s="801"/>
      <c r="G20" s="801"/>
      <c r="H20" s="801"/>
      <c r="I20" s="801"/>
      <c r="J20" s="801"/>
      <c r="K20" s="801"/>
      <c r="L20" s="801"/>
      <c r="M20" s="801"/>
      <c r="N20" s="801"/>
      <c r="O20" s="801"/>
      <c r="P20" s="801"/>
      <c r="Q20" s="801"/>
      <c r="R20" s="801"/>
      <c r="S20" s="801"/>
      <c r="T20" s="801"/>
      <c r="U20" s="801"/>
      <c r="V20" s="801"/>
      <c r="W20" s="801"/>
      <c r="X20" s="801"/>
      <c r="Y20" s="174">
        <f t="shared" si="3"/>
        <v>0</v>
      </c>
      <c r="Z20" s="672" t="e">
        <f t="shared" si="4"/>
        <v>#DIV/0!</v>
      </c>
      <c r="AA20" s="376" t="s">
        <v>204</v>
      </c>
      <c r="AB20" s="376" t="s">
        <v>314</v>
      </c>
    </row>
    <row r="21" spans="1:29" x14ac:dyDescent="0.25">
      <c r="A21" s="128">
        <f t="shared" si="2"/>
        <v>0</v>
      </c>
      <c r="B21" s="29"/>
      <c r="C21" s="218" t="s">
        <v>257</v>
      </c>
      <c r="D21" s="9" t="str">
        <f t="shared" si="5"/>
        <v>коэфф.</v>
      </c>
      <c r="E21" s="801"/>
      <c r="F21" s="801"/>
      <c r="G21" s="801"/>
      <c r="H21" s="801"/>
      <c r="I21" s="801"/>
      <c r="J21" s="801"/>
      <c r="K21" s="801"/>
      <c r="L21" s="801"/>
      <c r="M21" s="801"/>
      <c r="N21" s="801"/>
      <c r="O21" s="801"/>
      <c r="P21" s="801"/>
      <c r="Q21" s="801"/>
      <c r="R21" s="801"/>
      <c r="S21" s="801"/>
      <c r="T21" s="801"/>
      <c r="U21" s="801"/>
      <c r="V21" s="801"/>
      <c r="W21" s="801"/>
      <c r="X21" s="801"/>
      <c r="Y21" s="174">
        <f t="shared" si="3"/>
        <v>0</v>
      </c>
      <c r="Z21" s="672" t="e">
        <f t="shared" si="4"/>
        <v>#DIV/0!</v>
      </c>
      <c r="AA21" s="376" t="s">
        <v>204</v>
      </c>
      <c r="AB21" s="376" t="s">
        <v>321</v>
      </c>
    </row>
    <row r="22" spans="1:29" x14ac:dyDescent="0.25">
      <c r="A22" s="128">
        <f t="shared" si="2"/>
        <v>0</v>
      </c>
      <c r="B22" s="29"/>
      <c r="C22" s="187" t="s">
        <v>258</v>
      </c>
      <c r="D22" s="196" t="str">
        <f t="shared" si="5"/>
        <v>коэфф.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str">
        <f>C22</f>
        <v>**</v>
      </c>
      <c r="AB22" s="175" t="str">
        <f>C22</f>
        <v>**</v>
      </c>
    </row>
    <row r="23" spans="1:29" x14ac:dyDescent="0.25">
      <c r="A23" s="128">
        <f t="shared" si="2"/>
        <v>1</v>
      </c>
      <c r="B23" s="29"/>
      <c r="C23" s="218" t="s">
        <v>228</v>
      </c>
      <c r="D23" s="9" t="str">
        <f t="shared" si="5"/>
        <v>коэфф.</v>
      </c>
      <c r="E23" s="671">
        <f>'БС-215'!E6</f>
        <v>0.92538685946220189</v>
      </c>
      <c r="F23" s="671">
        <f>'БС-215'!F6</f>
        <v>0.92272323693556568</v>
      </c>
      <c r="G23" s="671">
        <f>'БС-215'!G6</f>
        <v>0.92139142567224752</v>
      </c>
      <c r="H23" s="671">
        <f>'БС-215'!H6</f>
        <v>0.89075976661593104</v>
      </c>
      <c r="I23" s="671">
        <f>'БС-215'!I6</f>
        <v>0.92005961440892947</v>
      </c>
      <c r="J23" s="671">
        <f>'БС-215'!J6</f>
        <v>0.91340055809233889</v>
      </c>
      <c r="K23" s="671">
        <f>'БС-215'!K6</f>
        <v>0.89075976661593104</v>
      </c>
      <c r="L23" s="671">
        <f>'БС-215'!L6</f>
        <v>0.91739599188229326</v>
      </c>
      <c r="M23" s="671">
        <f>'БС-215'!M6</f>
        <v>0.91872780314561142</v>
      </c>
      <c r="N23" s="671">
        <f>'БС-215'!N6</f>
        <v>0.88809614408929483</v>
      </c>
      <c r="O23" s="671">
        <f>'БС-215'!O6</f>
        <v>0.91473236935565705</v>
      </c>
      <c r="P23" s="671">
        <f>'БС-215'!P6</f>
        <v>0.92139142567224752</v>
      </c>
      <c r="Q23" s="671"/>
      <c r="R23" s="671"/>
      <c r="S23" s="671"/>
      <c r="T23" s="671"/>
      <c r="U23" s="671"/>
      <c r="V23" s="671"/>
      <c r="W23" s="671"/>
      <c r="X23" s="671"/>
      <c r="Y23" s="174">
        <f t="shared" si="3"/>
        <v>12</v>
      </c>
      <c r="Z23" s="672">
        <f t="shared" si="4"/>
        <v>0.91206874682902084</v>
      </c>
      <c r="AA23" s="376" t="s">
        <v>203</v>
      </c>
      <c r="AB23" s="376" t="s">
        <v>866</v>
      </c>
      <c r="AC23" s="175" t="s">
        <v>756</v>
      </c>
    </row>
    <row r="24" spans="1:29" x14ac:dyDescent="0.25">
      <c r="A24" s="128">
        <f t="shared" si="2"/>
        <v>0</v>
      </c>
      <c r="B24" s="29"/>
      <c r="C24" s="218" t="s">
        <v>259</v>
      </c>
      <c r="D24" s="9" t="str">
        <f t="shared" si="5"/>
        <v>коэфф.</v>
      </c>
      <c r="E24" s="801"/>
      <c r="F24" s="801"/>
      <c r="G24" s="801"/>
      <c r="H24" s="801"/>
      <c r="I24" s="801"/>
      <c r="J24" s="801"/>
      <c r="K24" s="801"/>
      <c r="L24" s="801"/>
      <c r="M24" s="801"/>
      <c r="N24" s="801"/>
      <c r="O24" s="801"/>
      <c r="P24" s="801"/>
      <c r="Q24" s="801"/>
      <c r="R24" s="801"/>
      <c r="S24" s="801"/>
      <c r="T24" s="801"/>
      <c r="U24" s="801"/>
      <c r="V24" s="801"/>
      <c r="W24" s="801"/>
      <c r="X24" s="801"/>
      <c r="Y24" s="174">
        <f t="shared" si="3"/>
        <v>0</v>
      </c>
      <c r="Z24" s="672" t="e">
        <f t="shared" si="4"/>
        <v>#DIV/0!</v>
      </c>
      <c r="AA24" s="376" t="s">
        <v>203</v>
      </c>
      <c r="AB24" s="376" t="s">
        <v>653</v>
      </c>
    </row>
    <row r="25" spans="1:29" x14ac:dyDescent="0.25">
      <c r="A25" s="128">
        <f t="shared" si="2"/>
        <v>0</v>
      </c>
      <c r="B25" s="29"/>
      <c r="C25" s="218" t="s">
        <v>260</v>
      </c>
      <c r="D25" s="9" t="str">
        <f t="shared" si="5"/>
        <v>коэфф.</v>
      </c>
      <c r="E25" s="801"/>
      <c r="F25" s="801"/>
      <c r="G25" s="801"/>
      <c r="H25" s="801"/>
      <c r="I25" s="801"/>
      <c r="J25" s="801"/>
      <c r="K25" s="801"/>
      <c r="L25" s="801"/>
      <c r="M25" s="801"/>
      <c r="N25" s="801"/>
      <c r="O25" s="801"/>
      <c r="P25" s="801"/>
      <c r="Q25" s="801"/>
      <c r="R25" s="801"/>
      <c r="S25" s="801"/>
      <c r="T25" s="801"/>
      <c r="U25" s="801"/>
      <c r="V25" s="801"/>
      <c r="W25" s="801"/>
      <c r="X25" s="801"/>
      <c r="Y25" s="174">
        <f t="shared" si="3"/>
        <v>0</v>
      </c>
      <c r="Z25" s="672" t="e">
        <f t="shared" si="4"/>
        <v>#DIV/0!</v>
      </c>
      <c r="AA25" s="376" t="s">
        <v>203</v>
      </c>
      <c r="AB25" s="376" t="s">
        <v>818</v>
      </c>
    </row>
    <row r="26" spans="1:29" x14ac:dyDescent="0.25">
      <c r="A26" s="128">
        <f t="shared" si="2"/>
        <v>0</v>
      </c>
      <c r="B26" s="29"/>
      <c r="C26" s="218" t="s">
        <v>262</v>
      </c>
      <c r="D26" s="9" t="str">
        <f t="shared" si="5"/>
        <v>коэфф.</v>
      </c>
      <c r="E26" s="801"/>
      <c r="F26" s="801"/>
      <c r="G26" s="801"/>
      <c r="H26" s="801"/>
      <c r="I26" s="801"/>
      <c r="J26" s="801"/>
      <c r="K26" s="801"/>
      <c r="L26" s="801"/>
      <c r="M26" s="801"/>
      <c r="N26" s="801"/>
      <c r="O26" s="801"/>
      <c r="P26" s="801"/>
      <c r="Q26" s="801"/>
      <c r="R26" s="801"/>
      <c r="S26" s="801"/>
      <c r="T26" s="801"/>
      <c r="U26" s="801"/>
      <c r="V26" s="801"/>
      <c r="W26" s="801"/>
      <c r="X26" s="801"/>
      <c r="Y26" s="174">
        <f t="shared" si="3"/>
        <v>0</v>
      </c>
      <c r="Z26" s="672" t="e">
        <f t="shared" si="4"/>
        <v>#DIV/0!</v>
      </c>
      <c r="AA26" s="376" t="s">
        <v>203</v>
      </c>
      <c r="AB26" s="376" t="s">
        <v>313</v>
      </c>
    </row>
    <row r="27" spans="1:29" x14ac:dyDescent="0.25">
      <c r="A27" s="128">
        <f t="shared" si="2"/>
        <v>0</v>
      </c>
      <c r="B27" s="29"/>
      <c r="C27" s="218" t="s">
        <v>263</v>
      </c>
      <c r="D27" s="9" t="str">
        <f t="shared" si="5"/>
        <v>коэфф.</v>
      </c>
      <c r="E27" s="801"/>
      <c r="F27" s="801"/>
      <c r="G27" s="801"/>
      <c r="H27" s="801"/>
      <c r="I27" s="801"/>
      <c r="J27" s="801"/>
      <c r="K27" s="801"/>
      <c r="L27" s="801"/>
      <c r="M27" s="801"/>
      <c r="N27" s="801"/>
      <c r="O27" s="801"/>
      <c r="P27" s="801"/>
      <c r="Q27" s="801"/>
      <c r="R27" s="801"/>
      <c r="S27" s="801"/>
      <c r="T27" s="801"/>
      <c r="U27" s="801"/>
      <c r="V27" s="801"/>
      <c r="W27" s="801"/>
      <c r="X27" s="801"/>
      <c r="Y27" s="174">
        <f t="shared" si="3"/>
        <v>0</v>
      </c>
      <c r="Z27" s="672" t="e">
        <f t="shared" si="4"/>
        <v>#DIV/0!</v>
      </c>
      <c r="AA27" s="376" t="s">
        <v>203</v>
      </c>
      <c r="AB27" s="376" t="s">
        <v>315</v>
      </c>
    </row>
    <row r="28" spans="1:29" x14ac:dyDescent="0.25">
      <c r="A28" s="128">
        <f t="shared" si="2"/>
        <v>0</v>
      </c>
      <c r="B28" s="29"/>
      <c r="C28" s="218" t="s">
        <v>264</v>
      </c>
      <c r="D28" s="9" t="str">
        <f t="shared" si="5"/>
        <v>коэфф.</v>
      </c>
      <c r="E28" s="801"/>
      <c r="F28" s="801"/>
      <c r="G28" s="801"/>
      <c r="H28" s="801"/>
      <c r="I28" s="801"/>
      <c r="J28" s="801"/>
      <c r="K28" s="801"/>
      <c r="L28" s="801"/>
      <c r="M28" s="801"/>
      <c r="N28" s="801"/>
      <c r="O28" s="801"/>
      <c r="P28" s="801"/>
      <c r="Q28" s="801"/>
      <c r="R28" s="801"/>
      <c r="S28" s="801"/>
      <c r="T28" s="801"/>
      <c r="U28" s="801"/>
      <c r="V28" s="801"/>
      <c r="W28" s="801"/>
      <c r="X28" s="801"/>
      <c r="Y28" s="174">
        <f t="shared" si="3"/>
        <v>0</v>
      </c>
      <c r="Z28" s="672" t="e">
        <f t="shared" si="4"/>
        <v>#DIV/0!</v>
      </c>
      <c r="AA28" s="376" t="s">
        <v>203</v>
      </c>
      <c r="AB28" s="376" t="s">
        <v>548</v>
      </c>
    </row>
    <row r="29" spans="1:29" x14ac:dyDescent="0.25">
      <c r="A29" s="128">
        <f t="shared" si="2"/>
        <v>0</v>
      </c>
      <c r="B29" s="29"/>
      <c r="C29" s="218" t="s">
        <v>267</v>
      </c>
      <c r="D29" s="9" t="str">
        <f t="shared" si="5"/>
        <v>коэфф.</v>
      </c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74">
        <f t="shared" si="3"/>
        <v>0</v>
      </c>
      <c r="Z29" s="672" t="e">
        <f t="shared" si="4"/>
        <v>#DIV/0!</v>
      </c>
      <c r="AA29" s="376" t="s">
        <v>203</v>
      </c>
      <c r="AB29" s="376" t="s">
        <v>316</v>
      </c>
      <c r="AC29" s="172"/>
    </row>
    <row r="30" spans="1:29" x14ac:dyDescent="0.25">
      <c r="A30" s="128">
        <f t="shared" si="2"/>
        <v>0</v>
      </c>
      <c r="B30" s="29"/>
      <c r="C30" s="218" t="s">
        <v>265</v>
      </c>
      <c r="D30" s="9" t="str">
        <f t="shared" si="5"/>
        <v>коэфф.</v>
      </c>
      <c r="E30" s="801"/>
      <c r="F30" s="801"/>
      <c r="G30" s="801"/>
      <c r="H30" s="801"/>
      <c r="I30" s="801"/>
      <c r="J30" s="801"/>
      <c r="K30" s="801"/>
      <c r="L30" s="801"/>
      <c r="M30" s="801"/>
      <c r="N30" s="801"/>
      <c r="O30" s="801"/>
      <c r="P30" s="801"/>
      <c r="Q30" s="801"/>
      <c r="R30" s="801"/>
      <c r="S30" s="801"/>
      <c r="T30" s="801"/>
      <c r="U30" s="801"/>
      <c r="V30" s="801"/>
      <c r="W30" s="801"/>
      <c r="X30" s="801"/>
      <c r="Y30" s="174">
        <f t="shared" si="3"/>
        <v>0</v>
      </c>
      <c r="Z30" s="672" t="e">
        <f t="shared" si="4"/>
        <v>#DIV/0!</v>
      </c>
      <c r="AA30" s="376" t="s">
        <v>203</v>
      </c>
      <c r="AB30" s="376" t="s">
        <v>317</v>
      </c>
    </row>
    <row r="31" spans="1:29" x14ac:dyDescent="0.25">
      <c r="A31" s="128">
        <f t="shared" si="2"/>
        <v>0</v>
      </c>
      <c r="B31" s="29"/>
      <c r="C31" s="218" t="s">
        <v>266</v>
      </c>
      <c r="D31" s="9" t="str">
        <f t="shared" si="5"/>
        <v>коэфф.</v>
      </c>
      <c r="E31" s="801"/>
      <c r="F31" s="801"/>
      <c r="G31" s="801"/>
      <c r="H31" s="801"/>
      <c r="I31" s="801"/>
      <c r="J31" s="801"/>
      <c r="K31" s="801"/>
      <c r="L31" s="801"/>
      <c r="M31" s="801"/>
      <c r="N31" s="801"/>
      <c r="O31" s="801"/>
      <c r="P31" s="801"/>
      <c r="Q31" s="801"/>
      <c r="R31" s="801"/>
      <c r="S31" s="801"/>
      <c r="T31" s="801"/>
      <c r="U31" s="801"/>
      <c r="V31" s="801"/>
      <c r="W31" s="801"/>
      <c r="X31" s="801"/>
      <c r="Y31" s="174">
        <f t="shared" si="3"/>
        <v>0</v>
      </c>
      <c r="Z31" s="672" t="e">
        <f t="shared" si="4"/>
        <v>#DIV/0!</v>
      </c>
      <c r="AA31" s="376" t="s">
        <v>203</v>
      </c>
      <c r="AB31" s="376" t="s">
        <v>314</v>
      </c>
    </row>
    <row r="32" spans="1:29" x14ac:dyDescent="0.25">
      <c r="A32" s="128">
        <f t="shared" si="2"/>
        <v>0</v>
      </c>
      <c r="B32" s="29"/>
      <c r="C32" s="218" t="s">
        <v>268</v>
      </c>
      <c r="D32" s="9" t="str">
        <f t="shared" si="5"/>
        <v>коэфф.</v>
      </c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174">
        <f t="shared" si="3"/>
        <v>0</v>
      </c>
      <c r="Z32" s="672" t="e">
        <f t="shared" si="4"/>
        <v>#DIV/0!</v>
      </c>
      <c r="AA32" s="376" t="s">
        <v>203</v>
      </c>
      <c r="AB32" s="376" t="s">
        <v>321</v>
      </c>
    </row>
    <row r="33" spans="1:28" x14ac:dyDescent="0.25">
      <c r="A33" s="128">
        <f t="shared" ref="A33" si="6">IF(MAX(E33:X33)=0,0,1)</f>
        <v>0</v>
      </c>
      <c r="B33" s="29"/>
      <c r="C33" s="187" t="s">
        <v>269</v>
      </c>
      <c r="D33" s="196" t="str">
        <f t="shared" ref="D33" si="7">D32</f>
        <v>коэфф.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174">
        <f t="shared" si="3"/>
        <v>0</v>
      </c>
      <c r="Z33" s="672" t="e">
        <f t="shared" si="4"/>
        <v>#DIV/0!</v>
      </c>
      <c r="AA33" s="175" t="str">
        <f>C33</f>
        <v>***</v>
      </c>
      <c r="AB33" s="175" t="str">
        <f>C33</f>
        <v>***</v>
      </c>
    </row>
    <row r="34" spans="1:28" outlineLevel="1" x14ac:dyDescent="0.25">
      <c r="A34" s="126">
        <f t="shared" ref="A34:A97" si="8">A7</f>
        <v>1</v>
      </c>
      <c r="B34" s="64" t="s">
        <v>34</v>
      </c>
      <c r="C34" s="63" t="s">
        <v>84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175"/>
    </row>
    <row r="35" spans="1:28" outlineLevel="1" x14ac:dyDescent="0.25">
      <c r="A35" s="126">
        <f t="shared" si="8"/>
        <v>1</v>
      </c>
      <c r="B35" s="29"/>
      <c r="C35" s="30" t="str">
        <f t="shared" ref="C35:C60" si="9">C8</f>
        <v>YANGZI DR75</v>
      </c>
      <c r="D35" s="9" t="s">
        <v>83</v>
      </c>
      <c r="E35" s="83">
        <f>E$6*E8</f>
        <v>8155</v>
      </c>
      <c r="F35" s="83">
        <f t="shared" ref="F35:X49" si="10">F$6*F8</f>
        <v>8034.4444444444443</v>
      </c>
      <c r="G35" s="83">
        <f t="shared" si="10"/>
        <v>8155</v>
      </c>
      <c r="H35" s="83">
        <f t="shared" si="10"/>
        <v>8034.4444444444443</v>
      </c>
      <c r="I35" s="83">
        <f t="shared" si="10"/>
        <v>7766.1111111111113</v>
      </c>
      <c r="J35" s="83">
        <f t="shared" si="10"/>
        <v>8034.4444444444443</v>
      </c>
      <c r="K35" s="83">
        <f t="shared" si="10"/>
        <v>7451.1111111111113</v>
      </c>
      <c r="L35" s="83">
        <f t="shared" si="10"/>
        <v>8057.7777777777774</v>
      </c>
      <c r="M35" s="83">
        <f t="shared" si="10"/>
        <v>8131.666666666667</v>
      </c>
      <c r="N35" s="83">
        <f t="shared" si="10"/>
        <v>7474.4444444444443</v>
      </c>
      <c r="O35" s="83">
        <f t="shared" si="10"/>
        <v>8131.666666666667</v>
      </c>
      <c r="P35" s="83">
        <f t="shared" si="10"/>
        <v>8034.4444444444443</v>
      </c>
      <c r="Q35" s="83">
        <f t="shared" si="10"/>
        <v>0</v>
      </c>
      <c r="R35" s="83">
        <f t="shared" si="10"/>
        <v>0</v>
      </c>
      <c r="S35" s="83">
        <f t="shared" si="10"/>
        <v>0</v>
      </c>
      <c r="T35" s="83">
        <f t="shared" si="10"/>
        <v>0</v>
      </c>
      <c r="U35" s="83">
        <f t="shared" si="10"/>
        <v>0</v>
      </c>
      <c r="V35" s="83">
        <f t="shared" si="10"/>
        <v>0</v>
      </c>
      <c r="W35" s="83">
        <f t="shared" si="10"/>
        <v>0</v>
      </c>
      <c r="X35" s="83">
        <f t="shared" si="10"/>
        <v>0</v>
      </c>
      <c r="Y35" s="175"/>
    </row>
    <row r="36" spans="1:28" outlineLevel="1" x14ac:dyDescent="0.25">
      <c r="A36" s="126">
        <f t="shared" si="8"/>
        <v>1</v>
      </c>
      <c r="B36" s="29"/>
      <c r="C36" s="30" t="str">
        <f t="shared" si="9"/>
        <v>Sunward SWDRT250SM</v>
      </c>
      <c r="D36" s="9" t="str">
        <f>D35</f>
        <v>час.</v>
      </c>
      <c r="E36" s="83">
        <f t="shared" ref="E36:T60" si="11">E$6*E9</f>
        <v>7838.4006944444436</v>
      </c>
      <c r="F36" s="83">
        <f t="shared" si="11"/>
        <v>7580.7618055555549</v>
      </c>
      <c r="G36" s="83">
        <f t="shared" si="11"/>
        <v>7405.7618055555549</v>
      </c>
      <c r="H36" s="83">
        <f t="shared" si="11"/>
        <v>7663.4006944444436</v>
      </c>
      <c r="I36" s="83">
        <f t="shared" si="11"/>
        <v>7580.7618055555549</v>
      </c>
      <c r="J36" s="83">
        <f t="shared" si="11"/>
        <v>7386.3173611111106</v>
      </c>
      <c r="K36" s="83">
        <f t="shared" si="11"/>
        <v>7551.5951388888889</v>
      </c>
      <c r="L36" s="83">
        <f t="shared" si="11"/>
        <v>7580.7618055555549</v>
      </c>
      <c r="M36" s="83">
        <f t="shared" si="11"/>
        <v>7444.6506944444436</v>
      </c>
      <c r="N36" s="83">
        <f t="shared" si="11"/>
        <v>7483.5395833333332</v>
      </c>
      <c r="O36" s="83">
        <f t="shared" si="11"/>
        <v>7483.5395833333332</v>
      </c>
      <c r="P36" s="83">
        <f t="shared" si="11"/>
        <v>7483.5395833333332</v>
      </c>
      <c r="Q36" s="83">
        <f t="shared" si="11"/>
        <v>0</v>
      </c>
      <c r="R36" s="83">
        <f t="shared" si="11"/>
        <v>0</v>
      </c>
      <c r="S36" s="83">
        <f t="shared" si="11"/>
        <v>0</v>
      </c>
      <c r="T36" s="83">
        <f t="shared" si="11"/>
        <v>0</v>
      </c>
      <c r="U36" s="83">
        <f t="shared" si="10"/>
        <v>0</v>
      </c>
      <c r="V36" s="83">
        <f t="shared" si="10"/>
        <v>0</v>
      </c>
      <c r="W36" s="83">
        <f t="shared" si="10"/>
        <v>0</v>
      </c>
      <c r="X36" s="83">
        <f t="shared" si="10"/>
        <v>0</v>
      </c>
      <c r="Y36" s="175"/>
    </row>
    <row r="37" spans="1:28" outlineLevel="1" x14ac:dyDescent="0.25">
      <c r="A37" s="126">
        <f t="shared" si="8"/>
        <v>1</v>
      </c>
      <c r="B37" s="29"/>
      <c r="C37" s="30" t="str">
        <f t="shared" si="9"/>
        <v>Sunward SWDRT270SM</v>
      </c>
      <c r="D37" s="9" t="str">
        <f t="shared" ref="D37:D59" si="12">D36</f>
        <v>час.</v>
      </c>
      <c r="E37" s="83">
        <f t="shared" si="11"/>
        <v>7838.4006944444436</v>
      </c>
      <c r="F37" s="83">
        <f t="shared" si="10"/>
        <v>7580.7618055555549</v>
      </c>
      <c r="G37" s="83">
        <f t="shared" si="10"/>
        <v>7405.7618055555549</v>
      </c>
      <c r="H37" s="83">
        <f t="shared" si="10"/>
        <v>7663.4006944444436</v>
      </c>
      <c r="I37" s="83">
        <f t="shared" si="10"/>
        <v>7580.7618055555549</v>
      </c>
      <c r="J37" s="83">
        <f t="shared" si="10"/>
        <v>7386.3173611111106</v>
      </c>
      <c r="K37" s="83">
        <f t="shared" si="10"/>
        <v>7551.5951388888889</v>
      </c>
      <c r="L37" s="83">
        <f t="shared" si="10"/>
        <v>7580.7618055555549</v>
      </c>
      <c r="M37" s="83">
        <f t="shared" si="10"/>
        <v>7444.6506944444436</v>
      </c>
      <c r="N37" s="83">
        <f t="shared" si="10"/>
        <v>7483.5395833333332</v>
      </c>
      <c r="O37" s="83">
        <f t="shared" si="10"/>
        <v>7483.5395833333332</v>
      </c>
      <c r="P37" s="83">
        <f t="shared" si="10"/>
        <v>7483.5395833333332</v>
      </c>
      <c r="Q37" s="83">
        <f t="shared" si="10"/>
        <v>0</v>
      </c>
      <c r="R37" s="83">
        <f t="shared" si="10"/>
        <v>0</v>
      </c>
      <c r="S37" s="83">
        <f t="shared" si="10"/>
        <v>0</v>
      </c>
      <c r="T37" s="83">
        <f t="shared" si="10"/>
        <v>0</v>
      </c>
      <c r="U37" s="83">
        <f t="shared" si="10"/>
        <v>0</v>
      </c>
      <c r="V37" s="83">
        <f t="shared" si="10"/>
        <v>0</v>
      </c>
      <c r="W37" s="83">
        <f t="shared" si="10"/>
        <v>0</v>
      </c>
      <c r="X37" s="83">
        <f t="shared" si="10"/>
        <v>0</v>
      </c>
      <c r="Y37" s="175"/>
    </row>
    <row r="38" spans="1:28" outlineLevel="1" x14ac:dyDescent="0.25">
      <c r="A38" s="126">
        <f t="shared" si="8"/>
        <v>1</v>
      </c>
      <c r="B38" s="29"/>
      <c r="C38" s="30" t="str">
        <f t="shared" si="9"/>
        <v>Sunward SWDRT270B</v>
      </c>
      <c r="D38" s="9" t="str">
        <f t="shared" si="12"/>
        <v>час.</v>
      </c>
      <c r="E38" s="83">
        <f t="shared" si="11"/>
        <v>8146.8</v>
      </c>
      <c r="F38" s="83">
        <f t="shared" si="10"/>
        <v>8146.8</v>
      </c>
      <c r="G38" s="83">
        <f t="shared" si="10"/>
        <v>8059.2000000000007</v>
      </c>
      <c r="H38" s="83">
        <f t="shared" si="10"/>
        <v>8059.2000000000007</v>
      </c>
      <c r="I38" s="83">
        <f t="shared" si="10"/>
        <v>7621.2</v>
      </c>
      <c r="J38" s="83">
        <f t="shared" si="10"/>
        <v>7884</v>
      </c>
      <c r="K38" s="83">
        <f t="shared" si="10"/>
        <v>7446</v>
      </c>
      <c r="L38" s="83">
        <f t="shared" si="10"/>
        <v>7884</v>
      </c>
      <c r="M38" s="83">
        <f t="shared" si="10"/>
        <v>7884</v>
      </c>
      <c r="N38" s="83">
        <f t="shared" si="10"/>
        <v>7446</v>
      </c>
      <c r="O38" s="83">
        <f t="shared" si="10"/>
        <v>7796.4000000000005</v>
      </c>
      <c r="P38" s="83">
        <f t="shared" si="10"/>
        <v>7796.4000000000005</v>
      </c>
      <c r="Q38" s="83">
        <f t="shared" si="10"/>
        <v>0</v>
      </c>
      <c r="R38" s="83">
        <f t="shared" si="10"/>
        <v>0</v>
      </c>
      <c r="S38" s="83">
        <f t="shared" si="10"/>
        <v>0</v>
      </c>
      <c r="T38" s="83">
        <f t="shared" si="10"/>
        <v>0</v>
      </c>
      <c r="U38" s="83">
        <f t="shared" si="10"/>
        <v>0</v>
      </c>
      <c r="V38" s="83">
        <f t="shared" si="10"/>
        <v>0</v>
      </c>
      <c r="W38" s="83">
        <f t="shared" si="10"/>
        <v>0</v>
      </c>
      <c r="X38" s="83">
        <f t="shared" si="10"/>
        <v>0</v>
      </c>
      <c r="Y38" s="175"/>
    </row>
    <row r="39" spans="1:28" outlineLevel="1" x14ac:dyDescent="0.25">
      <c r="A39" s="126">
        <f t="shared" si="8"/>
        <v>1</v>
      </c>
      <c r="B39" s="29"/>
      <c r="C39" s="30" t="str">
        <f t="shared" si="9"/>
        <v>HIFO 75D</v>
      </c>
      <c r="D39" s="9" t="str">
        <f t="shared" si="12"/>
        <v>час.</v>
      </c>
      <c r="E39" s="83">
        <f t="shared" si="11"/>
        <v>7824.6388888888887</v>
      </c>
      <c r="F39" s="83">
        <f t="shared" si="10"/>
        <v>7594.8736111111111</v>
      </c>
      <c r="G39" s="83">
        <f t="shared" si="10"/>
        <v>7477.3902777777785</v>
      </c>
      <c r="H39" s="83">
        <f t="shared" si="10"/>
        <v>7577.9569444444442</v>
      </c>
      <c r="I39" s="83">
        <f t="shared" si="10"/>
        <v>7623.3791666666666</v>
      </c>
      <c r="J39" s="83">
        <f t="shared" si="10"/>
        <v>7395.8013888888891</v>
      </c>
      <c r="K39" s="83">
        <f t="shared" si="10"/>
        <v>7519.9347222222223</v>
      </c>
      <c r="L39" s="83">
        <f t="shared" si="10"/>
        <v>7626.2763888888894</v>
      </c>
      <c r="M39" s="83">
        <f t="shared" si="10"/>
        <v>7471.4597222222228</v>
      </c>
      <c r="N39" s="83">
        <f t="shared" si="10"/>
        <v>7469.4569444444442</v>
      </c>
      <c r="O39" s="83">
        <f t="shared" si="10"/>
        <v>0</v>
      </c>
      <c r="P39" s="83">
        <f t="shared" si="10"/>
        <v>0</v>
      </c>
      <c r="Q39" s="83">
        <f t="shared" si="10"/>
        <v>0</v>
      </c>
      <c r="R39" s="83">
        <f t="shared" si="10"/>
        <v>0</v>
      </c>
      <c r="S39" s="83">
        <f t="shared" si="10"/>
        <v>0</v>
      </c>
      <c r="T39" s="83">
        <f t="shared" si="10"/>
        <v>0</v>
      </c>
      <c r="U39" s="83">
        <f t="shared" si="10"/>
        <v>0</v>
      </c>
      <c r="V39" s="83">
        <f t="shared" si="10"/>
        <v>0</v>
      </c>
      <c r="W39" s="83">
        <f t="shared" si="10"/>
        <v>0</v>
      </c>
      <c r="X39" s="83">
        <f t="shared" si="10"/>
        <v>0</v>
      </c>
      <c r="Y39" s="175"/>
    </row>
    <row r="40" spans="1:28" outlineLevel="1" x14ac:dyDescent="0.25">
      <c r="A40" s="126">
        <f t="shared" si="8"/>
        <v>0</v>
      </c>
      <c r="B40" s="29"/>
      <c r="C40" s="30" t="str">
        <f t="shared" si="9"/>
        <v>ZEGA R8100L (1)</v>
      </c>
      <c r="D40" s="9" t="str">
        <f t="shared" si="12"/>
        <v>час.</v>
      </c>
      <c r="E40" s="83">
        <f t="shared" si="11"/>
        <v>0</v>
      </c>
      <c r="F40" s="83">
        <f t="shared" si="10"/>
        <v>0</v>
      </c>
      <c r="G40" s="83">
        <f t="shared" si="10"/>
        <v>0</v>
      </c>
      <c r="H40" s="83">
        <f t="shared" si="10"/>
        <v>0</v>
      </c>
      <c r="I40" s="83">
        <f t="shared" si="10"/>
        <v>0</v>
      </c>
      <c r="J40" s="83">
        <f t="shared" si="10"/>
        <v>0</v>
      </c>
      <c r="K40" s="83">
        <f t="shared" si="10"/>
        <v>0</v>
      </c>
      <c r="L40" s="83">
        <f t="shared" si="10"/>
        <v>0</v>
      </c>
      <c r="M40" s="83">
        <f t="shared" si="10"/>
        <v>0</v>
      </c>
      <c r="N40" s="83">
        <f t="shared" si="10"/>
        <v>0</v>
      </c>
      <c r="O40" s="83">
        <f t="shared" si="10"/>
        <v>0</v>
      </c>
      <c r="P40" s="83">
        <f t="shared" si="10"/>
        <v>0</v>
      </c>
      <c r="Q40" s="83">
        <f t="shared" si="10"/>
        <v>0</v>
      </c>
      <c r="R40" s="83">
        <f t="shared" si="10"/>
        <v>0</v>
      </c>
      <c r="S40" s="83">
        <f t="shared" si="10"/>
        <v>0</v>
      </c>
      <c r="T40" s="83">
        <f t="shared" si="10"/>
        <v>0</v>
      </c>
      <c r="U40" s="83">
        <f t="shared" si="10"/>
        <v>0</v>
      </c>
      <c r="V40" s="83">
        <f t="shared" si="10"/>
        <v>0</v>
      </c>
      <c r="W40" s="83">
        <f t="shared" si="10"/>
        <v>0</v>
      </c>
      <c r="X40" s="83">
        <f t="shared" si="10"/>
        <v>0</v>
      </c>
      <c r="Y40" s="175"/>
    </row>
    <row r="41" spans="1:28" outlineLevel="1" x14ac:dyDescent="0.25">
      <c r="A41" s="126">
        <f t="shared" si="8"/>
        <v>0</v>
      </c>
      <c r="B41" s="29"/>
      <c r="C41" s="30" t="str">
        <f t="shared" si="9"/>
        <v>YANGZI  DM75</v>
      </c>
      <c r="D41" s="9" t="str">
        <f t="shared" si="12"/>
        <v>час.</v>
      </c>
      <c r="E41" s="83">
        <f t="shared" si="11"/>
        <v>0</v>
      </c>
      <c r="F41" s="83">
        <f t="shared" si="10"/>
        <v>0</v>
      </c>
      <c r="G41" s="83">
        <f t="shared" si="10"/>
        <v>0</v>
      </c>
      <c r="H41" s="83">
        <f t="shared" si="10"/>
        <v>0</v>
      </c>
      <c r="I41" s="83">
        <f t="shared" si="10"/>
        <v>0</v>
      </c>
      <c r="J41" s="83">
        <f t="shared" si="10"/>
        <v>0</v>
      </c>
      <c r="K41" s="83">
        <f t="shared" si="10"/>
        <v>0</v>
      </c>
      <c r="L41" s="83">
        <f t="shared" si="10"/>
        <v>0</v>
      </c>
      <c r="M41" s="83">
        <f t="shared" si="10"/>
        <v>0</v>
      </c>
      <c r="N41" s="83">
        <f t="shared" si="10"/>
        <v>0</v>
      </c>
      <c r="O41" s="83">
        <f t="shared" si="10"/>
        <v>0</v>
      </c>
      <c r="P41" s="83">
        <f t="shared" si="10"/>
        <v>0</v>
      </c>
      <c r="Q41" s="83">
        <f t="shared" si="10"/>
        <v>0</v>
      </c>
      <c r="R41" s="83">
        <f t="shared" si="10"/>
        <v>0</v>
      </c>
      <c r="S41" s="83">
        <f t="shared" si="10"/>
        <v>0</v>
      </c>
      <c r="T41" s="83">
        <f t="shared" si="10"/>
        <v>0</v>
      </c>
      <c r="U41" s="83">
        <f t="shared" si="10"/>
        <v>0</v>
      </c>
      <c r="V41" s="83">
        <f t="shared" si="10"/>
        <v>0</v>
      </c>
      <c r="W41" s="83">
        <f t="shared" si="10"/>
        <v>0</v>
      </c>
      <c r="X41" s="83">
        <f t="shared" si="10"/>
        <v>0</v>
      </c>
      <c r="Y41" s="175"/>
    </row>
    <row r="42" spans="1:28" outlineLevel="1" x14ac:dyDescent="0.25">
      <c r="A42" s="126">
        <f t="shared" si="8"/>
        <v>0</v>
      </c>
      <c r="B42" s="29"/>
      <c r="C42" s="30" t="str">
        <f t="shared" si="9"/>
        <v>*</v>
      </c>
      <c r="D42" s="9" t="str">
        <f t="shared" si="12"/>
        <v>час.</v>
      </c>
      <c r="E42" s="83">
        <f t="shared" si="11"/>
        <v>0</v>
      </c>
      <c r="F42" s="83">
        <f t="shared" si="10"/>
        <v>0</v>
      </c>
      <c r="G42" s="83">
        <f t="shared" si="10"/>
        <v>0</v>
      </c>
      <c r="H42" s="83">
        <f t="shared" si="10"/>
        <v>0</v>
      </c>
      <c r="I42" s="83">
        <f t="shared" si="10"/>
        <v>0</v>
      </c>
      <c r="J42" s="83">
        <f t="shared" si="10"/>
        <v>0</v>
      </c>
      <c r="K42" s="83">
        <f t="shared" si="10"/>
        <v>0</v>
      </c>
      <c r="L42" s="83">
        <f t="shared" si="10"/>
        <v>0</v>
      </c>
      <c r="M42" s="83">
        <f t="shared" si="10"/>
        <v>0</v>
      </c>
      <c r="N42" s="83">
        <f t="shared" si="10"/>
        <v>0</v>
      </c>
      <c r="O42" s="83">
        <f t="shared" si="10"/>
        <v>0</v>
      </c>
      <c r="P42" s="83">
        <f t="shared" si="10"/>
        <v>0</v>
      </c>
      <c r="Q42" s="83">
        <f t="shared" si="10"/>
        <v>0</v>
      </c>
      <c r="R42" s="83">
        <f t="shared" si="10"/>
        <v>0</v>
      </c>
      <c r="S42" s="83">
        <f t="shared" si="10"/>
        <v>0</v>
      </c>
      <c r="T42" s="83">
        <f t="shared" si="10"/>
        <v>0</v>
      </c>
      <c r="U42" s="83">
        <f t="shared" si="10"/>
        <v>0</v>
      </c>
      <c r="V42" s="83">
        <f t="shared" si="10"/>
        <v>0</v>
      </c>
      <c r="W42" s="83">
        <f t="shared" si="10"/>
        <v>0</v>
      </c>
      <c r="X42" s="83">
        <f t="shared" si="10"/>
        <v>0</v>
      </c>
      <c r="Y42" s="175"/>
    </row>
    <row r="43" spans="1:28" outlineLevel="1" x14ac:dyDescent="0.25">
      <c r="A43" s="126">
        <f t="shared" si="8"/>
        <v>0</v>
      </c>
      <c r="B43" s="29"/>
      <c r="C43" s="30" t="str">
        <f t="shared" si="9"/>
        <v>СБШ-250/270КП</v>
      </c>
      <c r="D43" s="9" t="str">
        <f t="shared" si="12"/>
        <v>час.</v>
      </c>
      <c r="E43" s="83">
        <f t="shared" si="11"/>
        <v>0</v>
      </c>
      <c r="F43" s="83">
        <f t="shared" si="10"/>
        <v>0</v>
      </c>
      <c r="G43" s="83">
        <f t="shared" si="10"/>
        <v>0</v>
      </c>
      <c r="H43" s="83">
        <f t="shared" si="10"/>
        <v>0</v>
      </c>
      <c r="I43" s="83">
        <f t="shared" si="10"/>
        <v>0</v>
      </c>
      <c r="J43" s="83">
        <f t="shared" si="10"/>
        <v>0</v>
      </c>
      <c r="K43" s="83">
        <f t="shared" si="10"/>
        <v>0</v>
      </c>
      <c r="L43" s="83">
        <f t="shared" si="10"/>
        <v>0</v>
      </c>
      <c r="M43" s="83">
        <f t="shared" si="10"/>
        <v>0</v>
      </c>
      <c r="N43" s="83">
        <f t="shared" si="10"/>
        <v>0</v>
      </c>
      <c r="O43" s="83">
        <f t="shared" si="10"/>
        <v>0</v>
      </c>
      <c r="P43" s="83">
        <f t="shared" si="10"/>
        <v>0</v>
      </c>
      <c r="Q43" s="83">
        <f t="shared" si="10"/>
        <v>0</v>
      </c>
      <c r="R43" s="83">
        <f t="shared" si="10"/>
        <v>0</v>
      </c>
      <c r="S43" s="83">
        <f t="shared" si="10"/>
        <v>0</v>
      </c>
      <c r="T43" s="83">
        <f t="shared" si="10"/>
        <v>0</v>
      </c>
      <c r="U43" s="83">
        <f t="shared" si="10"/>
        <v>0</v>
      </c>
      <c r="V43" s="83">
        <f t="shared" si="10"/>
        <v>0</v>
      </c>
      <c r="W43" s="83">
        <f t="shared" si="10"/>
        <v>0</v>
      </c>
      <c r="X43" s="83">
        <f t="shared" si="10"/>
        <v>0</v>
      </c>
      <c r="Y43" s="175"/>
    </row>
    <row r="44" spans="1:28" outlineLevel="1" x14ac:dyDescent="0.25">
      <c r="A44" s="126">
        <f t="shared" si="8"/>
        <v>0</v>
      </c>
      <c r="B44" s="29"/>
      <c r="C44" s="30" t="str">
        <f t="shared" si="9"/>
        <v>Sunward SWDRT270E (1)</v>
      </c>
      <c r="D44" s="9" t="str">
        <f t="shared" si="12"/>
        <v>час.</v>
      </c>
      <c r="E44" s="83">
        <f t="shared" si="11"/>
        <v>0</v>
      </c>
      <c r="F44" s="83">
        <f t="shared" si="10"/>
        <v>0</v>
      </c>
      <c r="G44" s="83">
        <f t="shared" si="10"/>
        <v>0</v>
      </c>
      <c r="H44" s="83">
        <f t="shared" si="10"/>
        <v>0</v>
      </c>
      <c r="I44" s="83">
        <f t="shared" si="10"/>
        <v>0</v>
      </c>
      <c r="J44" s="83">
        <f t="shared" si="10"/>
        <v>0</v>
      </c>
      <c r="K44" s="83">
        <f t="shared" si="10"/>
        <v>0</v>
      </c>
      <c r="L44" s="83">
        <f t="shared" si="10"/>
        <v>0</v>
      </c>
      <c r="M44" s="83">
        <f t="shared" si="10"/>
        <v>0</v>
      </c>
      <c r="N44" s="83">
        <f t="shared" si="10"/>
        <v>0</v>
      </c>
      <c r="O44" s="83">
        <f t="shared" si="10"/>
        <v>0</v>
      </c>
      <c r="P44" s="83">
        <f t="shared" si="10"/>
        <v>0</v>
      </c>
      <c r="Q44" s="83">
        <f t="shared" si="10"/>
        <v>0</v>
      </c>
      <c r="R44" s="83">
        <f t="shared" si="10"/>
        <v>0</v>
      </c>
      <c r="S44" s="83">
        <f t="shared" si="10"/>
        <v>0</v>
      </c>
      <c r="T44" s="83">
        <f t="shared" si="10"/>
        <v>0</v>
      </c>
      <c r="U44" s="83">
        <f t="shared" si="10"/>
        <v>0</v>
      </c>
      <c r="V44" s="83">
        <f t="shared" si="10"/>
        <v>0</v>
      </c>
      <c r="W44" s="83">
        <f t="shared" si="10"/>
        <v>0</v>
      </c>
      <c r="X44" s="83">
        <f t="shared" si="10"/>
        <v>0</v>
      </c>
      <c r="Y44" s="175"/>
    </row>
    <row r="45" spans="1:28" outlineLevel="1" x14ac:dyDescent="0.25">
      <c r="A45" s="126">
        <f t="shared" si="8"/>
        <v>0</v>
      </c>
      <c r="B45" s="29"/>
      <c r="C45" s="30" t="str">
        <f t="shared" si="9"/>
        <v>Sunward SWDRT270E (2)</v>
      </c>
      <c r="D45" s="9" t="str">
        <f t="shared" si="12"/>
        <v>час.</v>
      </c>
      <c r="E45" s="83">
        <f t="shared" si="11"/>
        <v>0</v>
      </c>
      <c r="F45" s="83">
        <f t="shared" si="10"/>
        <v>0</v>
      </c>
      <c r="G45" s="83">
        <f t="shared" si="10"/>
        <v>0</v>
      </c>
      <c r="H45" s="83">
        <f t="shared" si="10"/>
        <v>0</v>
      </c>
      <c r="I45" s="83">
        <f t="shared" si="10"/>
        <v>0</v>
      </c>
      <c r="J45" s="83">
        <f t="shared" si="10"/>
        <v>0</v>
      </c>
      <c r="K45" s="83">
        <f t="shared" si="10"/>
        <v>0</v>
      </c>
      <c r="L45" s="83">
        <f t="shared" si="10"/>
        <v>0</v>
      </c>
      <c r="M45" s="83">
        <f t="shared" si="10"/>
        <v>0</v>
      </c>
      <c r="N45" s="83">
        <f t="shared" si="10"/>
        <v>0</v>
      </c>
      <c r="O45" s="83">
        <f t="shared" si="10"/>
        <v>0</v>
      </c>
      <c r="P45" s="83">
        <f t="shared" si="10"/>
        <v>0</v>
      </c>
      <c r="Q45" s="83">
        <f t="shared" si="10"/>
        <v>0</v>
      </c>
      <c r="R45" s="83">
        <f t="shared" si="10"/>
        <v>0</v>
      </c>
      <c r="S45" s="83">
        <f t="shared" si="10"/>
        <v>0</v>
      </c>
      <c r="T45" s="83">
        <f t="shared" si="10"/>
        <v>0</v>
      </c>
      <c r="U45" s="83">
        <f t="shared" si="10"/>
        <v>0</v>
      </c>
      <c r="V45" s="83">
        <f t="shared" si="10"/>
        <v>0</v>
      </c>
      <c r="W45" s="83">
        <f t="shared" si="10"/>
        <v>0</v>
      </c>
      <c r="X45" s="83">
        <f t="shared" si="10"/>
        <v>0</v>
      </c>
      <c r="Y45" s="175"/>
    </row>
    <row r="46" spans="1:28" outlineLevel="1" x14ac:dyDescent="0.25">
      <c r="A46" s="126">
        <f t="shared" si="8"/>
        <v>0</v>
      </c>
      <c r="B46" s="29"/>
      <c r="C46" s="30" t="str">
        <f t="shared" si="9"/>
        <v>HIFO 75Е</v>
      </c>
      <c r="D46" s="9" t="str">
        <f t="shared" si="12"/>
        <v>час.</v>
      </c>
      <c r="E46" s="83">
        <f t="shared" si="11"/>
        <v>0</v>
      </c>
      <c r="F46" s="83">
        <f t="shared" si="10"/>
        <v>0</v>
      </c>
      <c r="G46" s="83">
        <f t="shared" si="10"/>
        <v>0</v>
      </c>
      <c r="H46" s="83">
        <f t="shared" si="10"/>
        <v>0</v>
      </c>
      <c r="I46" s="83">
        <f t="shared" si="10"/>
        <v>0</v>
      </c>
      <c r="J46" s="83">
        <f t="shared" si="10"/>
        <v>0</v>
      </c>
      <c r="K46" s="83">
        <f t="shared" si="10"/>
        <v>0</v>
      </c>
      <c r="L46" s="83">
        <f t="shared" si="10"/>
        <v>0</v>
      </c>
      <c r="M46" s="83">
        <f t="shared" si="10"/>
        <v>0</v>
      </c>
      <c r="N46" s="83">
        <f t="shared" si="10"/>
        <v>0</v>
      </c>
      <c r="O46" s="83">
        <f t="shared" si="10"/>
        <v>0</v>
      </c>
      <c r="P46" s="83">
        <f t="shared" si="10"/>
        <v>0</v>
      </c>
      <c r="Q46" s="83">
        <f t="shared" si="10"/>
        <v>0</v>
      </c>
      <c r="R46" s="83">
        <f t="shared" si="10"/>
        <v>0</v>
      </c>
      <c r="S46" s="83">
        <f t="shared" si="10"/>
        <v>0</v>
      </c>
      <c r="T46" s="83">
        <f t="shared" si="10"/>
        <v>0</v>
      </c>
      <c r="U46" s="83">
        <f t="shared" si="10"/>
        <v>0</v>
      </c>
      <c r="V46" s="83">
        <f t="shared" si="10"/>
        <v>0</v>
      </c>
      <c r="W46" s="83">
        <f t="shared" si="10"/>
        <v>0</v>
      </c>
      <c r="X46" s="83">
        <f t="shared" si="10"/>
        <v>0</v>
      </c>
      <c r="Y46" s="175"/>
    </row>
    <row r="47" spans="1:28" outlineLevel="1" x14ac:dyDescent="0.25">
      <c r="A47" s="126">
        <f t="shared" si="8"/>
        <v>0</v>
      </c>
      <c r="B47" s="29"/>
      <c r="C47" s="30" t="str">
        <f t="shared" si="9"/>
        <v>НИВА 22.01.00.00.00.00.00.000 (1)</v>
      </c>
      <c r="D47" s="9" t="str">
        <f t="shared" si="12"/>
        <v>час.</v>
      </c>
      <c r="E47" s="83">
        <f t="shared" si="11"/>
        <v>0</v>
      </c>
      <c r="F47" s="83">
        <f t="shared" si="10"/>
        <v>0</v>
      </c>
      <c r="G47" s="83">
        <f t="shared" si="10"/>
        <v>0</v>
      </c>
      <c r="H47" s="83">
        <f t="shared" si="10"/>
        <v>0</v>
      </c>
      <c r="I47" s="83">
        <f t="shared" si="10"/>
        <v>0</v>
      </c>
      <c r="J47" s="83">
        <f t="shared" si="10"/>
        <v>0</v>
      </c>
      <c r="K47" s="83">
        <f t="shared" si="10"/>
        <v>0</v>
      </c>
      <c r="L47" s="83">
        <f t="shared" si="10"/>
        <v>0</v>
      </c>
      <c r="M47" s="83">
        <f t="shared" si="10"/>
        <v>0</v>
      </c>
      <c r="N47" s="83">
        <f t="shared" si="10"/>
        <v>0</v>
      </c>
      <c r="O47" s="83">
        <f t="shared" si="10"/>
        <v>0</v>
      </c>
      <c r="P47" s="83">
        <f t="shared" si="10"/>
        <v>0</v>
      </c>
      <c r="Q47" s="83">
        <f t="shared" si="10"/>
        <v>0</v>
      </c>
      <c r="R47" s="83">
        <f t="shared" si="10"/>
        <v>0</v>
      </c>
      <c r="S47" s="83">
        <f t="shared" si="10"/>
        <v>0</v>
      </c>
      <c r="T47" s="83">
        <f t="shared" si="10"/>
        <v>0</v>
      </c>
      <c r="U47" s="83">
        <f t="shared" si="10"/>
        <v>0</v>
      </c>
      <c r="V47" s="83">
        <f t="shared" si="10"/>
        <v>0</v>
      </c>
      <c r="W47" s="83">
        <f t="shared" si="10"/>
        <v>0</v>
      </c>
      <c r="X47" s="83">
        <f t="shared" si="10"/>
        <v>0</v>
      </c>
      <c r="Y47" s="175"/>
    </row>
    <row r="48" spans="1:28" outlineLevel="1" x14ac:dyDescent="0.25">
      <c r="A48" s="126">
        <f t="shared" si="8"/>
        <v>0</v>
      </c>
      <c r="B48" s="29"/>
      <c r="C48" s="30" t="str">
        <f t="shared" si="9"/>
        <v>НИВА 22.01.00.00.00.00.00.000 (2)</v>
      </c>
      <c r="D48" s="9" t="str">
        <f t="shared" si="12"/>
        <v>час.</v>
      </c>
      <c r="E48" s="83">
        <f t="shared" si="11"/>
        <v>0</v>
      </c>
      <c r="F48" s="83">
        <f t="shared" si="10"/>
        <v>0</v>
      </c>
      <c r="G48" s="83">
        <f t="shared" si="10"/>
        <v>0</v>
      </c>
      <c r="H48" s="83">
        <f t="shared" si="10"/>
        <v>0</v>
      </c>
      <c r="I48" s="83">
        <f t="shared" si="10"/>
        <v>0</v>
      </c>
      <c r="J48" s="83">
        <f t="shared" si="10"/>
        <v>0</v>
      </c>
      <c r="K48" s="83">
        <f t="shared" si="10"/>
        <v>0</v>
      </c>
      <c r="L48" s="83">
        <f t="shared" si="10"/>
        <v>0</v>
      </c>
      <c r="M48" s="83">
        <f t="shared" si="10"/>
        <v>0</v>
      </c>
      <c r="N48" s="83">
        <f t="shared" si="10"/>
        <v>0</v>
      </c>
      <c r="O48" s="83">
        <f t="shared" si="10"/>
        <v>0</v>
      </c>
      <c r="P48" s="83">
        <f t="shared" si="10"/>
        <v>0</v>
      </c>
      <c r="Q48" s="83">
        <f t="shared" si="10"/>
        <v>0</v>
      </c>
      <c r="R48" s="83">
        <f t="shared" si="10"/>
        <v>0</v>
      </c>
      <c r="S48" s="83">
        <f t="shared" si="10"/>
        <v>0</v>
      </c>
      <c r="T48" s="83">
        <f t="shared" si="10"/>
        <v>0</v>
      </c>
      <c r="U48" s="83">
        <f t="shared" si="10"/>
        <v>0</v>
      </c>
      <c r="V48" s="83">
        <f t="shared" si="10"/>
        <v>0</v>
      </c>
      <c r="W48" s="83">
        <f t="shared" si="10"/>
        <v>0</v>
      </c>
      <c r="X48" s="83">
        <f t="shared" si="10"/>
        <v>0</v>
      </c>
      <c r="Y48" s="175"/>
    </row>
    <row r="49" spans="1:25" outlineLevel="1" x14ac:dyDescent="0.25">
      <c r="A49" s="126">
        <f t="shared" si="8"/>
        <v>0</v>
      </c>
      <c r="B49" s="29"/>
      <c r="C49" s="30" t="str">
        <f t="shared" si="9"/>
        <v>**</v>
      </c>
      <c r="D49" s="9" t="str">
        <f t="shared" si="12"/>
        <v>час.</v>
      </c>
      <c r="E49" s="83">
        <f t="shared" si="11"/>
        <v>0</v>
      </c>
      <c r="F49" s="83">
        <f t="shared" si="10"/>
        <v>0</v>
      </c>
      <c r="G49" s="83">
        <f t="shared" si="10"/>
        <v>0</v>
      </c>
      <c r="H49" s="83">
        <f t="shared" si="10"/>
        <v>0</v>
      </c>
      <c r="I49" s="83">
        <f t="shared" si="10"/>
        <v>0</v>
      </c>
      <c r="J49" s="83">
        <f t="shared" ref="F49:X60" si="13">J$6*J22</f>
        <v>0</v>
      </c>
      <c r="K49" s="83">
        <f t="shared" si="13"/>
        <v>0</v>
      </c>
      <c r="L49" s="83">
        <f t="shared" si="13"/>
        <v>0</v>
      </c>
      <c r="M49" s="83">
        <f t="shared" si="13"/>
        <v>0</v>
      </c>
      <c r="N49" s="83">
        <f t="shared" si="13"/>
        <v>0</v>
      </c>
      <c r="O49" s="83">
        <f t="shared" si="13"/>
        <v>0</v>
      </c>
      <c r="P49" s="83">
        <f t="shared" si="13"/>
        <v>0</v>
      </c>
      <c r="Q49" s="83">
        <f t="shared" si="13"/>
        <v>0</v>
      </c>
      <c r="R49" s="83">
        <f t="shared" si="13"/>
        <v>0</v>
      </c>
      <c r="S49" s="83">
        <f t="shared" si="13"/>
        <v>0</v>
      </c>
      <c r="T49" s="83">
        <f t="shared" si="13"/>
        <v>0</v>
      </c>
      <c r="U49" s="83">
        <f t="shared" si="13"/>
        <v>0</v>
      </c>
      <c r="V49" s="83">
        <f t="shared" si="13"/>
        <v>0</v>
      </c>
      <c r="W49" s="83">
        <f t="shared" si="13"/>
        <v>0</v>
      </c>
      <c r="X49" s="83">
        <f t="shared" si="13"/>
        <v>0</v>
      </c>
      <c r="Y49" s="175"/>
    </row>
    <row r="50" spans="1:25" outlineLevel="1" x14ac:dyDescent="0.25">
      <c r="A50" s="126">
        <f t="shared" si="8"/>
        <v>1</v>
      </c>
      <c r="B50" s="29"/>
      <c r="C50" s="30" t="str">
        <f t="shared" si="9"/>
        <v>БС-215</v>
      </c>
      <c r="D50" s="9" t="str">
        <f t="shared" si="12"/>
        <v>час.</v>
      </c>
      <c r="E50" s="83">
        <f t="shared" si="11"/>
        <v>8106.3888888888887</v>
      </c>
      <c r="F50" s="83">
        <f t="shared" si="13"/>
        <v>8083.0555555555557</v>
      </c>
      <c r="G50" s="83">
        <f t="shared" si="13"/>
        <v>8071.3888888888887</v>
      </c>
      <c r="H50" s="83">
        <f t="shared" si="13"/>
        <v>7803.0555555555557</v>
      </c>
      <c r="I50" s="83">
        <f t="shared" si="13"/>
        <v>8059.7222222222217</v>
      </c>
      <c r="J50" s="83">
        <f t="shared" si="13"/>
        <v>8001.3888888888887</v>
      </c>
      <c r="K50" s="83">
        <f t="shared" si="13"/>
        <v>7803.0555555555557</v>
      </c>
      <c r="L50" s="83">
        <f t="shared" si="13"/>
        <v>8036.3888888888887</v>
      </c>
      <c r="M50" s="83">
        <f t="shared" si="13"/>
        <v>8048.0555555555557</v>
      </c>
      <c r="N50" s="83">
        <f t="shared" si="13"/>
        <v>7779.7222222222226</v>
      </c>
      <c r="O50" s="83">
        <f t="shared" si="13"/>
        <v>8013.0555555555557</v>
      </c>
      <c r="P50" s="83">
        <f t="shared" si="13"/>
        <v>8071.3888888888887</v>
      </c>
      <c r="Q50" s="83">
        <f t="shared" si="13"/>
        <v>0</v>
      </c>
      <c r="R50" s="83">
        <f t="shared" si="13"/>
        <v>0</v>
      </c>
      <c r="S50" s="83">
        <f t="shared" si="13"/>
        <v>0</v>
      </c>
      <c r="T50" s="83">
        <f t="shared" si="13"/>
        <v>0</v>
      </c>
      <c r="U50" s="83">
        <f t="shared" si="13"/>
        <v>0</v>
      </c>
      <c r="V50" s="83">
        <f t="shared" si="13"/>
        <v>0</v>
      </c>
      <c r="W50" s="83">
        <f t="shared" si="13"/>
        <v>0</v>
      </c>
      <c r="X50" s="83">
        <f t="shared" si="13"/>
        <v>0</v>
      </c>
      <c r="Y50" s="175"/>
    </row>
    <row r="51" spans="1:25" outlineLevel="1" x14ac:dyDescent="0.25">
      <c r="A51" s="126">
        <f t="shared" si="8"/>
        <v>0</v>
      </c>
      <c r="B51" s="29"/>
      <c r="C51" s="30" t="str">
        <f t="shared" si="9"/>
        <v>Sunward SWDRT200SM</v>
      </c>
      <c r="D51" s="9" t="str">
        <f t="shared" si="12"/>
        <v>час.</v>
      </c>
      <c r="E51" s="83">
        <f t="shared" si="11"/>
        <v>0</v>
      </c>
      <c r="F51" s="83">
        <f t="shared" si="13"/>
        <v>0</v>
      </c>
      <c r="G51" s="83">
        <f t="shared" si="13"/>
        <v>0</v>
      </c>
      <c r="H51" s="83">
        <f t="shared" si="13"/>
        <v>0</v>
      </c>
      <c r="I51" s="83">
        <f t="shared" si="13"/>
        <v>0</v>
      </c>
      <c r="J51" s="83">
        <f t="shared" si="13"/>
        <v>0</v>
      </c>
      <c r="K51" s="83">
        <f t="shared" si="13"/>
        <v>0</v>
      </c>
      <c r="L51" s="83">
        <f t="shared" si="13"/>
        <v>0</v>
      </c>
      <c r="M51" s="83">
        <f t="shared" si="13"/>
        <v>0</v>
      </c>
      <c r="N51" s="83">
        <f t="shared" si="13"/>
        <v>0</v>
      </c>
      <c r="O51" s="83">
        <f t="shared" si="13"/>
        <v>0</v>
      </c>
      <c r="P51" s="83">
        <f t="shared" si="13"/>
        <v>0</v>
      </c>
      <c r="Q51" s="83">
        <f t="shared" si="13"/>
        <v>0</v>
      </c>
      <c r="R51" s="83">
        <f t="shared" si="13"/>
        <v>0</v>
      </c>
      <c r="S51" s="83">
        <f t="shared" si="13"/>
        <v>0</v>
      </c>
      <c r="T51" s="83">
        <f t="shared" si="13"/>
        <v>0</v>
      </c>
      <c r="U51" s="83">
        <f t="shared" si="13"/>
        <v>0</v>
      </c>
      <c r="V51" s="83">
        <f t="shared" si="13"/>
        <v>0</v>
      </c>
      <c r="W51" s="83">
        <f t="shared" si="13"/>
        <v>0</v>
      </c>
      <c r="X51" s="83">
        <f t="shared" si="13"/>
        <v>0</v>
      </c>
      <c r="Y51" s="175"/>
    </row>
    <row r="52" spans="1:25" outlineLevel="1" x14ac:dyDescent="0.25">
      <c r="A52" s="126">
        <f t="shared" si="8"/>
        <v>0</v>
      </c>
      <c r="B52" s="29"/>
      <c r="C52" s="30" t="str">
        <f t="shared" si="9"/>
        <v>Sunward SWDRT250B</v>
      </c>
      <c r="D52" s="9" t="str">
        <f t="shared" si="12"/>
        <v>час.</v>
      </c>
      <c r="E52" s="83">
        <f t="shared" si="11"/>
        <v>0</v>
      </c>
      <c r="F52" s="83">
        <f t="shared" si="13"/>
        <v>0</v>
      </c>
      <c r="G52" s="83">
        <f t="shared" si="13"/>
        <v>0</v>
      </c>
      <c r="H52" s="83">
        <f t="shared" si="13"/>
        <v>0</v>
      </c>
      <c r="I52" s="83">
        <f t="shared" si="13"/>
        <v>0</v>
      </c>
      <c r="J52" s="83">
        <f t="shared" si="13"/>
        <v>0</v>
      </c>
      <c r="K52" s="83">
        <f t="shared" si="13"/>
        <v>0</v>
      </c>
      <c r="L52" s="83">
        <f t="shared" si="13"/>
        <v>0</v>
      </c>
      <c r="M52" s="83">
        <f t="shared" si="13"/>
        <v>0</v>
      </c>
      <c r="N52" s="83">
        <f t="shared" si="13"/>
        <v>0</v>
      </c>
      <c r="O52" s="83">
        <f t="shared" si="13"/>
        <v>0</v>
      </c>
      <c r="P52" s="83">
        <f t="shared" si="13"/>
        <v>0</v>
      </c>
      <c r="Q52" s="83">
        <f t="shared" si="13"/>
        <v>0</v>
      </c>
      <c r="R52" s="83">
        <f t="shared" si="13"/>
        <v>0</v>
      </c>
      <c r="S52" s="83">
        <f t="shared" si="13"/>
        <v>0</v>
      </c>
      <c r="T52" s="83">
        <f t="shared" si="13"/>
        <v>0</v>
      </c>
      <c r="U52" s="83">
        <f t="shared" si="13"/>
        <v>0</v>
      </c>
      <c r="V52" s="83">
        <f t="shared" si="13"/>
        <v>0</v>
      </c>
      <c r="W52" s="83">
        <f t="shared" si="13"/>
        <v>0</v>
      </c>
      <c r="X52" s="83">
        <f t="shared" si="13"/>
        <v>0</v>
      </c>
      <c r="Y52" s="175"/>
    </row>
    <row r="53" spans="1:25" outlineLevel="1" x14ac:dyDescent="0.25">
      <c r="A53" s="126">
        <f t="shared" si="8"/>
        <v>0</v>
      </c>
      <c r="B53" s="29"/>
      <c r="C53" s="30" t="str">
        <f t="shared" si="9"/>
        <v>ZEGA R8100L (2)</v>
      </c>
      <c r="D53" s="9" t="str">
        <f t="shared" si="12"/>
        <v>час.</v>
      </c>
      <c r="E53" s="83">
        <f t="shared" si="11"/>
        <v>0</v>
      </c>
      <c r="F53" s="83">
        <f t="shared" si="13"/>
        <v>0</v>
      </c>
      <c r="G53" s="83">
        <f t="shared" si="13"/>
        <v>0</v>
      </c>
      <c r="H53" s="83">
        <f t="shared" si="13"/>
        <v>0</v>
      </c>
      <c r="I53" s="83">
        <f t="shared" si="13"/>
        <v>0</v>
      </c>
      <c r="J53" s="83">
        <f t="shared" si="13"/>
        <v>0</v>
      </c>
      <c r="K53" s="83">
        <f t="shared" si="13"/>
        <v>0</v>
      </c>
      <c r="L53" s="83">
        <f t="shared" si="13"/>
        <v>0</v>
      </c>
      <c r="M53" s="83">
        <f t="shared" si="13"/>
        <v>0</v>
      </c>
      <c r="N53" s="83">
        <f t="shared" si="13"/>
        <v>0</v>
      </c>
      <c r="O53" s="83">
        <f t="shared" si="13"/>
        <v>0</v>
      </c>
      <c r="P53" s="83">
        <f t="shared" si="13"/>
        <v>0</v>
      </c>
      <c r="Q53" s="83">
        <f t="shared" si="13"/>
        <v>0</v>
      </c>
      <c r="R53" s="83">
        <f t="shared" si="13"/>
        <v>0</v>
      </c>
      <c r="S53" s="83">
        <f t="shared" si="13"/>
        <v>0</v>
      </c>
      <c r="T53" s="83">
        <f t="shared" si="13"/>
        <v>0</v>
      </c>
      <c r="U53" s="83">
        <f t="shared" si="13"/>
        <v>0</v>
      </c>
      <c r="V53" s="83">
        <f t="shared" si="13"/>
        <v>0</v>
      </c>
      <c r="W53" s="83">
        <f t="shared" si="13"/>
        <v>0</v>
      </c>
      <c r="X53" s="83">
        <f t="shared" si="13"/>
        <v>0</v>
      </c>
      <c r="Y53" s="175"/>
    </row>
    <row r="54" spans="1:25" outlineLevel="1" x14ac:dyDescent="0.25">
      <c r="A54" s="126">
        <f t="shared" si="8"/>
        <v>0</v>
      </c>
      <c r="B54" s="29"/>
      <c r="C54" s="30" t="str">
        <f t="shared" si="9"/>
        <v>Revathi C650D</v>
      </c>
      <c r="D54" s="9" t="str">
        <f t="shared" si="12"/>
        <v>час.</v>
      </c>
      <c r="E54" s="83">
        <f t="shared" si="11"/>
        <v>0</v>
      </c>
      <c r="F54" s="83">
        <f t="shared" si="13"/>
        <v>0</v>
      </c>
      <c r="G54" s="83">
        <f t="shared" si="13"/>
        <v>0</v>
      </c>
      <c r="H54" s="83">
        <f t="shared" si="13"/>
        <v>0</v>
      </c>
      <c r="I54" s="83">
        <f t="shared" si="13"/>
        <v>0</v>
      </c>
      <c r="J54" s="83">
        <f t="shared" si="13"/>
        <v>0</v>
      </c>
      <c r="K54" s="83">
        <f t="shared" si="13"/>
        <v>0</v>
      </c>
      <c r="L54" s="83">
        <f t="shared" si="13"/>
        <v>0</v>
      </c>
      <c r="M54" s="83">
        <f t="shared" si="13"/>
        <v>0</v>
      </c>
      <c r="N54" s="83">
        <f t="shared" si="13"/>
        <v>0</v>
      </c>
      <c r="O54" s="83">
        <f t="shared" si="13"/>
        <v>0</v>
      </c>
      <c r="P54" s="83">
        <f t="shared" si="13"/>
        <v>0</v>
      </c>
      <c r="Q54" s="83">
        <f t="shared" si="13"/>
        <v>0</v>
      </c>
      <c r="R54" s="83">
        <f t="shared" si="13"/>
        <v>0</v>
      </c>
      <c r="S54" s="83">
        <f t="shared" si="13"/>
        <v>0</v>
      </c>
      <c r="T54" s="83">
        <f t="shared" si="13"/>
        <v>0</v>
      </c>
      <c r="U54" s="83">
        <f t="shared" si="13"/>
        <v>0</v>
      </c>
      <c r="V54" s="83">
        <f t="shared" si="13"/>
        <v>0</v>
      </c>
      <c r="W54" s="83">
        <f t="shared" si="13"/>
        <v>0</v>
      </c>
      <c r="X54" s="83">
        <f t="shared" si="13"/>
        <v>0</v>
      </c>
      <c r="Y54" s="175"/>
    </row>
    <row r="55" spans="1:25" outlineLevel="1" x14ac:dyDescent="0.25">
      <c r="A55" s="126">
        <f t="shared" si="8"/>
        <v>0</v>
      </c>
      <c r="B55" s="29"/>
      <c r="C55" s="30" t="str">
        <f t="shared" si="9"/>
        <v>MS1200RB</v>
      </c>
      <c r="D55" s="9" t="str">
        <f t="shared" si="12"/>
        <v>час.</v>
      </c>
      <c r="E55" s="83">
        <f t="shared" si="11"/>
        <v>0</v>
      </c>
      <c r="F55" s="83">
        <f t="shared" si="13"/>
        <v>0</v>
      </c>
      <c r="G55" s="83">
        <f t="shared" si="13"/>
        <v>0</v>
      </c>
      <c r="H55" s="83">
        <f t="shared" si="13"/>
        <v>0</v>
      </c>
      <c r="I55" s="83">
        <f t="shared" si="13"/>
        <v>0</v>
      </c>
      <c r="J55" s="83">
        <f t="shared" si="13"/>
        <v>0</v>
      </c>
      <c r="K55" s="83">
        <f t="shared" si="13"/>
        <v>0</v>
      </c>
      <c r="L55" s="83">
        <f t="shared" si="13"/>
        <v>0</v>
      </c>
      <c r="M55" s="83">
        <f t="shared" si="13"/>
        <v>0</v>
      </c>
      <c r="N55" s="83">
        <f t="shared" si="13"/>
        <v>0</v>
      </c>
      <c r="O55" s="83">
        <f t="shared" si="13"/>
        <v>0</v>
      </c>
      <c r="P55" s="83">
        <f t="shared" si="13"/>
        <v>0</v>
      </c>
      <c r="Q55" s="83">
        <f t="shared" si="13"/>
        <v>0</v>
      </c>
      <c r="R55" s="83">
        <f t="shared" si="13"/>
        <v>0</v>
      </c>
      <c r="S55" s="83">
        <f t="shared" si="13"/>
        <v>0</v>
      </c>
      <c r="T55" s="83">
        <f t="shared" si="13"/>
        <v>0</v>
      </c>
      <c r="U55" s="83">
        <f t="shared" si="13"/>
        <v>0</v>
      </c>
      <c r="V55" s="83">
        <f t="shared" si="13"/>
        <v>0</v>
      </c>
      <c r="W55" s="83">
        <f t="shared" si="13"/>
        <v>0</v>
      </c>
      <c r="X55" s="83">
        <f t="shared" si="13"/>
        <v>0</v>
      </c>
      <c r="Y55" s="175"/>
    </row>
    <row r="56" spans="1:25" outlineLevel="1" x14ac:dyDescent="0.25">
      <c r="A56" s="126">
        <f t="shared" si="8"/>
        <v>0</v>
      </c>
      <c r="B56" s="29"/>
      <c r="C56" s="30" t="str">
        <f t="shared" si="9"/>
        <v>СБ-55Д-01</v>
      </c>
      <c r="D56" s="9" t="str">
        <f t="shared" si="12"/>
        <v>час.</v>
      </c>
      <c r="E56" s="83">
        <f t="shared" si="11"/>
        <v>0</v>
      </c>
      <c r="F56" s="83">
        <f t="shared" si="13"/>
        <v>0</v>
      </c>
      <c r="G56" s="83">
        <f t="shared" si="13"/>
        <v>0</v>
      </c>
      <c r="H56" s="83">
        <f t="shared" si="13"/>
        <v>0</v>
      </c>
      <c r="I56" s="83">
        <f t="shared" si="13"/>
        <v>0</v>
      </c>
      <c r="J56" s="83">
        <f t="shared" si="13"/>
        <v>0</v>
      </c>
      <c r="K56" s="83">
        <f t="shared" si="13"/>
        <v>0</v>
      </c>
      <c r="L56" s="83">
        <f t="shared" si="13"/>
        <v>0</v>
      </c>
      <c r="M56" s="83">
        <f t="shared" si="13"/>
        <v>0</v>
      </c>
      <c r="N56" s="83">
        <f t="shared" si="13"/>
        <v>0</v>
      </c>
      <c r="O56" s="83">
        <f t="shared" si="13"/>
        <v>0</v>
      </c>
      <c r="P56" s="83">
        <f t="shared" si="13"/>
        <v>0</v>
      </c>
      <c r="Q56" s="83">
        <f t="shared" si="13"/>
        <v>0</v>
      </c>
      <c r="R56" s="83">
        <f t="shared" si="13"/>
        <v>0</v>
      </c>
      <c r="S56" s="83">
        <f t="shared" si="13"/>
        <v>0</v>
      </c>
      <c r="T56" s="83">
        <f t="shared" si="13"/>
        <v>0</v>
      </c>
      <c r="U56" s="83">
        <f t="shared" si="13"/>
        <v>0</v>
      </c>
      <c r="V56" s="83">
        <f t="shared" si="13"/>
        <v>0</v>
      </c>
      <c r="W56" s="83">
        <f t="shared" si="13"/>
        <v>0</v>
      </c>
      <c r="X56" s="83">
        <f t="shared" si="13"/>
        <v>0</v>
      </c>
      <c r="Y56" s="175"/>
    </row>
    <row r="57" spans="1:25" outlineLevel="1" x14ac:dyDescent="0.25">
      <c r="A57" s="126">
        <f t="shared" si="8"/>
        <v>0</v>
      </c>
      <c r="B57" s="29"/>
      <c r="C57" s="30" t="str">
        <f t="shared" si="9"/>
        <v>KAMACH KY-250D</v>
      </c>
      <c r="D57" s="9" t="str">
        <f t="shared" si="12"/>
        <v>час.</v>
      </c>
      <c r="E57" s="83">
        <f t="shared" si="11"/>
        <v>0</v>
      </c>
      <c r="F57" s="83">
        <f t="shared" si="13"/>
        <v>0</v>
      </c>
      <c r="G57" s="83">
        <f t="shared" si="13"/>
        <v>0</v>
      </c>
      <c r="H57" s="83">
        <f t="shared" si="13"/>
        <v>0</v>
      </c>
      <c r="I57" s="83">
        <f t="shared" si="13"/>
        <v>0</v>
      </c>
      <c r="J57" s="83">
        <f t="shared" si="13"/>
        <v>0</v>
      </c>
      <c r="K57" s="83">
        <f t="shared" si="13"/>
        <v>0</v>
      </c>
      <c r="L57" s="83">
        <f t="shared" si="13"/>
        <v>0</v>
      </c>
      <c r="M57" s="83">
        <f t="shared" si="13"/>
        <v>0</v>
      </c>
      <c r="N57" s="83">
        <f t="shared" si="13"/>
        <v>0</v>
      </c>
      <c r="O57" s="83">
        <f t="shared" si="13"/>
        <v>0</v>
      </c>
      <c r="P57" s="83">
        <f t="shared" si="13"/>
        <v>0</v>
      </c>
      <c r="Q57" s="83">
        <f t="shared" si="13"/>
        <v>0</v>
      </c>
      <c r="R57" s="83">
        <f t="shared" si="13"/>
        <v>0</v>
      </c>
      <c r="S57" s="83">
        <f t="shared" si="13"/>
        <v>0</v>
      </c>
      <c r="T57" s="83">
        <f t="shared" si="13"/>
        <v>0</v>
      </c>
      <c r="U57" s="83">
        <f t="shared" si="13"/>
        <v>0</v>
      </c>
      <c r="V57" s="83">
        <f t="shared" si="13"/>
        <v>0</v>
      </c>
      <c r="W57" s="83">
        <f t="shared" si="13"/>
        <v>0</v>
      </c>
      <c r="X57" s="83">
        <f t="shared" si="13"/>
        <v>0</v>
      </c>
      <c r="Y57" s="175"/>
    </row>
    <row r="58" spans="1:25" outlineLevel="1" x14ac:dyDescent="0.25">
      <c r="A58" s="126">
        <f t="shared" si="8"/>
        <v>0</v>
      </c>
      <c r="B58" s="29"/>
      <c r="C58" s="30" t="str">
        <f t="shared" si="9"/>
        <v>НИВА 23.01.00.00.00.00.00.000 (1)</v>
      </c>
      <c r="D58" s="9" t="str">
        <f t="shared" si="12"/>
        <v>час.</v>
      </c>
      <c r="E58" s="83">
        <f t="shared" si="11"/>
        <v>0</v>
      </c>
      <c r="F58" s="83">
        <f t="shared" si="13"/>
        <v>0</v>
      </c>
      <c r="G58" s="83">
        <f t="shared" si="13"/>
        <v>0</v>
      </c>
      <c r="H58" s="83">
        <f t="shared" si="13"/>
        <v>0</v>
      </c>
      <c r="I58" s="83">
        <f t="shared" si="13"/>
        <v>0</v>
      </c>
      <c r="J58" s="83">
        <f t="shared" si="13"/>
        <v>0</v>
      </c>
      <c r="K58" s="83">
        <f t="shared" si="13"/>
        <v>0</v>
      </c>
      <c r="L58" s="83">
        <f t="shared" si="13"/>
        <v>0</v>
      </c>
      <c r="M58" s="83">
        <f t="shared" si="13"/>
        <v>0</v>
      </c>
      <c r="N58" s="83">
        <f t="shared" si="13"/>
        <v>0</v>
      </c>
      <c r="O58" s="83">
        <f t="shared" si="13"/>
        <v>0</v>
      </c>
      <c r="P58" s="83">
        <f t="shared" si="13"/>
        <v>0</v>
      </c>
      <c r="Q58" s="83">
        <f t="shared" si="13"/>
        <v>0</v>
      </c>
      <c r="R58" s="83">
        <f t="shared" si="13"/>
        <v>0</v>
      </c>
      <c r="S58" s="83">
        <f t="shared" si="13"/>
        <v>0</v>
      </c>
      <c r="T58" s="83">
        <f t="shared" si="13"/>
        <v>0</v>
      </c>
      <c r="U58" s="83">
        <f t="shared" si="13"/>
        <v>0</v>
      </c>
      <c r="V58" s="83">
        <f t="shared" si="13"/>
        <v>0</v>
      </c>
      <c r="W58" s="83">
        <f t="shared" si="13"/>
        <v>0</v>
      </c>
      <c r="X58" s="83">
        <f t="shared" si="13"/>
        <v>0</v>
      </c>
      <c r="Y58" s="175"/>
    </row>
    <row r="59" spans="1:25" outlineLevel="1" x14ac:dyDescent="0.25">
      <c r="A59" s="126">
        <f t="shared" si="8"/>
        <v>0</v>
      </c>
      <c r="B59" s="29"/>
      <c r="C59" s="30" t="str">
        <f t="shared" si="9"/>
        <v>НИВА 23.01.00.00.00.00.00.000 (2)</v>
      </c>
      <c r="D59" s="9" t="str">
        <f t="shared" si="12"/>
        <v>час.</v>
      </c>
      <c r="E59" s="83">
        <f t="shared" si="11"/>
        <v>0</v>
      </c>
      <c r="F59" s="83">
        <f t="shared" si="13"/>
        <v>0</v>
      </c>
      <c r="G59" s="83">
        <f t="shared" si="13"/>
        <v>0</v>
      </c>
      <c r="H59" s="83">
        <f t="shared" si="13"/>
        <v>0</v>
      </c>
      <c r="I59" s="83">
        <f t="shared" si="13"/>
        <v>0</v>
      </c>
      <c r="J59" s="83">
        <f t="shared" si="13"/>
        <v>0</v>
      </c>
      <c r="K59" s="83">
        <f t="shared" si="13"/>
        <v>0</v>
      </c>
      <c r="L59" s="83">
        <f t="shared" si="13"/>
        <v>0</v>
      </c>
      <c r="M59" s="83">
        <f t="shared" si="13"/>
        <v>0</v>
      </c>
      <c r="N59" s="83">
        <f t="shared" si="13"/>
        <v>0</v>
      </c>
      <c r="O59" s="83">
        <f t="shared" si="13"/>
        <v>0</v>
      </c>
      <c r="P59" s="83">
        <f t="shared" si="13"/>
        <v>0</v>
      </c>
      <c r="Q59" s="83">
        <f t="shared" si="13"/>
        <v>0</v>
      </c>
      <c r="R59" s="83">
        <f t="shared" si="13"/>
        <v>0</v>
      </c>
      <c r="S59" s="83">
        <f t="shared" si="13"/>
        <v>0</v>
      </c>
      <c r="T59" s="83">
        <f t="shared" si="13"/>
        <v>0</v>
      </c>
      <c r="U59" s="83">
        <f t="shared" si="13"/>
        <v>0</v>
      </c>
      <c r="V59" s="83">
        <f t="shared" si="13"/>
        <v>0</v>
      </c>
      <c r="W59" s="83">
        <f t="shared" si="13"/>
        <v>0</v>
      </c>
      <c r="X59" s="83">
        <f t="shared" si="13"/>
        <v>0</v>
      </c>
      <c r="Y59" s="175"/>
    </row>
    <row r="60" spans="1:25" outlineLevel="1" x14ac:dyDescent="0.25">
      <c r="A60" s="126">
        <f t="shared" si="8"/>
        <v>0</v>
      </c>
      <c r="B60" s="29"/>
      <c r="C60" s="30" t="str">
        <f t="shared" si="9"/>
        <v>***</v>
      </c>
      <c r="D60" s="9" t="str">
        <f t="shared" ref="D60" si="14">D59</f>
        <v>час.</v>
      </c>
      <c r="E60" s="83">
        <f t="shared" si="11"/>
        <v>0</v>
      </c>
      <c r="F60" s="83">
        <f t="shared" si="13"/>
        <v>0</v>
      </c>
      <c r="G60" s="83">
        <f t="shared" si="13"/>
        <v>0</v>
      </c>
      <c r="H60" s="83">
        <f t="shared" si="13"/>
        <v>0</v>
      </c>
      <c r="I60" s="83">
        <f t="shared" si="13"/>
        <v>0</v>
      </c>
      <c r="J60" s="83">
        <f t="shared" si="13"/>
        <v>0</v>
      </c>
      <c r="K60" s="83">
        <f t="shared" si="13"/>
        <v>0</v>
      </c>
      <c r="L60" s="83">
        <f t="shared" si="13"/>
        <v>0</v>
      </c>
      <c r="M60" s="83">
        <f t="shared" si="13"/>
        <v>0</v>
      </c>
      <c r="N60" s="83">
        <f t="shared" si="13"/>
        <v>0</v>
      </c>
      <c r="O60" s="83">
        <f t="shared" si="13"/>
        <v>0</v>
      </c>
      <c r="P60" s="83">
        <f t="shared" si="13"/>
        <v>0</v>
      </c>
      <c r="Q60" s="83">
        <f t="shared" si="13"/>
        <v>0</v>
      </c>
      <c r="R60" s="83">
        <f t="shared" si="13"/>
        <v>0</v>
      </c>
      <c r="S60" s="83">
        <f t="shared" si="13"/>
        <v>0</v>
      </c>
      <c r="T60" s="83">
        <f t="shared" si="13"/>
        <v>0</v>
      </c>
      <c r="U60" s="83">
        <f t="shared" si="13"/>
        <v>0</v>
      </c>
      <c r="V60" s="83">
        <f t="shared" si="13"/>
        <v>0</v>
      </c>
      <c r="W60" s="83">
        <f t="shared" si="13"/>
        <v>0</v>
      </c>
      <c r="X60" s="83">
        <f t="shared" si="13"/>
        <v>0</v>
      </c>
      <c r="Y60" s="175"/>
    </row>
    <row r="61" spans="1:25" ht="27.2" x14ac:dyDescent="0.25">
      <c r="A61" s="126">
        <f t="shared" si="8"/>
        <v>1</v>
      </c>
      <c r="B61" s="64">
        <f>B7+1</f>
        <v>2</v>
      </c>
      <c r="C61" s="63" t="s">
        <v>85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175"/>
    </row>
    <row r="62" spans="1:25" x14ac:dyDescent="0.25">
      <c r="A62" s="126">
        <f t="shared" si="8"/>
        <v>1</v>
      </c>
      <c r="B62" s="29"/>
      <c r="C62" s="30" t="str">
        <f t="shared" ref="C62:C87" si="15">C35</f>
        <v>YANGZI DR75</v>
      </c>
      <c r="D62" s="9" t="s">
        <v>86</v>
      </c>
      <c r="E62" s="74">
        <f>SUM(Простои!N8:P8)</f>
        <v>80</v>
      </c>
      <c r="F62" s="70">
        <f>E62</f>
        <v>80</v>
      </c>
      <c r="G62" s="70">
        <f t="shared" ref="G62:X76" si="16">F62</f>
        <v>80</v>
      </c>
      <c r="H62" s="70">
        <f t="shared" si="16"/>
        <v>80</v>
      </c>
      <c r="I62" s="70">
        <f t="shared" si="16"/>
        <v>80</v>
      </c>
      <c r="J62" s="70">
        <f t="shared" si="16"/>
        <v>80</v>
      </c>
      <c r="K62" s="70">
        <f t="shared" si="16"/>
        <v>80</v>
      </c>
      <c r="L62" s="70">
        <f t="shared" si="16"/>
        <v>80</v>
      </c>
      <c r="M62" s="70">
        <f t="shared" si="16"/>
        <v>80</v>
      </c>
      <c r="N62" s="70">
        <f t="shared" si="16"/>
        <v>80</v>
      </c>
      <c r="O62" s="70">
        <f t="shared" si="16"/>
        <v>80</v>
      </c>
      <c r="P62" s="70">
        <f t="shared" si="16"/>
        <v>80</v>
      </c>
      <c r="Q62" s="70">
        <f t="shared" si="16"/>
        <v>80</v>
      </c>
      <c r="R62" s="70">
        <f t="shared" si="16"/>
        <v>80</v>
      </c>
      <c r="S62" s="70">
        <f t="shared" si="16"/>
        <v>80</v>
      </c>
      <c r="T62" s="70">
        <f t="shared" si="16"/>
        <v>80</v>
      </c>
      <c r="U62" s="70">
        <f t="shared" si="16"/>
        <v>80</v>
      </c>
      <c r="V62" s="70">
        <f t="shared" si="16"/>
        <v>80</v>
      </c>
      <c r="W62" s="70">
        <f t="shared" si="16"/>
        <v>80</v>
      </c>
      <c r="X62" s="70">
        <f t="shared" si="16"/>
        <v>80</v>
      </c>
      <c r="Y62" s="175"/>
    </row>
    <row r="63" spans="1:25" x14ac:dyDescent="0.25">
      <c r="A63" s="126">
        <f t="shared" si="8"/>
        <v>1</v>
      </c>
      <c r="B63" s="29"/>
      <c r="C63" s="30" t="str">
        <f t="shared" si="15"/>
        <v>Sunward SWDRT250SM</v>
      </c>
      <c r="D63" s="9" t="str">
        <f>D62</f>
        <v>мин/см</v>
      </c>
      <c r="E63" s="74">
        <f>SUM(Простои!N9:P9)</f>
        <v>80</v>
      </c>
      <c r="F63" s="70">
        <f t="shared" ref="F63:U87" si="17">E63</f>
        <v>80</v>
      </c>
      <c r="G63" s="70">
        <f t="shared" si="17"/>
        <v>80</v>
      </c>
      <c r="H63" s="70">
        <f t="shared" si="17"/>
        <v>80</v>
      </c>
      <c r="I63" s="70">
        <f t="shared" si="17"/>
        <v>80</v>
      </c>
      <c r="J63" s="70">
        <f t="shared" si="17"/>
        <v>80</v>
      </c>
      <c r="K63" s="70">
        <f t="shared" si="17"/>
        <v>80</v>
      </c>
      <c r="L63" s="70">
        <f t="shared" si="17"/>
        <v>80</v>
      </c>
      <c r="M63" s="70">
        <f t="shared" si="17"/>
        <v>80</v>
      </c>
      <c r="N63" s="70">
        <f t="shared" si="17"/>
        <v>80</v>
      </c>
      <c r="O63" s="70">
        <f t="shared" si="17"/>
        <v>80</v>
      </c>
      <c r="P63" s="70">
        <f t="shared" si="17"/>
        <v>80</v>
      </c>
      <c r="Q63" s="70">
        <f t="shared" si="17"/>
        <v>80</v>
      </c>
      <c r="R63" s="70">
        <f t="shared" si="17"/>
        <v>80</v>
      </c>
      <c r="S63" s="70">
        <f t="shared" si="17"/>
        <v>80</v>
      </c>
      <c r="T63" s="70">
        <f t="shared" si="17"/>
        <v>80</v>
      </c>
      <c r="U63" s="70">
        <f t="shared" si="17"/>
        <v>80</v>
      </c>
      <c r="V63" s="70">
        <f t="shared" si="16"/>
        <v>80</v>
      </c>
      <c r="W63" s="70">
        <f t="shared" si="16"/>
        <v>80</v>
      </c>
      <c r="X63" s="70">
        <f t="shared" si="16"/>
        <v>80</v>
      </c>
      <c r="Y63" s="175"/>
    </row>
    <row r="64" spans="1:25" x14ac:dyDescent="0.25">
      <c r="A64" s="126">
        <f t="shared" si="8"/>
        <v>1</v>
      </c>
      <c r="B64" s="29"/>
      <c r="C64" s="30" t="str">
        <f t="shared" si="15"/>
        <v>Sunward SWDRT270SM</v>
      </c>
      <c r="D64" s="9" t="str">
        <f t="shared" ref="D64:D86" si="18">D63</f>
        <v>мин/см</v>
      </c>
      <c r="E64" s="74">
        <f>SUM(Простои!N10:P10)</f>
        <v>80</v>
      </c>
      <c r="F64" s="70">
        <f t="shared" si="17"/>
        <v>80</v>
      </c>
      <c r="G64" s="70">
        <f t="shared" si="16"/>
        <v>80</v>
      </c>
      <c r="H64" s="70">
        <f t="shared" si="16"/>
        <v>80</v>
      </c>
      <c r="I64" s="70">
        <f t="shared" si="16"/>
        <v>80</v>
      </c>
      <c r="J64" s="70">
        <f t="shared" si="16"/>
        <v>80</v>
      </c>
      <c r="K64" s="70">
        <f t="shared" si="16"/>
        <v>80</v>
      </c>
      <c r="L64" s="70">
        <f t="shared" si="16"/>
        <v>80</v>
      </c>
      <c r="M64" s="70">
        <f t="shared" si="16"/>
        <v>80</v>
      </c>
      <c r="N64" s="70">
        <f t="shared" si="16"/>
        <v>80</v>
      </c>
      <c r="O64" s="70">
        <f t="shared" si="16"/>
        <v>80</v>
      </c>
      <c r="P64" s="70">
        <f t="shared" si="16"/>
        <v>80</v>
      </c>
      <c r="Q64" s="70">
        <f t="shared" si="16"/>
        <v>80</v>
      </c>
      <c r="R64" s="70">
        <f t="shared" si="16"/>
        <v>80</v>
      </c>
      <c r="S64" s="70">
        <f t="shared" si="16"/>
        <v>80</v>
      </c>
      <c r="T64" s="70">
        <f t="shared" si="16"/>
        <v>80</v>
      </c>
      <c r="U64" s="70">
        <f t="shared" si="16"/>
        <v>80</v>
      </c>
      <c r="V64" s="70">
        <f t="shared" si="16"/>
        <v>80</v>
      </c>
      <c r="W64" s="70">
        <f t="shared" si="16"/>
        <v>80</v>
      </c>
      <c r="X64" s="70">
        <f t="shared" si="16"/>
        <v>80</v>
      </c>
      <c r="Y64" s="175"/>
    </row>
    <row r="65" spans="1:25" x14ac:dyDescent="0.25">
      <c r="A65" s="126">
        <f t="shared" si="8"/>
        <v>1</v>
      </c>
      <c r="B65" s="29"/>
      <c r="C65" s="30" t="str">
        <f t="shared" si="15"/>
        <v>Sunward SWDRT270B</v>
      </c>
      <c r="D65" s="9" t="str">
        <f t="shared" si="18"/>
        <v>мин/см</v>
      </c>
      <c r="E65" s="74">
        <f>SUM(Простои!N11:P11)</f>
        <v>80</v>
      </c>
      <c r="F65" s="70">
        <f t="shared" si="17"/>
        <v>80</v>
      </c>
      <c r="G65" s="70">
        <f t="shared" si="16"/>
        <v>80</v>
      </c>
      <c r="H65" s="70">
        <f t="shared" si="16"/>
        <v>80</v>
      </c>
      <c r="I65" s="70">
        <f t="shared" si="16"/>
        <v>80</v>
      </c>
      <c r="J65" s="70">
        <f t="shared" si="16"/>
        <v>80</v>
      </c>
      <c r="K65" s="70">
        <f t="shared" si="16"/>
        <v>80</v>
      </c>
      <c r="L65" s="70">
        <f t="shared" si="16"/>
        <v>80</v>
      </c>
      <c r="M65" s="70">
        <f t="shared" si="16"/>
        <v>80</v>
      </c>
      <c r="N65" s="70">
        <f t="shared" si="16"/>
        <v>80</v>
      </c>
      <c r="O65" s="70">
        <f t="shared" si="16"/>
        <v>80</v>
      </c>
      <c r="P65" s="70">
        <f t="shared" si="16"/>
        <v>80</v>
      </c>
      <c r="Q65" s="70">
        <f t="shared" si="16"/>
        <v>80</v>
      </c>
      <c r="R65" s="70">
        <f t="shared" si="16"/>
        <v>80</v>
      </c>
      <c r="S65" s="70">
        <f t="shared" si="16"/>
        <v>80</v>
      </c>
      <c r="T65" s="70">
        <f t="shared" si="16"/>
        <v>80</v>
      </c>
      <c r="U65" s="70">
        <f t="shared" si="16"/>
        <v>80</v>
      </c>
      <c r="V65" s="70">
        <f t="shared" si="16"/>
        <v>80</v>
      </c>
      <c r="W65" s="70">
        <f t="shared" si="16"/>
        <v>80</v>
      </c>
      <c r="X65" s="70">
        <f t="shared" si="16"/>
        <v>80</v>
      </c>
      <c r="Y65" s="175"/>
    </row>
    <row r="66" spans="1:25" x14ac:dyDescent="0.25">
      <c r="A66" s="126">
        <f t="shared" si="8"/>
        <v>1</v>
      </c>
      <c r="B66" s="29"/>
      <c r="C66" s="30" t="str">
        <f t="shared" si="15"/>
        <v>HIFO 75D</v>
      </c>
      <c r="D66" s="9" t="str">
        <f t="shared" si="18"/>
        <v>мин/см</v>
      </c>
      <c r="E66" s="74">
        <f>SUM(Простои!N12:P12)</f>
        <v>80</v>
      </c>
      <c r="F66" s="70">
        <f t="shared" si="17"/>
        <v>80</v>
      </c>
      <c r="G66" s="70">
        <f t="shared" si="16"/>
        <v>80</v>
      </c>
      <c r="H66" s="70">
        <f t="shared" si="16"/>
        <v>80</v>
      </c>
      <c r="I66" s="70">
        <f t="shared" si="16"/>
        <v>80</v>
      </c>
      <c r="J66" s="70">
        <f t="shared" si="16"/>
        <v>80</v>
      </c>
      <c r="K66" s="70">
        <f t="shared" si="16"/>
        <v>80</v>
      </c>
      <c r="L66" s="70">
        <f t="shared" si="16"/>
        <v>80</v>
      </c>
      <c r="M66" s="70">
        <f t="shared" si="16"/>
        <v>80</v>
      </c>
      <c r="N66" s="70">
        <f t="shared" si="16"/>
        <v>80</v>
      </c>
      <c r="O66" s="70">
        <f t="shared" si="16"/>
        <v>80</v>
      </c>
      <c r="P66" s="70">
        <f t="shared" si="16"/>
        <v>80</v>
      </c>
      <c r="Q66" s="70">
        <f t="shared" si="16"/>
        <v>80</v>
      </c>
      <c r="R66" s="70">
        <f t="shared" si="16"/>
        <v>80</v>
      </c>
      <c r="S66" s="70">
        <f t="shared" si="16"/>
        <v>80</v>
      </c>
      <c r="T66" s="70">
        <f t="shared" si="16"/>
        <v>80</v>
      </c>
      <c r="U66" s="70">
        <f t="shared" si="16"/>
        <v>80</v>
      </c>
      <c r="V66" s="70">
        <f t="shared" si="16"/>
        <v>80</v>
      </c>
      <c r="W66" s="70">
        <f t="shared" si="16"/>
        <v>80</v>
      </c>
      <c r="X66" s="70">
        <f t="shared" si="16"/>
        <v>80</v>
      </c>
      <c r="Y66" s="175"/>
    </row>
    <row r="67" spans="1:25" x14ac:dyDescent="0.25">
      <c r="A67" s="126">
        <f t="shared" si="8"/>
        <v>0</v>
      </c>
      <c r="B67" s="29"/>
      <c r="C67" s="30" t="str">
        <f t="shared" si="15"/>
        <v>ZEGA R8100L (1)</v>
      </c>
      <c r="D67" s="9" t="str">
        <f t="shared" si="18"/>
        <v>мин/см</v>
      </c>
      <c r="E67" s="74">
        <f>SUM(Простои!N13:P13)</f>
        <v>80</v>
      </c>
      <c r="F67" s="70">
        <f t="shared" si="17"/>
        <v>80</v>
      </c>
      <c r="G67" s="70">
        <f t="shared" si="16"/>
        <v>80</v>
      </c>
      <c r="H67" s="70">
        <f t="shared" si="16"/>
        <v>80</v>
      </c>
      <c r="I67" s="70">
        <f t="shared" si="16"/>
        <v>80</v>
      </c>
      <c r="J67" s="70">
        <f t="shared" si="16"/>
        <v>80</v>
      </c>
      <c r="K67" s="70">
        <f t="shared" si="16"/>
        <v>80</v>
      </c>
      <c r="L67" s="70">
        <f t="shared" si="16"/>
        <v>80</v>
      </c>
      <c r="M67" s="70">
        <f t="shared" si="16"/>
        <v>80</v>
      </c>
      <c r="N67" s="70">
        <f t="shared" si="16"/>
        <v>80</v>
      </c>
      <c r="O67" s="70">
        <f t="shared" si="16"/>
        <v>80</v>
      </c>
      <c r="P67" s="70">
        <f t="shared" si="16"/>
        <v>80</v>
      </c>
      <c r="Q67" s="70">
        <f t="shared" si="16"/>
        <v>80</v>
      </c>
      <c r="R67" s="70">
        <f t="shared" si="16"/>
        <v>80</v>
      </c>
      <c r="S67" s="70">
        <f t="shared" si="16"/>
        <v>80</v>
      </c>
      <c r="T67" s="70">
        <f t="shared" si="16"/>
        <v>80</v>
      </c>
      <c r="U67" s="70">
        <f t="shared" si="16"/>
        <v>80</v>
      </c>
      <c r="V67" s="70">
        <f t="shared" si="16"/>
        <v>80</v>
      </c>
      <c r="W67" s="70">
        <f t="shared" si="16"/>
        <v>80</v>
      </c>
      <c r="X67" s="70">
        <f t="shared" si="16"/>
        <v>80</v>
      </c>
      <c r="Y67" s="175"/>
    </row>
    <row r="68" spans="1:25" x14ac:dyDescent="0.25">
      <c r="A68" s="126">
        <f t="shared" si="8"/>
        <v>0</v>
      </c>
      <c r="B68" s="29"/>
      <c r="C68" s="30" t="str">
        <f t="shared" si="15"/>
        <v>YANGZI  DM75</v>
      </c>
      <c r="D68" s="9" t="str">
        <f t="shared" si="18"/>
        <v>мин/см</v>
      </c>
      <c r="E68" s="74">
        <f>SUM(Простои!N14:P14)</f>
        <v>80</v>
      </c>
      <c r="F68" s="70">
        <f t="shared" si="17"/>
        <v>80</v>
      </c>
      <c r="G68" s="70">
        <f t="shared" si="16"/>
        <v>80</v>
      </c>
      <c r="H68" s="70">
        <f t="shared" si="16"/>
        <v>80</v>
      </c>
      <c r="I68" s="70">
        <f t="shared" si="16"/>
        <v>80</v>
      </c>
      <c r="J68" s="70">
        <f t="shared" si="16"/>
        <v>80</v>
      </c>
      <c r="K68" s="70">
        <f t="shared" si="16"/>
        <v>80</v>
      </c>
      <c r="L68" s="70">
        <f t="shared" si="16"/>
        <v>80</v>
      </c>
      <c r="M68" s="70">
        <f t="shared" si="16"/>
        <v>80</v>
      </c>
      <c r="N68" s="70">
        <f t="shared" si="16"/>
        <v>80</v>
      </c>
      <c r="O68" s="70">
        <f t="shared" si="16"/>
        <v>80</v>
      </c>
      <c r="P68" s="70">
        <f t="shared" si="16"/>
        <v>80</v>
      </c>
      <c r="Q68" s="70">
        <f t="shared" si="16"/>
        <v>80</v>
      </c>
      <c r="R68" s="70">
        <f t="shared" si="16"/>
        <v>80</v>
      </c>
      <c r="S68" s="70">
        <f t="shared" si="16"/>
        <v>80</v>
      </c>
      <c r="T68" s="70">
        <f t="shared" si="16"/>
        <v>80</v>
      </c>
      <c r="U68" s="70">
        <f t="shared" si="16"/>
        <v>80</v>
      </c>
      <c r="V68" s="70">
        <f t="shared" si="16"/>
        <v>80</v>
      </c>
      <c r="W68" s="70">
        <f t="shared" si="16"/>
        <v>80</v>
      </c>
      <c r="X68" s="70">
        <f t="shared" si="16"/>
        <v>80</v>
      </c>
      <c r="Y68" s="175"/>
    </row>
    <row r="69" spans="1:25" x14ac:dyDescent="0.25">
      <c r="A69" s="126">
        <f t="shared" si="8"/>
        <v>0</v>
      </c>
      <c r="B69" s="29"/>
      <c r="C69" s="30" t="str">
        <f t="shared" si="15"/>
        <v>*</v>
      </c>
      <c r="D69" s="9" t="str">
        <f t="shared" si="18"/>
        <v>мин/см</v>
      </c>
      <c r="E69" s="74">
        <f>SUM(Простои!N15:P15)</f>
        <v>0</v>
      </c>
      <c r="F69" s="70">
        <f t="shared" si="17"/>
        <v>0</v>
      </c>
      <c r="G69" s="70">
        <f t="shared" si="16"/>
        <v>0</v>
      </c>
      <c r="H69" s="70">
        <f t="shared" si="16"/>
        <v>0</v>
      </c>
      <c r="I69" s="70">
        <f t="shared" si="16"/>
        <v>0</v>
      </c>
      <c r="J69" s="70">
        <f t="shared" si="16"/>
        <v>0</v>
      </c>
      <c r="K69" s="70">
        <f t="shared" si="16"/>
        <v>0</v>
      </c>
      <c r="L69" s="70">
        <f t="shared" si="16"/>
        <v>0</v>
      </c>
      <c r="M69" s="70">
        <f t="shared" si="16"/>
        <v>0</v>
      </c>
      <c r="N69" s="70">
        <f t="shared" si="16"/>
        <v>0</v>
      </c>
      <c r="O69" s="70">
        <f t="shared" si="16"/>
        <v>0</v>
      </c>
      <c r="P69" s="70">
        <f t="shared" si="16"/>
        <v>0</v>
      </c>
      <c r="Q69" s="70">
        <f t="shared" si="16"/>
        <v>0</v>
      </c>
      <c r="R69" s="70">
        <f t="shared" si="16"/>
        <v>0</v>
      </c>
      <c r="S69" s="70">
        <f t="shared" si="16"/>
        <v>0</v>
      </c>
      <c r="T69" s="70">
        <f t="shared" si="16"/>
        <v>0</v>
      </c>
      <c r="U69" s="70">
        <f t="shared" si="16"/>
        <v>0</v>
      </c>
      <c r="V69" s="70">
        <f t="shared" si="16"/>
        <v>0</v>
      </c>
      <c r="W69" s="70">
        <f t="shared" si="16"/>
        <v>0</v>
      </c>
      <c r="X69" s="70">
        <f t="shared" si="16"/>
        <v>0</v>
      </c>
      <c r="Y69" s="175"/>
    </row>
    <row r="70" spans="1:25" x14ac:dyDescent="0.25">
      <c r="A70" s="126">
        <f t="shared" si="8"/>
        <v>0</v>
      </c>
      <c r="B70" s="29"/>
      <c r="C70" s="30" t="str">
        <f t="shared" si="15"/>
        <v>СБШ-250/270КП</v>
      </c>
      <c r="D70" s="9" t="str">
        <f t="shared" si="18"/>
        <v>мин/см</v>
      </c>
      <c r="E70" s="74">
        <f>SUM(Простои!N16:P16)</f>
        <v>20</v>
      </c>
      <c r="F70" s="70">
        <f t="shared" si="17"/>
        <v>20</v>
      </c>
      <c r="G70" s="70">
        <f t="shared" si="16"/>
        <v>20</v>
      </c>
      <c r="H70" s="70">
        <f t="shared" si="16"/>
        <v>20</v>
      </c>
      <c r="I70" s="70">
        <f t="shared" si="16"/>
        <v>20</v>
      </c>
      <c r="J70" s="70">
        <f t="shared" si="16"/>
        <v>20</v>
      </c>
      <c r="K70" s="70">
        <f t="shared" si="16"/>
        <v>20</v>
      </c>
      <c r="L70" s="70">
        <f t="shared" si="16"/>
        <v>20</v>
      </c>
      <c r="M70" s="70">
        <f t="shared" si="16"/>
        <v>20</v>
      </c>
      <c r="N70" s="70">
        <f t="shared" si="16"/>
        <v>20</v>
      </c>
      <c r="O70" s="70">
        <f t="shared" si="16"/>
        <v>20</v>
      </c>
      <c r="P70" s="70">
        <f t="shared" si="16"/>
        <v>20</v>
      </c>
      <c r="Q70" s="70">
        <f t="shared" si="16"/>
        <v>20</v>
      </c>
      <c r="R70" s="70">
        <f t="shared" si="16"/>
        <v>20</v>
      </c>
      <c r="S70" s="70">
        <f t="shared" si="16"/>
        <v>20</v>
      </c>
      <c r="T70" s="70">
        <f t="shared" si="16"/>
        <v>20</v>
      </c>
      <c r="U70" s="70">
        <f t="shared" si="16"/>
        <v>20</v>
      </c>
      <c r="V70" s="70">
        <f t="shared" si="16"/>
        <v>20</v>
      </c>
      <c r="W70" s="70">
        <f t="shared" si="16"/>
        <v>20</v>
      </c>
      <c r="X70" s="70">
        <f t="shared" si="16"/>
        <v>20</v>
      </c>
      <c r="Y70" s="175"/>
    </row>
    <row r="71" spans="1:25" x14ac:dyDescent="0.25">
      <c r="A71" s="126">
        <f t="shared" si="8"/>
        <v>0</v>
      </c>
      <c r="B71" s="29"/>
      <c r="C71" s="30" t="str">
        <f t="shared" si="15"/>
        <v>Sunward SWDRT270E (1)</v>
      </c>
      <c r="D71" s="9" t="str">
        <f t="shared" si="18"/>
        <v>мин/см</v>
      </c>
      <c r="E71" s="74">
        <f>SUM(Простои!N17:P17)</f>
        <v>20</v>
      </c>
      <c r="F71" s="70">
        <f t="shared" si="17"/>
        <v>20</v>
      </c>
      <c r="G71" s="70">
        <f t="shared" si="16"/>
        <v>20</v>
      </c>
      <c r="H71" s="70">
        <f t="shared" si="16"/>
        <v>20</v>
      </c>
      <c r="I71" s="70">
        <f t="shared" si="16"/>
        <v>20</v>
      </c>
      <c r="J71" s="70">
        <f t="shared" si="16"/>
        <v>20</v>
      </c>
      <c r="K71" s="70">
        <f t="shared" si="16"/>
        <v>20</v>
      </c>
      <c r="L71" s="70">
        <f t="shared" si="16"/>
        <v>20</v>
      </c>
      <c r="M71" s="70">
        <f t="shared" si="16"/>
        <v>20</v>
      </c>
      <c r="N71" s="70">
        <f t="shared" si="16"/>
        <v>20</v>
      </c>
      <c r="O71" s="70">
        <f t="shared" si="16"/>
        <v>20</v>
      </c>
      <c r="P71" s="70">
        <f t="shared" si="16"/>
        <v>20</v>
      </c>
      <c r="Q71" s="70">
        <f t="shared" si="16"/>
        <v>20</v>
      </c>
      <c r="R71" s="70">
        <f t="shared" si="16"/>
        <v>20</v>
      </c>
      <c r="S71" s="70">
        <f t="shared" si="16"/>
        <v>20</v>
      </c>
      <c r="T71" s="70">
        <f t="shared" si="16"/>
        <v>20</v>
      </c>
      <c r="U71" s="70">
        <f t="shared" si="16"/>
        <v>20</v>
      </c>
      <c r="V71" s="70">
        <f t="shared" si="16"/>
        <v>20</v>
      </c>
      <c r="W71" s="70">
        <f t="shared" si="16"/>
        <v>20</v>
      </c>
      <c r="X71" s="70">
        <f t="shared" si="16"/>
        <v>20</v>
      </c>
      <c r="Y71" s="175"/>
    </row>
    <row r="72" spans="1:25" x14ac:dyDescent="0.25">
      <c r="A72" s="126">
        <f t="shared" si="8"/>
        <v>0</v>
      </c>
      <c r="B72" s="29"/>
      <c r="C72" s="30" t="str">
        <f t="shared" si="15"/>
        <v>Sunward SWDRT270E (2)</v>
      </c>
      <c r="D72" s="9" t="str">
        <f t="shared" si="18"/>
        <v>мин/см</v>
      </c>
      <c r="E72" s="74">
        <f>SUM(Простои!N18:P18)</f>
        <v>20</v>
      </c>
      <c r="F72" s="70">
        <f t="shared" si="17"/>
        <v>20</v>
      </c>
      <c r="G72" s="70">
        <f t="shared" si="16"/>
        <v>20</v>
      </c>
      <c r="H72" s="70">
        <f t="shared" si="16"/>
        <v>20</v>
      </c>
      <c r="I72" s="70">
        <f t="shared" si="16"/>
        <v>20</v>
      </c>
      <c r="J72" s="70">
        <f t="shared" si="16"/>
        <v>20</v>
      </c>
      <c r="K72" s="70">
        <f t="shared" si="16"/>
        <v>20</v>
      </c>
      <c r="L72" s="70">
        <f t="shared" si="16"/>
        <v>20</v>
      </c>
      <c r="M72" s="70">
        <f t="shared" si="16"/>
        <v>20</v>
      </c>
      <c r="N72" s="70">
        <f t="shared" si="16"/>
        <v>20</v>
      </c>
      <c r="O72" s="70">
        <f t="shared" si="16"/>
        <v>20</v>
      </c>
      <c r="P72" s="70">
        <f t="shared" si="16"/>
        <v>20</v>
      </c>
      <c r="Q72" s="70">
        <f t="shared" si="16"/>
        <v>20</v>
      </c>
      <c r="R72" s="70">
        <f t="shared" si="16"/>
        <v>20</v>
      </c>
      <c r="S72" s="70">
        <f t="shared" si="16"/>
        <v>20</v>
      </c>
      <c r="T72" s="70">
        <f t="shared" si="16"/>
        <v>20</v>
      </c>
      <c r="U72" s="70">
        <f t="shared" si="16"/>
        <v>20</v>
      </c>
      <c r="V72" s="70">
        <f t="shared" si="16"/>
        <v>20</v>
      </c>
      <c r="W72" s="70">
        <f t="shared" si="16"/>
        <v>20</v>
      </c>
      <c r="X72" s="70">
        <f t="shared" si="16"/>
        <v>20</v>
      </c>
      <c r="Y72" s="175"/>
    </row>
    <row r="73" spans="1:25" x14ac:dyDescent="0.25">
      <c r="A73" s="126">
        <f t="shared" si="8"/>
        <v>0</v>
      </c>
      <c r="B73" s="29"/>
      <c r="C73" s="30" t="str">
        <f t="shared" si="15"/>
        <v>HIFO 75Е</v>
      </c>
      <c r="D73" s="9" t="str">
        <f t="shared" si="18"/>
        <v>мин/см</v>
      </c>
      <c r="E73" s="74">
        <f>SUM(Простои!N19:P19)</f>
        <v>20</v>
      </c>
      <c r="F73" s="70">
        <f t="shared" si="17"/>
        <v>20</v>
      </c>
      <c r="G73" s="70">
        <f t="shared" si="16"/>
        <v>20</v>
      </c>
      <c r="H73" s="70">
        <f t="shared" si="16"/>
        <v>20</v>
      </c>
      <c r="I73" s="70">
        <f t="shared" si="16"/>
        <v>20</v>
      </c>
      <c r="J73" s="70">
        <f t="shared" si="16"/>
        <v>20</v>
      </c>
      <c r="K73" s="70">
        <f t="shared" si="16"/>
        <v>20</v>
      </c>
      <c r="L73" s="70">
        <f t="shared" si="16"/>
        <v>20</v>
      </c>
      <c r="M73" s="70">
        <f t="shared" si="16"/>
        <v>20</v>
      </c>
      <c r="N73" s="70">
        <f t="shared" si="16"/>
        <v>20</v>
      </c>
      <c r="O73" s="70">
        <f t="shared" si="16"/>
        <v>20</v>
      </c>
      <c r="P73" s="70">
        <f t="shared" si="16"/>
        <v>20</v>
      </c>
      <c r="Q73" s="70">
        <f t="shared" si="16"/>
        <v>20</v>
      </c>
      <c r="R73" s="70">
        <f t="shared" si="16"/>
        <v>20</v>
      </c>
      <c r="S73" s="70">
        <f t="shared" si="16"/>
        <v>20</v>
      </c>
      <c r="T73" s="70">
        <f t="shared" si="16"/>
        <v>20</v>
      </c>
      <c r="U73" s="70">
        <f t="shared" si="16"/>
        <v>20</v>
      </c>
      <c r="V73" s="70">
        <f t="shared" si="16"/>
        <v>20</v>
      </c>
      <c r="W73" s="70">
        <f t="shared" si="16"/>
        <v>20</v>
      </c>
      <c r="X73" s="70">
        <f t="shared" si="16"/>
        <v>20</v>
      </c>
      <c r="Y73" s="175"/>
    </row>
    <row r="74" spans="1:25" x14ac:dyDescent="0.25">
      <c r="A74" s="126">
        <f t="shared" si="8"/>
        <v>0</v>
      </c>
      <c r="B74" s="29"/>
      <c r="C74" s="30" t="str">
        <f t="shared" si="15"/>
        <v>НИВА 22.01.00.00.00.00.00.000 (1)</v>
      </c>
      <c r="D74" s="9" t="str">
        <f t="shared" si="18"/>
        <v>мин/см</v>
      </c>
      <c r="E74" s="74">
        <f>SUM(Простои!N20:P20)</f>
        <v>20</v>
      </c>
      <c r="F74" s="70">
        <f t="shared" si="17"/>
        <v>20</v>
      </c>
      <c r="G74" s="70">
        <f t="shared" si="16"/>
        <v>20</v>
      </c>
      <c r="H74" s="70">
        <f t="shared" si="16"/>
        <v>20</v>
      </c>
      <c r="I74" s="70">
        <f t="shared" si="16"/>
        <v>20</v>
      </c>
      <c r="J74" s="70">
        <f t="shared" si="16"/>
        <v>20</v>
      </c>
      <c r="K74" s="70">
        <f t="shared" si="16"/>
        <v>20</v>
      </c>
      <c r="L74" s="70">
        <f t="shared" si="16"/>
        <v>20</v>
      </c>
      <c r="M74" s="70">
        <f t="shared" si="16"/>
        <v>20</v>
      </c>
      <c r="N74" s="70">
        <f t="shared" si="16"/>
        <v>20</v>
      </c>
      <c r="O74" s="70">
        <f t="shared" si="16"/>
        <v>20</v>
      </c>
      <c r="P74" s="70">
        <f t="shared" si="16"/>
        <v>20</v>
      </c>
      <c r="Q74" s="70">
        <f t="shared" si="16"/>
        <v>20</v>
      </c>
      <c r="R74" s="70">
        <f t="shared" si="16"/>
        <v>20</v>
      </c>
      <c r="S74" s="70">
        <f t="shared" si="16"/>
        <v>20</v>
      </c>
      <c r="T74" s="70">
        <f t="shared" si="16"/>
        <v>20</v>
      </c>
      <c r="U74" s="70">
        <f t="shared" si="16"/>
        <v>20</v>
      </c>
      <c r="V74" s="70">
        <f t="shared" si="16"/>
        <v>20</v>
      </c>
      <c r="W74" s="70">
        <f t="shared" si="16"/>
        <v>20</v>
      </c>
      <c r="X74" s="70">
        <f t="shared" si="16"/>
        <v>20</v>
      </c>
      <c r="Y74" s="175"/>
    </row>
    <row r="75" spans="1:25" x14ac:dyDescent="0.25">
      <c r="A75" s="126">
        <f t="shared" si="8"/>
        <v>0</v>
      </c>
      <c r="B75" s="29"/>
      <c r="C75" s="30" t="str">
        <f t="shared" si="15"/>
        <v>НИВА 22.01.00.00.00.00.00.000 (2)</v>
      </c>
      <c r="D75" s="9" t="str">
        <f t="shared" si="18"/>
        <v>мин/см</v>
      </c>
      <c r="E75" s="74">
        <f>SUM(Простои!N21:P21)</f>
        <v>20</v>
      </c>
      <c r="F75" s="70">
        <f t="shared" si="17"/>
        <v>20</v>
      </c>
      <c r="G75" s="70">
        <f t="shared" si="16"/>
        <v>20</v>
      </c>
      <c r="H75" s="70">
        <f t="shared" si="16"/>
        <v>20</v>
      </c>
      <c r="I75" s="70">
        <f t="shared" si="16"/>
        <v>20</v>
      </c>
      <c r="J75" s="70">
        <f t="shared" si="16"/>
        <v>20</v>
      </c>
      <c r="K75" s="70">
        <f t="shared" si="16"/>
        <v>20</v>
      </c>
      <c r="L75" s="70">
        <f t="shared" si="16"/>
        <v>20</v>
      </c>
      <c r="M75" s="70">
        <f t="shared" si="16"/>
        <v>20</v>
      </c>
      <c r="N75" s="70">
        <f t="shared" si="16"/>
        <v>20</v>
      </c>
      <c r="O75" s="70">
        <f t="shared" si="16"/>
        <v>20</v>
      </c>
      <c r="P75" s="70">
        <f t="shared" si="16"/>
        <v>20</v>
      </c>
      <c r="Q75" s="70">
        <f t="shared" si="16"/>
        <v>20</v>
      </c>
      <c r="R75" s="70">
        <f t="shared" si="16"/>
        <v>20</v>
      </c>
      <c r="S75" s="70">
        <f t="shared" si="16"/>
        <v>20</v>
      </c>
      <c r="T75" s="70">
        <f t="shared" si="16"/>
        <v>20</v>
      </c>
      <c r="U75" s="70">
        <f t="shared" si="16"/>
        <v>20</v>
      </c>
      <c r="V75" s="70">
        <f t="shared" si="16"/>
        <v>20</v>
      </c>
      <c r="W75" s="70">
        <f t="shared" si="16"/>
        <v>20</v>
      </c>
      <c r="X75" s="70">
        <f t="shared" si="16"/>
        <v>20</v>
      </c>
      <c r="Y75" s="175"/>
    </row>
    <row r="76" spans="1:25" x14ac:dyDescent="0.25">
      <c r="A76" s="126">
        <f t="shared" si="8"/>
        <v>0</v>
      </c>
      <c r="B76" s="29"/>
      <c r="C76" s="30" t="str">
        <f t="shared" si="15"/>
        <v>**</v>
      </c>
      <c r="D76" s="9" t="str">
        <f t="shared" si="18"/>
        <v>мин/см</v>
      </c>
      <c r="E76" s="74">
        <f>SUM(Простои!N22:P22)</f>
        <v>0</v>
      </c>
      <c r="F76" s="70">
        <f t="shared" si="17"/>
        <v>0</v>
      </c>
      <c r="G76" s="70">
        <f t="shared" si="16"/>
        <v>0</v>
      </c>
      <c r="H76" s="70">
        <f t="shared" si="16"/>
        <v>0</v>
      </c>
      <c r="I76" s="70">
        <f t="shared" si="16"/>
        <v>0</v>
      </c>
      <c r="J76" s="70">
        <f t="shared" si="16"/>
        <v>0</v>
      </c>
      <c r="K76" s="70">
        <f t="shared" si="16"/>
        <v>0</v>
      </c>
      <c r="L76" s="70">
        <f t="shared" si="16"/>
        <v>0</v>
      </c>
      <c r="M76" s="70">
        <f t="shared" si="16"/>
        <v>0</v>
      </c>
      <c r="N76" s="70">
        <f t="shared" si="16"/>
        <v>0</v>
      </c>
      <c r="O76" s="70">
        <f t="shared" si="16"/>
        <v>0</v>
      </c>
      <c r="P76" s="70">
        <f t="shared" si="16"/>
        <v>0</v>
      </c>
      <c r="Q76" s="70">
        <f t="shared" si="16"/>
        <v>0</v>
      </c>
      <c r="R76" s="70">
        <f t="shared" si="16"/>
        <v>0</v>
      </c>
      <c r="S76" s="70">
        <f t="shared" si="16"/>
        <v>0</v>
      </c>
      <c r="T76" s="70">
        <f t="shared" si="16"/>
        <v>0</v>
      </c>
      <c r="U76" s="70">
        <f t="shared" si="16"/>
        <v>0</v>
      </c>
      <c r="V76" s="70">
        <f t="shared" si="16"/>
        <v>0</v>
      </c>
      <c r="W76" s="70">
        <f t="shared" si="16"/>
        <v>0</v>
      </c>
      <c r="X76" s="70">
        <f t="shared" si="16"/>
        <v>0</v>
      </c>
      <c r="Y76" s="175"/>
    </row>
    <row r="77" spans="1:25" x14ac:dyDescent="0.25">
      <c r="A77" s="126">
        <f t="shared" si="8"/>
        <v>1</v>
      </c>
      <c r="B77" s="29"/>
      <c r="C77" s="30" t="str">
        <f t="shared" si="15"/>
        <v>БС-215</v>
      </c>
      <c r="D77" s="9" t="str">
        <f t="shared" si="18"/>
        <v>мин/см</v>
      </c>
      <c r="E77" s="74">
        <f>SUM(Простои!N23:P23)</f>
        <v>80</v>
      </c>
      <c r="F77" s="70">
        <f t="shared" si="17"/>
        <v>80</v>
      </c>
      <c r="G77" s="70">
        <f t="shared" ref="G77:X87" si="19">F77</f>
        <v>80</v>
      </c>
      <c r="H77" s="70">
        <f t="shared" si="19"/>
        <v>80</v>
      </c>
      <c r="I77" s="70">
        <f t="shared" si="19"/>
        <v>80</v>
      </c>
      <c r="J77" s="70">
        <f t="shared" si="19"/>
        <v>80</v>
      </c>
      <c r="K77" s="70">
        <f t="shared" si="19"/>
        <v>80</v>
      </c>
      <c r="L77" s="70">
        <f t="shared" si="19"/>
        <v>80</v>
      </c>
      <c r="M77" s="70">
        <f t="shared" si="19"/>
        <v>80</v>
      </c>
      <c r="N77" s="70">
        <f t="shared" si="19"/>
        <v>80</v>
      </c>
      <c r="O77" s="70">
        <f t="shared" si="19"/>
        <v>80</v>
      </c>
      <c r="P77" s="70">
        <f t="shared" si="19"/>
        <v>80</v>
      </c>
      <c r="Q77" s="70">
        <f t="shared" si="19"/>
        <v>80</v>
      </c>
      <c r="R77" s="70">
        <f t="shared" si="19"/>
        <v>80</v>
      </c>
      <c r="S77" s="70">
        <f t="shared" si="19"/>
        <v>80</v>
      </c>
      <c r="T77" s="70">
        <f t="shared" si="19"/>
        <v>80</v>
      </c>
      <c r="U77" s="70">
        <f t="shared" si="19"/>
        <v>80</v>
      </c>
      <c r="V77" s="70">
        <f t="shared" si="19"/>
        <v>80</v>
      </c>
      <c r="W77" s="70">
        <f t="shared" si="19"/>
        <v>80</v>
      </c>
      <c r="X77" s="70">
        <f t="shared" si="19"/>
        <v>80</v>
      </c>
      <c r="Y77" s="175"/>
    </row>
    <row r="78" spans="1:25" x14ac:dyDescent="0.25">
      <c r="A78" s="126">
        <f t="shared" si="8"/>
        <v>0</v>
      </c>
      <c r="B78" s="29"/>
      <c r="C78" s="30" t="str">
        <f t="shared" si="15"/>
        <v>Sunward SWDRT200SM</v>
      </c>
      <c r="D78" s="9" t="str">
        <f t="shared" si="18"/>
        <v>мин/см</v>
      </c>
      <c r="E78" s="74">
        <f>SUM(Простои!N24:P24)</f>
        <v>80</v>
      </c>
      <c r="F78" s="70">
        <f t="shared" si="17"/>
        <v>80</v>
      </c>
      <c r="G78" s="70">
        <f t="shared" si="19"/>
        <v>80</v>
      </c>
      <c r="H78" s="70">
        <f t="shared" si="19"/>
        <v>80</v>
      </c>
      <c r="I78" s="70">
        <f t="shared" si="19"/>
        <v>80</v>
      </c>
      <c r="J78" s="70">
        <f t="shared" si="19"/>
        <v>80</v>
      </c>
      <c r="K78" s="70">
        <f t="shared" si="19"/>
        <v>80</v>
      </c>
      <c r="L78" s="70">
        <f t="shared" si="19"/>
        <v>80</v>
      </c>
      <c r="M78" s="70">
        <f t="shared" si="19"/>
        <v>80</v>
      </c>
      <c r="N78" s="70">
        <f t="shared" si="19"/>
        <v>80</v>
      </c>
      <c r="O78" s="70">
        <f t="shared" si="19"/>
        <v>80</v>
      </c>
      <c r="P78" s="70">
        <f t="shared" si="19"/>
        <v>80</v>
      </c>
      <c r="Q78" s="70">
        <f t="shared" si="19"/>
        <v>80</v>
      </c>
      <c r="R78" s="70">
        <f t="shared" si="19"/>
        <v>80</v>
      </c>
      <c r="S78" s="70">
        <f t="shared" si="19"/>
        <v>80</v>
      </c>
      <c r="T78" s="70">
        <f t="shared" si="19"/>
        <v>80</v>
      </c>
      <c r="U78" s="70">
        <f t="shared" si="19"/>
        <v>80</v>
      </c>
      <c r="V78" s="70">
        <f t="shared" si="19"/>
        <v>80</v>
      </c>
      <c r="W78" s="70">
        <f t="shared" si="19"/>
        <v>80</v>
      </c>
      <c r="X78" s="70">
        <f t="shared" si="19"/>
        <v>80</v>
      </c>
      <c r="Y78" s="175"/>
    </row>
    <row r="79" spans="1:25" x14ac:dyDescent="0.25">
      <c r="A79" s="126">
        <f t="shared" si="8"/>
        <v>0</v>
      </c>
      <c r="B79" s="29"/>
      <c r="C79" s="30" t="str">
        <f t="shared" si="15"/>
        <v>Sunward SWDRT250B</v>
      </c>
      <c r="D79" s="9" t="str">
        <f t="shared" si="18"/>
        <v>мин/см</v>
      </c>
      <c r="E79" s="74">
        <f>SUM(Простои!N25:P25)</f>
        <v>80</v>
      </c>
      <c r="F79" s="70">
        <f t="shared" si="17"/>
        <v>80</v>
      </c>
      <c r="G79" s="70">
        <f t="shared" si="19"/>
        <v>80</v>
      </c>
      <c r="H79" s="70">
        <f t="shared" si="19"/>
        <v>80</v>
      </c>
      <c r="I79" s="70">
        <f t="shared" si="19"/>
        <v>80</v>
      </c>
      <c r="J79" s="70">
        <f t="shared" si="19"/>
        <v>80</v>
      </c>
      <c r="K79" s="70">
        <f t="shared" si="19"/>
        <v>80</v>
      </c>
      <c r="L79" s="70">
        <f t="shared" si="19"/>
        <v>80</v>
      </c>
      <c r="M79" s="70">
        <f t="shared" si="19"/>
        <v>80</v>
      </c>
      <c r="N79" s="70">
        <f t="shared" si="19"/>
        <v>80</v>
      </c>
      <c r="O79" s="70">
        <f t="shared" si="19"/>
        <v>80</v>
      </c>
      <c r="P79" s="70">
        <f t="shared" si="19"/>
        <v>80</v>
      </c>
      <c r="Q79" s="70">
        <f t="shared" si="19"/>
        <v>80</v>
      </c>
      <c r="R79" s="70">
        <f t="shared" si="19"/>
        <v>80</v>
      </c>
      <c r="S79" s="70">
        <f t="shared" si="19"/>
        <v>80</v>
      </c>
      <c r="T79" s="70">
        <f t="shared" si="19"/>
        <v>80</v>
      </c>
      <c r="U79" s="70">
        <f t="shared" si="19"/>
        <v>80</v>
      </c>
      <c r="V79" s="70">
        <f t="shared" si="19"/>
        <v>80</v>
      </c>
      <c r="W79" s="70">
        <f t="shared" si="19"/>
        <v>80</v>
      </c>
      <c r="X79" s="70">
        <f t="shared" si="19"/>
        <v>80</v>
      </c>
      <c r="Y79" s="175"/>
    </row>
    <row r="80" spans="1:25" x14ac:dyDescent="0.25">
      <c r="A80" s="126">
        <f t="shared" si="8"/>
        <v>0</v>
      </c>
      <c r="B80" s="29"/>
      <c r="C80" s="30" t="str">
        <f t="shared" si="15"/>
        <v>ZEGA R8100L (2)</v>
      </c>
      <c r="D80" s="9" t="str">
        <f t="shared" si="18"/>
        <v>мин/см</v>
      </c>
      <c r="E80" s="74">
        <f>SUM(Простои!N26:P26)</f>
        <v>80</v>
      </c>
      <c r="F80" s="70">
        <f t="shared" si="17"/>
        <v>80</v>
      </c>
      <c r="G80" s="70">
        <f t="shared" si="19"/>
        <v>80</v>
      </c>
      <c r="H80" s="70">
        <f t="shared" si="19"/>
        <v>80</v>
      </c>
      <c r="I80" s="70">
        <f t="shared" si="19"/>
        <v>80</v>
      </c>
      <c r="J80" s="70">
        <f t="shared" si="19"/>
        <v>80</v>
      </c>
      <c r="K80" s="70">
        <f t="shared" si="19"/>
        <v>80</v>
      </c>
      <c r="L80" s="70">
        <f t="shared" si="19"/>
        <v>80</v>
      </c>
      <c r="M80" s="70">
        <f t="shared" si="19"/>
        <v>80</v>
      </c>
      <c r="N80" s="70">
        <f t="shared" si="19"/>
        <v>80</v>
      </c>
      <c r="O80" s="70">
        <f t="shared" si="19"/>
        <v>80</v>
      </c>
      <c r="P80" s="70">
        <f t="shared" si="19"/>
        <v>80</v>
      </c>
      <c r="Q80" s="70">
        <f t="shared" si="19"/>
        <v>80</v>
      </c>
      <c r="R80" s="70">
        <f t="shared" si="19"/>
        <v>80</v>
      </c>
      <c r="S80" s="70">
        <f t="shared" si="19"/>
        <v>80</v>
      </c>
      <c r="T80" s="70">
        <f t="shared" si="19"/>
        <v>80</v>
      </c>
      <c r="U80" s="70">
        <f t="shared" si="19"/>
        <v>80</v>
      </c>
      <c r="V80" s="70">
        <f t="shared" si="19"/>
        <v>80</v>
      </c>
      <c r="W80" s="70">
        <f t="shared" si="19"/>
        <v>80</v>
      </c>
      <c r="X80" s="70">
        <f t="shared" si="19"/>
        <v>80</v>
      </c>
      <c r="Y80" s="175"/>
    </row>
    <row r="81" spans="1:25" x14ac:dyDescent="0.25">
      <c r="A81" s="126">
        <f t="shared" si="8"/>
        <v>0</v>
      </c>
      <c r="B81" s="29"/>
      <c r="C81" s="30" t="str">
        <f t="shared" si="15"/>
        <v>Revathi C650D</v>
      </c>
      <c r="D81" s="9" t="str">
        <f t="shared" si="18"/>
        <v>мин/см</v>
      </c>
      <c r="E81" s="74">
        <f>SUM(Простои!N27:P27)</f>
        <v>80</v>
      </c>
      <c r="F81" s="70">
        <f t="shared" si="17"/>
        <v>80</v>
      </c>
      <c r="G81" s="70">
        <f t="shared" si="19"/>
        <v>80</v>
      </c>
      <c r="H81" s="70">
        <f t="shared" si="19"/>
        <v>80</v>
      </c>
      <c r="I81" s="70">
        <f t="shared" si="19"/>
        <v>80</v>
      </c>
      <c r="J81" s="70">
        <f t="shared" si="19"/>
        <v>80</v>
      </c>
      <c r="K81" s="70">
        <f t="shared" si="19"/>
        <v>80</v>
      </c>
      <c r="L81" s="70">
        <f t="shared" si="19"/>
        <v>80</v>
      </c>
      <c r="M81" s="70">
        <f t="shared" si="19"/>
        <v>80</v>
      </c>
      <c r="N81" s="70">
        <f t="shared" si="19"/>
        <v>80</v>
      </c>
      <c r="O81" s="70">
        <f t="shared" si="19"/>
        <v>80</v>
      </c>
      <c r="P81" s="70">
        <f t="shared" si="19"/>
        <v>80</v>
      </c>
      <c r="Q81" s="70">
        <f t="shared" si="19"/>
        <v>80</v>
      </c>
      <c r="R81" s="70">
        <f t="shared" si="19"/>
        <v>80</v>
      </c>
      <c r="S81" s="70">
        <f t="shared" si="19"/>
        <v>80</v>
      </c>
      <c r="T81" s="70">
        <f t="shared" si="19"/>
        <v>80</v>
      </c>
      <c r="U81" s="70">
        <f t="shared" si="19"/>
        <v>80</v>
      </c>
      <c r="V81" s="70">
        <f t="shared" si="19"/>
        <v>80</v>
      </c>
      <c r="W81" s="70">
        <f t="shared" si="19"/>
        <v>80</v>
      </c>
      <c r="X81" s="70">
        <f t="shared" si="19"/>
        <v>80</v>
      </c>
      <c r="Y81" s="175"/>
    </row>
    <row r="82" spans="1:25" x14ac:dyDescent="0.25">
      <c r="A82" s="126">
        <f t="shared" si="8"/>
        <v>0</v>
      </c>
      <c r="B82" s="29"/>
      <c r="C82" s="30" t="str">
        <f t="shared" si="15"/>
        <v>MS1200RB</v>
      </c>
      <c r="D82" s="9" t="str">
        <f t="shared" si="18"/>
        <v>мин/см</v>
      </c>
      <c r="E82" s="74">
        <f>SUM(Простои!N28:P28)</f>
        <v>80</v>
      </c>
      <c r="F82" s="70">
        <f t="shared" si="17"/>
        <v>80</v>
      </c>
      <c r="G82" s="70">
        <f t="shared" si="19"/>
        <v>80</v>
      </c>
      <c r="H82" s="70">
        <f t="shared" si="19"/>
        <v>80</v>
      </c>
      <c r="I82" s="70">
        <f t="shared" si="19"/>
        <v>80</v>
      </c>
      <c r="J82" s="70">
        <f t="shared" si="19"/>
        <v>80</v>
      </c>
      <c r="K82" s="70">
        <f t="shared" si="19"/>
        <v>80</v>
      </c>
      <c r="L82" s="70">
        <f t="shared" si="19"/>
        <v>80</v>
      </c>
      <c r="M82" s="70">
        <f t="shared" si="19"/>
        <v>80</v>
      </c>
      <c r="N82" s="70">
        <f t="shared" si="19"/>
        <v>80</v>
      </c>
      <c r="O82" s="70">
        <f t="shared" si="19"/>
        <v>80</v>
      </c>
      <c r="P82" s="70">
        <f t="shared" si="19"/>
        <v>80</v>
      </c>
      <c r="Q82" s="70">
        <f t="shared" si="19"/>
        <v>80</v>
      </c>
      <c r="R82" s="70">
        <f t="shared" si="19"/>
        <v>80</v>
      </c>
      <c r="S82" s="70">
        <f t="shared" si="19"/>
        <v>80</v>
      </c>
      <c r="T82" s="70">
        <f t="shared" si="19"/>
        <v>80</v>
      </c>
      <c r="U82" s="70">
        <f t="shared" si="19"/>
        <v>80</v>
      </c>
      <c r="V82" s="70">
        <f t="shared" si="19"/>
        <v>80</v>
      </c>
      <c r="W82" s="70">
        <f t="shared" si="19"/>
        <v>80</v>
      </c>
      <c r="X82" s="70">
        <f t="shared" si="19"/>
        <v>80</v>
      </c>
      <c r="Y82" s="175"/>
    </row>
    <row r="83" spans="1:25" x14ac:dyDescent="0.25">
      <c r="A83" s="126">
        <f t="shared" si="8"/>
        <v>0</v>
      </c>
      <c r="B83" s="29"/>
      <c r="C83" s="30" t="str">
        <f t="shared" si="15"/>
        <v>СБ-55Д-01</v>
      </c>
      <c r="D83" s="9" t="str">
        <f t="shared" si="18"/>
        <v>мин/см</v>
      </c>
      <c r="E83" s="74">
        <f>SUM(Простои!N29:P29)</f>
        <v>80</v>
      </c>
      <c r="F83" s="70">
        <f t="shared" si="17"/>
        <v>80</v>
      </c>
      <c r="G83" s="70">
        <f t="shared" si="19"/>
        <v>80</v>
      </c>
      <c r="H83" s="70">
        <f t="shared" si="19"/>
        <v>80</v>
      </c>
      <c r="I83" s="70">
        <f t="shared" si="19"/>
        <v>80</v>
      </c>
      <c r="J83" s="70">
        <f t="shared" si="19"/>
        <v>80</v>
      </c>
      <c r="K83" s="70">
        <f t="shared" si="19"/>
        <v>80</v>
      </c>
      <c r="L83" s="70">
        <f t="shared" si="19"/>
        <v>80</v>
      </c>
      <c r="M83" s="70">
        <f t="shared" si="19"/>
        <v>80</v>
      </c>
      <c r="N83" s="70">
        <f t="shared" si="19"/>
        <v>80</v>
      </c>
      <c r="O83" s="70">
        <f t="shared" si="19"/>
        <v>80</v>
      </c>
      <c r="P83" s="70">
        <f t="shared" si="19"/>
        <v>80</v>
      </c>
      <c r="Q83" s="70">
        <f t="shared" si="19"/>
        <v>80</v>
      </c>
      <c r="R83" s="70">
        <f t="shared" si="19"/>
        <v>80</v>
      </c>
      <c r="S83" s="70">
        <f t="shared" si="19"/>
        <v>80</v>
      </c>
      <c r="T83" s="70">
        <f t="shared" si="19"/>
        <v>80</v>
      </c>
      <c r="U83" s="70">
        <f t="shared" si="19"/>
        <v>80</v>
      </c>
      <c r="V83" s="70">
        <f t="shared" si="19"/>
        <v>80</v>
      </c>
      <c r="W83" s="70">
        <f t="shared" si="19"/>
        <v>80</v>
      </c>
      <c r="X83" s="70">
        <f t="shared" si="19"/>
        <v>80</v>
      </c>
      <c r="Y83" s="175"/>
    </row>
    <row r="84" spans="1:25" x14ac:dyDescent="0.25">
      <c r="A84" s="126">
        <f t="shared" si="8"/>
        <v>0</v>
      </c>
      <c r="B84" s="29"/>
      <c r="C84" s="30" t="str">
        <f t="shared" si="15"/>
        <v>KAMACH KY-250D</v>
      </c>
      <c r="D84" s="9" t="str">
        <f t="shared" si="18"/>
        <v>мин/см</v>
      </c>
      <c r="E84" s="74">
        <f>SUM(Простои!N30:P30)</f>
        <v>80</v>
      </c>
      <c r="F84" s="70">
        <f t="shared" si="17"/>
        <v>80</v>
      </c>
      <c r="G84" s="70">
        <f t="shared" si="19"/>
        <v>80</v>
      </c>
      <c r="H84" s="70">
        <f t="shared" si="19"/>
        <v>80</v>
      </c>
      <c r="I84" s="70">
        <f t="shared" si="19"/>
        <v>80</v>
      </c>
      <c r="J84" s="70">
        <f t="shared" si="19"/>
        <v>80</v>
      </c>
      <c r="K84" s="70">
        <f t="shared" si="19"/>
        <v>80</v>
      </c>
      <c r="L84" s="70">
        <f t="shared" si="19"/>
        <v>80</v>
      </c>
      <c r="M84" s="70">
        <f t="shared" si="19"/>
        <v>80</v>
      </c>
      <c r="N84" s="70">
        <f t="shared" si="19"/>
        <v>80</v>
      </c>
      <c r="O84" s="70">
        <f t="shared" si="19"/>
        <v>80</v>
      </c>
      <c r="P84" s="70">
        <f t="shared" si="19"/>
        <v>80</v>
      </c>
      <c r="Q84" s="70">
        <f t="shared" si="19"/>
        <v>80</v>
      </c>
      <c r="R84" s="70">
        <f t="shared" si="19"/>
        <v>80</v>
      </c>
      <c r="S84" s="70">
        <f t="shared" si="19"/>
        <v>80</v>
      </c>
      <c r="T84" s="70">
        <f t="shared" si="19"/>
        <v>80</v>
      </c>
      <c r="U84" s="70">
        <f t="shared" si="19"/>
        <v>80</v>
      </c>
      <c r="V84" s="70">
        <f t="shared" si="19"/>
        <v>80</v>
      </c>
      <c r="W84" s="70">
        <f t="shared" si="19"/>
        <v>80</v>
      </c>
      <c r="X84" s="70">
        <f t="shared" si="19"/>
        <v>80</v>
      </c>
      <c r="Y84" s="175"/>
    </row>
    <row r="85" spans="1:25" x14ac:dyDescent="0.25">
      <c r="A85" s="126">
        <f t="shared" si="8"/>
        <v>0</v>
      </c>
      <c r="B85" s="29"/>
      <c r="C85" s="30" t="str">
        <f t="shared" si="15"/>
        <v>НИВА 23.01.00.00.00.00.00.000 (1)</v>
      </c>
      <c r="D85" s="9" t="str">
        <f t="shared" si="18"/>
        <v>мин/см</v>
      </c>
      <c r="E85" s="74">
        <f>SUM(Простои!N31:P31)</f>
        <v>80</v>
      </c>
      <c r="F85" s="70">
        <f t="shared" si="17"/>
        <v>80</v>
      </c>
      <c r="G85" s="70">
        <f t="shared" si="19"/>
        <v>80</v>
      </c>
      <c r="H85" s="70">
        <f t="shared" si="19"/>
        <v>80</v>
      </c>
      <c r="I85" s="70">
        <f t="shared" si="19"/>
        <v>80</v>
      </c>
      <c r="J85" s="70">
        <f t="shared" si="19"/>
        <v>80</v>
      </c>
      <c r="K85" s="70">
        <f t="shared" si="19"/>
        <v>80</v>
      </c>
      <c r="L85" s="70">
        <f t="shared" si="19"/>
        <v>80</v>
      </c>
      <c r="M85" s="70">
        <f t="shared" si="19"/>
        <v>80</v>
      </c>
      <c r="N85" s="70">
        <f t="shared" si="19"/>
        <v>80</v>
      </c>
      <c r="O85" s="70">
        <f t="shared" si="19"/>
        <v>80</v>
      </c>
      <c r="P85" s="70">
        <f t="shared" si="19"/>
        <v>80</v>
      </c>
      <c r="Q85" s="70">
        <f t="shared" si="19"/>
        <v>80</v>
      </c>
      <c r="R85" s="70">
        <f t="shared" si="19"/>
        <v>80</v>
      </c>
      <c r="S85" s="70">
        <f t="shared" si="19"/>
        <v>80</v>
      </c>
      <c r="T85" s="70">
        <f t="shared" si="19"/>
        <v>80</v>
      </c>
      <c r="U85" s="70">
        <f t="shared" si="19"/>
        <v>80</v>
      </c>
      <c r="V85" s="70">
        <f t="shared" si="19"/>
        <v>80</v>
      </c>
      <c r="W85" s="70">
        <f t="shared" si="19"/>
        <v>80</v>
      </c>
      <c r="X85" s="70">
        <f t="shared" si="19"/>
        <v>80</v>
      </c>
      <c r="Y85" s="175"/>
    </row>
    <row r="86" spans="1:25" x14ac:dyDescent="0.25">
      <c r="A86" s="126">
        <f t="shared" si="8"/>
        <v>0</v>
      </c>
      <c r="B86" s="29"/>
      <c r="C86" s="30" t="str">
        <f t="shared" si="15"/>
        <v>НИВА 23.01.00.00.00.00.00.000 (2)</v>
      </c>
      <c r="D86" s="9" t="str">
        <f t="shared" si="18"/>
        <v>мин/см</v>
      </c>
      <c r="E86" s="74">
        <f>SUM(Простои!N32:P32)</f>
        <v>80</v>
      </c>
      <c r="F86" s="70">
        <f t="shared" si="17"/>
        <v>80</v>
      </c>
      <c r="G86" s="70">
        <f t="shared" si="19"/>
        <v>80</v>
      </c>
      <c r="H86" s="70">
        <f t="shared" si="19"/>
        <v>80</v>
      </c>
      <c r="I86" s="70">
        <f t="shared" si="19"/>
        <v>80</v>
      </c>
      <c r="J86" s="70">
        <f t="shared" si="19"/>
        <v>80</v>
      </c>
      <c r="K86" s="70">
        <f t="shared" si="19"/>
        <v>80</v>
      </c>
      <c r="L86" s="70">
        <f t="shared" si="19"/>
        <v>80</v>
      </c>
      <c r="M86" s="70">
        <f t="shared" si="19"/>
        <v>80</v>
      </c>
      <c r="N86" s="70">
        <f t="shared" si="19"/>
        <v>80</v>
      </c>
      <c r="O86" s="70">
        <f t="shared" si="19"/>
        <v>80</v>
      </c>
      <c r="P86" s="70">
        <f t="shared" si="19"/>
        <v>80</v>
      </c>
      <c r="Q86" s="70">
        <f t="shared" si="19"/>
        <v>80</v>
      </c>
      <c r="R86" s="70">
        <f t="shared" si="19"/>
        <v>80</v>
      </c>
      <c r="S86" s="70">
        <f t="shared" si="19"/>
        <v>80</v>
      </c>
      <c r="T86" s="70">
        <f t="shared" si="19"/>
        <v>80</v>
      </c>
      <c r="U86" s="70">
        <f t="shared" si="19"/>
        <v>80</v>
      </c>
      <c r="V86" s="70">
        <f t="shared" si="19"/>
        <v>80</v>
      </c>
      <c r="W86" s="70">
        <f t="shared" si="19"/>
        <v>80</v>
      </c>
      <c r="X86" s="70">
        <f t="shared" si="19"/>
        <v>80</v>
      </c>
      <c r="Y86" s="175"/>
    </row>
    <row r="87" spans="1:25" x14ac:dyDescent="0.25">
      <c r="A87" s="126">
        <f t="shared" si="8"/>
        <v>0</v>
      </c>
      <c r="B87" s="29"/>
      <c r="C87" s="30" t="str">
        <f t="shared" si="15"/>
        <v>***</v>
      </c>
      <c r="D87" s="9" t="str">
        <f t="shared" ref="D87" si="20">D86</f>
        <v>мин/см</v>
      </c>
      <c r="E87" s="74">
        <f>SUM(Простои!N33:P33)</f>
        <v>0</v>
      </c>
      <c r="F87" s="70">
        <f t="shared" si="17"/>
        <v>0</v>
      </c>
      <c r="G87" s="70">
        <f t="shared" si="19"/>
        <v>0</v>
      </c>
      <c r="H87" s="70">
        <f t="shared" si="19"/>
        <v>0</v>
      </c>
      <c r="I87" s="70">
        <f t="shared" si="19"/>
        <v>0</v>
      </c>
      <c r="J87" s="70">
        <f t="shared" si="19"/>
        <v>0</v>
      </c>
      <c r="K87" s="70">
        <f t="shared" si="19"/>
        <v>0</v>
      </c>
      <c r="L87" s="70">
        <f t="shared" si="19"/>
        <v>0</v>
      </c>
      <c r="M87" s="70">
        <f t="shared" si="19"/>
        <v>0</v>
      </c>
      <c r="N87" s="70">
        <f t="shared" si="19"/>
        <v>0</v>
      </c>
      <c r="O87" s="70">
        <f t="shared" si="19"/>
        <v>0</v>
      </c>
      <c r="P87" s="70">
        <f t="shared" si="19"/>
        <v>0</v>
      </c>
      <c r="Q87" s="70">
        <f t="shared" si="19"/>
        <v>0</v>
      </c>
      <c r="R87" s="70">
        <f t="shared" si="19"/>
        <v>0</v>
      </c>
      <c r="S87" s="70">
        <f t="shared" si="19"/>
        <v>0</v>
      </c>
      <c r="T87" s="70">
        <f t="shared" si="19"/>
        <v>0</v>
      </c>
      <c r="U87" s="70">
        <f t="shared" si="19"/>
        <v>0</v>
      </c>
      <c r="V87" s="70">
        <f t="shared" si="19"/>
        <v>0</v>
      </c>
      <c r="W87" s="70">
        <f t="shared" si="19"/>
        <v>0</v>
      </c>
      <c r="X87" s="70">
        <f t="shared" si="19"/>
        <v>0</v>
      </c>
      <c r="Y87" s="175"/>
    </row>
    <row r="88" spans="1:25" x14ac:dyDescent="0.25">
      <c r="A88" s="126">
        <f t="shared" si="8"/>
        <v>1</v>
      </c>
      <c r="B88" s="64">
        <f>B61+1</f>
        <v>3</v>
      </c>
      <c r="C88" s="85" t="s">
        <v>87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175"/>
    </row>
    <row r="89" spans="1:25" x14ac:dyDescent="0.25">
      <c r="A89" s="126">
        <f t="shared" si="8"/>
        <v>1</v>
      </c>
      <c r="B89" s="29"/>
      <c r="C89" s="30" t="str">
        <f t="shared" ref="C89:C114" si="21">C62</f>
        <v>YANGZI DR75</v>
      </c>
      <c r="D89" s="9" t="s">
        <v>86</v>
      </c>
      <c r="E89" s="74">
        <f>SUM(Простои!C8,Простои!E8:J8)+Простои!K8/12*Простои!L8</f>
        <v>57.920765027322403</v>
      </c>
      <c r="F89" s="74">
        <f>E89+Простои!U8</f>
        <v>57.920765027322403</v>
      </c>
      <c r="G89" s="74">
        <f>F89+Простои!Y8</f>
        <v>57.920765027322403</v>
      </c>
      <c r="H89" s="83">
        <f>G89</f>
        <v>57.920765027322403</v>
      </c>
      <c r="I89" s="83">
        <f t="shared" ref="I89:X104" si="22">H89</f>
        <v>57.920765027322403</v>
      </c>
      <c r="J89" s="83">
        <f t="shared" si="22"/>
        <v>57.920765027322403</v>
      </c>
      <c r="K89" s="83">
        <f t="shared" si="22"/>
        <v>57.920765027322403</v>
      </c>
      <c r="L89" s="83">
        <f t="shared" si="22"/>
        <v>57.920765027322403</v>
      </c>
      <c r="M89" s="83">
        <f t="shared" si="22"/>
        <v>57.920765027322403</v>
      </c>
      <c r="N89" s="83">
        <f t="shared" si="22"/>
        <v>57.920765027322403</v>
      </c>
      <c r="O89" s="83">
        <f t="shared" si="22"/>
        <v>57.920765027322403</v>
      </c>
      <c r="P89" s="83">
        <f t="shared" si="22"/>
        <v>57.920765027322403</v>
      </c>
      <c r="Q89" s="83">
        <f t="shared" si="22"/>
        <v>57.920765027322403</v>
      </c>
      <c r="R89" s="83">
        <f t="shared" si="22"/>
        <v>57.920765027322403</v>
      </c>
      <c r="S89" s="83">
        <f t="shared" si="22"/>
        <v>57.920765027322403</v>
      </c>
      <c r="T89" s="83">
        <f t="shared" si="22"/>
        <v>57.920765027322403</v>
      </c>
      <c r="U89" s="83">
        <f t="shared" si="22"/>
        <v>57.920765027322403</v>
      </c>
      <c r="V89" s="83">
        <f t="shared" si="22"/>
        <v>57.920765027322403</v>
      </c>
      <c r="W89" s="83">
        <f t="shared" si="22"/>
        <v>57.920765027322403</v>
      </c>
      <c r="X89" s="83">
        <f t="shared" si="22"/>
        <v>57.920765027322403</v>
      </c>
      <c r="Y89" s="175"/>
    </row>
    <row r="90" spans="1:25" x14ac:dyDescent="0.25">
      <c r="A90" s="126">
        <f t="shared" si="8"/>
        <v>1</v>
      </c>
      <c r="B90" s="29"/>
      <c r="C90" s="30" t="str">
        <f t="shared" si="21"/>
        <v>Sunward SWDRT250SM</v>
      </c>
      <c r="D90" s="9" t="str">
        <f>D89</f>
        <v>мин/см</v>
      </c>
      <c r="E90" s="74">
        <f>SUM(Простои!C9,Простои!E9:J9)+Простои!K9/12*Простои!L9</f>
        <v>57.920765027322403</v>
      </c>
      <c r="F90" s="74">
        <f>E90+Простои!U9</f>
        <v>57.920765027322403</v>
      </c>
      <c r="G90" s="74">
        <f>F90+Простои!Y9</f>
        <v>57.920765027322403</v>
      </c>
      <c r="H90" s="83">
        <f t="shared" ref="H90:W114" si="23">G90</f>
        <v>57.920765027322403</v>
      </c>
      <c r="I90" s="83">
        <f t="shared" si="23"/>
        <v>57.920765027322403</v>
      </c>
      <c r="J90" s="83">
        <f t="shared" si="23"/>
        <v>57.920765027322403</v>
      </c>
      <c r="K90" s="83">
        <f t="shared" si="23"/>
        <v>57.920765027322403</v>
      </c>
      <c r="L90" s="83">
        <f t="shared" si="23"/>
        <v>57.920765027322403</v>
      </c>
      <c r="M90" s="83">
        <f t="shared" si="23"/>
        <v>57.920765027322403</v>
      </c>
      <c r="N90" s="83">
        <f t="shared" si="23"/>
        <v>57.920765027322403</v>
      </c>
      <c r="O90" s="83">
        <f t="shared" si="23"/>
        <v>57.920765027322403</v>
      </c>
      <c r="P90" s="83">
        <f t="shared" si="23"/>
        <v>57.920765027322403</v>
      </c>
      <c r="Q90" s="83">
        <f t="shared" si="23"/>
        <v>57.920765027322403</v>
      </c>
      <c r="R90" s="83">
        <f t="shared" si="23"/>
        <v>57.920765027322403</v>
      </c>
      <c r="S90" s="83">
        <f t="shared" si="23"/>
        <v>57.920765027322403</v>
      </c>
      <c r="T90" s="83">
        <f t="shared" si="23"/>
        <v>57.920765027322403</v>
      </c>
      <c r="U90" s="83">
        <f t="shared" si="23"/>
        <v>57.920765027322403</v>
      </c>
      <c r="V90" s="83">
        <f t="shared" si="23"/>
        <v>57.920765027322403</v>
      </c>
      <c r="W90" s="83">
        <f t="shared" si="23"/>
        <v>57.920765027322403</v>
      </c>
      <c r="X90" s="83">
        <f t="shared" si="22"/>
        <v>57.920765027322403</v>
      </c>
      <c r="Y90" s="175"/>
    </row>
    <row r="91" spans="1:25" x14ac:dyDescent="0.25">
      <c r="A91" s="126">
        <f t="shared" si="8"/>
        <v>1</v>
      </c>
      <c r="B91" s="29"/>
      <c r="C91" s="30" t="str">
        <f t="shared" si="21"/>
        <v>Sunward SWDRT270SM</v>
      </c>
      <c r="D91" s="9" t="str">
        <f t="shared" ref="D91:D113" si="24">D90</f>
        <v>мин/см</v>
      </c>
      <c r="E91" s="74">
        <f>SUM(Простои!C10,Простои!E10:J10)+Простои!K10/12*Простои!L10</f>
        <v>57.920765027322403</v>
      </c>
      <c r="F91" s="74">
        <f>E91+Простои!U10</f>
        <v>57.920765027322403</v>
      </c>
      <c r="G91" s="74">
        <f>F91+Простои!Y10</f>
        <v>57.920765027322403</v>
      </c>
      <c r="H91" s="83">
        <f t="shared" si="23"/>
        <v>57.920765027322403</v>
      </c>
      <c r="I91" s="83">
        <f t="shared" si="22"/>
        <v>57.920765027322403</v>
      </c>
      <c r="J91" s="83">
        <f t="shared" si="22"/>
        <v>57.920765027322403</v>
      </c>
      <c r="K91" s="83">
        <f t="shared" si="22"/>
        <v>57.920765027322403</v>
      </c>
      <c r="L91" s="83">
        <f t="shared" si="22"/>
        <v>57.920765027322403</v>
      </c>
      <c r="M91" s="83">
        <f t="shared" si="22"/>
        <v>57.920765027322403</v>
      </c>
      <c r="N91" s="83">
        <f t="shared" si="22"/>
        <v>57.920765027322403</v>
      </c>
      <c r="O91" s="83">
        <f t="shared" si="22"/>
        <v>57.920765027322403</v>
      </c>
      <c r="P91" s="83">
        <f t="shared" si="22"/>
        <v>57.920765027322403</v>
      </c>
      <c r="Q91" s="83">
        <f t="shared" si="22"/>
        <v>57.920765027322403</v>
      </c>
      <c r="R91" s="83">
        <f t="shared" si="22"/>
        <v>57.920765027322403</v>
      </c>
      <c r="S91" s="83">
        <f t="shared" si="22"/>
        <v>57.920765027322403</v>
      </c>
      <c r="T91" s="83">
        <f t="shared" si="22"/>
        <v>57.920765027322403</v>
      </c>
      <c r="U91" s="83">
        <f t="shared" si="22"/>
        <v>57.920765027322403</v>
      </c>
      <c r="V91" s="83">
        <f t="shared" si="22"/>
        <v>57.920765027322403</v>
      </c>
      <c r="W91" s="83">
        <f t="shared" si="22"/>
        <v>57.920765027322403</v>
      </c>
      <c r="X91" s="83">
        <f t="shared" si="22"/>
        <v>57.920765027322403</v>
      </c>
      <c r="Y91" s="175"/>
    </row>
    <row r="92" spans="1:25" x14ac:dyDescent="0.25">
      <c r="A92" s="126">
        <f t="shared" si="8"/>
        <v>1</v>
      </c>
      <c r="B92" s="29"/>
      <c r="C92" s="30" t="str">
        <f t="shared" si="21"/>
        <v>Sunward SWDRT270B</v>
      </c>
      <c r="D92" s="9" t="str">
        <f t="shared" si="24"/>
        <v>мин/см</v>
      </c>
      <c r="E92" s="74">
        <f>SUM(Простои!C11,Простои!E11:J11)+Простои!K11/12*Простои!L11</f>
        <v>57.920765027322403</v>
      </c>
      <c r="F92" s="74">
        <f>E92+Простои!U11</f>
        <v>57.920765027322403</v>
      </c>
      <c r="G92" s="74">
        <f>F92+Простои!Y11</f>
        <v>57.920765027322403</v>
      </c>
      <c r="H92" s="83">
        <f t="shared" si="23"/>
        <v>57.920765027322403</v>
      </c>
      <c r="I92" s="83">
        <f t="shared" si="22"/>
        <v>57.920765027322403</v>
      </c>
      <c r="J92" s="83">
        <f t="shared" si="22"/>
        <v>57.920765027322403</v>
      </c>
      <c r="K92" s="83">
        <f t="shared" si="22"/>
        <v>57.920765027322403</v>
      </c>
      <c r="L92" s="83">
        <f t="shared" si="22"/>
        <v>57.920765027322403</v>
      </c>
      <c r="M92" s="83">
        <f t="shared" si="22"/>
        <v>57.920765027322403</v>
      </c>
      <c r="N92" s="83">
        <f t="shared" si="22"/>
        <v>57.920765027322403</v>
      </c>
      <c r="O92" s="83">
        <f t="shared" si="22"/>
        <v>57.920765027322403</v>
      </c>
      <c r="P92" s="83">
        <f t="shared" si="22"/>
        <v>57.920765027322403</v>
      </c>
      <c r="Q92" s="83">
        <f t="shared" si="22"/>
        <v>57.920765027322403</v>
      </c>
      <c r="R92" s="83">
        <f t="shared" si="22"/>
        <v>57.920765027322403</v>
      </c>
      <c r="S92" s="83">
        <f t="shared" si="22"/>
        <v>57.920765027322403</v>
      </c>
      <c r="T92" s="83">
        <f t="shared" si="22"/>
        <v>57.920765027322403</v>
      </c>
      <c r="U92" s="83">
        <f t="shared" si="22"/>
        <v>57.920765027322403</v>
      </c>
      <c r="V92" s="83">
        <f t="shared" si="22"/>
        <v>57.920765027322403</v>
      </c>
      <c r="W92" s="83">
        <f t="shared" si="22"/>
        <v>57.920765027322403</v>
      </c>
      <c r="X92" s="83">
        <f t="shared" si="22"/>
        <v>57.920765027322403</v>
      </c>
      <c r="Y92" s="175"/>
    </row>
    <row r="93" spans="1:25" x14ac:dyDescent="0.25">
      <c r="A93" s="126">
        <f t="shared" si="8"/>
        <v>1</v>
      </c>
      <c r="B93" s="29"/>
      <c r="C93" s="30" t="str">
        <f t="shared" si="21"/>
        <v>HIFO 75D</v>
      </c>
      <c r="D93" s="9" t="str">
        <f t="shared" si="24"/>
        <v>мин/см</v>
      </c>
      <c r="E93" s="74">
        <f>SUM(Простои!C12,Простои!E12:J12)+Простои!K12/12*Простои!L12</f>
        <v>57.920765027322403</v>
      </c>
      <c r="F93" s="74">
        <f>E93+Простои!U12</f>
        <v>57.920765027322403</v>
      </c>
      <c r="G93" s="74">
        <f>F93+Простои!Y12</f>
        <v>57.920765027322403</v>
      </c>
      <c r="H93" s="83">
        <f t="shared" si="23"/>
        <v>57.920765027322403</v>
      </c>
      <c r="I93" s="83">
        <f t="shared" si="22"/>
        <v>57.920765027322403</v>
      </c>
      <c r="J93" s="83">
        <f t="shared" si="22"/>
        <v>57.920765027322403</v>
      </c>
      <c r="K93" s="83">
        <f t="shared" si="22"/>
        <v>57.920765027322403</v>
      </c>
      <c r="L93" s="83">
        <f t="shared" si="22"/>
        <v>57.920765027322403</v>
      </c>
      <c r="M93" s="83">
        <f t="shared" si="22"/>
        <v>57.920765027322403</v>
      </c>
      <c r="N93" s="83">
        <f t="shared" si="22"/>
        <v>57.920765027322403</v>
      </c>
      <c r="O93" s="83">
        <f t="shared" si="22"/>
        <v>57.920765027322403</v>
      </c>
      <c r="P93" s="83">
        <f t="shared" si="22"/>
        <v>57.920765027322403</v>
      </c>
      <c r="Q93" s="83">
        <f t="shared" si="22"/>
        <v>57.920765027322403</v>
      </c>
      <c r="R93" s="83">
        <f t="shared" si="22"/>
        <v>57.920765027322403</v>
      </c>
      <c r="S93" s="83">
        <f t="shared" si="22"/>
        <v>57.920765027322403</v>
      </c>
      <c r="T93" s="83">
        <f t="shared" si="22"/>
        <v>57.920765027322403</v>
      </c>
      <c r="U93" s="83">
        <f t="shared" si="22"/>
        <v>57.920765027322403</v>
      </c>
      <c r="V93" s="83">
        <f t="shared" si="22"/>
        <v>57.920765027322403</v>
      </c>
      <c r="W93" s="83">
        <f t="shared" si="22"/>
        <v>57.920765027322403</v>
      </c>
      <c r="X93" s="83">
        <f t="shared" si="22"/>
        <v>57.920765027322403</v>
      </c>
      <c r="Y93" s="175"/>
    </row>
    <row r="94" spans="1:25" x14ac:dyDescent="0.25">
      <c r="A94" s="126">
        <f t="shared" si="8"/>
        <v>0</v>
      </c>
      <c r="B94" s="29"/>
      <c r="C94" s="30" t="str">
        <f t="shared" si="21"/>
        <v>ZEGA R8100L (1)</v>
      </c>
      <c r="D94" s="9" t="str">
        <f t="shared" si="24"/>
        <v>мин/см</v>
      </c>
      <c r="E94" s="74">
        <f>SUM(Простои!C13,Простои!E13:J13)+Простои!K13/12*Простои!L13</f>
        <v>57.920765027322403</v>
      </c>
      <c r="F94" s="74">
        <f>E94+Простои!U13</f>
        <v>57.920765027322403</v>
      </c>
      <c r="G94" s="74">
        <f>F94+Простои!Y13</f>
        <v>57.920765027322403</v>
      </c>
      <c r="H94" s="83">
        <f t="shared" si="23"/>
        <v>57.920765027322403</v>
      </c>
      <c r="I94" s="83">
        <f t="shared" si="22"/>
        <v>57.920765027322403</v>
      </c>
      <c r="J94" s="83">
        <f t="shared" si="22"/>
        <v>57.920765027322403</v>
      </c>
      <c r="K94" s="83">
        <f t="shared" si="22"/>
        <v>57.920765027322403</v>
      </c>
      <c r="L94" s="83">
        <f t="shared" si="22"/>
        <v>57.920765027322403</v>
      </c>
      <c r="M94" s="83">
        <f t="shared" si="22"/>
        <v>57.920765027322403</v>
      </c>
      <c r="N94" s="83">
        <f t="shared" si="22"/>
        <v>57.920765027322403</v>
      </c>
      <c r="O94" s="83">
        <f t="shared" si="22"/>
        <v>57.920765027322403</v>
      </c>
      <c r="P94" s="83">
        <f t="shared" si="22"/>
        <v>57.920765027322403</v>
      </c>
      <c r="Q94" s="83">
        <f t="shared" si="22"/>
        <v>57.920765027322403</v>
      </c>
      <c r="R94" s="83">
        <f t="shared" si="22"/>
        <v>57.920765027322403</v>
      </c>
      <c r="S94" s="83">
        <f t="shared" si="22"/>
        <v>57.920765027322403</v>
      </c>
      <c r="T94" s="83">
        <f t="shared" si="22"/>
        <v>57.920765027322403</v>
      </c>
      <c r="U94" s="83">
        <f t="shared" si="22"/>
        <v>57.920765027322403</v>
      </c>
      <c r="V94" s="83">
        <f t="shared" si="22"/>
        <v>57.920765027322403</v>
      </c>
      <c r="W94" s="83">
        <f t="shared" si="22"/>
        <v>57.920765027322403</v>
      </c>
      <c r="X94" s="83">
        <f t="shared" si="22"/>
        <v>57.920765027322403</v>
      </c>
      <c r="Y94" s="175"/>
    </row>
    <row r="95" spans="1:25" x14ac:dyDescent="0.25">
      <c r="A95" s="126">
        <f t="shared" si="8"/>
        <v>0</v>
      </c>
      <c r="B95" s="29"/>
      <c r="C95" s="30" t="str">
        <f t="shared" si="21"/>
        <v>YANGZI  DM75</v>
      </c>
      <c r="D95" s="9" t="str">
        <f t="shared" si="24"/>
        <v>мин/см</v>
      </c>
      <c r="E95" s="74">
        <f>SUM(Простои!C14,Простои!E14:J14)+Простои!K14/12*Простои!L14</f>
        <v>57.920765027322403</v>
      </c>
      <c r="F95" s="74">
        <f>E95+Простои!U14</f>
        <v>57.920765027322403</v>
      </c>
      <c r="G95" s="74">
        <f>F95+Простои!Y14</f>
        <v>57.920765027322403</v>
      </c>
      <c r="H95" s="83">
        <f t="shared" si="23"/>
        <v>57.920765027322403</v>
      </c>
      <c r="I95" s="83">
        <f t="shared" si="22"/>
        <v>57.920765027322403</v>
      </c>
      <c r="J95" s="83">
        <f t="shared" si="22"/>
        <v>57.920765027322403</v>
      </c>
      <c r="K95" s="83">
        <f t="shared" si="22"/>
        <v>57.920765027322403</v>
      </c>
      <c r="L95" s="83">
        <f t="shared" si="22"/>
        <v>57.920765027322403</v>
      </c>
      <c r="M95" s="83">
        <f t="shared" si="22"/>
        <v>57.920765027322403</v>
      </c>
      <c r="N95" s="83">
        <f t="shared" si="22"/>
        <v>57.920765027322403</v>
      </c>
      <c r="O95" s="83">
        <f t="shared" si="22"/>
        <v>57.920765027322403</v>
      </c>
      <c r="P95" s="83">
        <f t="shared" si="22"/>
        <v>57.920765027322403</v>
      </c>
      <c r="Q95" s="83">
        <f t="shared" si="22"/>
        <v>57.920765027322403</v>
      </c>
      <c r="R95" s="83">
        <f t="shared" si="22"/>
        <v>57.920765027322403</v>
      </c>
      <c r="S95" s="83">
        <f t="shared" si="22"/>
        <v>57.920765027322403</v>
      </c>
      <c r="T95" s="83">
        <f t="shared" si="22"/>
        <v>57.920765027322403</v>
      </c>
      <c r="U95" s="83">
        <f t="shared" si="22"/>
        <v>57.920765027322403</v>
      </c>
      <c r="V95" s="83">
        <f t="shared" si="22"/>
        <v>57.920765027322403</v>
      </c>
      <c r="W95" s="83">
        <f t="shared" si="22"/>
        <v>57.920765027322403</v>
      </c>
      <c r="X95" s="83">
        <f t="shared" si="22"/>
        <v>57.920765027322403</v>
      </c>
      <c r="Y95" s="175"/>
    </row>
    <row r="96" spans="1:25" x14ac:dyDescent="0.25">
      <c r="A96" s="126">
        <f t="shared" si="8"/>
        <v>0</v>
      </c>
      <c r="B96" s="29"/>
      <c r="C96" s="30" t="str">
        <f t="shared" si="21"/>
        <v>*</v>
      </c>
      <c r="D96" s="9" t="str">
        <f t="shared" si="24"/>
        <v>мин/см</v>
      </c>
      <c r="E96" s="74">
        <f>SUM(Простои!C15,Простои!E15:J15)+Простои!K15/12*Простои!L15</f>
        <v>0</v>
      </c>
      <c r="F96" s="74">
        <f>E96+Простои!U15</f>
        <v>0</v>
      </c>
      <c r="G96" s="74">
        <f>F96+Простои!Y15</f>
        <v>0</v>
      </c>
      <c r="H96" s="83">
        <f t="shared" si="23"/>
        <v>0</v>
      </c>
      <c r="I96" s="83">
        <f t="shared" si="22"/>
        <v>0</v>
      </c>
      <c r="J96" s="83">
        <f t="shared" si="22"/>
        <v>0</v>
      </c>
      <c r="K96" s="83">
        <f t="shared" si="22"/>
        <v>0</v>
      </c>
      <c r="L96" s="83">
        <f t="shared" si="22"/>
        <v>0</v>
      </c>
      <c r="M96" s="83">
        <f t="shared" si="22"/>
        <v>0</v>
      </c>
      <c r="N96" s="83">
        <f t="shared" si="22"/>
        <v>0</v>
      </c>
      <c r="O96" s="83">
        <f t="shared" si="22"/>
        <v>0</v>
      </c>
      <c r="P96" s="83">
        <f t="shared" si="22"/>
        <v>0</v>
      </c>
      <c r="Q96" s="83">
        <f t="shared" si="22"/>
        <v>0</v>
      </c>
      <c r="R96" s="83">
        <f t="shared" si="22"/>
        <v>0</v>
      </c>
      <c r="S96" s="83">
        <f t="shared" si="22"/>
        <v>0</v>
      </c>
      <c r="T96" s="83">
        <f t="shared" si="22"/>
        <v>0</v>
      </c>
      <c r="U96" s="83">
        <f t="shared" si="22"/>
        <v>0</v>
      </c>
      <c r="V96" s="83">
        <f t="shared" si="22"/>
        <v>0</v>
      </c>
      <c r="W96" s="83">
        <f t="shared" si="22"/>
        <v>0</v>
      </c>
      <c r="X96" s="83">
        <f t="shared" si="22"/>
        <v>0</v>
      </c>
      <c r="Y96" s="175"/>
    </row>
    <row r="97" spans="1:25" x14ac:dyDescent="0.25">
      <c r="A97" s="126">
        <f t="shared" si="8"/>
        <v>0</v>
      </c>
      <c r="B97" s="29"/>
      <c r="C97" s="30" t="str">
        <f t="shared" si="21"/>
        <v>СБШ-250/270КП</v>
      </c>
      <c r="D97" s="9" t="str">
        <f t="shared" si="24"/>
        <v>мин/см</v>
      </c>
      <c r="E97" s="74">
        <f>SUM(Простои!C16,Простои!E16:J16)+Простои!K16/12*Простои!L16</f>
        <v>93.590163934426229</v>
      </c>
      <c r="F97" s="74">
        <f>E97+Простои!U16</f>
        <v>93.590163934426229</v>
      </c>
      <c r="G97" s="74">
        <f>F97+Простои!Y16</f>
        <v>93.590163934426229</v>
      </c>
      <c r="H97" s="83">
        <f t="shared" si="23"/>
        <v>93.590163934426229</v>
      </c>
      <c r="I97" s="83">
        <f t="shared" si="22"/>
        <v>93.590163934426229</v>
      </c>
      <c r="J97" s="83">
        <f t="shared" si="22"/>
        <v>93.590163934426229</v>
      </c>
      <c r="K97" s="83">
        <f t="shared" si="22"/>
        <v>93.590163934426229</v>
      </c>
      <c r="L97" s="83">
        <f t="shared" si="22"/>
        <v>93.590163934426229</v>
      </c>
      <c r="M97" s="83">
        <f t="shared" si="22"/>
        <v>93.590163934426229</v>
      </c>
      <c r="N97" s="83">
        <f t="shared" si="22"/>
        <v>93.590163934426229</v>
      </c>
      <c r="O97" s="83">
        <f t="shared" si="22"/>
        <v>93.590163934426229</v>
      </c>
      <c r="P97" s="83">
        <f t="shared" si="22"/>
        <v>93.590163934426229</v>
      </c>
      <c r="Q97" s="83">
        <f t="shared" si="22"/>
        <v>93.590163934426229</v>
      </c>
      <c r="R97" s="83">
        <f t="shared" si="22"/>
        <v>93.590163934426229</v>
      </c>
      <c r="S97" s="83">
        <f t="shared" si="22"/>
        <v>93.590163934426229</v>
      </c>
      <c r="T97" s="83">
        <f t="shared" si="22"/>
        <v>93.590163934426229</v>
      </c>
      <c r="U97" s="83">
        <f t="shared" si="22"/>
        <v>93.590163934426229</v>
      </c>
      <c r="V97" s="83">
        <f t="shared" si="22"/>
        <v>93.590163934426229</v>
      </c>
      <c r="W97" s="83">
        <f t="shared" si="22"/>
        <v>93.590163934426229</v>
      </c>
      <c r="X97" s="83">
        <f t="shared" si="22"/>
        <v>93.590163934426229</v>
      </c>
      <c r="Y97" s="175"/>
    </row>
    <row r="98" spans="1:25" x14ac:dyDescent="0.25">
      <c r="A98" s="126">
        <f t="shared" ref="A98:A161" si="25">A71</f>
        <v>0</v>
      </c>
      <c r="B98" s="29"/>
      <c r="C98" s="30" t="str">
        <f t="shared" si="21"/>
        <v>Sunward SWDRT270E (1)</v>
      </c>
      <c r="D98" s="9" t="str">
        <f t="shared" si="24"/>
        <v>мин/см</v>
      </c>
      <c r="E98" s="74">
        <f>SUM(Простои!C17,Простои!E17:J17)+Простои!K17/12*Простои!L17</f>
        <v>93.590163934426229</v>
      </c>
      <c r="F98" s="74">
        <f>E98+Простои!U17</f>
        <v>93.590163934426229</v>
      </c>
      <c r="G98" s="74">
        <f>F98+Простои!Y17</f>
        <v>93.590163934426229</v>
      </c>
      <c r="H98" s="83">
        <f t="shared" si="23"/>
        <v>93.590163934426229</v>
      </c>
      <c r="I98" s="83">
        <f t="shared" si="22"/>
        <v>93.590163934426229</v>
      </c>
      <c r="J98" s="83">
        <f t="shared" si="22"/>
        <v>93.590163934426229</v>
      </c>
      <c r="K98" s="83">
        <f t="shared" si="22"/>
        <v>93.590163934426229</v>
      </c>
      <c r="L98" s="83">
        <f t="shared" si="22"/>
        <v>93.590163934426229</v>
      </c>
      <c r="M98" s="83">
        <f t="shared" si="22"/>
        <v>93.590163934426229</v>
      </c>
      <c r="N98" s="83">
        <f t="shared" si="22"/>
        <v>93.590163934426229</v>
      </c>
      <c r="O98" s="83">
        <f t="shared" si="22"/>
        <v>93.590163934426229</v>
      </c>
      <c r="P98" s="83">
        <f t="shared" si="22"/>
        <v>93.590163934426229</v>
      </c>
      <c r="Q98" s="83">
        <f t="shared" si="22"/>
        <v>93.590163934426229</v>
      </c>
      <c r="R98" s="83">
        <f t="shared" si="22"/>
        <v>93.590163934426229</v>
      </c>
      <c r="S98" s="83">
        <f t="shared" si="22"/>
        <v>93.590163934426229</v>
      </c>
      <c r="T98" s="83">
        <f t="shared" si="22"/>
        <v>93.590163934426229</v>
      </c>
      <c r="U98" s="83">
        <f t="shared" si="22"/>
        <v>93.590163934426229</v>
      </c>
      <c r="V98" s="83">
        <f t="shared" si="22"/>
        <v>93.590163934426229</v>
      </c>
      <c r="W98" s="83">
        <f t="shared" si="22"/>
        <v>93.590163934426229</v>
      </c>
      <c r="X98" s="83">
        <f t="shared" si="22"/>
        <v>93.590163934426229</v>
      </c>
      <c r="Y98" s="175"/>
    </row>
    <row r="99" spans="1:25" x14ac:dyDescent="0.25">
      <c r="A99" s="126">
        <f t="shared" si="25"/>
        <v>0</v>
      </c>
      <c r="B99" s="29"/>
      <c r="C99" s="30" t="str">
        <f t="shared" si="21"/>
        <v>Sunward SWDRT270E (2)</v>
      </c>
      <c r="D99" s="9" t="str">
        <f t="shared" si="24"/>
        <v>мин/см</v>
      </c>
      <c r="E99" s="74">
        <f>SUM(Простои!C18,Простои!E18:J18)+Простои!K18/12*Простои!L18</f>
        <v>93.590163934426229</v>
      </c>
      <c r="F99" s="74">
        <f>E99+Простои!U18</f>
        <v>93.590163934426229</v>
      </c>
      <c r="G99" s="74">
        <f>F99+Простои!Y18</f>
        <v>93.590163934426229</v>
      </c>
      <c r="H99" s="83">
        <f t="shared" si="23"/>
        <v>93.590163934426229</v>
      </c>
      <c r="I99" s="83">
        <f t="shared" si="22"/>
        <v>93.590163934426229</v>
      </c>
      <c r="J99" s="83">
        <f t="shared" si="22"/>
        <v>93.590163934426229</v>
      </c>
      <c r="K99" s="83">
        <f t="shared" si="22"/>
        <v>93.590163934426229</v>
      </c>
      <c r="L99" s="83">
        <f t="shared" si="22"/>
        <v>93.590163934426229</v>
      </c>
      <c r="M99" s="83">
        <f t="shared" si="22"/>
        <v>93.590163934426229</v>
      </c>
      <c r="N99" s="83">
        <f t="shared" si="22"/>
        <v>93.590163934426229</v>
      </c>
      <c r="O99" s="83">
        <f t="shared" si="22"/>
        <v>93.590163934426229</v>
      </c>
      <c r="P99" s="83">
        <f t="shared" si="22"/>
        <v>93.590163934426229</v>
      </c>
      <c r="Q99" s="83">
        <f t="shared" si="22"/>
        <v>93.590163934426229</v>
      </c>
      <c r="R99" s="83">
        <f t="shared" si="22"/>
        <v>93.590163934426229</v>
      </c>
      <c r="S99" s="83">
        <f t="shared" si="22"/>
        <v>93.590163934426229</v>
      </c>
      <c r="T99" s="83">
        <f t="shared" si="22"/>
        <v>93.590163934426229</v>
      </c>
      <c r="U99" s="83">
        <f t="shared" si="22"/>
        <v>93.590163934426229</v>
      </c>
      <c r="V99" s="83">
        <f t="shared" si="22"/>
        <v>93.590163934426229</v>
      </c>
      <c r="W99" s="83">
        <f t="shared" si="22"/>
        <v>93.590163934426229</v>
      </c>
      <c r="X99" s="83">
        <f t="shared" si="22"/>
        <v>93.590163934426229</v>
      </c>
      <c r="Y99" s="175"/>
    </row>
    <row r="100" spans="1:25" x14ac:dyDescent="0.25">
      <c r="A100" s="126">
        <f t="shared" si="25"/>
        <v>0</v>
      </c>
      <c r="B100" s="29"/>
      <c r="C100" s="30" t="str">
        <f t="shared" si="21"/>
        <v>HIFO 75Е</v>
      </c>
      <c r="D100" s="9" t="str">
        <f t="shared" si="24"/>
        <v>мин/см</v>
      </c>
      <c r="E100" s="74">
        <f>SUM(Простои!C19,Простои!E19:J19)+Простои!K19/12*Простои!L19</f>
        <v>93.590163934426229</v>
      </c>
      <c r="F100" s="74">
        <f>E100+Простои!U19</f>
        <v>93.590163934426229</v>
      </c>
      <c r="G100" s="74">
        <f>F100+Простои!Y19</f>
        <v>93.590163934426229</v>
      </c>
      <c r="H100" s="83">
        <f t="shared" si="23"/>
        <v>93.590163934426229</v>
      </c>
      <c r="I100" s="83">
        <f t="shared" si="22"/>
        <v>93.590163934426229</v>
      </c>
      <c r="J100" s="83">
        <f t="shared" si="22"/>
        <v>93.590163934426229</v>
      </c>
      <c r="K100" s="83">
        <f t="shared" si="22"/>
        <v>93.590163934426229</v>
      </c>
      <c r="L100" s="83">
        <f t="shared" si="22"/>
        <v>93.590163934426229</v>
      </c>
      <c r="M100" s="83">
        <f t="shared" si="22"/>
        <v>93.590163934426229</v>
      </c>
      <c r="N100" s="83">
        <f t="shared" si="22"/>
        <v>93.590163934426229</v>
      </c>
      <c r="O100" s="83">
        <f t="shared" si="22"/>
        <v>93.590163934426229</v>
      </c>
      <c r="P100" s="83">
        <f t="shared" si="22"/>
        <v>93.590163934426229</v>
      </c>
      <c r="Q100" s="83">
        <f t="shared" si="22"/>
        <v>93.590163934426229</v>
      </c>
      <c r="R100" s="83">
        <f t="shared" si="22"/>
        <v>93.590163934426229</v>
      </c>
      <c r="S100" s="83">
        <f t="shared" si="22"/>
        <v>93.590163934426229</v>
      </c>
      <c r="T100" s="83">
        <f t="shared" si="22"/>
        <v>93.590163934426229</v>
      </c>
      <c r="U100" s="83">
        <f t="shared" si="22"/>
        <v>93.590163934426229</v>
      </c>
      <c r="V100" s="83">
        <f t="shared" si="22"/>
        <v>93.590163934426229</v>
      </c>
      <c r="W100" s="83">
        <f t="shared" si="22"/>
        <v>93.590163934426229</v>
      </c>
      <c r="X100" s="83">
        <f t="shared" si="22"/>
        <v>93.590163934426229</v>
      </c>
      <c r="Y100" s="175"/>
    </row>
    <row r="101" spans="1:25" x14ac:dyDescent="0.25">
      <c r="A101" s="126">
        <f t="shared" si="25"/>
        <v>0</v>
      </c>
      <c r="B101" s="29"/>
      <c r="C101" s="30" t="str">
        <f t="shared" si="21"/>
        <v>НИВА 22.01.00.00.00.00.00.000 (1)</v>
      </c>
      <c r="D101" s="9" t="str">
        <f t="shared" si="24"/>
        <v>мин/см</v>
      </c>
      <c r="E101" s="74">
        <f>SUM(Простои!C20,Простои!E20:J20)+Простои!K20/12*Простои!L20</f>
        <v>93.590163934426229</v>
      </c>
      <c r="F101" s="74">
        <f>E101+Простои!U20</f>
        <v>93.590163934426229</v>
      </c>
      <c r="G101" s="74">
        <f>F101+Простои!Y20</f>
        <v>93.590163934426229</v>
      </c>
      <c r="H101" s="83">
        <f t="shared" si="23"/>
        <v>93.590163934426229</v>
      </c>
      <c r="I101" s="83">
        <f t="shared" si="22"/>
        <v>93.590163934426229</v>
      </c>
      <c r="J101" s="83">
        <f t="shared" si="22"/>
        <v>93.590163934426229</v>
      </c>
      <c r="K101" s="83">
        <f t="shared" si="22"/>
        <v>93.590163934426229</v>
      </c>
      <c r="L101" s="83">
        <f t="shared" si="22"/>
        <v>93.590163934426229</v>
      </c>
      <c r="M101" s="83">
        <f t="shared" si="22"/>
        <v>93.590163934426229</v>
      </c>
      <c r="N101" s="83">
        <f t="shared" si="22"/>
        <v>93.590163934426229</v>
      </c>
      <c r="O101" s="83">
        <f t="shared" si="22"/>
        <v>93.590163934426229</v>
      </c>
      <c r="P101" s="83">
        <f t="shared" si="22"/>
        <v>93.590163934426229</v>
      </c>
      <c r="Q101" s="83">
        <f t="shared" si="22"/>
        <v>93.590163934426229</v>
      </c>
      <c r="R101" s="83">
        <f t="shared" si="22"/>
        <v>93.590163934426229</v>
      </c>
      <c r="S101" s="83">
        <f t="shared" si="22"/>
        <v>93.590163934426229</v>
      </c>
      <c r="T101" s="83">
        <f t="shared" si="22"/>
        <v>93.590163934426229</v>
      </c>
      <c r="U101" s="83">
        <f t="shared" si="22"/>
        <v>93.590163934426229</v>
      </c>
      <c r="V101" s="83">
        <f t="shared" si="22"/>
        <v>93.590163934426229</v>
      </c>
      <c r="W101" s="83">
        <f t="shared" si="22"/>
        <v>93.590163934426229</v>
      </c>
      <c r="X101" s="83">
        <f t="shared" si="22"/>
        <v>93.590163934426229</v>
      </c>
      <c r="Y101" s="175"/>
    </row>
    <row r="102" spans="1:25" x14ac:dyDescent="0.25">
      <c r="A102" s="126">
        <f t="shared" si="25"/>
        <v>0</v>
      </c>
      <c r="B102" s="29"/>
      <c r="C102" s="30" t="str">
        <f t="shared" si="21"/>
        <v>НИВА 22.01.00.00.00.00.00.000 (2)</v>
      </c>
      <c r="D102" s="9" t="str">
        <f t="shared" si="24"/>
        <v>мин/см</v>
      </c>
      <c r="E102" s="74">
        <f>SUM(Простои!C21,Простои!E21:J21)+Простои!K21/12*Простои!L21</f>
        <v>93.590163934426229</v>
      </c>
      <c r="F102" s="74">
        <f>E102+Простои!U21</f>
        <v>93.590163934426229</v>
      </c>
      <c r="G102" s="74">
        <f>F102+Простои!Y21</f>
        <v>93.590163934426229</v>
      </c>
      <c r="H102" s="83">
        <f t="shared" si="23"/>
        <v>93.590163934426229</v>
      </c>
      <c r="I102" s="83">
        <f t="shared" si="22"/>
        <v>93.590163934426229</v>
      </c>
      <c r="J102" s="83">
        <f t="shared" si="22"/>
        <v>93.590163934426229</v>
      </c>
      <c r="K102" s="83">
        <f t="shared" si="22"/>
        <v>93.590163934426229</v>
      </c>
      <c r="L102" s="83">
        <f t="shared" si="22"/>
        <v>93.590163934426229</v>
      </c>
      <c r="M102" s="83">
        <f t="shared" si="22"/>
        <v>93.590163934426229</v>
      </c>
      <c r="N102" s="83">
        <f t="shared" si="22"/>
        <v>93.590163934426229</v>
      </c>
      <c r="O102" s="83">
        <f t="shared" si="22"/>
        <v>93.590163934426229</v>
      </c>
      <c r="P102" s="83">
        <f t="shared" si="22"/>
        <v>93.590163934426229</v>
      </c>
      <c r="Q102" s="83">
        <f t="shared" si="22"/>
        <v>93.590163934426229</v>
      </c>
      <c r="R102" s="83">
        <f t="shared" si="22"/>
        <v>93.590163934426229</v>
      </c>
      <c r="S102" s="83">
        <f t="shared" si="22"/>
        <v>93.590163934426229</v>
      </c>
      <c r="T102" s="83">
        <f t="shared" si="22"/>
        <v>93.590163934426229</v>
      </c>
      <c r="U102" s="83">
        <f t="shared" si="22"/>
        <v>93.590163934426229</v>
      </c>
      <c r="V102" s="83">
        <f t="shared" si="22"/>
        <v>93.590163934426229</v>
      </c>
      <c r="W102" s="83">
        <f t="shared" si="22"/>
        <v>93.590163934426229</v>
      </c>
      <c r="X102" s="83">
        <f t="shared" si="22"/>
        <v>93.590163934426229</v>
      </c>
      <c r="Y102" s="175"/>
    </row>
    <row r="103" spans="1:25" x14ac:dyDescent="0.25">
      <c r="A103" s="126">
        <f t="shared" si="25"/>
        <v>0</v>
      </c>
      <c r="B103" s="29"/>
      <c r="C103" s="30" t="str">
        <f t="shared" si="21"/>
        <v>**</v>
      </c>
      <c r="D103" s="9" t="str">
        <f t="shared" si="24"/>
        <v>мин/см</v>
      </c>
      <c r="E103" s="74">
        <f>SUM(Простои!C22,Простои!E22:J22)+Простои!K22/12*Простои!L22</f>
        <v>0</v>
      </c>
      <c r="F103" s="74">
        <f>E103+Простои!U22</f>
        <v>0</v>
      </c>
      <c r="G103" s="74">
        <f>F103+Простои!Y22</f>
        <v>0</v>
      </c>
      <c r="H103" s="83">
        <f t="shared" si="23"/>
        <v>0</v>
      </c>
      <c r="I103" s="83">
        <f t="shared" si="22"/>
        <v>0</v>
      </c>
      <c r="J103" s="83">
        <f t="shared" si="22"/>
        <v>0</v>
      </c>
      <c r="K103" s="83">
        <f t="shared" si="22"/>
        <v>0</v>
      </c>
      <c r="L103" s="83">
        <f t="shared" si="22"/>
        <v>0</v>
      </c>
      <c r="M103" s="83">
        <f t="shared" si="22"/>
        <v>0</v>
      </c>
      <c r="N103" s="83">
        <f t="shared" si="22"/>
        <v>0</v>
      </c>
      <c r="O103" s="83">
        <f t="shared" si="22"/>
        <v>0</v>
      </c>
      <c r="P103" s="83">
        <f t="shared" si="22"/>
        <v>0</v>
      </c>
      <c r="Q103" s="83">
        <f t="shared" si="22"/>
        <v>0</v>
      </c>
      <c r="R103" s="83">
        <f t="shared" si="22"/>
        <v>0</v>
      </c>
      <c r="S103" s="83">
        <f t="shared" si="22"/>
        <v>0</v>
      </c>
      <c r="T103" s="83">
        <f t="shared" si="22"/>
        <v>0</v>
      </c>
      <c r="U103" s="83">
        <f t="shared" si="22"/>
        <v>0</v>
      </c>
      <c r="V103" s="83">
        <f t="shared" si="22"/>
        <v>0</v>
      </c>
      <c r="W103" s="83">
        <f t="shared" si="22"/>
        <v>0</v>
      </c>
      <c r="X103" s="83">
        <f t="shared" si="22"/>
        <v>0</v>
      </c>
      <c r="Y103" s="175"/>
    </row>
    <row r="104" spans="1:25" x14ac:dyDescent="0.25">
      <c r="A104" s="126">
        <f t="shared" si="25"/>
        <v>1</v>
      </c>
      <c r="B104" s="29"/>
      <c r="C104" s="30" t="str">
        <f t="shared" si="21"/>
        <v>БС-215</v>
      </c>
      <c r="D104" s="9" t="str">
        <f t="shared" si="24"/>
        <v>мин/см</v>
      </c>
      <c r="E104" s="74">
        <f>SUM(Простои!C23,Простои!E23:J23)+Простои!K23/12*Простои!L23</f>
        <v>54.920765027322403</v>
      </c>
      <c r="F104" s="74">
        <f>E104+Простои!U23</f>
        <v>54.920765027322403</v>
      </c>
      <c r="G104" s="74">
        <f>F104+Простои!Y23</f>
        <v>54.920765027322403</v>
      </c>
      <c r="H104" s="83">
        <f t="shared" si="23"/>
        <v>54.920765027322403</v>
      </c>
      <c r="I104" s="83">
        <f t="shared" si="22"/>
        <v>54.920765027322403</v>
      </c>
      <c r="J104" s="83">
        <f t="shared" si="22"/>
        <v>54.920765027322403</v>
      </c>
      <c r="K104" s="83">
        <f t="shared" si="22"/>
        <v>54.920765027322403</v>
      </c>
      <c r="L104" s="83">
        <f t="shared" si="22"/>
        <v>54.920765027322403</v>
      </c>
      <c r="M104" s="83">
        <f t="shared" si="22"/>
        <v>54.920765027322403</v>
      </c>
      <c r="N104" s="83">
        <f t="shared" si="22"/>
        <v>54.920765027322403</v>
      </c>
      <c r="O104" s="83">
        <f t="shared" si="22"/>
        <v>54.920765027322403</v>
      </c>
      <c r="P104" s="83">
        <f t="shared" si="22"/>
        <v>54.920765027322403</v>
      </c>
      <c r="Q104" s="83">
        <f t="shared" si="22"/>
        <v>54.920765027322403</v>
      </c>
      <c r="R104" s="83">
        <f t="shared" si="22"/>
        <v>54.920765027322403</v>
      </c>
      <c r="S104" s="83">
        <f t="shared" si="22"/>
        <v>54.920765027322403</v>
      </c>
      <c r="T104" s="83">
        <f t="shared" si="22"/>
        <v>54.920765027322403</v>
      </c>
      <c r="U104" s="83">
        <f t="shared" si="22"/>
        <v>54.920765027322403</v>
      </c>
      <c r="V104" s="83">
        <f t="shared" si="22"/>
        <v>54.920765027322403</v>
      </c>
      <c r="W104" s="83">
        <f t="shared" si="22"/>
        <v>54.920765027322403</v>
      </c>
      <c r="X104" s="83">
        <f t="shared" si="22"/>
        <v>54.920765027322403</v>
      </c>
      <c r="Y104" s="175"/>
    </row>
    <row r="105" spans="1:25" x14ac:dyDescent="0.25">
      <c r="A105" s="126">
        <f t="shared" si="25"/>
        <v>0</v>
      </c>
      <c r="B105" s="29"/>
      <c r="C105" s="30" t="str">
        <f t="shared" si="21"/>
        <v>Sunward SWDRT200SM</v>
      </c>
      <c r="D105" s="9" t="str">
        <f t="shared" si="24"/>
        <v>мин/см</v>
      </c>
      <c r="E105" s="74">
        <f>SUM(Простои!C24,Простои!E24:J24)+Простои!K24/12*Простои!L24</f>
        <v>54.920765027322403</v>
      </c>
      <c r="F105" s="74">
        <f>E105+Простои!U24</f>
        <v>54.920765027322403</v>
      </c>
      <c r="G105" s="74">
        <f>F105+Простои!Y24</f>
        <v>54.920765027322403</v>
      </c>
      <c r="H105" s="83">
        <f t="shared" si="23"/>
        <v>54.920765027322403</v>
      </c>
      <c r="I105" s="83">
        <f t="shared" ref="I105:X114" si="26">H105</f>
        <v>54.920765027322403</v>
      </c>
      <c r="J105" s="83">
        <f t="shared" si="26"/>
        <v>54.920765027322403</v>
      </c>
      <c r="K105" s="83">
        <f t="shared" si="26"/>
        <v>54.920765027322403</v>
      </c>
      <c r="L105" s="83">
        <f t="shared" si="26"/>
        <v>54.920765027322403</v>
      </c>
      <c r="M105" s="83">
        <f t="shared" si="26"/>
        <v>54.920765027322403</v>
      </c>
      <c r="N105" s="83">
        <f t="shared" si="26"/>
        <v>54.920765027322403</v>
      </c>
      <c r="O105" s="83">
        <f t="shared" si="26"/>
        <v>54.920765027322403</v>
      </c>
      <c r="P105" s="83">
        <f t="shared" si="26"/>
        <v>54.920765027322403</v>
      </c>
      <c r="Q105" s="83">
        <f t="shared" si="26"/>
        <v>54.920765027322403</v>
      </c>
      <c r="R105" s="83">
        <f t="shared" si="26"/>
        <v>54.920765027322403</v>
      </c>
      <c r="S105" s="83">
        <f t="shared" si="26"/>
        <v>54.920765027322403</v>
      </c>
      <c r="T105" s="83">
        <f t="shared" si="26"/>
        <v>54.920765027322403</v>
      </c>
      <c r="U105" s="83">
        <f t="shared" si="26"/>
        <v>54.920765027322403</v>
      </c>
      <c r="V105" s="83">
        <f t="shared" si="26"/>
        <v>54.920765027322403</v>
      </c>
      <c r="W105" s="83">
        <f t="shared" si="26"/>
        <v>54.920765027322403</v>
      </c>
      <c r="X105" s="83">
        <f t="shared" si="26"/>
        <v>54.920765027322403</v>
      </c>
      <c r="Y105" s="175"/>
    </row>
    <row r="106" spans="1:25" x14ac:dyDescent="0.25">
      <c r="A106" s="126">
        <f t="shared" si="25"/>
        <v>0</v>
      </c>
      <c r="B106" s="29"/>
      <c r="C106" s="30" t="str">
        <f t="shared" si="21"/>
        <v>Sunward SWDRT250B</v>
      </c>
      <c r="D106" s="9" t="str">
        <f t="shared" si="24"/>
        <v>мин/см</v>
      </c>
      <c r="E106" s="74">
        <f>SUM(Простои!C25,Простои!E25:J25)+Простои!K25/12*Простои!L25</f>
        <v>54.920765027322403</v>
      </c>
      <c r="F106" s="74">
        <f>E106+Простои!U25</f>
        <v>54.920765027322403</v>
      </c>
      <c r="G106" s="74">
        <f>F106+Простои!Y25</f>
        <v>54.920765027322403</v>
      </c>
      <c r="H106" s="83">
        <f t="shared" si="23"/>
        <v>54.920765027322403</v>
      </c>
      <c r="I106" s="83">
        <f t="shared" si="26"/>
        <v>54.920765027322403</v>
      </c>
      <c r="J106" s="83">
        <f t="shared" si="26"/>
        <v>54.920765027322403</v>
      </c>
      <c r="K106" s="83">
        <f t="shared" si="26"/>
        <v>54.920765027322403</v>
      </c>
      <c r="L106" s="83">
        <f t="shared" si="26"/>
        <v>54.920765027322403</v>
      </c>
      <c r="M106" s="83">
        <f t="shared" si="26"/>
        <v>54.920765027322403</v>
      </c>
      <c r="N106" s="83">
        <f t="shared" si="26"/>
        <v>54.920765027322403</v>
      </c>
      <c r="O106" s="83">
        <f t="shared" si="26"/>
        <v>54.920765027322403</v>
      </c>
      <c r="P106" s="83">
        <f t="shared" si="26"/>
        <v>54.920765027322403</v>
      </c>
      <c r="Q106" s="83">
        <f t="shared" si="26"/>
        <v>54.920765027322403</v>
      </c>
      <c r="R106" s="83">
        <f t="shared" si="26"/>
        <v>54.920765027322403</v>
      </c>
      <c r="S106" s="83">
        <f t="shared" si="26"/>
        <v>54.920765027322403</v>
      </c>
      <c r="T106" s="83">
        <f t="shared" si="26"/>
        <v>54.920765027322403</v>
      </c>
      <c r="U106" s="83">
        <f t="shared" si="26"/>
        <v>54.920765027322403</v>
      </c>
      <c r="V106" s="83">
        <f t="shared" si="26"/>
        <v>54.920765027322403</v>
      </c>
      <c r="W106" s="83">
        <f t="shared" si="26"/>
        <v>54.920765027322403</v>
      </c>
      <c r="X106" s="83">
        <f t="shared" si="26"/>
        <v>54.920765027322403</v>
      </c>
      <c r="Y106" s="175"/>
    </row>
    <row r="107" spans="1:25" x14ac:dyDescent="0.25">
      <c r="A107" s="126">
        <f t="shared" si="25"/>
        <v>0</v>
      </c>
      <c r="B107" s="29"/>
      <c r="C107" s="30" t="str">
        <f t="shared" si="21"/>
        <v>ZEGA R8100L (2)</v>
      </c>
      <c r="D107" s="9" t="str">
        <f t="shared" si="24"/>
        <v>мин/см</v>
      </c>
      <c r="E107" s="74">
        <f>SUM(Простои!C26,Простои!E26:J26)+Простои!K26/12*Простои!L26</f>
        <v>54.920765027322403</v>
      </c>
      <c r="F107" s="74">
        <f>E107+Простои!U26</f>
        <v>54.920765027322403</v>
      </c>
      <c r="G107" s="74">
        <f>F107+Простои!Y26</f>
        <v>54.920765027322403</v>
      </c>
      <c r="H107" s="83">
        <f t="shared" si="23"/>
        <v>54.920765027322403</v>
      </c>
      <c r="I107" s="83">
        <f t="shared" si="26"/>
        <v>54.920765027322403</v>
      </c>
      <c r="J107" s="83">
        <f t="shared" si="26"/>
        <v>54.920765027322403</v>
      </c>
      <c r="K107" s="83">
        <f t="shared" si="26"/>
        <v>54.920765027322403</v>
      </c>
      <c r="L107" s="83">
        <f t="shared" si="26"/>
        <v>54.920765027322403</v>
      </c>
      <c r="M107" s="83">
        <f t="shared" si="26"/>
        <v>54.920765027322403</v>
      </c>
      <c r="N107" s="83">
        <f t="shared" si="26"/>
        <v>54.920765027322403</v>
      </c>
      <c r="O107" s="83">
        <f t="shared" si="26"/>
        <v>54.920765027322403</v>
      </c>
      <c r="P107" s="83">
        <f t="shared" si="26"/>
        <v>54.920765027322403</v>
      </c>
      <c r="Q107" s="83">
        <f t="shared" si="26"/>
        <v>54.920765027322403</v>
      </c>
      <c r="R107" s="83">
        <f t="shared" si="26"/>
        <v>54.920765027322403</v>
      </c>
      <c r="S107" s="83">
        <f t="shared" si="26"/>
        <v>54.920765027322403</v>
      </c>
      <c r="T107" s="83">
        <f t="shared" si="26"/>
        <v>54.920765027322403</v>
      </c>
      <c r="U107" s="83">
        <f t="shared" si="26"/>
        <v>54.920765027322403</v>
      </c>
      <c r="V107" s="83">
        <f t="shared" si="26"/>
        <v>54.920765027322403</v>
      </c>
      <c r="W107" s="83">
        <f t="shared" si="26"/>
        <v>54.920765027322403</v>
      </c>
      <c r="X107" s="83">
        <f t="shared" si="26"/>
        <v>54.920765027322403</v>
      </c>
      <c r="Y107" s="175"/>
    </row>
    <row r="108" spans="1:25" x14ac:dyDescent="0.25">
      <c r="A108" s="126">
        <f t="shared" si="25"/>
        <v>0</v>
      </c>
      <c r="B108" s="29"/>
      <c r="C108" s="30" t="str">
        <f t="shared" si="21"/>
        <v>Revathi C650D</v>
      </c>
      <c r="D108" s="9" t="str">
        <f t="shared" si="24"/>
        <v>мин/см</v>
      </c>
      <c r="E108" s="74">
        <f>SUM(Простои!C27,Простои!E27:J27)+Простои!K27/12*Простои!L27</f>
        <v>54.920765027322403</v>
      </c>
      <c r="F108" s="74">
        <f>E108+Простои!U27</f>
        <v>54.920765027322403</v>
      </c>
      <c r="G108" s="74">
        <f>F108+Простои!Y27</f>
        <v>54.920765027322403</v>
      </c>
      <c r="H108" s="83">
        <f t="shared" si="23"/>
        <v>54.920765027322403</v>
      </c>
      <c r="I108" s="83">
        <f t="shared" si="26"/>
        <v>54.920765027322403</v>
      </c>
      <c r="J108" s="83">
        <f t="shared" si="26"/>
        <v>54.920765027322403</v>
      </c>
      <c r="K108" s="83">
        <f t="shared" si="26"/>
        <v>54.920765027322403</v>
      </c>
      <c r="L108" s="83">
        <f t="shared" si="26"/>
        <v>54.920765027322403</v>
      </c>
      <c r="M108" s="83">
        <f t="shared" si="26"/>
        <v>54.920765027322403</v>
      </c>
      <c r="N108" s="83">
        <f t="shared" si="26"/>
        <v>54.920765027322403</v>
      </c>
      <c r="O108" s="83">
        <f t="shared" si="26"/>
        <v>54.920765027322403</v>
      </c>
      <c r="P108" s="83">
        <f t="shared" si="26"/>
        <v>54.920765027322403</v>
      </c>
      <c r="Q108" s="83">
        <f t="shared" si="26"/>
        <v>54.920765027322403</v>
      </c>
      <c r="R108" s="83">
        <f t="shared" si="26"/>
        <v>54.920765027322403</v>
      </c>
      <c r="S108" s="83">
        <f t="shared" si="26"/>
        <v>54.920765027322403</v>
      </c>
      <c r="T108" s="83">
        <f t="shared" si="26"/>
        <v>54.920765027322403</v>
      </c>
      <c r="U108" s="83">
        <f t="shared" si="26"/>
        <v>54.920765027322403</v>
      </c>
      <c r="V108" s="83">
        <f t="shared" si="26"/>
        <v>54.920765027322403</v>
      </c>
      <c r="W108" s="83">
        <f t="shared" si="26"/>
        <v>54.920765027322403</v>
      </c>
      <c r="X108" s="83">
        <f t="shared" si="26"/>
        <v>54.920765027322403</v>
      </c>
      <c r="Y108" s="175"/>
    </row>
    <row r="109" spans="1:25" x14ac:dyDescent="0.25">
      <c r="A109" s="126">
        <f t="shared" si="25"/>
        <v>0</v>
      </c>
      <c r="B109" s="29"/>
      <c r="C109" s="30" t="str">
        <f t="shared" si="21"/>
        <v>MS1200RB</v>
      </c>
      <c r="D109" s="9" t="str">
        <f t="shared" si="24"/>
        <v>мин/см</v>
      </c>
      <c r="E109" s="74">
        <f>SUM(Простои!C28,Простои!E28:J28)+Простои!K28/12*Простои!L28</f>
        <v>54.920765027322403</v>
      </c>
      <c r="F109" s="74">
        <f>E109+Простои!U28</f>
        <v>54.920765027322403</v>
      </c>
      <c r="G109" s="74">
        <f>F109+Простои!Y28</f>
        <v>54.920765027322403</v>
      </c>
      <c r="H109" s="83">
        <f t="shared" si="23"/>
        <v>54.920765027322403</v>
      </c>
      <c r="I109" s="83">
        <f t="shared" si="26"/>
        <v>54.920765027322403</v>
      </c>
      <c r="J109" s="83">
        <f t="shared" si="26"/>
        <v>54.920765027322403</v>
      </c>
      <c r="K109" s="83">
        <f t="shared" si="26"/>
        <v>54.920765027322403</v>
      </c>
      <c r="L109" s="83">
        <f t="shared" si="26"/>
        <v>54.920765027322403</v>
      </c>
      <c r="M109" s="83">
        <f t="shared" si="26"/>
        <v>54.920765027322403</v>
      </c>
      <c r="N109" s="83">
        <f t="shared" si="26"/>
        <v>54.920765027322403</v>
      </c>
      <c r="O109" s="83">
        <f t="shared" si="26"/>
        <v>54.920765027322403</v>
      </c>
      <c r="P109" s="83">
        <f t="shared" si="26"/>
        <v>54.920765027322403</v>
      </c>
      <c r="Q109" s="83">
        <f t="shared" si="26"/>
        <v>54.920765027322403</v>
      </c>
      <c r="R109" s="83">
        <f t="shared" si="26"/>
        <v>54.920765027322403</v>
      </c>
      <c r="S109" s="83">
        <f t="shared" si="26"/>
        <v>54.920765027322403</v>
      </c>
      <c r="T109" s="83">
        <f t="shared" si="26"/>
        <v>54.920765027322403</v>
      </c>
      <c r="U109" s="83">
        <f t="shared" si="26"/>
        <v>54.920765027322403</v>
      </c>
      <c r="V109" s="83">
        <f t="shared" si="26"/>
        <v>54.920765027322403</v>
      </c>
      <c r="W109" s="83">
        <f t="shared" si="26"/>
        <v>54.920765027322403</v>
      </c>
      <c r="X109" s="83">
        <f t="shared" si="26"/>
        <v>54.920765027322403</v>
      </c>
      <c r="Y109" s="175"/>
    </row>
    <row r="110" spans="1:25" x14ac:dyDescent="0.25">
      <c r="A110" s="126">
        <f t="shared" si="25"/>
        <v>0</v>
      </c>
      <c r="B110" s="29"/>
      <c r="C110" s="30" t="str">
        <f t="shared" si="21"/>
        <v>СБ-55Д-01</v>
      </c>
      <c r="D110" s="9" t="str">
        <f t="shared" si="24"/>
        <v>мин/см</v>
      </c>
      <c r="E110" s="74">
        <f>SUM(Простои!C29,Простои!E29:J29)+Простои!K29/12*Простои!L29</f>
        <v>54.920765027322403</v>
      </c>
      <c r="F110" s="74">
        <f>E110+Простои!U29</f>
        <v>54.920765027322403</v>
      </c>
      <c r="G110" s="74">
        <f>F110+Простои!Y29</f>
        <v>54.920765027322403</v>
      </c>
      <c r="H110" s="83">
        <f t="shared" si="23"/>
        <v>54.920765027322403</v>
      </c>
      <c r="I110" s="83">
        <f t="shared" si="26"/>
        <v>54.920765027322403</v>
      </c>
      <c r="J110" s="83">
        <f t="shared" si="26"/>
        <v>54.920765027322403</v>
      </c>
      <c r="K110" s="83">
        <f t="shared" si="26"/>
        <v>54.920765027322403</v>
      </c>
      <c r="L110" s="83">
        <f t="shared" si="26"/>
        <v>54.920765027322403</v>
      </c>
      <c r="M110" s="83">
        <f t="shared" si="26"/>
        <v>54.920765027322403</v>
      </c>
      <c r="N110" s="83">
        <f t="shared" si="26"/>
        <v>54.920765027322403</v>
      </c>
      <c r="O110" s="83">
        <f t="shared" si="26"/>
        <v>54.920765027322403</v>
      </c>
      <c r="P110" s="83">
        <f t="shared" si="26"/>
        <v>54.920765027322403</v>
      </c>
      <c r="Q110" s="83">
        <f t="shared" si="26"/>
        <v>54.920765027322403</v>
      </c>
      <c r="R110" s="83">
        <f t="shared" si="26"/>
        <v>54.920765027322403</v>
      </c>
      <c r="S110" s="83">
        <f t="shared" si="26"/>
        <v>54.920765027322403</v>
      </c>
      <c r="T110" s="83">
        <f t="shared" si="26"/>
        <v>54.920765027322403</v>
      </c>
      <c r="U110" s="83">
        <f t="shared" si="26"/>
        <v>54.920765027322403</v>
      </c>
      <c r="V110" s="83">
        <f t="shared" si="26"/>
        <v>54.920765027322403</v>
      </c>
      <c r="W110" s="83">
        <f t="shared" si="26"/>
        <v>54.920765027322403</v>
      </c>
      <c r="X110" s="83">
        <f t="shared" si="26"/>
        <v>54.920765027322403</v>
      </c>
      <c r="Y110" s="175"/>
    </row>
    <row r="111" spans="1:25" x14ac:dyDescent="0.25">
      <c r="A111" s="126">
        <f t="shared" si="25"/>
        <v>0</v>
      </c>
      <c r="B111" s="29"/>
      <c r="C111" s="30" t="str">
        <f t="shared" si="21"/>
        <v>KAMACH KY-250D</v>
      </c>
      <c r="D111" s="9" t="str">
        <f t="shared" si="24"/>
        <v>мин/см</v>
      </c>
      <c r="E111" s="74">
        <f>SUM(Простои!C30,Простои!E30:J30)+Простои!K30/12*Простои!L30</f>
        <v>54.920765027322403</v>
      </c>
      <c r="F111" s="74">
        <f>E111+Простои!U30</f>
        <v>54.920765027322403</v>
      </c>
      <c r="G111" s="74">
        <f>F111+Простои!Y30</f>
        <v>54.920765027322403</v>
      </c>
      <c r="H111" s="83">
        <f t="shared" si="23"/>
        <v>54.920765027322403</v>
      </c>
      <c r="I111" s="83">
        <f t="shared" si="26"/>
        <v>54.920765027322403</v>
      </c>
      <c r="J111" s="83">
        <f t="shared" si="26"/>
        <v>54.920765027322403</v>
      </c>
      <c r="K111" s="83">
        <f t="shared" si="26"/>
        <v>54.920765027322403</v>
      </c>
      <c r="L111" s="83">
        <f t="shared" si="26"/>
        <v>54.920765027322403</v>
      </c>
      <c r="M111" s="83">
        <f t="shared" si="26"/>
        <v>54.920765027322403</v>
      </c>
      <c r="N111" s="83">
        <f t="shared" si="26"/>
        <v>54.920765027322403</v>
      </c>
      <c r="O111" s="83">
        <f t="shared" si="26"/>
        <v>54.920765027322403</v>
      </c>
      <c r="P111" s="83">
        <f t="shared" si="26"/>
        <v>54.920765027322403</v>
      </c>
      <c r="Q111" s="83">
        <f t="shared" si="26"/>
        <v>54.920765027322403</v>
      </c>
      <c r="R111" s="83">
        <f t="shared" si="26"/>
        <v>54.920765027322403</v>
      </c>
      <c r="S111" s="83">
        <f t="shared" si="26"/>
        <v>54.920765027322403</v>
      </c>
      <c r="T111" s="83">
        <f t="shared" si="26"/>
        <v>54.920765027322403</v>
      </c>
      <c r="U111" s="83">
        <f t="shared" si="26"/>
        <v>54.920765027322403</v>
      </c>
      <c r="V111" s="83">
        <f t="shared" si="26"/>
        <v>54.920765027322403</v>
      </c>
      <c r="W111" s="83">
        <f t="shared" si="26"/>
        <v>54.920765027322403</v>
      </c>
      <c r="X111" s="83">
        <f t="shared" si="26"/>
        <v>54.920765027322403</v>
      </c>
      <c r="Y111" s="175"/>
    </row>
    <row r="112" spans="1:25" x14ac:dyDescent="0.25">
      <c r="A112" s="126">
        <f t="shared" si="25"/>
        <v>0</v>
      </c>
      <c r="B112" s="29"/>
      <c r="C112" s="30" t="str">
        <f t="shared" si="21"/>
        <v>НИВА 23.01.00.00.00.00.00.000 (1)</v>
      </c>
      <c r="D112" s="9" t="str">
        <f t="shared" si="24"/>
        <v>мин/см</v>
      </c>
      <c r="E112" s="74">
        <f>SUM(Простои!C31,Простои!E31:J31)+Простои!K31/12*Простои!L31</f>
        <v>54.920765027322403</v>
      </c>
      <c r="F112" s="74">
        <f>E112+Простои!U31</f>
        <v>54.920765027322403</v>
      </c>
      <c r="G112" s="74">
        <f>F112+Простои!Y31</f>
        <v>54.920765027322403</v>
      </c>
      <c r="H112" s="83">
        <f t="shared" si="23"/>
        <v>54.920765027322403</v>
      </c>
      <c r="I112" s="83">
        <f t="shared" si="26"/>
        <v>54.920765027322403</v>
      </c>
      <c r="J112" s="83">
        <f t="shared" si="26"/>
        <v>54.920765027322403</v>
      </c>
      <c r="K112" s="83">
        <f t="shared" si="26"/>
        <v>54.920765027322403</v>
      </c>
      <c r="L112" s="83">
        <f t="shared" si="26"/>
        <v>54.920765027322403</v>
      </c>
      <c r="M112" s="83">
        <f t="shared" si="26"/>
        <v>54.920765027322403</v>
      </c>
      <c r="N112" s="83">
        <f t="shared" si="26"/>
        <v>54.920765027322403</v>
      </c>
      <c r="O112" s="83">
        <f t="shared" si="26"/>
        <v>54.920765027322403</v>
      </c>
      <c r="P112" s="83">
        <f t="shared" si="26"/>
        <v>54.920765027322403</v>
      </c>
      <c r="Q112" s="83">
        <f t="shared" si="26"/>
        <v>54.920765027322403</v>
      </c>
      <c r="R112" s="83">
        <f t="shared" si="26"/>
        <v>54.920765027322403</v>
      </c>
      <c r="S112" s="83">
        <f t="shared" si="26"/>
        <v>54.920765027322403</v>
      </c>
      <c r="T112" s="83">
        <f t="shared" si="26"/>
        <v>54.920765027322403</v>
      </c>
      <c r="U112" s="83">
        <f t="shared" si="26"/>
        <v>54.920765027322403</v>
      </c>
      <c r="V112" s="83">
        <f t="shared" si="26"/>
        <v>54.920765027322403</v>
      </c>
      <c r="W112" s="83">
        <f t="shared" si="26"/>
        <v>54.920765027322403</v>
      </c>
      <c r="X112" s="83">
        <f t="shared" si="26"/>
        <v>54.920765027322403</v>
      </c>
      <c r="Y112" s="175"/>
    </row>
    <row r="113" spans="1:26" x14ac:dyDescent="0.25">
      <c r="A113" s="126">
        <f t="shared" si="25"/>
        <v>0</v>
      </c>
      <c r="B113" s="29"/>
      <c r="C113" s="30" t="str">
        <f t="shared" si="21"/>
        <v>НИВА 23.01.00.00.00.00.00.000 (2)</v>
      </c>
      <c r="D113" s="9" t="str">
        <f t="shared" si="24"/>
        <v>мин/см</v>
      </c>
      <c r="E113" s="74">
        <f>SUM(Простои!C32,Простои!E32:J32)+Простои!K32/12*Простои!L32</f>
        <v>54.920765027322403</v>
      </c>
      <c r="F113" s="74">
        <f>E113+Простои!U32</f>
        <v>54.920765027322403</v>
      </c>
      <c r="G113" s="74">
        <f>F113+Простои!Y32</f>
        <v>54.920765027322403</v>
      </c>
      <c r="H113" s="83">
        <f t="shared" si="23"/>
        <v>54.920765027322403</v>
      </c>
      <c r="I113" s="83">
        <f t="shared" si="26"/>
        <v>54.920765027322403</v>
      </c>
      <c r="J113" s="83">
        <f t="shared" si="26"/>
        <v>54.920765027322403</v>
      </c>
      <c r="K113" s="83">
        <f t="shared" si="26"/>
        <v>54.920765027322403</v>
      </c>
      <c r="L113" s="83">
        <f t="shared" si="26"/>
        <v>54.920765027322403</v>
      </c>
      <c r="M113" s="83">
        <f t="shared" si="26"/>
        <v>54.920765027322403</v>
      </c>
      <c r="N113" s="83">
        <f t="shared" si="26"/>
        <v>54.920765027322403</v>
      </c>
      <c r="O113" s="83">
        <f t="shared" si="26"/>
        <v>54.920765027322403</v>
      </c>
      <c r="P113" s="83">
        <f t="shared" si="26"/>
        <v>54.920765027322403</v>
      </c>
      <c r="Q113" s="83">
        <f t="shared" si="26"/>
        <v>54.920765027322403</v>
      </c>
      <c r="R113" s="83">
        <f t="shared" si="26"/>
        <v>54.920765027322403</v>
      </c>
      <c r="S113" s="83">
        <f t="shared" si="26"/>
        <v>54.920765027322403</v>
      </c>
      <c r="T113" s="83">
        <f t="shared" si="26"/>
        <v>54.920765027322403</v>
      </c>
      <c r="U113" s="83">
        <f t="shared" si="26"/>
        <v>54.920765027322403</v>
      </c>
      <c r="V113" s="83">
        <f t="shared" si="26"/>
        <v>54.920765027322403</v>
      </c>
      <c r="W113" s="83">
        <f t="shared" si="26"/>
        <v>54.920765027322403</v>
      </c>
      <c r="X113" s="83">
        <f t="shared" si="26"/>
        <v>54.920765027322403</v>
      </c>
      <c r="Y113" s="175"/>
    </row>
    <row r="114" spans="1:26" x14ac:dyDescent="0.25">
      <c r="A114" s="126">
        <f t="shared" si="25"/>
        <v>0</v>
      </c>
      <c r="B114" s="29"/>
      <c r="C114" s="30" t="str">
        <f t="shared" si="21"/>
        <v>***</v>
      </c>
      <c r="D114" s="9" t="str">
        <f t="shared" ref="D114" si="27">D113</f>
        <v>мин/см</v>
      </c>
      <c r="E114" s="74">
        <f>SUM(Простои!C33,Простои!E33:J33)+Простои!K33/12*Простои!L33</f>
        <v>0</v>
      </c>
      <c r="F114" s="74">
        <f>E114+Простои!U33</f>
        <v>0</v>
      </c>
      <c r="G114" s="74">
        <f>F114+Простои!Y33</f>
        <v>0</v>
      </c>
      <c r="H114" s="83">
        <f t="shared" si="23"/>
        <v>0</v>
      </c>
      <c r="I114" s="83">
        <f t="shared" si="26"/>
        <v>0</v>
      </c>
      <c r="J114" s="83">
        <f t="shared" si="26"/>
        <v>0</v>
      </c>
      <c r="K114" s="83">
        <f t="shared" si="26"/>
        <v>0</v>
      </c>
      <c r="L114" s="83">
        <f t="shared" si="26"/>
        <v>0</v>
      </c>
      <c r="M114" s="83">
        <f t="shared" si="26"/>
        <v>0</v>
      </c>
      <c r="N114" s="83">
        <f t="shared" si="26"/>
        <v>0</v>
      </c>
      <c r="O114" s="83">
        <f t="shared" si="26"/>
        <v>0</v>
      </c>
      <c r="P114" s="83">
        <f t="shared" si="26"/>
        <v>0</v>
      </c>
      <c r="Q114" s="83">
        <f t="shared" si="26"/>
        <v>0</v>
      </c>
      <c r="R114" s="83">
        <f t="shared" si="26"/>
        <v>0</v>
      </c>
      <c r="S114" s="83">
        <f t="shared" si="26"/>
        <v>0</v>
      </c>
      <c r="T114" s="83">
        <f t="shared" si="26"/>
        <v>0</v>
      </c>
      <c r="U114" s="83">
        <f t="shared" si="26"/>
        <v>0</v>
      </c>
      <c r="V114" s="83">
        <f t="shared" si="26"/>
        <v>0</v>
      </c>
      <c r="W114" s="83">
        <f t="shared" si="26"/>
        <v>0</v>
      </c>
      <c r="X114" s="83">
        <f t="shared" si="26"/>
        <v>0</v>
      </c>
      <c r="Y114" s="175"/>
    </row>
    <row r="115" spans="1:26" x14ac:dyDescent="0.25">
      <c r="A115" s="126">
        <f t="shared" si="25"/>
        <v>1</v>
      </c>
      <c r="B115" s="64">
        <f>B88+1</f>
        <v>4</v>
      </c>
      <c r="C115" s="85" t="s">
        <v>41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175"/>
    </row>
    <row r="116" spans="1:26" x14ac:dyDescent="0.25">
      <c r="A116" s="126">
        <f t="shared" si="25"/>
        <v>1</v>
      </c>
      <c r="B116" s="29"/>
      <c r="C116" s="30" t="str">
        <f t="shared" ref="C116:C141" si="28">C89</f>
        <v>YANGZI DR75</v>
      </c>
      <c r="D116" s="9" t="s">
        <v>14</v>
      </c>
      <c r="E116" s="127">
        <f>(E35-(E62+E89)/60*(E35/12))/E$6</f>
        <v>0.75260910724286301</v>
      </c>
      <c r="F116" s="127">
        <f t="shared" ref="F116:X130" si="29">(F35-(F62+F89)/60*(F35/12))/F$6</f>
        <v>0.74148326922448982</v>
      </c>
      <c r="G116" s="127">
        <f t="shared" si="29"/>
        <v>0.75260910724286301</v>
      </c>
      <c r="H116" s="127">
        <f t="shared" si="29"/>
        <v>0.74148326922448982</v>
      </c>
      <c r="I116" s="127">
        <f t="shared" si="29"/>
        <v>0.71671930718359445</v>
      </c>
      <c r="J116" s="127">
        <f t="shared" si="29"/>
        <v>0.74148326922448982</v>
      </c>
      <c r="K116" s="127">
        <f t="shared" si="29"/>
        <v>0.68764856913558692</v>
      </c>
      <c r="L116" s="127">
        <f t="shared" si="29"/>
        <v>0.74363665722804595</v>
      </c>
      <c r="M116" s="127">
        <f t="shared" si="29"/>
        <v>0.75045571923930687</v>
      </c>
      <c r="N116" s="127">
        <f t="shared" si="29"/>
        <v>0.68980195713914294</v>
      </c>
      <c r="O116" s="127">
        <f t="shared" si="29"/>
        <v>0.75045571923930687</v>
      </c>
      <c r="P116" s="127">
        <f t="shared" si="29"/>
        <v>0.74148326922448982</v>
      </c>
      <c r="Q116" s="127">
        <f t="shared" si="29"/>
        <v>0</v>
      </c>
      <c r="R116" s="127">
        <f t="shared" si="29"/>
        <v>0</v>
      </c>
      <c r="S116" s="127">
        <f t="shared" si="29"/>
        <v>0</v>
      </c>
      <c r="T116" s="127">
        <f t="shared" si="29"/>
        <v>0</v>
      </c>
      <c r="U116" s="127">
        <f t="shared" si="29"/>
        <v>0</v>
      </c>
      <c r="V116" s="127">
        <f t="shared" si="29"/>
        <v>0</v>
      </c>
      <c r="W116" s="127">
        <f t="shared" si="29"/>
        <v>0</v>
      </c>
      <c r="X116" s="127">
        <f t="shared" si="29"/>
        <v>0</v>
      </c>
      <c r="Y116" s="175"/>
      <c r="Z116" s="46">
        <f>SUM(E116:X116)/Y8</f>
        <v>0.73415576837905583</v>
      </c>
    </row>
    <row r="117" spans="1:26" x14ac:dyDescent="0.25">
      <c r="A117" s="238">
        <f t="shared" si="25"/>
        <v>1</v>
      </c>
      <c r="B117" s="239"/>
      <c r="C117" s="187" t="str">
        <f t="shared" si="28"/>
        <v>Sunward SWDRT250SM</v>
      </c>
      <c r="D117" s="196" t="str">
        <f>D116</f>
        <v>коэфф.</v>
      </c>
      <c r="E117" s="127">
        <f t="shared" ref="E117:T141" si="30">(E36-(E63+E90)/60*(E36/12))/E$6</f>
        <v>0.72339077239211158</v>
      </c>
      <c r="F117" s="127">
        <f t="shared" si="30"/>
        <v>0.69961377985284623</v>
      </c>
      <c r="G117" s="127">
        <f t="shared" si="30"/>
        <v>0.68346336982617528</v>
      </c>
      <c r="H117" s="127">
        <f t="shared" si="30"/>
        <v>0.70724036236544086</v>
      </c>
      <c r="I117" s="127">
        <f t="shared" si="30"/>
        <v>0.69961377985284623</v>
      </c>
      <c r="J117" s="127">
        <f t="shared" si="30"/>
        <v>0.68166887982321189</v>
      </c>
      <c r="K117" s="127">
        <f t="shared" si="30"/>
        <v>0.69692204484840115</v>
      </c>
      <c r="L117" s="127">
        <f t="shared" si="30"/>
        <v>0.69961377985284623</v>
      </c>
      <c r="M117" s="127">
        <f t="shared" si="30"/>
        <v>0.68705234983210217</v>
      </c>
      <c r="N117" s="127">
        <f t="shared" si="30"/>
        <v>0.69064132983802906</v>
      </c>
      <c r="O117" s="127">
        <f t="shared" si="30"/>
        <v>0.69064132983802906</v>
      </c>
      <c r="P117" s="127">
        <f t="shared" si="30"/>
        <v>0.69064132983802906</v>
      </c>
      <c r="Q117" s="127">
        <f t="shared" si="30"/>
        <v>0</v>
      </c>
      <c r="R117" s="127">
        <f t="shared" si="30"/>
        <v>0</v>
      </c>
      <c r="S117" s="127">
        <f t="shared" si="30"/>
        <v>0</v>
      </c>
      <c r="T117" s="127">
        <f t="shared" si="30"/>
        <v>0</v>
      </c>
      <c r="U117" s="127">
        <f t="shared" si="29"/>
        <v>0</v>
      </c>
      <c r="V117" s="127">
        <f t="shared" si="29"/>
        <v>0</v>
      </c>
      <c r="W117" s="127">
        <f t="shared" si="29"/>
        <v>0</v>
      </c>
      <c r="X117" s="127">
        <f t="shared" si="29"/>
        <v>0</v>
      </c>
      <c r="Y117" s="175"/>
      <c r="Z117" s="46">
        <f t="shared" ref="Z117:Z141" si="31">SUM(E117:X117)/Y9</f>
        <v>0.69587525901333913</v>
      </c>
    </row>
    <row r="118" spans="1:26" x14ac:dyDescent="0.25">
      <c r="A118" s="238">
        <f t="shared" si="25"/>
        <v>1</v>
      </c>
      <c r="B118" s="239"/>
      <c r="C118" s="187" t="str">
        <f t="shared" si="28"/>
        <v>Sunward SWDRT270SM</v>
      </c>
      <c r="D118" s="196" t="str">
        <f t="shared" ref="D118:D140" si="32">D117</f>
        <v>коэфф.</v>
      </c>
      <c r="E118" s="127">
        <f t="shared" si="30"/>
        <v>0.72339077239211158</v>
      </c>
      <c r="F118" s="127">
        <f t="shared" si="29"/>
        <v>0.69961377985284623</v>
      </c>
      <c r="G118" s="127">
        <f t="shared" si="29"/>
        <v>0.68346336982617528</v>
      </c>
      <c r="H118" s="127">
        <f t="shared" si="29"/>
        <v>0.70724036236544086</v>
      </c>
      <c r="I118" s="127">
        <f t="shared" si="29"/>
        <v>0.69961377985284623</v>
      </c>
      <c r="J118" s="127">
        <f t="shared" si="29"/>
        <v>0.68166887982321189</v>
      </c>
      <c r="K118" s="127">
        <f t="shared" si="29"/>
        <v>0.69692204484840115</v>
      </c>
      <c r="L118" s="127">
        <f t="shared" si="29"/>
        <v>0.69961377985284623</v>
      </c>
      <c r="M118" s="127">
        <f t="shared" si="29"/>
        <v>0.68705234983210217</v>
      </c>
      <c r="N118" s="127">
        <f t="shared" si="29"/>
        <v>0.69064132983802906</v>
      </c>
      <c r="O118" s="127">
        <f t="shared" si="29"/>
        <v>0.69064132983802906</v>
      </c>
      <c r="P118" s="127">
        <f t="shared" si="29"/>
        <v>0.69064132983802906</v>
      </c>
      <c r="Q118" s="127">
        <f t="shared" si="29"/>
        <v>0</v>
      </c>
      <c r="R118" s="127">
        <f t="shared" si="29"/>
        <v>0</v>
      </c>
      <c r="S118" s="127">
        <f t="shared" si="29"/>
        <v>0</v>
      </c>
      <c r="T118" s="127">
        <f t="shared" si="29"/>
        <v>0</v>
      </c>
      <c r="U118" s="127">
        <f t="shared" si="29"/>
        <v>0</v>
      </c>
      <c r="V118" s="127">
        <f t="shared" si="29"/>
        <v>0</v>
      </c>
      <c r="W118" s="127">
        <f t="shared" si="29"/>
        <v>0</v>
      </c>
      <c r="X118" s="127">
        <f t="shared" si="29"/>
        <v>0</v>
      </c>
      <c r="Y118" s="175"/>
      <c r="Z118" s="46">
        <f t="shared" si="31"/>
        <v>0.69587525901333913</v>
      </c>
    </row>
    <row r="119" spans="1:26" x14ac:dyDescent="0.25">
      <c r="A119" s="238">
        <f t="shared" si="25"/>
        <v>1</v>
      </c>
      <c r="B119" s="239"/>
      <c r="C119" s="187" t="str">
        <f t="shared" si="28"/>
        <v>Sunward SWDRT270B</v>
      </c>
      <c r="D119" s="196" t="str">
        <f t="shared" si="32"/>
        <v>коэфф.</v>
      </c>
      <c r="E119" s="127">
        <f t="shared" si="30"/>
        <v>0.751852345173042</v>
      </c>
      <c r="F119" s="127">
        <f t="shared" si="29"/>
        <v>0.751852345173042</v>
      </c>
      <c r="G119" s="127">
        <f t="shared" si="29"/>
        <v>0.74376791135397702</v>
      </c>
      <c r="H119" s="127">
        <f t="shared" si="29"/>
        <v>0.74376791135397702</v>
      </c>
      <c r="I119" s="127">
        <f t="shared" si="29"/>
        <v>0.70334574225865198</v>
      </c>
      <c r="J119" s="127">
        <f t="shared" si="29"/>
        <v>0.72759904371584705</v>
      </c>
      <c r="K119" s="127">
        <f t="shared" si="29"/>
        <v>0.68717687462052213</v>
      </c>
      <c r="L119" s="127">
        <f t="shared" si="29"/>
        <v>0.72759904371584705</v>
      </c>
      <c r="M119" s="127">
        <f t="shared" si="29"/>
        <v>0.72759904371584705</v>
      </c>
      <c r="N119" s="127">
        <f t="shared" si="29"/>
        <v>0.68717687462052213</v>
      </c>
      <c r="O119" s="127">
        <f t="shared" si="29"/>
        <v>0.71951460989678206</v>
      </c>
      <c r="P119" s="127">
        <f t="shared" si="29"/>
        <v>0.71951460989678206</v>
      </c>
      <c r="Q119" s="127">
        <f t="shared" si="29"/>
        <v>0</v>
      </c>
      <c r="R119" s="127">
        <f t="shared" si="29"/>
        <v>0</v>
      </c>
      <c r="S119" s="127">
        <f t="shared" si="29"/>
        <v>0</v>
      </c>
      <c r="T119" s="127">
        <f t="shared" si="29"/>
        <v>0</v>
      </c>
      <c r="U119" s="127">
        <f t="shared" si="29"/>
        <v>0</v>
      </c>
      <c r="V119" s="127">
        <f t="shared" si="29"/>
        <v>0</v>
      </c>
      <c r="W119" s="127">
        <f t="shared" si="29"/>
        <v>0</v>
      </c>
      <c r="X119" s="127">
        <f t="shared" si="29"/>
        <v>0</v>
      </c>
      <c r="Y119" s="175"/>
      <c r="Z119" s="46">
        <f t="shared" si="31"/>
        <v>0.7242305296245698</v>
      </c>
    </row>
    <row r="120" spans="1:26" x14ac:dyDescent="0.25">
      <c r="A120" s="238">
        <f t="shared" si="25"/>
        <v>1</v>
      </c>
      <c r="B120" s="239"/>
      <c r="C120" s="187" t="str">
        <f t="shared" si="28"/>
        <v>HIFO 75D</v>
      </c>
      <c r="D120" s="196" t="str">
        <f t="shared" si="32"/>
        <v>коэфф.</v>
      </c>
      <c r="E120" s="127">
        <f t="shared" si="30"/>
        <v>0.72212072209251432</v>
      </c>
      <c r="F120" s="127">
        <f t="shared" si="29"/>
        <v>0.70091613097249694</v>
      </c>
      <c r="G120" s="127">
        <f t="shared" si="29"/>
        <v>0.69007382237459203</v>
      </c>
      <c r="H120" s="127">
        <f t="shared" si="29"/>
        <v>0.69935492466991878</v>
      </c>
      <c r="I120" s="127">
        <f t="shared" si="29"/>
        <v>0.7035468533168413</v>
      </c>
      <c r="J120" s="127">
        <f t="shared" si="29"/>
        <v>0.68254414232215743</v>
      </c>
      <c r="K120" s="127">
        <f t="shared" si="29"/>
        <v>0.69400016650107588</v>
      </c>
      <c r="L120" s="127">
        <f t="shared" si="29"/>
        <v>0.70381423232728302</v>
      </c>
      <c r="M120" s="127">
        <f t="shared" si="29"/>
        <v>0.68952650292368811</v>
      </c>
      <c r="N120" s="127">
        <f t="shared" si="29"/>
        <v>0.68934167045338279</v>
      </c>
      <c r="O120" s="127">
        <f t="shared" si="29"/>
        <v>0</v>
      </c>
      <c r="P120" s="127">
        <f t="shared" si="29"/>
        <v>0</v>
      </c>
      <c r="Q120" s="127">
        <f t="shared" si="29"/>
        <v>0</v>
      </c>
      <c r="R120" s="127">
        <f t="shared" si="29"/>
        <v>0</v>
      </c>
      <c r="S120" s="127">
        <f t="shared" si="29"/>
        <v>0</v>
      </c>
      <c r="T120" s="127">
        <f t="shared" si="29"/>
        <v>0</v>
      </c>
      <c r="U120" s="127">
        <f t="shared" si="29"/>
        <v>0</v>
      </c>
      <c r="V120" s="127">
        <f t="shared" si="29"/>
        <v>0</v>
      </c>
      <c r="W120" s="127">
        <f t="shared" si="29"/>
        <v>0</v>
      </c>
      <c r="X120" s="127">
        <f t="shared" si="29"/>
        <v>0</v>
      </c>
      <c r="Y120" s="175"/>
      <c r="Z120" s="46">
        <f t="shared" si="31"/>
        <v>0.69752391679539516</v>
      </c>
    </row>
    <row r="121" spans="1:26" x14ac:dyDescent="0.25">
      <c r="A121" s="238">
        <f t="shared" si="25"/>
        <v>0</v>
      </c>
      <c r="B121" s="239"/>
      <c r="C121" s="187" t="str">
        <f t="shared" si="28"/>
        <v>ZEGA R8100L (1)</v>
      </c>
      <c r="D121" s="196" t="str">
        <f t="shared" si="32"/>
        <v>коэфф.</v>
      </c>
      <c r="E121" s="127">
        <f t="shared" si="30"/>
        <v>0</v>
      </c>
      <c r="F121" s="127">
        <f t="shared" si="29"/>
        <v>0</v>
      </c>
      <c r="G121" s="127">
        <f t="shared" si="29"/>
        <v>0</v>
      </c>
      <c r="H121" s="127">
        <f t="shared" si="29"/>
        <v>0</v>
      </c>
      <c r="I121" s="127">
        <f t="shared" si="29"/>
        <v>0</v>
      </c>
      <c r="J121" s="127">
        <f t="shared" si="29"/>
        <v>0</v>
      </c>
      <c r="K121" s="127">
        <f t="shared" si="29"/>
        <v>0</v>
      </c>
      <c r="L121" s="127">
        <f t="shared" si="29"/>
        <v>0</v>
      </c>
      <c r="M121" s="127">
        <f t="shared" si="29"/>
        <v>0</v>
      </c>
      <c r="N121" s="127">
        <f t="shared" si="29"/>
        <v>0</v>
      </c>
      <c r="O121" s="127">
        <f t="shared" si="29"/>
        <v>0</v>
      </c>
      <c r="P121" s="127">
        <f t="shared" si="29"/>
        <v>0</v>
      </c>
      <c r="Q121" s="127">
        <f t="shared" si="29"/>
        <v>0</v>
      </c>
      <c r="R121" s="127">
        <f t="shared" si="29"/>
        <v>0</v>
      </c>
      <c r="S121" s="127">
        <f t="shared" si="29"/>
        <v>0</v>
      </c>
      <c r="T121" s="127">
        <f t="shared" si="29"/>
        <v>0</v>
      </c>
      <c r="U121" s="127">
        <f t="shared" si="29"/>
        <v>0</v>
      </c>
      <c r="V121" s="127">
        <f t="shared" si="29"/>
        <v>0</v>
      </c>
      <c r="W121" s="127">
        <f t="shared" si="29"/>
        <v>0</v>
      </c>
      <c r="X121" s="127">
        <f t="shared" si="29"/>
        <v>0</v>
      </c>
      <c r="Y121" s="175"/>
      <c r="Z121" s="46" t="e">
        <f t="shared" si="31"/>
        <v>#DIV/0!</v>
      </c>
    </row>
    <row r="122" spans="1:26" x14ac:dyDescent="0.25">
      <c r="A122" s="238">
        <f t="shared" si="25"/>
        <v>0</v>
      </c>
      <c r="B122" s="239"/>
      <c r="C122" s="187" t="str">
        <f t="shared" si="28"/>
        <v>YANGZI  DM75</v>
      </c>
      <c r="D122" s="196" t="str">
        <f t="shared" si="32"/>
        <v>коэфф.</v>
      </c>
      <c r="E122" s="127">
        <f t="shared" si="30"/>
        <v>0</v>
      </c>
      <c r="F122" s="127">
        <f t="shared" si="29"/>
        <v>0</v>
      </c>
      <c r="G122" s="127">
        <f t="shared" si="29"/>
        <v>0</v>
      </c>
      <c r="H122" s="127">
        <f t="shared" si="29"/>
        <v>0</v>
      </c>
      <c r="I122" s="127">
        <f t="shared" si="29"/>
        <v>0</v>
      </c>
      <c r="J122" s="127">
        <f t="shared" si="29"/>
        <v>0</v>
      </c>
      <c r="K122" s="127">
        <f t="shared" si="29"/>
        <v>0</v>
      </c>
      <c r="L122" s="127">
        <f t="shared" si="29"/>
        <v>0</v>
      </c>
      <c r="M122" s="127">
        <f t="shared" si="29"/>
        <v>0</v>
      </c>
      <c r="N122" s="127">
        <f t="shared" si="29"/>
        <v>0</v>
      </c>
      <c r="O122" s="127">
        <f t="shared" si="29"/>
        <v>0</v>
      </c>
      <c r="P122" s="127">
        <f t="shared" si="29"/>
        <v>0</v>
      </c>
      <c r="Q122" s="127">
        <f t="shared" si="29"/>
        <v>0</v>
      </c>
      <c r="R122" s="127">
        <f t="shared" si="29"/>
        <v>0</v>
      </c>
      <c r="S122" s="127">
        <f t="shared" si="29"/>
        <v>0</v>
      </c>
      <c r="T122" s="127">
        <f t="shared" si="29"/>
        <v>0</v>
      </c>
      <c r="U122" s="127">
        <f t="shared" si="29"/>
        <v>0</v>
      </c>
      <c r="V122" s="127">
        <f t="shared" si="29"/>
        <v>0</v>
      </c>
      <c r="W122" s="127">
        <f t="shared" si="29"/>
        <v>0</v>
      </c>
      <c r="X122" s="127">
        <f t="shared" si="29"/>
        <v>0</v>
      </c>
      <c r="Y122" s="175"/>
      <c r="Z122" s="46" t="e">
        <f t="shared" si="31"/>
        <v>#DIV/0!</v>
      </c>
    </row>
    <row r="123" spans="1:26" x14ac:dyDescent="0.25">
      <c r="A123" s="238">
        <f t="shared" si="25"/>
        <v>0</v>
      </c>
      <c r="B123" s="239"/>
      <c r="C123" s="187" t="str">
        <f t="shared" si="28"/>
        <v>*</v>
      </c>
      <c r="D123" s="196" t="str">
        <f t="shared" si="32"/>
        <v>коэфф.</v>
      </c>
      <c r="E123" s="127">
        <f t="shared" si="30"/>
        <v>0</v>
      </c>
      <c r="F123" s="127">
        <f t="shared" si="29"/>
        <v>0</v>
      </c>
      <c r="G123" s="127">
        <f t="shared" si="29"/>
        <v>0</v>
      </c>
      <c r="H123" s="127">
        <f t="shared" si="29"/>
        <v>0</v>
      </c>
      <c r="I123" s="127">
        <f t="shared" si="29"/>
        <v>0</v>
      </c>
      <c r="J123" s="127">
        <f t="shared" si="29"/>
        <v>0</v>
      </c>
      <c r="K123" s="127">
        <f t="shared" si="29"/>
        <v>0</v>
      </c>
      <c r="L123" s="127">
        <f t="shared" si="29"/>
        <v>0</v>
      </c>
      <c r="M123" s="127">
        <f t="shared" si="29"/>
        <v>0</v>
      </c>
      <c r="N123" s="127">
        <f t="shared" si="29"/>
        <v>0</v>
      </c>
      <c r="O123" s="127">
        <f t="shared" si="29"/>
        <v>0</v>
      </c>
      <c r="P123" s="127">
        <f t="shared" si="29"/>
        <v>0</v>
      </c>
      <c r="Q123" s="127">
        <f t="shared" si="29"/>
        <v>0</v>
      </c>
      <c r="R123" s="127">
        <f t="shared" si="29"/>
        <v>0</v>
      </c>
      <c r="S123" s="127">
        <f t="shared" si="29"/>
        <v>0</v>
      </c>
      <c r="T123" s="127">
        <f t="shared" si="29"/>
        <v>0</v>
      </c>
      <c r="U123" s="127">
        <f t="shared" si="29"/>
        <v>0</v>
      </c>
      <c r="V123" s="127">
        <f t="shared" si="29"/>
        <v>0</v>
      </c>
      <c r="W123" s="127">
        <f t="shared" si="29"/>
        <v>0</v>
      </c>
      <c r="X123" s="127">
        <f t="shared" si="29"/>
        <v>0</v>
      </c>
      <c r="Y123" s="175"/>
      <c r="Z123" s="46" t="e">
        <f t="shared" si="31"/>
        <v>#DIV/0!</v>
      </c>
    </row>
    <row r="124" spans="1:26" x14ac:dyDescent="0.25">
      <c r="A124" s="238">
        <f t="shared" si="25"/>
        <v>0</v>
      </c>
      <c r="B124" s="239"/>
      <c r="C124" s="187" t="str">
        <f t="shared" si="28"/>
        <v>СБШ-250/270КП</v>
      </c>
      <c r="D124" s="196" t="str">
        <f t="shared" si="32"/>
        <v>коэфф.</v>
      </c>
      <c r="E124" s="127">
        <f t="shared" si="30"/>
        <v>0</v>
      </c>
      <c r="F124" s="127">
        <f t="shared" si="29"/>
        <v>0</v>
      </c>
      <c r="G124" s="127">
        <f t="shared" si="29"/>
        <v>0</v>
      </c>
      <c r="H124" s="127">
        <f t="shared" si="29"/>
        <v>0</v>
      </c>
      <c r="I124" s="127">
        <f t="shared" si="29"/>
        <v>0</v>
      </c>
      <c r="J124" s="127">
        <f t="shared" si="29"/>
        <v>0</v>
      </c>
      <c r="K124" s="127">
        <f t="shared" si="29"/>
        <v>0</v>
      </c>
      <c r="L124" s="127">
        <f t="shared" si="29"/>
        <v>0</v>
      </c>
      <c r="M124" s="127">
        <f t="shared" si="29"/>
        <v>0</v>
      </c>
      <c r="N124" s="127">
        <f t="shared" si="29"/>
        <v>0</v>
      </c>
      <c r="O124" s="127">
        <f t="shared" si="29"/>
        <v>0</v>
      </c>
      <c r="P124" s="127">
        <f t="shared" si="29"/>
        <v>0</v>
      </c>
      <c r="Q124" s="127">
        <f t="shared" si="29"/>
        <v>0</v>
      </c>
      <c r="R124" s="127">
        <f t="shared" si="29"/>
        <v>0</v>
      </c>
      <c r="S124" s="127">
        <f t="shared" si="29"/>
        <v>0</v>
      </c>
      <c r="T124" s="127">
        <f t="shared" si="29"/>
        <v>0</v>
      </c>
      <c r="U124" s="127">
        <f t="shared" si="29"/>
        <v>0</v>
      </c>
      <c r="V124" s="127">
        <f t="shared" si="29"/>
        <v>0</v>
      </c>
      <c r="W124" s="127">
        <f t="shared" si="29"/>
        <v>0</v>
      </c>
      <c r="X124" s="127">
        <f t="shared" si="29"/>
        <v>0</v>
      </c>
      <c r="Y124" s="175"/>
      <c r="Z124" s="46" t="e">
        <f t="shared" si="31"/>
        <v>#DIV/0!</v>
      </c>
    </row>
    <row r="125" spans="1:26" x14ac:dyDescent="0.25">
      <c r="A125" s="238">
        <f t="shared" si="25"/>
        <v>0</v>
      </c>
      <c r="B125" s="239"/>
      <c r="C125" s="187" t="str">
        <f t="shared" si="28"/>
        <v>Sunward SWDRT270E (1)</v>
      </c>
      <c r="D125" s="196" t="str">
        <f t="shared" si="32"/>
        <v>коэфф.</v>
      </c>
      <c r="E125" s="127">
        <f t="shared" si="30"/>
        <v>0</v>
      </c>
      <c r="F125" s="127">
        <f t="shared" si="29"/>
        <v>0</v>
      </c>
      <c r="G125" s="127">
        <f t="shared" si="29"/>
        <v>0</v>
      </c>
      <c r="H125" s="127">
        <f t="shared" si="29"/>
        <v>0</v>
      </c>
      <c r="I125" s="127">
        <f t="shared" si="29"/>
        <v>0</v>
      </c>
      <c r="J125" s="127">
        <f t="shared" si="29"/>
        <v>0</v>
      </c>
      <c r="K125" s="127">
        <f t="shared" si="29"/>
        <v>0</v>
      </c>
      <c r="L125" s="127">
        <f t="shared" si="29"/>
        <v>0</v>
      </c>
      <c r="M125" s="127">
        <f t="shared" si="29"/>
        <v>0</v>
      </c>
      <c r="N125" s="127">
        <f t="shared" si="29"/>
        <v>0</v>
      </c>
      <c r="O125" s="127">
        <f t="shared" si="29"/>
        <v>0</v>
      </c>
      <c r="P125" s="127">
        <f t="shared" si="29"/>
        <v>0</v>
      </c>
      <c r="Q125" s="127">
        <f t="shared" si="29"/>
        <v>0</v>
      </c>
      <c r="R125" s="127">
        <f t="shared" si="29"/>
        <v>0</v>
      </c>
      <c r="S125" s="127">
        <f t="shared" si="29"/>
        <v>0</v>
      </c>
      <c r="T125" s="127">
        <f t="shared" si="29"/>
        <v>0</v>
      </c>
      <c r="U125" s="127">
        <f t="shared" si="29"/>
        <v>0</v>
      </c>
      <c r="V125" s="127">
        <f t="shared" si="29"/>
        <v>0</v>
      </c>
      <c r="W125" s="127">
        <f t="shared" si="29"/>
        <v>0</v>
      </c>
      <c r="X125" s="127">
        <f t="shared" si="29"/>
        <v>0</v>
      </c>
      <c r="Y125" s="175"/>
      <c r="Z125" s="46" t="e">
        <f t="shared" si="31"/>
        <v>#DIV/0!</v>
      </c>
    </row>
    <row r="126" spans="1:26" x14ac:dyDescent="0.25">
      <c r="A126" s="238">
        <f t="shared" si="25"/>
        <v>0</v>
      </c>
      <c r="B126" s="239"/>
      <c r="C126" s="187" t="str">
        <f t="shared" si="28"/>
        <v>Sunward SWDRT270E (2)</v>
      </c>
      <c r="D126" s="196" t="str">
        <f t="shared" si="32"/>
        <v>коэфф.</v>
      </c>
      <c r="E126" s="127">
        <f t="shared" si="30"/>
        <v>0</v>
      </c>
      <c r="F126" s="127">
        <f t="shared" si="29"/>
        <v>0</v>
      </c>
      <c r="G126" s="127">
        <f t="shared" si="29"/>
        <v>0</v>
      </c>
      <c r="H126" s="127">
        <f t="shared" si="29"/>
        <v>0</v>
      </c>
      <c r="I126" s="127">
        <f t="shared" si="29"/>
        <v>0</v>
      </c>
      <c r="J126" s="127">
        <f t="shared" si="29"/>
        <v>0</v>
      </c>
      <c r="K126" s="127">
        <f t="shared" si="29"/>
        <v>0</v>
      </c>
      <c r="L126" s="127">
        <f t="shared" si="29"/>
        <v>0</v>
      </c>
      <c r="M126" s="127">
        <f t="shared" si="29"/>
        <v>0</v>
      </c>
      <c r="N126" s="127">
        <f t="shared" si="29"/>
        <v>0</v>
      </c>
      <c r="O126" s="127">
        <f t="shared" si="29"/>
        <v>0</v>
      </c>
      <c r="P126" s="127">
        <f t="shared" si="29"/>
        <v>0</v>
      </c>
      <c r="Q126" s="127">
        <f t="shared" si="29"/>
        <v>0</v>
      </c>
      <c r="R126" s="127">
        <f t="shared" si="29"/>
        <v>0</v>
      </c>
      <c r="S126" s="127">
        <f t="shared" si="29"/>
        <v>0</v>
      </c>
      <c r="T126" s="127">
        <f t="shared" si="29"/>
        <v>0</v>
      </c>
      <c r="U126" s="127">
        <f t="shared" si="29"/>
        <v>0</v>
      </c>
      <c r="V126" s="127">
        <f t="shared" si="29"/>
        <v>0</v>
      </c>
      <c r="W126" s="127">
        <f t="shared" si="29"/>
        <v>0</v>
      </c>
      <c r="X126" s="127">
        <f t="shared" si="29"/>
        <v>0</v>
      </c>
      <c r="Y126" s="175"/>
      <c r="Z126" s="46" t="e">
        <f t="shared" si="31"/>
        <v>#DIV/0!</v>
      </c>
    </row>
    <row r="127" spans="1:26" x14ac:dyDescent="0.25">
      <c r="A127" s="238">
        <f t="shared" si="25"/>
        <v>0</v>
      </c>
      <c r="B127" s="239"/>
      <c r="C127" s="187" t="str">
        <f t="shared" si="28"/>
        <v>HIFO 75Е</v>
      </c>
      <c r="D127" s="196" t="str">
        <f t="shared" si="32"/>
        <v>коэфф.</v>
      </c>
      <c r="E127" s="127">
        <f t="shared" si="30"/>
        <v>0</v>
      </c>
      <c r="F127" s="127">
        <f t="shared" si="29"/>
        <v>0</v>
      </c>
      <c r="G127" s="127">
        <f t="shared" si="29"/>
        <v>0</v>
      </c>
      <c r="H127" s="127">
        <f t="shared" si="29"/>
        <v>0</v>
      </c>
      <c r="I127" s="127">
        <f t="shared" si="29"/>
        <v>0</v>
      </c>
      <c r="J127" s="127">
        <f t="shared" si="29"/>
        <v>0</v>
      </c>
      <c r="K127" s="127">
        <f t="shared" si="29"/>
        <v>0</v>
      </c>
      <c r="L127" s="127">
        <f t="shared" si="29"/>
        <v>0</v>
      </c>
      <c r="M127" s="127">
        <f t="shared" si="29"/>
        <v>0</v>
      </c>
      <c r="N127" s="127">
        <f t="shared" si="29"/>
        <v>0</v>
      </c>
      <c r="O127" s="127">
        <f t="shared" si="29"/>
        <v>0</v>
      </c>
      <c r="P127" s="127">
        <f t="shared" si="29"/>
        <v>0</v>
      </c>
      <c r="Q127" s="127">
        <f t="shared" si="29"/>
        <v>0</v>
      </c>
      <c r="R127" s="127">
        <f t="shared" si="29"/>
        <v>0</v>
      </c>
      <c r="S127" s="127">
        <f t="shared" si="29"/>
        <v>0</v>
      </c>
      <c r="T127" s="127">
        <f t="shared" si="29"/>
        <v>0</v>
      </c>
      <c r="U127" s="127">
        <f t="shared" si="29"/>
        <v>0</v>
      </c>
      <c r="V127" s="127">
        <f t="shared" si="29"/>
        <v>0</v>
      </c>
      <c r="W127" s="127">
        <f t="shared" si="29"/>
        <v>0</v>
      </c>
      <c r="X127" s="127">
        <f t="shared" si="29"/>
        <v>0</v>
      </c>
      <c r="Y127" s="175"/>
      <c r="Z127" s="46" t="e">
        <f t="shared" si="31"/>
        <v>#DIV/0!</v>
      </c>
    </row>
    <row r="128" spans="1:26" x14ac:dyDescent="0.25">
      <c r="A128" s="238">
        <f t="shared" si="25"/>
        <v>0</v>
      </c>
      <c r="B128" s="239"/>
      <c r="C128" s="187" t="str">
        <f t="shared" si="28"/>
        <v>НИВА 22.01.00.00.00.00.00.000 (1)</v>
      </c>
      <c r="D128" s="196" t="str">
        <f t="shared" si="32"/>
        <v>коэфф.</v>
      </c>
      <c r="E128" s="127">
        <f t="shared" si="30"/>
        <v>0</v>
      </c>
      <c r="F128" s="127">
        <f t="shared" si="29"/>
        <v>0</v>
      </c>
      <c r="G128" s="127">
        <f t="shared" si="29"/>
        <v>0</v>
      </c>
      <c r="H128" s="127">
        <f t="shared" si="29"/>
        <v>0</v>
      </c>
      <c r="I128" s="127">
        <f t="shared" si="29"/>
        <v>0</v>
      </c>
      <c r="J128" s="127">
        <f t="shared" si="29"/>
        <v>0</v>
      </c>
      <c r="K128" s="127">
        <f t="shared" si="29"/>
        <v>0</v>
      </c>
      <c r="L128" s="127">
        <f t="shared" si="29"/>
        <v>0</v>
      </c>
      <c r="M128" s="127">
        <f t="shared" si="29"/>
        <v>0</v>
      </c>
      <c r="N128" s="127">
        <f t="shared" si="29"/>
        <v>0</v>
      </c>
      <c r="O128" s="127">
        <f t="shared" si="29"/>
        <v>0</v>
      </c>
      <c r="P128" s="127">
        <f t="shared" si="29"/>
        <v>0</v>
      </c>
      <c r="Q128" s="127">
        <f t="shared" si="29"/>
        <v>0</v>
      </c>
      <c r="R128" s="127">
        <f t="shared" si="29"/>
        <v>0</v>
      </c>
      <c r="S128" s="127">
        <f t="shared" si="29"/>
        <v>0</v>
      </c>
      <c r="T128" s="127">
        <f t="shared" si="29"/>
        <v>0</v>
      </c>
      <c r="U128" s="127">
        <f t="shared" si="29"/>
        <v>0</v>
      </c>
      <c r="V128" s="127">
        <f t="shared" si="29"/>
        <v>0</v>
      </c>
      <c r="W128" s="127">
        <f t="shared" si="29"/>
        <v>0</v>
      </c>
      <c r="X128" s="127">
        <f t="shared" si="29"/>
        <v>0</v>
      </c>
      <c r="Y128" s="175"/>
      <c r="Z128" s="46" t="e">
        <f t="shared" si="31"/>
        <v>#DIV/0!</v>
      </c>
    </row>
    <row r="129" spans="1:26" x14ac:dyDescent="0.25">
      <c r="A129" s="238">
        <f t="shared" si="25"/>
        <v>0</v>
      </c>
      <c r="B129" s="239"/>
      <c r="C129" s="187" t="str">
        <f t="shared" si="28"/>
        <v>НИВА 22.01.00.00.00.00.00.000 (2)</v>
      </c>
      <c r="D129" s="196" t="str">
        <f t="shared" si="32"/>
        <v>коэфф.</v>
      </c>
      <c r="E129" s="127">
        <f t="shared" si="30"/>
        <v>0</v>
      </c>
      <c r="F129" s="127">
        <f t="shared" si="29"/>
        <v>0</v>
      </c>
      <c r="G129" s="127">
        <f t="shared" si="29"/>
        <v>0</v>
      </c>
      <c r="H129" s="127">
        <f t="shared" si="29"/>
        <v>0</v>
      </c>
      <c r="I129" s="127">
        <f t="shared" si="29"/>
        <v>0</v>
      </c>
      <c r="J129" s="127">
        <f t="shared" si="29"/>
        <v>0</v>
      </c>
      <c r="K129" s="127">
        <f t="shared" si="29"/>
        <v>0</v>
      </c>
      <c r="L129" s="127">
        <f t="shared" si="29"/>
        <v>0</v>
      </c>
      <c r="M129" s="127">
        <f t="shared" si="29"/>
        <v>0</v>
      </c>
      <c r="N129" s="127">
        <f t="shared" si="29"/>
        <v>0</v>
      </c>
      <c r="O129" s="127">
        <f t="shared" si="29"/>
        <v>0</v>
      </c>
      <c r="P129" s="127">
        <f t="shared" si="29"/>
        <v>0</v>
      </c>
      <c r="Q129" s="127">
        <f t="shared" si="29"/>
        <v>0</v>
      </c>
      <c r="R129" s="127">
        <f t="shared" si="29"/>
        <v>0</v>
      </c>
      <c r="S129" s="127">
        <f t="shared" si="29"/>
        <v>0</v>
      </c>
      <c r="T129" s="127">
        <f t="shared" si="29"/>
        <v>0</v>
      </c>
      <c r="U129" s="127">
        <f t="shared" si="29"/>
        <v>0</v>
      </c>
      <c r="V129" s="127">
        <f t="shared" si="29"/>
        <v>0</v>
      </c>
      <c r="W129" s="127">
        <f t="shared" si="29"/>
        <v>0</v>
      </c>
      <c r="X129" s="127">
        <f t="shared" si="29"/>
        <v>0</v>
      </c>
      <c r="Y129" s="175"/>
      <c r="Z129" s="46" t="e">
        <f t="shared" si="31"/>
        <v>#DIV/0!</v>
      </c>
    </row>
    <row r="130" spans="1:26" x14ac:dyDescent="0.25">
      <c r="A130" s="238">
        <f t="shared" si="25"/>
        <v>0</v>
      </c>
      <c r="B130" s="239"/>
      <c r="C130" s="187" t="str">
        <f t="shared" si="28"/>
        <v>**</v>
      </c>
      <c r="D130" s="196" t="str">
        <f t="shared" si="32"/>
        <v>коэфф.</v>
      </c>
      <c r="E130" s="127">
        <f t="shared" si="30"/>
        <v>0</v>
      </c>
      <c r="F130" s="127">
        <f t="shared" si="29"/>
        <v>0</v>
      </c>
      <c r="G130" s="127">
        <f t="shared" si="29"/>
        <v>0</v>
      </c>
      <c r="H130" s="127">
        <f t="shared" si="29"/>
        <v>0</v>
      </c>
      <c r="I130" s="127">
        <f t="shared" si="29"/>
        <v>0</v>
      </c>
      <c r="J130" s="127">
        <f t="shared" ref="F130:X141" si="33">(J49-(J76+J103)/60*(J49/12))/J$6</f>
        <v>0</v>
      </c>
      <c r="K130" s="127">
        <f t="shared" si="33"/>
        <v>0</v>
      </c>
      <c r="L130" s="127">
        <f t="shared" si="33"/>
        <v>0</v>
      </c>
      <c r="M130" s="127">
        <f t="shared" si="33"/>
        <v>0</v>
      </c>
      <c r="N130" s="127">
        <f t="shared" si="33"/>
        <v>0</v>
      </c>
      <c r="O130" s="127">
        <f t="shared" si="33"/>
        <v>0</v>
      </c>
      <c r="P130" s="127">
        <f t="shared" si="33"/>
        <v>0</v>
      </c>
      <c r="Q130" s="127">
        <f t="shared" si="33"/>
        <v>0</v>
      </c>
      <c r="R130" s="127">
        <f t="shared" si="33"/>
        <v>0</v>
      </c>
      <c r="S130" s="127">
        <f t="shared" si="33"/>
        <v>0</v>
      </c>
      <c r="T130" s="127">
        <f t="shared" si="33"/>
        <v>0</v>
      </c>
      <c r="U130" s="127">
        <f t="shared" si="33"/>
        <v>0</v>
      </c>
      <c r="V130" s="127">
        <f t="shared" si="33"/>
        <v>0</v>
      </c>
      <c r="W130" s="127">
        <f t="shared" si="33"/>
        <v>0</v>
      </c>
      <c r="X130" s="127">
        <f t="shared" si="33"/>
        <v>0</v>
      </c>
      <c r="Y130" s="175"/>
      <c r="Z130" s="46" t="e">
        <f t="shared" si="31"/>
        <v>#DIV/0!</v>
      </c>
    </row>
    <row r="131" spans="1:26" x14ac:dyDescent="0.25">
      <c r="A131" s="238">
        <f t="shared" si="25"/>
        <v>1</v>
      </c>
      <c r="B131" s="239"/>
      <c r="C131" s="187" t="str">
        <f t="shared" si="28"/>
        <v>БС-215</v>
      </c>
      <c r="D131" s="196" t="str">
        <f t="shared" si="32"/>
        <v>коэфф.</v>
      </c>
      <c r="E131" s="127">
        <f t="shared" si="30"/>
        <v>0.75197866081654696</v>
      </c>
      <c r="F131" s="127">
        <f t="shared" si="33"/>
        <v>0.74981417438579656</v>
      </c>
      <c r="G131" s="127">
        <f t="shared" si="33"/>
        <v>0.74873193117042125</v>
      </c>
      <c r="H131" s="127">
        <f t="shared" si="33"/>
        <v>0.72384033721679131</v>
      </c>
      <c r="I131" s="127">
        <f t="shared" si="33"/>
        <v>0.74764968795504605</v>
      </c>
      <c r="J131" s="127">
        <f t="shared" si="33"/>
        <v>0.74223847187816994</v>
      </c>
      <c r="K131" s="127">
        <f t="shared" si="33"/>
        <v>0.72384033721679131</v>
      </c>
      <c r="L131" s="127">
        <f t="shared" si="33"/>
        <v>0.74548520152429565</v>
      </c>
      <c r="M131" s="127">
        <f t="shared" si="33"/>
        <v>0.74656744473967085</v>
      </c>
      <c r="N131" s="127">
        <f t="shared" si="33"/>
        <v>0.72167585078604091</v>
      </c>
      <c r="O131" s="127">
        <f t="shared" si="33"/>
        <v>0.74332071509354514</v>
      </c>
      <c r="P131" s="127">
        <f t="shared" si="33"/>
        <v>0.74873193117042125</v>
      </c>
      <c r="Q131" s="127">
        <f t="shared" si="33"/>
        <v>0</v>
      </c>
      <c r="R131" s="127">
        <f t="shared" si="33"/>
        <v>0</v>
      </c>
      <c r="S131" s="127">
        <f t="shared" si="33"/>
        <v>0</v>
      </c>
      <c r="T131" s="127">
        <f t="shared" si="33"/>
        <v>0</v>
      </c>
      <c r="U131" s="127">
        <f t="shared" si="33"/>
        <v>0</v>
      </c>
      <c r="V131" s="127">
        <f t="shared" si="33"/>
        <v>0</v>
      </c>
      <c r="W131" s="127">
        <f t="shared" si="33"/>
        <v>0</v>
      </c>
      <c r="X131" s="127">
        <f t="shared" si="33"/>
        <v>0</v>
      </c>
      <c r="Y131" s="175"/>
      <c r="Z131" s="46">
        <f t="shared" si="31"/>
        <v>0.74115622866279474</v>
      </c>
    </row>
    <row r="132" spans="1:26" x14ac:dyDescent="0.25">
      <c r="A132" s="238">
        <f t="shared" si="25"/>
        <v>0</v>
      </c>
      <c r="B132" s="239"/>
      <c r="C132" s="187" t="str">
        <f t="shared" si="28"/>
        <v>Sunward SWDRT200SM</v>
      </c>
      <c r="D132" s="196" t="str">
        <f t="shared" si="32"/>
        <v>коэфф.</v>
      </c>
      <c r="E132" s="127">
        <f t="shared" si="30"/>
        <v>0</v>
      </c>
      <c r="F132" s="127">
        <f t="shared" si="33"/>
        <v>0</v>
      </c>
      <c r="G132" s="127">
        <f t="shared" si="33"/>
        <v>0</v>
      </c>
      <c r="H132" s="127">
        <f t="shared" si="33"/>
        <v>0</v>
      </c>
      <c r="I132" s="127">
        <f t="shared" si="33"/>
        <v>0</v>
      </c>
      <c r="J132" s="127">
        <f t="shared" si="33"/>
        <v>0</v>
      </c>
      <c r="K132" s="127">
        <f t="shared" si="33"/>
        <v>0</v>
      </c>
      <c r="L132" s="127">
        <f t="shared" si="33"/>
        <v>0</v>
      </c>
      <c r="M132" s="127">
        <f t="shared" si="33"/>
        <v>0</v>
      </c>
      <c r="N132" s="127">
        <f t="shared" si="33"/>
        <v>0</v>
      </c>
      <c r="O132" s="127">
        <f t="shared" si="33"/>
        <v>0</v>
      </c>
      <c r="P132" s="127">
        <f t="shared" si="33"/>
        <v>0</v>
      </c>
      <c r="Q132" s="127">
        <f t="shared" si="33"/>
        <v>0</v>
      </c>
      <c r="R132" s="127">
        <f t="shared" si="33"/>
        <v>0</v>
      </c>
      <c r="S132" s="127">
        <f t="shared" si="33"/>
        <v>0</v>
      </c>
      <c r="T132" s="127">
        <f t="shared" si="33"/>
        <v>0</v>
      </c>
      <c r="U132" s="127">
        <f t="shared" si="33"/>
        <v>0</v>
      </c>
      <c r="V132" s="127">
        <f t="shared" si="33"/>
        <v>0</v>
      </c>
      <c r="W132" s="127">
        <f t="shared" si="33"/>
        <v>0</v>
      </c>
      <c r="X132" s="127">
        <f t="shared" si="33"/>
        <v>0</v>
      </c>
      <c r="Y132" s="175"/>
      <c r="Z132" s="46" t="e">
        <f t="shared" si="31"/>
        <v>#DIV/0!</v>
      </c>
    </row>
    <row r="133" spans="1:26" x14ac:dyDescent="0.25">
      <c r="A133" s="238">
        <f t="shared" si="25"/>
        <v>0</v>
      </c>
      <c r="B133" s="239"/>
      <c r="C133" s="187" t="str">
        <f t="shared" si="28"/>
        <v>Sunward SWDRT250B</v>
      </c>
      <c r="D133" s="196" t="str">
        <f t="shared" si="32"/>
        <v>коэфф.</v>
      </c>
      <c r="E133" s="127">
        <f t="shared" si="30"/>
        <v>0</v>
      </c>
      <c r="F133" s="127">
        <f t="shared" si="33"/>
        <v>0</v>
      </c>
      <c r="G133" s="127">
        <f t="shared" si="33"/>
        <v>0</v>
      </c>
      <c r="H133" s="127">
        <f t="shared" si="33"/>
        <v>0</v>
      </c>
      <c r="I133" s="127">
        <f t="shared" si="33"/>
        <v>0</v>
      </c>
      <c r="J133" s="127">
        <f t="shared" si="33"/>
        <v>0</v>
      </c>
      <c r="K133" s="127">
        <f t="shared" si="33"/>
        <v>0</v>
      </c>
      <c r="L133" s="127">
        <f t="shared" si="33"/>
        <v>0</v>
      </c>
      <c r="M133" s="127">
        <f t="shared" si="33"/>
        <v>0</v>
      </c>
      <c r="N133" s="127">
        <f t="shared" si="33"/>
        <v>0</v>
      </c>
      <c r="O133" s="127">
        <f t="shared" si="33"/>
        <v>0</v>
      </c>
      <c r="P133" s="127">
        <f t="shared" si="33"/>
        <v>0</v>
      </c>
      <c r="Q133" s="127">
        <f t="shared" si="33"/>
        <v>0</v>
      </c>
      <c r="R133" s="127">
        <f t="shared" si="33"/>
        <v>0</v>
      </c>
      <c r="S133" s="127">
        <f t="shared" si="33"/>
        <v>0</v>
      </c>
      <c r="T133" s="127">
        <f t="shared" si="33"/>
        <v>0</v>
      </c>
      <c r="U133" s="127">
        <f t="shared" si="33"/>
        <v>0</v>
      </c>
      <c r="V133" s="127">
        <f t="shared" si="33"/>
        <v>0</v>
      </c>
      <c r="W133" s="127">
        <f t="shared" si="33"/>
        <v>0</v>
      </c>
      <c r="X133" s="127">
        <f t="shared" si="33"/>
        <v>0</v>
      </c>
      <c r="Y133" s="175"/>
      <c r="Z133" s="46" t="e">
        <f t="shared" si="31"/>
        <v>#DIV/0!</v>
      </c>
    </row>
    <row r="134" spans="1:26" x14ac:dyDescent="0.25">
      <c r="A134" s="238">
        <f t="shared" si="25"/>
        <v>0</v>
      </c>
      <c r="B134" s="239"/>
      <c r="C134" s="187" t="str">
        <f t="shared" si="28"/>
        <v>ZEGA R8100L (2)</v>
      </c>
      <c r="D134" s="196" t="str">
        <f t="shared" si="32"/>
        <v>коэфф.</v>
      </c>
      <c r="E134" s="127">
        <f t="shared" si="30"/>
        <v>0</v>
      </c>
      <c r="F134" s="127">
        <f t="shared" si="33"/>
        <v>0</v>
      </c>
      <c r="G134" s="127">
        <f t="shared" si="33"/>
        <v>0</v>
      </c>
      <c r="H134" s="127">
        <f t="shared" si="33"/>
        <v>0</v>
      </c>
      <c r="I134" s="127">
        <f t="shared" si="33"/>
        <v>0</v>
      </c>
      <c r="J134" s="127">
        <f t="shared" si="33"/>
        <v>0</v>
      </c>
      <c r="K134" s="127">
        <f t="shared" si="33"/>
        <v>0</v>
      </c>
      <c r="L134" s="127">
        <f t="shared" si="33"/>
        <v>0</v>
      </c>
      <c r="M134" s="127">
        <f t="shared" si="33"/>
        <v>0</v>
      </c>
      <c r="N134" s="127">
        <f t="shared" si="33"/>
        <v>0</v>
      </c>
      <c r="O134" s="127">
        <f t="shared" si="33"/>
        <v>0</v>
      </c>
      <c r="P134" s="127">
        <f t="shared" si="33"/>
        <v>0</v>
      </c>
      <c r="Q134" s="127">
        <f t="shared" si="33"/>
        <v>0</v>
      </c>
      <c r="R134" s="127">
        <f t="shared" si="33"/>
        <v>0</v>
      </c>
      <c r="S134" s="127">
        <f t="shared" si="33"/>
        <v>0</v>
      </c>
      <c r="T134" s="127">
        <f t="shared" si="33"/>
        <v>0</v>
      </c>
      <c r="U134" s="127">
        <f t="shared" si="33"/>
        <v>0</v>
      </c>
      <c r="V134" s="127">
        <f t="shared" si="33"/>
        <v>0</v>
      </c>
      <c r="W134" s="127">
        <f t="shared" si="33"/>
        <v>0</v>
      </c>
      <c r="X134" s="127">
        <f t="shared" si="33"/>
        <v>0</v>
      </c>
      <c r="Y134" s="175"/>
      <c r="Z134" s="46" t="e">
        <f t="shared" si="31"/>
        <v>#DIV/0!</v>
      </c>
    </row>
    <row r="135" spans="1:26" x14ac:dyDescent="0.25">
      <c r="A135" s="238">
        <f t="shared" si="25"/>
        <v>0</v>
      </c>
      <c r="B135" s="239"/>
      <c r="C135" s="187" t="str">
        <f t="shared" si="28"/>
        <v>Revathi C650D</v>
      </c>
      <c r="D135" s="196" t="str">
        <f t="shared" si="32"/>
        <v>коэфф.</v>
      </c>
      <c r="E135" s="127">
        <f t="shared" si="30"/>
        <v>0</v>
      </c>
      <c r="F135" s="127">
        <f t="shared" si="33"/>
        <v>0</v>
      </c>
      <c r="G135" s="127">
        <f t="shared" si="33"/>
        <v>0</v>
      </c>
      <c r="H135" s="127">
        <f t="shared" si="33"/>
        <v>0</v>
      </c>
      <c r="I135" s="127">
        <f t="shared" si="33"/>
        <v>0</v>
      </c>
      <c r="J135" s="127">
        <f t="shared" si="33"/>
        <v>0</v>
      </c>
      <c r="K135" s="127">
        <f t="shared" si="33"/>
        <v>0</v>
      </c>
      <c r="L135" s="127">
        <f t="shared" si="33"/>
        <v>0</v>
      </c>
      <c r="M135" s="127">
        <f t="shared" si="33"/>
        <v>0</v>
      </c>
      <c r="N135" s="127">
        <f t="shared" si="33"/>
        <v>0</v>
      </c>
      <c r="O135" s="127">
        <f t="shared" si="33"/>
        <v>0</v>
      </c>
      <c r="P135" s="127">
        <f t="shared" si="33"/>
        <v>0</v>
      </c>
      <c r="Q135" s="127">
        <f t="shared" si="33"/>
        <v>0</v>
      </c>
      <c r="R135" s="127">
        <f t="shared" si="33"/>
        <v>0</v>
      </c>
      <c r="S135" s="127">
        <f t="shared" si="33"/>
        <v>0</v>
      </c>
      <c r="T135" s="127">
        <f t="shared" si="33"/>
        <v>0</v>
      </c>
      <c r="U135" s="127">
        <f t="shared" si="33"/>
        <v>0</v>
      </c>
      <c r="V135" s="127">
        <f t="shared" si="33"/>
        <v>0</v>
      </c>
      <c r="W135" s="127">
        <f t="shared" si="33"/>
        <v>0</v>
      </c>
      <c r="X135" s="127">
        <f t="shared" si="33"/>
        <v>0</v>
      </c>
      <c r="Y135" s="175"/>
      <c r="Z135" s="46" t="e">
        <f t="shared" si="31"/>
        <v>#DIV/0!</v>
      </c>
    </row>
    <row r="136" spans="1:26" x14ac:dyDescent="0.25">
      <c r="A136" s="238">
        <f t="shared" si="25"/>
        <v>0</v>
      </c>
      <c r="B136" s="239"/>
      <c r="C136" s="187" t="str">
        <f t="shared" si="28"/>
        <v>MS1200RB</v>
      </c>
      <c r="D136" s="196" t="str">
        <f t="shared" si="32"/>
        <v>коэфф.</v>
      </c>
      <c r="E136" s="127">
        <f t="shared" si="30"/>
        <v>0</v>
      </c>
      <c r="F136" s="127">
        <f t="shared" si="33"/>
        <v>0</v>
      </c>
      <c r="G136" s="127">
        <f t="shared" si="33"/>
        <v>0</v>
      </c>
      <c r="H136" s="127">
        <f t="shared" si="33"/>
        <v>0</v>
      </c>
      <c r="I136" s="127">
        <f t="shared" si="33"/>
        <v>0</v>
      </c>
      <c r="J136" s="127">
        <f t="shared" si="33"/>
        <v>0</v>
      </c>
      <c r="K136" s="127">
        <f t="shared" si="33"/>
        <v>0</v>
      </c>
      <c r="L136" s="127">
        <f t="shared" si="33"/>
        <v>0</v>
      </c>
      <c r="M136" s="127">
        <f t="shared" si="33"/>
        <v>0</v>
      </c>
      <c r="N136" s="127">
        <f t="shared" si="33"/>
        <v>0</v>
      </c>
      <c r="O136" s="127">
        <f t="shared" si="33"/>
        <v>0</v>
      </c>
      <c r="P136" s="127">
        <f t="shared" si="33"/>
        <v>0</v>
      </c>
      <c r="Q136" s="127">
        <f t="shared" si="33"/>
        <v>0</v>
      </c>
      <c r="R136" s="127">
        <f t="shared" si="33"/>
        <v>0</v>
      </c>
      <c r="S136" s="127">
        <f t="shared" si="33"/>
        <v>0</v>
      </c>
      <c r="T136" s="127">
        <f t="shared" si="33"/>
        <v>0</v>
      </c>
      <c r="U136" s="127">
        <f t="shared" si="33"/>
        <v>0</v>
      </c>
      <c r="V136" s="127">
        <f t="shared" si="33"/>
        <v>0</v>
      </c>
      <c r="W136" s="127">
        <f t="shared" si="33"/>
        <v>0</v>
      </c>
      <c r="X136" s="127">
        <f t="shared" si="33"/>
        <v>0</v>
      </c>
      <c r="Y136" s="175"/>
      <c r="Z136" s="46" t="e">
        <f t="shared" si="31"/>
        <v>#DIV/0!</v>
      </c>
    </row>
    <row r="137" spans="1:26" x14ac:dyDescent="0.25">
      <c r="A137" s="238">
        <f t="shared" si="25"/>
        <v>0</v>
      </c>
      <c r="B137" s="239"/>
      <c r="C137" s="187" t="str">
        <f t="shared" si="28"/>
        <v>СБ-55Д-01</v>
      </c>
      <c r="D137" s="196" t="str">
        <f t="shared" si="32"/>
        <v>коэфф.</v>
      </c>
      <c r="E137" s="127">
        <f t="shared" si="30"/>
        <v>0</v>
      </c>
      <c r="F137" s="127">
        <f t="shared" si="33"/>
        <v>0</v>
      </c>
      <c r="G137" s="127">
        <f t="shared" si="33"/>
        <v>0</v>
      </c>
      <c r="H137" s="127">
        <f t="shared" si="33"/>
        <v>0</v>
      </c>
      <c r="I137" s="127">
        <f t="shared" si="33"/>
        <v>0</v>
      </c>
      <c r="J137" s="127">
        <f t="shared" si="33"/>
        <v>0</v>
      </c>
      <c r="K137" s="127">
        <f t="shared" si="33"/>
        <v>0</v>
      </c>
      <c r="L137" s="127">
        <f t="shared" si="33"/>
        <v>0</v>
      </c>
      <c r="M137" s="127">
        <f t="shared" si="33"/>
        <v>0</v>
      </c>
      <c r="N137" s="127">
        <f t="shared" si="33"/>
        <v>0</v>
      </c>
      <c r="O137" s="127">
        <f t="shared" si="33"/>
        <v>0</v>
      </c>
      <c r="P137" s="127">
        <f t="shared" si="33"/>
        <v>0</v>
      </c>
      <c r="Q137" s="127">
        <f t="shared" si="33"/>
        <v>0</v>
      </c>
      <c r="R137" s="127">
        <f t="shared" si="33"/>
        <v>0</v>
      </c>
      <c r="S137" s="127">
        <f t="shared" si="33"/>
        <v>0</v>
      </c>
      <c r="T137" s="127">
        <f t="shared" si="33"/>
        <v>0</v>
      </c>
      <c r="U137" s="127">
        <f t="shared" si="33"/>
        <v>0</v>
      </c>
      <c r="V137" s="127">
        <f t="shared" si="33"/>
        <v>0</v>
      </c>
      <c r="W137" s="127">
        <f t="shared" si="33"/>
        <v>0</v>
      </c>
      <c r="X137" s="127">
        <f t="shared" si="33"/>
        <v>0</v>
      </c>
      <c r="Y137" s="175"/>
      <c r="Z137" s="46" t="e">
        <f t="shared" si="31"/>
        <v>#DIV/0!</v>
      </c>
    </row>
    <row r="138" spans="1:26" x14ac:dyDescent="0.25">
      <c r="A138" s="238">
        <f t="shared" si="25"/>
        <v>0</v>
      </c>
      <c r="B138" s="239"/>
      <c r="C138" s="187" t="str">
        <f t="shared" si="28"/>
        <v>KAMACH KY-250D</v>
      </c>
      <c r="D138" s="196" t="str">
        <f t="shared" si="32"/>
        <v>коэфф.</v>
      </c>
      <c r="E138" s="127">
        <f t="shared" si="30"/>
        <v>0</v>
      </c>
      <c r="F138" s="127">
        <f t="shared" si="33"/>
        <v>0</v>
      </c>
      <c r="G138" s="127">
        <f t="shared" si="33"/>
        <v>0</v>
      </c>
      <c r="H138" s="127">
        <f t="shared" si="33"/>
        <v>0</v>
      </c>
      <c r="I138" s="127">
        <f t="shared" si="33"/>
        <v>0</v>
      </c>
      <c r="J138" s="127">
        <f t="shared" si="33"/>
        <v>0</v>
      </c>
      <c r="K138" s="127">
        <f t="shared" si="33"/>
        <v>0</v>
      </c>
      <c r="L138" s="127">
        <f t="shared" si="33"/>
        <v>0</v>
      </c>
      <c r="M138" s="127">
        <f t="shared" si="33"/>
        <v>0</v>
      </c>
      <c r="N138" s="127">
        <f t="shared" si="33"/>
        <v>0</v>
      </c>
      <c r="O138" s="127">
        <f t="shared" si="33"/>
        <v>0</v>
      </c>
      <c r="P138" s="127">
        <f t="shared" si="33"/>
        <v>0</v>
      </c>
      <c r="Q138" s="127">
        <f t="shared" si="33"/>
        <v>0</v>
      </c>
      <c r="R138" s="127">
        <f t="shared" si="33"/>
        <v>0</v>
      </c>
      <c r="S138" s="127">
        <f t="shared" si="33"/>
        <v>0</v>
      </c>
      <c r="T138" s="127">
        <f t="shared" si="33"/>
        <v>0</v>
      </c>
      <c r="U138" s="127">
        <f t="shared" si="33"/>
        <v>0</v>
      </c>
      <c r="V138" s="127">
        <f t="shared" si="33"/>
        <v>0</v>
      </c>
      <c r="W138" s="127">
        <f t="shared" si="33"/>
        <v>0</v>
      </c>
      <c r="X138" s="127">
        <f t="shared" si="33"/>
        <v>0</v>
      </c>
      <c r="Y138" s="175"/>
      <c r="Z138" s="46" t="e">
        <f t="shared" si="31"/>
        <v>#DIV/0!</v>
      </c>
    </row>
    <row r="139" spans="1:26" x14ac:dyDescent="0.25">
      <c r="A139" s="238">
        <f t="shared" si="25"/>
        <v>0</v>
      </c>
      <c r="B139" s="239"/>
      <c r="C139" s="187" t="str">
        <f t="shared" si="28"/>
        <v>НИВА 23.01.00.00.00.00.00.000 (1)</v>
      </c>
      <c r="D139" s="196" t="str">
        <f t="shared" si="32"/>
        <v>коэфф.</v>
      </c>
      <c r="E139" s="127">
        <f t="shared" si="30"/>
        <v>0</v>
      </c>
      <c r="F139" s="127">
        <f t="shared" si="33"/>
        <v>0</v>
      </c>
      <c r="G139" s="127">
        <f t="shared" si="33"/>
        <v>0</v>
      </c>
      <c r="H139" s="127">
        <f t="shared" si="33"/>
        <v>0</v>
      </c>
      <c r="I139" s="127">
        <f t="shared" si="33"/>
        <v>0</v>
      </c>
      <c r="J139" s="127">
        <f t="shared" si="33"/>
        <v>0</v>
      </c>
      <c r="K139" s="127">
        <f t="shared" si="33"/>
        <v>0</v>
      </c>
      <c r="L139" s="127">
        <f t="shared" si="33"/>
        <v>0</v>
      </c>
      <c r="M139" s="127">
        <f t="shared" si="33"/>
        <v>0</v>
      </c>
      <c r="N139" s="127">
        <f t="shared" si="33"/>
        <v>0</v>
      </c>
      <c r="O139" s="127">
        <f t="shared" si="33"/>
        <v>0</v>
      </c>
      <c r="P139" s="127">
        <f t="shared" si="33"/>
        <v>0</v>
      </c>
      <c r="Q139" s="127">
        <f t="shared" si="33"/>
        <v>0</v>
      </c>
      <c r="R139" s="127">
        <f t="shared" si="33"/>
        <v>0</v>
      </c>
      <c r="S139" s="127">
        <f t="shared" si="33"/>
        <v>0</v>
      </c>
      <c r="T139" s="127">
        <f t="shared" si="33"/>
        <v>0</v>
      </c>
      <c r="U139" s="127">
        <f t="shared" si="33"/>
        <v>0</v>
      </c>
      <c r="V139" s="127">
        <f t="shared" si="33"/>
        <v>0</v>
      </c>
      <c r="W139" s="127">
        <f t="shared" si="33"/>
        <v>0</v>
      </c>
      <c r="X139" s="127">
        <f t="shared" si="33"/>
        <v>0</v>
      </c>
      <c r="Y139" s="175"/>
      <c r="Z139" s="46" t="e">
        <f t="shared" si="31"/>
        <v>#DIV/0!</v>
      </c>
    </row>
    <row r="140" spans="1:26" x14ac:dyDescent="0.25">
      <c r="A140" s="238">
        <f t="shared" si="25"/>
        <v>0</v>
      </c>
      <c r="B140" s="239"/>
      <c r="C140" s="187" t="str">
        <f t="shared" si="28"/>
        <v>НИВА 23.01.00.00.00.00.00.000 (2)</v>
      </c>
      <c r="D140" s="196" t="str">
        <f t="shared" si="32"/>
        <v>коэфф.</v>
      </c>
      <c r="E140" s="127">
        <f t="shared" si="30"/>
        <v>0</v>
      </c>
      <c r="F140" s="127">
        <f t="shared" si="33"/>
        <v>0</v>
      </c>
      <c r="G140" s="127">
        <f t="shared" si="33"/>
        <v>0</v>
      </c>
      <c r="H140" s="127">
        <f t="shared" si="33"/>
        <v>0</v>
      </c>
      <c r="I140" s="127">
        <f t="shared" si="33"/>
        <v>0</v>
      </c>
      <c r="J140" s="127">
        <f t="shared" si="33"/>
        <v>0</v>
      </c>
      <c r="K140" s="127">
        <f t="shared" si="33"/>
        <v>0</v>
      </c>
      <c r="L140" s="127">
        <f t="shared" si="33"/>
        <v>0</v>
      </c>
      <c r="M140" s="127">
        <f t="shared" si="33"/>
        <v>0</v>
      </c>
      <c r="N140" s="127">
        <f t="shared" si="33"/>
        <v>0</v>
      </c>
      <c r="O140" s="127">
        <f t="shared" si="33"/>
        <v>0</v>
      </c>
      <c r="P140" s="127">
        <f t="shared" si="33"/>
        <v>0</v>
      </c>
      <c r="Q140" s="127">
        <f t="shared" si="33"/>
        <v>0</v>
      </c>
      <c r="R140" s="127">
        <f t="shared" si="33"/>
        <v>0</v>
      </c>
      <c r="S140" s="127">
        <f t="shared" si="33"/>
        <v>0</v>
      </c>
      <c r="T140" s="127">
        <f t="shared" si="33"/>
        <v>0</v>
      </c>
      <c r="U140" s="127">
        <f t="shared" si="33"/>
        <v>0</v>
      </c>
      <c r="V140" s="127">
        <f t="shared" si="33"/>
        <v>0</v>
      </c>
      <c r="W140" s="127">
        <f t="shared" si="33"/>
        <v>0</v>
      </c>
      <c r="X140" s="127">
        <f t="shared" si="33"/>
        <v>0</v>
      </c>
      <c r="Y140" s="175"/>
      <c r="Z140" s="46" t="e">
        <f t="shared" si="31"/>
        <v>#DIV/0!</v>
      </c>
    </row>
    <row r="141" spans="1:26" x14ac:dyDescent="0.25">
      <c r="A141" s="238">
        <f t="shared" si="25"/>
        <v>0</v>
      </c>
      <c r="B141" s="239"/>
      <c r="C141" s="187" t="str">
        <f t="shared" si="28"/>
        <v>***</v>
      </c>
      <c r="D141" s="196" t="str">
        <f t="shared" ref="D141" si="34">D140</f>
        <v>коэфф.</v>
      </c>
      <c r="E141" s="127">
        <f t="shared" si="30"/>
        <v>0</v>
      </c>
      <c r="F141" s="127">
        <f t="shared" si="33"/>
        <v>0</v>
      </c>
      <c r="G141" s="127">
        <f t="shared" si="33"/>
        <v>0</v>
      </c>
      <c r="H141" s="127">
        <f t="shared" si="33"/>
        <v>0</v>
      </c>
      <c r="I141" s="127">
        <f t="shared" si="33"/>
        <v>0</v>
      </c>
      <c r="J141" s="127">
        <f t="shared" si="33"/>
        <v>0</v>
      </c>
      <c r="K141" s="127">
        <f t="shared" si="33"/>
        <v>0</v>
      </c>
      <c r="L141" s="127">
        <f t="shared" si="33"/>
        <v>0</v>
      </c>
      <c r="M141" s="127">
        <f t="shared" si="33"/>
        <v>0</v>
      </c>
      <c r="N141" s="127">
        <f t="shared" si="33"/>
        <v>0</v>
      </c>
      <c r="O141" s="127">
        <f t="shared" si="33"/>
        <v>0</v>
      </c>
      <c r="P141" s="127">
        <f t="shared" si="33"/>
        <v>0</v>
      </c>
      <c r="Q141" s="127">
        <f t="shared" si="33"/>
        <v>0</v>
      </c>
      <c r="R141" s="127">
        <f t="shared" si="33"/>
        <v>0</v>
      </c>
      <c r="S141" s="127">
        <f t="shared" si="33"/>
        <v>0</v>
      </c>
      <c r="T141" s="127">
        <f t="shared" si="33"/>
        <v>0</v>
      </c>
      <c r="U141" s="127">
        <f t="shared" si="33"/>
        <v>0</v>
      </c>
      <c r="V141" s="127">
        <f t="shared" si="33"/>
        <v>0</v>
      </c>
      <c r="W141" s="127">
        <f t="shared" si="33"/>
        <v>0</v>
      </c>
      <c r="X141" s="127">
        <f t="shared" si="33"/>
        <v>0</v>
      </c>
      <c r="Y141" s="175"/>
      <c r="Z141" s="46" t="e">
        <f t="shared" si="31"/>
        <v>#DIV/0!</v>
      </c>
    </row>
    <row r="142" spans="1:26" outlineLevel="1" x14ac:dyDescent="0.25">
      <c r="A142" s="126">
        <f t="shared" si="25"/>
        <v>1</v>
      </c>
      <c r="B142" s="64" t="s">
        <v>34</v>
      </c>
      <c r="C142" s="85" t="s">
        <v>88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175"/>
    </row>
    <row r="143" spans="1:26" outlineLevel="1" x14ac:dyDescent="0.25">
      <c r="A143" s="126">
        <f t="shared" si="25"/>
        <v>1</v>
      </c>
      <c r="B143" s="29"/>
      <c r="C143" s="30" t="str">
        <f t="shared" ref="C143:C168" si="35">C116</f>
        <v>YANGZI DR75</v>
      </c>
      <c r="D143" s="9" t="s">
        <v>83</v>
      </c>
      <c r="E143" s="70">
        <f>E$6*E116</f>
        <v>6592.85577944748</v>
      </c>
      <c r="F143" s="70">
        <f t="shared" ref="F143:X157" si="36">F$6*F116</f>
        <v>6495.3934384065305</v>
      </c>
      <c r="G143" s="70">
        <f t="shared" si="36"/>
        <v>6592.85577944748</v>
      </c>
      <c r="H143" s="70">
        <f t="shared" si="36"/>
        <v>6495.3934384065305</v>
      </c>
      <c r="I143" s="70">
        <f t="shared" si="36"/>
        <v>6278.4611309282873</v>
      </c>
      <c r="J143" s="70">
        <f t="shared" si="36"/>
        <v>6495.3934384065305</v>
      </c>
      <c r="K143" s="70">
        <f t="shared" si="36"/>
        <v>6023.801465627741</v>
      </c>
      <c r="L143" s="70">
        <f t="shared" si="36"/>
        <v>6514.257117317683</v>
      </c>
      <c r="M143" s="70">
        <f t="shared" si="36"/>
        <v>6573.9921005363285</v>
      </c>
      <c r="N143" s="70">
        <f t="shared" si="36"/>
        <v>6042.6651445388925</v>
      </c>
      <c r="O143" s="70">
        <f t="shared" si="36"/>
        <v>6573.9921005363285</v>
      </c>
      <c r="P143" s="70">
        <f t="shared" si="36"/>
        <v>6495.3934384065305</v>
      </c>
      <c r="Q143" s="70">
        <f t="shared" si="36"/>
        <v>0</v>
      </c>
      <c r="R143" s="70">
        <f t="shared" si="36"/>
        <v>0</v>
      </c>
      <c r="S143" s="70">
        <f t="shared" si="36"/>
        <v>0</v>
      </c>
      <c r="T143" s="70">
        <f t="shared" si="36"/>
        <v>0</v>
      </c>
      <c r="U143" s="70">
        <f t="shared" si="36"/>
        <v>0</v>
      </c>
      <c r="V143" s="70">
        <f t="shared" si="36"/>
        <v>0</v>
      </c>
      <c r="W143" s="70">
        <f t="shared" si="36"/>
        <v>0</v>
      </c>
      <c r="X143" s="70">
        <f t="shared" si="36"/>
        <v>0</v>
      </c>
      <c r="Y143" s="175"/>
    </row>
    <row r="144" spans="1:26" outlineLevel="1" x14ac:dyDescent="0.25">
      <c r="A144" s="126">
        <f t="shared" si="25"/>
        <v>1</v>
      </c>
      <c r="B144" s="29"/>
      <c r="C144" s="30" t="str">
        <f t="shared" si="35"/>
        <v>Sunward SWDRT250SM</v>
      </c>
      <c r="D144" s="9" t="str">
        <f>D143</f>
        <v>час.</v>
      </c>
      <c r="E144" s="70">
        <f t="shared" ref="E144:T167" si="37">E$6*E117</f>
        <v>6336.903166154897</v>
      </c>
      <c r="F144" s="70">
        <f t="shared" si="37"/>
        <v>6128.6167115109329</v>
      </c>
      <c r="G144" s="70">
        <f t="shared" si="37"/>
        <v>5987.1391196772956</v>
      </c>
      <c r="H144" s="70">
        <f t="shared" si="37"/>
        <v>6195.4255743212616</v>
      </c>
      <c r="I144" s="70">
        <f t="shared" si="37"/>
        <v>6128.6167115109329</v>
      </c>
      <c r="J144" s="70">
        <f t="shared" si="37"/>
        <v>5971.419387251336</v>
      </c>
      <c r="K144" s="70">
        <f t="shared" si="37"/>
        <v>6105.0371128719944</v>
      </c>
      <c r="L144" s="70">
        <f t="shared" si="37"/>
        <v>6128.6167115109329</v>
      </c>
      <c r="M144" s="70">
        <f t="shared" si="37"/>
        <v>6018.5785845292148</v>
      </c>
      <c r="N144" s="70">
        <f t="shared" si="37"/>
        <v>6050.0180493811349</v>
      </c>
      <c r="O144" s="70">
        <f t="shared" si="37"/>
        <v>6050.0180493811349</v>
      </c>
      <c r="P144" s="70">
        <f t="shared" si="37"/>
        <v>6050.0180493811349</v>
      </c>
      <c r="Q144" s="70">
        <f t="shared" si="37"/>
        <v>0</v>
      </c>
      <c r="R144" s="70">
        <f t="shared" si="37"/>
        <v>0</v>
      </c>
      <c r="S144" s="70">
        <f t="shared" si="37"/>
        <v>0</v>
      </c>
      <c r="T144" s="70">
        <f t="shared" si="37"/>
        <v>0</v>
      </c>
      <c r="U144" s="70">
        <f t="shared" si="36"/>
        <v>0</v>
      </c>
      <c r="V144" s="70">
        <f t="shared" si="36"/>
        <v>0</v>
      </c>
      <c r="W144" s="70">
        <f t="shared" si="36"/>
        <v>0</v>
      </c>
      <c r="X144" s="70">
        <f t="shared" si="36"/>
        <v>0</v>
      </c>
      <c r="Y144" s="175"/>
    </row>
    <row r="145" spans="1:25" outlineLevel="1" x14ac:dyDescent="0.25">
      <c r="A145" s="126">
        <f t="shared" si="25"/>
        <v>1</v>
      </c>
      <c r="B145" s="29"/>
      <c r="C145" s="30" t="str">
        <f t="shared" si="35"/>
        <v>Sunward SWDRT270SM</v>
      </c>
      <c r="D145" s="9" t="str">
        <f t="shared" ref="D145:D167" si="38">D144</f>
        <v>час.</v>
      </c>
      <c r="E145" s="70">
        <f t="shared" si="37"/>
        <v>6336.903166154897</v>
      </c>
      <c r="F145" s="70">
        <f t="shared" si="36"/>
        <v>6128.6167115109329</v>
      </c>
      <c r="G145" s="70">
        <f t="shared" si="36"/>
        <v>5987.1391196772956</v>
      </c>
      <c r="H145" s="70">
        <f t="shared" si="36"/>
        <v>6195.4255743212616</v>
      </c>
      <c r="I145" s="70">
        <f t="shared" si="36"/>
        <v>6128.6167115109329</v>
      </c>
      <c r="J145" s="70">
        <f t="shared" si="36"/>
        <v>5971.419387251336</v>
      </c>
      <c r="K145" s="70">
        <f t="shared" si="36"/>
        <v>6105.0371128719944</v>
      </c>
      <c r="L145" s="70">
        <f t="shared" si="36"/>
        <v>6128.6167115109329</v>
      </c>
      <c r="M145" s="70">
        <f t="shared" si="36"/>
        <v>6018.5785845292148</v>
      </c>
      <c r="N145" s="70">
        <f t="shared" si="36"/>
        <v>6050.0180493811349</v>
      </c>
      <c r="O145" s="70">
        <f t="shared" si="36"/>
        <v>6050.0180493811349</v>
      </c>
      <c r="P145" s="70">
        <f t="shared" si="36"/>
        <v>6050.0180493811349</v>
      </c>
      <c r="Q145" s="70">
        <f t="shared" si="36"/>
        <v>0</v>
      </c>
      <c r="R145" s="70">
        <f t="shared" si="36"/>
        <v>0</v>
      </c>
      <c r="S145" s="70">
        <f t="shared" si="36"/>
        <v>0</v>
      </c>
      <c r="T145" s="70">
        <f t="shared" si="36"/>
        <v>0</v>
      </c>
      <c r="U145" s="70">
        <f t="shared" si="36"/>
        <v>0</v>
      </c>
      <c r="V145" s="70">
        <f t="shared" si="36"/>
        <v>0</v>
      </c>
      <c r="W145" s="70">
        <f t="shared" si="36"/>
        <v>0</v>
      </c>
      <c r="X145" s="70">
        <f t="shared" si="36"/>
        <v>0</v>
      </c>
      <c r="Y145" s="175"/>
    </row>
    <row r="146" spans="1:25" outlineLevel="1" x14ac:dyDescent="0.25">
      <c r="A146" s="126">
        <f t="shared" si="25"/>
        <v>1</v>
      </c>
      <c r="B146" s="29"/>
      <c r="C146" s="30" t="str">
        <f t="shared" si="35"/>
        <v>Sunward SWDRT270B</v>
      </c>
      <c r="D146" s="9" t="str">
        <f t="shared" si="38"/>
        <v>час.</v>
      </c>
      <c r="E146" s="70">
        <f t="shared" si="37"/>
        <v>6586.2265437158476</v>
      </c>
      <c r="F146" s="70">
        <f t="shared" si="36"/>
        <v>6586.2265437158476</v>
      </c>
      <c r="G146" s="70">
        <f t="shared" si="36"/>
        <v>6515.4069034608383</v>
      </c>
      <c r="H146" s="70">
        <f t="shared" si="36"/>
        <v>6515.4069034608383</v>
      </c>
      <c r="I146" s="70">
        <f t="shared" si="36"/>
        <v>6161.3087021857909</v>
      </c>
      <c r="J146" s="70">
        <f t="shared" si="36"/>
        <v>6373.7676229508197</v>
      </c>
      <c r="K146" s="70">
        <f t="shared" si="36"/>
        <v>6019.6694216757742</v>
      </c>
      <c r="L146" s="70">
        <f t="shared" si="36"/>
        <v>6373.7676229508197</v>
      </c>
      <c r="M146" s="70">
        <f t="shared" si="36"/>
        <v>6373.7676229508197</v>
      </c>
      <c r="N146" s="70">
        <f t="shared" si="36"/>
        <v>6019.6694216757742</v>
      </c>
      <c r="O146" s="70">
        <f t="shared" si="36"/>
        <v>6302.9479826958113</v>
      </c>
      <c r="P146" s="70">
        <f t="shared" si="36"/>
        <v>6302.9479826958113</v>
      </c>
      <c r="Q146" s="70">
        <f t="shared" si="36"/>
        <v>0</v>
      </c>
      <c r="R146" s="70">
        <f t="shared" si="36"/>
        <v>0</v>
      </c>
      <c r="S146" s="70">
        <f t="shared" si="36"/>
        <v>0</v>
      </c>
      <c r="T146" s="70">
        <f t="shared" si="36"/>
        <v>0</v>
      </c>
      <c r="U146" s="70">
        <f t="shared" si="36"/>
        <v>0</v>
      </c>
      <c r="V146" s="70">
        <f t="shared" si="36"/>
        <v>0</v>
      </c>
      <c r="W146" s="70">
        <f t="shared" si="36"/>
        <v>0</v>
      </c>
      <c r="X146" s="70">
        <f t="shared" si="36"/>
        <v>0</v>
      </c>
      <c r="Y146" s="175"/>
    </row>
    <row r="147" spans="1:25" outlineLevel="1" x14ac:dyDescent="0.25">
      <c r="A147" s="126">
        <f t="shared" si="25"/>
        <v>1</v>
      </c>
      <c r="B147" s="29"/>
      <c r="C147" s="30" t="str">
        <f t="shared" si="35"/>
        <v>HIFO 75D</v>
      </c>
      <c r="D147" s="9" t="str">
        <f t="shared" si="38"/>
        <v>час.</v>
      </c>
      <c r="E147" s="70">
        <f t="shared" si="37"/>
        <v>6325.777525530425</v>
      </c>
      <c r="F147" s="70">
        <f t="shared" si="36"/>
        <v>6140.0253073190734</v>
      </c>
      <c r="G147" s="70">
        <f t="shared" si="36"/>
        <v>6045.046684001426</v>
      </c>
      <c r="H147" s="70">
        <f t="shared" si="36"/>
        <v>6126.3491401084884</v>
      </c>
      <c r="I147" s="70">
        <f t="shared" si="36"/>
        <v>6163.0704350555297</v>
      </c>
      <c r="J147" s="70">
        <f t="shared" si="36"/>
        <v>5979.0866867420991</v>
      </c>
      <c r="K147" s="70">
        <f t="shared" si="36"/>
        <v>6079.4414585494251</v>
      </c>
      <c r="L147" s="70">
        <f t="shared" si="36"/>
        <v>6165.412675186999</v>
      </c>
      <c r="M147" s="70">
        <f t="shared" si="36"/>
        <v>6040.2521656115077</v>
      </c>
      <c r="N147" s="70">
        <f t="shared" si="36"/>
        <v>6038.6330331716335</v>
      </c>
      <c r="O147" s="70">
        <f t="shared" si="36"/>
        <v>0</v>
      </c>
      <c r="P147" s="70">
        <f t="shared" si="36"/>
        <v>0</v>
      </c>
      <c r="Q147" s="70">
        <f t="shared" si="36"/>
        <v>0</v>
      </c>
      <c r="R147" s="70">
        <f t="shared" si="36"/>
        <v>0</v>
      </c>
      <c r="S147" s="70">
        <f t="shared" si="36"/>
        <v>0</v>
      </c>
      <c r="T147" s="70">
        <f t="shared" si="36"/>
        <v>0</v>
      </c>
      <c r="U147" s="70">
        <f t="shared" si="36"/>
        <v>0</v>
      </c>
      <c r="V147" s="70">
        <f t="shared" si="36"/>
        <v>0</v>
      </c>
      <c r="W147" s="70">
        <f t="shared" si="36"/>
        <v>0</v>
      </c>
      <c r="X147" s="70">
        <f t="shared" si="36"/>
        <v>0</v>
      </c>
      <c r="Y147" s="175"/>
    </row>
    <row r="148" spans="1:25" outlineLevel="1" x14ac:dyDescent="0.25">
      <c r="A148" s="126">
        <f t="shared" si="25"/>
        <v>0</v>
      </c>
      <c r="B148" s="29"/>
      <c r="C148" s="30" t="str">
        <f t="shared" si="35"/>
        <v>ZEGA R8100L (1)</v>
      </c>
      <c r="D148" s="9" t="str">
        <f t="shared" si="38"/>
        <v>час.</v>
      </c>
      <c r="E148" s="70">
        <f t="shared" si="37"/>
        <v>0</v>
      </c>
      <c r="F148" s="70">
        <f t="shared" si="36"/>
        <v>0</v>
      </c>
      <c r="G148" s="70">
        <f t="shared" si="36"/>
        <v>0</v>
      </c>
      <c r="H148" s="70">
        <f t="shared" si="36"/>
        <v>0</v>
      </c>
      <c r="I148" s="70">
        <f t="shared" si="36"/>
        <v>0</v>
      </c>
      <c r="J148" s="70">
        <f t="shared" si="36"/>
        <v>0</v>
      </c>
      <c r="K148" s="70">
        <f t="shared" si="36"/>
        <v>0</v>
      </c>
      <c r="L148" s="70">
        <f t="shared" si="36"/>
        <v>0</v>
      </c>
      <c r="M148" s="70">
        <f t="shared" si="36"/>
        <v>0</v>
      </c>
      <c r="N148" s="70">
        <f t="shared" si="36"/>
        <v>0</v>
      </c>
      <c r="O148" s="70">
        <f t="shared" si="36"/>
        <v>0</v>
      </c>
      <c r="P148" s="70">
        <f t="shared" si="36"/>
        <v>0</v>
      </c>
      <c r="Q148" s="70">
        <f t="shared" si="36"/>
        <v>0</v>
      </c>
      <c r="R148" s="70">
        <f t="shared" si="36"/>
        <v>0</v>
      </c>
      <c r="S148" s="70">
        <f t="shared" si="36"/>
        <v>0</v>
      </c>
      <c r="T148" s="70">
        <f t="shared" si="36"/>
        <v>0</v>
      </c>
      <c r="U148" s="70">
        <f t="shared" si="36"/>
        <v>0</v>
      </c>
      <c r="V148" s="70">
        <f t="shared" si="36"/>
        <v>0</v>
      </c>
      <c r="W148" s="70">
        <f t="shared" si="36"/>
        <v>0</v>
      </c>
      <c r="X148" s="70">
        <f t="shared" si="36"/>
        <v>0</v>
      </c>
      <c r="Y148" s="175"/>
    </row>
    <row r="149" spans="1:25" outlineLevel="1" x14ac:dyDescent="0.25">
      <c r="A149" s="126">
        <f t="shared" si="25"/>
        <v>0</v>
      </c>
      <c r="B149" s="29"/>
      <c r="C149" s="30" t="str">
        <f t="shared" si="35"/>
        <v>YANGZI  DM75</v>
      </c>
      <c r="D149" s="9" t="str">
        <f t="shared" si="38"/>
        <v>час.</v>
      </c>
      <c r="E149" s="70">
        <f t="shared" si="37"/>
        <v>0</v>
      </c>
      <c r="F149" s="70">
        <f t="shared" si="36"/>
        <v>0</v>
      </c>
      <c r="G149" s="70">
        <f t="shared" si="36"/>
        <v>0</v>
      </c>
      <c r="H149" s="70">
        <f t="shared" si="36"/>
        <v>0</v>
      </c>
      <c r="I149" s="70">
        <f t="shared" si="36"/>
        <v>0</v>
      </c>
      <c r="J149" s="70">
        <f t="shared" si="36"/>
        <v>0</v>
      </c>
      <c r="K149" s="70">
        <f t="shared" si="36"/>
        <v>0</v>
      </c>
      <c r="L149" s="70">
        <f t="shared" si="36"/>
        <v>0</v>
      </c>
      <c r="M149" s="70">
        <f t="shared" si="36"/>
        <v>0</v>
      </c>
      <c r="N149" s="70">
        <f t="shared" si="36"/>
        <v>0</v>
      </c>
      <c r="O149" s="70">
        <f t="shared" si="36"/>
        <v>0</v>
      </c>
      <c r="P149" s="70">
        <f t="shared" si="36"/>
        <v>0</v>
      </c>
      <c r="Q149" s="70">
        <f t="shared" si="36"/>
        <v>0</v>
      </c>
      <c r="R149" s="70">
        <f t="shared" si="36"/>
        <v>0</v>
      </c>
      <c r="S149" s="70">
        <f t="shared" si="36"/>
        <v>0</v>
      </c>
      <c r="T149" s="70">
        <f t="shared" si="36"/>
        <v>0</v>
      </c>
      <c r="U149" s="70">
        <f t="shared" si="36"/>
        <v>0</v>
      </c>
      <c r="V149" s="70">
        <f t="shared" si="36"/>
        <v>0</v>
      </c>
      <c r="W149" s="70">
        <f t="shared" si="36"/>
        <v>0</v>
      </c>
      <c r="X149" s="70">
        <f t="shared" si="36"/>
        <v>0</v>
      </c>
      <c r="Y149" s="175"/>
    </row>
    <row r="150" spans="1:25" outlineLevel="1" x14ac:dyDescent="0.25">
      <c r="A150" s="126">
        <f t="shared" si="25"/>
        <v>0</v>
      </c>
      <c r="B150" s="29"/>
      <c r="C150" s="30" t="str">
        <f t="shared" si="35"/>
        <v>*</v>
      </c>
      <c r="D150" s="9" t="str">
        <f t="shared" si="38"/>
        <v>час.</v>
      </c>
      <c r="E150" s="70">
        <f t="shared" si="37"/>
        <v>0</v>
      </c>
      <c r="F150" s="70">
        <f t="shared" si="36"/>
        <v>0</v>
      </c>
      <c r="G150" s="70">
        <f t="shared" si="36"/>
        <v>0</v>
      </c>
      <c r="H150" s="70">
        <f t="shared" si="36"/>
        <v>0</v>
      </c>
      <c r="I150" s="70">
        <f t="shared" si="36"/>
        <v>0</v>
      </c>
      <c r="J150" s="70">
        <f t="shared" si="36"/>
        <v>0</v>
      </c>
      <c r="K150" s="70">
        <f t="shared" si="36"/>
        <v>0</v>
      </c>
      <c r="L150" s="70">
        <f t="shared" si="36"/>
        <v>0</v>
      </c>
      <c r="M150" s="70">
        <f t="shared" si="36"/>
        <v>0</v>
      </c>
      <c r="N150" s="70">
        <f t="shared" si="36"/>
        <v>0</v>
      </c>
      <c r="O150" s="70">
        <f t="shared" si="36"/>
        <v>0</v>
      </c>
      <c r="P150" s="70">
        <f t="shared" si="36"/>
        <v>0</v>
      </c>
      <c r="Q150" s="70">
        <f t="shared" si="36"/>
        <v>0</v>
      </c>
      <c r="R150" s="70">
        <f t="shared" si="36"/>
        <v>0</v>
      </c>
      <c r="S150" s="70">
        <f t="shared" si="36"/>
        <v>0</v>
      </c>
      <c r="T150" s="70">
        <f t="shared" si="36"/>
        <v>0</v>
      </c>
      <c r="U150" s="70">
        <f t="shared" si="36"/>
        <v>0</v>
      </c>
      <c r="V150" s="70">
        <f t="shared" si="36"/>
        <v>0</v>
      </c>
      <c r="W150" s="70">
        <f t="shared" si="36"/>
        <v>0</v>
      </c>
      <c r="X150" s="70">
        <f t="shared" si="36"/>
        <v>0</v>
      </c>
      <c r="Y150" s="175"/>
    </row>
    <row r="151" spans="1:25" outlineLevel="1" x14ac:dyDescent="0.25">
      <c r="A151" s="126">
        <f t="shared" si="25"/>
        <v>0</v>
      </c>
      <c r="B151" s="29"/>
      <c r="C151" s="30" t="str">
        <f t="shared" si="35"/>
        <v>СБШ-250/270КП</v>
      </c>
      <c r="D151" s="9" t="str">
        <f t="shared" si="38"/>
        <v>час.</v>
      </c>
      <c r="E151" s="70">
        <f t="shared" si="37"/>
        <v>0</v>
      </c>
      <c r="F151" s="70">
        <f t="shared" si="36"/>
        <v>0</v>
      </c>
      <c r="G151" s="70">
        <f t="shared" si="36"/>
        <v>0</v>
      </c>
      <c r="H151" s="70">
        <f t="shared" si="36"/>
        <v>0</v>
      </c>
      <c r="I151" s="70">
        <f t="shared" si="36"/>
        <v>0</v>
      </c>
      <c r="J151" s="70">
        <f t="shared" si="36"/>
        <v>0</v>
      </c>
      <c r="K151" s="70">
        <f t="shared" si="36"/>
        <v>0</v>
      </c>
      <c r="L151" s="70">
        <f t="shared" si="36"/>
        <v>0</v>
      </c>
      <c r="M151" s="70">
        <f t="shared" si="36"/>
        <v>0</v>
      </c>
      <c r="N151" s="70">
        <f t="shared" si="36"/>
        <v>0</v>
      </c>
      <c r="O151" s="70">
        <f t="shared" si="36"/>
        <v>0</v>
      </c>
      <c r="P151" s="70">
        <f t="shared" si="36"/>
        <v>0</v>
      </c>
      <c r="Q151" s="70">
        <f t="shared" si="36"/>
        <v>0</v>
      </c>
      <c r="R151" s="70">
        <f t="shared" si="36"/>
        <v>0</v>
      </c>
      <c r="S151" s="70">
        <f t="shared" si="36"/>
        <v>0</v>
      </c>
      <c r="T151" s="70">
        <f t="shared" si="36"/>
        <v>0</v>
      </c>
      <c r="U151" s="70">
        <f t="shared" si="36"/>
        <v>0</v>
      </c>
      <c r="V151" s="70">
        <f t="shared" si="36"/>
        <v>0</v>
      </c>
      <c r="W151" s="70">
        <f t="shared" si="36"/>
        <v>0</v>
      </c>
      <c r="X151" s="70">
        <f t="shared" si="36"/>
        <v>0</v>
      </c>
      <c r="Y151" s="175"/>
    </row>
    <row r="152" spans="1:25" outlineLevel="1" x14ac:dyDescent="0.25">
      <c r="A152" s="126">
        <f t="shared" si="25"/>
        <v>0</v>
      </c>
      <c r="B152" s="29"/>
      <c r="C152" s="30" t="str">
        <f t="shared" si="35"/>
        <v>Sunward SWDRT270E (1)</v>
      </c>
      <c r="D152" s="9" t="str">
        <f t="shared" si="38"/>
        <v>час.</v>
      </c>
      <c r="E152" s="70">
        <f t="shared" si="37"/>
        <v>0</v>
      </c>
      <c r="F152" s="70">
        <f t="shared" si="36"/>
        <v>0</v>
      </c>
      <c r="G152" s="70">
        <f t="shared" si="36"/>
        <v>0</v>
      </c>
      <c r="H152" s="70">
        <f t="shared" si="36"/>
        <v>0</v>
      </c>
      <c r="I152" s="70">
        <f t="shared" si="36"/>
        <v>0</v>
      </c>
      <c r="J152" s="70">
        <f t="shared" si="36"/>
        <v>0</v>
      </c>
      <c r="K152" s="70">
        <f t="shared" si="36"/>
        <v>0</v>
      </c>
      <c r="L152" s="70">
        <f t="shared" si="36"/>
        <v>0</v>
      </c>
      <c r="M152" s="70">
        <f t="shared" si="36"/>
        <v>0</v>
      </c>
      <c r="N152" s="70">
        <f t="shared" si="36"/>
        <v>0</v>
      </c>
      <c r="O152" s="70">
        <f t="shared" si="36"/>
        <v>0</v>
      </c>
      <c r="P152" s="70">
        <f t="shared" si="36"/>
        <v>0</v>
      </c>
      <c r="Q152" s="70">
        <f t="shared" si="36"/>
        <v>0</v>
      </c>
      <c r="R152" s="70">
        <f t="shared" si="36"/>
        <v>0</v>
      </c>
      <c r="S152" s="70">
        <f t="shared" si="36"/>
        <v>0</v>
      </c>
      <c r="T152" s="70">
        <f t="shared" si="36"/>
        <v>0</v>
      </c>
      <c r="U152" s="70">
        <f t="shared" si="36"/>
        <v>0</v>
      </c>
      <c r="V152" s="70">
        <f t="shared" si="36"/>
        <v>0</v>
      </c>
      <c r="W152" s="70">
        <f t="shared" si="36"/>
        <v>0</v>
      </c>
      <c r="X152" s="70">
        <f t="shared" si="36"/>
        <v>0</v>
      </c>
      <c r="Y152" s="175"/>
    </row>
    <row r="153" spans="1:25" outlineLevel="1" x14ac:dyDescent="0.25">
      <c r="A153" s="126">
        <f t="shared" si="25"/>
        <v>0</v>
      </c>
      <c r="B153" s="29"/>
      <c r="C153" s="30" t="str">
        <f t="shared" si="35"/>
        <v>Sunward SWDRT270E (2)</v>
      </c>
      <c r="D153" s="9" t="str">
        <f t="shared" si="38"/>
        <v>час.</v>
      </c>
      <c r="E153" s="70">
        <f t="shared" si="37"/>
        <v>0</v>
      </c>
      <c r="F153" s="70">
        <f t="shared" si="36"/>
        <v>0</v>
      </c>
      <c r="G153" s="70">
        <f t="shared" si="36"/>
        <v>0</v>
      </c>
      <c r="H153" s="70">
        <f t="shared" si="36"/>
        <v>0</v>
      </c>
      <c r="I153" s="70">
        <f t="shared" si="36"/>
        <v>0</v>
      </c>
      <c r="J153" s="70">
        <f t="shared" si="36"/>
        <v>0</v>
      </c>
      <c r="K153" s="70">
        <f t="shared" si="36"/>
        <v>0</v>
      </c>
      <c r="L153" s="70">
        <f t="shared" si="36"/>
        <v>0</v>
      </c>
      <c r="M153" s="70">
        <f t="shared" si="36"/>
        <v>0</v>
      </c>
      <c r="N153" s="70">
        <f t="shared" si="36"/>
        <v>0</v>
      </c>
      <c r="O153" s="70">
        <f t="shared" si="36"/>
        <v>0</v>
      </c>
      <c r="P153" s="70">
        <f t="shared" si="36"/>
        <v>0</v>
      </c>
      <c r="Q153" s="70">
        <f t="shared" si="36"/>
        <v>0</v>
      </c>
      <c r="R153" s="70">
        <f t="shared" si="36"/>
        <v>0</v>
      </c>
      <c r="S153" s="70">
        <f t="shared" si="36"/>
        <v>0</v>
      </c>
      <c r="T153" s="70">
        <f t="shared" si="36"/>
        <v>0</v>
      </c>
      <c r="U153" s="70">
        <f t="shared" si="36"/>
        <v>0</v>
      </c>
      <c r="V153" s="70">
        <f t="shared" si="36"/>
        <v>0</v>
      </c>
      <c r="W153" s="70">
        <f t="shared" si="36"/>
        <v>0</v>
      </c>
      <c r="X153" s="70">
        <f t="shared" si="36"/>
        <v>0</v>
      </c>
      <c r="Y153" s="175"/>
    </row>
    <row r="154" spans="1:25" outlineLevel="1" x14ac:dyDescent="0.25">
      <c r="A154" s="126">
        <f t="shared" si="25"/>
        <v>0</v>
      </c>
      <c r="B154" s="29"/>
      <c r="C154" s="30" t="str">
        <f t="shared" si="35"/>
        <v>HIFO 75Е</v>
      </c>
      <c r="D154" s="9" t="str">
        <f t="shared" si="38"/>
        <v>час.</v>
      </c>
      <c r="E154" s="70">
        <f t="shared" si="37"/>
        <v>0</v>
      </c>
      <c r="F154" s="70">
        <f t="shared" si="36"/>
        <v>0</v>
      </c>
      <c r="G154" s="70">
        <f t="shared" si="36"/>
        <v>0</v>
      </c>
      <c r="H154" s="70">
        <f t="shared" si="36"/>
        <v>0</v>
      </c>
      <c r="I154" s="70">
        <f t="shared" si="36"/>
        <v>0</v>
      </c>
      <c r="J154" s="70">
        <f t="shared" si="36"/>
        <v>0</v>
      </c>
      <c r="K154" s="70">
        <f t="shared" si="36"/>
        <v>0</v>
      </c>
      <c r="L154" s="70">
        <f t="shared" si="36"/>
        <v>0</v>
      </c>
      <c r="M154" s="70">
        <f t="shared" si="36"/>
        <v>0</v>
      </c>
      <c r="N154" s="70">
        <f t="shared" si="36"/>
        <v>0</v>
      </c>
      <c r="O154" s="70">
        <f t="shared" si="36"/>
        <v>0</v>
      </c>
      <c r="P154" s="70">
        <f t="shared" si="36"/>
        <v>0</v>
      </c>
      <c r="Q154" s="70">
        <f t="shared" si="36"/>
        <v>0</v>
      </c>
      <c r="R154" s="70">
        <f t="shared" si="36"/>
        <v>0</v>
      </c>
      <c r="S154" s="70">
        <f t="shared" si="36"/>
        <v>0</v>
      </c>
      <c r="T154" s="70">
        <f t="shared" si="36"/>
        <v>0</v>
      </c>
      <c r="U154" s="70">
        <f t="shared" si="36"/>
        <v>0</v>
      </c>
      <c r="V154" s="70">
        <f t="shared" si="36"/>
        <v>0</v>
      </c>
      <c r="W154" s="70">
        <f t="shared" si="36"/>
        <v>0</v>
      </c>
      <c r="X154" s="70">
        <f t="shared" si="36"/>
        <v>0</v>
      </c>
      <c r="Y154" s="175"/>
    </row>
    <row r="155" spans="1:25" outlineLevel="1" x14ac:dyDescent="0.25">
      <c r="A155" s="126">
        <f t="shared" si="25"/>
        <v>0</v>
      </c>
      <c r="B155" s="29"/>
      <c r="C155" s="30" t="str">
        <f t="shared" si="35"/>
        <v>НИВА 22.01.00.00.00.00.00.000 (1)</v>
      </c>
      <c r="D155" s="9" t="str">
        <f t="shared" si="38"/>
        <v>час.</v>
      </c>
      <c r="E155" s="70">
        <f t="shared" si="37"/>
        <v>0</v>
      </c>
      <c r="F155" s="70">
        <f t="shared" si="36"/>
        <v>0</v>
      </c>
      <c r="G155" s="70">
        <f t="shared" si="36"/>
        <v>0</v>
      </c>
      <c r="H155" s="70">
        <f t="shared" si="36"/>
        <v>0</v>
      </c>
      <c r="I155" s="70">
        <f t="shared" si="36"/>
        <v>0</v>
      </c>
      <c r="J155" s="70">
        <f t="shared" si="36"/>
        <v>0</v>
      </c>
      <c r="K155" s="70">
        <f t="shared" si="36"/>
        <v>0</v>
      </c>
      <c r="L155" s="70">
        <f t="shared" si="36"/>
        <v>0</v>
      </c>
      <c r="M155" s="70">
        <f t="shared" si="36"/>
        <v>0</v>
      </c>
      <c r="N155" s="70">
        <f t="shared" si="36"/>
        <v>0</v>
      </c>
      <c r="O155" s="70">
        <f t="shared" si="36"/>
        <v>0</v>
      </c>
      <c r="P155" s="70">
        <f t="shared" si="36"/>
        <v>0</v>
      </c>
      <c r="Q155" s="70">
        <f t="shared" si="36"/>
        <v>0</v>
      </c>
      <c r="R155" s="70">
        <f t="shared" si="36"/>
        <v>0</v>
      </c>
      <c r="S155" s="70">
        <f t="shared" si="36"/>
        <v>0</v>
      </c>
      <c r="T155" s="70">
        <f t="shared" si="36"/>
        <v>0</v>
      </c>
      <c r="U155" s="70">
        <f t="shared" si="36"/>
        <v>0</v>
      </c>
      <c r="V155" s="70">
        <f t="shared" si="36"/>
        <v>0</v>
      </c>
      <c r="W155" s="70">
        <f t="shared" si="36"/>
        <v>0</v>
      </c>
      <c r="X155" s="70">
        <f t="shared" si="36"/>
        <v>0</v>
      </c>
      <c r="Y155" s="175"/>
    </row>
    <row r="156" spans="1:25" outlineLevel="1" x14ac:dyDescent="0.25">
      <c r="A156" s="126">
        <f t="shared" si="25"/>
        <v>0</v>
      </c>
      <c r="B156" s="29"/>
      <c r="C156" s="30" t="str">
        <f t="shared" si="35"/>
        <v>НИВА 22.01.00.00.00.00.00.000 (2)</v>
      </c>
      <c r="D156" s="9" t="str">
        <f t="shared" si="38"/>
        <v>час.</v>
      </c>
      <c r="E156" s="70">
        <f t="shared" si="37"/>
        <v>0</v>
      </c>
      <c r="F156" s="70">
        <f t="shared" si="36"/>
        <v>0</v>
      </c>
      <c r="G156" s="70">
        <f t="shared" si="36"/>
        <v>0</v>
      </c>
      <c r="H156" s="70">
        <f t="shared" si="36"/>
        <v>0</v>
      </c>
      <c r="I156" s="70">
        <f t="shared" si="36"/>
        <v>0</v>
      </c>
      <c r="J156" s="70">
        <f t="shared" si="36"/>
        <v>0</v>
      </c>
      <c r="K156" s="70">
        <f t="shared" si="36"/>
        <v>0</v>
      </c>
      <c r="L156" s="70">
        <f t="shared" si="36"/>
        <v>0</v>
      </c>
      <c r="M156" s="70">
        <f t="shared" si="36"/>
        <v>0</v>
      </c>
      <c r="N156" s="70">
        <f t="shared" si="36"/>
        <v>0</v>
      </c>
      <c r="O156" s="70">
        <f t="shared" si="36"/>
        <v>0</v>
      </c>
      <c r="P156" s="70">
        <f t="shared" si="36"/>
        <v>0</v>
      </c>
      <c r="Q156" s="70">
        <f t="shared" si="36"/>
        <v>0</v>
      </c>
      <c r="R156" s="70">
        <f t="shared" si="36"/>
        <v>0</v>
      </c>
      <c r="S156" s="70">
        <f t="shared" si="36"/>
        <v>0</v>
      </c>
      <c r="T156" s="70">
        <f t="shared" si="36"/>
        <v>0</v>
      </c>
      <c r="U156" s="70">
        <f t="shared" si="36"/>
        <v>0</v>
      </c>
      <c r="V156" s="70">
        <f t="shared" si="36"/>
        <v>0</v>
      </c>
      <c r="W156" s="70">
        <f t="shared" si="36"/>
        <v>0</v>
      </c>
      <c r="X156" s="70">
        <f t="shared" si="36"/>
        <v>0</v>
      </c>
      <c r="Y156" s="175"/>
    </row>
    <row r="157" spans="1:25" outlineLevel="1" x14ac:dyDescent="0.25">
      <c r="A157" s="126">
        <f t="shared" si="25"/>
        <v>0</v>
      </c>
      <c r="B157" s="29"/>
      <c r="C157" s="30" t="str">
        <f t="shared" si="35"/>
        <v>**</v>
      </c>
      <c r="D157" s="9" t="str">
        <f t="shared" si="38"/>
        <v>час.</v>
      </c>
      <c r="E157" s="70">
        <f t="shared" si="37"/>
        <v>0</v>
      </c>
      <c r="F157" s="70">
        <f t="shared" si="36"/>
        <v>0</v>
      </c>
      <c r="G157" s="70">
        <f t="shared" si="36"/>
        <v>0</v>
      </c>
      <c r="H157" s="70">
        <f t="shared" si="36"/>
        <v>0</v>
      </c>
      <c r="I157" s="70">
        <f t="shared" si="36"/>
        <v>0</v>
      </c>
      <c r="J157" s="70">
        <f t="shared" ref="F157:X167" si="39">J$6*J130</f>
        <v>0</v>
      </c>
      <c r="K157" s="70">
        <f t="shared" si="39"/>
        <v>0</v>
      </c>
      <c r="L157" s="70">
        <f t="shared" si="39"/>
        <v>0</v>
      </c>
      <c r="M157" s="70">
        <f t="shared" si="39"/>
        <v>0</v>
      </c>
      <c r="N157" s="70">
        <f t="shared" si="39"/>
        <v>0</v>
      </c>
      <c r="O157" s="70">
        <f t="shared" si="39"/>
        <v>0</v>
      </c>
      <c r="P157" s="70">
        <f t="shared" si="39"/>
        <v>0</v>
      </c>
      <c r="Q157" s="70">
        <f t="shared" si="39"/>
        <v>0</v>
      </c>
      <c r="R157" s="70">
        <f t="shared" si="39"/>
        <v>0</v>
      </c>
      <c r="S157" s="70">
        <f t="shared" si="39"/>
        <v>0</v>
      </c>
      <c r="T157" s="70">
        <f t="shared" si="39"/>
        <v>0</v>
      </c>
      <c r="U157" s="70">
        <f t="shared" si="39"/>
        <v>0</v>
      </c>
      <c r="V157" s="70">
        <f t="shared" si="39"/>
        <v>0</v>
      </c>
      <c r="W157" s="70">
        <f t="shared" si="39"/>
        <v>0</v>
      </c>
      <c r="X157" s="70">
        <f t="shared" si="39"/>
        <v>0</v>
      </c>
      <c r="Y157" s="175"/>
    </row>
    <row r="158" spans="1:25" outlineLevel="1" x14ac:dyDescent="0.25">
      <c r="A158" s="126">
        <f t="shared" si="25"/>
        <v>1</v>
      </c>
      <c r="B158" s="29"/>
      <c r="C158" s="30" t="str">
        <f t="shared" si="35"/>
        <v>БС-215</v>
      </c>
      <c r="D158" s="9" t="str">
        <f t="shared" si="38"/>
        <v>час.</v>
      </c>
      <c r="E158" s="70">
        <f t="shared" si="37"/>
        <v>6587.3330687529515</v>
      </c>
      <c r="F158" s="70">
        <f t="shared" si="39"/>
        <v>6568.3721676195782</v>
      </c>
      <c r="G158" s="70">
        <f t="shared" si="39"/>
        <v>6558.8917170528903</v>
      </c>
      <c r="H158" s="70">
        <f t="shared" si="39"/>
        <v>6340.8413540190923</v>
      </c>
      <c r="I158" s="70">
        <f t="shared" si="39"/>
        <v>6549.4112664862032</v>
      </c>
      <c r="J158" s="70">
        <f t="shared" si="39"/>
        <v>6502.0090136527688</v>
      </c>
      <c r="K158" s="70">
        <f t="shared" si="39"/>
        <v>6340.8413540190923</v>
      </c>
      <c r="L158" s="70">
        <f t="shared" si="39"/>
        <v>6530.45036535283</v>
      </c>
      <c r="M158" s="70">
        <f t="shared" si="39"/>
        <v>6539.930815919517</v>
      </c>
      <c r="N158" s="70">
        <f t="shared" si="39"/>
        <v>6321.8804528857181</v>
      </c>
      <c r="O158" s="70">
        <f t="shared" si="39"/>
        <v>6511.4894642194558</v>
      </c>
      <c r="P158" s="70">
        <f t="shared" si="39"/>
        <v>6558.8917170528903</v>
      </c>
      <c r="Q158" s="70">
        <f t="shared" si="39"/>
        <v>0</v>
      </c>
      <c r="R158" s="70">
        <f t="shared" si="39"/>
        <v>0</v>
      </c>
      <c r="S158" s="70">
        <f t="shared" si="39"/>
        <v>0</v>
      </c>
      <c r="T158" s="70">
        <f t="shared" si="39"/>
        <v>0</v>
      </c>
      <c r="U158" s="70">
        <f t="shared" si="39"/>
        <v>0</v>
      </c>
      <c r="V158" s="70">
        <f t="shared" si="39"/>
        <v>0</v>
      </c>
      <c r="W158" s="70">
        <f t="shared" si="39"/>
        <v>0</v>
      </c>
      <c r="X158" s="70">
        <f t="shared" si="39"/>
        <v>0</v>
      </c>
      <c r="Y158" s="175"/>
    </row>
    <row r="159" spans="1:25" outlineLevel="1" x14ac:dyDescent="0.25">
      <c r="A159" s="126">
        <f t="shared" si="25"/>
        <v>0</v>
      </c>
      <c r="B159" s="29"/>
      <c r="C159" s="30" t="str">
        <f t="shared" si="35"/>
        <v>Sunward SWDRT200SM</v>
      </c>
      <c r="D159" s="9" t="str">
        <f t="shared" si="38"/>
        <v>час.</v>
      </c>
      <c r="E159" s="70">
        <f t="shared" si="37"/>
        <v>0</v>
      </c>
      <c r="F159" s="70">
        <f t="shared" si="39"/>
        <v>0</v>
      </c>
      <c r="G159" s="70">
        <f t="shared" si="39"/>
        <v>0</v>
      </c>
      <c r="H159" s="70">
        <f t="shared" si="39"/>
        <v>0</v>
      </c>
      <c r="I159" s="70">
        <f t="shared" si="39"/>
        <v>0</v>
      </c>
      <c r="J159" s="70">
        <f t="shared" si="39"/>
        <v>0</v>
      </c>
      <c r="K159" s="70">
        <f t="shared" si="39"/>
        <v>0</v>
      </c>
      <c r="L159" s="70">
        <f t="shared" si="39"/>
        <v>0</v>
      </c>
      <c r="M159" s="70">
        <f t="shared" si="39"/>
        <v>0</v>
      </c>
      <c r="N159" s="70">
        <f t="shared" si="39"/>
        <v>0</v>
      </c>
      <c r="O159" s="70">
        <f t="shared" si="39"/>
        <v>0</v>
      </c>
      <c r="P159" s="70">
        <f t="shared" si="39"/>
        <v>0</v>
      </c>
      <c r="Q159" s="70">
        <f t="shared" si="39"/>
        <v>0</v>
      </c>
      <c r="R159" s="70">
        <f t="shared" si="39"/>
        <v>0</v>
      </c>
      <c r="S159" s="70">
        <f t="shared" si="39"/>
        <v>0</v>
      </c>
      <c r="T159" s="70">
        <f t="shared" si="39"/>
        <v>0</v>
      </c>
      <c r="U159" s="70">
        <f t="shared" si="39"/>
        <v>0</v>
      </c>
      <c r="V159" s="70">
        <f t="shared" si="39"/>
        <v>0</v>
      </c>
      <c r="W159" s="70">
        <f t="shared" si="39"/>
        <v>0</v>
      </c>
      <c r="X159" s="70">
        <f t="shared" si="39"/>
        <v>0</v>
      </c>
      <c r="Y159" s="175"/>
    </row>
    <row r="160" spans="1:25" outlineLevel="1" x14ac:dyDescent="0.25">
      <c r="A160" s="126">
        <f t="shared" si="25"/>
        <v>0</v>
      </c>
      <c r="B160" s="29"/>
      <c r="C160" s="30" t="str">
        <f t="shared" si="35"/>
        <v>Sunward SWDRT250B</v>
      </c>
      <c r="D160" s="9" t="str">
        <f t="shared" si="38"/>
        <v>час.</v>
      </c>
      <c r="E160" s="70">
        <f t="shared" si="37"/>
        <v>0</v>
      </c>
      <c r="F160" s="70">
        <f t="shared" si="39"/>
        <v>0</v>
      </c>
      <c r="G160" s="70">
        <f t="shared" si="39"/>
        <v>0</v>
      </c>
      <c r="H160" s="70">
        <f t="shared" si="39"/>
        <v>0</v>
      </c>
      <c r="I160" s="70">
        <f t="shared" si="39"/>
        <v>0</v>
      </c>
      <c r="J160" s="70">
        <f t="shared" si="39"/>
        <v>0</v>
      </c>
      <c r="K160" s="70">
        <f t="shared" si="39"/>
        <v>0</v>
      </c>
      <c r="L160" s="70">
        <f t="shared" si="39"/>
        <v>0</v>
      </c>
      <c r="M160" s="70">
        <f t="shared" si="39"/>
        <v>0</v>
      </c>
      <c r="N160" s="70">
        <f t="shared" si="39"/>
        <v>0</v>
      </c>
      <c r="O160" s="70">
        <f t="shared" si="39"/>
        <v>0</v>
      </c>
      <c r="P160" s="70">
        <f t="shared" si="39"/>
        <v>0</v>
      </c>
      <c r="Q160" s="70">
        <f t="shared" si="39"/>
        <v>0</v>
      </c>
      <c r="R160" s="70">
        <f t="shared" si="39"/>
        <v>0</v>
      </c>
      <c r="S160" s="70">
        <f t="shared" si="39"/>
        <v>0</v>
      </c>
      <c r="T160" s="70">
        <f t="shared" si="39"/>
        <v>0</v>
      </c>
      <c r="U160" s="70">
        <f t="shared" si="39"/>
        <v>0</v>
      </c>
      <c r="V160" s="70">
        <f t="shared" si="39"/>
        <v>0</v>
      </c>
      <c r="W160" s="70">
        <f t="shared" si="39"/>
        <v>0</v>
      </c>
      <c r="X160" s="70">
        <f t="shared" si="39"/>
        <v>0</v>
      </c>
      <c r="Y160" s="175"/>
    </row>
    <row r="161" spans="1:25" outlineLevel="1" x14ac:dyDescent="0.25">
      <c r="A161" s="126">
        <f t="shared" si="25"/>
        <v>0</v>
      </c>
      <c r="B161" s="29"/>
      <c r="C161" s="30" t="str">
        <f t="shared" si="35"/>
        <v>ZEGA R8100L (2)</v>
      </c>
      <c r="D161" s="9" t="str">
        <f t="shared" si="38"/>
        <v>час.</v>
      </c>
      <c r="E161" s="70">
        <f t="shared" si="37"/>
        <v>0</v>
      </c>
      <c r="F161" s="70">
        <f t="shared" si="39"/>
        <v>0</v>
      </c>
      <c r="G161" s="70">
        <f t="shared" si="39"/>
        <v>0</v>
      </c>
      <c r="H161" s="70">
        <f t="shared" si="39"/>
        <v>0</v>
      </c>
      <c r="I161" s="70">
        <f t="shared" si="39"/>
        <v>0</v>
      </c>
      <c r="J161" s="70">
        <f t="shared" si="39"/>
        <v>0</v>
      </c>
      <c r="K161" s="70">
        <f t="shared" si="39"/>
        <v>0</v>
      </c>
      <c r="L161" s="70">
        <f t="shared" si="39"/>
        <v>0</v>
      </c>
      <c r="M161" s="70">
        <f t="shared" si="39"/>
        <v>0</v>
      </c>
      <c r="N161" s="70">
        <f t="shared" si="39"/>
        <v>0</v>
      </c>
      <c r="O161" s="70">
        <f t="shared" si="39"/>
        <v>0</v>
      </c>
      <c r="P161" s="70">
        <f t="shared" si="39"/>
        <v>0</v>
      </c>
      <c r="Q161" s="70">
        <f t="shared" si="39"/>
        <v>0</v>
      </c>
      <c r="R161" s="70">
        <f t="shared" si="39"/>
        <v>0</v>
      </c>
      <c r="S161" s="70">
        <f t="shared" si="39"/>
        <v>0</v>
      </c>
      <c r="T161" s="70">
        <f t="shared" si="39"/>
        <v>0</v>
      </c>
      <c r="U161" s="70">
        <f t="shared" si="39"/>
        <v>0</v>
      </c>
      <c r="V161" s="70">
        <f t="shared" si="39"/>
        <v>0</v>
      </c>
      <c r="W161" s="70">
        <f t="shared" si="39"/>
        <v>0</v>
      </c>
      <c r="X161" s="70">
        <f t="shared" si="39"/>
        <v>0</v>
      </c>
      <c r="Y161" s="175"/>
    </row>
    <row r="162" spans="1:25" outlineLevel="1" x14ac:dyDescent="0.25">
      <c r="A162" s="126">
        <f t="shared" ref="A162:A225" si="40">A135</f>
        <v>0</v>
      </c>
      <c r="B162" s="29"/>
      <c r="C162" s="30" t="str">
        <f t="shared" si="35"/>
        <v>Revathi C650D</v>
      </c>
      <c r="D162" s="9" t="str">
        <f t="shared" si="38"/>
        <v>час.</v>
      </c>
      <c r="E162" s="70">
        <f t="shared" si="37"/>
        <v>0</v>
      </c>
      <c r="F162" s="70">
        <f t="shared" si="39"/>
        <v>0</v>
      </c>
      <c r="G162" s="70">
        <f t="shared" si="39"/>
        <v>0</v>
      </c>
      <c r="H162" s="70">
        <f t="shared" si="39"/>
        <v>0</v>
      </c>
      <c r="I162" s="70">
        <f t="shared" si="39"/>
        <v>0</v>
      </c>
      <c r="J162" s="70">
        <f t="shared" si="39"/>
        <v>0</v>
      </c>
      <c r="K162" s="70">
        <f t="shared" si="39"/>
        <v>0</v>
      </c>
      <c r="L162" s="70">
        <f t="shared" si="39"/>
        <v>0</v>
      </c>
      <c r="M162" s="70">
        <f t="shared" si="39"/>
        <v>0</v>
      </c>
      <c r="N162" s="70">
        <f t="shared" si="39"/>
        <v>0</v>
      </c>
      <c r="O162" s="70">
        <f t="shared" si="39"/>
        <v>0</v>
      </c>
      <c r="P162" s="70">
        <f t="shared" si="39"/>
        <v>0</v>
      </c>
      <c r="Q162" s="70">
        <f t="shared" si="39"/>
        <v>0</v>
      </c>
      <c r="R162" s="70">
        <f t="shared" si="39"/>
        <v>0</v>
      </c>
      <c r="S162" s="70">
        <f t="shared" si="39"/>
        <v>0</v>
      </c>
      <c r="T162" s="70">
        <f t="shared" si="39"/>
        <v>0</v>
      </c>
      <c r="U162" s="70">
        <f t="shared" si="39"/>
        <v>0</v>
      </c>
      <c r="V162" s="70">
        <f t="shared" si="39"/>
        <v>0</v>
      </c>
      <c r="W162" s="70">
        <f t="shared" si="39"/>
        <v>0</v>
      </c>
      <c r="X162" s="70">
        <f t="shared" si="39"/>
        <v>0</v>
      </c>
      <c r="Y162" s="175"/>
    </row>
    <row r="163" spans="1:25" outlineLevel="1" x14ac:dyDescent="0.25">
      <c r="A163" s="126">
        <f t="shared" si="40"/>
        <v>0</v>
      </c>
      <c r="B163" s="29"/>
      <c r="C163" s="30" t="str">
        <f t="shared" si="35"/>
        <v>MS1200RB</v>
      </c>
      <c r="D163" s="9" t="str">
        <f t="shared" si="38"/>
        <v>час.</v>
      </c>
      <c r="E163" s="70">
        <f t="shared" si="37"/>
        <v>0</v>
      </c>
      <c r="F163" s="70">
        <f t="shared" si="39"/>
        <v>0</v>
      </c>
      <c r="G163" s="70">
        <f t="shared" si="39"/>
        <v>0</v>
      </c>
      <c r="H163" s="70">
        <f t="shared" si="39"/>
        <v>0</v>
      </c>
      <c r="I163" s="70">
        <f t="shared" si="39"/>
        <v>0</v>
      </c>
      <c r="J163" s="70">
        <f t="shared" si="39"/>
        <v>0</v>
      </c>
      <c r="K163" s="70">
        <f t="shared" si="39"/>
        <v>0</v>
      </c>
      <c r="L163" s="70">
        <f t="shared" si="39"/>
        <v>0</v>
      </c>
      <c r="M163" s="70">
        <f t="shared" si="39"/>
        <v>0</v>
      </c>
      <c r="N163" s="70">
        <f t="shared" si="39"/>
        <v>0</v>
      </c>
      <c r="O163" s="70">
        <f t="shared" si="39"/>
        <v>0</v>
      </c>
      <c r="P163" s="70">
        <f t="shared" si="39"/>
        <v>0</v>
      </c>
      <c r="Q163" s="70">
        <f t="shared" si="39"/>
        <v>0</v>
      </c>
      <c r="R163" s="70">
        <f t="shared" si="39"/>
        <v>0</v>
      </c>
      <c r="S163" s="70">
        <f t="shared" si="39"/>
        <v>0</v>
      </c>
      <c r="T163" s="70">
        <f t="shared" si="39"/>
        <v>0</v>
      </c>
      <c r="U163" s="70">
        <f t="shared" si="39"/>
        <v>0</v>
      </c>
      <c r="V163" s="70">
        <f t="shared" si="39"/>
        <v>0</v>
      </c>
      <c r="W163" s="70">
        <f t="shared" si="39"/>
        <v>0</v>
      </c>
      <c r="X163" s="70">
        <f t="shared" si="39"/>
        <v>0</v>
      </c>
      <c r="Y163" s="175"/>
    </row>
    <row r="164" spans="1:25" outlineLevel="1" x14ac:dyDescent="0.25">
      <c r="A164" s="126">
        <f t="shared" si="40"/>
        <v>0</v>
      </c>
      <c r="B164" s="29"/>
      <c r="C164" s="30" t="str">
        <f t="shared" si="35"/>
        <v>СБ-55Д-01</v>
      </c>
      <c r="D164" s="9" t="str">
        <f t="shared" si="38"/>
        <v>час.</v>
      </c>
      <c r="E164" s="70">
        <f t="shared" si="37"/>
        <v>0</v>
      </c>
      <c r="F164" s="70">
        <f t="shared" si="39"/>
        <v>0</v>
      </c>
      <c r="G164" s="70">
        <f t="shared" si="39"/>
        <v>0</v>
      </c>
      <c r="H164" s="70">
        <f t="shared" si="39"/>
        <v>0</v>
      </c>
      <c r="I164" s="70">
        <f t="shared" si="39"/>
        <v>0</v>
      </c>
      <c r="J164" s="70">
        <f t="shared" si="39"/>
        <v>0</v>
      </c>
      <c r="K164" s="70">
        <f t="shared" si="39"/>
        <v>0</v>
      </c>
      <c r="L164" s="70">
        <f t="shared" si="39"/>
        <v>0</v>
      </c>
      <c r="M164" s="70">
        <f t="shared" si="39"/>
        <v>0</v>
      </c>
      <c r="N164" s="70">
        <f t="shared" si="39"/>
        <v>0</v>
      </c>
      <c r="O164" s="70">
        <f t="shared" si="39"/>
        <v>0</v>
      </c>
      <c r="P164" s="70">
        <f t="shared" si="39"/>
        <v>0</v>
      </c>
      <c r="Q164" s="70">
        <f t="shared" si="39"/>
        <v>0</v>
      </c>
      <c r="R164" s="70">
        <f t="shared" si="39"/>
        <v>0</v>
      </c>
      <c r="S164" s="70">
        <f t="shared" si="39"/>
        <v>0</v>
      </c>
      <c r="T164" s="70">
        <f t="shared" si="39"/>
        <v>0</v>
      </c>
      <c r="U164" s="70">
        <f t="shared" si="39"/>
        <v>0</v>
      </c>
      <c r="V164" s="70">
        <f t="shared" si="39"/>
        <v>0</v>
      </c>
      <c r="W164" s="70">
        <f t="shared" si="39"/>
        <v>0</v>
      </c>
      <c r="X164" s="70">
        <f t="shared" si="39"/>
        <v>0</v>
      </c>
      <c r="Y164" s="175"/>
    </row>
    <row r="165" spans="1:25" outlineLevel="1" x14ac:dyDescent="0.25">
      <c r="A165" s="126">
        <f t="shared" si="40"/>
        <v>0</v>
      </c>
      <c r="B165" s="29"/>
      <c r="C165" s="30" t="str">
        <f t="shared" si="35"/>
        <v>KAMACH KY-250D</v>
      </c>
      <c r="D165" s="9" t="str">
        <f t="shared" si="38"/>
        <v>час.</v>
      </c>
      <c r="E165" s="70">
        <f t="shared" si="37"/>
        <v>0</v>
      </c>
      <c r="F165" s="70">
        <f t="shared" si="39"/>
        <v>0</v>
      </c>
      <c r="G165" s="70">
        <f t="shared" si="39"/>
        <v>0</v>
      </c>
      <c r="H165" s="70">
        <f t="shared" si="39"/>
        <v>0</v>
      </c>
      <c r="I165" s="70">
        <f t="shared" si="39"/>
        <v>0</v>
      </c>
      <c r="J165" s="70">
        <f t="shared" si="39"/>
        <v>0</v>
      </c>
      <c r="K165" s="70">
        <f t="shared" si="39"/>
        <v>0</v>
      </c>
      <c r="L165" s="70">
        <f t="shared" si="39"/>
        <v>0</v>
      </c>
      <c r="M165" s="70">
        <f t="shared" si="39"/>
        <v>0</v>
      </c>
      <c r="N165" s="70">
        <f t="shared" si="39"/>
        <v>0</v>
      </c>
      <c r="O165" s="70">
        <f t="shared" si="39"/>
        <v>0</v>
      </c>
      <c r="P165" s="70">
        <f t="shared" si="39"/>
        <v>0</v>
      </c>
      <c r="Q165" s="70">
        <f t="shared" si="39"/>
        <v>0</v>
      </c>
      <c r="R165" s="70">
        <f t="shared" si="39"/>
        <v>0</v>
      </c>
      <c r="S165" s="70">
        <f t="shared" si="39"/>
        <v>0</v>
      </c>
      <c r="T165" s="70">
        <f t="shared" si="39"/>
        <v>0</v>
      </c>
      <c r="U165" s="70">
        <f t="shared" si="39"/>
        <v>0</v>
      </c>
      <c r="V165" s="70">
        <f t="shared" si="39"/>
        <v>0</v>
      </c>
      <c r="W165" s="70">
        <f t="shared" si="39"/>
        <v>0</v>
      </c>
      <c r="X165" s="70">
        <f t="shared" si="39"/>
        <v>0</v>
      </c>
      <c r="Y165" s="175"/>
    </row>
    <row r="166" spans="1:25" outlineLevel="1" x14ac:dyDescent="0.25">
      <c r="A166" s="126">
        <f t="shared" si="40"/>
        <v>0</v>
      </c>
      <c r="B166" s="29"/>
      <c r="C166" s="30" t="str">
        <f t="shared" si="35"/>
        <v>НИВА 23.01.00.00.00.00.00.000 (1)</v>
      </c>
      <c r="D166" s="9" t="str">
        <f t="shared" si="38"/>
        <v>час.</v>
      </c>
      <c r="E166" s="70">
        <f t="shared" si="37"/>
        <v>0</v>
      </c>
      <c r="F166" s="70">
        <f t="shared" si="39"/>
        <v>0</v>
      </c>
      <c r="G166" s="70">
        <f t="shared" si="39"/>
        <v>0</v>
      </c>
      <c r="H166" s="70">
        <f t="shared" si="39"/>
        <v>0</v>
      </c>
      <c r="I166" s="70">
        <f t="shared" si="39"/>
        <v>0</v>
      </c>
      <c r="J166" s="70">
        <f t="shared" si="39"/>
        <v>0</v>
      </c>
      <c r="K166" s="70">
        <f t="shared" si="39"/>
        <v>0</v>
      </c>
      <c r="L166" s="70">
        <f t="shared" si="39"/>
        <v>0</v>
      </c>
      <c r="M166" s="70">
        <f t="shared" si="39"/>
        <v>0</v>
      </c>
      <c r="N166" s="70">
        <f t="shared" si="39"/>
        <v>0</v>
      </c>
      <c r="O166" s="70">
        <f t="shared" si="39"/>
        <v>0</v>
      </c>
      <c r="P166" s="70">
        <f t="shared" si="39"/>
        <v>0</v>
      </c>
      <c r="Q166" s="70">
        <f t="shared" si="39"/>
        <v>0</v>
      </c>
      <c r="R166" s="70">
        <f t="shared" si="39"/>
        <v>0</v>
      </c>
      <c r="S166" s="70">
        <f t="shared" si="39"/>
        <v>0</v>
      </c>
      <c r="T166" s="70">
        <f t="shared" si="39"/>
        <v>0</v>
      </c>
      <c r="U166" s="70">
        <f t="shared" si="39"/>
        <v>0</v>
      </c>
      <c r="V166" s="70">
        <f t="shared" si="39"/>
        <v>0</v>
      </c>
      <c r="W166" s="70">
        <f t="shared" si="39"/>
        <v>0</v>
      </c>
      <c r="X166" s="70">
        <f t="shared" si="39"/>
        <v>0</v>
      </c>
      <c r="Y166" s="175"/>
    </row>
    <row r="167" spans="1:25" outlineLevel="1" x14ac:dyDescent="0.25">
      <c r="A167" s="126">
        <f t="shared" si="40"/>
        <v>0</v>
      </c>
      <c r="B167" s="29"/>
      <c r="C167" s="30" t="str">
        <f t="shared" si="35"/>
        <v>НИВА 23.01.00.00.00.00.00.000 (2)</v>
      </c>
      <c r="D167" s="9" t="str">
        <f t="shared" si="38"/>
        <v>час.</v>
      </c>
      <c r="E167" s="70">
        <f t="shared" si="37"/>
        <v>0</v>
      </c>
      <c r="F167" s="70">
        <f t="shared" si="39"/>
        <v>0</v>
      </c>
      <c r="G167" s="70">
        <f t="shared" si="39"/>
        <v>0</v>
      </c>
      <c r="H167" s="70">
        <f t="shared" si="39"/>
        <v>0</v>
      </c>
      <c r="I167" s="70">
        <f t="shared" si="39"/>
        <v>0</v>
      </c>
      <c r="J167" s="70">
        <f t="shared" si="39"/>
        <v>0</v>
      </c>
      <c r="K167" s="70">
        <f t="shared" si="39"/>
        <v>0</v>
      </c>
      <c r="L167" s="70">
        <f t="shared" si="39"/>
        <v>0</v>
      </c>
      <c r="M167" s="70">
        <f t="shared" si="39"/>
        <v>0</v>
      </c>
      <c r="N167" s="70">
        <f t="shared" si="39"/>
        <v>0</v>
      </c>
      <c r="O167" s="70">
        <f t="shared" si="39"/>
        <v>0</v>
      </c>
      <c r="P167" s="70">
        <f t="shared" si="39"/>
        <v>0</v>
      </c>
      <c r="Q167" s="70">
        <f t="shared" si="39"/>
        <v>0</v>
      </c>
      <c r="R167" s="70">
        <f t="shared" si="39"/>
        <v>0</v>
      </c>
      <c r="S167" s="70">
        <f t="shared" si="39"/>
        <v>0</v>
      </c>
      <c r="T167" s="70">
        <f t="shared" si="39"/>
        <v>0</v>
      </c>
      <c r="U167" s="70">
        <f t="shared" si="39"/>
        <v>0</v>
      </c>
      <c r="V167" s="70">
        <f t="shared" si="39"/>
        <v>0</v>
      </c>
      <c r="W167" s="70">
        <f t="shared" si="39"/>
        <v>0</v>
      </c>
      <c r="X167" s="70">
        <f t="shared" si="39"/>
        <v>0</v>
      </c>
      <c r="Y167" s="175"/>
    </row>
    <row r="168" spans="1:25" outlineLevel="1" x14ac:dyDescent="0.25">
      <c r="A168" s="126">
        <f t="shared" si="40"/>
        <v>0</v>
      </c>
      <c r="B168" s="29"/>
      <c r="C168" s="30" t="str">
        <f t="shared" si="35"/>
        <v>***</v>
      </c>
      <c r="D168" s="9" t="str">
        <f t="shared" ref="D168" si="41">D167</f>
        <v>час.</v>
      </c>
      <c r="E168" s="70">
        <f>E$6*E141</f>
        <v>0</v>
      </c>
      <c r="F168" s="70">
        <f t="shared" ref="F168:X168" si="42">F$6*F141</f>
        <v>0</v>
      </c>
      <c r="G168" s="70">
        <f t="shared" si="42"/>
        <v>0</v>
      </c>
      <c r="H168" s="70">
        <f t="shared" si="42"/>
        <v>0</v>
      </c>
      <c r="I168" s="70">
        <f t="shared" si="42"/>
        <v>0</v>
      </c>
      <c r="J168" s="70">
        <f t="shared" si="42"/>
        <v>0</v>
      </c>
      <c r="K168" s="70">
        <f t="shared" si="42"/>
        <v>0</v>
      </c>
      <c r="L168" s="70">
        <f t="shared" si="42"/>
        <v>0</v>
      </c>
      <c r="M168" s="70">
        <f t="shared" si="42"/>
        <v>0</v>
      </c>
      <c r="N168" s="70">
        <f t="shared" si="42"/>
        <v>0</v>
      </c>
      <c r="O168" s="70">
        <f t="shared" si="42"/>
        <v>0</v>
      </c>
      <c r="P168" s="70">
        <f t="shared" si="42"/>
        <v>0</v>
      </c>
      <c r="Q168" s="70">
        <f t="shared" si="42"/>
        <v>0</v>
      </c>
      <c r="R168" s="70">
        <f t="shared" si="42"/>
        <v>0</v>
      </c>
      <c r="S168" s="70">
        <f t="shared" si="42"/>
        <v>0</v>
      </c>
      <c r="T168" s="70">
        <f t="shared" si="42"/>
        <v>0</v>
      </c>
      <c r="U168" s="70">
        <f t="shared" si="42"/>
        <v>0</v>
      </c>
      <c r="V168" s="70">
        <f t="shared" si="42"/>
        <v>0</v>
      </c>
      <c r="W168" s="70">
        <f t="shared" si="42"/>
        <v>0</v>
      </c>
      <c r="X168" s="70">
        <f t="shared" si="42"/>
        <v>0</v>
      </c>
      <c r="Y168" s="175"/>
    </row>
    <row r="169" spans="1:25" x14ac:dyDescent="0.25">
      <c r="A169" s="126">
        <f t="shared" si="40"/>
        <v>1</v>
      </c>
      <c r="B169" s="64">
        <f>B115+1</f>
        <v>5</v>
      </c>
      <c r="C169" s="85" t="s">
        <v>168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175"/>
    </row>
    <row r="170" spans="1:25" x14ac:dyDescent="0.25">
      <c r="A170" s="126">
        <f t="shared" si="40"/>
        <v>1</v>
      </c>
      <c r="B170" s="29"/>
      <c r="C170" s="30" t="str">
        <f t="shared" ref="C170:C195" si="43">C143</f>
        <v>YANGZI DR75</v>
      </c>
      <c r="D170" s="9" t="s">
        <v>169</v>
      </c>
      <c r="E170" s="243">
        <f>SUMIFS('W час'!$E$50:$AF$50,'W час'!$E$4:$AF$4,$C170)</f>
        <v>16.310775889354147</v>
      </c>
      <c r="F170" s="84">
        <f>E170</f>
        <v>16.310775889354147</v>
      </c>
      <c r="G170" s="84">
        <f t="shared" ref="G170:X184" si="44">F170</f>
        <v>16.310775889354147</v>
      </c>
      <c r="H170" s="84">
        <f t="shared" si="44"/>
        <v>16.310775889354147</v>
      </c>
      <c r="I170" s="84">
        <f t="shared" si="44"/>
        <v>16.310775889354147</v>
      </c>
      <c r="J170" s="84">
        <f t="shared" si="44"/>
        <v>16.310775889354147</v>
      </c>
      <c r="K170" s="84">
        <f t="shared" si="44"/>
        <v>16.310775889354147</v>
      </c>
      <c r="L170" s="84">
        <f t="shared" si="44"/>
        <v>16.310775889354147</v>
      </c>
      <c r="M170" s="84">
        <f t="shared" si="44"/>
        <v>16.310775889354147</v>
      </c>
      <c r="N170" s="84">
        <f t="shared" si="44"/>
        <v>16.310775889354147</v>
      </c>
      <c r="O170" s="84">
        <f t="shared" si="44"/>
        <v>16.310775889354147</v>
      </c>
      <c r="P170" s="84">
        <f t="shared" si="44"/>
        <v>16.310775889354147</v>
      </c>
      <c r="Q170" s="84">
        <f t="shared" si="44"/>
        <v>16.310775889354147</v>
      </c>
      <c r="R170" s="84">
        <f t="shared" si="44"/>
        <v>16.310775889354147</v>
      </c>
      <c r="S170" s="84">
        <f t="shared" si="44"/>
        <v>16.310775889354147</v>
      </c>
      <c r="T170" s="84">
        <f t="shared" si="44"/>
        <v>16.310775889354147</v>
      </c>
      <c r="U170" s="84">
        <f t="shared" si="44"/>
        <v>16.310775889354147</v>
      </c>
      <c r="V170" s="84">
        <f t="shared" si="44"/>
        <v>16.310775889354147</v>
      </c>
      <c r="W170" s="84">
        <f t="shared" si="44"/>
        <v>16.310775889354147</v>
      </c>
      <c r="X170" s="84">
        <f t="shared" si="44"/>
        <v>16.310775889354147</v>
      </c>
      <c r="Y170" s="175"/>
    </row>
    <row r="171" spans="1:25" x14ac:dyDescent="0.25">
      <c r="A171" s="126">
        <f t="shared" si="40"/>
        <v>1</v>
      </c>
      <c r="B171" s="29"/>
      <c r="C171" s="30" t="str">
        <f t="shared" si="43"/>
        <v>Sunward SWDRT250SM</v>
      </c>
      <c r="D171" s="9" t="str">
        <f>D170</f>
        <v>п. м /час</v>
      </c>
      <c r="E171" s="243">
        <f>SUMIFS('W час'!$E$50:$AF$50,'W час'!$E$4:$AF$4,$C171)</f>
        <v>17.592641015897627</v>
      </c>
      <c r="F171" s="84">
        <f t="shared" ref="F171:U195" si="45">E171</f>
        <v>17.592641015897627</v>
      </c>
      <c r="G171" s="84">
        <f t="shared" si="45"/>
        <v>17.592641015897627</v>
      </c>
      <c r="H171" s="84">
        <f t="shared" si="45"/>
        <v>17.592641015897627</v>
      </c>
      <c r="I171" s="84">
        <f t="shared" si="45"/>
        <v>17.592641015897627</v>
      </c>
      <c r="J171" s="84">
        <f t="shared" si="45"/>
        <v>17.592641015897627</v>
      </c>
      <c r="K171" s="84">
        <f t="shared" si="45"/>
        <v>17.592641015897627</v>
      </c>
      <c r="L171" s="84">
        <f t="shared" si="45"/>
        <v>17.592641015897627</v>
      </c>
      <c r="M171" s="84">
        <f t="shared" si="45"/>
        <v>17.592641015897627</v>
      </c>
      <c r="N171" s="84">
        <f t="shared" si="45"/>
        <v>17.592641015897627</v>
      </c>
      <c r="O171" s="84">
        <f t="shared" si="45"/>
        <v>17.592641015897627</v>
      </c>
      <c r="P171" s="84">
        <f t="shared" si="45"/>
        <v>17.592641015897627</v>
      </c>
      <c r="Q171" s="84">
        <f t="shared" si="45"/>
        <v>17.592641015897627</v>
      </c>
      <c r="R171" s="84">
        <f t="shared" si="45"/>
        <v>17.592641015897627</v>
      </c>
      <c r="S171" s="84">
        <f t="shared" si="45"/>
        <v>17.592641015897627</v>
      </c>
      <c r="T171" s="84">
        <f t="shared" si="45"/>
        <v>17.592641015897627</v>
      </c>
      <c r="U171" s="84">
        <f t="shared" si="45"/>
        <v>17.592641015897627</v>
      </c>
      <c r="V171" s="84">
        <f t="shared" si="44"/>
        <v>17.592641015897627</v>
      </c>
      <c r="W171" s="84">
        <f t="shared" si="44"/>
        <v>17.592641015897627</v>
      </c>
      <c r="X171" s="84">
        <f t="shared" si="44"/>
        <v>17.592641015897627</v>
      </c>
      <c r="Y171" s="175"/>
    </row>
    <row r="172" spans="1:25" x14ac:dyDescent="0.25">
      <c r="A172" s="126">
        <f t="shared" si="40"/>
        <v>1</v>
      </c>
      <c r="B172" s="29"/>
      <c r="C172" s="30" t="str">
        <f t="shared" si="43"/>
        <v>Sunward SWDRT270SM</v>
      </c>
      <c r="D172" s="9" t="str">
        <f t="shared" ref="D172:D194" si="46">D171</f>
        <v>п. м /час</v>
      </c>
      <c r="E172" s="243">
        <f>SUMIFS('W час'!$E$50:$AF$50,'W час'!$E$4:$AF$4,$C172)</f>
        <v>20.040243770277868</v>
      </c>
      <c r="F172" s="84">
        <f t="shared" si="45"/>
        <v>20.040243770277868</v>
      </c>
      <c r="G172" s="84">
        <f t="shared" si="44"/>
        <v>20.040243770277868</v>
      </c>
      <c r="H172" s="84">
        <f t="shared" si="44"/>
        <v>20.040243770277868</v>
      </c>
      <c r="I172" s="84">
        <f t="shared" si="44"/>
        <v>20.040243770277868</v>
      </c>
      <c r="J172" s="84">
        <f t="shared" si="44"/>
        <v>20.040243770277868</v>
      </c>
      <c r="K172" s="84">
        <f t="shared" si="44"/>
        <v>20.040243770277868</v>
      </c>
      <c r="L172" s="84">
        <f t="shared" si="44"/>
        <v>20.040243770277868</v>
      </c>
      <c r="M172" s="84">
        <f t="shared" si="44"/>
        <v>20.040243770277868</v>
      </c>
      <c r="N172" s="84">
        <f t="shared" si="44"/>
        <v>20.040243770277868</v>
      </c>
      <c r="O172" s="84">
        <f t="shared" si="44"/>
        <v>20.040243770277868</v>
      </c>
      <c r="P172" s="84">
        <f t="shared" si="44"/>
        <v>20.040243770277868</v>
      </c>
      <c r="Q172" s="84">
        <f t="shared" si="44"/>
        <v>20.040243770277868</v>
      </c>
      <c r="R172" s="84">
        <f t="shared" si="44"/>
        <v>20.040243770277868</v>
      </c>
      <c r="S172" s="84">
        <f t="shared" si="44"/>
        <v>20.040243770277868</v>
      </c>
      <c r="T172" s="84">
        <f t="shared" si="44"/>
        <v>20.040243770277868</v>
      </c>
      <c r="U172" s="84">
        <f t="shared" si="44"/>
        <v>20.040243770277868</v>
      </c>
      <c r="V172" s="84">
        <f t="shared" si="44"/>
        <v>20.040243770277868</v>
      </c>
      <c r="W172" s="84">
        <f t="shared" si="44"/>
        <v>20.040243770277868</v>
      </c>
      <c r="X172" s="84">
        <f t="shared" si="44"/>
        <v>20.040243770277868</v>
      </c>
      <c r="Y172" s="175"/>
    </row>
    <row r="173" spans="1:25" x14ac:dyDescent="0.25">
      <c r="A173" s="126">
        <f t="shared" si="40"/>
        <v>1</v>
      </c>
      <c r="B173" s="29"/>
      <c r="C173" s="30" t="str">
        <f t="shared" si="43"/>
        <v>Sunward SWDRT270B</v>
      </c>
      <c r="D173" s="9" t="str">
        <f t="shared" si="46"/>
        <v>п. м /час</v>
      </c>
      <c r="E173" s="243">
        <f>SUMIFS('W час'!$E$50:$AF$50,'W час'!$E$4:$AF$4,$C173)</f>
        <v>20.040243770277868</v>
      </c>
      <c r="F173" s="84">
        <f t="shared" si="45"/>
        <v>20.040243770277868</v>
      </c>
      <c r="G173" s="84">
        <f t="shared" si="44"/>
        <v>20.040243770277868</v>
      </c>
      <c r="H173" s="84">
        <f t="shared" si="44"/>
        <v>20.040243770277868</v>
      </c>
      <c r="I173" s="84">
        <f t="shared" si="44"/>
        <v>20.040243770277868</v>
      </c>
      <c r="J173" s="84">
        <f t="shared" si="44"/>
        <v>20.040243770277868</v>
      </c>
      <c r="K173" s="84">
        <f t="shared" si="44"/>
        <v>20.040243770277868</v>
      </c>
      <c r="L173" s="84">
        <f t="shared" si="44"/>
        <v>20.040243770277868</v>
      </c>
      <c r="M173" s="84">
        <f t="shared" si="44"/>
        <v>20.040243770277868</v>
      </c>
      <c r="N173" s="84">
        <f t="shared" si="44"/>
        <v>20.040243770277868</v>
      </c>
      <c r="O173" s="84">
        <f t="shared" si="44"/>
        <v>20.040243770277868</v>
      </c>
      <c r="P173" s="84">
        <f t="shared" si="44"/>
        <v>20.040243770277868</v>
      </c>
      <c r="Q173" s="84">
        <f t="shared" si="44"/>
        <v>20.040243770277868</v>
      </c>
      <c r="R173" s="84">
        <f t="shared" si="44"/>
        <v>20.040243770277868</v>
      </c>
      <c r="S173" s="84">
        <f t="shared" si="44"/>
        <v>20.040243770277868</v>
      </c>
      <c r="T173" s="84">
        <f t="shared" si="44"/>
        <v>20.040243770277868</v>
      </c>
      <c r="U173" s="84">
        <f t="shared" si="44"/>
        <v>20.040243770277868</v>
      </c>
      <c r="V173" s="84">
        <f t="shared" si="44"/>
        <v>20.040243770277868</v>
      </c>
      <c r="W173" s="84">
        <f t="shared" si="44"/>
        <v>20.040243770277868</v>
      </c>
      <c r="X173" s="84">
        <f t="shared" si="44"/>
        <v>20.040243770277868</v>
      </c>
      <c r="Y173" s="175"/>
    </row>
    <row r="174" spans="1:25" x14ac:dyDescent="0.25">
      <c r="A174" s="126">
        <f t="shared" si="40"/>
        <v>1</v>
      </c>
      <c r="B174" s="29"/>
      <c r="C174" s="30" t="str">
        <f t="shared" si="43"/>
        <v>HIFO 75D</v>
      </c>
      <c r="D174" s="9" t="str">
        <f t="shared" si="46"/>
        <v>п. м /час</v>
      </c>
      <c r="E174" s="243">
        <f>SUMIFS('W час'!$E$50:$AF$50,'W час'!$E$4:$AF$4,$C174)</f>
        <v>16.310775889354147</v>
      </c>
      <c r="F174" s="84">
        <f t="shared" si="45"/>
        <v>16.310775889354147</v>
      </c>
      <c r="G174" s="84">
        <f t="shared" si="44"/>
        <v>16.310775889354147</v>
      </c>
      <c r="H174" s="84">
        <f t="shared" si="44"/>
        <v>16.310775889354147</v>
      </c>
      <c r="I174" s="84">
        <f t="shared" si="44"/>
        <v>16.310775889354147</v>
      </c>
      <c r="J174" s="84">
        <f t="shared" si="44"/>
        <v>16.310775889354147</v>
      </c>
      <c r="K174" s="84">
        <f t="shared" si="44"/>
        <v>16.310775889354147</v>
      </c>
      <c r="L174" s="84">
        <f t="shared" si="44"/>
        <v>16.310775889354147</v>
      </c>
      <c r="M174" s="84">
        <f t="shared" si="44"/>
        <v>16.310775889354147</v>
      </c>
      <c r="N174" s="84">
        <f t="shared" si="44"/>
        <v>16.310775889354147</v>
      </c>
      <c r="O174" s="84">
        <f t="shared" si="44"/>
        <v>16.310775889354147</v>
      </c>
      <c r="P174" s="84">
        <f t="shared" si="44"/>
        <v>16.310775889354147</v>
      </c>
      <c r="Q174" s="84">
        <f t="shared" si="44"/>
        <v>16.310775889354147</v>
      </c>
      <c r="R174" s="84">
        <f t="shared" si="44"/>
        <v>16.310775889354147</v>
      </c>
      <c r="S174" s="84">
        <f t="shared" si="44"/>
        <v>16.310775889354147</v>
      </c>
      <c r="T174" s="84">
        <f t="shared" si="44"/>
        <v>16.310775889354147</v>
      </c>
      <c r="U174" s="84">
        <f t="shared" si="44"/>
        <v>16.310775889354147</v>
      </c>
      <c r="V174" s="84">
        <f t="shared" si="44"/>
        <v>16.310775889354147</v>
      </c>
      <c r="W174" s="84">
        <f t="shared" si="44"/>
        <v>16.310775889354147</v>
      </c>
      <c r="X174" s="84">
        <f t="shared" si="44"/>
        <v>16.310775889354147</v>
      </c>
      <c r="Y174" s="175"/>
    </row>
    <row r="175" spans="1:25" x14ac:dyDescent="0.25">
      <c r="A175" s="126">
        <f t="shared" si="40"/>
        <v>0</v>
      </c>
      <c r="B175" s="29"/>
      <c r="C175" s="30" t="str">
        <f t="shared" si="43"/>
        <v>ZEGA R8100L (1)</v>
      </c>
      <c r="D175" s="9" t="str">
        <f t="shared" si="46"/>
        <v>п. м /час</v>
      </c>
      <c r="E175" s="243">
        <f>SUMIFS('W час'!$E$50:$AF$50,'W час'!$E$4:$AF$4,$C175)</f>
        <v>0</v>
      </c>
      <c r="F175" s="84">
        <f t="shared" si="45"/>
        <v>0</v>
      </c>
      <c r="G175" s="84">
        <f t="shared" si="44"/>
        <v>0</v>
      </c>
      <c r="H175" s="84">
        <f t="shared" si="44"/>
        <v>0</v>
      </c>
      <c r="I175" s="84">
        <f t="shared" si="44"/>
        <v>0</v>
      </c>
      <c r="J175" s="84">
        <f t="shared" si="44"/>
        <v>0</v>
      </c>
      <c r="K175" s="84">
        <f t="shared" si="44"/>
        <v>0</v>
      </c>
      <c r="L175" s="84">
        <f t="shared" si="44"/>
        <v>0</v>
      </c>
      <c r="M175" s="84">
        <f t="shared" si="44"/>
        <v>0</v>
      </c>
      <c r="N175" s="84">
        <f t="shared" si="44"/>
        <v>0</v>
      </c>
      <c r="O175" s="84">
        <f t="shared" si="44"/>
        <v>0</v>
      </c>
      <c r="P175" s="84">
        <f t="shared" si="44"/>
        <v>0</v>
      </c>
      <c r="Q175" s="84">
        <f t="shared" si="44"/>
        <v>0</v>
      </c>
      <c r="R175" s="84">
        <f t="shared" si="44"/>
        <v>0</v>
      </c>
      <c r="S175" s="84">
        <f t="shared" si="44"/>
        <v>0</v>
      </c>
      <c r="T175" s="84">
        <f t="shared" si="44"/>
        <v>0</v>
      </c>
      <c r="U175" s="84">
        <f t="shared" si="44"/>
        <v>0</v>
      </c>
      <c r="V175" s="84">
        <f t="shared" si="44"/>
        <v>0</v>
      </c>
      <c r="W175" s="84">
        <f t="shared" si="44"/>
        <v>0</v>
      </c>
      <c r="X175" s="84">
        <f t="shared" si="44"/>
        <v>0</v>
      </c>
      <c r="Y175" s="175"/>
    </row>
    <row r="176" spans="1:25" x14ac:dyDescent="0.25">
      <c r="A176" s="126">
        <f t="shared" si="40"/>
        <v>0</v>
      </c>
      <c r="B176" s="29"/>
      <c r="C176" s="30" t="str">
        <f t="shared" si="43"/>
        <v>YANGZI  DM75</v>
      </c>
      <c r="D176" s="9" t="str">
        <f t="shared" si="46"/>
        <v>п. м /час</v>
      </c>
      <c r="E176" s="243">
        <f>SUMIFS('W час'!$E$50:$AF$50,'W час'!$E$4:$AF$4,$C176)</f>
        <v>0</v>
      </c>
      <c r="F176" s="84">
        <f t="shared" si="45"/>
        <v>0</v>
      </c>
      <c r="G176" s="84">
        <f t="shared" si="44"/>
        <v>0</v>
      </c>
      <c r="H176" s="84">
        <f t="shared" si="44"/>
        <v>0</v>
      </c>
      <c r="I176" s="84">
        <f t="shared" si="44"/>
        <v>0</v>
      </c>
      <c r="J176" s="84">
        <f t="shared" si="44"/>
        <v>0</v>
      </c>
      <c r="K176" s="84">
        <f t="shared" si="44"/>
        <v>0</v>
      </c>
      <c r="L176" s="84">
        <f t="shared" si="44"/>
        <v>0</v>
      </c>
      <c r="M176" s="84">
        <f t="shared" si="44"/>
        <v>0</v>
      </c>
      <c r="N176" s="84">
        <f t="shared" si="44"/>
        <v>0</v>
      </c>
      <c r="O176" s="84">
        <f t="shared" si="44"/>
        <v>0</v>
      </c>
      <c r="P176" s="84">
        <f t="shared" si="44"/>
        <v>0</v>
      </c>
      <c r="Q176" s="84">
        <f t="shared" si="44"/>
        <v>0</v>
      </c>
      <c r="R176" s="84">
        <f t="shared" si="44"/>
        <v>0</v>
      </c>
      <c r="S176" s="84">
        <f t="shared" si="44"/>
        <v>0</v>
      </c>
      <c r="T176" s="84">
        <f t="shared" si="44"/>
        <v>0</v>
      </c>
      <c r="U176" s="84">
        <f t="shared" si="44"/>
        <v>0</v>
      </c>
      <c r="V176" s="84">
        <f t="shared" si="44"/>
        <v>0</v>
      </c>
      <c r="W176" s="84">
        <f t="shared" si="44"/>
        <v>0</v>
      </c>
      <c r="X176" s="84">
        <f t="shared" si="44"/>
        <v>0</v>
      </c>
      <c r="Y176" s="175"/>
    </row>
    <row r="177" spans="1:25" x14ac:dyDescent="0.25">
      <c r="A177" s="126">
        <f t="shared" si="40"/>
        <v>0</v>
      </c>
      <c r="B177" s="29"/>
      <c r="C177" s="30" t="str">
        <f t="shared" si="43"/>
        <v>*</v>
      </c>
      <c r="D177" s="9" t="str">
        <f t="shared" si="46"/>
        <v>п. м /час</v>
      </c>
      <c r="E177" s="928"/>
      <c r="F177" s="84">
        <f t="shared" si="45"/>
        <v>0</v>
      </c>
      <c r="G177" s="84">
        <f t="shared" si="44"/>
        <v>0</v>
      </c>
      <c r="H177" s="84">
        <f t="shared" si="44"/>
        <v>0</v>
      </c>
      <c r="I177" s="84">
        <f t="shared" si="44"/>
        <v>0</v>
      </c>
      <c r="J177" s="84">
        <f t="shared" si="44"/>
        <v>0</v>
      </c>
      <c r="K177" s="84">
        <f t="shared" si="44"/>
        <v>0</v>
      </c>
      <c r="L177" s="84">
        <f t="shared" si="44"/>
        <v>0</v>
      </c>
      <c r="M177" s="84">
        <f t="shared" si="44"/>
        <v>0</v>
      </c>
      <c r="N177" s="84">
        <f t="shared" si="44"/>
        <v>0</v>
      </c>
      <c r="O177" s="84">
        <f t="shared" si="44"/>
        <v>0</v>
      </c>
      <c r="P177" s="84">
        <f t="shared" si="44"/>
        <v>0</v>
      </c>
      <c r="Q177" s="84">
        <f t="shared" si="44"/>
        <v>0</v>
      </c>
      <c r="R177" s="84">
        <f t="shared" si="44"/>
        <v>0</v>
      </c>
      <c r="S177" s="84">
        <f t="shared" si="44"/>
        <v>0</v>
      </c>
      <c r="T177" s="84">
        <f t="shared" si="44"/>
        <v>0</v>
      </c>
      <c r="U177" s="84">
        <f t="shared" si="44"/>
        <v>0</v>
      </c>
      <c r="V177" s="84">
        <f t="shared" si="44"/>
        <v>0</v>
      </c>
      <c r="W177" s="84">
        <f t="shared" si="44"/>
        <v>0</v>
      </c>
      <c r="X177" s="84">
        <f t="shared" si="44"/>
        <v>0</v>
      </c>
      <c r="Y177" s="175"/>
    </row>
    <row r="178" spans="1:25" x14ac:dyDescent="0.25">
      <c r="A178" s="126">
        <f t="shared" si="40"/>
        <v>0</v>
      </c>
      <c r="B178" s="29"/>
      <c r="C178" s="30" t="str">
        <f t="shared" si="43"/>
        <v>СБШ-250/270КП</v>
      </c>
      <c r="D178" s="9" t="str">
        <f t="shared" si="46"/>
        <v>п. м /час</v>
      </c>
      <c r="E178" s="243">
        <f>SUMIFS('W час'!$E$50:$AF$50,'W час'!$E$4:$AF$4,$C178)</f>
        <v>14.098448366314232</v>
      </c>
      <c r="F178" s="84">
        <f t="shared" si="45"/>
        <v>14.098448366314232</v>
      </c>
      <c r="G178" s="84">
        <f t="shared" si="44"/>
        <v>14.098448366314232</v>
      </c>
      <c r="H178" s="84">
        <f t="shared" si="44"/>
        <v>14.098448366314232</v>
      </c>
      <c r="I178" s="84">
        <f t="shared" si="44"/>
        <v>14.098448366314232</v>
      </c>
      <c r="J178" s="84">
        <f t="shared" si="44"/>
        <v>14.098448366314232</v>
      </c>
      <c r="K178" s="84">
        <f t="shared" si="44"/>
        <v>14.098448366314232</v>
      </c>
      <c r="L178" s="84">
        <f t="shared" si="44"/>
        <v>14.098448366314232</v>
      </c>
      <c r="M178" s="84">
        <f t="shared" si="44"/>
        <v>14.098448366314232</v>
      </c>
      <c r="N178" s="84">
        <f t="shared" si="44"/>
        <v>14.098448366314232</v>
      </c>
      <c r="O178" s="84">
        <f t="shared" si="44"/>
        <v>14.098448366314232</v>
      </c>
      <c r="P178" s="84">
        <f t="shared" si="44"/>
        <v>14.098448366314232</v>
      </c>
      <c r="Q178" s="84">
        <f t="shared" si="44"/>
        <v>14.098448366314232</v>
      </c>
      <c r="R178" s="84">
        <f t="shared" si="44"/>
        <v>14.098448366314232</v>
      </c>
      <c r="S178" s="84">
        <f t="shared" si="44"/>
        <v>14.098448366314232</v>
      </c>
      <c r="T178" s="84">
        <f t="shared" si="44"/>
        <v>14.098448366314232</v>
      </c>
      <c r="U178" s="84">
        <f t="shared" si="44"/>
        <v>14.098448366314232</v>
      </c>
      <c r="V178" s="84">
        <f t="shared" si="44"/>
        <v>14.098448366314232</v>
      </c>
      <c r="W178" s="84">
        <f t="shared" si="44"/>
        <v>14.098448366314232</v>
      </c>
      <c r="X178" s="84">
        <f t="shared" si="44"/>
        <v>14.098448366314232</v>
      </c>
      <c r="Y178" s="175"/>
    </row>
    <row r="179" spans="1:25" x14ac:dyDescent="0.25">
      <c r="A179" s="126">
        <f t="shared" si="40"/>
        <v>0</v>
      </c>
      <c r="B179" s="29"/>
      <c r="C179" s="30" t="str">
        <f t="shared" si="43"/>
        <v>Sunward SWDRT270E (1)</v>
      </c>
      <c r="D179" s="9" t="str">
        <f t="shared" si="46"/>
        <v>п. м /час</v>
      </c>
      <c r="E179" s="243">
        <f>SUMIFS('W час'!$E$50:$AF$50,'W час'!$E$4:$AF$4,$C179)</f>
        <v>19.835269537831099</v>
      </c>
      <c r="F179" s="84">
        <f t="shared" si="45"/>
        <v>19.835269537831099</v>
      </c>
      <c r="G179" s="84">
        <f t="shared" si="44"/>
        <v>19.835269537831099</v>
      </c>
      <c r="H179" s="84">
        <f t="shared" si="44"/>
        <v>19.835269537831099</v>
      </c>
      <c r="I179" s="84">
        <f t="shared" si="44"/>
        <v>19.835269537831099</v>
      </c>
      <c r="J179" s="84">
        <f t="shared" si="44"/>
        <v>19.835269537831099</v>
      </c>
      <c r="K179" s="84">
        <f t="shared" si="44"/>
        <v>19.835269537831099</v>
      </c>
      <c r="L179" s="84">
        <f t="shared" si="44"/>
        <v>19.835269537831099</v>
      </c>
      <c r="M179" s="84">
        <f t="shared" si="44"/>
        <v>19.835269537831099</v>
      </c>
      <c r="N179" s="84">
        <f t="shared" si="44"/>
        <v>19.835269537831099</v>
      </c>
      <c r="O179" s="84">
        <f t="shared" si="44"/>
        <v>19.835269537831099</v>
      </c>
      <c r="P179" s="84">
        <f t="shared" si="44"/>
        <v>19.835269537831099</v>
      </c>
      <c r="Q179" s="84">
        <f t="shared" si="44"/>
        <v>19.835269537831099</v>
      </c>
      <c r="R179" s="84">
        <f t="shared" si="44"/>
        <v>19.835269537831099</v>
      </c>
      <c r="S179" s="84">
        <f t="shared" si="44"/>
        <v>19.835269537831099</v>
      </c>
      <c r="T179" s="84">
        <f t="shared" si="44"/>
        <v>19.835269537831099</v>
      </c>
      <c r="U179" s="84">
        <f t="shared" si="44"/>
        <v>19.835269537831099</v>
      </c>
      <c r="V179" s="84">
        <f t="shared" si="44"/>
        <v>19.835269537831099</v>
      </c>
      <c r="W179" s="84">
        <f t="shared" si="44"/>
        <v>19.835269537831099</v>
      </c>
      <c r="X179" s="84">
        <f t="shared" si="44"/>
        <v>19.835269537831099</v>
      </c>
      <c r="Y179" s="175"/>
    </row>
    <row r="180" spans="1:25" x14ac:dyDescent="0.25">
      <c r="A180" s="126">
        <f t="shared" si="40"/>
        <v>0</v>
      </c>
      <c r="B180" s="29"/>
      <c r="C180" s="30" t="str">
        <f t="shared" si="43"/>
        <v>Sunward SWDRT270E (2)</v>
      </c>
      <c r="D180" s="9" t="str">
        <f t="shared" si="46"/>
        <v>п. м /час</v>
      </c>
      <c r="E180" s="243">
        <f>SUMIFS('W час'!$E$50:$AF$50,'W час'!$E$4:$AF$4,$C180)</f>
        <v>0</v>
      </c>
      <c r="F180" s="84">
        <f t="shared" si="45"/>
        <v>0</v>
      </c>
      <c r="G180" s="84">
        <f t="shared" si="44"/>
        <v>0</v>
      </c>
      <c r="H180" s="84">
        <f t="shared" si="44"/>
        <v>0</v>
      </c>
      <c r="I180" s="84">
        <f t="shared" si="44"/>
        <v>0</v>
      </c>
      <c r="J180" s="84">
        <f t="shared" si="44"/>
        <v>0</v>
      </c>
      <c r="K180" s="84">
        <f t="shared" si="44"/>
        <v>0</v>
      </c>
      <c r="L180" s="84">
        <f t="shared" si="44"/>
        <v>0</v>
      </c>
      <c r="M180" s="84">
        <f t="shared" si="44"/>
        <v>0</v>
      </c>
      <c r="N180" s="84">
        <f t="shared" si="44"/>
        <v>0</v>
      </c>
      <c r="O180" s="84">
        <f t="shared" si="44"/>
        <v>0</v>
      </c>
      <c r="P180" s="84">
        <f t="shared" si="44"/>
        <v>0</v>
      </c>
      <c r="Q180" s="84">
        <f t="shared" si="44"/>
        <v>0</v>
      </c>
      <c r="R180" s="84">
        <f t="shared" si="44"/>
        <v>0</v>
      </c>
      <c r="S180" s="84">
        <f t="shared" si="44"/>
        <v>0</v>
      </c>
      <c r="T180" s="84">
        <f t="shared" si="44"/>
        <v>0</v>
      </c>
      <c r="U180" s="84">
        <f t="shared" si="44"/>
        <v>0</v>
      </c>
      <c r="V180" s="84">
        <f t="shared" si="44"/>
        <v>0</v>
      </c>
      <c r="W180" s="84">
        <f t="shared" si="44"/>
        <v>0</v>
      </c>
      <c r="X180" s="84">
        <f t="shared" si="44"/>
        <v>0</v>
      </c>
      <c r="Y180" s="175"/>
    </row>
    <row r="181" spans="1:25" x14ac:dyDescent="0.25">
      <c r="A181" s="126">
        <f t="shared" si="40"/>
        <v>0</v>
      </c>
      <c r="B181" s="29"/>
      <c r="C181" s="30" t="str">
        <f t="shared" si="43"/>
        <v>HIFO 75Е</v>
      </c>
      <c r="D181" s="9" t="str">
        <f t="shared" si="46"/>
        <v>п. м /час</v>
      </c>
      <c r="E181" s="243">
        <f>SUMIFS('W час'!$E$50:$AF$50,'W час'!$E$4:$AF$4,$C181)</f>
        <v>0</v>
      </c>
      <c r="F181" s="84">
        <f t="shared" si="45"/>
        <v>0</v>
      </c>
      <c r="G181" s="84">
        <f t="shared" si="44"/>
        <v>0</v>
      </c>
      <c r="H181" s="84">
        <f t="shared" si="44"/>
        <v>0</v>
      </c>
      <c r="I181" s="84">
        <f t="shared" si="44"/>
        <v>0</v>
      </c>
      <c r="J181" s="84">
        <f t="shared" si="44"/>
        <v>0</v>
      </c>
      <c r="K181" s="84">
        <f t="shared" si="44"/>
        <v>0</v>
      </c>
      <c r="L181" s="84">
        <f t="shared" si="44"/>
        <v>0</v>
      </c>
      <c r="M181" s="84">
        <f t="shared" si="44"/>
        <v>0</v>
      </c>
      <c r="N181" s="84">
        <f t="shared" si="44"/>
        <v>0</v>
      </c>
      <c r="O181" s="84">
        <f t="shared" si="44"/>
        <v>0</v>
      </c>
      <c r="P181" s="84">
        <f t="shared" si="44"/>
        <v>0</v>
      </c>
      <c r="Q181" s="84">
        <f t="shared" si="44"/>
        <v>0</v>
      </c>
      <c r="R181" s="84">
        <f t="shared" si="44"/>
        <v>0</v>
      </c>
      <c r="S181" s="84">
        <f t="shared" si="44"/>
        <v>0</v>
      </c>
      <c r="T181" s="84">
        <f t="shared" si="44"/>
        <v>0</v>
      </c>
      <c r="U181" s="84">
        <f t="shared" si="44"/>
        <v>0</v>
      </c>
      <c r="V181" s="84">
        <f t="shared" si="44"/>
        <v>0</v>
      </c>
      <c r="W181" s="84">
        <f t="shared" si="44"/>
        <v>0</v>
      </c>
      <c r="X181" s="84">
        <f t="shared" si="44"/>
        <v>0</v>
      </c>
      <c r="Y181" s="175"/>
    </row>
    <row r="182" spans="1:25" x14ac:dyDescent="0.25">
      <c r="A182" s="126">
        <f t="shared" si="40"/>
        <v>0</v>
      </c>
      <c r="B182" s="29"/>
      <c r="C182" s="30" t="str">
        <f t="shared" si="43"/>
        <v>НИВА 22.01.00.00.00.00.00.000 (1)</v>
      </c>
      <c r="D182" s="9" t="str">
        <f t="shared" si="46"/>
        <v>п. м /час</v>
      </c>
      <c r="E182" s="243">
        <f>SUMIFS('W час'!$E$50:$AF$50,'W час'!$E$4:$AF$4,$C182)</f>
        <v>0</v>
      </c>
      <c r="F182" s="84">
        <f t="shared" si="45"/>
        <v>0</v>
      </c>
      <c r="G182" s="84">
        <f t="shared" si="44"/>
        <v>0</v>
      </c>
      <c r="H182" s="84">
        <f t="shared" si="44"/>
        <v>0</v>
      </c>
      <c r="I182" s="84">
        <f t="shared" si="44"/>
        <v>0</v>
      </c>
      <c r="J182" s="84">
        <f t="shared" si="44"/>
        <v>0</v>
      </c>
      <c r="K182" s="84">
        <f t="shared" si="44"/>
        <v>0</v>
      </c>
      <c r="L182" s="84">
        <f t="shared" si="44"/>
        <v>0</v>
      </c>
      <c r="M182" s="84">
        <f t="shared" si="44"/>
        <v>0</v>
      </c>
      <c r="N182" s="84">
        <f t="shared" si="44"/>
        <v>0</v>
      </c>
      <c r="O182" s="84">
        <f t="shared" si="44"/>
        <v>0</v>
      </c>
      <c r="P182" s="84">
        <f t="shared" si="44"/>
        <v>0</v>
      </c>
      <c r="Q182" s="84">
        <f t="shared" si="44"/>
        <v>0</v>
      </c>
      <c r="R182" s="84">
        <f t="shared" si="44"/>
        <v>0</v>
      </c>
      <c r="S182" s="84">
        <f t="shared" si="44"/>
        <v>0</v>
      </c>
      <c r="T182" s="84">
        <f t="shared" si="44"/>
        <v>0</v>
      </c>
      <c r="U182" s="84">
        <f t="shared" si="44"/>
        <v>0</v>
      </c>
      <c r="V182" s="84">
        <f t="shared" si="44"/>
        <v>0</v>
      </c>
      <c r="W182" s="84">
        <f t="shared" si="44"/>
        <v>0</v>
      </c>
      <c r="X182" s="84">
        <f t="shared" si="44"/>
        <v>0</v>
      </c>
      <c r="Y182" s="175"/>
    </row>
    <row r="183" spans="1:25" x14ac:dyDescent="0.25">
      <c r="A183" s="126">
        <f t="shared" si="40"/>
        <v>0</v>
      </c>
      <c r="B183" s="29"/>
      <c r="C183" s="30" t="str">
        <f t="shared" si="43"/>
        <v>НИВА 22.01.00.00.00.00.00.000 (2)</v>
      </c>
      <c r="D183" s="9" t="str">
        <f t="shared" si="46"/>
        <v>п. м /час</v>
      </c>
      <c r="E183" s="243">
        <f>SUMIFS('W час'!$E$50:$AF$50,'W час'!$E$4:$AF$4,$C183)</f>
        <v>0</v>
      </c>
      <c r="F183" s="84">
        <f t="shared" si="45"/>
        <v>0</v>
      </c>
      <c r="G183" s="84">
        <f t="shared" si="44"/>
        <v>0</v>
      </c>
      <c r="H183" s="84">
        <f t="shared" si="44"/>
        <v>0</v>
      </c>
      <c r="I183" s="84">
        <f t="shared" si="44"/>
        <v>0</v>
      </c>
      <c r="J183" s="84">
        <f t="shared" si="44"/>
        <v>0</v>
      </c>
      <c r="K183" s="84">
        <f t="shared" si="44"/>
        <v>0</v>
      </c>
      <c r="L183" s="84">
        <f t="shared" si="44"/>
        <v>0</v>
      </c>
      <c r="M183" s="84">
        <f t="shared" si="44"/>
        <v>0</v>
      </c>
      <c r="N183" s="84">
        <f t="shared" si="44"/>
        <v>0</v>
      </c>
      <c r="O183" s="84">
        <f t="shared" si="44"/>
        <v>0</v>
      </c>
      <c r="P183" s="84">
        <f t="shared" si="44"/>
        <v>0</v>
      </c>
      <c r="Q183" s="84">
        <f t="shared" si="44"/>
        <v>0</v>
      </c>
      <c r="R183" s="84">
        <f t="shared" si="44"/>
        <v>0</v>
      </c>
      <c r="S183" s="84">
        <f t="shared" si="44"/>
        <v>0</v>
      </c>
      <c r="T183" s="84">
        <f t="shared" si="44"/>
        <v>0</v>
      </c>
      <c r="U183" s="84">
        <f t="shared" si="44"/>
        <v>0</v>
      </c>
      <c r="V183" s="84">
        <f t="shared" si="44"/>
        <v>0</v>
      </c>
      <c r="W183" s="84">
        <f t="shared" si="44"/>
        <v>0</v>
      </c>
      <c r="X183" s="84">
        <f t="shared" si="44"/>
        <v>0</v>
      </c>
      <c r="Y183" s="175"/>
    </row>
    <row r="184" spans="1:25" x14ac:dyDescent="0.25">
      <c r="A184" s="126">
        <f t="shared" si="40"/>
        <v>0</v>
      </c>
      <c r="B184" s="29"/>
      <c r="C184" s="30" t="str">
        <f t="shared" si="43"/>
        <v>**</v>
      </c>
      <c r="D184" s="9" t="str">
        <f t="shared" si="46"/>
        <v>п. м /час</v>
      </c>
      <c r="E184" s="928"/>
      <c r="F184" s="84">
        <f t="shared" si="45"/>
        <v>0</v>
      </c>
      <c r="G184" s="84">
        <f t="shared" si="44"/>
        <v>0</v>
      </c>
      <c r="H184" s="84">
        <f t="shared" si="44"/>
        <v>0</v>
      </c>
      <c r="I184" s="84">
        <f t="shared" si="44"/>
        <v>0</v>
      </c>
      <c r="J184" s="84">
        <f t="shared" si="44"/>
        <v>0</v>
      </c>
      <c r="K184" s="84">
        <f t="shared" si="44"/>
        <v>0</v>
      </c>
      <c r="L184" s="84">
        <f t="shared" si="44"/>
        <v>0</v>
      </c>
      <c r="M184" s="84">
        <f t="shared" si="44"/>
        <v>0</v>
      </c>
      <c r="N184" s="84">
        <f t="shared" si="44"/>
        <v>0</v>
      </c>
      <c r="O184" s="84">
        <f t="shared" si="44"/>
        <v>0</v>
      </c>
      <c r="P184" s="84">
        <f t="shared" si="44"/>
        <v>0</v>
      </c>
      <c r="Q184" s="84">
        <f t="shared" si="44"/>
        <v>0</v>
      </c>
      <c r="R184" s="84">
        <f t="shared" si="44"/>
        <v>0</v>
      </c>
      <c r="S184" s="84">
        <f t="shared" si="44"/>
        <v>0</v>
      </c>
      <c r="T184" s="84">
        <f t="shared" si="44"/>
        <v>0</v>
      </c>
      <c r="U184" s="84">
        <f t="shared" si="44"/>
        <v>0</v>
      </c>
      <c r="V184" s="84">
        <f t="shared" si="44"/>
        <v>0</v>
      </c>
      <c r="W184" s="84">
        <f t="shared" si="44"/>
        <v>0</v>
      </c>
      <c r="X184" s="84">
        <f t="shared" si="44"/>
        <v>0</v>
      </c>
      <c r="Y184" s="175"/>
    </row>
    <row r="185" spans="1:25" x14ac:dyDescent="0.25">
      <c r="A185" s="126">
        <f t="shared" si="40"/>
        <v>1</v>
      </c>
      <c r="B185" s="29"/>
      <c r="C185" s="30" t="str">
        <f t="shared" si="43"/>
        <v>БС-215</v>
      </c>
      <c r="D185" s="9" t="str">
        <f t="shared" si="46"/>
        <v>п. м /час</v>
      </c>
      <c r="E185" s="243">
        <f>SUMIFS('W час'!$E$50:$AF$50,'W час'!$E$4:$AF$4,$C185)</f>
        <v>20.204182156797504</v>
      </c>
      <c r="F185" s="84">
        <f t="shared" si="45"/>
        <v>20.204182156797504</v>
      </c>
      <c r="G185" s="84">
        <f t="shared" ref="G185:X195" si="47">F185</f>
        <v>20.204182156797504</v>
      </c>
      <c r="H185" s="84">
        <f t="shared" si="47"/>
        <v>20.204182156797504</v>
      </c>
      <c r="I185" s="84">
        <f t="shared" si="47"/>
        <v>20.204182156797504</v>
      </c>
      <c r="J185" s="84">
        <f t="shared" si="47"/>
        <v>20.204182156797504</v>
      </c>
      <c r="K185" s="84">
        <f t="shared" si="47"/>
        <v>20.204182156797504</v>
      </c>
      <c r="L185" s="84">
        <f t="shared" si="47"/>
        <v>20.204182156797504</v>
      </c>
      <c r="M185" s="84">
        <f t="shared" si="47"/>
        <v>20.204182156797504</v>
      </c>
      <c r="N185" s="84">
        <f t="shared" si="47"/>
        <v>20.204182156797504</v>
      </c>
      <c r="O185" s="84">
        <f t="shared" si="47"/>
        <v>20.204182156797504</v>
      </c>
      <c r="P185" s="84">
        <f t="shared" si="47"/>
        <v>20.204182156797504</v>
      </c>
      <c r="Q185" s="84">
        <f t="shared" si="47"/>
        <v>20.204182156797504</v>
      </c>
      <c r="R185" s="84">
        <f t="shared" si="47"/>
        <v>20.204182156797504</v>
      </c>
      <c r="S185" s="84">
        <f t="shared" si="47"/>
        <v>20.204182156797504</v>
      </c>
      <c r="T185" s="84">
        <f t="shared" si="47"/>
        <v>20.204182156797504</v>
      </c>
      <c r="U185" s="84">
        <f t="shared" si="47"/>
        <v>20.204182156797504</v>
      </c>
      <c r="V185" s="84">
        <f t="shared" si="47"/>
        <v>20.204182156797504</v>
      </c>
      <c r="W185" s="84">
        <f t="shared" si="47"/>
        <v>20.204182156797504</v>
      </c>
      <c r="X185" s="84">
        <f t="shared" si="47"/>
        <v>20.204182156797504</v>
      </c>
      <c r="Y185" s="175"/>
    </row>
    <row r="186" spans="1:25" x14ac:dyDescent="0.25">
      <c r="A186" s="126">
        <f t="shared" si="40"/>
        <v>0</v>
      </c>
      <c r="B186" s="29"/>
      <c r="C186" s="30" t="str">
        <f t="shared" si="43"/>
        <v>Sunward SWDRT200SM</v>
      </c>
      <c r="D186" s="9" t="str">
        <f t="shared" si="46"/>
        <v>п. м /час</v>
      </c>
      <c r="E186" s="243">
        <f>SUMIFS('W час'!$E$50:$AF$50,'W час'!$E$4:$AF$4,$C186)</f>
        <v>0</v>
      </c>
      <c r="F186" s="84">
        <f t="shared" si="45"/>
        <v>0</v>
      </c>
      <c r="G186" s="84">
        <f t="shared" si="47"/>
        <v>0</v>
      </c>
      <c r="H186" s="84">
        <f t="shared" si="47"/>
        <v>0</v>
      </c>
      <c r="I186" s="84">
        <f t="shared" si="47"/>
        <v>0</v>
      </c>
      <c r="J186" s="84">
        <f t="shared" si="47"/>
        <v>0</v>
      </c>
      <c r="K186" s="84">
        <f t="shared" si="47"/>
        <v>0</v>
      </c>
      <c r="L186" s="84">
        <f t="shared" si="47"/>
        <v>0</v>
      </c>
      <c r="M186" s="84">
        <f t="shared" si="47"/>
        <v>0</v>
      </c>
      <c r="N186" s="84">
        <f t="shared" si="47"/>
        <v>0</v>
      </c>
      <c r="O186" s="84">
        <f t="shared" si="47"/>
        <v>0</v>
      </c>
      <c r="P186" s="84">
        <f t="shared" si="47"/>
        <v>0</v>
      </c>
      <c r="Q186" s="84">
        <f t="shared" si="47"/>
        <v>0</v>
      </c>
      <c r="R186" s="84">
        <f t="shared" si="47"/>
        <v>0</v>
      </c>
      <c r="S186" s="84">
        <f t="shared" si="47"/>
        <v>0</v>
      </c>
      <c r="T186" s="84">
        <f t="shared" si="47"/>
        <v>0</v>
      </c>
      <c r="U186" s="84">
        <f t="shared" si="47"/>
        <v>0</v>
      </c>
      <c r="V186" s="84">
        <f t="shared" si="47"/>
        <v>0</v>
      </c>
      <c r="W186" s="84">
        <f t="shared" si="47"/>
        <v>0</v>
      </c>
      <c r="X186" s="84">
        <f t="shared" si="47"/>
        <v>0</v>
      </c>
      <c r="Y186" s="175"/>
    </row>
    <row r="187" spans="1:25" x14ac:dyDescent="0.25">
      <c r="A187" s="126">
        <f t="shared" si="40"/>
        <v>0</v>
      </c>
      <c r="B187" s="29"/>
      <c r="C187" s="30" t="str">
        <f t="shared" si="43"/>
        <v>Sunward SWDRT250B</v>
      </c>
      <c r="D187" s="9" t="str">
        <f t="shared" si="46"/>
        <v>п. м /час</v>
      </c>
      <c r="E187" s="243">
        <f>SUMIFS('W час'!$E$50:$AF$50,'W час'!$E$4:$AF$4,$C187)</f>
        <v>0</v>
      </c>
      <c r="F187" s="84">
        <f t="shared" si="45"/>
        <v>0</v>
      </c>
      <c r="G187" s="84">
        <f t="shared" si="47"/>
        <v>0</v>
      </c>
      <c r="H187" s="84">
        <f t="shared" si="47"/>
        <v>0</v>
      </c>
      <c r="I187" s="84">
        <f t="shared" si="47"/>
        <v>0</v>
      </c>
      <c r="J187" s="84">
        <f t="shared" si="47"/>
        <v>0</v>
      </c>
      <c r="K187" s="84">
        <f t="shared" si="47"/>
        <v>0</v>
      </c>
      <c r="L187" s="84">
        <f t="shared" si="47"/>
        <v>0</v>
      </c>
      <c r="M187" s="84">
        <f t="shared" si="47"/>
        <v>0</v>
      </c>
      <c r="N187" s="84">
        <f t="shared" si="47"/>
        <v>0</v>
      </c>
      <c r="O187" s="84">
        <f t="shared" si="47"/>
        <v>0</v>
      </c>
      <c r="P187" s="84">
        <f t="shared" si="47"/>
        <v>0</v>
      </c>
      <c r="Q187" s="84">
        <f t="shared" si="47"/>
        <v>0</v>
      </c>
      <c r="R187" s="84">
        <f t="shared" si="47"/>
        <v>0</v>
      </c>
      <c r="S187" s="84">
        <f t="shared" si="47"/>
        <v>0</v>
      </c>
      <c r="T187" s="84">
        <f t="shared" si="47"/>
        <v>0</v>
      </c>
      <c r="U187" s="84">
        <f t="shared" si="47"/>
        <v>0</v>
      </c>
      <c r="V187" s="84">
        <f t="shared" si="47"/>
        <v>0</v>
      </c>
      <c r="W187" s="84">
        <f t="shared" si="47"/>
        <v>0</v>
      </c>
      <c r="X187" s="84">
        <f t="shared" si="47"/>
        <v>0</v>
      </c>
      <c r="Y187" s="175"/>
    </row>
    <row r="188" spans="1:25" x14ac:dyDescent="0.25">
      <c r="A188" s="126">
        <f t="shared" si="40"/>
        <v>0</v>
      </c>
      <c r="B188" s="29"/>
      <c r="C188" s="30" t="str">
        <f t="shared" si="43"/>
        <v>ZEGA R8100L (2)</v>
      </c>
      <c r="D188" s="9" t="str">
        <f t="shared" si="46"/>
        <v>п. м /час</v>
      </c>
      <c r="E188" s="243">
        <f>SUMIFS('W час'!$E$50:$AF$50,'W час'!$E$4:$AF$4,$C188)</f>
        <v>0</v>
      </c>
      <c r="F188" s="84">
        <f t="shared" si="45"/>
        <v>0</v>
      </c>
      <c r="G188" s="84">
        <f t="shared" si="47"/>
        <v>0</v>
      </c>
      <c r="H188" s="84">
        <f t="shared" si="47"/>
        <v>0</v>
      </c>
      <c r="I188" s="84">
        <f t="shared" si="47"/>
        <v>0</v>
      </c>
      <c r="J188" s="84">
        <f t="shared" si="47"/>
        <v>0</v>
      </c>
      <c r="K188" s="84">
        <f t="shared" si="47"/>
        <v>0</v>
      </c>
      <c r="L188" s="84">
        <f t="shared" si="47"/>
        <v>0</v>
      </c>
      <c r="M188" s="84">
        <f t="shared" si="47"/>
        <v>0</v>
      </c>
      <c r="N188" s="84">
        <f t="shared" si="47"/>
        <v>0</v>
      </c>
      <c r="O188" s="84">
        <f t="shared" si="47"/>
        <v>0</v>
      </c>
      <c r="P188" s="84">
        <f t="shared" si="47"/>
        <v>0</v>
      </c>
      <c r="Q188" s="84">
        <f t="shared" si="47"/>
        <v>0</v>
      </c>
      <c r="R188" s="84">
        <f t="shared" si="47"/>
        <v>0</v>
      </c>
      <c r="S188" s="84">
        <f t="shared" si="47"/>
        <v>0</v>
      </c>
      <c r="T188" s="84">
        <f t="shared" si="47"/>
        <v>0</v>
      </c>
      <c r="U188" s="84">
        <f t="shared" si="47"/>
        <v>0</v>
      </c>
      <c r="V188" s="84">
        <f t="shared" si="47"/>
        <v>0</v>
      </c>
      <c r="W188" s="84">
        <f t="shared" si="47"/>
        <v>0</v>
      </c>
      <c r="X188" s="84">
        <f t="shared" si="47"/>
        <v>0</v>
      </c>
      <c r="Y188" s="175"/>
    </row>
    <row r="189" spans="1:25" x14ac:dyDescent="0.25">
      <c r="A189" s="126">
        <f t="shared" si="40"/>
        <v>0</v>
      </c>
      <c r="B189" s="29"/>
      <c r="C189" s="30" t="str">
        <f t="shared" si="43"/>
        <v>Revathi C650D</v>
      </c>
      <c r="D189" s="9" t="str">
        <f t="shared" si="46"/>
        <v>п. м /час</v>
      </c>
      <c r="E189" s="243">
        <f>SUMIFS('W час'!$E$50:$AF$50,'W час'!$E$4:$AF$4,$C189)</f>
        <v>0</v>
      </c>
      <c r="F189" s="84">
        <f t="shared" si="45"/>
        <v>0</v>
      </c>
      <c r="G189" s="84">
        <f t="shared" si="47"/>
        <v>0</v>
      </c>
      <c r="H189" s="84">
        <f t="shared" si="47"/>
        <v>0</v>
      </c>
      <c r="I189" s="84">
        <f t="shared" si="47"/>
        <v>0</v>
      </c>
      <c r="J189" s="84">
        <f t="shared" si="47"/>
        <v>0</v>
      </c>
      <c r="K189" s="84">
        <f t="shared" si="47"/>
        <v>0</v>
      </c>
      <c r="L189" s="84">
        <f t="shared" si="47"/>
        <v>0</v>
      </c>
      <c r="M189" s="84">
        <f t="shared" si="47"/>
        <v>0</v>
      </c>
      <c r="N189" s="84">
        <f t="shared" si="47"/>
        <v>0</v>
      </c>
      <c r="O189" s="84">
        <f t="shared" si="47"/>
        <v>0</v>
      </c>
      <c r="P189" s="84">
        <f t="shared" si="47"/>
        <v>0</v>
      </c>
      <c r="Q189" s="84">
        <f t="shared" si="47"/>
        <v>0</v>
      </c>
      <c r="R189" s="84">
        <f t="shared" si="47"/>
        <v>0</v>
      </c>
      <c r="S189" s="84">
        <f t="shared" si="47"/>
        <v>0</v>
      </c>
      <c r="T189" s="84">
        <f t="shared" si="47"/>
        <v>0</v>
      </c>
      <c r="U189" s="84">
        <f t="shared" si="47"/>
        <v>0</v>
      </c>
      <c r="V189" s="84">
        <f t="shared" si="47"/>
        <v>0</v>
      </c>
      <c r="W189" s="84">
        <f t="shared" si="47"/>
        <v>0</v>
      </c>
      <c r="X189" s="84">
        <f t="shared" si="47"/>
        <v>0</v>
      </c>
      <c r="Y189" s="175"/>
    </row>
    <row r="190" spans="1:25" x14ac:dyDescent="0.25">
      <c r="A190" s="126">
        <f t="shared" si="40"/>
        <v>0</v>
      </c>
      <c r="B190" s="29"/>
      <c r="C190" s="30" t="str">
        <f t="shared" si="43"/>
        <v>MS1200RB</v>
      </c>
      <c r="D190" s="9" t="str">
        <f t="shared" si="46"/>
        <v>п. м /час</v>
      </c>
      <c r="E190" s="243">
        <f>SUMIFS('W час'!$E$50:$AF$50,'W час'!$E$4:$AF$4,$C190)</f>
        <v>0</v>
      </c>
      <c r="F190" s="84">
        <f t="shared" si="45"/>
        <v>0</v>
      </c>
      <c r="G190" s="84">
        <f t="shared" si="47"/>
        <v>0</v>
      </c>
      <c r="H190" s="84">
        <f t="shared" si="47"/>
        <v>0</v>
      </c>
      <c r="I190" s="84">
        <f t="shared" si="47"/>
        <v>0</v>
      </c>
      <c r="J190" s="84">
        <f t="shared" si="47"/>
        <v>0</v>
      </c>
      <c r="K190" s="84">
        <f t="shared" si="47"/>
        <v>0</v>
      </c>
      <c r="L190" s="84">
        <f t="shared" si="47"/>
        <v>0</v>
      </c>
      <c r="M190" s="84">
        <f t="shared" si="47"/>
        <v>0</v>
      </c>
      <c r="N190" s="84">
        <f t="shared" si="47"/>
        <v>0</v>
      </c>
      <c r="O190" s="84">
        <f t="shared" si="47"/>
        <v>0</v>
      </c>
      <c r="P190" s="84">
        <f t="shared" si="47"/>
        <v>0</v>
      </c>
      <c r="Q190" s="84">
        <f t="shared" si="47"/>
        <v>0</v>
      </c>
      <c r="R190" s="84">
        <f t="shared" si="47"/>
        <v>0</v>
      </c>
      <c r="S190" s="84">
        <f t="shared" si="47"/>
        <v>0</v>
      </c>
      <c r="T190" s="84">
        <f t="shared" si="47"/>
        <v>0</v>
      </c>
      <c r="U190" s="84">
        <f t="shared" si="47"/>
        <v>0</v>
      </c>
      <c r="V190" s="84">
        <f t="shared" si="47"/>
        <v>0</v>
      </c>
      <c r="W190" s="84">
        <f t="shared" si="47"/>
        <v>0</v>
      </c>
      <c r="X190" s="84">
        <f t="shared" si="47"/>
        <v>0</v>
      </c>
      <c r="Y190" s="175"/>
    </row>
    <row r="191" spans="1:25" x14ac:dyDescent="0.25">
      <c r="A191" s="126">
        <f t="shared" si="40"/>
        <v>0</v>
      </c>
      <c r="B191" s="29"/>
      <c r="C191" s="30" t="str">
        <f t="shared" si="43"/>
        <v>СБ-55Д-01</v>
      </c>
      <c r="D191" s="9" t="str">
        <f t="shared" si="46"/>
        <v>п. м /час</v>
      </c>
      <c r="E191" s="243">
        <f>SUMIFS('W час'!$E$50:$AF$50,'W час'!$E$4:$AF$4,$C191)</f>
        <v>22.953284543322201</v>
      </c>
      <c r="F191" s="84">
        <f t="shared" si="45"/>
        <v>22.953284543322201</v>
      </c>
      <c r="G191" s="84">
        <f t="shared" si="47"/>
        <v>22.953284543322201</v>
      </c>
      <c r="H191" s="84">
        <f t="shared" si="47"/>
        <v>22.953284543322201</v>
      </c>
      <c r="I191" s="84">
        <f t="shared" si="47"/>
        <v>22.953284543322201</v>
      </c>
      <c r="J191" s="84">
        <f t="shared" si="47"/>
        <v>22.953284543322201</v>
      </c>
      <c r="K191" s="84">
        <f t="shared" si="47"/>
        <v>22.953284543322201</v>
      </c>
      <c r="L191" s="84">
        <f t="shared" si="47"/>
        <v>22.953284543322201</v>
      </c>
      <c r="M191" s="84">
        <f t="shared" si="47"/>
        <v>22.953284543322201</v>
      </c>
      <c r="N191" s="84">
        <f t="shared" si="47"/>
        <v>22.953284543322201</v>
      </c>
      <c r="O191" s="84">
        <f t="shared" si="47"/>
        <v>22.953284543322201</v>
      </c>
      <c r="P191" s="84">
        <f t="shared" si="47"/>
        <v>22.953284543322201</v>
      </c>
      <c r="Q191" s="84">
        <f t="shared" si="47"/>
        <v>22.953284543322201</v>
      </c>
      <c r="R191" s="84">
        <f t="shared" si="47"/>
        <v>22.953284543322201</v>
      </c>
      <c r="S191" s="84">
        <f t="shared" si="47"/>
        <v>22.953284543322201</v>
      </c>
      <c r="T191" s="84">
        <f t="shared" si="47"/>
        <v>22.953284543322201</v>
      </c>
      <c r="U191" s="84">
        <f t="shared" si="47"/>
        <v>22.953284543322201</v>
      </c>
      <c r="V191" s="84">
        <f t="shared" si="47"/>
        <v>22.953284543322201</v>
      </c>
      <c r="W191" s="84">
        <f t="shared" si="47"/>
        <v>22.953284543322201</v>
      </c>
      <c r="X191" s="84">
        <f t="shared" si="47"/>
        <v>22.953284543322201</v>
      </c>
      <c r="Y191" s="175"/>
    </row>
    <row r="192" spans="1:25" x14ac:dyDescent="0.25">
      <c r="A192" s="126">
        <f t="shared" si="40"/>
        <v>0</v>
      </c>
      <c r="B192" s="29"/>
      <c r="C192" s="30" t="str">
        <f t="shared" si="43"/>
        <v>KAMACH KY-250D</v>
      </c>
      <c r="D192" s="9" t="str">
        <f t="shared" si="46"/>
        <v>п. м /час</v>
      </c>
      <c r="E192" s="243">
        <f>SUMIFS('W час'!$E$50:$AF$50,'W час'!$E$4:$AF$4,$C192)</f>
        <v>0</v>
      </c>
      <c r="F192" s="84">
        <f t="shared" si="45"/>
        <v>0</v>
      </c>
      <c r="G192" s="84">
        <f t="shared" si="47"/>
        <v>0</v>
      </c>
      <c r="H192" s="84">
        <f t="shared" si="47"/>
        <v>0</v>
      </c>
      <c r="I192" s="84">
        <f t="shared" si="47"/>
        <v>0</v>
      </c>
      <c r="J192" s="84">
        <f t="shared" si="47"/>
        <v>0</v>
      </c>
      <c r="K192" s="84">
        <f t="shared" si="47"/>
        <v>0</v>
      </c>
      <c r="L192" s="84">
        <f t="shared" si="47"/>
        <v>0</v>
      </c>
      <c r="M192" s="84">
        <f t="shared" si="47"/>
        <v>0</v>
      </c>
      <c r="N192" s="84">
        <f t="shared" si="47"/>
        <v>0</v>
      </c>
      <c r="O192" s="84">
        <f t="shared" si="47"/>
        <v>0</v>
      </c>
      <c r="P192" s="84">
        <f t="shared" si="47"/>
        <v>0</v>
      </c>
      <c r="Q192" s="84">
        <f t="shared" si="47"/>
        <v>0</v>
      </c>
      <c r="R192" s="84">
        <f t="shared" si="47"/>
        <v>0</v>
      </c>
      <c r="S192" s="84">
        <f t="shared" si="47"/>
        <v>0</v>
      </c>
      <c r="T192" s="84">
        <f t="shared" si="47"/>
        <v>0</v>
      </c>
      <c r="U192" s="84">
        <f t="shared" si="47"/>
        <v>0</v>
      </c>
      <c r="V192" s="84">
        <f t="shared" si="47"/>
        <v>0</v>
      </c>
      <c r="W192" s="84">
        <f t="shared" si="47"/>
        <v>0</v>
      </c>
      <c r="X192" s="84">
        <f t="shared" si="47"/>
        <v>0</v>
      </c>
      <c r="Y192" s="175"/>
    </row>
    <row r="193" spans="1:26" x14ac:dyDescent="0.25">
      <c r="A193" s="126">
        <f t="shared" si="40"/>
        <v>0</v>
      </c>
      <c r="B193" s="29"/>
      <c r="C193" s="30" t="str">
        <f t="shared" si="43"/>
        <v>НИВА 23.01.00.00.00.00.00.000 (1)</v>
      </c>
      <c r="D193" s="9" t="str">
        <f t="shared" si="46"/>
        <v>п. м /час</v>
      </c>
      <c r="E193" s="243">
        <f>SUMIFS('W час'!$E$50:$AF$50,'W час'!$E$4:$AF$4,$C193)</f>
        <v>0</v>
      </c>
      <c r="F193" s="84">
        <f t="shared" si="45"/>
        <v>0</v>
      </c>
      <c r="G193" s="84">
        <f t="shared" si="47"/>
        <v>0</v>
      </c>
      <c r="H193" s="84">
        <f t="shared" si="47"/>
        <v>0</v>
      </c>
      <c r="I193" s="84">
        <f t="shared" si="47"/>
        <v>0</v>
      </c>
      <c r="J193" s="84">
        <f t="shared" si="47"/>
        <v>0</v>
      </c>
      <c r="K193" s="84">
        <f t="shared" si="47"/>
        <v>0</v>
      </c>
      <c r="L193" s="84">
        <f t="shared" si="47"/>
        <v>0</v>
      </c>
      <c r="M193" s="84">
        <f t="shared" si="47"/>
        <v>0</v>
      </c>
      <c r="N193" s="84">
        <f t="shared" si="47"/>
        <v>0</v>
      </c>
      <c r="O193" s="84">
        <f t="shared" si="47"/>
        <v>0</v>
      </c>
      <c r="P193" s="84">
        <f t="shared" si="47"/>
        <v>0</v>
      </c>
      <c r="Q193" s="84">
        <f t="shared" si="47"/>
        <v>0</v>
      </c>
      <c r="R193" s="84">
        <f t="shared" si="47"/>
        <v>0</v>
      </c>
      <c r="S193" s="84">
        <f t="shared" si="47"/>
        <v>0</v>
      </c>
      <c r="T193" s="84">
        <f t="shared" si="47"/>
        <v>0</v>
      </c>
      <c r="U193" s="84">
        <f t="shared" si="47"/>
        <v>0</v>
      </c>
      <c r="V193" s="84">
        <f t="shared" si="47"/>
        <v>0</v>
      </c>
      <c r="W193" s="84">
        <f t="shared" si="47"/>
        <v>0</v>
      </c>
      <c r="X193" s="84">
        <f t="shared" si="47"/>
        <v>0</v>
      </c>
      <c r="Y193" s="175"/>
    </row>
    <row r="194" spans="1:26" x14ac:dyDescent="0.25">
      <c r="A194" s="126">
        <f t="shared" si="40"/>
        <v>0</v>
      </c>
      <c r="B194" s="29"/>
      <c r="C194" s="30" t="str">
        <f t="shared" si="43"/>
        <v>НИВА 23.01.00.00.00.00.00.000 (2)</v>
      </c>
      <c r="D194" s="9" t="str">
        <f t="shared" si="46"/>
        <v>п. м /час</v>
      </c>
      <c r="E194" s="243">
        <f>SUMIFS('W час'!$E$50:$AF$50,'W час'!$E$4:$AF$4,$C194)</f>
        <v>0</v>
      </c>
      <c r="F194" s="84">
        <f t="shared" si="45"/>
        <v>0</v>
      </c>
      <c r="G194" s="84">
        <f t="shared" si="47"/>
        <v>0</v>
      </c>
      <c r="H194" s="84">
        <f t="shared" si="47"/>
        <v>0</v>
      </c>
      <c r="I194" s="84">
        <f t="shared" si="47"/>
        <v>0</v>
      </c>
      <c r="J194" s="84">
        <f t="shared" si="47"/>
        <v>0</v>
      </c>
      <c r="K194" s="84">
        <f t="shared" si="47"/>
        <v>0</v>
      </c>
      <c r="L194" s="84">
        <f t="shared" si="47"/>
        <v>0</v>
      </c>
      <c r="M194" s="84">
        <f t="shared" si="47"/>
        <v>0</v>
      </c>
      <c r="N194" s="84">
        <f t="shared" si="47"/>
        <v>0</v>
      </c>
      <c r="O194" s="84">
        <f t="shared" si="47"/>
        <v>0</v>
      </c>
      <c r="P194" s="84">
        <f t="shared" si="47"/>
        <v>0</v>
      </c>
      <c r="Q194" s="84">
        <f t="shared" si="47"/>
        <v>0</v>
      </c>
      <c r="R194" s="84">
        <f t="shared" si="47"/>
        <v>0</v>
      </c>
      <c r="S194" s="84">
        <f t="shared" si="47"/>
        <v>0</v>
      </c>
      <c r="T194" s="84">
        <f t="shared" si="47"/>
        <v>0</v>
      </c>
      <c r="U194" s="84">
        <f t="shared" si="47"/>
        <v>0</v>
      </c>
      <c r="V194" s="84">
        <f t="shared" si="47"/>
        <v>0</v>
      </c>
      <c r="W194" s="84">
        <f t="shared" si="47"/>
        <v>0</v>
      </c>
      <c r="X194" s="84">
        <f t="shared" si="47"/>
        <v>0</v>
      </c>
      <c r="Y194" s="175"/>
    </row>
    <row r="195" spans="1:26" x14ac:dyDescent="0.25">
      <c r="A195" s="126">
        <f t="shared" si="40"/>
        <v>0</v>
      </c>
      <c r="B195" s="29"/>
      <c r="C195" s="30" t="str">
        <f t="shared" si="43"/>
        <v>***</v>
      </c>
      <c r="D195" s="9" t="str">
        <f t="shared" ref="D195" si="48">D194</f>
        <v>п. м /час</v>
      </c>
      <c r="E195" s="928"/>
      <c r="F195" s="84">
        <f t="shared" si="45"/>
        <v>0</v>
      </c>
      <c r="G195" s="84">
        <f t="shared" si="47"/>
        <v>0</v>
      </c>
      <c r="H195" s="84">
        <f t="shared" si="47"/>
        <v>0</v>
      </c>
      <c r="I195" s="84">
        <f t="shared" si="47"/>
        <v>0</v>
      </c>
      <c r="J195" s="84">
        <f t="shared" si="47"/>
        <v>0</v>
      </c>
      <c r="K195" s="84">
        <f t="shared" si="47"/>
        <v>0</v>
      </c>
      <c r="L195" s="84">
        <f t="shared" si="47"/>
        <v>0</v>
      </c>
      <c r="M195" s="84">
        <f t="shared" si="47"/>
        <v>0</v>
      </c>
      <c r="N195" s="84">
        <f t="shared" si="47"/>
        <v>0</v>
      </c>
      <c r="O195" s="84">
        <f t="shared" si="47"/>
        <v>0</v>
      </c>
      <c r="P195" s="84">
        <f t="shared" si="47"/>
        <v>0</v>
      </c>
      <c r="Q195" s="84">
        <f t="shared" si="47"/>
        <v>0</v>
      </c>
      <c r="R195" s="84">
        <f t="shared" si="47"/>
        <v>0</v>
      </c>
      <c r="S195" s="84">
        <f t="shared" si="47"/>
        <v>0</v>
      </c>
      <c r="T195" s="84">
        <f t="shared" si="47"/>
        <v>0</v>
      </c>
      <c r="U195" s="84">
        <f t="shared" si="47"/>
        <v>0</v>
      </c>
      <c r="V195" s="84">
        <f t="shared" si="47"/>
        <v>0</v>
      </c>
      <c r="W195" s="84">
        <f t="shared" si="47"/>
        <v>0</v>
      </c>
      <c r="X195" s="84">
        <f t="shared" si="47"/>
        <v>0</v>
      </c>
      <c r="Y195" s="175"/>
    </row>
    <row r="196" spans="1:26" ht="27.2" x14ac:dyDescent="0.25">
      <c r="A196" s="126">
        <f t="shared" si="40"/>
        <v>1</v>
      </c>
      <c r="B196" s="64">
        <f>B169+1</f>
        <v>6</v>
      </c>
      <c r="C196" s="85" t="s">
        <v>170</v>
      </c>
      <c r="D196" s="9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175"/>
    </row>
    <row r="197" spans="1:26" x14ac:dyDescent="0.25">
      <c r="A197" s="126">
        <f t="shared" si="40"/>
        <v>1</v>
      </c>
      <c r="B197" s="29"/>
      <c r="C197" s="30" t="str">
        <f t="shared" ref="C197:C222" si="49">C170</f>
        <v>YANGZI DR75</v>
      </c>
      <c r="D197" s="9" t="s">
        <v>171</v>
      </c>
      <c r="E197" s="70">
        <f>E143*E170/1000</f>
        <v>107.5345930894011</v>
      </c>
      <c r="F197" s="70">
        <f t="shared" ref="F197:X211" si="50">F143*F170/1000</f>
        <v>105.94490668703037</v>
      </c>
      <c r="G197" s="70">
        <f t="shared" si="50"/>
        <v>107.5345930894011</v>
      </c>
      <c r="H197" s="70">
        <f t="shared" si="50"/>
        <v>105.94490668703037</v>
      </c>
      <c r="I197" s="70">
        <f t="shared" si="50"/>
        <v>102.40657243659228</v>
      </c>
      <c r="J197" s="70">
        <f t="shared" si="50"/>
        <v>105.94490668703037</v>
      </c>
      <c r="K197" s="70">
        <f t="shared" si="50"/>
        <v>98.25287570781714</v>
      </c>
      <c r="L197" s="70">
        <f t="shared" si="50"/>
        <v>106.25258792619891</v>
      </c>
      <c r="M197" s="70">
        <f t="shared" si="50"/>
        <v>107.22691185023257</v>
      </c>
      <c r="N197" s="70">
        <f t="shared" si="50"/>
        <v>98.560556946985656</v>
      </c>
      <c r="O197" s="70">
        <f t="shared" si="50"/>
        <v>107.22691185023257</v>
      </c>
      <c r="P197" s="70">
        <f t="shared" si="50"/>
        <v>105.94490668703037</v>
      </c>
      <c r="Q197" s="70">
        <f t="shared" si="50"/>
        <v>0</v>
      </c>
      <c r="R197" s="70">
        <f t="shared" si="50"/>
        <v>0</v>
      </c>
      <c r="S197" s="70">
        <f t="shared" si="50"/>
        <v>0</v>
      </c>
      <c r="T197" s="70">
        <f t="shared" si="50"/>
        <v>0</v>
      </c>
      <c r="U197" s="70">
        <f t="shared" si="50"/>
        <v>0</v>
      </c>
      <c r="V197" s="70">
        <f t="shared" si="50"/>
        <v>0</v>
      </c>
      <c r="W197" s="70">
        <f t="shared" si="50"/>
        <v>0</v>
      </c>
      <c r="X197" s="70">
        <f t="shared" si="50"/>
        <v>0</v>
      </c>
      <c r="Y197" s="175"/>
      <c r="Z197" s="47">
        <f>SUM(E197:X197)/Y8</f>
        <v>104.89793580374857</v>
      </c>
    </row>
    <row r="198" spans="1:26" x14ac:dyDescent="0.25">
      <c r="A198" s="126">
        <f t="shared" si="40"/>
        <v>1</v>
      </c>
      <c r="B198" s="29"/>
      <c r="C198" s="30" t="str">
        <f t="shared" si="49"/>
        <v>Sunward SWDRT250SM</v>
      </c>
      <c r="D198" s="9" t="str">
        <f>D197</f>
        <v>тыс. п. м</v>
      </c>
      <c r="E198" s="70">
        <f t="shared" ref="E198:T222" si="51">E144*E171/1000</f>
        <v>111.48286255466817</v>
      </c>
      <c r="F198" s="70">
        <f t="shared" si="51"/>
        <v>107.81855372964287</v>
      </c>
      <c r="G198" s="70">
        <f t="shared" si="51"/>
        <v>105.32958924472</v>
      </c>
      <c r="H198" s="70">
        <f t="shared" si="51"/>
        <v>108.99389806974534</v>
      </c>
      <c r="I198" s="70">
        <f t="shared" si="51"/>
        <v>107.81855372964287</v>
      </c>
      <c r="J198" s="70">
        <f t="shared" si="51"/>
        <v>105.05303763528413</v>
      </c>
      <c r="K198" s="70">
        <f t="shared" si="51"/>
        <v>107.40372631548908</v>
      </c>
      <c r="L198" s="70">
        <f t="shared" si="51"/>
        <v>107.81855372964287</v>
      </c>
      <c r="M198" s="70">
        <f t="shared" si="51"/>
        <v>105.88269246359175</v>
      </c>
      <c r="N198" s="70">
        <f t="shared" si="51"/>
        <v>106.43579568246351</v>
      </c>
      <c r="O198" s="70">
        <f t="shared" si="51"/>
        <v>106.43579568246351</v>
      </c>
      <c r="P198" s="70">
        <f t="shared" si="51"/>
        <v>106.43579568246351</v>
      </c>
      <c r="Q198" s="70">
        <f t="shared" si="51"/>
        <v>0</v>
      </c>
      <c r="R198" s="70">
        <f t="shared" si="51"/>
        <v>0</v>
      </c>
      <c r="S198" s="70">
        <f t="shared" si="51"/>
        <v>0</v>
      </c>
      <c r="T198" s="70">
        <f t="shared" si="51"/>
        <v>0</v>
      </c>
      <c r="U198" s="70">
        <f t="shared" si="50"/>
        <v>0</v>
      </c>
      <c r="V198" s="70">
        <f t="shared" si="50"/>
        <v>0</v>
      </c>
      <c r="W198" s="70">
        <f t="shared" si="50"/>
        <v>0</v>
      </c>
      <c r="X198" s="70">
        <f t="shared" si="50"/>
        <v>0</v>
      </c>
      <c r="Y198" s="175"/>
      <c r="Z198" s="47">
        <f t="shared" ref="Z198:Z222" si="52">SUM(E198:X198)/Y9</f>
        <v>107.24240454331813</v>
      </c>
    </row>
    <row r="199" spans="1:26" x14ac:dyDescent="0.25">
      <c r="A199" s="126">
        <f t="shared" si="40"/>
        <v>1</v>
      </c>
      <c r="B199" s="29"/>
      <c r="C199" s="30" t="str">
        <f t="shared" si="49"/>
        <v>Sunward SWDRT270SM</v>
      </c>
      <c r="D199" s="9" t="str">
        <f t="shared" ref="D199:D221" si="53">D198</f>
        <v>тыс. п. м</v>
      </c>
      <c r="E199" s="70">
        <f t="shared" si="51"/>
        <v>126.99308419838977</v>
      </c>
      <c r="F199" s="70">
        <f t="shared" si="50"/>
        <v>122.8189728732778</v>
      </c>
      <c r="G199" s="70">
        <f t="shared" si="50"/>
        <v>119.98372744489986</v>
      </c>
      <c r="H199" s="70">
        <f t="shared" si="50"/>
        <v>124.15783877001185</v>
      </c>
      <c r="I199" s="70">
        <f t="shared" si="50"/>
        <v>122.8189728732778</v>
      </c>
      <c r="J199" s="70">
        <f t="shared" si="50"/>
        <v>119.66870017508008</v>
      </c>
      <c r="K199" s="70">
        <f t="shared" si="50"/>
        <v>122.34643196854817</v>
      </c>
      <c r="L199" s="70">
        <f t="shared" si="50"/>
        <v>122.8189728732778</v>
      </c>
      <c r="M199" s="70">
        <f t="shared" si="50"/>
        <v>120.61378198453939</v>
      </c>
      <c r="N199" s="70">
        <f t="shared" si="50"/>
        <v>121.24383652417895</v>
      </c>
      <c r="O199" s="70">
        <f t="shared" si="50"/>
        <v>121.24383652417895</v>
      </c>
      <c r="P199" s="70">
        <f t="shared" si="50"/>
        <v>121.24383652417895</v>
      </c>
      <c r="Q199" s="70">
        <f t="shared" si="50"/>
        <v>0</v>
      </c>
      <c r="R199" s="70">
        <f t="shared" si="50"/>
        <v>0</v>
      </c>
      <c r="S199" s="70">
        <f t="shared" si="50"/>
        <v>0</v>
      </c>
      <c r="T199" s="70">
        <f t="shared" si="50"/>
        <v>0</v>
      </c>
      <c r="U199" s="70">
        <f t="shared" si="50"/>
        <v>0</v>
      </c>
      <c r="V199" s="70">
        <f t="shared" si="50"/>
        <v>0</v>
      </c>
      <c r="W199" s="70">
        <f t="shared" si="50"/>
        <v>0</v>
      </c>
      <c r="X199" s="70">
        <f t="shared" si="50"/>
        <v>0</v>
      </c>
      <c r="Y199" s="175"/>
      <c r="Z199" s="47">
        <f t="shared" si="52"/>
        <v>122.16266606115329</v>
      </c>
    </row>
    <row r="200" spans="1:26" x14ac:dyDescent="0.25">
      <c r="A200" s="126">
        <f t="shared" si="40"/>
        <v>1</v>
      </c>
      <c r="B200" s="29"/>
      <c r="C200" s="30" t="str">
        <f t="shared" si="49"/>
        <v>Sunward SWDRT270B</v>
      </c>
      <c r="D200" s="9" t="str">
        <f t="shared" si="53"/>
        <v>тыс. п. м</v>
      </c>
      <c r="E200" s="70">
        <f t="shared" si="51"/>
        <v>131.98958546234024</v>
      </c>
      <c r="F200" s="70">
        <f t="shared" si="50"/>
        <v>131.98958546234024</v>
      </c>
      <c r="G200" s="70">
        <f t="shared" si="50"/>
        <v>130.57034260790647</v>
      </c>
      <c r="H200" s="70">
        <f t="shared" si="50"/>
        <v>130.57034260790647</v>
      </c>
      <c r="I200" s="70">
        <f t="shared" si="50"/>
        <v>123.4741283357376</v>
      </c>
      <c r="J200" s="70">
        <f t="shared" si="50"/>
        <v>127.73185689903895</v>
      </c>
      <c r="K200" s="70">
        <f t="shared" si="50"/>
        <v>120.63564262687012</v>
      </c>
      <c r="L200" s="70">
        <f t="shared" si="50"/>
        <v>127.73185689903895</v>
      </c>
      <c r="M200" s="70">
        <f t="shared" si="50"/>
        <v>127.73185689903895</v>
      </c>
      <c r="N200" s="70">
        <f t="shared" si="50"/>
        <v>120.63564262687012</v>
      </c>
      <c r="O200" s="70">
        <f t="shared" si="50"/>
        <v>126.31261404460518</v>
      </c>
      <c r="P200" s="70">
        <f t="shared" si="50"/>
        <v>126.31261404460518</v>
      </c>
      <c r="Q200" s="70">
        <f t="shared" si="50"/>
        <v>0</v>
      </c>
      <c r="R200" s="70">
        <f t="shared" si="50"/>
        <v>0</v>
      </c>
      <c r="S200" s="70">
        <f t="shared" si="50"/>
        <v>0</v>
      </c>
      <c r="T200" s="70">
        <f t="shared" si="50"/>
        <v>0</v>
      </c>
      <c r="U200" s="70">
        <f t="shared" si="50"/>
        <v>0</v>
      </c>
      <c r="V200" s="70">
        <f t="shared" si="50"/>
        <v>0</v>
      </c>
      <c r="W200" s="70">
        <f t="shared" si="50"/>
        <v>0</v>
      </c>
      <c r="X200" s="70">
        <f t="shared" si="50"/>
        <v>0</v>
      </c>
      <c r="Y200" s="175"/>
      <c r="Z200" s="47">
        <f t="shared" si="52"/>
        <v>127.14050570969154</v>
      </c>
    </row>
    <row r="201" spans="1:26" x14ac:dyDescent="0.25">
      <c r="A201" s="126">
        <f t="shared" si="40"/>
        <v>1</v>
      </c>
      <c r="B201" s="29"/>
      <c r="C201" s="30" t="str">
        <f t="shared" si="49"/>
        <v>HIFO 75D</v>
      </c>
      <c r="D201" s="9" t="str">
        <f t="shared" si="53"/>
        <v>тыс. п. м</v>
      </c>
      <c r="E201" s="70">
        <f t="shared" si="51"/>
        <v>103.17833954484</v>
      </c>
      <c r="F201" s="70">
        <f t="shared" si="50"/>
        <v>100.14857674264424</v>
      </c>
      <c r="G201" s="70">
        <f t="shared" si="50"/>
        <v>98.599401703430701</v>
      </c>
      <c r="H201" s="70">
        <f t="shared" si="50"/>
        <v>99.925507844247036</v>
      </c>
      <c r="I201" s="70">
        <f t="shared" si="50"/>
        <v>100.52446065649511</v>
      </c>
      <c r="J201" s="70">
        <f t="shared" si="50"/>
        <v>97.523542970471411</v>
      </c>
      <c r="K201" s="70">
        <f t="shared" si="50"/>
        <v>99.160407162847974</v>
      </c>
      <c r="L201" s="70">
        <f t="shared" si="50"/>
        <v>100.56266441035855</v>
      </c>
      <c r="M201" s="70">
        <f t="shared" si="50"/>
        <v>98.521199388475367</v>
      </c>
      <c r="N201" s="70">
        <f t="shared" si="50"/>
        <v>98.494790082113383</v>
      </c>
      <c r="O201" s="70">
        <f t="shared" si="50"/>
        <v>0</v>
      </c>
      <c r="P201" s="70">
        <f t="shared" si="50"/>
        <v>0</v>
      </c>
      <c r="Q201" s="70">
        <f t="shared" si="50"/>
        <v>0</v>
      </c>
      <c r="R201" s="70">
        <f t="shared" si="50"/>
        <v>0</v>
      </c>
      <c r="S201" s="70">
        <f t="shared" si="50"/>
        <v>0</v>
      </c>
      <c r="T201" s="70">
        <f t="shared" si="50"/>
        <v>0</v>
      </c>
      <c r="U201" s="70">
        <f t="shared" si="50"/>
        <v>0</v>
      </c>
      <c r="V201" s="70">
        <f t="shared" si="50"/>
        <v>0</v>
      </c>
      <c r="W201" s="70">
        <f t="shared" si="50"/>
        <v>0</v>
      </c>
      <c r="X201" s="70">
        <f t="shared" si="50"/>
        <v>0</v>
      </c>
      <c r="Y201" s="175"/>
      <c r="Z201" s="47">
        <f t="shared" si="52"/>
        <v>99.663889050592374</v>
      </c>
    </row>
    <row r="202" spans="1:26" x14ac:dyDescent="0.25">
      <c r="A202" s="126">
        <f t="shared" si="40"/>
        <v>0</v>
      </c>
      <c r="B202" s="29"/>
      <c r="C202" s="30" t="str">
        <f t="shared" si="49"/>
        <v>ZEGA R8100L (1)</v>
      </c>
      <c r="D202" s="9" t="str">
        <f t="shared" si="53"/>
        <v>тыс. п. м</v>
      </c>
      <c r="E202" s="70">
        <f t="shared" si="51"/>
        <v>0</v>
      </c>
      <c r="F202" s="70">
        <f t="shared" si="50"/>
        <v>0</v>
      </c>
      <c r="G202" s="70">
        <f t="shared" si="50"/>
        <v>0</v>
      </c>
      <c r="H202" s="70">
        <f t="shared" si="50"/>
        <v>0</v>
      </c>
      <c r="I202" s="70">
        <f t="shared" si="50"/>
        <v>0</v>
      </c>
      <c r="J202" s="70">
        <f t="shared" si="50"/>
        <v>0</v>
      </c>
      <c r="K202" s="70">
        <f t="shared" si="50"/>
        <v>0</v>
      </c>
      <c r="L202" s="70">
        <f t="shared" si="50"/>
        <v>0</v>
      </c>
      <c r="M202" s="70">
        <f t="shared" si="50"/>
        <v>0</v>
      </c>
      <c r="N202" s="70">
        <f t="shared" si="50"/>
        <v>0</v>
      </c>
      <c r="O202" s="70">
        <f t="shared" si="50"/>
        <v>0</v>
      </c>
      <c r="P202" s="70">
        <f t="shared" si="50"/>
        <v>0</v>
      </c>
      <c r="Q202" s="70">
        <f t="shared" si="50"/>
        <v>0</v>
      </c>
      <c r="R202" s="70">
        <f t="shared" si="50"/>
        <v>0</v>
      </c>
      <c r="S202" s="70">
        <f t="shared" si="50"/>
        <v>0</v>
      </c>
      <c r="T202" s="70">
        <f t="shared" si="50"/>
        <v>0</v>
      </c>
      <c r="U202" s="70">
        <f t="shared" si="50"/>
        <v>0</v>
      </c>
      <c r="V202" s="70">
        <f t="shared" si="50"/>
        <v>0</v>
      </c>
      <c r="W202" s="70">
        <f t="shared" si="50"/>
        <v>0</v>
      </c>
      <c r="X202" s="70">
        <f t="shared" si="50"/>
        <v>0</v>
      </c>
      <c r="Y202" s="175"/>
      <c r="Z202" s="47" t="e">
        <f t="shared" si="52"/>
        <v>#DIV/0!</v>
      </c>
    </row>
    <row r="203" spans="1:26" x14ac:dyDescent="0.25">
      <c r="A203" s="126">
        <f t="shared" si="40"/>
        <v>0</v>
      </c>
      <c r="B203" s="29"/>
      <c r="C203" s="30" t="str">
        <f t="shared" si="49"/>
        <v>YANGZI  DM75</v>
      </c>
      <c r="D203" s="9" t="str">
        <f t="shared" si="53"/>
        <v>тыс. п. м</v>
      </c>
      <c r="E203" s="70">
        <f t="shared" si="51"/>
        <v>0</v>
      </c>
      <c r="F203" s="70">
        <f t="shared" si="50"/>
        <v>0</v>
      </c>
      <c r="G203" s="70">
        <f t="shared" si="50"/>
        <v>0</v>
      </c>
      <c r="H203" s="70">
        <f t="shared" si="50"/>
        <v>0</v>
      </c>
      <c r="I203" s="70">
        <f t="shared" si="50"/>
        <v>0</v>
      </c>
      <c r="J203" s="70">
        <f t="shared" si="50"/>
        <v>0</v>
      </c>
      <c r="K203" s="70">
        <f t="shared" si="50"/>
        <v>0</v>
      </c>
      <c r="L203" s="70">
        <f t="shared" si="50"/>
        <v>0</v>
      </c>
      <c r="M203" s="70">
        <f t="shared" si="50"/>
        <v>0</v>
      </c>
      <c r="N203" s="70">
        <f t="shared" si="50"/>
        <v>0</v>
      </c>
      <c r="O203" s="70">
        <f t="shared" si="50"/>
        <v>0</v>
      </c>
      <c r="P203" s="70">
        <f t="shared" si="50"/>
        <v>0</v>
      </c>
      <c r="Q203" s="70">
        <f t="shared" si="50"/>
        <v>0</v>
      </c>
      <c r="R203" s="70">
        <f t="shared" si="50"/>
        <v>0</v>
      </c>
      <c r="S203" s="70">
        <f t="shared" si="50"/>
        <v>0</v>
      </c>
      <c r="T203" s="70">
        <f t="shared" si="50"/>
        <v>0</v>
      </c>
      <c r="U203" s="70">
        <f t="shared" si="50"/>
        <v>0</v>
      </c>
      <c r="V203" s="70">
        <f t="shared" si="50"/>
        <v>0</v>
      </c>
      <c r="W203" s="70">
        <f t="shared" si="50"/>
        <v>0</v>
      </c>
      <c r="X203" s="70">
        <f t="shared" si="50"/>
        <v>0</v>
      </c>
      <c r="Y203" s="175"/>
      <c r="Z203" s="47" t="e">
        <f t="shared" si="52"/>
        <v>#DIV/0!</v>
      </c>
    </row>
    <row r="204" spans="1:26" x14ac:dyDescent="0.25">
      <c r="A204" s="126">
        <f t="shared" si="40"/>
        <v>0</v>
      </c>
      <c r="B204" s="29"/>
      <c r="C204" s="30" t="str">
        <f t="shared" si="49"/>
        <v>*</v>
      </c>
      <c r="D204" s="9" t="str">
        <f t="shared" si="53"/>
        <v>тыс. п. м</v>
      </c>
      <c r="E204" s="70">
        <f t="shared" si="51"/>
        <v>0</v>
      </c>
      <c r="F204" s="70">
        <f t="shared" si="50"/>
        <v>0</v>
      </c>
      <c r="G204" s="70">
        <f t="shared" si="50"/>
        <v>0</v>
      </c>
      <c r="H204" s="70">
        <f t="shared" si="50"/>
        <v>0</v>
      </c>
      <c r="I204" s="70">
        <f t="shared" si="50"/>
        <v>0</v>
      </c>
      <c r="J204" s="70">
        <f t="shared" si="50"/>
        <v>0</v>
      </c>
      <c r="K204" s="70">
        <f t="shared" si="50"/>
        <v>0</v>
      </c>
      <c r="L204" s="70">
        <f t="shared" si="50"/>
        <v>0</v>
      </c>
      <c r="M204" s="70">
        <f t="shared" si="50"/>
        <v>0</v>
      </c>
      <c r="N204" s="70">
        <f t="shared" si="50"/>
        <v>0</v>
      </c>
      <c r="O204" s="70">
        <f t="shared" si="50"/>
        <v>0</v>
      </c>
      <c r="P204" s="70">
        <f t="shared" si="50"/>
        <v>0</v>
      </c>
      <c r="Q204" s="70">
        <f t="shared" si="50"/>
        <v>0</v>
      </c>
      <c r="R204" s="70">
        <f t="shared" si="50"/>
        <v>0</v>
      </c>
      <c r="S204" s="70">
        <f t="shared" si="50"/>
        <v>0</v>
      </c>
      <c r="T204" s="70">
        <f t="shared" si="50"/>
        <v>0</v>
      </c>
      <c r="U204" s="70">
        <f t="shared" si="50"/>
        <v>0</v>
      </c>
      <c r="V204" s="70">
        <f t="shared" si="50"/>
        <v>0</v>
      </c>
      <c r="W204" s="70">
        <f t="shared" si="50"/>
        <v>0</v>
      </c>
      <c r="X204" s="70">
        <f t="shared" si="50"/>
        <v>0</v>
      </c>
      <c r="Y204" s="175"/>
      <c r="Z204" s="47" t="e">
        <f t="shared" si="52"/>
        <v>#DIV/0!</v>
      </c>
    </row>
    <row r="205" spans="1:26" x14ac:dyDescent="0.25">
      <c r="A205" s="126">
        <f t="shared" si="40"/>
        <v>0</v>
      </c>
      <c r="B205" s="29"/>
      <c r="C205" s="30" t="str">
        <f t="shared" si="49"/>
        <v>СБШ-250/270КП</v>
      </c>
      <c r="D205" s="9" t="str">
        <f t="shared" si="53"/>
        <v>тыс. п. м</v>
      </c>
      <c r="E205" s="70">
        <f t="shared" si="51"/>
        <v>0</v>
      </c>
      <c r="F205" s="70">
        <f t="shared" si="50"/>
        <v>0</v>
      </c>
      <c r="G205" s="70">
        <f t="shared" si="50"/>
        <v>0</v>
      </c>
      <c r="H205" s="70">
        <f t="shared" si="50"/>
        <v>0</v>
      </c>
      <c r="I205" s="70">
        <f t="shared" si="50"/>
        <v>0</v>
      </c>
      <c r="J205" s="70">
        <f t="shared" si="50"/>
        <v>0</v>
      </c>
      <c r="K205" s="70">
        <f t="shared" si="50"/>
        <v>0</v>
      </c>
      <c r="L205" s="70">
        <f t="shared" si="50"/>
        <v>0</v>
      </c>
      <c r="M205" s="70">
        <f t="shared" si="50"/>
        <v>0</v>
      </c>
      <c r="N205" s="70">
        <f t="shared" si="50"/>
        <v>0</v>
      </c>
      <c r="O205" s="70">
        <f t="shared" si="50"/>
        <v>0</v>
      </c>
      <c r="P205" s="70">
        <f t="shared" si="50"/>
        <v>0</v>
      </c>
      <c r="Q205" s="70">
        <f t="shared" si="50"/>
        <v>0</v>
      </c>
      <c r="R205" s="70">
        <f t="shared" si="50"/>
        <v>0</v>
      </c>
      <c r="S205" s="70">
        <f t="shared" si="50"/>
        <v>0</v>
      </c>
      <c r="T205" s="70">
        <f t="shared" si="50"/>
        <v>0</v>
      </c>
      <c r="U205" s="70">
        <f t="shared" si="50"/>
        <v>0</v>
      </c>
      <c r="V205" s="70">
        <f t="shared" si="50"/>
        <v>0</v>
      </c>
      <c r="W205" s="70">
        <f t="shared" si="50"/>
        <v>0</v>
      </c>
      <c r="X205" s="70">
        <f t="shared" si="50"/>
        <v>0</v>
      </c>
      <c r="Y205" s="175"/>
      <c r="Z205" s="47" t="e">
        <f t="shared" si="52"/>
        <v>#DIV/0!</v>
      </c>
    </row>
    <row r="206" spans="1:26" x14ac:dyDescent="0.25">
      <c r="A206" s="126">
        <f t="shared" si="40"/>
        <v>0</v>
      </c>
      <c r="B206" s="29"/>
      <c r="C206" s="30" t="str">
        <f t="shared" si="49"/>
        <v>Sunward SWDRT270E (1)</v>
      </c>
      <c r="D206" s="9" t="str">
        <f t="shared" si="53"/>
        <v>тыс. п. м</v>
      </c>
      <c r="E206" s="70">
        <f t="shared" si="51"/>
        <v>0</v>
      </c>
      <c r="F206" s="70">
        <f t="shared" si="50"/>
        <v>0</v>
      </c>
      <c r="G206" s="70">
        <f t="shared" si="50"/>
        <v>0</v>
      </c>
      <c r="H206" s="70">
        <f t="shared" si="50"/>
        <v>0</v>
      </c>
      <c r="I206" s="70">
        <f t="shared" si="50"/>
        <v>0</v>
      </c>
      <c r="J206" s="70">
        <f t="shared" si="50"/>
        <v>0</v>
      </c>
      <c r="K206" s="70">
        <f t="shared" si="50"/>
        <v>0</v>
      </c>
      <c r="L206" s="70">
        <f t="shared" si="50"/>
        <v>0</v>
      </c>
      <c r="M206" s="70">
        <f t="shared" si="50"/>
        <v>0</v>
      </c>
      <c r="N206" s="70">
        <f t="shared" si="50"/>
        <v>0</v>
      </c>
      <c r="O206" s="70">
        <f t="shared" si="50"/>
        <v>0</v>
      </c>
      <c r="P206" s="70">
        <f t="shared" si="50"/>
        <v>0</v>
      </c>
      <c r="Q206" s="70">
        <f t="shared" si="50"/>
        <v>0</v>
      </c>
      <c r="R206" s="70">
        <f t="shared" si="50"/>
        <v>0</v>
      </c>
      <c r="S206" s="70">
        <f t="shared" si="50"/>
        <v>0</v>
      </c>
      <c r="T206" s="70">
        <f t="shared" si="50"/>
        <v>0</v>
      </c>
      <c r="U206" s="70">
        <f t="shared" si="50"/>
        <v>0</v>
      </c>
      <c r="V206" s="70">
        <f t="shared" si="50"/>
        <v>0</v>
      </c>
      <c r="W206" s="70">
        <f t="shared" si="50"/>
        <v>0</v>
      </c>
      <c r="X206" s="70">
        <f t="shared" si="50"/>
        <v>0</v>
      </c>
      <c r="Y206" s="175"/>
      <c r="Z206" s="47" t="e">
        <f t="shared" si="52"/>
        <v>#DIV/0!</v>
      </c>
    </row>
    <row r="207" spans="1:26" x14ac:dyDescent="0.25">
      <c r="A207" s="126">
        <f t="shared" si="40"/>
        <v>0</v>
      </c>
      <c r="B207" s="29"/>
      <c r="C207" s="30" t="str">
        <f t="shared" si="49"/>
        <v>Sunward SWDRT270E (2)</v>
      </c>
      <c r="D207" s="9" t="str">
        <f t="shared" si="53"/>
        <v>тыс. п. м</v>
      </c>
      <c r="E207" s="70">
        <f t="shared" si="51"/>
        <v>0</v>
      </c>
      <c r="F207" s="70">
        <f t="shared" si="50"/>
        <v>0</v>
      </c>
      <c r="G207" s="70">
        <f t="shared" si="50"/>
        <v>0</v>
      </c>
      <c r="H207" s="70">
        <f t="shared" si="50"/>
        <v>0</v>
      </c>
      <c r="I207" s="70">
        <f t="shared" si="50"/>
        <v>0</v>
      </c>
      <c r="J207" s="70">
        <f t="shared" si="50"/>
        <v>0</v>
      </c>
      <c r="K207" s="70">
        <f t="shared" si="50"/>
        <v>0</v>
      </c>
      <c r="L207" s="70">
        <f t="shared" si="50"/>
        <v>0</v>
      </c>
      <c r="M207" s="70">
        <f t="shared" si="50"/>
        <v>0</v>
      </c>
      <c r="N207" s="70">
        <f t="shared" si="50"/>
        <v>0</v>
      </c>
      <c r="O207" s="70">
        <f t="shared" si="50"/>
        <v>0</v>
      </c>
      <c r="P207" s="70">
        <f t="shared" si="50"/>
        <v>0</v>
      </c>
      <c r="Q207" s="70">
        <f t="shared" si="50"/>
        <v>0</v>
      </c>
      <c r="R207" s="70">
        <f t="shared" si="50"/>
        <v>0</v>
      </c>
      <c r="S207" s="70">
        <f t="shared" si="50"/>
        <v>0</v>
      </c>
      <c r="T207" s="70">
        <f t="shared" si="50"/>
        <v>0</v>
      </c>
      <c r="U207" s="70">
        <f t="shared" si="50"/>
        <v>0</v>
      </c>
      <c r="V207" s="70">
        <f t="shared" si="50"/>
        <v>0</v>
      </c>
      <c r="W207" s="70">
        <f t="shared" si="50"/>
        <v>0</v>
      </c>
      <c r="X207" s="70">
        <f t="shared" si="50"/>
        <v>0</v>
      </c>
      <c r="Y207" s="175"/>
      <c r="Z207" s="47" t="e">
        <f t="shared" si="52"/>
        <v>#DIV/0!</v>
      </c>
    </row>
    <row r="208" spans="1:26" x14ac:dyDescent="0.25">
      <c r="A208" s="126">
        <f t="shared" si="40"/>
        <v>0</v>
      </c>
      <c r="B208" s="29"/>
      <c r="C208" s="30" t="str">
        <f t="shared" si="49"/>
        <v>HIFO 75Е</v>
      </c>
      <c r="D208" s="9" t="str">
        <f t="shared" si="53"/>
        <v>тыс. п. м</v>
      </c>
      <c r="E208" s="70">
        <f t="shared" si="51"/>
        <v>0</v>
      </c>
      <c r="F208" s="70">
        <f t="shared" si="50"/>
        <v>0</v>
      </c>
      <c r="G208" s="70">
        <f t="shared" si="50"/>
        <v>0</v>
      </c>
      <c r="H208" s="70">
        <f t="shared" si="50"/>
        <v>0</v>
      </c>
      <c r="I208" s="70">
        <f t="shared" si="50"/>
        <v>0</v>
      </c>
      <c r="J208" s="70">
        <f t="shared" si="50"/>
        <v>0</v>
      </c>
      <c r="K208" s="70">
        <f t="shared" si="50"/>
        <v>0</v>
      </c>
      <c r="L208" s="70">
        <f t="shared" si="50"/>
        <v>0</v>
      </c>
      <c r="M208" s="70">
        <f t="shared" si="50"/>
        <v>0</v>
      </c>
      <c r="N208" s="70">
        <f t="shared" si="50"/>
        <v>0</v>
      </c>
      <c r="O208" s="70">
        <f t="shared" si="50"/>
        <v>0</v>
      </c>
      <c r="P208" s="70">
        <f t="shared" si="50"/>
        <v>0</v>
      </c>
      <c r="Q208" s="70">
        <f t="shared" si="50"/>
        <v>0</v>
      </c>
      <c r="R208" s="70">
        <f t="shared" si="50"/>
        <v>0</v>
      </c>
      <c r="S208" s="70">
        <f t="shared" si="50"/>
        <v>0</v>
      </c>
      <c r="T208" s="70">
        <f t="shared" si="50"/>
        <v>0</v>
      </c>
      <c r="U208" s="70">
        <f t="shared" si="50"/>
        <v>0</v>
      </c>
      <c r="V208" s="70">
        <f t="shared" si="50"/>
        <v>0</v>
      </c>
      <c r="W208" s="70">
        <f t="shared" si="50"/>
        <v>0</v>
      </c>
      <c r="X208" s="70">
        <f t="shared" si="50"/>
        <v>0</v>
      </c>
      <c r="Y208" s="175"/>
      <c r="Z208" s="47" t="e">
        <f t="shared" si="52"/>
        <v>#DIV/0!</v>
      </c>
    </row>
    <row r="209" spans="1:26" x14ac:dyDescent="0.25">
      <c r="A209" s="126">
        <f t="shared" si="40"/>
        <v>0</v>
      </c>
      <c r="B209" s="29"/>
      <c r="C209" s="30" t="str">
        <f t="shared" si="49"/>
        <v>НИВА 22.01.00.00.00.00.00.000 (1)</v>
      </c>
      <c r="D209" s="9" t="str">
        <f t="shared" si="53"/>
        <v>тыс. п. м</v>
      </c>
      <c r="E209" s="70">
        <f t="shared" si="51"/>
        <v>0</v>
      </c>
      <c r="F209" s="70">
        <f t="shared" si="50"/>
        <v>0</v>
      </c>
      <c r="G209" s="70">
        <f t="shared" si="50"/>
        <v>0</v>
      </c>
      <c r="H209" s="70">
        <f t="shared" si="50"/>
        <v>0</v>
      </c>
      <c r="I209" s="70">
        <f t="shared" si="50"/>
        <v>0</v>
      </c>
      <c r="J209" s="70">
        <f t="shared" si="50"/>
        <v>0</v>
      </c>
      <c r="K209" s="70">
        <f t="shared" si="50"/>
        <v>0</v>
      </c>
      <c r="L209" s="70">
        <f t="shared" si="50"/>
        <v>0</v>
      </c>
      <c r="M209" s="70">
        <f t="shared" si="50"/>
        <v>0</v>
      </c>
      <c r="N209" s="70">
        <f t="shared" si="50"/>
        <v>0</v>
      </c>
      <c r="O209" s="70">
        <f t="shared" si="50"/>
        <v>0</v>
      </c>
      <c r="P209" s="70">
        <f t="shared" si="50"/>
        <v>0</v>
      </c>
      <c r="Q209" s="70">
        <f t="shared" si="50"/>
        <v>0</v>
      </c>
      <c r="R209" s="70">
        <f t="shared" si="50"/>
        <v>0</v>
      </c>
      <c r="S209" s="70">
        <f t="shared" si="50"/>
        <v>0</v>
      </c>
      <c r="T209" s="70">
        <f t="shared" si="50"/>
        <v>0</v>
      </c>
      <c r="U209" s="70">
        <f t="shared" si="50"/>
        <v>0</v>
      </c>
      <c r="V209" s="70">
        <f t="shared" si="50"/>
        <v>0</v>
      </c>
      <c r="W209" s="70">
        <f t="shared" si="50"/>
        <v>0</v>
      </c>
      <c r="X209" s="70">
        <f t="shared" si="50"/>
        <v>0</v>
      </c>
      <c r="Y209" s="175"/>
      <c r="Z209" s="47" t="e">
        <f t="shared" si="52"/>
        <v>#DIV/0!</v>
      </c>
    </row>
    <row r="210" spans="1:26" x14ac:dyDescent="0.25">
      <c r="A210" s="126">
        <f t="shared" si="40"/>
        <v>0</v>
      </c>
      <c r="B210" s="29"/>
      <c r="C210" s="30" t="str">
        <f t="shared" si="49"/>
        <v>НИВА 22.01.00.00.00.00.00.000 (2)</v>
      </c>
      <c r="D210" s="9" t="str">
        <f t="shared" si="53"/>
        <v>тыс. п. м</v>
      </c>
      <c r="E210" s="70">
        <f t="shared" si="51"/>
        <v>0</v>
      </c>
      <c r="F210" s="70">
        <f t="shared" si="50"/>
        <v>0</v>
      </c>
      <c r="G210" s="70">
        <f t="shared" si="50"/>
        <v>0</v>
      </c>
      <c r="H210" s="70">
        <f t="shared" si="50"/>
        <v>0</v>
      </c>
      <c r="I210" s="70">
        <f t="shared" si="50"/>
        <v>0</v>
      </c>
      <c r="J210" s="70">
        <f t="shared" si="50"/>
        <v>0</v>
      </c>
      <c r="K210" s="70">
        <f t="shared" si="50"/>
        <v>0</v>
      </c>
      <c r="L210" s="70">
        <f t="shared" si="50"/>
        <v>0</v>
      </c>
      <c r="M210" s="70">
        <f t="shared" si="50"/>
        <v>0</v>
      </c>
      <c r="N210" s="70">
        <f t="shared" si="50"/>
        <v>0</v>
      </c>
      <c r="O210" s="70">
        <f t="shared" si="50"/>
        <v>0</v>
      </c>
      <c r="P210" s="70">
        <f t="shared" si="50"/>
        <v>0</v>
      </c>
      <c r="Q210" s="70">
        <f t="shared" si="50"/>
        <v>0</v>
      </c>
      <c r="R210" s="70">
        <f t="shared" si="50"/>
        <v>0</v>
      </c>
      <c r="S210" s="70">
        <f t="shared" si="50"/>
        <v>0</v>
      </c>
      <c r="T210" s="70">
        <f t="shared" si="50"/>
        <v>0</v>
      </c>
      <c r="U210" s="70">
        <f t="shared" si="50"/>
        <v>0</v>
      </c>
      <c r="V210" s="70">
        <f t="shared" si="50"/>
        <v>0</v>
      </c>
      <c r="W210" s="70">
        <f t="shared" si="50"/>
        <v>0</v>
      </c>
      <c r="X210" s="70">
        <f t="shared" si="50"/>
        <v>0</v>
      </c>
      <c r="Y210" s="175"/>
      <c r="Z210" s="47" t="e">
        <f t="shared" si="52"/>
        <v>#DIV/0!</v>
      </c>
    </row>
    <row r="211" spans="1:26" x14ac:dyDescent="0.25">
      <c r="A211" s="126">
        <f t="shared" si="40"/>
        <v>0</v>
      </c>
      <c r="B211" s="29"/>
      <c r="C211" s="30" t="str">
        <f t="shared" si="49"/>
        <v>**</v>
      </c>
      <c r="D211" s="9" t="str">
        <f t="shared" si="53"/>
        <v>тыс. п. м</v>
      </c>
      <c r="E211" s="70">
        <f t="shared" si="51"/>
        <v>0</v>
      </c>
      <c r="F211" s="70">
        <f t="shared" si="50"/>
        <v>0</v>
      </c>
      <c r="G211" s="70">
        <f t="shared" si="50"/>
        <v>0</v>
      </c>
      <c r="H211" s="70">
        <f t="shared" si="50"/>
        <v>0</v>
      </c>
      <c r="I211" s="70">
        <f t="shared" si="50"/>
        <v>0</v>
      </c>
      <c r="J211" s="70">
        <f t="shared" ref="F211:X222" si="54">J157*J184/1000</f>
        <v>0</v>
      </c>
      <c r="K211" s="70">
        <f t="shared" si="54"/>
        <v>0</v>
      </c>
      <c r="L211" s="70">
        <f t="shared" si="54"/>
        <v>0</v>
      </c>
      <c r="M211" s="70">
        <f t="shared" si="54"/>
        <v>0</v>
      </c>
      <c r="N211" s="70">
        <f t="shared" si="54"/>
        <v>0</v>
      </c>
      <c r="O211" s="70">
        <f t="shared" si="54"/>
        <v>0</v>
      </c>
      <c r="P211" s="70">
        <f t="shared" si="54"/>
        <v>0</v>
      </c>
      <c r="Q211" s="70">
        <f t="shared" si="54"/>
        <v>0</v>
      </c>
      <c r="R211" s="70">
        <f t="shared" si="54"/>
        <v>0</v>
      </c>
      <c r="S211" s="70">
        <f t="shared" si="54"/>
        <v>0</v>
      </c>
      <c r="T211" s="70">
        <f t="shared" si="54"/>
        <v>0</v>
      </c>
      <c r="U211" s="70">
        <f t="shared" si="54"/>
        <v>0</v>
      </c>
      <c r="V211" s="70">
        <f t="shared" si="54"/>
        <v>0</v>
      </c>
      <c r="W211" s="70">
        <f t="shared" si="54"/>
        <v>0</v>
      </c>
      <c r="X211" s="70">
        <f t="shared" si="54"/>
        <v>0</v>
      </c>
      <c r="Y211" s="175"/>
      <c r="Z211" s="47" t="e">
        <f t="shared" si="52"/>
        <v>#DIV/0!</v>
      </c>
    </row>
    <row r="212" spans="1:26" x14ac:dyDescent="0.25">
      <c r="A212" s="126">
        <f t="shared" si="40"/>
        <v>1</v>
      </c>
      <c r="B212" s="29"/>
      <c r="C212" s="30" t="str">
        <f t="shared" si="49"/>
        <v>БС-215</v>
      </c>
      <c r="D212" s="9" t="str">
        <f t="shared" si="53"/>
        <v>тыс. п. м</v>
      </c>
      <c r="E212" s="70">
        <f t="shared" si="51"/>
        <v>133.09167724858054</v>
      </c>
      <c r="F212" s="70">
        <f t="shared" si="54"/>
        <v>132.70858774822483</v>
      </c>
      <c r="G212" s="70">
        <f t="shared" si="54"/>
        <v>132.51704299804697</v>
      </c>
      <c r="H212" s="70">
        <f t="shared" si="54"/>
        <v>128.11151374395627</v>
      </c>
      <c r="I212" s="70">
        <f t="shared" si="54"/>
        <v>132.32549824786909</v>
      </c>
      <c r="J212" s="70">
        <f t="shared" si="54"/>
        <v>131.36777449697982</v>
      </c>
      <c r="K212" s="70">
        <f t="shared" si="54"/>
        <v>128.11151374395627</v>
      </c>
      <c r="L212" s="70">
        <f t="shared" si="54"/>
        <v>131.94240874751341</v>
      </c>
      <c r="M212" s="70">
        <f t="shared" si="54"/>
        <v>132.13395349769127</v>
      </c>
      <c r="N212" s="70">
        <f t="shared" si="54"/>
        <v>127.72842424360054</v>
      </c>
      <c r="O212" s="70">
        <f t="shared" si="54"/>
        <v>131.55931924715767</v>
      </c>
      <c r="P212" s="70">
        <f t="shared" si="54"/>
        <v>132.51704299804697</v>
      </c>
      <c r="Q212" s="70">
        <f t="shared" si="54"/>
        <v>0</v>
      </c>
      <c r="R212" s="70">
        <f t="shared" si="54"/>
        <v>0</v>
      </c>
      <c r="S212" s="70">
        <f t="shared" si="54"/>
        <v>0</v>
      </c>
      <c r="T212" s="70">
        <f t="shared" si="54"/>
        <v>0</v>
      </c>
      <c r="U212" s="70">
        <f t="shared" si="54"/>
        <v>0</v>
      </c>
      <c r="V212" s="70">
        <f t="shared" si="54"/>
        <v>0</v>
      </c>
      <c r="W212" s="70">
        <f t="shared" si="54"/>
        <v>0</v>
      </c>
      <c r="X212" s="70">
        <f t="shared" si="54"/>
        <v>0</v>
      </c>
      <c r="Y212" s="175"/>
      <c r="Z212" s="47">
        <f t="shared" si="52"/>
        <v>131.17622974680197</v>
      </c>
    </row>
    <row r="213" spans="1:26" x14ac:dyDescent="0.25">
      <c r="A213" s="126">
        <f t="shared" si="40"/>
        <v>0</v>
      </c>
      <c r="B213" s="29"/>
      <c r="C213" s="30" t="str">
        <f t="shared" si="49"/>
        <v>Sunward SWDRT200SM</v>
      </c>
      <c r="D213" s="9" t="str">
        <f t="shared" si="53"/>
        <v>тыс. п. м</v>
      </c>
      <c r="E213" s="70">
        <f t="shared" si="51"/>
        <v>0</v>
      </c>
      <c r="F213" s="70">
        <f t="shared" si="54"/>
        <v>0</v>
      </c>
      <c r="G213" s="70">
        <f t="shared" si="54"/>
        <v>0</v>
      </c>
      <c r="H213" s="70">
        <f t="shared" si="54"/>
        <v>0</v>
      </c>
      <c r="I213" s="70">
        <f t="shared" si="54"/>
        <v>0</v>
      </c>
      <c r="J213" s="70">
        <f t="shared" si="54"/>
        <v>0</v>
      </c>
      <c r="K213" s="70">
        <f t="shared" si="54"/>
        <v>0</v>
      </c>
      <c r="L213" s="70">
        <f t="shared" si="54"/>
        <v>0</v>
      </c>
      <c r="M213" s="70">
        <f t="shared" si="54"/>
        <v>0</v>
      </c>
      <c r="N213" s="70">
        <f t="shared" si="54"/>
        <v>0</v>
      </c>
      <c r="O213" s="70">
        <f t="shared" si="54"/>
        <v>0</v>
      </c>
      <c r="P213" s="70">
        <f t="shared" si="54"/>
        <v>0</v>
      </c>
      <c r="Q213" s="70">
        <f t="shared" si="54"/>
        <v>0</v>
      </c>
      <c r="R213" s="70">
        <f t="shared" si="54"/>
        <v>0</v>
      </c>
      <c r="S213" s="70">
        <f t="shared" si="54"/>
        <v>0</v>
      </c>
      <c r="T213" s="70">
        <f t="shared" si="54"/>
        <v>0</v>
      </c>
      <c r="U213" s="70">
        <f t="shared" si="54"/>
        <v>0</v>
      </c>
      <c r="V213" s="70">
        <f t="shared" si="54"/>
        <v>0</v>
      </c>
      <c r="W213" s="70">
        <f t="shared" si="54"/>
        <v>0</v>
      </c>
      <c r="X213" s="70">
        <f t="shared" si="54"/>
        <v>0</v>
      </c>
      <c r="Y213" s="175"/>
      <c r="Z213" s="47" t="e">
        <f t="shared" si="52"/>
        <v>#DIV/0!</v>
      </c>
    </row>
    <row r="214" spans="1:26" x14ac:dyDescent="0.25">
      <c r="A214" s="126">
        <f t="shared" si="40"/>
        <v>0</v>
      </c>
      <c r="B214" s="29"/>
      <c r="C214" s="30" t="str">
        <f t="shared" si="49"/>
        <v>Sunward SWDRT250B</v>
      </c>
      <c r="D214" s="9" t="str">
        <f t="shared" si="53"/>
        <v>тыс. п. м</v>
      </c>
      <c r="E214" s="70">
        <f t="shared" si="51"/>
        <v>0</v>
      </c>
      <c r="F214" s="70">
        <f t="shared" si="54"/>
        <v>0</v>
      </c>
      <c r="G214" s="70">
        <f t="shared" si="54"/>
        <v>0</v>
      </c>
      <c r="H214" s="70">
        <f t="shared" si="54"/>
        <v>0</v>
      </c>
      <c r="I214" s="70">
        <f t="shared" si="54"/>
        <v>0</v>
      </c>
      <c r="J214" s="70">
        <f t="shared" si="54"/>
        <v>0</v>
      </c>
      <c r="K214" s="70">
        <f t="shared" si="54"/>
        <v>0</v>
      </c>
      <c r="L214" s="70">
        <f t="shared" si="54"/>
        <v>0</v>
      </c>
      <c r="M214" s="70">
        <f t="shared" si="54"/>
        <v>0</v>
      </c>
      <c r="N214" s="70">
        <f t="shared" si="54"/>
        <v>0</v>
      </c>
      <c r="O214" s="70">
        <f t="shared" si="54"/>
        <v>0</v>
      </c>
      <c r="P214" s="70">
        <f t="shared" si="54"/>
        <v>0</v>
      </c>
      <c r="Q214" s="70">
        <f t="shared" si="54"/>
        <v>0</v>
      </c>
      <c r="R214" s="70">
        <f t="shared" si="54"/>
        <v>0</v>
      </c>
      <c r="S214" s="70">
        <f t="shared" si="54"/>
        <v>0</v>
      </c>
      <c r="T214" s="70">
        <f t="shared" si="54"/>
        <v>0</v>
      </c>
      <c r="U214" s="70">
        <f t="shared" si="54"/>
        <v>0</v>
      </c>
      <c r="V214" s="70">
        <f t="shared" si="54"/>
        <v>0</v>
      </c>
      <c r="W214" s="70">
        <f t="shared" si="54"/>
        <v>0</v>
      </c>
      <c r="X214" s="70">
        <f t="shared" si="54"/>
        <v>0</v>
      </c>
      <c r="Y214" s="175"/>
      <c r="Z214" s="47" t="e">
        <f t="shared" si="52"/>
        <v>#DIV/0!</v>
      </c>
    </row>
    <row r="215" spans="1:26" x14ac:dyDescent="0.25">
      <c r="A215" s="126">
        <f t="shared" si="40"/>
        <v>0</v>
      </c>
      <c r="B215" s="29"/>
      <c r="C215" s="30" t="str">
        <f t="shared" si="49"/>
        <v>ZEGA R8100L (2)</v>
      </c>
      <c r="D215" s="9" t="str">
        <f t="shared" si="53"/>
        <v>тыс. п. м</v>
      </c>
      <c r="E215" s="70">
        <f t="shared" si="51"/>
        <v>0</v>
      </c>
      <c r="F215" s="70">
        <f t="shared" si="54"/>
        <v>0</v>
      </c>
      <c r="G215" s="70">
        <f t="shared" si="54"/>
        <v>0</v>
      </c>
      <c r="H215" s="70">
        <f t="shared" si="54"/>
        <v>0</v>
      </c>
      <c r="I215" s="70">
        <f t="shared" si="54"/>
        <v>0</v>
      </c>
      <c r="J215" s="70">
        <f t="shared" si="54"/>
        <v>0</v>
      </c>
      <c r="K215" s="70">
        <f t="shared" si="54"/>
        <v>0</v>
      </c>
      <c r="L215" s="70">
        <f t="shared" si="54"/>
        <v>0</v>
      </c>
      <c r="M215" s="70">
        <f t="shared" si="54"/>
        <v>0</v>
      </c>
      <c r="N215" s="70">
        <f t="shared" si="54"/>
        <v>0</v>
      </c>
      <c r="O215" s="70">
        <f t="shared" si="54"/>
        <v>0</v>
      </c>
      <c r="P215" s="70">
        <f t="shared" si="54"/>
        <v>0</v>
      </c>
      <c r="Q215" s="70">
        <f t="shared" si="54"/>
        <v>0</v>
      </c>
      <c r="R215" s="70">
        <f t="shared" si="54"/>
        <v>0</v>
      </c>
      <c r="S215" s="70">
        <f t="shared" si="54"/>
        <v>0</v>
      </c>
      <c r="T215" s="70">
        <f t="shared" si="54"/>
        <v>0</v>
      </c>
      <c r="U215" s="70">
        <f t="shared" si="54"/>
        <v>0</v>
      </c>
      <c r="V215" s="70">
        <f t="shared" si="54"/>
        <v>0</v>
      </c>
      <c r="W215" s="70">
        <f t="shared" si="54"/>
        <v>0</v>
      </c>
      <c r="X215" s="70">
        <f t="shared" si="54"/>
        <v>0</v>
      </c>
      <c r="Y215" s="175"/>
      <c r="Z215" s="47" t="e">
        <f t="shared" si="52"/>
        <v>#DIV/0!</v>
      </c>
    </row>
    <row r="216" spans="1:26" x14ac:dyDescent="0.25">
      <c r="A216" s="126">
        <f t="shared" si="40"/>
        <v>0</v>
      </c>
      <c r="B216" s="29"/>
      <c r="C216" s="30" t="str">
        <f t="shared" si="49"/>
        <v>Revathi C650D</v>
      </c>
      <c r="D216" s="9" t="str">
        <f t="shared" si="53"/>
        <v>тыс. п. м</v>
      </c>
      <c r="E216" s="70">
        <f t="shared" si="51"/>
        <v>0</v>
      </c>
      <c r="F216" s="70">
        <f t="shared" si="54"/>
        <v>0</v>
      </c>
      <c r="G216" s="70">
        <f t="shared" si="54"/>
        <v>0</v>
      </c>
      <c r="H216" s="70">
        <f t="shared" si="54"/>
        <v>0</v>
      </c>
      <c r="I216" s="70">
        <f t="shared" si="54"/>
        <v>0</v>
      </c>
      <c r="J216" s="70">
        <f t="shared" si="54"/>
        <v>0</v>
      </c>
      <c r="K216" s="70">
        <f t="shared" si="54"/>
        <v>0</v>
      </c>
      <c r="L216" s="70">
        <f t="shared" si="54"/>
        <v>0</v>
      </c>
      <c r="M216" s="70">
        <f t="shared" si="54"/>
        <v>0</v>
      </c>
      <c r="N216" s="70">
        <f t="shared" si="54"/>
        <v>0</v>
      </c>
      <c r="O216" s="70">
        <f t="shared" si="54"/>
        <v>0</v>
      </c>
      <c r="P216" s="70">
        <f t="shared" si="54"/>
        <v>0</v>
      </c>
      <c r="Q216" s="70">
        <f t="shared" si="54"/>
        <v>0</v>
      </c>
      <c r="R216" s="70">
        <f t="shared" si="54"/>
        <v>0</v>
      </c>
      <c r="S216" s="70">
        <f t="shared" si="54"/>
        <v>0</v>
      </c>
      <c r="T216" s="70">
        <f t="shared" si="54"/>
        <v>0</v>
      </c>
      <c r="U216" s="70">
        <f t="shared" si="54"/>
        <v>0</v>
      </c>
      <c r="V216" s="70">
        <f t="shared" si="54"/>
        <v>0</v>
      </c>
      <c r="W216" s="70">
        <f t="shared" si="54"/>
        <v>0</v>
      </c>
      <c r="X216" s="70">
        <f t="shared" si="54"/>
        <v>0</v>
      </c>
      <c r="Y216" s="175"/>
      <c r="Z216" s="47" t="e">
        <f t="shared" si="52"/>
        <v>#DIV/0!</v>
      </c>
    </row>
    <row r="217" spans="1:26" x14ac:dyDescent="0.25">
      <c r="A217" s="126">
        <f t="shared" si="40"/>
        <v>0</v>
      </c>
      <c r="B217" s="29"/>
      <c r="C217" s="30" t="str">
        <f t="shared" si="49"/>
        <v>MS1200RB</v>
      </c>
      <c r="D217" s="9" t="str">
        <f t="shared" si="53"/>
        <v>тыс. п. м</v>
      </c>
      <c r="E217" s="70">
        <f t="shared" si="51"/>
        <v>0</v>
      </c>
      <c r="F217" s="70">
        <f t="shared" si="54"/>
        <v>0</v>
      </c>
      <c r="G217" s="70">
        <f t="shared" si="54"/>
        <v>0</v>
      </c>
      <c r="H217" s="70">
        <f t="shared" si="54"/>
        <v>0</v>
      </c>
      <c r="I217" s="70">
        <f t="shared" si="54"/>
        <v>0</v>
      </c>
      <c r="J217" s="70">
        <f t="shared" si="54"/>
        <v>0</v>
      </c>
      <c r="K217" s="70">
        <f t="shared" si="54"/>
        <v>0</v>
      </c>
      <c r="L217" s="70">
        <f t="shared" si="54"/>
        <v>0</v>
      </c>
      <c r="M217" s="70">
        <f t="shared" si="54"/>
        <v>0</v>
      </c>
      <c r="N217" s="70">
        <f t="shared" si="54"/>
        <v>0</v>
      </c>
      <c r="O217" s="70">
        <f t="shared" si="54"/>
        <v>0</v>
      </c>
      <c r="P217" s="70">
        <f t="shared" si="54"/>
        <v>0</v>
      </c>
      <c r="Q217" s="70">
        <f t="shared" si="54"/>
        <v>0</v>
      </c>
      <c r="R217" s="70">
        <f t="shared" si="54"/>
        <v>0</v>
      </c>
      <c r="S217" s="70">
        <f t="shared" si="54"/>
        <v>0</v>
      </c>
      <c r="T217" s="70">
        <f t="shared" si="54"/>
        <v>0</v>
      </c>
      <c r="U217" s="70">
        <f t="shared" si="54"/>
        <v>0</v>
      </c>
      <c r="V217" s="70">
        <f t="shared" si="54"/>
        <v>0</v>
      </c>
      <c r="W217" s="70">
        <f t="shared" si="54"/>
        <v>0</v>
      </c>
      <c r="X217" s="70">
        <f t="shared" si="54"/>
        <v>0</v>
      </c>
      <c r="Y217" s="175"/>
      <c r="Z217" s="47" t="e">
        <f t="shared" si="52"/>
        <v>#DIV/0!</v>
      </c>
    </row>
    <row r="218" spans="1:26" x14ac:dyDescent="0.25">
      <c r="A218" s="126">
        <f t="shared" si="40"/>
        <v>0</v>
      </c>
      <c r="B218" s="29"/>
      <c r="C218" s="30" t="str">
        <f t="shared" si="49"/>
        <v>СБ-55Д-01</v>
      </c>
      <c r="D218" s="9" t="str">
        <f t="shared" si="53"/>
        <v>тыс. п. м</v>
      </c>
      <c r="E218" s="70">
        <f t="shared" si="51"/>
        <v>0</v>
      </c>
      <c r="F218" s="70">
        <f t="shared" si="54"/>
        <v>0</v>
      </c>
      <c r="G218" s="70">
        <f t="shared" si="54"/>
        <v>0</v>
      </c>
      <c r="H218" s="70">
        <f t="shared" si="54"/>
        <v>0</v>
      </c>
      <c r="I218" s="70">
        <f t="shared" si="54"/>
        <v>0</v>
      </c>
      <c r="J218" s="70">
        <f t="shared" si="54"/>
        <v>0</v>
      </c>
      <c r="K218" s="70">
        <f t="shared" si="54"/>
        <v>0</v>
      </c>
      <c r="L218" s="70">
        <f t="shared" si="54"/>
        <v>0</v>
      </c>
      <c r="M218" s="70">
        <f t="shared" si="54"/>
        <v>0</v>
      </c>
      <c r="N218" s="70">
        <f t="shared" si="54"/>
        <v>0</v>
      </c>
      <c r="O218" s="70">
        <f t="shared" si="54"/>
        <v>0</v>
      </c>
      <c r="P218" s="70">
        <f t="shared" si="54"/>
        <v>0</v>
      </c>
      <c r="Q218" s="70">
        <f t="shared" si="54"/>
        <v>0</v>
      </c>
      <c r="R218" s="70">
        <f t="shared" si="54"/>
        <v>0</v>
      </c>
      <c r="S218" s="70">
        <f t="shared" si="54"/>
        <v>0</v>
      </c>
      <c r="T218" s="70">
        <f t="shared" si="54"/>
        <v>0</v>
      </c>
      <c r="U218" s="70">
        <f t="shared" si="54"/>
        <v>0</v>
      </c>
      <c r="V218" s="70">
        <f t="shared" si="54"/>
        <v>0</v>
      </c>
      <c r="W218" s="70">
        <f t="shared" si="54"/>
        <v>0</v>
      </c>
      <c r="X218" s="70">
        <f t="shared" si="54"/>
        <v>0</v>
      </c>
      <c r="Y218" s="175"/>
      <c r="Z218" s="47" t="e">
        <f t="shared" si="52"/>
        <v>#DIV/0!</v>
      </c>
    </row>
    <row r="219" spans="1:26" x14ac:dyDescent="0.25">
      <c r="A219" s="126">
        <f t="shared" si="40"/>
        <v>0</v>
      </c>
      <c r="B219" s="29"/>
      <c r="C219" s="30" t="str">
        <f t="shared" si="49"/>
        <v>KAMACH KY-250D</v>
      </c>
      <c r="D219" s="9" t="str">
        <f t="shared" si="53"/>
        <v>тыс. п. м</v>
      </c>
      <c r="E219" s="70">
        <f t="shared" si="51"/>
        <v>0</v>
      </c>
      <c r="F219" s="70">
        <f t="shared" si="54"/>
        <v>0</v>
      </c>
      <c r="G219" s="70">
        <f t="shared" si="54"/>
        <v>0</v>
      </c>
      <c r="H219" s="70">
        <f t="shared" si="54"/>
        <v>0</v>
      </c>
      <c r="I219" s="70">
        <f t="shared" si="54"/>
        <v>0</v>
      </c>
      <c r="J219" s="70">
        <f t="shared" si="54"/>
        <v>0</v>
      </c>
      <c r="K219" s="70">
        <f t="shared" si="54"/>
        <v>0</v>
      </c>
      <c r="L219" s="70">
        <f t="shared" si="54"/>
        <v>0</v>
      </c>
      <c r="M219" s="70">
        <f t="shared" si="54"/>
        <v>0</v>
      </c>
      <c r="N219" s="70">
        <f t="shared" si="54"/>
        <v>0</v>
      </c>
      <c r="O219" s="70">
        <f t="shared" si="54"/>
        <v>0</v>
      </c>
      <c r="P219" s="70">
        <f t="shared" si="54"/>
        <v>0</v>
      </c>
      <c r="Q219" s="70">
        <f t="shared" si="54"/>
        <v>0</v>
      </c>
      <c r="R219" s="70">
        <f t="shared" si="54"/>
        <v>0</v>
      </c>
      <c r="S219" s="70">
        <f t="shared" si="54"/>
        <v>0</v>
      </c>
      <c r="T219" s="70">
        <f t="shared" si="54"/>
        <v>0</v>
      </c>
      <c r="U219" s="70">
        <f t="shared" si="54"/>
        <v>0</v>
      </c>
      <c r="V219" s="70">
        <f t="shared" si="54"/>
        <v>0</v>
      </c>
      <c r="W219" s="70">
        <f t="shared" si="54"/>
        <v>0</v>
      </c>
      <c r="X219" s="70">
        <f t="shared" si="54"/>
        <v>0</v>
      </c>
      <c r="Y219" s="175"/>
      <c r="Z219" s="47" t="e">
        <f t="shared" si="52"/>
        <v>#DIV/0!</v>
      </c>
    </row>
    <row r="220" spans="1:26" x14ac:dyDescent="0.25">
      <c r="A220" s="126">
        <f t="shared" si="40"/>
        <v>0</v>
      </c>
      <c r="B220" s="29"/>
      <c r="C220" s="30" t="str">
        <f t="shared" si="49"/>
        <v>НИВА 23.01.00.00.00.00.00.000 (1)</v>
      </c>
      <c r="D220" s="9" t="str">
        <f t="shared" si="53"/>
        <v>тыс. п. м</v>
      </c>
      <c r="E220" s="70">
        <f t="shared" si="51"/>
        <v>0</v>
      </c>
      <c r="F220" s="70">
        <f t="shared" si="54"/>
        <v>0</v>
      </c>
      <c r="G220" s="70">
        <f t="shared" si="54"/>
        <v>0</v>
      </c>
      <c r="H220" s="70">
        <f t="shared" si="54"/>
        <v>0</v>
      </c>
      <c r="I220" s="70">
        <f t="shared" si="54"/>
        <v>0</v>
      </c>
      <c r="J220" s="70">
        <f t="shared" si="54"/>
        <v>0</v>
      </c>
      <c r="K220" s="70">
        <f t="shared" si="54"/>
        <v>0</v>
      </c>
      <c r="L220" s="70">
        <f t="shared" si="54"/>
        <v>0</v>
      </c>
      <c r="M220" s="70">
        <f t="shared" si="54"/>
        <v>0</v>
      </c>
      <c r="N220" s="70">
        <f t="shared" si="54"/>
        <v>0</v>
      </c>
      <c r="O220" s="70">
        <f t="shared" si="54"/>
        <v>0</v>
      </c>
      <c r="P220" s="70">
        <f t="shared" si="54"/>
        <v>0</v>
      </c>
      <c r="Q220" s="70">
        <f t="shared" si="54"/>
        <v>0</v>
      </c>
      <c r="R220" s="70">
        <f t="shared" si="54"/>
        <v>0</v>
      </c>
      <c r="S220" s="70">
        <f t="shared" si="54"/>
        <v>0</v>
      </c>
      <c r="T220" s="70">
        <f t="shared" si="54"/>
        <v>0</v>
      </c>
      <c r="U220" s="70">
        <f t="shared" si="54"/>
        <v>0</v>
      </c>
      <c r="V220" s="70">
        <f t="shared" si="54"/>
        <v>0</v>
      </c>
      <c r="W220" s="70">
        <f t="shared" si="54"/>
        <v>0</v>
      </c>
      <c r="X220" s="70">
        <f t="shared" si="54"/>
        <v>0</v>
      </c>
      <c r="Y220" s="175"/>
      <c r="Z220" s="47" t="e">
        <f t="shared" si="52"/>
        <v>#DIV/0!</v>
      </c>
    </row>
    <row r="221" spans="1:26" x14ac:dyDescent="0.25">
      <c r="A221" s="126">
        <f t="shared" si="40"/>
        <v>0</v>
      </c>
      <c r="B221" s="29"/>
      <c r="C221" s="30" t="str">
        <f t="shared" si="49"/>
        <v>НИВА 23.01.00.00.00.00.00.000 (2)</v>
      </c>
      <c r="D221" s="9" t="str">
        <f t="shared" si="53"/>
        <v>тыс. п. м</v>
      </c>
      <c r="E221" s="70">
        <f t="shared" si="51"/>
        <v>0</v>
      </c>
      <c r="F221" s="70">
        <f t="shared" si="54"/>
        <v>0</v>
      </c>
      <c r="G221" s="70">
        <f t="shared" si="54"/>
        <v>0</v>
      </c>
      <c r="H221" s="70">
        <f t="shared" si="54"/>
        <v>0</v>
      </c>
      <c r="I221" s="70">
        <f t="shared" si="54"/>
        <v>0</v>
      </c>
      <c r="J221" s="70">
        <f t="shared" si="54"/>
        <v>0</v>
      </c>
      <c r="K221" s="70">
        <f t="shared" si="54"/>
        <v>0</v>
      </c>
      <c r="L221" s="70">
        <f t="shared" si="54"/>
        <v>0</v>
      </c>
      <c r="M221" s="70">
        <f t="shared" si="54"/>
        <v>0</v>
      </c>
      <c r="N221" s="70">
        <f t="shared" si="54"/>
        <v>0</v>
      </c>
      <c r="O221" s="70">
        <f t="shared" si="54"/>
        <v>0</v>
      </c>
      <c r="P221" s="70">
        <f t="shared" si="54"/>
        <v>0</v>
      </c>
      <c r="Q221" s="70">
        <f t="shared" si="54"/>
        <v>0</v>
      </c>
      <c r="R221" s="70">
        <f t="shared" si="54"/>
        <v>0</v>
      </c>
      <c r="S221" s="70">
        <f t="shared" si="54"/>
        <v>0</v>
      </c>
      <c r="T221" s="70">
        <f t="shared" si="54"/>
        <v>0</v>
      </c>
      <c r="U221" s="70">
        <f t="shared" si="54"/>
        <v>0</v>
      </c>
      <c r="V221" s="70">
        <f t="shared" si="54"/>
        <v>0</v>
      </c>
      <c r="W221" s="70">
        <f t="shared" si="54"/>
        <v>0</v>
      </c>
      <c r="X221" s="70">
        <f t="shared" si="54"/>
        <v>0</v>
      </c>
      <c r="Y221" s="175"/>
      <c r="Z221" s="47" t="e">
        <f t="shared" si="52"/>
        <v>#DIV/0!</v>
      </c>
    </row>
    <row r="222" spans="1:26" x14ac:dyDescent="0.25">
      <c r="A222" s="126">
        <f t="shared" si="40"/>
        <v>0</v>
      </c>
      <c r="B222" s="29"/>
      <c r="C222" s="30" t="str">
        <f t="shared" si="49"/>
        <v>***</v>
      </c>
      <c r="D222" s="9" t="str">
        <f t="shared" ref="D222" si="55">D221</f>
        <v>тыс. п. м</v>
      </c>
      <c r="E222" s="70">
        <f t="shared" si="51"/>
        <v>0</v>
      </c>
      <c r="F222" s="70">
        <f t="shared" si="54"/>
        <v>0</v>
      </c>
      <c r="G222" s="70">
        <f t="shared" si="54"/>
        <v>0</v>
      </c>
      <c r="H222" s="70">
        <f t="shared" si="54"/>
        <v>0</v>
      </c>
      <c r="I222" s="70">
        <f t="shared" si="54"/>
        <v>0</v>
      </c>
      <c r="J222" s="70">
        <f t="shared" si="54"/>
        <v>0</v>
      </c>
      <c r="K222" s="70">
        <f t="shared" si="54"/>
        <v>0</v>
      </c>
      <c r="L222" s="70">
        <f t="shared" si="54"/>
        <v>0</v>
      </c>
      <c r="M222" s="70">
        <f t="shared" si="54"/>
        <v>0</v>
      </c>
      <c r="N222" s="70">
        <f t="shared" si="54"/>
        <v>0</v>
      </c>
      <c r="O222" s="70">
        <f t="shared" si="54"/>
        <v>0</v>
      </c>
      <c r="P222" s="70">
        <f t="shared" si="54"/>
        <v>0</v>
      </c>
      <c r="Q222" s="70">
        <f t="shared" si="54"/>
        <v>0</v>
      </c>
      <c r="R222" s="70">
        <f t="shared" si="54"/>
        <v>0</v>
      </c>
      <c r="S222" s="70">
        <f t="shared" si="54"/>
        <v>0</v>
      </c>
      <c r="T222" s="70">
        <f t="shared" si="54"/>
        <v>0</v>
      </c>
      <c r="U222" s="70">
        <f t="shared" si="54"/>
        <v>0</v>
      </c>
      <c r="V222" s="70">
        <f t="shared" si="54"/>
        <v>0</v>
      </c>
      <c r="W222" s="70">
        <f t="shared" si="54"/>
        <v>0</v>
      </c>
      <c r="X222" s="70">
        <f t="shared" si="54"/>
        <v>0</v>
      </c>
      <c r="Y222" s="175"/>
      <c r="Z222" s="47" t="e">
        <f t="shared" si="52"/>
        <v>#DIV/0!</v>
      </c>
    </row>
    <row r="223" spans="1:26" x14ac:dyDescent="0.25">
      <c r="A223" s="126">
        <f t="shared" si="40"/>
        <v>1</v>
      </c>
      <c r="B223" s="64">
        <f>B196+1</f>
        <v>7</v>
      </c>
      <c r="C223" s="85" t="s">
        <v>172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175"/>
    </row>
    <row r="224" spans="1:26" x14ac:dyDescent="0.25">
      <c r="A224" s="126">
        <f t="shared" si="40"/>
        <v>1</v>
      </c>
      <c r="B224" s="29"/>
      <c r="C224" s="30" t="str">
        <f t="shared" ref="C224:C249" si="56">C197</f>
        <v>YANGZI DR75</v>
      </c>
      <c r="D224" s="9" t="s">
        <v>173</v>
      </c>
      <c r="E224" s="243">
        <v>49.465250092501748</v>
      </c>
      <c r="F224" s="243">
        <v>48.562701071167105</v>
      </c>
      <c r="G224" s="243">
        <v>45.709116372325418</v>
      </c>
      <c r="H224" s="243">
        <v>48.767754736494673</v>
      </c>
      <c r="I224" s="243">
        <v>49.349943641752837</v>
      </c>
      <c r="J224" s="243">
        <v>44.618119757366543</v>
      </c>
      <c r="K224" s="243">
        <v>45.123087582063633</v>
      </c>
      <c r="L224" s="243">
        <v>50.180156618766006</v>
      </c>
      <c r="M224" s="243">
        <v>46.587884148501921</v>
      </c>
      <c r="N224" s="243">
        <v>45.442975480668565</v>
      </c>
      <c r="O224" s="243">
        <v>50.500335555684764</v>
      </c>
      <c r="P224" s="243">
        <v>52.28889357985453</v>
      </c>
      <c r="Q224" s="243">
        <v>50.448494191475021</v>
      </c>
      <c r="R224" s="243">
        <v>48.686719694223157</v>
      </c>
      <c r="S224" s="243">
        <v>46.805152267822436</v>
      </c>
      <c r="T224" s="243">
        <v>46.076528285250909</v>
      </c>
      <c r="U224" s="243">
        <v>49.8286931591797</v>
      </c>
      <c r="V224" s="243">
        <v>49.486998366570589</v>
      </c>
      <c r="W224" s="243">
        <v>44.590295087660806</v>
      </c>
      <c r="X224" s="243">
        <v>42.27932299746638</v>
      </c>
      <c r="Y224" s="175" t="s">
        <v>318</v>
      </c>
    </row>
    <row r="225" spans="1:25" x14ac:dyDescent="0.25">
      <c r="A225" s="126">
        <f t="shared" si="40"/>
        <v>1</v>
      </c>
      <c r="B225" s="29"/>
      <c r="C225" s="30" t="str">
        <f t="shared" si="56"/>
        <v>Sunward SWDRT250SM</v>
      </c>
      <c r="D225" s="9" t="str">
        <f>D224</f>
        <v>м3/п. м</v>
      </c>
      <c r="E225" s="84">
        <f>E224</f>
        <v>49.465250092501748</v>
      </c>
      <c r="F225" s="84">
        <f t="shared" ref="F225:X225" si="57">F224</f>
        <v>48.562701071167105</v>
      </c>
      <c r="G225" s="84">
        <f t="shared" si="57"/>
        <v>45.709116372325418</v>
      </c>
      <c r="H225" s="84">
        <f t="shared" si="57"/>
        <v>48.767754736494673</v>
      </c>
      <c r="I225" s="84">
        <f t="shared" si="57"/>
        <v>49.349943641752837</v>
      </c>
      <c r="J225" s="84">
        <f t="shared" si="57"/>
        <v>44.618119757366543</v>
      </c>
      <c r="K225" s="84">
        <f t="shared" si="57"/>
        <v>45.123087582063633</v>
      </c>
      <c r="L225" s="84">
        <f t="shared" si="57"/>
        <v>50.180156618766006</v>
      </c>
      <c r="M225" s="84">
        <f t="shared" si="57"/>
        <v>46.587884148501921</v>
      </c>
      <c r="N225" s="84">
        <f t="shared" si="57"/>
        <v>45.442975480668565</v>
      </c>
      <c r="O225" s="84">
        <f t="shared" si="57"/>
        <v>50.500335555684764</v>
      </c>
      <c r="P225" s="84">
        <f t="shared" si="57"/>
        <v>52.28889357985453</v>
      </c>
      <c r="Q225" s="84">
        <f t="shared" si="57"/>
        <v>50.448494191475021</v>
      </c>
      <c r="R225" s="84">
        <f t="shared" si="57"/>
        <v>48.686719694223157</v>
      </c>
      <c r="S225" s="84">
        <f t="shared" si="57"/>
        <v>46.805152267822436</v>
      </c>
      <c r="T225" s="84">
        <f t="shared" si="57"/>
        <v>46.076528285250909</v>
      </c>
      <c r="U225" s="84">
        <f t="shared" si="57"/>
        <v>49.8286931591797</v>
      </c>
      <c r="V225" s="84">
        <f t="shared" si="57"/>
        <v>49.486998366570589</v>
      </c>
      <c r="W225" s="84">
        <f t="shared" si="57"/>
        <v>44.590295087660806</v>
      </c>
      <c r="X225" s="84">
        <f t="shared" si="57"/>
        <v>42.27932299746638</v>
      </c>
      <c r="Y225" s="175"/>
    </row>
    <row r="226" spans="1:25" x14ac:dyDescent="0.25">
      <c r="A226" s="126">
        <f t="shared" ref="A226:A276" si="58">A199</f>
        <v>1</v>
      </c>
      <c r="B226" s="29"/>
      <c r="C226" s="30" t="str">
        <f t="shared" si="56"/>
        <v>Sunward SWDRT270SM</v>
      </c>
      <c r="D226" s="9" t="str">
        <f t="shared" ref="D226:E248" si="59">D225</f>
        <v>м3/п. м</v>
      </c>
      <c r="E226" s="84">
        <f t="shared" si="59"/>
        <v>49.465250092501748</v>
      </c>
      <c r="F226" s="84">
        <f t="shared" ref="F226:X226" si="60">F225</f>
        <v>48.562701071167105</v>
      </c>
      <c r="G226" s="84">
        <f t="shared" si="60"/>
        <v>45.709116372325418</v>
      </c>
      <c r="H226" s="84">
        <f t="shared" si="60"/>
        <v>48.767754736494673</v>
      </c>
      <c r="I226" s="84">
        <f t="shared" si="60"/>
        <v>49.349943641752837</v>
      </c>
      <c r="J226" s="84">
        <f t="shared" si="60"/>
        <v>44.618119757366543</v>
      </c>
      <c r="K226" s="84">
        <f t="shared" si="60"/>
        <v>45.123087582063633</v>
      </c>
      <c r="L226" s="84">
        <f t="shared" si="60"/>
        <v>50.180156618766006</v>
      </c>
      <c r="M226" s="84">
        <f t="shared" si="60"/>
        <v>46.587884148501921</v>
      </c>
      <c r="N226" s="84">
        <f t="shared" si="60"/>
        <v>45.442975480668565</v>
      </c>
      <c r="O226" s="84">
        <f t="shared" si="60"/>
        <v>50.500335555684764</v>
      </c>
      <c r="P226" s="84">
        <f t="shared" si="60"/>
        <v>52.28889357985453</v>
      </c>
      <c r="Q226" s="84">
        <f t="shared" si="60"/>
        <v>50.448494191475021</v>
      </c>
      <c r="R226" s="84">
        <f t="shared" si="60"/>
        <v>48.686719694223157</v>
      </c>
      <c r="S226" s="84">
        <f t="shared" si="60"/>
        <v>46.805152267822436</v>
      </c>
      <c r="T226" s="84">
        <f t="shared" si="60"/>
        <v>46.076528285250909</v>
      </c>
      <c r="U226" s="84">
        <f t="shared" si="60"/>
        <v>49.8286931591797</v>
      </c>
      <c r="V226" s="84">
        <f t="shared" si="60"/>
        <v>49.486998366570589</v>
      </c>
      <c r="W226" s="84">
        <f t="shared" si="60"/>
        <v>44.590295087660806</v>
      </c>
      <c r="X226" s="84">
        <f t="shared" si="60"/>
        <v>42.27932299746638</v>
      </c>
      <c r="Y226" s="175"/>
    </row>
    <row r="227" spans="1:25" x14ac:dyDescent="0.25">
      <c r="A227" s="126">
        <f t="shared" si="58"/>
        <v>1</v>
      </c>
      <c r="B227" s="29"/>
      <c r="C227" s="30" t="str">
        <f t="shared" si="56"/>
        <v>Sunward SWDRT270B</v>
      </c>
      <c r="D227" s="9" t="str">
        <f t="shared" si="59"/>
        <v>м3/п. м</v>
      </c>
      <c r="E227" s="84">
        <f t="shared" si="59"/>
        <v>49.465250092501748</v>
      </c>
      <c r="F227" s="84">
        <f t="shared" ref="F227:X227" si="61">F226</f>
        <v>48.562701071167105</v>
      </c>
      <c r="G227" s="84">
        <f t="shared" si="61"/>
        <v>45.709116372325418</v>
      </c>
      <c r="H227" s="84">
        <f t="shared" si="61"/>
        <v>48.767754736494673</v>
      </c>
      <c r="I227" s="84">
        <f t="shared" si="61"/>
        <v>49.349943641752837</v>
      </c>
      <c r="J227" s="84">
        <f t="shared" si="61"/>
        <v>44.618119757366543</v>
      </c>
      <c r="K227" s="84">
        <f t="shared" si="61"/>
        <v>45.123087582063633</v>
      </c>
      <c r="L227" s="84">
        <f t="shared" si="61"/>
        <v>50.180156618766006</v>
      </c>
      <c r="M227" s="84">
        <f t="shared" si="61"/>
        <v>46.587884148501921</v>
      </c>
      <c r="N227" s="84">
        <f t="shared" si="61"/>
        <v>45.442975480668565</v>
      </c>
      <c r="O227" s="84">
        <f t="shared" si="61"/>
        <v>50.500335555684764</v>
      </c>
      <c r="P227" s="84">
        <f t="shared" si="61"/>
        <v>52.28889357985453</v>
      </c>
      <c r="Q227" s="84">
        <f t="shared" si="61"/>
        <v>50.448494191475021</v>
      </c>
      <c r="R227" s="84">
        <f t="shared" si="61"/>
        <v>48.686719694223157</v>
      </c>
      <c r="S227" s="84">
        <f t="shared" si="61"/>
        <v>46.805152267822436</v>
      </c>
      <c r="T227" s="84">
        <f t="shared" si="61"/>
        <v>46.076528285250909</v>
      </c>
      <c r="U227" s="84">
        <f t="shared" si="61"/>
        <v>49.8286931591797</v>
      </c>
      <c r="V227" s="84">
        <f t="shared" si="61"/>
        <v>49.486998366570589</v>
      </c>
      <c r="W227" s="84">
        <f t="shared" si="61"/>
        <v>44.590295087660806</v>
      </c>
      <c r="X227" s="84">
        <f t="shared" si="61"/>
        <v>42.27932299746638</v>
      </c>
      <c r="Y227" s="175"/>
    </row>
    <row r="228" spans="1:25" x14ac:dyDescent="0.25">
      <c r="A228" s="126">
        <f t="shared" si="58"/>
        <v>1</v>
      </c>
      <c r="B228" s="29"/>
      <c r="C228" s="30" t="str">
        <f t="shared" si="56"/>
        <v>HIFO 75D</v>
      </c>
      <c r="D228" s="9" t="str">
        <f t="shared" si="59"/>
        <v>м3/п. м</v>
      </c>
      <c r="E228" s="84">
        <f t="shared" si="59"/>
        <v>49.465250092501748</v>
      </c>
      <c r="F228" s="84">
        <f t="shared" ref="F228:X228" si="62">F227</f>
        <v>48.562701071167105</v>
      </c>
      <c r="G228" s="84">
        <f t="shared" si="62"/>
        <v>45.709116372325418</v>
      </c>
      <c r="H228" s="84">
        <f t="shared" si="62"/>
        <v>48.767754736494673</v>
      </c>
      <c r="I228" s="84">
        <f t="shared" si="62"/>
        <v>49.349943641752837</v>
      </c>
      <c r="J228" s="84">
        <f t="shared" si="62"/>
        <v>44.618119757366543</v>
      </c>
      <c r="K228" s="84">
        <f t="shared" si="62"/>
        <v>45.123087582063633</v>
      </c>
      <c r="L228" s="84">
        <f t="shared" si="62"/>
        <v>50.180156618766006</v>
      </c>
      <c r="M228" s="84">
        <f t="shared" si="62"/>
        <v>46.587884148501921</v>
      </c>
      <c r="N228" s="84">
        <f t="shared" si="62"/>
        <v>45.442975480668565</v>
      </c>
      <c r="O228" s="84">
        <f t="shared" si="62"/>
        <v>50.500335555684764</v>
      </c>
      <c r="P228" s="84">
        <f t="shared" si="62"/>
        <v>52.28889357985453</v>
      </c>
      <c r="Q228" s="84">
        <f t="shared" si="62"/>
        <v>50.448494191475021</v>
      </c>
      <c r="R228" s="84">
        <f t="shared" si="62"/>
        <v>48.686719694223157</v>
      </c>
      <c r="S228" s="84">
        <f t="shared" si="62"/>
        <v>46.805152267822436</v>
      </c>
      <c r="T228" s="84">
        <f t="shared" si="62"/>
        <v>46.076528285250909</v>
      </c>
      <c r="U228" s="84">
        <f t="shared" si="62"/>
        <v>49.8286931591797</v>
      </c>
      <c r="V228" s="84">
        <f t="shared" si="62"/>
        <v>49.486998366570589</v>
      </c>
      <c r="W228" s="84">
        <f t="shared" si="62"/>
        <v>44.590295087660806</v>
      </c>
      <c r="X228" s="84">
        <f t="shared" si="62"/>
        <v>42.27932299746638</v>
      </c>
      <c r="Y228" s="175"/>
    </row>
    <row r="229" spans="1:25" x14ac:dyDescent="0.25">
      <c r="A229" s="126">
        <f t="shared" si="58"/>
        <v>0</v>
      </c>
      <c r="B229" s="29"/>
      <c r="C229" s="30" t="str">
        <f t="shared" si="56"/>
        <v>ZEGA R8100L (1)</v>
      </c>
      <c r="D229" s="9" t="str">
        <f t="shared" si="59"/>
        <v>м3/п. м</v>
      </c>
      <c r="E229" s="84">
        <f t="shared" si="59"/>
        <v>49.465250092501748</v>
      </c>
      <c r="F229" s="84">
        <f t="shared" ref="F229:X229" si="63">F228</f>
        <v>48.562701071167105</v>
      </c>
      <c r="G229" s="84">
        <f t="shared" si="63"/>
        <v>45.709116372325418</v>
      </c>
      <c r="H229" s="84">
        <f t="shared" si="63"/>
        <v>48.767754736494673</v>
      </c>
      <c r="I229" s="84">
        <f t="shared" si="63"/>
        <v>49.349943641752837</v>
      </c>
      <c r="J229" s="84">
        <f t="shared" si="63"/>
        <v>44.618119757366543</v>
      </c>
      <c r="K229" s="84">
        <f t="shared" si="63"/>
        <v>45.123087582063633</v>
      </c>
      <c r="L229" s="84">
        <f t="shared" si="63"/>
        <v>50.180156618766006</v>
      </c>
      <c r="M229" s="84">
        <f t="shared" si="63"/>
        <v>46.587884148501921</v>
      </c>
      <c r="N229" s="84">
        <f t="shared" si="63"/>
        <v>45.442975480668565</v>
      </c>
      <c r="O229" s="84">
        <f t="shared" si="63"/>
        <v>50.500335555684764</v>
      </c>
      <c r="P229" s="84">
        <f t="shared" si="63"/>
        <v>52.28889357985453</v>
      </c>
      <c r="Q229" s="84">
        <f t="shared" si="63"/>
        <v>50.448494191475021</v>
      </c>
      <c r="R229" s="84">
        <f t="shared" si="63"/>
        <v>48.686719694223157</v>
      </c>
      <c r="S229" s="84">
        <f t="shared" si="63"/>
        <v>46.805152267822436</v>
      </c>
      <c r="T229" s="84">
        <f t="shared" si="63"/>
        <v>46.076528285250909</v>
      </c>
      <c r="U229" s="84">
        <f t="shared" si="63"/>
        <v>49.8286931591797</v>
      </c>
      <c r="V229" s="84">
        <f t="shared" si="63"/>
        <v>49.486998366570589</v>
      </c>
      <c r="W229" s="84">
        <f t="shared" si="63"/>
        <v>44.590295087660806</v>
      </c>
      <c r="X229" s="84">
        <f t="shared" si="63"/>
        <v>42.27932299746638</v>
      </c>
      <c r="Y229" s="175"/>
    </row>
    <row r="230" spans="1:25" x14ac:dyDescent="0.25">
      <c r="A230" s="126">
        <f t="shared" si="58"/>
        <v>0</v>
      </c>
      <c r="B230" s="29"/>
      <c r="C230" s="30" t="str">
        <f t="shared" si="56"/>
        <v>YANGZI  DM75</v>
      </c>
      <c r="D230" s="9" t="str">
        <f t="shared" si="59"/>
        <v>м3/п. м</v>
      </c>
      <c r="E230" s="84">
        <f t="shared" si="59"/>
        <v>49.465250092501748</v>
      </c>
      <c r="F230" s="84">
        <f t="shared" ref="F230:X230" si="64">F229</f>
        <v>48.562701071167105</v>
      </c>
      <c r="G230" s="84">
        <f t="shared" si="64"/>
        <v>45.709116372325418</v>
      </c>
      <c r="H230" s="84">
        <f t="shared" si="64"/>
        <v>48.767754736494673</v>
      </c>
      <c r="I230" s="84">
        <f t="shared" si="64"/>
        <v>49.349943641752837</v>
      </c>
      <c r="J230" s="84">
        <f t="shared" si="64"/>
        <v>44.618119757366543</v>
      </c>
      <c r="K230" s="84">
        <f t="shared" si="64"/>
        <v>45.123087582063633</v>
      </c>
      <c r="L230" s="84">
        <f t="shared" si="64"/>
        <v>50.180156618766006</v>
      </c>
      <c r="M230" s="84">
        <f t="shared" si="64"/>
        <v>46.587884148501921</v>
      </c>
      <c r="N230" s="84">
        <f t="shared" si="64"/>
        <v>45.442975480668565</v>
      </c>
      <c r="O230" s="84">
        <f t="shared" si="64"/>
        <v>50.500335555684764</v>
      </c>
      <c r="P230" s="84">
        <f t="shared" si="64"/>
        <v>52.28889357985453</v>
      </c>
      <c r="Q230" s="84">
        <f t="shared" si="64"/>
        <v>50.448494191475021</v>
      </c>
      <c r="R230" s="84">
        <f t="shared" si="64"/>
        <v>48.686719694223157</v>
      </c>
      <c r="S230" s="84">
        <f t="shared" si="64"/>
        <v>46.805152267822436</v>
      </c>
      <c r="T230" s="84">
        <f t="shared" si="64"/>
        <v>46.076528285250909</v>
      </c>
      <c r="U230" s="84">
        <f t="shared" si="64"/>
        <v>49.8286931591797</v>
      </c>
      <c r="V230" s="84">
        <f t="shared" si="64"/>
        <v>49.486998366570589</v>
      </c>
      <c r="W230" s="84">
        <f t="shared" si="64"/>
        <v>44.590295087660806</v>
      </c>
      <c r="X230" s="84">
        <f t="shared" si="64"/>
        <v>42.27932299746638</v>
      </c>
      <c r="Y230" s="175"/>
    </row>
    <row r="231" spans="1:25" x14ac:dyDescent="0.25">
      <c r="A231" s="126">
        <f t="shared" si="58"/>
        <v>0</v>
      </c>
      <c r="B231" s="29"/>
      <c r="C231" s="30" t="str">
        <f t="shared" si="56"/>
        <v>*</v>
      </c>
      <c r="D231" s="9" t="str">
        <f t="shared" si="59"/>
        <v>м3/п. м</v>
      </c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175"/>
    </row>
    <row r="232" spans="1:25" x14ac:dyDescent="0.25">
      <c r="A232" s="126">
        <f t="shared" si="58"/>
        <v>0</v>
      </c>
      <c r="B232" s="29"/>
      <c r="C232" s="30" t="str">
        <f t="shared" si="56"/>
        <v>СБШ-250/270КП</v>
      </c>
      <c r="D232" s="9" t="str">
        <f t="shared" si="59"/>
        <v>м3/п. м</v>
      </c>
      <c r="E232" s="84">
        <f>E224</f>
        <v>49.465250092501748</v>
      </c>
      <c r="F232" s="84">
        <f t="shared" ref="F232:X232" si="65">F224</f>
        <v>48.562701071167105</v>
      </c>
      <c r="G232" s="84">
        <f t="shared" si="65"/>
        <v>45.709116372325418</v>
      </c>
      <c r="H232" s="84">
        <f t="shared" si="65"/>
        <v>48.767754736494673</v>
      </c>
      <c r="I232" s="84">
        <f t="shared" si="65"/>
        <v>49.349943641752837</v>
      </c>
      <c r="J232" s="84">
        <f t="shared" si="65"/>
        <v>44.618119757366543</v>
      </c>
      <c r="K232" s="84">
        <f t="shared" si="65"/>
        <v>45.123087582063633</v>
      </c>
      <c r="L232" s="84">
        <f t="shared" si="65"/>
        <v>50.180156618766006</v>
      </c>
      <c r="M232" s="84">
        <f t="shared" si="65"/>
        <v>46.587884148501921</v>
      </c>
      <c r="N232" s="84">
        <f t="shared" si="65"/>
        <v>45.442975480668565</v>
      </c>
      <c r="O232" s="84">
        <f t="shared" si="65"/>
        <v>50.500335555684764</v>
      </c>
      <c r="P232" s="84">
        <f t="shared" si="65"/>
        <v>52.28889357985453</v>
      </c>
      <c r="Q232" s="84">
        <f t="shared" si="65"/>
        <v>50.448494191475021</v>
      </c>
      <c r="R232" s="84">
        <f t="shared" si="65"/>
        <v>48.686719694223157</v>
      </c>
      <c r="S232" s="84">
        <f t="shared" si="65"/>
        <v>46.805152267822436</v>
      </c>
      <c r="T232" s="84">
        <f t="shared" si="65"/>
        <v>46.076528285250909</v>
      </c>
      <c r="U232" s="84">
        <f t="shared" si="65"/>
        <v>49.8286931591797</v>
      </c>
      <c r="V232" s="84">
        <f t="shared" si="65"/>
        <v>49.486998366570589</v>
      </c>
      <c r="W232" s="84">
        <f t="shared" si="65"/>
        <v>44.590295087660806</v>
      </c>
      <c r="X232" s="84">
        <f t="shared" si="65"/>
        <v>42.27932299746638</v>
      </c>
      <c r="Y232" s="175"/>
    </row>
    <row r="233" spans="1:25" x14ac:dyDescent="0.25">
      <c r="A233" s="126">
        <f t="shared" si="58"/>
        <v>0</v>
      </c>
      <c r="B233" s="29"/>
      <c r="C233" s="30" t="str">
        <f t="shared" si="56"/>
        <v>Sunward SWDRT270E (1)</v>
      </c>
      <c r="D233" s="9" t="str">
        <f t="shared" si="59"/>
        <v>м3/п. м</v>
      </c>
      <c r="E233" s="84">
        <f>E232</f>
        <v>49.465250092501748</v>
      </c>
      <c r="F233" s="84">
        <f t="shared" ref="F233:X233" si="66">F232</f>
        <v>48.562701071167105</v>
      </c>
      <c r="G233" s="84">
        <f t="shared" si="66"/>
        <v>45.709116372325418</v>
      </c>
      <c r="H233" s="84">
        <f t="shared" si="66"/>
        <v>48.767754736494673</v>
      </c>
      <c r="I233" s="84">
        <f t="shared" si="66"/>
        <v>49.349943641752837</v>
      </c>
      <c r="J233" s="84">
        <f t="shared" si="66"/>
        <v>44.618119757366543</v>
      </c>
      <c r="K233" s="84">
        <f t="shared" si="66"/>
        <v>45.123087582063633</v>
      </c>
      <c r="L233" s="84">
        <f t="shared" si="66"/>
        <v>50.180156618766006</v>
      </c>
      <c r="M233" s="84">
        <f t="shared" si="66"/>
        <v>46.587884148501921</v>
      </c>
      <c r="N233" s="84">
        <f t="shared" si="66"/>
        <v>45.442975480668565</v>
      </c>
      <c r="O233" s="84">
        <f t="shared" si="66"/>
        <v>50.500335555684764</v>
      </c>
      <c r="P233" s="84">
        <f t="shared" si="66"/>
        <v>52.28889357985453</v>
      </c>
      <c r="Q233" s="84">
        <f t="shared" si="66"/>
        <v>50.448494191475021</v>
      </c>
      <c r="R233" s="84">
        <f t="shared" si="66"/>
        <v>48.686719694223157</v>
      </c>
      <c r="S233" s="84">
        <f t="shared" si="66"/>
        <v>46.805152267822436</v>
      </c>
      <c r="T233" s="84">
        <f t="shared" si="66"/>
        <v>46.076528285250909</v>
      </c>
      <c r="U233" s="84">
        <f t="shared" si="66"/>
        <v>49.8286931591797</v>
      </c>
      <c r="V233" s="84">
        <f t="shared" si="66"/>
        <v>49.486998366570589</v>
      </c>
      <c r="W233" s="84">
        <f t="shared" si="66"/>
        <v>44.590295087660806</v>
      </c>
      <c r="X233" s="84">
        <f t="shared" si="66"/>
        <v>42.27932299746638</v>
      </c>
      <c r="Y233" s="175"/>
    </row>
    <row r="234" spans="1:25" x14ac:dyDescent="0.25">
      <c r="A234" s="126">
        <f t="shared" si="58"/>
        <v>0</v>
      </c>
      <c r="B234" s="29"/>
      <c r="C234" s="30" t="str">
        <f t="shared" si="56"/>
        <v>Sunward SWDRT270E (2)</v>
      </c>
      <c r="D234" s="9" t="str">
        <f t="shared" si="59"/>
        <v>м3/п. м</v>
      </c>
      <c r="E234" s="84">
        <f t="shared" si="59"/>
        <v>49.465250092501748</v>
      </c>
      <c r="F234" s="84">
        <f t="shared" ref="F234:X234" si="67">F233</f>
        <v>48.562701071167105</v>
      </c>
      <c r="G234" s="84">
        <f t="shared" si="67"/>
        <v>45.709116372325418</v>
      </c>
      <c r="H234" s="84">
        <f t="shared" si="67"/>
        <v>48.767754736494673</v>
      </c>
      <c r="I234" s="84">
        <f t="shared" si="67"/>
        <v>49.349943641752837</v>
      </c>
      <c r="J234" s="84">
        <f t="shared" si="67"/>
        <v>44.618119757366543</v>
      </c>
      <c r="K234" s="84">
        <f t="shared" si="67"/>
        <v>45.123087582063633</v>
      </c>
      <c r="L234" s="84">
        <f t="shared" si="67"/>
        <v>50.180156618766006</v>
      </c>
      <c r="M234" s="84">
        <f t="shared" si="67"/>
        <v>46.587884148501921</v>
      </c>
      <c r="N234" s="84">
        <f t="shared" si="67"/>
        <v>45.442975480668565</v>
      </c>
      <c r="O234" s="84">
        <f t="shared" si="67"/>
        <v>50.500335555684764</v>
      </c>
      <c r="P234" s="84">
        <f t="shared" si="67"/>
        <v>52.28889357985453</v>
      </c>
      <c r="Q234" s="84">
        <f t="shared" si="67"/>
        <v>50.448494191475021</v>
      </c>
      <c r="R234" s="84">
        <f t="shared" si="67"/>
        <v>48.686719694223157</v>
      </c>
      <c r="S234" s="84">
        <f t="shared" si="67"/>
        <v>46.805152267822436</v>
      </c>
      <c r="T234" s="84">
        <f t="shared" si="67"/>
        <v>46.076528285250909</v>
      </c>
      <c r="U234" s="84">
        <f t="shared" si="67"/>
        <v>49.8286931591797</v>
      </c>
      <c r="V234" s="84">
        <f t="shared" si="67"/>
        <v>49.486998366570589</v>
      </c>
      <c r="W234" s="84">
        <f t="shared" si="67"/>
        <v>44.590295087660806</v>
      </c>
      <c r="X234" s="84">
        <f t="shared" si="67"/>
        <v>42.27932299746638</v>
      </c>
      <c r="Y234" s="175"/>
    </row>
    <row r="235" spans="1:25" x14ac:dyDescent="0.25">
      <c r="A235" s="126">
        <f t="shared" si="58"/>
        <v>0</v>
      </c>
      <c r="B235" s="29"/>
      <c r="C235" s="30" t="str">
        <f t="shared" si="56"/>
        <v>HIFO 75Е</v>
      </c>
      <c r="D235" s="9" t="str">
        <f t="shared" si="59"/>
        <v>м3/п. м</v>
      </c>
      <c r="E235" s="84">
        <f t="shared" si="59"/>
        <v>49.465250092501748</v>
      </c>
      <c r="F235" s="84">
        <f t="shared" ref="F235:X235" si="68">F234</f>
        <v>48.562701071167105</v>
      </c>
      <c r="G235" s="84">
        <f t="shared" si="68"/>
        <v>45.709116372325418</v>
      </c>
      <c r="H235" s="84">
        <f t="shared" si="68"/>
        <v>48.767754736494673</v>
      </c>
      <c r="I235" s="84">
        <f t="shared" si="68"/>
        <v>49.349943641752837</v>
      </c>
      <c r="J235" s="84">
        <f t="shared" si="68"/>
        <v>44.618119757366543</v>
      </c>
      <c r="K235" s="84">
        <f t="shared" si="68"/>
        <v>45.123087582063633</v>
      </c>
      <c r="L235" s="84">
        <f t="shared" si="68"/>
        <v>50.180156618766006</v>
      </c>
      <c r="M235" s="84">
        <f t="shared" si="68"/>
        <v>46.587884148501921</v>
      </c>
      <c r="N235" s="84">
        <f t="shared" si="68"/>
        <v>45.442975480668565</v>
      </c>
      <c r="O235" s="84">
        <f t="shared" si="68"/>
        <v>50.500335555684764</v>
      </c>
      <c r="P235" s="84">
        <f t="shared" si="68"/>
        <v>52.28889357985453</v>
      </c>
      <c r="Q235" s="84">
        <f t="shared" si="68"/>
        <v>50.448494191475021</v>
      </c>
      <c r="R235" s="84">
        <f t="shared" si="68"/>
        <v>48.686719694223157</v>
      </c>
      <c r="S235" s="84">
        <f t="shared" si="68"/>
        <v>46.805152267822436</v>
      </c>
      <c r="T235" s="84">
        <f t="shared" si="68"/>
        <v>46.076528285250909</v>
      </c>
      <c r="U235" s="84">
        <f t="shared" si="68"/>
        <v>49.8286931591797</v>
      </c>
      <c r="V235" s="84">
        <f t="shared" si="68"/>
        <v>49.486998366570589</v>
      </c>
      <c r="W235" s="84">
        <f t="shared" si="68"/>
        <v>44.590295087660806</v>
      </c>
      <c r="X235" s="84">
        <f t="shared" si="68"/>
        <v>42.27932299746638</v>
      </c>
      <c r="Y235" s="175"/>
    </row>
    <row r="236" spans="1:25" x14ac:dyDescent="0.25">
      <c r="A236" s="126">
        <f t="shared" si="58"/>
        <v>0</v>
      </c>
      <c r="B236" s="29"/>
      <c r="C236" s="30" t="str">
        <f t="shared" si="56"/>
        <v>НИВА 22.01.00.00.00.00.00.000 (1)</v>
      </c>
      <c r="D236" s="9" t="str">
        <f t="shared" si="59"/>
        <v>м3/п. м</v>
      </c>
      <c r="E236" s="84">
        <f t="shared" si="59"/>
        <v>49.465250092501748</v>
      </c>
      <c r="F236" s="84">
        <f t="shared" ref="F236:X236" si="69">F235</f>
        <v>48.562701071167105</v>
      </c>
      <c r="G236" s="84">
        <f t="shared" si="69"/>
        <v>45.709116372325418</v>
      </c>
      <c r="H236" s="84">
        <f t="shared" si="69"/>
        <v>48.767754736494673</v>
      </c>
      <c r="I236" s="84">
        <f t="shared" si="69"/>
        <v>49.349943641752837</v>
      </c>
      <c r="J236" s="84">
        <f t="shared" si="69"/>
        <v>44.618119757366543</v>
      </c>
      <c r="K236" s="84">
        <f t="shared" si="69"/>
        <v>45.123087582063633</v>
      </c>
      <c r="L236" s="84">
        <f t="shared" si="69"/>
        <v>50.180156618766006</v>
      </c>
      <c r="M236" s="84">
        <f t="shared" si="69"/>
        <v>46.587884148501921</v>
      </c>
      <c r="N236" s="84">
        <f t="shared" si="69"/>
        <v>45.442975480668565</v>
      </c>
      <c r="O236" s="84">
        <f t="shared" si="69"/>
        <v>50.500335555684764</v>
      </c>
      <c r="P236" s="84">
        <f t="shared" si="69"/>
        <v>52.28889357985453</v>
      </c>
      <c r="Q236" s="84">
        <f t="shared" si="69"/>
        <v>50.448494191475021</v>
      </c>
      <c r="R236" s="84">
        <f t="shared" si="69"/>
        <v>48.686719694223157</v>
      </c>
      <c r="S236" s="84">
        <f t="shared" si="69"/>
        <v>46.805152267822436</v>
      </c>
      <c r="T236" s="84">
        <f t="shared" si="69"/>
        <v>46.076528285250909</v>
      </c>
      <c r="U236" s="84">
        <f t="shared" si="69"/>
        <v>49.8286931591797</v>
      </c>
      <c r="V236" s="84">
        <f t="shared" si="69"/>
        <v>49.486998366570589</v>
      </c>
      <c r="W236" s="84">
        <f t="shared" si="69"/>
        <v>44.590295087660806</v>
      </c>
      <c r="X236" s="84">
        <f t="shared" si="69"/>
        <v>42.27932299746638</v>
      </c>
      <c r="Y236" s="175"/>
    </row>
    <row r="237" spans="1:25" x14ac:dyDescent="0.25">
      <c r="A237" s="126">
        <f t="shared" si="58"/>
        <v>0</v>
      </c>
      <c r="B237" s="29"/>
      <c r="C237" s="30" t="str">
        <f t="shared" si="56"/>
        <v>НИВА 22.01.00.00.00.00.00.000 (2)</v>
      </c>
      <c r="D237" s="9" t="str">
        <f t="shared" si="59"/>
        <v>м3/п. м</v>
      </c>
      <c r="E237" s="84">
        <f t="shared" si="59"/>
        <v>49.465250092501748</v>
      </c>
      <c r="F237" s="84">
        <f t="shared" ref="F237:X237" si="70">F236</f>
        <v>48.562701071167105</v>
      </c>
      <c r="G237" s="84">
        <f t="shared" si="70"/>
        <v>45.709116372325418</v>
      </c>
      <c r="H237" s="84">
        <f t="shared" si="70"/>
        <v>48.767754736494673</v>
      </c>
      <c r="I237" s="84">
        <f t="shared" si="70"/>
        <v>49.349943641752837</v>
      </c>
      <c r="J237" s="84">
        <f t="shared" si="70"/>
        <v>44.618119757366543</v>
      </c>
      <c r="K237" s="84">
        <f t="shared" si="70"/>
        <v>45.123087582063633</v>
      </c>
      <c r="L237" s="84">
        <f t="shared" si="70"/>
        <v>50.180156618766006</v>
      </c>
      <c r="M237" s="84">
        <f t="shared" si="70"/>
        <v>46.587884148501921</v>
      </c>
      <c r="N237" s="84">
        <f t="shared" si="70"/>
        <v>45.442975480668565</v>
      </c>
      <c r="O237" s="84">
        <f t="shared" si="70"/>
        <v>50.500335555684764</v>
      </c>
      <c r="P237" s="84">
        <f t="shared" si="70"/>
        <v>52.28889357985453</v>
      </c>
      <c r="Q237" s="84">
        <f t="shared" si="70"/>
        <v>50.448494191475021</v>
      </c>
      <c r="R237" s="84">
        <f t="shared" si="70"/>
        <v>48.686719694223157</v>
      </c>
      <c r="S237" s="84">
        <f t="shared" si="70"/>
        <v>46.805152267822436</v>
      </c>
      <c r="T237" s="84">
        <f t="shared" si="70"/>
        <v>46.076528285250909</v>
      </c>
      <c r="U237" s="84">
        <f t="shared" si="70"/>
        <v>49.8286931591797</v>
      </c>
      <c r="V237" s="84">
        <f t="shared" si="70"/>
        <v>49.486998366570589</v>
      </c>
      <c r="W237" s="84">
        <f t="shared" si="70"/>
        <v>44.590295087660806</v>
      </c>
      <c r="X237" s="84">
        <f t="shared" si="70"/>
        <v>42.27932299746638</v>
      </c>
      <c r="Y237" s="175"/>
    </row>
    <row r="238" spans="1:25" x14ac:dyDescent="0.25">
      <c r="A238" s="126">
        <f t="shared" si="58"/>
        <v>0</v>
      </c>
      <c r="B238" s="29"/>
      <c r="C238" s="30" t="str">
        <f t="shared" si="56"/>
        <v>**</v>
      </c>
      <c r="D238" s="9" t="str">
        <f t="shared" si="59"/>
        <v>м3/п. м</v>
      </c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175"/>
    </row>
    <row r="239" spans="1:25" x14ac:dyDescent="0.25">
      <c r="A239" s="126">
        <f t="shared" si="58"/>
        <v>1</v>
      </c>
      <c r="B239" s="29"/>
      <c r="C239" s="30" t="str">
        <f t="shared" si="56"/>
        <v>БС-215</v>
      </c>
      <c r="D239" s="9" t="str">
        <f t="shared" si="59"/>
        <v>м3/п. м</v>
      </c>
      <c r="E239" s="243">
        <v>19.08926791056787</v>
      </c>
      <c r="F239" s="243">
        <v>20.359116371145536</v>
      </c>
      <c r="G239" s="243">
        <v>20.671309961650948</v>
      </c>
      <c r="H239" s="243">
        <v>21.082639097527142</v>
      </c>
      <c r="I239" s="243">
        <v>22.256615512039591</v>
      </c>
      <c r="J239" s="243">
        <v>22.107167998284584</v>
      </c>
      <c r="K239" s="243">
        <v>21.133915120591034</v>
      </c>
      <c r="L239" s="243">
        <v>23.051181123644778</v>
      </c>
      <c r="M239" s="243">
        <v>21.95769774683469</v>
      </c>
      <c r="N239" s="243">
        <v>20.573629272169626</v>
      </c>
      <c r="O239" s="243">
        <v>20.207133627624977</v>
      </c>
      <c r="P239" s="243">
        <v>20.556809539735475</v>
      </c>
      <c r="Q239" s="243">
        <v>20.738135816026748</v>
      </c>
      <c r="R239" s="243">
        <v>21.497333129053477</v>
      </c>
      <c r="S239" s="243">
        <v>21.130186349060153</v>
      </c>
      <c r="T239" s="243">
        <v>21.474183570124097</v>
      </c>
      <c r="U239" s="243">
        <v>20.522022304824592</v>
      </c>
      <c r="V239" s="243">
        <v>21.095930562019415</v>
      </c>
      <c r="W239" s="243">
        <v>20.000348436976356</v>
      </c>
      <c r="X239" s="243">
        <v>20.441047239899905</v>
      </c>
      <c r="Y239" s="175" t="str">
        <f>Y224</f>
        <v>балансировка КП 1.0.1</v>
      </c>
    </row>
    <row r="240" spans="1:25" x14ac:dyDescent="0.25">
      <c r="A240" s="126">
        <f t="shared" si="58"/>
        <v>0</v>
      </c>
      <c r="B240" s="29"/>
      <c r="C240" s="30" t="str">
        <f t="shared" si="56"/>
        <v>Sunward SWDRT200SM</v>
      </c>
      <c r="D240" s="9" t="str">
        <f t="shared" si="59"/>
        <v>м3/п. м</v>
      </c>
      <c r="E240" s="84">
        <f>E239</f>
        <v>19.08926791056787</v>
      </c>
      <c r="F240" s="84">
        <f t="shared" ref="F240:X240" si="71">F239</f>
        <v>20.359116371145536</v>
      </c>
      <c r="G240" s="84">
        <f t="shared" si="71"/>
        <v>20.671309961650948</v>
      </c>
      <c r="H240" s="84">
        <f t="shared" si="71"/>
        <v>21.082639097527142</v>
      </c>
      <c r="I240" s="84">
        <f t="shared" si="71"/>
        <v>22.256615512039591</v>
      </c>
      <c r="J240" s="84">
        <f t="shared" si="71"/>
        <v>22.107167998284584</v>
      </c>
      <c r="K240" s="84">
        <f t="shared" si="71"/>
        <v>21.133915120591034</v>
      </c>
      <c r="L240" s="84">
        <f t="shared" si="71"/>
        <v>23.051181123644778</v>
      </c>
      <c r="M240" s="84">
        <f t="shared" si="71"/>
        <v>21.95769774683469</v>
      </c>
      <c r="N240" s="84">
        <f t="shared" si="71"/>
        <v>20.573629272169626</v>
      </c>
      <c r="O240" s="84">
        <f t="shared" si="71"/>
        <v>20.207133627624977</v>
      </c>
      <c r="P240" s="84">
        <f t="shared" si="71"/>
        <v>20.556809539735475</v>
      </c>
      <c r="Q240" s="84">
        <f t="shared" si="71"/>
        <v>20.738135816026748</v>
      </c>
      <c r="R240" s="84">
        <f t="shared" si="71"/>
        <v>21.497333129053477</v>
      </c>
      <c r="S240" s="84">
        <f t="shared" si="71"/>
        <v>21.130186349060153</v>
      </c>
      <c r="T240" s="84">
        <f t="shared" si="71"/>
        <v>21.474183570124097</v>
      </c>
      <c r="U240" s="84">
        <f t="shared" si="71"/>
        <v>20.522022304824592</v>
      </c>
      <c r="V240" s="84">
        <f t="shared" si="71"/>
        <v>21.095930562019415</v>
      </c>
      <c r="W240" s="84">
        <f t="shared" si="71"/>
        <v>20.000348436976356</v>
      </c>
      <c r="X240" s="84">
        <f t="shared" si="71"/>
        <v>20.441047239899905</v>
      </c>
      <c r="Y240" s="175"/>
    </row>
    <row r="241" spans="1:26" x14ac:dyDescent="0.25">
      <c r="A241" s="126">
        <f t="shared" si="58"/>
        <v>0</v>
      </c>
      <c r="B241" s="29"/>
      <c r="C241" s="30" t="str">
        <f t="shared" si="56"/>
        <v>Sunward SWDRT250B</v>
      </c>
      <c r="D241" s="9" t="str">
        <f t="shared" si="59"/>
        <v>м3/п. м</v>
      </c>
      <c r="E241" s="84">
        <f t="shared" si="59"/>
        <v>19.08926791056787</v>
      </c>
      <c r="F241" s="84">
        <f t="shared" ref="F241:X241" si="72">F240</f>
        <v>20.359116371145536</v>
      </c>
      <c r="G241" s="84">
        <f t="shared" si="72"/>
        <v>20.671309961650948</v>
      </c>
      <c r="H241" s="84">
        <f t="shared" si="72"/>
        <v>21.082639097527142</v>
      </c>
      <c r="I241" s="84">
        <f t="shared" si="72"/>
        <v>22.256615512039591</v>
      </c>
      <c r="J241" s="84">
        <f t="shared" si="72"/>
        <v>22.107167998284584</v>
      </c>
      <c r="K241" s="84">
        <f t="shared" si="72"/>
        <v>21.133915120591034</v>
      </c>
      <c r="L241" s="84">
        <f t="shared" si="72"/>
        <v>23.051181123644778</v>
      </c>
      <c r="M241" s="84">
        <f t="shared" si="72"/>
        <v>21.95769774683469</v>
      </c>
      <c r="N241" s="84">
        <f t="shared" si="72"/>
        <v>20.573629272169626</v>
      </c>
      <c r="O241" s="84">
        <f t="shared" si="72"/>
        <v>20.207133627624977</v>
      </c>
      <c r="P241" s="84">
        <f t="shared" si="72"/>
        <v>20.556809539735475</v>
      </c>
      <c r="Q241" s="84">
        <f t="shared" si="72"/>
        <v>20.738135816026748</v>
      </c>
      <c r="R241" s="84">
        <f t="shared" si="72"/>
        <v>21.497333129053477</v>
      </c>
      <c r="S241" s="84">
        <f t="shared" si="72"/>
        <v>21.130186349060153</v>
      </c>
      <c r="T241" s="84">
        <f t="shared" si="72"/>
        <v>21.474183570124097</v>
      </c>
      <c r="U241" s="84">
        <f t="shared" si="72"/>
        <v>20.522022304824592</v>
      </c>
      <c r="V241" s="84">
        <f t="shared" si="72"/>
        <v>21.095930562019415</v>
      </c>
      <c r="W241" s="84">
        <f t="shared" si="72"/>
        <v>20.000348436976356</v>
      </c>
      <c r="X241" s="84">
        <f t="shared" si="72"/>
        <v>20.441047239899905</v>
      </c>
      <c r="Y241" s="175"/>
    </row>
    <row r="242" spans="1:26" x14ac:dyDescent="0.25">
      <c r="A242" s="126">
        <f t="shared" si="58"/>
        <v>0</v>
      </c>
      <c r="B242" s="29"/>
      <c r="C242" s="30" t="str">
        <f t="shared" si="56"/>
        <v>ZEGA R8100L (2)</v>
      </c>
      <c r="D242" s="9" t="str">
        <f t="shared" si="59"/>
        <v>м3/п. м</v>
      </c>
      <c r="E242" s="84">
        <f t="shared" si="59"/>
        <v>19.08926791056787</v>
      </c>
      <c r="F242" s="84">
        <f t="shared" ref="F242:X242" si="73">F241</f>
        <v>20.359116371145536</v>
      </c>
      <c r="G242" s="84">
        <f t="shared" si="73"/>
        <v>20.671309961650948</v>
      </c>
      <c r="H242" s="84">
        <f t="shared" si="73"/>
        <v>21.082639097527142</v>
      </c>
      <c r="I242" s="84">
        <f t="shared" si="73"/>
        <v>22.256615512039591</v>
      </c>
      <c r="J242" s="84">
        <f t="shared" si="73"/>
        <v>22.107167998284584</v>
      </c>
      <c r="K242" s="84">
        <f t="shared" si="73"/>
        <v>21.133915120591034</v>
      </c>
      <c r="L242" s="84">
        <f t="shared" si="73"/>
        <v>23.051181123644778</v>
      </c>
      <c r="M242" s="84">
        <f t="shared" si="73"/>
        <v>21.95769774683469</v>
      </c>
      <c r="N242" s="84">
        <f t="shared" si="73"/>
        <v>20.573629272169626</v>
      </c>
      <c r="O242" s="84">
        <f t="shared" si="73"/>
        <v>20.207133627624977</v>
      </c>
      <c r="P242" s="84">
        <f t="shared" si="73"/>
        <v>20.556809539735475</v>
      </c>
      <c r="Q242" s="84">
        <f t="shared" si="73"/>
        <v>20.738135816026748</v>
      </c>
      <c r="R242" s="84">
        <f t="shared" si="73"/>
        <v>21.497333129053477</v>
      </c>
      <c r="S242" s="84">
        <f t="shared" si="73"/>
        <v>21.130186349060153</v>
      </c>
      <c r="T242" s="84">
        <f t="shared" si="73"/>
        <v>21.474183570124097</v>
      </c>
      <c r="U242" s="84">
        <f t="shared" si="73"/>
        <v>20.522022304824592</v>
      </c>
      <c r="V242" s="84">
        <f t="shared" si="73"/>
        <v>21.095930562019415</v>
      </c>
      <c r="W242" s="84">
        <f t="shared" si="73"/>
        <v>20.000348436976356</v>
      </c>
      <c r="X242" s="84">
        <f t="shared" si="73"/>
        <v>20.441047239899905</v>
      </c>
      <c r="Y242" s="175"/>
    </row>
    <row r="243" spans="1:26" x14ac:dyDescent="0.25">
      <c r="A243" s="126">
        <f t="shared" si="58"/>
        <v>0</v>
      </c>
      <c r="B243" s="29"/>
      <c r="C243" s="30" t="str">
        <f t="shared" si="56"/>
        <v>Revathi C650D</v>
      </c>
      <c r="D243" s="9" t="str">
        <f t="shared" si="59"/>
        <v>м3/п. м</v>
      </c>
      <c r="E243" s="84">
        <f t="shared" si="59"/>
        <v>19.08926791056787</v>
      </c>
      <c r="F243" s="84">
        <f t="shared" ref="F243:X243" si="74">F242</f>
        <v>20.359116371145536</v>
      </c>
      <c r="G243" s="84">
        <f t="shared" si="74"/>
        <v>20.671309961650948</v>
      </c>
      <c r="H243" s="84">
        <f t="shared" si="74"/>
        <v>21.082639097527142</v>
      </c>
      <c r="I243" s="84">
        <f t="shared" si="74"/>
        <v>22.256615512039591</v>
      </c>
      <c r="J243" s="84">
        <f t="shared" si="74"/>
        <v>22.107167998284584</v>
      </c>
      <c r="K243" s="84">
        <f t="shared" si="74"/>
        <v>21.133915120591034</v>
      </c>
      <c r="L243" s="84">
        <f t="shared" si="74"/>
        <v>23.051181123644778</v>
      </c>
      <c r="M243" s="84">
        <f t="shared" si="74"/>
        <v>21.95769774683469</v>
      </c>
      <c r="N243" s="84">
        <f t="shared" si="74"/>
        <v>20.573629272169626</v>
      </c>
      <c r="O243" s="84">
        <f t="shared" si="74"/>
        <v>20.207133627624977</v>
      </c>
      <c r="P243" s="84">
        <f t="shared" si="74"/>
        <v>20.556809539735475</v>
      </c>
      <c r="Q243" s="84">
        <f t="shared" si="74"/>
        <v>20.738135816026748</v>
      </c>
      <c r="R243" s="84">
        <f t="shared" si="74"/>
        <v>21.497333129053477</v>
      </c>
      <c r="S243" s="84">
        <f t="shared" si="74"/>
        <v>21.130186349060153</v>
      </c>
      <c r="T243" s="84">
        <f t="shared" si="74"/>
        <v>21.474183570124097</v>
      </c>
      <c r="U243" s="84">
        <f t="shared" si="74"/>
        <v>20.522022304824592</v>
      </c>
      <c r="V243" s="84">
        <f t="shared" si="74"/>
        <v>21.095930562019415</v>
      </c>
      <c r="W243" s="84">
        <f t="shared" si="74"/>
        <v>20.000348436976356</v>
      </c>
      <c r="X243" s="84">
        <f t="shared" si="74"/>
        <v>20.441047239899905</v>
      </c>
      <c r="Y243" s="175"/>
    </row>
    <row r="244" spans="1:26" x14ac:dyDescent="0.25">
      <c r="A244" s="126">
        <f t="shared" si="58"/>
        <v>0</v>
      </c>
      <c r="B244" s="29"/>
      <c r="C244" s="30" t="str">
        <f t="shared" si="56"/>
        <v>MS1200RB</v>
      </c>
      <c r="D244" s="9" t="str">
        <f t="shared" si="59"/>
        <v>м3/п. м</v>
      </c>
      <c r="E244" s="84">
        <f t="shared" si="59"/>
        <v>19.08926791056787</v>
      </c>
      <c r="F244" s="84">
        <f t="shared" ref="F244:X244" si="75">F243</f>
        <v>20.359116371145536</v>
      </c>
      <c r="G244" s="84">
        <f t="shared" si="75"/>
        <v>20.671309961650948</v>
      </c>
      <c r="H244" s="84">
        <f t="shared" si="75"/>
        <v>21.082639097527142</v>
      </c>
      <c r="I244" s="84">
        <f t="shared" si="75"/>
        <v>22.256615512039591</v>
      </c>
      <c r="J244" s="84">
        <f t="shared" si="75"/>
        <v>22.107167998284584</v>
      </c>
      <c r="K244" s="84">
        <f t="shared" si="75"/>
        <v>21.133915120591034</v>
      </c>
      <c r="L244" s="84">
        <f t="shared" si="75"/>
        <v>23.051181123644778</v>
      </c>
      <c r="M244" s="84">
        <f t="shared" si="75"/>
        <v>21.95769774683469</v>
      </c>
      <c r="N244" s="84">
        <f t="shared" si="75"/>
        <v>20.573629272169626</v>
      </c>
      <c r="O244" s="84">
        <f t="shared" si="75"/>
        <v>20.207133627624977</v>
      </c>
      <c r="P244" s="84">
        <f t="shared" si="75"/>
        <v>20.556809539735475</v>
      </c>
      <c r="Q244" s="84">
        <f t="shared" si="75"/>
        <v>20.738135816026748</v>
      </c>
      <c r="R244" s="84">
        <f t="shared" si="75"/>
        <v>21.497333129053477</v>
      </c>
      <c r="S244" s="84">
        <f t="shared" si="75"/>
        <v>21.130186349060153</v>
      </c>
      <c r="T244" s="84">
        <f t="shared" si="75"/>
        <v>21.474183570124097</v>
      </c>
      <c r="U244" s="84">
        <f t="shared" si="75"/>
        <v>20.522022304824592</v>
      </c>
      <c r="V244" s="84">
        <f t="shared" si="75"/>
        <v>21.095930562019415</v>
      </c>
      <c r="W244" s="84">
        <f t="shared" si="75"/>
        <v>20.000348436976356</v>
      </c>
      <c r="X244" s="84">
        <f t="shared" si="75"/>
        <v>20.441047239899905</v>
      </c>
      <c r="Y244" s="175"/>
    </row>
    <row r="245" spans="1:26" x14ac:dyDescent="0.25">
      <c r="A245" s="126">
        <f t="shared" si="58"/>
        <v>0</v>
      </c>
      <c r="B245" s="29"/>
      <c r="C245" s="30" t="str">
        <f t="shared" si="56"/>
        <v>СБ-55Д-01</v>
      </c>
      <c r="D245" s="9" t="str">
        <f t="shared" si="59"/>
        <v>м3/п. м</v>
      </c>
      <c r="E245" s="84">
        <f t="shared" si="59"/>
        <v>19.08926791056787</v>
      </c>
      <c r="F245" s="84">
        <f t="shared" ref="F245:X245" si="76">F244</f>
        <v>20.359116371145536</v>
      </c>
      <c r="G245" s="84">
        <f t="shared" si="76"/>
        <v>20.671309961650948</v>
      </c>
      <c r="H245" s="84">
        <f t="shared" si="76"/>
        <v>21.082639097527142</v>
      </c>
      <c r="I245" s="84">
        <f t="shared" si="76"/>
        <v>22.256615512039591</v>
      </c>
      <c r="J245" s="84">
        <f t="shared" si="76"/>
        <v>22.107167998284584</v>
      </c>
      <c r="K245" s="84">
        <f t="shared" si="76"/>
        <v>21.133915120591034</v>
      </c>
      <c r="L245" s="84">
        <f t="shared" si="76"/>
        <v>23.051181123644778</v>
      </c>
      <c r="M245" s="84">
        <f t="shared" si="76"/>
        <v>21.95769774683469</v>
      </c>
      <c r="N245" s="84">
        <f t="shared" si="76"/>
        <v>20.573629272169626</v>
      </c>
      <c r="O245" s="84">
        <f t="shared" si="76"/>
        <v>20.207133627624977</v>
      </c>
      <c r="P245" s="84">
        <f t="shared" si="76"/>
        <v>20.556809539735475</v>
      </c>
      <c r="Q245" s="84">
        <f t="shared" si="76"/>
        <v>20.738135816026748</v>
      </c>
      <c r="R245" s="84">
        <f t="shared" si="76"/>
        <v>21.497333129053477</v>
      </c>
      <c r="S245" s="84">
        <f t="shared" si="76"/>
        <v>21.130186349060153</v>
      </c>
      <c r="T245" s="84">
        <f t="shared" si="76"/>
        <v>21.474183570124097</v>
      </c>
      <c r="U245" s="84">
        <f t="shared" si="76"/>
        <v>20.522022304824592</v>
      </c>
      <c r="V245" s="84">
        <f t="shared" si="76"/>
        <v>21.095930562019415</v>
      </c>
      <c r="W245" s="84">
        <f t="shared" si="76"/>
        <v>20.000348436976356</v>
      </c>
      <c r="X245" s="84">
        <f t="shared" si="76"/>
        <v>20.441047239899905</v>
      </c>
      <c r="Y245" s="175"/>
    </row>
    <row r="246" spans="1:26" x14ac:dyDescent="0.25">
      <c r="A246" s="126">
        <f t="shared" si="58"/>
        <v>0</v>
      </c>
      <c r="B246" s="29"/>
      <c r="C246" s="30" t="str">
        <f t="shared" si="56"/>
        <v>KAMACH KY-250D</v>
      </c>
      <c r="D246" s="9" t="str">
        <f t="shared" si="59"/>
        <v>м3/п. м</v>
      </c>
      <c r="E246" s="84">
        <f t="shared" si="59"/>
        <v>19.08926791056787</v>
      </c>
      <c r="F246" s="84">
        <f t="shared" ref="F246:X246" si="77">F245</f>
        <v>20.359116371145536</v>
      </c>
      <c r="G246" s="84">
        <f t="shared" si="77"/>
        <v>20.671309961650948</v>
      </c>
      <c r="H246" s="84">
        <f t="shared" si="77"/>
        <v>21.082639097527142</v>
      </c>
      <c r="I246" s="84">
        <f t="shared" si="77"/>
        <v>22.256615512039591</v>
      </c>
      <c r="J246" s="84">
        <f t="shared" si="77"/>
        <v>22.107167998284584</v>
      </c>
      <c r="K246" s="84">
        <f t="shared" si="77"/>
        <v>21.133915120591034</v>
      </c>
      <c r="L246" s="84">
        <f t="shared" si="77"/>
        <v>23.051181123644778</v>
      </c>
      <c r="M246" s="84">
        <f t="shared" si="77"/>
        <v>21.95769774683469</v>
      </c>
      <c r="N246" s="84">
        <f t="shared" si="77"/>
        <v>20.573629272169626</v>
      </c>
      <c r="O246" s="84">
        <f t="shared" si="77"/>
        <v>20.207133627624977</v>
      </c>
      <c r="P246" s="84">
        <f t="shared" si="77"/>
        <v>20.556809539735475</v>
      </c>
      <c r="Q246" s="84">
        <f t="shared" si="77"/>
        <v>20.738135816026748</v>
      </c>
      <c r="R246" s="84">
        <f t="shared" si="77"/>
        <v>21.497333129053477</v>
      </c>
      <c r="S246" s="84">
        <f t="shared" si="77"/>
        <v>21.130186349060153</v>
      </c>
      <c r="T246" s="84">
        <f t="shared" si="77"/>
        <v>21.474183570124097</v>
      </c>
      <c r="U246" s="84">
        <f t="shared" si="77"/>
        <v>20.522022304824592</v>
      </c>
      <c r="V246" s="84">
        <f t="shared" si="77"/>
        <v>21.095930562019415</v>
      </c>
      <c r="W246" s="84">
        <f t="shared" si="77"/>
        <v>20.000348436976356</v>
      </c>
      <c r="X246" s="84">
        <f t="shared" si="77"/>
        <v>20.441047239899905</v>
      </c>
      <c r="Y246" s="175"/>
    </row>
    <row r="247" spans="1:26" x14ac:dyDescent="0.25">
      <c r="A247" s="126">
        <f t="shared" si="58"/>
        <v>0</v>
      </c>
      <c r="B247" s="29"/>
      <c r="C247" s="30" t="str">
        <f t="shared" si="56"/>
        <v>НИВА 23.01.00.00.00.00.00.000 (1)</v>
      </c>
      <c r="D247" s="9" t="str">
        <f t="shared" si="59"/>
        <v>м3/п. м</v>
      </c>
      <c r="E247" s="84">
        <f t="shared" si="59"/>
        <v>19.08926791056787</v>
      </c>
      <c r="F247" s="84">
        <f t="shared" ref="F247:X247" si="78">F246</f>
        <v>20.359116371145536</v>
      </c>
      <c r="G247" s="84">
        <f t="shared" si="78"/>
        <v>20.671309961650948</v>
      </c>
      <c r="H247" s="84">
        <f t="shared" si="78"/>
        <v>21.082639097527142</v>
      </c>
      <c r="I247" s="84">
        <f t="shared" si="78"/>
        <v>22.256615512039591</v>
      </c>
      <c r="J247" s="84">
        <f t="shared" si="78"/>
        <v>22.107167998284584</v>
      </c>
      <c r="K247" s="84">
        <f t="shared" si="78"/>
        <v>21.133915120591034</v>
      </c>
      <c r="L247" s="84">
        <f t="shared" si="78"/>
        <v>23.051181123644778</v>
      </c>
      <c r="M247" s="84">
        <f t="shared" si="78"/>
        <v>21.95769774683469</v>
      </c>
      <c r="N247" s="84">
        <f t="shared" si="78"/>
        <v>20.573629272169626</v>
      </c>
      <c r="O247" s="84">
        <f t="shared" si="78"/>
        <v>20.207133627624977</v>
      </c>
      <c r="P247" s="84">
        <f t="shared" si="78"/>
        <v>20.556809539735475</v>
      </c>
      <c r="Q247" s="84">
        <f t="shared" si="78"/>
        <v>20.738135816026748</v>
      </c>
      <c r="R247" s="84">
        <f t="shared" si="78"/>
        <v>21.497333129053477</v>
      </c>
      <c r="S247" s="84">
        <f t="shared" si="78"/>
        <v>21.130186349060153</v>
      </c>
      <c r="T247" s="84">
        <f t="shared" si="78"/>
        <v>21.474183570124097</v>
      </c>
      <c r="U247" s="84">
        <f t="shared" si="78"/>
        <v>20.522022304824592</v>
      </c>
      <c r="V247" s="84">
        <f t="shared" si="78"/>
        <v>21.095930562019415</v>
      </c>
      <c r="W247" s="84">
        <f t="shared" si="78"/>
        <v>20.000348436976356</v>
      </c>
      <c r="X247" s="84">
        <f t="shared" si="78"/>
        <v>20.441047239899905</v>
      </c>
      <c r="Y247" s="175"/>
    </row>
    <row r="248" spans="1:26" x14ac:dyDescent="0.25">
      <c r="A248" s="126">
        <f t="shared" si="58"/>
        <v>0</v>
      </c>
      <c r="B248" s="29"/>
      <c r="C248" s="30" t="str">
        <f t="shared" si="56"/>
        <v>НИВА 23.01.00.00.00.00.00.000 (2)</v>
      </c>
      <c r="D248" s="9" t="str">
        <f t="shared" si="59"/>
        <v>м3/п. м</v>
      </c>
      <c r="E248" s="84">
        <f t="shared" si="59"/>
        <v>19.08926791056787</v>
      </c>
      <c r="F248" s="84">
        <f t="shared" ref="F248:X248" si="79">F247</f>
        <v>20.359116371145536</v>
      </c>
      <c r="G248" s="84">
        <f t="shared" si="79"/>
        <v>20.671309961650948</v>
      </c>
      <c r="H248" s="84">
        <f t="shared" si="79"/>
        <v>21.082639097527142</v>
      </c>
      <c r="I248" s="84">
        <f t="shared" si="79"/>
        <v>22.256615512039591</v>
      </c>
      <c r="J248" s="84">
        <f t="shared" si="79"/>
        <v>22.107167998284584</v>
      </c>
      <c r="K248" s="84">
        <f t="shared" si="79"/>
        <v>21.133915120591034</v>
      </c>
      <c r="L248" s="84">
        <f t="shared" si="79"/>
        <v>23.051181123644778</v>
      </c>
      <c r="M248" s="84">
        <f t="shared" si="79"/>
        <v>21.95769774683469</v>
      </c>
      <c r="N248" s="84">
        <f t="shared" si="79"/>
        <v>20.573629272169626</v>
      </c>
      <c r="O248" s="84">
        <f t="shared" si="79"/>
        <v>20.207133627624977</v>
      </c>
      <c r="P248" s="84">
        <f t="shared" si="79"/>
        <v>20.556809539735475</v>
      </c>
      <c r="Q248" s="84">
        <f t="shared" si="79"/>
        <v>20.738135816026748</v>
      </c>
      <c r="R248" s="84">
        <f t="shared" si="79"/>
        <v>21.497333129053477</v>
      </c>
      <c r="S248" s="84">
        <f t="shared" si="79"/>
        <v>21.130186349060153</v>
      </c>
      <c r="T248" s="84">
        <f t="shared" si="79"/>
        <v>21.474183570124097</v>
      </c>
      <c r="U248" s="84">
        <f t="shared" si="79"/>
        <v>20.522022304824592</v>
      </c>
      <c r="V248" s="84">
        <f t="shared" si="79"/>
        <v>21.095930562019415</v>
      </c>
      <c r="W248" s="84">
        <f t="shared" si="79"/>
        <v>20.000348436976356</v>
      </c>
      <c r="X248" s="84">
        <f t="shared" si="79"/>
        <v>20.441047239899905</v>
      </c>
      <c r="Y248" s="175"/>
    </row>
    <row r="249" spans="1:26" x14ac:dyDescent="0.25">
      <c r="A249" s="126">
        <f t="shared" si="58"/>
        <v>0</v>
      </c>
      <c r="B249" s="29"/>
      <c r="C249" s="30" t="str">
        <f t="shared" si="56"/>
        <v>***</v>
      </c>
      <c r="D249" s="9" t="str">
        <f t="shared" ref="D249" si="80">D248</f>
        <v>м3/п. м</v>
      </c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175"/>
    </row>
    <row r="250" spans="1:26" ht="27.2" x14ac:dyDescent="0.25">
      <c r="A250" s="126">
        <f t="shared" si="58"/>
        <v>1</v>
      </c>
      <c r="B250" s="64">
        <f>B223+1</f>
        <v>8</v>
      </c>
      <c r="C250" s="85" t="s">
        <v>174</v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175"/>
    </row>
    <row r="251" spans="1:26" x14ac:dyDescent="0.25">
      <c r="A251" s="126">
        <f t="shared" si="58"/>
        <v>1</v>
      </c>
      <c r="B251" s="29"/>
      <c r="C251" s="30" t="str">
        <f t="shared" ref="C251:C276" si="81">C224</f>
        <v>YANGZI DR75</v>
      </c>
      <c r="D251" s="9" t="s">
        <v>175</v>
      </c>
      <c r="E251" s="70">
        <f>E197*E224</f>
        <v>5319.2255407626353</v>
      </c>
      <c r="F251" s="70">
        <f t="shared" ref="F251:X265" si="82">F197*F224</f>
        <v>5144.9708334549487</v>
      </c>
      <c r="G251" s="70">
        <f t="shared" si="82"/>
        <v>4915.3112295740957</v>
      </c>
      <c r="H251" s="70">
        <f t="shared" si="82"/>
        <v>5166.6952248939115</v>
      </c>
      <c r="I251" s="70">
        <f t="shared" si="82"/>
        <v>5053.7585782909091</v>
      </c>
      <c r="J251" s="70">
        <f t="shared" si="82"/>
        <v>4727.0625342449448</v>
      </c>
      <c r="K251" s="70">
        <f t="shared" si="82"/>
        <v>4433.4731157534452</v>
      </c>
      <c r="L251" s="70">
        <f t="shared" si="82"/>
        <v>5331.7715032858678</v>
      </c>
      <c r="M251" s="70">
        <f t="shared" si="82"/>
        <v>4995.4749468802629</v>
      </c>
      <c r="N251" s="70">
        <f t="shared" si="82"/>
        <v>4478.8849727029074</v>
      </c>
      <c r="O251" s="70">
        <f t="shared" si="82"/>
        <v>5414.9950290365759</v>
      </c>
      <c r="P251" s="70">
        <f t="shared" si="82"/>
        <v>5539.7419510857499</v>
      </c>
      <c r="Q251" s="70">
        <f t="shared" si="82"/>
        <v>0</v>
      </c>
      <c r="R251" s="70">
        <f t="shared" si="82"/>
        <v>0</v>
      </c>
      <c r="S251" s="70">
        <f t="shared" si="82"/>
        <v>0</v>
      </c>
      <c r="T251" s="70">
        <f t="shared" si="82"/>
        <v>0</v>
      </c>
      <c r="U251" s="70">
        <f t="shared" si="82"/>
        <v>0</v>
      </c>
      <c r="V251" s="70">
        <f t="shared" si="82"/>
        <v>0</v>
      </c>
      <c r="W251" s="70">
        <f t="shared" si="82"/>
        <v>0</v>
      </c>
      <c r="X251" s="70">
        <f t="shared" si="82"/>
        <v>0</v>
      </c>
      <c r="Y251" s="175"/>
      <c r="Z251" s="47">
        <f>SUM(E251:X251)/Y8</f>
        <v>5043.4471216638549</v>
      </c>
    </row>
    <row r="252" spans="1:26" x14ac:dyDescent="0.25">
      <c r="A252" s="126">
        <f t="shared" si="58"/>
        <v>1</v>
      </c>
      <c r="B252" s="29"/>
      <c r="C252" s="30" t="str">
        <f t="shared" si="81"/>
        <v>Sunward SWDRT250SM</v>
      </c>
      <c r="D252" s="9" t="str">
        <f>D251</f>
        <v>тыс. м3</v>
      </c>
      <c r="E252" s="70">
        <f t="shared" ref="E252:T276" si="83">E198*E225</f>
        <v>5514.52767729466</v>
      </c>
      <c r="F252" s="70">
        <f t="shared" si="83"/>
        <v>5235.9601946982157</v>
      </c>
      <c r="G252" s="70">
        <f t="shared" si="83"/>
        <v>4814.5224522361423</v>
      </c>
      <c r="H252" s="70">
        <f t="shared" si="83"/>
        <v>5315.3876888398408</v>
      </c>
      <c r="I252" s="70">
        <f t="shared" si="83"/>
        <v>5320.8395500931756</v>
      </c>
      <c r="J252" s="70">
        <f t="shared" si="83"/>
        <v>4687.2690140862414</v>
      </c>
      <c r="K252" s="70">
        <f t="shared" si="83"/>
        <v>4846.3877491738067</v>
      </c>
      <c r="L252" s="70">
        <f t="shared" si="83"/>
        <v>5410.351912562317</v>
      </c>
      <c r="M252" s="70">
        <f t="shared" si="83"/>
        <v>4932.8506098252701</v>
      </c>
      <c r="N252" s="70">
        <f t="shared" si="83"/>
        <v>4836.7592534636378</v>
      </c>
      <c r="O252" s="70">
        <f t="shared" si="83"/>
        <v>5375.0433971007105</v>
      </c>
      <c r="P252" s="70">
        <f t="shared" si="83"/>
        <v>5565.4099935274744</v>
      </c>
      <c r="Q252" s="70">
        <f t="shared" si="83"/>
        <v>0</v>
      </c>
      <c r="R252" s="70">
        <f t="shared" si="83"/>
        <v>0</v>
      </c>
      <c r="S252" s="70">
        <f t="shared" si="83"/>
        <v>0</v>
      </c>
      <c r="T252" s="70">
        <f t="shared" si="83"/>
        <v>0</v>
      </c>
      <c r="U252" s="70">
        <f t="shared" si="82"/>
        <v>0</v>
      </c>
      <c r="V252" s="70">
        <f t="shared" si="82"/>
        <v>0</v>
      </c>
      <c r="W252" s="70">
        <f t="shared" si="82"/>
        <v>0</v>
      </c>
      <c r="X252" s="70">
        <f t="shared" si="82"/>
        <v>0</v>
      </c>
      <c r="Y252" s="175"/>
      <c r="Z252" s="47">
        <f t="shared" ref="Z252:Z276" si="84">SUM(E252:X252)/Y9</f>
        <v>5154.6091244084573</v>
      </c>
    </row>
    <row r="253" spans="1:26" x14ac:dyDescent="0.25">
      <c r="A253" s="126">
        <f t="shared" si="58"/>
        <v>1</v>
      </c>
      <c r="B253" s="29"/>
      <c r="C253" s="30" t="str">
        <f t="shared" si="81"/>
        <v>Sunward SWDRT270SM</v>
      </c>
      <c r="D253" s="9" t="str">
        <f t="shared" ref="D253:D275" si="85">D252</f>
        <v>тыс. м3</v>
      </c>
      <c r="E253" s="70">
        <f t="shared" si="83"/>
        <v>6281.7446698914819</v>
      </c>
      <c r="F253" s="70">
        <f t="shared" si="82"/>
        <v>5964.4210655127717</v>
      </c>
      <c r="G253" s="70">
        <f t="shared" si="82"/>
        <v>5484.3501605643023</v>
      </c>
      <c r="H253" s="70">
        <f t="shared" si="82"/>
        <v>6054.8990297491873</v>
      </c>
      <c r="I253" s="70">
        <f t="shared" si="82"/>
        <v>6061.1093894342303</v>
      </c>
      <c r="J253" s="70">
        <f t="shared" si="82"/>
        <v>5339.3923956201133</v>
      </c>
      <c r="K253" s="70">
        <f t="shared" si="82"/>
        <v>5520.6487650697891</v>
      </c>
      <c r="L253" s="70">
        <f t="shared" si="82"/>
        <v>6163.0752945370532</v>
      </c>
      <c r="M253" s="70">
        <f t="shared" si="82"/>
        <v>5619.1409018083887</v>
      </c>
      <c r="N253" s="70">
        <f t="shared" si="82"/>
        <v>5509.6806903504521</v>
      </c>
      <c r="O253" s="70">
        <f t="shared" si="82"/>
        <v>6122.8544285296248</v>
      </c>
      <c r="P253" s="70">
        <f t="shared" si="82"/>
        <v>6339.7060652260725</v>
      </c>
      <c r="Q253" s="70">
        <f t="shared" si="82"/>
        <v>0</v>
      </c>
      <c r="R253" s="70">
        <f t="shared" si="82"/>
        <v>0</v>
      </c>
      <c r="S253" s="70">
        <f t="shared" si="82"/>
        <v>0</v>
      </c>
      <c r="T253" s="70">
        <f t="shared" si="82"/>
        <v>0</v>
      </c>
      <c r="U253" s="70">
        <f t="shared" si="82"/>
        <v>0</v>
      </c>
      <c r="V253" s="70">
        <f t="shared" si="82"/>
        <v>0</v>
      </c>
      <c r="W253" s="70">
        <f t="shared" si="82"/>
        <v>0</v>
      </c>
      <c r="X253" s="70">
        <f t="shared" si="82"/>
        <v>0</v>
      </c>
      <c r="Y253" s="175"/>
      <c r="Z253" s="47">
        <f t="shared" si="84"/>
        <v>5871.751904691122</v>
      </c>
    </row>
    <row r="254" spans="1:26" x14ac:dyDescent="0.25">
      <c r="A254" s="126">
        <f t="shared" si="58"/>
        <v>1</v>
      </c>
      <c r="B254" s="29"/>
      <c r="C254" s="30" t="str">
        <f t="shared" si="81"/>
        <v>Sunward SWDRT270B</v>
      </c>
      <c r="D254" s="9" t="str">
        <f t="shared" si="85"/>
        <v>тыс. м3</v>
      </c>
      <c r="E254" s="70">
        <f t="shared" si="83"/>
        <v>6528.8978545002929</v>
      </c>
      <c r="F254" s="70">
        <f t="shared" si="82"/>
        <v>6409.7707833148925</v>
      </c>
      <c r="G254" s="70">
        <f t="shared" si="82"/>
        <v>5968.254985039197</v>
      </c>
      <c r="H254" s="70">
        <f t="shared" si="82"/>
        <v>6367.6224441624627</v>
      </c>
      <c r="I254" s="70">
        <f t="shared" si="82"/>
        <v>6093.4412745832078</v>
      </c>
      <c r="J254" s="70">
        <f t="shared" si="82"/>
        <v>5699.1552879521259</v>
      </c>
      <c r="K254" s="70">
        <f t="shared" si="82"/>
        <v>5443.452667770789</v>
      </c>
      <c r="L254" s="70">
        <f t="shared" si="82"/>
        <v>6409.6045843995817</v>
      </c>
      <c r="M254" s="70">
        <f t="shared" si="82"/>
        <v>5950.7569512854525</v>
      </c>
      <c r="N254" s="70">
        <f t="shared" si="82"/>
        <v>5482.0425499875546</v>
      </c>
      <c r="O254" s="70">
        <f t="shared" si="82"/>
        <v>6378.8293941682614</v>
      </c>
      <c r="P254" s="70">
        <f t="shared" si="82"/>
        <v>6604.7468335715994</v>
      </c>
      <c r="Q254" s="70">
        <f t="shared" si="82"/>
        <v>0</v>
      </c>
      <c r="R254" s="70">
        <f t="shared" si="82"/>
        <v>0</v>
      </c>
      <c r="S254" s="70">
        <f t="shared" si="82"/>
        <v>0</v>
      </c>
      <c r="T254" s="70">
        <f t="shared" si="82"/>
        <v>0</v>
      </c>
      <c r="U254" s="70">
        <f t="shared" si="82"/>
        <v>0</v>
      </c>
      <c r="V254" s="70">
        <f t="shared" si="82"/>
        <v>0</v>
      </c>
      <c r="W254" s="70">
        <f t="shared" si="82"/>
        <v>0</v>
      </c>
      <c r="X254" s="70">
        <f t="shared" si="82"/>
        <v>0</v>
      </c>
      <c r="Y254" s="175"/>
      <c r="Z254" s="47">
        <f t="shared" si="84"/>
        <v>6111.381300894619</v>
      </c>
    </row>
    <row r="255" spans="1:26" x14ac:dyDescent="0.25">
      <c r="A255" s="126">
        <f t="shared" si="58"/>
        <v>1</v>
      </c>
      <c r="B255" s="29"/>
      <c r="C255" s="30" t="str">
        <f t="shared" si="81"/>
        <v>HIFO 75D</v>
      </c>
      <c r="D255" s="9" t="str">
        <f t="shared" si="85"/>
        <v>тыс. м3</v>
      </c>
      <c r="E255" s="70">
        <f t="shared" si="83"/>
        <v>5103.7423697145732</v>
      </c>
      <c r="F255" s="70">
        <f t="shared" si="82"/>
        <v>4863.48539505587</v>
      </c>
      <c r="G255" s="70">
        <f t="shared" si="82"/>
        <v>4506.8915267037746</v>
      </c>
      <c r="H255" s="70">
        <f t="shared" si="82"/>
        <v>4873.1426584679139</v>
      </c>
      <c r="I255" s="70">
        <f t="shared" si="82"/>
        <v>4960.8764680156337</v>
      </c>
      <c r="J255" s="70">
        <f t="shared" si="82"/>
        <v>4351.3171194191755</v>
      </c>
      <c r="K255" s="70">
        <f t="shared" si="82"/>
        <v>4474.4237370822793</v>
      </c>
      <c r="L255" s="70">
        <f t="shared" si="82"/>
        <v>5046.250250112198</v>
      </c>
      <c r="M255" s="70">
        <f t="shared" si="82"/>
        <v>4589.894223281749</v>
      </c>
      <c r="N255" s="70">
        <f t="shared" si="82"/>
        <v>4475.8963306750757</v>
      </c>
      <c r="O255" s="70">
        <f t="shared" si="82"/>
        <v>0</v>
      </c>
      <c r="P255" s="70">
        <f t="shared" si="82"/>
        <v>0</v>
      </c>
      <c r="Q255" s="70">
        <f t="shared" si="82"/>
        <v>0</v>
      </c>
      <c r="R255" s="70">
        <f t="shared" si="82"/>
        <v>0</v>
      </c>
      <c r="S255" s="70">
        <f t="shared" si="82"/>
        <v>0</v>
      </c>
      <c r="T255" s="70">
        <f t="shared" si="82"/>
        <v>0</v>
      </c>
      <c r="U255" s="70">
        <f t="shared" si="82"/>
        <v>0</v>
      </c>
      <c r="V255" s="70">
        <f t="shared" si="82"/>
        <v>0</v>
      </c>
      <c r="W255" s="70">
        <f t="shared" si="82"/>
        <v>0</v>
      </c>
      <c r="X255" s="70">
        <f t="shared" si="82"/>
        <v>0</v>
      </c>
      <c r="Y255" s="175"/>
      <c r="Z255" s="47">
        <f t="shared" si="84"/>
        <v>4724.5920078528243</v>
      </c>
    </row>
    <row r="256" spans="1:26" x14ac:dyDescent="0.25">
      <c r="A256" s="126">
        <f t="shared" si="58"/>
        <v>0</v>
      </c>
      <c r="B256" s="29"/>
      <c r="C256" s="30" t="str">
        <f t="shared" si="81"/>
        <v>ZEGA R8100L (1)</v>
      </c>
      <c r="D256" s="9" t="str">
        <f t="shared" si="85"/>
        <v>тыс. м3</v>
      </c>
      <c r="E256" s="70">
        <f t="shared" si="83"/>
        <v>0</v>
      </c>
      <c r="F256" s="70">
        <f t="shared" si="82"/>
        <v>0</v>
      </c>
      <c r="G256" s="70">
        <f t="shared" si="82"/>
        <v>0</v>
      </c>
      <c r="H256" s="70">
        <f t="shared" si="82"/>
        <v>0</v>
      </c>
      <c r="I256" s="70">
        <f t="shared" si="82"/>
        <v>0</v>
      </c>
      <c r="J256" s="70">
        <f t="shared" si="82"/>
        <v>0</v>
      </c>
      <c r="K256" s="70">
        <f t="shared" si="82"/>
        <v>0</v>
      </c>
      <c r="L256" s="70">
        <f t="shared" si="82"/>
        <v>0</v>
      </c>
      <c r="M256" s="70">
        <f t="shared" si="82"/>
        <v>0</v>
      </c>
      <c r="N256" s="70">
        <f t="shared" si="82"/>
        <v>0</v>
      </c>
      <c r="O256" s="70">
        <f t="shared" si="82"/>
        <v>0</v>
      </c>
      <c r="P256" s="70">
        <f t="shared" si="82"/>
        <v>0</v>
      </c>
      <c r="Q256" s="70">
        <f t="shared" si="82"/>
        <v>0</v>
      </c>
      <c r="R256" s="70">
        <f t="shared" si="82"/>
        <v>0</v>
      </c>
      <c r="S256" s="70">
        <f t="shared" si="82"/>
        <v>0</v>
      </c>
      <c r="T256" s="70">
        <f t="shared" si="82"/>
        <v>0</v>
      </c>
      <c r="U256" s="70">
        <f t="shared" si="82"/>
        <v>0</v>
      </c>
      <c r="V256" s="70">
        <f t="shared" si="82"/>
        <v>0</v>
      </c>
      <c r="W256" s="70">
        <f t="shared" si="82"/>
        <v>0</v>
      </c>
      <c r="X256" s="70">
        <f t="shared" si="82"/>
        <v>0</v>
      </c>
      <c r="Y256" s="175"/>
      <c r="Z256" s="47" t="e">
        <f t="shared" si="84"/>
        <v>#DIV/0!</v>
      </c>
    </row>
    <row r="257" spans="1:26" x14ac:dyDescent="0.25">
      <c r="A257" s="126">
        <f t="shared" si="58"/>
        <v>0</v>
      </c>
      <c r="B257" s="29"/>
      <c r="C257" s="30" t="str">
        <f t="shared" si="81"/>
        <v>YANGZI  DM75</v>
      </c>
      <c r="D257" s="9" t="str">
        <f t="shared" si="85"/>
        <v>тыс. м3</v>
      </c>
      <c r="E257" s="70">
        <f t="shared" si="83"/>
        <v>0</v>
      </c>
      <c r="F257" s="70">
        <f t="shared" si="82"/>
        <v>0</v>
      </c>
      <c r="G257" s="70">
        <f t="shared" si="82"/>
        <v>0</v>
      </c>
      <c r="H257" s="70">
        <f t="shared" si="82"/>
        <v>0</v>
      </c>
      <c r="I257" s="70">
        <f t="shared" si="82"/>
        <v>0</v>
      </c>
      <c r="J257" s="70">
        <f t="shared" si="82"/>
        <v>0</v>
      </c>
      <c r="K257" s="70">
        <f t="shared" si="82"/>
        <v>0</v>
      </c>
      <c r="L257" s="70">
        <f t="shared" si="82"/>
        <v>0</v>
      </c>
      <c r="M257" s="70">
        <f t="shared" si="82"/>
        <v>0</v>
      </c>
      <c r="N257" s="70">
        <f t="shared" si="82"/>
        <v>0</v>
      </c>
      <c r="O257" s="70">
        <f t="shared" si="82"/>
        <v>0</v>
      </c>
      <c r="P257" s="70">
        <f t="shared" si="82"/>
        <v>0</v>
      </c>
      <c r="Q257" s="70">
        <f t="shared" si="82"/>
        <v>0</v>
      </c>
      <c r="R257" s="70">
        <f t="shared" si="82"/>
        <v>0</v>
      </c>
      <c r="S257" s="70">
        <f t="shared" si="82"/>
        <v>0</v>
      </c>
      <c r="T257" s="70">
        <f t="shared" si="82"/>
        <v>0</v>
      </c>
      <c r="U257" s="70">
        <f t="shared" si="82"/>
        <v>0</v>
      </c>
      <c r="V257" s="70">
        <f t="shared" si="82"/>
        <v>0</v>
      </c>
      <c r="W257" s="70">
        <f t="shared" si="82"/>
        <v>0</v>
      </c>
      <c r="X257" s="70">
        <f t="shared" si="82"/>
        <v>0</v>
      </c>
      <c r="Y257" s="175"/>
      <c r="Z257" s="47" t="e">
        <f t="shared" si="84"/>
        <v>#DIV/0!</v>
      </c>
    </row>
    <row r="258" spans="1:26" x14ac:dyDescent="0.25">
      <c r="A258" s="126">
        <f t="shared" si="58"/>
        <v>0</v>
      </c>
      <c r="B258" s="29"/>
      <c r="C258" s="30" t="str">
        <f t="shared" si="81"/>
        <v>*</v>
      </c>
      <c r="D258" s="9" t="str">
        <f t="shared" si="85"/>
        <v>тыс. м3</v>
      </c>
      <c r="E258" s="70">
        <f t="shared" si="83"/>
        <v>0</v>
      </c>
      <c r="F258" s="70">
        <f t="shared" si="82"/>
        <v>0</v>
      </c>
      <c r="G258" s="70">
        <f t="shared" si="82"/>
        <v>0</v>
      </c>
      <c r="H258" s="70">
        <f t="shared" si="82"/>
        <v>0</v>
      </c>
      <c r="I258" s="70">
        <f t="shared" si="82"/>
        <v>0</v>
      </c>
      <c r="J258" s="70">
        <f t="shared" si="82"/>
        <v>0</v>
      </c>
      <c r="K258" s="70">
        <f t="shared" si="82"/>
        <v>0</v>
      </c>
      <c r="L258" s="70">
        <f t="shared" si="82"/>
        <v>0</v>
      </c>
      <c r="M258" s="70">
        <f t="shared" si="82"/>
        <v>0</v>
      </c>
      <c r="N258" s="70">
        <f t="shared" si="82"/>
        <v>0</v>
      </c>
      <c r="O258" s="70">
        <f t="shared" si="82"/>
        <v>0</v>
      </c>
      <c r="P258" s="70">
        <f t="shared" si="82"/>
        <v>0</v>
      </c>
      <c r="Q258" s="70">
        <f t="shared" si="82"/>
        <v>0</v>
      </c>
      <c r="R258" s="70">
        <f t="shared" si="82"/>
        <v>0</v>
      </c>
      <c r="S258" s="70">
        <f t="shared" si="82"/>
        <v>0</v>
      </c>
      <c r="T258" s="70">
        <f t="shared" si="82"/>
        <v>0</v>
      </c>
      <c r="U258" s="70">
        <f t="shared" si="82"/>
        <v>0</v>
      </c>
      <c r="V258" s="70">
        <f t="shared" si="82"/>
        <v>0</v>
      </c>
      <c r="W258" s="70">
        <f t="shared" si="82"/>
        <v>0</v>
      </c>
      <c r="X258" s="70">
        <f t="shared" si="82"/>
        <v>0</v>
      </c>
      <c r="Y258" s="175"/>
      <c r="Z258" s="47" t="e">
        <f t="shared" si="84"/>
        <v>#DIV/0!</v>
      </c>
    </row>
    <row r="259" spans="1:26" x14ac:dyDescent="0.25">
      <c r="A259" s="126">
        <f t="shared" si="58"/>
        <v>0</v>
      </c>
      <c r="B259" s="29"/>
      <c r="C259" s="30" t="str">
        <f t="shared" si="81"/>
        <v>СБШ-250/270КП</v>
      </c>
      <c r="D259" s="9" t="str">
        <f t="shared" si="85"/>
        <v>тыс. м3</v>
      </c>
      <c r="E259" s="70">
        <f t="shared" si="83"/>
        <v>0</v>
      </c>
      <c r="F259" s="70">
        <f t="shared" si="82"/>
        <v>0</v>
      </c>
      <c r="G259" s="70">
        <f t="shared" si="82"/>
        <v>0</v>
      </c>
      <c r="H259" s="70">
        <f t="shared" si="82"/>
        <v>0</v>
      </c>
      <c r="I259" s="70">
        <f t="shared" si="82"/>
        <v>0</v>
      </c>
      <c r="J259" s="70">
        <f t="shared" si="82"/>
        <v>0</v>
      </c>
      <c r="K259" s="70">
        <f t="shared" si="82"/>
        <v>0</v>
      </c>
      <c r="L259" s="70">
        <f t="shared" si="82"/>
        <v>0</v>
      </c>
      <c r="M259" s="70">
        <f t="shared" si="82"/>
        <v>0</v>
      </c>
      <c r="N259" s="70">
        <f t="shared" si="82"/>
        <v>0</v>
      </c>
      <c r="O259" s="70">
        <f t="shared" si="82"/>
        <v>0</v>
      </c>
      <c r="P259" s="70">
        <f t="shared" si="82"/>
        <v>0</v>
      </c>
      <c r="Q259" s="70">
        <f t="shared" si="82"/>
        <v>0</v>
      </c>
      <c r="R259" s="70">
        <f t="shared" si="82"/>
        <v>0</v>
      </c>
      <c r="S259" s="70">
        <f t="shared" si="82"/>
        <v>0</v>
      </c>
      <c r="T259" s="70">
        <f t="shared" si="82"/>
        <v>0</v>
      </c>
      <c r="U259" s="70">
        <f t="shared" si="82"/>
        <v>0</v>
      </c>
      <c r="V259" s="70">
        <f t="shared" si="82"/>
        <v>0</v>
      </c>
      <c r="W259" s="70">
        <f t="shared" si="82"/>
        <v>0</v>
      </c>
      <c r="X259" s="70">
        <f t="shared" si="82"/>
        <v>0</v>
      </c>
      <c r="Y259" s="175"/>
      <c r="Z259" s="47" t="e">
        <f t="shared" si="84"/>
        <v>#DIV/0!</v>
      </c>
    </row>
    <row r="260" spans="1:26" x14ac:dyDescent="0.25">
      <c r="A260" s="126">
        <f t="shared" si="58"/>
        <v>0</v>
      </c>
      <c r="B260" s="29"/>
      <c r="C260" s="30" t="str">
        <f t="shared" si="81"/>
        <v>Sunward SWDRT270E (1)</v>
      </c>
      <c r="D260" s="9" t="str">
        <f t="shared" si="85"/>
        <v>тыс. м3</v>
      </c>
      <c r="E260" s="70">
        <f t="shared" si="83"/>
        <v>0</v>
      </c>
      <c r="F260" s="70">
        <f t="shared" si="82"/>
        <v>0</v>
      </c>
      <c r="G260" s="70">
        <f t="shared" si="82"/>
        <v>0</v>
      </c>
      <c r="H260" s="70">
        <f t="shared" si="82"/>
        <v>0</v>
      </c>
      <c r="I260" s="70">
        <f t="shared" si="82"/>
        <v>0</v>
      </c>
      <c r="J260" s="70">
        <f t="shared" si="82"/>
        <v>0</v>
      </c>
      <c r="K260" s="70">
        <f t="shared" si="82"/>
        <v>0</v>
      </c>
      <c r="L260" s="70">
        <f t="shared" si="82"/>
        <v>0</v>
      </c>
      <c r="M260" s="70">
        <f t="shared" si="82"/>
        <v>0</v>
      </c>
      <c r="N260" s="70">
        <f t="shared" si="82"/>
        <v>0</v>
      </c>
      <c r="O260" s="70">
        <f t="shared" si="82"/>
        <v>0</v>
      </c>
      <c r="P260" s="70">
        <f t="shared" si="82"/>
        <v>0</v>
      </c>
      <c r="Q260" s="70">
        <f t="shared" si="82"/>
        <v>0</v>
      </c>
      <c r="R260" s="70">
        <f t="shared" si="82"/>
        <v>0</v>
      </c>
      <c r="S260" s="70">
        <f t="shared" si="82"/>
        <v>0</v>
      </c>
      <c r="T260" s="70">
        <f t="shared" si="82"/>
        <v>0</v>
      </c>
      <c r="U260" s="70">
        <f t="shared" si="82"/>
        <v>0</v>
      </c>
      <c r="V260" s="70">
        <f t="shared" si="82"/>
        <v>0</v>
      </c>
      <c r="W260" s="70">
        <f t="shared" si="82"/>
        <v>0</v>
      </c>
      <c r="X260" s="70">
        <f t="shared" si="82"/>
        <v>0</v>
      </c>
      <c r="Y260" s="175"/>
      <c r="Z260" s="47" t="e">
        <f t="shared" si="84"/>
        <v>#DIV/0!</v>
      </c>
    </row>
    <row r="261" spans="1:26" x14ac:dyDescent="0.25">
      <c r="A261" s="126">
        <f t="shared" si="58"/>
        <v>0</v>
      </c>
      <c r="B261" s="29"/>
      <c r="C261" s="30" t="str">
        <f t="shared" si="81"/>
        <v>Sunward SWDRT270E (2)</v>
      </c>
      <c r="D261" s="9" t="str">
        <f t="shared" si="85"/>
        <v>тыс. м3</v>
      </c>
      <c r="E261" s="70">
        <f t="shared" si="83"/>
        <v>0</v>
      </c>
      <c r="F261" s="70">
        <f t="shared" si="82"/>
        <v>0</v>
      </c>
      <c r="G261" s="70">
        <f t="shared" si="82"/>
        <v>0</v>
      </c>
      <c r="H261" s="70">
        <f t="shared" si="82"/>
        <v>0</v>
      </c>
      <c r="I261" s="70">
        <f t="shared" si="82"/>
        <v>0</v>
      </c>
      <c r="J261" s="70">
        <f t="shared" si="82"/>
        <v>0</v>
      </c>
      <c r="K261" s="70">
        <f t="shared" si="82"/>
        <v>0</v>
      </c>
      <c r="L261" s="70">
        <f t="shared" si="82"/>
        <v>0</v>
      </c>
      <c r="M261" s="70">
        <f t="shared" si="82"/>
        <v>0</v>
      </c>
      <c r="N261" s="70">
        <f t="shared" si="82"/>
        <v>0</v>
      </c>
      <c r="O261" s="70">
        <f t="shared" si="82"/>
        <v>0</v>
      </c>
      <c r="P261" s="70">
        <f t="shared" si="82"/>
        <v>0</v>
      </c>
      <c r="Q261" s="70">
        <f t="shared" si="82"/>
        <v>0</v>
      </c>
      <c r="R261" s="70">
        <f t="shared" si="82"/>
        <v>0</v>
      </c>
      <c r="S261" s="70">
        <f t="shared" si="82"/>
        <v>0</v>
      </c>
      <c r="T261" s="70">
        <f t="shared" si="82"/>
        <v>0</v>
      </c>
      <c r="U261" s="70">
        <f t="shared" si="82"/>
        <v>0</v>
      </c>
      <c r="V261" s="70">
        <f t="shared" si="82"/>
        <v>0</v>
      </c>
      <c r="W261" s="70">
        <f t="shared" si="82"/>
        <v>0</v>
      </c>
      <c r="X261" s="70">
        <f t="shared" si="82"/>
        <v>0</v>
      </c>
      <c r="Y261" s="175"/>
      <c r="Z261" s="47" t="e">
        <f t="shared" si="84"/>
        <v>#DIV/0!</v>
      </c>
    </row>
    <row r="262" spans="1:26" x14ac:dyDescent="0.25">
      <c r="A262" s="126">
        <f t="shared" si="58"/>
        <v>0</v>
      </c>
      <c r="B262" s="29"/>
      <c r="C262" s="30" t="str">
        <f t="shared" si="81"/>
        <v>HIFO 75Е</v>
      </c>
      <c r="D262" s="9" t="str">
        <f t="shared" si="85"/>
        <v>тыс. м3</v>
      </c>
      <c r="E262" s="70">
        <f t="shared" si="83"/>
        <v>0</v>
      </c>
      <c r="F262" s="70">
        <f t="shared" si="82"/>
        <v>0</v>
      </c>
      <c r="G262" s="70">
        <f t="shared" si="82"/>
        <v>0</v>
      </c>
      <c r="H262" s="70">
        <f t="shared" si="82"/>
        <v>0</v>
      </c>
      <c r="I262" s="70">
        <f t="shared" si="82"/>
        <v>0</v>
      </c>
      <c r="J262" s="70">
        <f t="shared" si="82"/>
        <v>0</v>
      </c>
      <c r="K262" s="70">
        <f t="shared" si="82"/>
        <v>0</v>
      </c>
      <c r="L262" s="70">
        <f t="shared" si="82"/>
        <v>0</v>
      </c>
      <c r="M262" s="70">
        <f t="shared" si="82"/>
        <v>0</v>
      </c>
      <c r="N262" s="70">
        <f t="shared" si="82"/>
        <v>0</v>
      </c>
      <c r="O262" s="70">
        <f t="shared" si="82"/>
        <v>0</v>
      </c>
      <c r="P262" s="70">
        <f t="shared" si="82"/>
        <v>0</v>
      </c>
      <c r="Q262" s="70">
        <f t="shared" si="82"/>
        <v>0</v>
      </c>
      <c r="R262" s="70">
        <f t="shared" si="82"/>
        <v>0</v>
      </c>
      <c r="S262" s="70">
        <f t="shared" si="82"/>
        <v>0</v>
      </c>
      <c r="T262" s="70">
        <f t="shared" si="82"/>
        <v>0</v>
      </c>
      <c r="U262" s="70">
        <f t="shared" si="82"/>
        <v>0</v>
      </c>
      <c r="V262" s="70">
        <f t="shared" si="82"/>
        <v>0</v>
      </c>
      <c r="W262" s="70">
        <f t="shared" si="82"/>
        <v>0</v>
      </c>
      <c r="X262" s="70">
        <f t="shared" si="82"/>
        <v>0</v>
      </c>
      <c r="Y262" s="175"/>
      <c r="Z262" s="47" t="e">
        <f t="shared" si="84"/>
        <v>#DIV/0!</v>
      </c>
    </row>
    <row r="263" spans="1:26" x14ac:dyDescent="0.25">
      <c r="A263" s="126">
        <f t="shared" si="58"/>
        <v>0</v>
      </c>
      <c r="B263" s="29"/>
      <c r="C263" s="30" t="str">
        <f t="shared" si="81"/>
        <v>НИВА 22.01.00.00.00.00.00.000 (1)</v>
      </c>
      <c r="D263" s="9" t="str">
        <f t="shared" si="85"/>
        <v>тыс. м3</v>
      </c>
      <c r="E263" s="70">
        <f t="shared" si="83"/>
        <v>0</v>
      </c>
      <c r="F263" s="70">
        <f t="shared" si="82"/>
        <v>0</v>
      </c>
      <c r="G263" s="70">
        <f t="shared" si="82"/>
        <v>0</v>
      </c>
      <c r="H263" s="70">
        <f t="shared" si="82"/>
        <v>0</v>
      </c>
      <c r="I263" s="70">
        <f t="shared" si="82"/>
        <v>0</v>
      </c>
      <c r="J263" s="70">
        <f t="shared" si="82"/>
        <v>0</v>
      </c>
      <c r="K263" s="70">
        <f t="shared" si="82"/>
        <v>0</v>
      </c>
      <c r="L263" s="70">
        <f t="shared" si="82"/>
        <v>0</v>
      </c>
      <c r="M263" s="70">
        <f t="shared" si="82"/>
        <v>0</v>
      </c>
      <c r="N263" s="70">
        <f t="shared" si="82"/>
        <v>0</v>
      </c>
      <c r="O263" s="70">
        <f t="shared" si="82"/>
        <v>0</v>
      </c>
      <c r="P263" s="70">
        <f t="shared" si="82"/>
        <v>0</v>
      </c>
      <c r="Q263" s="70">
        <f t="shared" si="82"/>
        <v>0</v>
      </c>
      <c r="R263" s="70">
        <f t="shared" si="82"/>
        <v>0</v>
      </c>
      <c r="S263" s="70">
        <f t="shared" si="82"/>
        <v>0</v>
      </c>
      <c r="T263" s="70">
        <f t="shared" si="82"/>
        <v>0</v>
      </c>
      <c r="U263" s="70">
        <f t="shared" si="82"/>
        <v>0</v>
      </c>
      <c r="V263" s="70">
        <f t="shared" si="82"/>
        <v>0</v>
      </c>
      <c r="W263" s="70">
        <f t="shared" si="82"/>
        <v>0</v>
      </c>
      <c r="X263" s="70">
        <f t="shared" si="82"/>
        <v>0</v>
      </c>
      <c r="Y263" s="175"/>
      <c r="Z263" s="47" t="e">
        <f t="shared" si="84"/>
        <v>#DIV/0!</v>
      </c>
    </row>
    <row r="264" spans="1:26" x14ac:dyDescent="0.25">
      <c r="A264" s="126">
        <f t="shared" si="58"/>
        <v>0</v>
      </c>
      <c r="B264" s="29"/>
      <c r="C264" s="30" t="str">
        <f t="shared" si="81"/>
        <v>НИВА 22.01.00.00.00.00.00.000 (2)</v>
      </c>
      <c r="D264" s="9" t="str">
        <f t="shared" si="85"/>
        <v>тыс. м3</v>
      </c>
      <c r="E264" s="70">
        <f t="shared" si="83"/>
        <v>0</v>
      </c>
      <c r="F264" s="70">
        <f t="shared" si="82"/>
        <v>0</v>
      </c>
      <c r="G264" s="70">
        <f t="shared" si="82"/>
        <v>0</v>
      </c>
      <c r="H264" s="70">
        <f t="shared" si="82"/>
        <v>0</v>
      </c>
      <c r="I264" s="70">
        <f t="shared" si="82"/>
        <v>0</v>
      </c>
      <c r="J264" s="70">
        <f t="shared" si="82"/>
        <v>0</v>
      </c>
      <c r="K264" s="70">
        <f t="shared" si="82"/>
        <v>0</v>
      </c>
      <c r="L264" s="70">
        <f t="shared" si="82"/>
        <v>0</v>
      </c>
      <c r="M264" s="70">
        <f t="shared" si="82"/>
        <v>0</v>
      </c>
      <c r="N264" s="70">
        <f t="shared" si="82"/>
        <v>0</v>
      </c>
      <c r="O264" s="70">
        <f t="shared" si="82"/>
        <v>0</v>
      </c>
      <c r="P264" s="70">
        <f t="shared" si="82"/>
        <v>0</v>
      </c>
      <c r="Q264" s="70">
        <f t="shared" si="82"/>
        <v>0</v>
      </c>
      <c r="R264" s="70">
        <f t="shared" si="82"/>
        <v>0</v>
      </c>
      <c r="S264" s="70">
        <f t="shared" si="82"/>
        <v>0</v>
      </c>
      <c r="T264" s="70">
        <f t="shared" si="82"/>
        <v>0</v>
      </c>
      <c r="U264" s="70">
        <f t="shared" si="82"/>
        <v>0</v>
      </c>
      <c r="V264" s="70">
        <f t="shared" si="82"/>
        <v>0</v>
      </c>
      <c r="W264" s="70">
        <f t="shared" si="82"/>
        <v>0</v>
      </c>
      <c r="X264" s="70">
        <f t="shared" si="82"/>
        <v>0</v>
      </c>
      <c r="Y264" s="175"/>
      <c r="Z264" s="47" t="e">
        <f t="shared" si="84"/>
        <v>#DIV/0!</v>
      </c>
    </row>
    <row r="265" spans="1:26" x14ac:dyDescent="0.25">
      <c r="A265" s="126">
        <f t="shared" si="58"/>
        <v>0</v>
      </c>
      <c r="B265" s="29"/>
      <c r="C265" s="30" t="str">
        <f t="shared" si="81"/>
        <v>**</v>
      </c>
      <c r="D265" s="9" t="str">
        <f t="shared" si="85"/>
        <v>тыс. м3</v>
      </c>
      <c r="E265" s="70">
        <f t="shared" si="83"/>
        <v>0</v>
      </c>
      <c r="F265" s="70">
        <f t="shared" si="82"/>
        <v>0</v>
      </c>
      <c r="G265" s="70">
        <f t="shared" si="82"/>
        <v>0</v>
      </c>
      <c r="H265" s="70">
        <f t="shared" si="82"/>
        <v>0</v>
      </c>
      <c r="I265" s="70">
        <f t="shared" si="82"/>
        <v>0</v>
      </c>
      <c r="J265" s="70">
        <f t="shared" ref="F265:X276" si="86">J211*J238</f>
        <v>0</v>
      </c>
      <c r="K265" s="70">
        <f t="shared" si="86"/>
        <v>0</v>
      </c>
      <c r="L265" s="70">
        <f t="shared" si="86"/>
        <v>0</v>
      </c>
      <c r="M265" s="70">
        <f t="shared" si="86"/>
        <v>0</v>
      </c>
      <c r="N265" s="70">
        <f t="shared" si="86"/>
        <v>0</v>
      </c>
      <c r="O265" s="70">
        <f t="shared" si="86"/>
        <v>0</v>
      </c>
      <c r="P265" s="70">
        <f t="shared" si="86"/>
        <v>0</v>
      </c>
      <c r="Q265" s="70">
        <f t="shared" si="86"/>
        <v>0</v>
      </c>
      <c r="R265" s="70">
        <f t="shared" si="86"/>
        <v>0</v>
      </c>
      <c r="S265" s="70">
        <f t="shared" si="86"/>
        <v>0</v>
      </c>
      <c r="T265" s="70">
        <f t="shared" si="86"/>
        <v>0</v>
      </c>
      <c r="U265" s="70">
        <f t="shared" si="86"/>
        <v>0</v>
      </c>
      <c r="V265" s="70">
        <f t="shared" si="86"/>
        <v>0</v>
      </c>
      <c r="W265" s="70">
        <f t="shared" si="86"/>
        <v>0</v>
      </c>
      <c r="X265" s="70">
        <f t="shared" si="86"/>
        <v>0</v>
      </c>
      <c r="Y265" s="175"/>
      <c r="Z265" s="47" t="e">
        <f t="shared" si="84"/>
        <v>#DIV/0!</v>
      </c>
    </row>
    <row r="266" spans="1:26" x14ac:dyDescent="0.25">
      <c r="A266" s="126">
        <f t="shared" si="58"/>
        <v>1</v>
      </c>
      <c r="B266" s="29"/>
      <c r="C266" s="30" t="str">
        <f t="shared" si="81"/>
        <v>БС-215</v>
      </c>
      <c r="D266" s="9" t="str">
        <f t="shared" si="85"/>
        <v>тыс. м3</v>
      </c>
      <c r="E266" s="70">
        <f t="shared" si="83"/>
        <v>2540.6226836649844</v>
      </c>
      <c r="F266" s="70">
        <f t="shared" si="86"/>
        <v>2701.8295814164881</v>
      </c>
      <c r="G266" s="70">
        <f t="shared" si="86"/>
        <v>2739.3008710140552</v>
      </c>
      <c r="H266" s="70">
        <f t="shared" si="86"/>
        <v>2700.9288085017183</v>
      </c>
      <c r="I266" s="70">
        <f t="shared" si="86"/>
        <v>2945.1177369418911</v>
      </c>
      <c r="J266" s="70">
        <f t="shared" si="86"/>
        <v>2904.1694603654983</v>
      </c>
      <c r="K266" s="70">
        <f t="shared" si="86"/>
        <v>2707.4978574352035</v>
      </c>
      <c r="L266" s="70">
        <f t="shared" si="86"/>
        <v>3041.4283619289049</v>
      </c>
      <c r="M266" s="70">
        <f t="shared" si="86"/>
        <v>2901.357412996615</v>
      </c>
      <c r="N266" s="70">
        <f t="shared" si="86"/>
        <v>2627.8372479062405</v>
      </c>
      <c r="O266" s="70">
        <f t="shared" si="86"/>
        <v>2658.4367439866896</v>
      </c>
      <c r="P266" s="70">
        <f t="shared" si="86"/>
        <v>2724.1276136797883</v>
      </c>
      <c r="Q266" s="70">
        <f t="shared" si="86"/>
        <v>0</v>
      </c>
      <c r="R266" s="70">
        <f t="shared" si="86"/>
        <v>0</v>
      </c>
      <c r="S266" s="70">
        <f t="shared" si="86"/>
        <v>0</v>
      </c>
      <c r="T266" s="70">
        <f t="shared" si="86"/>
        <v>0</v>
      </c>
      <c r="U266" s="70">
        <f t="shared" si="86"/>
        <v>0</v>
      </c>
      <c r="V266" s="70">
        <f t="shared" si="86"/>
        <v>0</v>
      </c>
      <c r="W266" s="70">
        <f t="shared" si="86"/>
        <v>0</v>
      </c>
      <c r="X266" s="70">
        <f t="shared" si="86"/>
        <v>0</v>
      </c>
      <c r="Y266" s="175"/>
      <c r="Z266" s="47">
        <f t="shared" si="84"/>
        <v>2766.0545316531734</v>
      </c>
    </row>
    <row r="267" spans="1:26" x14ac:dyDescent="0.25">
      <c r="A267" s="126">
        <f t="shared" si="58"/>
        <v>0</v>
      </c>
      <c r="B267" s="29"/>
      <c r="C267" s="30" t="str">
        <f t="shared" si="81"/>
        <v>Sunward SWDRT200SM</v>
      </c>
      <c r="D267" s="9" t="str">
        <f t="shared" si="85"/>
        <v>тыс. м3</v>
      </c>
      <c r="E267" s="70">
        <f t="shared" si="83"/>
        <v>0</v>
      </c>
      <c r="F267" s="70">
        <f t="shared" si="86"/>
        <v>0</v>
      </c>
      <c r="G267" s="70">
        <f t="shared" si="86"/>
        <v>0</v>
      </c>
      <c r="H267" s="70">
        <f t="shared" si="86"/>
        <v>0</v>
      </c>
      <c r="I267" s="70">
        <f t="shared" si="86"/>
        <v>0</v>
      </c>
      <c r="J267" s="70">
        <f t="shared" si="86"/>
        <v>0</v>
      </c>
      <c r="K267" s="70">
        <f t="shared" si="86"/>
        <v>0</v>
      </c>
      <c r="L267" s="70">
        <f t="shared" si="86"/>
        <v>0</v>
      </c>
      <c r="M267" s="70">
        <f t="shared" si="86"/>
        <v>0</v>
      </c>
      <c r="N267" s="70">
        <f t="shared" si="86"/>
        <v>0</v>
      </c>
      <c r="O267" s="70">
        <f t="shared" si="86"/>
        <v>0</v>
      </c>
      <c r="P267" s="70">
        <f t="shared" si="86"/>
        <v>0</v>
      </c>
      <c r="Q267" s="70">
        <f t="shared" si="86"/>
        <v>0</v>
      </c>
      <c r="R267" s="70">
        <f t="shared" si="86"/>
        <v>0</v>
      </c>
      <c r="S267" s="70">
        <f t="shared" si="86"/>
        <v>0</v>
      </c>
      <c r="T267" s="70">
        <f t="shared" si="86"/>
        <v>0</v>
      </c>
      <c r="U267" s="70">
        <f t="shared" si="86"/>
        <v>0</v>
      </c>
      <c r="V267" s="70">
        <f t="shared" si="86"/>
        <v>0</v>
      </c>
      <c r="W267" s="70">
        <f t="shared" si="86"/>
        <v>0</v>
      </c>
      <c r="X267" s="70">
        <f t="shared" si="86"/>
        <v>0</v>
      </c>
      <c r="Y267" s="175"/>
      <c r="Z267" s="47" t="e">
        <f t="shared" si="84"/>
        <v>#DIV/0!</v>
      </c>
    </row>
    <row r="268" spans="1:26" x14ac:dyDescent="0.25">
      <c r="A268" s="126">
        <f t="shared" si="58"/>
        <v>0</v>
      </c>
      <c r="B268" s="29"/>
      <c r="C268" s="30" t="str">
        <f t="shared" si="81"/>
        <v>Sunward SWDRT250B</v>
      </c>
      <c r="D268" s="9" t="str">
        <f t="shared" si="85"/>
        <v>тыс. м3</v>
      </c>
      <c r="E268" s="70">
        <f t="shared" si="83"/>
        <v>0</v>
      </c>
      <c r="F268" s="70">
        <f t="shared" si="86"/>
        <v>0</v>
      </c>
      <c r="G268" s="70">
        <f t="shared" si="86"/>
        <v>0</v>
      </c>
      <c r="H268" s="70">
        <f t="shared" si="86"/>
        <v>0</v>
      </c>
      <c r="I268" s="70">
        <f t="shared" si="86"/>
        <v>0</v>
      </c>
      <c r="J268" s="70">
        <f t="shared" si="86"/>
        <v>0</v>
      </c>
      <c r="K268" s="70">
        <f t="shared" si="86"/>
        <v>0</v>
      </c>
      <c r="L268" s="70">
        <f t="shared" si="86"/>
        <v>0</v>
      </c>
      <c r="M268" s="70">
        <f t="shared" si="86"/>
        <v>0</v>
      </c>
      <c r="N268" s="70">
        <f t="shared" si="86"/>
        <v>0</v>
      </c>
      <c r="O268" s="70">
        <f t="shared" si="86"/>
        <v>0</v>
      </c>
      <c r="P268" s="70">
        <f t="shared" si="86"/>
        <v>0</v>
      </c>
      <c r="Q268" s="70">
        <f t="shared" si="86"/>
        <v>0</v>
      </c>
      <c r="R268" s="70">
        <f t="shared" si="86"/>
        <v>0</v>
      </c>
      <c r="S268" s="70">
        <f t="shared" si="86"/>
        <v>0</v>
      </c>
      <c r="T268" s="70">
        <f t="shared" si="86"/>
        <v>0</v>
      </c>
      <c r="U268" s="70">
        <f t="shared" si="86"/>
        <v>0</v>
      </c>
      <c r="V268" s="70">
        <f t="shared" si="86"/>
        <v>0</v>
      </c>
      <c r="W268" s="70">
        <f t="shared" si="86"/>
        <v>0</v>
      </c>
      <c r="X268" s="70">
        <f t="shared" si="86"/>
        <v>0</v>
      </c>
      <c r="Y268" s="175"/>
      <c r="Z268" s="47" t="e">
        <f t="shared" si="84"/>
        <v>#DIV/0!</v>
      </c>
    </row>
    <row r="269" spans="1:26" x14ac:dyDescent="0.25">
      <c r="A269" s="126">
        <f t="shared" si="58"/>
        <v>0</v>
      </c>
      <c r="B269" s="29"/>
      <c r="C269" s="30" t="str">
        <f t="shared" si="81"/>
        <v>ZEGA R8100L (2)</v>
      </c>
      <c r="D269" s="9" t="str">
        <f t="shared" si="85"/>
        <v>тыс. м3</v>
      </c>
      <c r="E269" s="70">
        <f t="shared" si="83"/>
        <v>0</v>
      </c>
      <c r="F269" s="70">
        <f t="shared" si="86"/>
        <v>0</v>
      </c>
      <c r="G269" s="70">
        <f t="shared" si="86"/>
        <v>0</v>
      </c>
      <c r="H269" s="70">
        <f t="shared" si="86"/>
        <v>0</v>
      </c>
      <c r="I269" s="70">
        <f t="shared" si="86"/>
        <v>0</v>
      </c>
      <c r="J269" s="70">
        <f t="shared" si="86"/>
        <v>0</v>
      </c>
      <c r="K269" s="70">
        <f t="shared" si="86"/>
        <v>0</v>
      </c>
      <c r="L269" s="70">
        <f t="shared" si="86"/>
        <v>0</v>
      </c>
      <c r="M269" s="70">
        <f t="shared" si="86"/>
        <v>0</v>
      </c>
      <c r="N269" s="70">
        <f t="shared" si="86"/>
        <v>0</v>
      </c>
      <c r="O269" s="70">
        <f t="shared" si="86"/>
        <v>0</v>
      </c>
      <c r="P269" s="70">
        <f t="shared" si="86"/>
        <v>0</v>
      </c>
      <c r="Q269" s="70">
        <f t="shared" si="86"/>
        <v>0</v>
      </c>
      <c r="R269" s="70">
        <f t="shared" si="86"/>
        <v>0</v>
      </c>
      <c r="S269" s="70">
        <f t="shared" si="86"/>
        <v>0</v>
      </c>
      <c r="T269" s="70">
        <f t="shared" si="86"/>
        <v>0</v>
      </c>
      <c r="U269" s="70">
        <f t="shared" si="86"/>
        <v>0</v>
      </c>
      <c r="V269" s="70">
        <f t="shared" si="86"/>
        <v>0</v>
      </c>
      <c r="W269" s="70">
        <f t="shared" si="86"/>
        <v>0</v>
      </c>
      <c r="X269" s="70">
        <f t="shared" si="86"/>
        <v>0</v>
      </c>
      <c r="Y269" s="175"/>
      <c r="Z269" s="47" t="e">
        <f t="shared" si="84"/>
        <v>#DIV/0!</v>
      </c>
    </row>
    <row r="270" spans="1:26" x14ac:dyDescent="0.25">
      <c r="A270" s="126">
        <f t="shared" si="58"/>
        <v>0</v>
      </c>
      <c r="B270" s="29"/>
      <c r="C270" s="30" t="str">
        <f t="shared" si="81"/>
        <v>Revathi C650D</v>
      </c>
      <c r="D270" s="9" t="str">
        <f t="shared" si="85"/>
        <v>тыс. м3</v>
      </c>
      <c r="E270" s="70">
        <f t="shared" si="83"/>
        <v>0</v>
      </c>
      <c r="F270" s="70">
        <f t="shared" si="86"/>
        <v>0</v>
      </c>
      <c r="G270" s="70">
        <f t="shared" si="86"/>
        <v>0</v>
      </c>
      <c r="H270" s="70">
        <f t="shared" si="86"/>
        <v>0</v>
      </c>
      <c r="I270" s="70">
        <f t="shared" si="86"/>
        <v>0</v>
      </c>
      <c r="J270" s="70">
        <f t="shared" si="86"/>
        <v>0</v>
      </c>
      <c r="K270" s="70">
        <f t="shared" si="86"/>
        <v>0</v>
      </c>
      <c r="L270" s="70">
        <f t="shared" si="86"/>
        <v>0</v>
      </c>
      <c r="M270" s="70">
        <f t="shared" si="86"/>
        <v>0</v>
      </c>
      <c r="N270" s="70">
        <f t="shared" si="86"/>
        <v>0</v>
      </c>
      <c r="O270" s="70">
        <f t="shared" si="86"/>
        <v>0</v>
      </c>
      <c r="P270" s="70">
        <f t="shared" si="86"/>
        <v>0</v>
      </c>
      <c r="Q270" s="70">
        <f t="shared" si="86"/>
        <v>0</v>
      </c>
      <c r="R270" s="70">
        <f t="shared" si="86"/>
        <v>0</v>
      </c>
      <c r="S270" s="70">
        <f t="shared" si="86"/>
        <v>0</v>
      </c>
      <c r="T270" s="70">
        <f t="shared" si="86"/>
        <v>0</v>
      </c>
      <c r="U270" s="70">
        <f t="shared" si="86"/>
        <v>0</v>
      </c>
      <c r="V270" s="70">
        <f t="shared" si="86"/>
        <v>0</v>
      </c>
      <c r="W270" s="70">
        <f t="shared" si="86"/>
        <v>0</v>
      </c>
      <c r="X270" s="70">
        <f t="shared" si="86"/>
        <v>0</v>
      </c>
      <c r="Y270" s="175"/>
      <c r="Z270" s="47" t="e">
        <f t="shared" si="84"/>
        <v>#DIV/0!</v>
      </c>
    </row>
    <row r="271" spans="1:26" x14ac:dyDescent="0.25">
      <c r="A271" s="126">
        <f t="shared" si="58"/>
        <v>0</v>
      </c>
      <c r="B271" s="29"/>
      <c r="C271" s="30" t="str">
        <f t="shared" si="81"/>
        <v>MS1200RB</v>
      </c>
      <c r="D271" s="9" t="str">
        <f t="shared" si="85"/>
        <v>тыс. м3</v>
      </c>
      <c r="E271" s="70">
        <f t="shared" si="83"/>
        <v>0</v>
      </c>
      <c r="F271" s="70">
        <f t="shared" si="86"/>
        <v>0</v>
      </c>
      <c r="G271" s="70">
        <f t="shared" si="86"/>
        <v>0</v>
      </c>
      <c r="H271" s="70">
        <f t="shared" si="86"/>
        <v>0</v>
      </c>
      <c r="I271" s="70">
        <f t="shared" si="86"/>
        <v>0</v>
      </c>
      <c r="J271" s="70">
        <f t="shared" si="86"/>
        <v>0</v>
      </c>
      <c r="K271" s="70">
        <f t="shared" si="86"/>
        <v>0</v>
      </c>
      <c r="L271" s="70">
        <f t="shared" si="86"/>
        <v>0</v>
      </c>
      <c r="M271" s="70">
        <f t="shared" si="86"/>
        <v>0</v>
      </c>
      <c r="N271" s="70">
        <f t="shared" si="86"/>
        <v>0</v>
      </c>
      <c r="O271" s="70">
        <f t="shared" si="86"/>
        <v>0</v>
      </c>
      <c r="P271" s="70">
        <f t="shared" si="86"/>
        <v>0</v>
      </c>
      <c r="Q271" s="70">
        <f t="shared" si="86"/>
        <v>0</v>
      </c>
      <c r="R271" s="70">
        <f t="shared" si="86"/>
        <v>0</v>
      </c>
      <c r="S271" s="70">
        <f t="shared" si="86"/>
        <v>0</v>
      </c>
      <c r="T271" s="70">
        <f t="shared" si="86"/>
        <v>0</v>
      </c>
      <c r="U271" s="70">
        <f t="shared" si="86"/>
        <v>0</v>
      </c>
      <c r="V271" s="70">
        <f t="shared" si="86"/>
        <v>0</v>
      </c>
      <c r="W271" s="70">
        <f t="shared" si="86"/>
        <v>0</v>
      </c>
      <c r="X271" s="70">
        <f t="shared" si="86"/>
        <v>0</v>
      </c>
      <c r="Y271" s="175"/>
      <c r="Z271" s="47" t="e">
        <f t="shared" si="84"/>
        <v>#DIV/0!</v>
      </c>
    </row>
    <row r="272" spans="1:26" x14ac:dyDescent="0.25">
      <c r="A272" s="126">
        <f t="shared" si="58"/>
        <v>0</v>
      </c>
      <c r="B272" s="29"/>
      <c r="C272" s="30" t="str">
        <f t="shared" si="81"/>
        <v>СБ-55Д-01</v>
      </c>
      <c r="D272" s="9" t="str">
        <f t="shared" si="85"/>
        <v>тыс. м3</v>
      </c>
      <c r="E272" s="70">
        <f t="shared" si="83"/>
        <v>0</v>
      </c>
      <c r="F272" s="70">
        <f t="shared" si="86"/>
        <v>0</v>
      </c>
      <c r="G272" s="70">
        <f t="shared" si="86"/>
        <v>0</v>
      </c>
      <c r="H272" s="70">
        <f t="shared" si="86"/>
        <v>0</v>
      </c>
      <c r="I272" s="70">
        <f t="shared" si="86"/>
        <v>0</v>
      </c>
      <c r="J272" s="70">
        <f t="shared" si="86"/>
        <v>0</v>
      </c>
      <c r="K272" s="70">
        <f t="shared" si="86"/>
        <v>0</v>
      </c>
      <c r="L272" s="70">
        <f t="shared" si="86"/>
        <v>0</v>
      </c>
      <c r="M272" s="70">
        <f t="shared" si="86"/>
        <v>0</v>
      </c>
      <c r="N272" s="70">
        <f t="shared" si="86"/>
        <v>0</v>
      </c>
      <c r="O272" s="70">
        <f t="shared" si="86"/>
        <v>0</v>
      </c>
      <c r="P272" s="70">
        <f t="shared" si="86"/>
        <v>0</v>
      </c>
      <c r="Q272" s="70">
        <f t="shared" si="86"/>
        <v>0</v>
      </c>
      <c r="R272" s="70">
        <f t="shared" si="86"/>
        <v>0</v>
      </c>
      <c r="S272" s="70">
        <f t="shared" si="86"/>
        <v>0</v>
      </c>
      <c r="T272" s="70">
        <f t="shared" si="86"/>
        <v>0</v>
      </c>
      <c r="U272" s="70">
        <f t="shared" si="86"/>
        <v>0</v>
      </c>
      <c r="V272" s="70">
        <f t="shared" si="86"/>
        <v>0</v>
      </c>
      <c r="W272" s="70">
        <f t="shared" si="86"/>
        <v>0</v>
      </c>
      <c r="X272" s="70">
        <f t="shared" si="86"/>
        <v>0</v>
      </c>
      <c r="Y272" s="175"/>
      <c r="Z272" s="47" t="e">
        <f t="shared" si="84"/>
        <v>#DIV/0!</v>
      </c>
    </row>
    <row r="273" spans="1:26" x14ac:dyDescent="0.25">
      <c r="A273" s="126">
        <f t="shared" si="58"/>
        <v>0</v>
      </c>
      <c r="B273" s="29"/>
      <c r="C273" s="30" t="str">
        <f t="shared" si="81"/>
        <v>KAMACH KY-250D</v>
      </c>
      <c r="D273" s="9" t="str">
        <f t="shared" si="85"/>
        <v>тыс. м3</v>
      </c>
      <c r="E273" s="70">
        <f t="shared" si="83"/>
        <v>0</v>
      </c>
      <c r="F273" s="70">
        <f t="shared" si="86"/>
        <v>0</v>
      </c>
      <c r="G273" s="70">
        <f t="shared" si="86"/>
        <v>0</v>
      </c>
      <c r="H273" s="70">
        <f t="shared" si="86"/>
        <v>0</v>
      </c>
      <c r="I273" s="70">
        <f t="shared" si="86"/>
        <v>0</v>
      </c>
      <c r="J273" s="70">
        <f t="shared" si="86"/>
        <v>0</v>
      </c>
      <c r="K273" s="70">
        <f t="shared" si="86"/>
        <v>0</v>
      </c>
      <c r="L273" s="70">
        <f t="shared" si="86"/>
        <v>0</v>
      </c>
      <c r="M273" s="70">
        <f t="shared" si="86"/>
        <v>0</v>
      </c>
      <c r="N273" s="70">
        <f t="shared" si="86"/>
        <v>0</v>
      </c>
      <c r="O273" s="70">
        <f t="shared" si="86"/>
        <v>0</v>
      </c>
      <c r="P273" s="70">
        <f t="shared" si="86"/>
        <v>0</v>
      </c>
      <c r="Q273" s="70">
        <f t="shared" si="86"/>
        <v>0</v>
      </c>
      <c r="R273" s="70">
        <f t="shared" si="86"/>
        <v>0</v>
      </c>
      <c r="S273" s="70">
        <f t="shared" si="86"/>
        <v>0</v>
      </c>
      <c r="T273" s="70">
        <f t="shared" si="86"/>
        <v>0</v>
      </c>
      <c r="U273" s="70">
        <f t="shared" si="86"/>
        <v>0</v>
      </c>
      <c r="V273" s="70">
        <f t="shared" si="86"/>
        <v>0</v>
      </c>
      <c r="W273" s="70">
        <f t="shared" si="86"/>
        <v>0</v>
      </c>
      <c r="X273" s="70">
        <f t="shared" si="86"/>
        <v>0</v>
      </c>
      <c r="Y273" s="175"/>
      <c r="Z273" s="47" t="e">
        <f t="shared" si="84"/>
        <v>#DIV/0!</v>
      </c>
    </row>
    <row r="274" spans="1:26" x14ac:dyDescent="0.25">
      <c r="A274" s="126">
        <f t="shared" si="58"/>
        <v>0</v>
      </c>
      <c r="B274" s="29"/>
      <c r="C274" s="30" t="str">
        <f t="shared" si="81"/>
        <v>НИВА 23.01.00.00.00.00.00.000 (1)</v>
      </c>
      <c r="D274" s="9" t="str">
        <f t="shared" si="85"/>
        <v>тыс. м3</v>
      </c>
      <c r="E274" s="70">
        <f t="shared" si="83"/>
        <v>0</v>
      </c>
      <c r="F274" s="70">
        <f t="shared" si="86"/>
        <v>0</v>
      </c>
      <c r="G274" s="70">
        <f t="shared" si="86"/>
        <v>0</v>
      </c>
      <c r="H274" s="70">
        <f t="shared" si="86"/>
        <v>0</v>
      </c>
      <c r="I274" s="70">
        <f t="shared" si="86"/>
        <v>0</v>
      </c>
      <c r="J274" s="70">
        <f t="shared" si="86"/>
        <v>0</v>
      </c>
      <c r="K274" s="70">
        <f t="shared" si="86"/>
        <v>0</v>
      </c>
      <c r="L274" s="70">
        <f t="shared" si="86"/>
        <v>0</v>
      </c>
      <c r="M274" s="70">
        <f t="shared" si="86"/>
        <v>0</v>
      </c>
      <c r="N274" s="70">
        <f t="shared" si="86"/>
        <v>0</v>
      </c>
      <c r="O274" s="70">
        <f t="shared" si="86"/>
        <v>0</v>
      </c>
      <c r="P274" s="70">
        <f t="shared" si="86"/>
        <v>0</v>
      </c>
      <c r="Q274" s="70">
        <f t="shared" si="86"/>
        <v>0</v>
      </c>
      <c r="R274" s="70">
        <f t="shared" si="86"/>
        <v>0</v>
      </c>
      <c r="S274" s="70">
        <f t="shared" si="86"/>
        <v>0</v>
      </c>
      <c r="T274" s="70">
        <f t="shared" si="86"/>
        <v>0</v>
      </c>
      <c r="U274" s="70">
        <f t="shared" si="86"/>
        <v>0</v>
      </c>
      <c r="V274" s="70">
        <f t="shared" si="86"/>
        <v>0</v>
      </c>
      <c r="W274" s="70">
        <f t="shared" si="86"/>
        <v>0</v>
      </c>
      <c r="X274" s="70">
        <f t="shared" si="86"/>
        <v>0</v>
      </c>
      <c r="Y274" s="175"/>
      <c r="Z274" s="47" t="e">
        <f t="shared" si="84"/>
        <v>#DIV/0!</v>
      </c>
    </row>
    <row r="275" spans="1:26" x14ac:dyDescent="0.25">
      <c r="A275" s="126">
        <f t="shared" si="58"/>
        <v>0</v>
      </c>
      <c r="B275" s="29"/>
      <c r="C275" s="30" t="str">
        <f t="shared" si="81"/>
        <v>НИВА 23.01.00.00.00.00.00.000 (2)</v>
      </c>
      <c r="D275" s="9" t="str">
        <f t="shared" si="85"/>
        <v>тыс. м3</v>
      </c>
      <c r="E275" s="70">
        <f t="shared" si="83"/>
        <v>0</v>
      </c>
      <c r="F275" s="70">
        <f t="shared" si="86"/>
        <v>0</v>
      </c>
      <c r="G275" s="70">
        <f t="shared" si="86"/>
        <v>0</v>
      </c>
      <c r="H275" s="70">
        <f t="shared" si="86"/>
        <v>0</v>
      </c>
      <c r="I275" s="70">
        <f t="shared" si="86"/>
        <v>0</v>
      </c>
      <c r="J275" s="70">
        <f t="shared" si="86"/>
        <v>0</v>
      </c>
      <c r="K275" s="70">
        <f t="shared" si="86"/>
        <v>0</v>
      </c>
      <c r="L275" s="70">
        <f t="shared" si="86"/>
        <v>0</v>
      </c>
      <c r="M275" s="70">
        <f t="shared" si="86"/>
        <v>0</v>
      </c>
      <c r="N275" s="70">
        <f t="shared" si="86"/>
        <v>0</v>
      </c>
      <c r="O275" s="70">
        <f t="shared" si="86"/>
        <v>0</v>
      </c>
      <c r="P275" s="70">
        <f t="shared" si="86"/>
        <v>0</v>
      </c>
      <c r="Q275" s="70">
        <f t="shared" si="86"/>
        <v>0</v>
      </c>
      <c r="R275" s="70">
        <f t="shared" si="86"/>
        <v>0</v>
      </c>
      <c r="S275" s="70">
        <f t="shared" si="86"/>
        <v>0</v>
      </c>
      <c r="T275" s="70">
        <f t="shared" si="86"/>
        <v>0</v>
      </c>
      <c r="U275" s="70">
        <f t="shared" si="86"/>
        <v>0</v>
      </c>
      <c r="V275" s="70">
        <f t="shared" si="86"/>
        <v>0</v>
      </c>
      <c r="W275" s="70">
        <f t="shared" si="86"/>
        <v>0</v>
      </c>
      <c r="X275" s="70">
        <f t="shared" si="86"/>
        <v>0</v>
      </c>
      <c r="Y275" s="175"/>
      <c r="Z275" s="47" t="e">
        <f t="shared" si="84"/>
        <v>#DIV/0!</v>
      </c>
    </row>
    <row r="276" spans="1:26" x14ac:dyDescent="0.25">
      <c r="A276" s="126">
        <f t="shared" si="58"/>
        <v>0</v>
      </c>
      <c r="B276" s="29"/>
      <c r="C276" s="30" t="str">
        <f t="shared" si="81"/>
        <v>***</v>
      </c>
      <c r="D276" s="9" t="str">
        <f t="shared" ref="D276" si="87">D275</f>
        <v>тыс. м3</v>
      </c>
      <c r="E276" s="70">
        <f t="shared" si="83"/>
        <v>0</v>
      </c>
      <c r="F276" s="70">
        <f t="shared" si="86"/>
        <v>0</v>
      </c>
      <c r="G276" s="70">
        <f t="shared" si="86"/>
        <v>0</v>
      </c>
      <c r="H276" s="70">
        <f t="shared" si="86"/>
        <v>0</v>
      </c>
      <c r="I276" s="70">
        <f t="shared" si="86"/>
        <v>0</v>
      </c>
      <c r="J276" s="70">
        <f t="shared" si="86"/>
        <v>0</v>
      </c>
      <c r="K276" s="70">
        <f t="shared" si="86"/>
        <v>0</v>
      </c>
      <c r="L276" s="70">
        <f t="shared" si="86"/>
        <v>0</v>
      </c>
      <c r="M276" s="70">
        <f t="shared" si="86"/>
        <v>0</v>
      </c>
      <c r="N276" s="70">
        <f t="shared" si="86"/>
        <v>0</v>
      </c>
      <c r="O276" s="70">
        <f t="shared" si="86"/>
        <v>0</v>
      </c>
      <c r="P276" s="70">
        <f t="shared" si="86"/>
        <v>0</v>
      </c>
      <c r="Q276" s="70">
        <f t="shared" si="86"/>
        <v>0</v>
      </c>
      <c r="R276" s="70">
        <f t="shared" si="86"/>
        <v>0</v>
      </c>
      <c r="S276" s="70">
        <f t="shared" si="86"/>
        <v>0</v>
      </c>
      <c r="T276" s="70">
        <f t="shared" si="86"/>
        <v>0</v>
      </c>
      <c r="U276" s="70">
        <f t="shared" si="86"/>
        <v>0</v>
      </c>
      <c r="V276" s="70">
        <f t="shared" si="86"/>
        <v>0</v>
      </c>
      <c r="W276" s="70">
        <f t="shared" si="86"/>
        <v>0</v>
      </c>
      <c r="X276" s="70">
        <f t="shared" si="86"/>
        <v>0</v>
      </c>
      <c r="Y276" s="175"/>
      <c r="Z276" s="47" t="e">
        <f t="shared" si="84"/>
        <v>#DIV/0!</v>
      </c>
    </row>
    <row r="277" spans="1:26" x14ac:dyDescent="0.25">
      <c r="A277" s="130">
        <v>1</v>
      </c>
      <c r="B277" s="109"/>
      <c r="C277" s="108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75"/>
    </row>
  </sheetData>
  <autoFilter ref="A3:AB3" xr:uid="{3FFEE208-30DA-475C-A0FD-3DFD0BB7E4EC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607A-88AD-4877-96F7-7F5AC253F2BB}">
  <dimension ref="A1:Y37"/>
  <sheetViews>
    <sheetView showGridLines="0" zoomScaleNormal="100" workbookViewId="0">
      <selection activeCell="Q45" sqref="Q45"/>
    </sheetView>
  </sheetViews>
  <sheetFormatPr defaultRowHeight="13.6" x14ac:dyDescent="0.25"/>
  <cols>
    <col min="1" max="1" width="27.375" style="2" customWidth="1"/>
    <col min="2" max="3" width="6.75" style="2" customWidth="1"/>
    <col min="4" max="4" width="1.375" style="2" customWidth="1"/>
    <col min="5" max="5" width="9.375" style="2" bestFit="1" customWidth="1"/>
    <col min="6" max="6" width="7.75" style="2" bestFit="1" customWidth="1"/>
    <col min="7" max="7" width="10.375" style="2" bestFit="1" customWidth="1"/>
    <col min="8" max="8" width="8.25" style="2" bestFit="1" customWidth="1"/>
    <col min="9" max="9" width="7.75" style="2" bestFit="1" customWidth="1"/>
    <col min="10" max="10" width="9.375" style="2" bestFit="1" customWidth="1"/>
    <col min="11" max="11" width="10.625" style="2" bestFit="1" customWidth="1"/>
    <col min="12" max="12" width="5.375" style="2" customWidth="1"/>
    <col min="13" max="13" width="1.375" style="2" customWidth="1"/>
    <col min="14" max="14" width="6.125" style="2" bestFit="1" customWidth="1"/>
    <col min="15" max="15" width="10.75" style="2" bestFit="1" customWidth="1"/>
    <col min="16" max="16" width="7.125" style="2" bestFit="1" customWidth="1"/>
    <col min="17" max="17" width="11.125" style="2" bestFit="1" customWidth="1"/>
    <col min="18" max="18" width="9" style="2"/>
    <col min="19" max="20" width="6.75" style="2" customWidth="1"/>
    <col min="21" max="21" width="9.25" style="2" customWidth="1"/>
    <col min="22" max="22" width="5.75" style="2" customWidth="1"/>
    <col min="23" max="24" width="6.75" style="2" customWidth="1"/>
    <col min="25" max="25" width="9.25" style="2" customWidth="1"/>
    <col min="26" max="16384" width="9" style="2"/>
  </cols>
  <sheetData>
    <row r="1" spans="1:25" x14ac:dyDescent="0.25">
      <c r="B1" s="144" t="s">
        <v>90</v>
      </c>
      <c r="C1" s="132">
        <v>5</v>
      </c>
      <c r="T1" s="132">
        <f>C1</f>
        <v>5</v>
      </c>
      <c r="U1" s="133"/>
      <c r="X1" s="132">
        <f>T1</f>
        <v>5</v>
      </c>
      <c r="Y1" s="133"/>
    </row>
    <row r="2" spans="1:25" x14ac:dyDescent="0.25">
      <c r="A2" s="131" t="s">
        <v>163</v>
      </c>
    </row>
    <row r="4" spans="1:25" x14ac:dyDescent="0.25">
      <c r="B4" s="181" t="s">
        <v>91</v>
      </c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81"/>
      <c r="O4" s="175"/>
      <c r="P4" s="175"/>
    </row>
    <row r="5" spans="1:25" x14ac:dyDescent="0.25">
      <c r="S5" s="2" t="s">
        <v>271</v>
      </c>
      <c r="W5" s="2" t="s">
        <v>284</v>
      </c>
    </row>
    <row r="6" spans="1:25" x14ac:dyDescent="0.25">
      <c r="B6" s="937" t="s">
        <v>92</v>
      </c>
      <c r="C6" s="938"/>
      <c r="E6" s="939" t="s">
        <v>93</v>
      </c>
      <c r="F6" s="939"/>
      <c r="G6" s="939"/>
      <c r="H6" s="939"/>
      <c r="I6" s="939"/>
      <c r="J6" s="939"/>
      <c r="K6" s="177"/>
      <c r="L6" s="177"/>
      <c r="N6" s="939" t="s">
        <v>94</v>
      </c>
      <c r="O6" s="939"/>
      <c r="P6" s="939"/>
      <c r="S6" s="937" t="str">
        <f>B6</f>
        <v>взрыв</v>
      </c>
      <c r="T6" s="938"/>
      <c r="W6" s="937" t="str">
        <f>S6</f>
        <v>взрыв</v>
      </c>
      <c r="X6" s="938"/>
    </row>
    <row r="7" spans="1:25" ht="40.75" x14ac:dyDescent="0.25">
      <c r="B7" s="134" t="s">
        <v>95</v>
      </c>
      <c r="C7" s="135" t="s">
        <v>96</v>
      </c>
      <c r="E7" s="180" t="s">
        <v>164</v>
      </c>
      <c r="F7" s="180" t="s">
        <v>97</v>
      </c>
      <c r="G7" s="180" t="s">
        <v>165</v>
      </c>
      <c r="H7" s="180" t="s">
        <v>98</v>
      </c>
      <c r="I7" s="180" t="s">
        <v>180</v>
      </c>
      <c r="J7" s="180" t="s">
        <v>166</v>
      </c>
      <c r="K7" s="244" t="s">
        <v>167</v>
      </c>
      <c r="L7" s="245" t="s">
        <v>270</v>
      </c>
      <c r="N7" s="135" t="s">
        <v>99</v>
      </c>
      <c r="O7" s="135" t="s">
        <v>100</v>
      </c>
      <c r="P7" s="135" t="s">
        <v>101</v>
      </c>
      <c r="S7" s="134" t="str">
        <f>B7</f>
        <v>минут</v>
      </c>
      <c r="T7" s="135" t="str">
        <f>C7</f>
        <v>минут/смена</v>
      </c>
      <c r="U7" s="2" t="s">
        <v>285</v>
      </c>
      <c r="W7" s="134" t="str">
        <f>S7</f>
        <v>минут</v>
      </c>
      <c r="X7" s="135" t="str">
        <f>T7</f>
        <v>минут/смена</v>
      </c>
      <c r="Y7" s="2" t="s">
        <v>286</v>
      </c>
    </row>
    <row r="8" spans="1:25" x14ac:dyDescent="0.25">
      <c r="A8" s="133" t="str">
        <f>Производительность!C8</f>
        <v>YANGZI DR75</v>
      </c>
      <c r="B8" s="132">
        <v>180</v>
      </c>
      <c r="C8" s="136">
        <f>C$1*B8/(30.5*2)</f>
        <v>14.754098360655737</v>
      </c>
      <c r="D8" s="47"/>
      <c r="E8" s="132"/>
      <c r="F8" s="132">
        <v>15</v>
      </c>
      <c r="G8" s="132">
        <f>2.5+2.5+2.5+2.5</f>
        <v>10</v>
      </c>
      <c r="H8" s="132">
        <v>7</v>
      </c>
      <c r="I8" s="132">
        <v>7</v>
      </c>
      <c r="J8" s="132"/>
      <c r="K8" s="132">
        <v>10</v>
      </c>
      <c r="L8" s="132">
        <v>5</v>
      </c>
      <c r="M8" s="47"/>
      <c r="N8" s="132">
        <v>60</v>
      </c>
      <c r="O8" s="132">
        <v>10</v>
      </c>
      <c r="P8" s="132">
        <v>10</v>
      </c>
      <c r="Q8" s="259" t="str">
        <f>Производительность!AA8</f>
        <v>дизельный</v>
      </c>
      <c r="S8" s="132">
        <f>B8</f>
        <v>180</v>
      </c>
      <c r="T8" s="136">
        <f>T$1*S8/(30.5*2)</f>
        <v>14.754098360655737</v>
      </c>
      <c r="U8" s="47">
        <f>T8-C8</f>
        <v>0</v>
      </c>
      <c r="V8" s="47"/>
      <c r="W8" s="132">
        <f>S8</f>
        <v>180</v>
      </c>
      <c r="X8" s="136">
        <f>X$1*W8/(30.5*2)</f>
        <v>14.754098360655737</v>
      </c>
      <c r="Y8" s="47">
        <f>X8-T8</f>
        <v>0</v>
      </c>
    </row>
    <row r="9" spans="1:25" x14ac:dyDescent="0.25">
      <c r="A9" s="133" t="str">
        <f>Производительность!C9</f>
        <v>Sunward SWDRT250SM</v>
      </c>
      <c r="B9" s="136">
        <f>B8</f>
        <v>180</v>
      </c>
      <c r="C9" s="136">
        <f>C$1*B9/(30.5*2)</f>
        <v>14.754098360655737</v>
      </c>
      <c r="D9" s="47"/>
      <c r="E9" s="136">
        <f t="shared" ref="E9:L9" si="0">E8</f>
        <v>0</v>
      </c>
      <c r="F9" s="136">
        <f t="shared" si="0"/>
        <v>15</v>
      </c>
      <c r="G9" s="136">
        <f t="shared" si="0"/>
        <v>10</v>
      </c>
      <c r="H9" s="136">
        <f t="shared" si="0"/>
        <v>7</v>
      </c>
      <c r="I9" s="136">
        <f t="shared" si="0"/>
        <v>7</v>
      </c>
      <c r="J9" s="136">
        <f t="shared" si="0"/>
        <v>0</v>
      </c>
      <c r="K9" s="136">
        <f t="shared" si="0"/>
        <v>10</v>
      </c>
      <c r="L9" s="136">
        <f t="shared" si="0"/>
        <v>5</v>
      </c>
      <c r="M9" s="47"/>
      <c r="N9" s="136">
        <f t="shared" ref="N9:P9" si="1">N8</f>
        <v>60</v>
      </c>
      <c r="O9" s="136">
        <f t="shared" si="1"/>
        <v>10</v>
      </c>
      <c r="P9" s="136">
        <f t="shared" si="1"/>
        <v>10</v>
      </c>
      <c r="Q9" s="259" t="str">
        <f>Производительность!AA9</f>
        <v>дизельный</v>
      </c>
      <c r="S9" s="136">
        <f>S8</f>
        <v>180</v>
      </c>
      <c r="T9" s="136">
        <f>T$1*S9/(30.5*2)</f>
        <v>14.754098360655737</v>
      </c>
      <c r="U9" s="47">
        <f>T9-C9</f>
        <v>0</v>
      </c>
      <c r="V9" s="47"/>
      <c r="W9" s="136">
        <f>W8</f>
        <v>180</v>
      </c>
      <c r="X9" s="136">
        <f>X$1*W9/(30.5*2)</f>
        <v>14.754098360655737</v>
      </c>
      <c r="Y9" s="47">
        <f>X9-T9</f>
        <v>0</v>
      </c>
    </row>
    <row r="10" spans="1:25" x14ac:dyDescent="0.25">
      <c r="A10" s="133" t="str">
        <f>Производительность!C10</f>
        <v>Sunward SWDRT270SM</v>
      </c>
      <c r="B10" s="136">
        <f t="shared" ref="B10:B14" si="2">B9</f>
        <v>180</v>
      </c>
      <c r="C10" s="136">
        <f t="shared" ref="C10:C14" si="3">C$1*B10/(30.5*2)</f>
        <v>14.754098360655737</v>
      </c>
      <c r="D10" s="47"/>
      <c r="E10" s="136">
        <f t="shared" ref="E10:E14" si="4">E9</f>
        <v>0</v>
      </c>
      <c r="F10" s="136">
        <f t="shared" ref="F10:F14" si="5">F9</f>
        <v>15</v>
      </c>
      <c r="G10" s="136">
        <f t="shared" ref="G10:G14" si="6">G9</f>
        <v>10</v>
      </c>
      <c r="H10" s="136">
        <f t="shared" ref="H10:H14" si="7">H9</f>
        <v>7</v>
      </c>
      <c r="I10" s="136">
        <f t="shared" ref="I10:I14" si="8">I9</f>
        <v>7</v>
      </c>
      <c r="J10" s="136">
        <f t="shared" ref="J10:J14" si="9">J9</f>
        <v>0</v>
      </c>
      <c r="K10" s="136">
        <f t="shared" ref="K10:K14" si="10">K9</f>
        <v>10</v>
      </c>
      <c r="L10" s="136">
        <f t="shared" ref="L10:L14" si="11">L9</f>
        <v>5</v>
      </c>
      <c r="M10" s="47"/>
      <c r="N10" s="136">
        <f t="shared" ref="N10:N14" si="12">N9</f>
        <v>60</v>
      </c>
      <c r="O10" s="136">
        <f t="shared" ref="O10:O14" si="13">O9</f>
        <v>10</v>
      </c>
      <c r="P10" s="136">
        <f t="shared" ref="P10:P14" si="14">P9</f>
        <v>10</v>
      </c>
      <c r="Q10" s="259" t="str">
        <f>Производительность!AA10</f>
        <v>дизельный</v>
      </c>
      <c r="S10" s="136">
        <f t="shared" ref="S10:S14" si="15">S9</f>
        <v>180</v>
      </c>
      <c r="T10" s="136">
        <f t="shared" ref="T10:T14" si="16">T$1*S10/(30.5*2)</f>
        <v>14.754098360655737</v>
      </c>
      <c r="U10" s="47">
        <f t="shared" ref="U10:U14" si="17">T10-C10</f>
        <v>0</v>
      </c>
      <c r="V10" s="47"/>
      <c r="W10" s="136">
        <f t="shared" ref="W10:W14" si="18">W9</f>
        <v>180</v>
      </c>
      <c r="X10" s="136">
        <f t="shared" ref="X10:X14" si="19">X$1*W10/(30.5*2)</f>
        <v>14.754098360655737</v>
      </c>
      <c r="Y10" s="47">
        <f t="shared" ref="Y10:Y14" si="20">X10-T10</f>
        <v>0</v>
      </c>
    </row>
    <row r="11" spans="1:25" x14ac:dyDescent="0.25">
      <c r="A11" s="133" t="str">
        <f>Производительность!C11</f>
        <v>Sunward SWDRT270B</v>
      </c>
      <c r="B11" s="136">
        <f t="shared" si="2"/>
        <v>180</v>
      </c>
      <c r="C11" s="136">
        <f t="shared" si="3"/>
        <v>14.754098360655737</v>
      </c>
      <c r="D11" s="47"/>
      <c r="E11" s="136">
        <f t="shared" si="4"/>
        <v>0</v>
      </c>
      <c r="F11" s="136">
        <f t="shared" si="5"/>
        <v>15</v>
      </c>
      <c r="G11" s="136">
        <f t="shared" si="6"/>
        <v>10</v>
      </c>
      <c r="H11" s="136">
        <f t="shared" si="7"/>
        <v>7</v>
      </c>
      <c r="I11" s="136">
        <f t="shared" si="8"/>
        <v>7</v>
      </c>
      <c r="J11" s="136">
        <f t="shared" si="9"/>
        <v>0</v>
      </c>
      <c r="K11" s="136">
        <f t="shared" si="10"/>
        <v>10</v>
      </c>
      <c r="L11" s="136">
        <f t="shared" si="11"/>
        <v>5</v>
      </c>
      <c r="M11" s="47"/>
      <c r="N11" s="136">
        <f t="shared" si="12"/>
        <v>60</v>
      </c>
      <c r="O11" s="136">
        <f t="shared" si="13"/>
        <v>10</v>
      </c>
      <c r="P11" s="136">
        <f t="shared" si="14"/>
        <v>10</v>
      </c>
      <c r="Q11" s="259" t="str">
        <f>Производительность!AA11</f>
        <v>дизельный</v>
      </c>
      <c r="S11" s="136">
        <f t="shared" si="15"/>
        <v>180</v>
      </c>
      <c r="T11" s="136">
        <f t="shared" si="16"/>
        <v>14.754098360655737</v>
      </c>
      <c r="U11" s="47">
        <f t="shared" si="17"/>
        <v>0</v>
      </c>
      <c r="V11" s="47"/>
      <c r="W11" s="136">
        <f t="shared" si="18"/>
        <v>180</v>
      </c>
      <c r="X11" s="136">
        <f t="shared" si="19"/>
        <v>14.754098360655737</v>
      </c>
      <c r="Y11" s="47">
        <f t="shared" si="20"/>
        <v>0</v>
      </c>
    </row>
    <row r="12" spans="1:25" x14ac:dyDescent="0.25">
      <c r="A12" s="133" t="str">
        <f>Производительность!C12</f>
        <v>HIFO 75D</v>
      </c>
      <c r="B12" s="136">
        <f t="shared" si="2"/>
        <v>180</v>
      </c>
      <c r="C12" s="136">
        <f t="shared" si="3"/>
        <v>14.754098360655737</v>
      </c>
      <c r="D12" s="47"/>
      <c r="E12" s="136">
        <f t="shared" si="4"/>
        <v>0</v>
      </c>
      <c r="F12" s="136">
        <f t="shared" si="5"/>
        <v>15</v>
      </c>
      <c r="G12" s="136">
        <f t="shared" si="6"/>
        <v>10</v>
      </c>
      <c r="H12" s="136">
        <f t="shared" si="7"/>
        <v>7</v>
      </c>
      <c r="I12" s="136">
        <f t="shared" si="8"/>
        <v>7</v>
      </c>
      <c r="J12" s="136">
        <f t="shared" si="9"/>
        <v>0</v>
      </c>
      <c r="K12" s="136">
        <f t="shared" si="10"/>
        <v>10</v>
      </c>
      <c r="L12" s="136">
        <f t="shared" si="11"/>
        <v>5</v>
      </c>
      <c r="M12" s="47"/>
      <c r="N12" s="136">
        <f t="shared" si="12"/>
        <v>60</v>
      </c>
      <c r="O12" s="136">
        <f t="shared" si="13"/>
        <v>10</v>
      </c>
      <c r="P12" s="136">
        <f t="shared" si="14"/>
        <v>10</v>
      </c>
      <c r="Q12" s="259" t="str">
        <f>Производительность!AA12</f>
        <v>дизельный</v>
      </c>
      <c r="S12" s="136">
        <f t="shared" si="15"/>
        <v>180</v>
      </c>
      <c r="T12" s="136">
        <f t="shared" si="16"/>
        <v>14.754098360655737</v>
      </c>
      <c r="U12" s="47">
        <f t="shared" si="17"/>
        <v>0</v>
      </c>
      <c r="V12" s="47"/>
      <c r="W12" s="136">
        <f t="shared" si="18"/>
        <v>180</v>
      </c>
      <c r="X12" s="136">
        <f t="shared" si="19"/>
        <v>14.754098360655737</v>
      </c>
      <c r="Y12" s="47">
        <f t="shared" si="20"/>
        <v>0</v>
      </c>
    </row>
    <row r="13" spans="1:25" x14ac:dyDescent="0.25">
      <c r="A13" s="133" t="str">
        <f>Производительность!C13</f>
        <v>ZEGA R8100L (1)</v>
      </c>
      <c r="B13" s="136">
        <f t="shared" si="2"/>
        <v>180</v>
      </c>
      <c r="C13" s="136">
        <f t="shared" si="3"/>
        <v>14.754098360655737</v>
      </c>
      <c r="D13" s="47"/>
      <c r="E13" s="136">
        <f t="shared" si="4"/>
        <v>0</v>
      </c>
      <c r="F13" s="136">
        <f t="shared" si="5"/>
        <v>15</v>
      </c>
      <c r="G13" s="136">
        <f t="shared" si="6"/>
        <v>10</v>
      </c>
      <c r="H13" s="136">
        <f t="shared" si="7"/>
        <v>7</v>
      </c>
      <c r="I13" s="136">
        <f t="shared" si="8"/>
        <v>7</v>
      </c>
      <c r="J13" s="136">
        <f t="shared" si="9"/>
        <v>0</v>
      </c>
      <c r="K13" s="136">
        <f t="shared" si="10"/>
        <v>10</v>
      </c>
      <c r="L13" s="136">
        <f t="shared" si="11"/>
        <v>5</v>
      </c>
      <c r="M13" s="47"/>
      <c r="N13" s="136">
        <f t="shared" si="12"/>
        <v>60</v>
      </c>
      <c r="O13" s="136">
        <f t="shared" si="13"/>
        <v>10</v>
      </c>
      <c r="P13" s="136">
        <f t="shared" si="14"/>
        <v>10</v>
      </c>
      <c r="Q13" s="259" t="str">
        <f>Производительность!AA13</f>
        <v>дизельный</v>
      </c>
      <c r="S13" s="136">
        <f t="shared" si="15"/>
        <v>180</v>
      </c>
      <c r="T13" s="136">
        <f t="shared" si="16"/>
        <v>14.754098360655737</v>
      </c>
      <c r="U13" s="47">
        <f t="shared" si="17"/>
        <v>0</v>
      </c>
      <c r="V13" s="47"/>
      <c r="W13" s="136">
        <f t="shared" si="18"/>
        <v>180</v>
      </c>
      <c r="X13" s="136">
        <f t="shared" si="19"/>
        <v>14.754098360655737</v>
      </c>
      <c r="Y13" s="47">
        <f t="shared" si="20"/>
        <v>0</v>
      </c>
    </row>
    <row r="14" spans="1:25" x14ac:dyDescent="0.25">
      <c r="A14" s="133" t="str">
        <f>Производительность!C14</f>
        <v>YANGZI  DM75</v>
      </c>
      <c r="B14" s="136">
        <f t="shared" si="2"/>
        <v>180</v>
      </c>
      <c r="C14" s="136">
        <f t="shared" si="3"/>
        <v>14.754098360655737</v>
      </c>
      <c r="D14" s="47"/>
      <c r="E14" s="136">
        <f t="shared" si="4"/>
        <v>0</v>
      </c>
      <c r="F14" s="136">
        <f t="shared" si="5"/>
        <v>15</v>
      </c>
      <c r="G14" s="136">
        <f t="shared" si="6"/>
        <v>10</v>
      </c>
      <c r="H14" s="136">
        <f t="shared" si="7"/>
        <v>7</v>
      </c>
      <c r="I14" s="136">
        <f t="shared" si="8"/>
        <v>7</v>
      </c>
      <c r="J14" s="136">
        <f t="shared" si="9"/>
        <v>0</v>
      </c>
      <c r="K14" s="136">
        <f t="shared" si="10"/>
        <v>10</v>
      </c>
      <c r="L14" s="136">
        <f t="shared" si="11"/>
        <v>5</v>
      </c>
      <c r="M14" s="47"/>
      <c r="N14" s="136">
        <f t="shared" si="12"/>
        <v>60</v>
      </c>
      <c r="O14" s="136">
        <f t="shared" si="13"/>
        <v>10</v>
      </c>
      <c r="P14" s="136">
        <f t="shared" si="14"/>
        <v>10</v>
      </c>
      <c r="Q14" s="259" t="str">
        <f>Производительность!AA14</f>
        <v>дизельный</v>
      </c>
      <c r="S14" s="136">
        <f t="shared" si="15"/>
        <v>180</v>
      </c>
      <c r="T14" s="136">
        <f t="shared" si="16"/>
        <v>14.754098360655737</v>
      </c>
      <c r="U14" s="47">
        <f t="shared" si="17"/>
        <v>0</v>
      </c>
      <c r="V14" s="47"/>
      <c r="W14" s="136">
        <f t="shared" si="18"/>
        <v>180</v>
      </c>
      <c r="X14" s="136">
        <f t="shared" si="19"/>
        <v>14.754098360655737</v>
      </c>
      <c r="Y14" s="47">
        <f t="shared" si="20"/>
        <v>0</v>
      </c>
    </row>
    <row r="15" spans="1:25" s="175" customFormat="1" x14ac:dyDescent="0.25">
      <c r="A15" s="133" t="str">
        <f>Производительность!C15</f>
        <v>*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259" t="str">
        <f>Производительность!AA15</f>
        <v>*</v>
      </c>
      <c r="S15" s="136"/>
      <c r="T15" s="136"/>
      <c r="U15" s="47"/>
      <c r="V15" s="136"/>
      <c r="W15" s="136"/>
      <c r="X15" s="136"/>
      <c r="Y15" s="47"/>
    </row>
    <row r="16" spans="1:25" x14ac:dyDescent="0.25">
      <c r="A16" s="133" t="str">
        <f>Производительность!C16</f>
        <v>СБШ-250/270КП</v>
      </c>
      <c r="B16" s="132">
        <v>300</v>
      </c>
      <c r="C16" s="136">
        <f t="shared" ref="C16:C32" si="21">C$1*B16/(30.5*2)</f>
        <v>24.590163934426229</v>
      </c>
      <c r="D16" s="47"/>
      <c r="E16" s="132"/>
      <c r="F16" s="132">
        <v>25</v>
      </c>
      <c r="G16" s="132">
        <f>3.5+3.5+3.5+3.5</f>
        <v>14</v>
      </c>
      <c r="H16" s="132">
        <v>10</v>
      </c>
      <c r="I16" s="132"/>
      <c r="J16" s="132">
        <v>20</v>
      </c>
      <c r="K16" s="132"/>
      <c r="L16" s="132"/>
      <c r="M16" s="47"/>
      <c r="N16" s="132">
        <v>0</v>
      </c>
      <c r="O16" s="132">
        <v>10</v>
      </c>
      <c r="P16" s="132">
        <v>10</v>
      </c>
      <c r="Q16" s="259" t="str">
        <f>Производительность!AA16</f>
        <v>электрический</v>
      </c>
      <c r="S16" s="132">
        <f>B16</f>
        <v>300</v>
      </c>
      <c r="T16" s="136">
        <f t="shared" ref="T16:T32" si="22">T$1*S16/(30.5*2)</f>
        <v>24.590163934426229</v>
      </c>
      <c r="U16" s="47">
        <f t="shared" ref="U16:U32" si="23">T16-C16</f>
        <v>0</v>
      </c>
      <c r="V16" s="47"/>
      <c r="W16" s="132">
        <f>S16</f>
        <v>300</v>
      </c>
      <c r="X16" s="136">
        <f t="shared" ref="X16:X32" si="24">X$1*W16/(30.5*2)</f>
        <v>24.590163934426229</v>
      </c>
      <c r="Y16" s="47">
        <f t="shared" ref="Y16:Y32" si="25">X16-T16</f>
        <v>0</v>
      </c>
    </row>
    <row r="17" spans="1:25" x14ac:dyDescent="0.25">
      <c r="A17" s="133" t="str">
        <f>Производительность!C17</f>
        <v>Sunward SWDRT270E (1)</v>
      </c>
      <c r="B17" s="136">
        <f t="shared" ref="B17:B21" si="26">B16</f>
        <v>300</v>
      </c>
      <c r="C17" s="136">
        <f t="shared" si="21"/>
        <v>24.590163934426229</v>
      </c>
      <c r="D17" s="47"/>
      <c r="E17" s="136">
        <f t="shared" ref="E17:E21" si="27">E16</f>
        <v>0</v>
      </c>
      <c r="F17" s="136">
        <f t="shared" ref="F17:F21" si="28">F16</f>
        <v>25</v>
      </c>
      <c r="G17" s="136">
        <f t="shared" ref="G17:G21" si="29">G16</f>
        <v>14</v>
      </c>
      <c r="H17" s="136">
        <f t="shared" ref="H17:H21" si="30">H16</f>
        <v>10</v>
      </c>
      <c r="I17" s="136">
        <f t="shared" ref="I17:I21" si="31">I16</f>
        <v>0</v>
      </c>
      <c r="J17" s="136">
        <f t="shared" ref="J17:J21" si="32">J16</f>
        <v>20</v>
      </c>
      <c r="K17" s="136">
        <f t="shared" ref="K17:K21" si="33">K16</f>
        <v>0</v>
      </c>
      <c r="L17" s="136">
        <f t="shared" ref="L17:L21" si="34">L16</f>
        <v>0</v>
      </c>
      <c r="M17" s="47"/>
      <c r="N17" s="136">
        <f t="shared" ref="N17:N21" si="35">N16</f>
        <v>0</v>
      </c>
      <c r="O17" s="136">
        <f t="shared" ref="O17:O21" si="36">O16</f>
        <v>10</v>
      </c>
      <c r="P17" s="136">
        <f t="shared" ref="P17:P21" si="37">P16</f>
        <v>10</v>
      </c>
      <c r="Q17" s="259" t="str">
        <f>Производительность!AA17</f>
        <v>электрический</v>
      </c>
      <c r="S17" s="136">
        <f t="shared" ref="S17:S21" si="38">S16</f>
        <v>300</v>
      </c>
      <c r="T17" s="136">
        <f t="shared" si="22"/>
        <v>24.590163934426229</v>
      </c>
      <c r="U17" s="47">
        <f t="shared" si="23"/>
        <v>0</v>
      </c>
      <c r="V17" s="47"/>
      <c r="W17" s="136">
        <f t="shared" ref="W17:W21" si="39">W16</f>
        <v>300</v>
      </c>
      <c r="X17" s="136">
        <f t="shared" si="24"/>
        <v>24.590163934426229</v>
      </c>
      <c r="Y17" s="47">
        <f t="shared" si="25"/>
        <v>0</v>
      </c>
    </row>
    <row r="18" spans="1:25" x14ac:dyDescent="0.25">
      <c r="A18" s="133" t="str">
        <f>Производительность!C18</f>
        <v>Sunward SWDRT270E (2)</v>
      </c>
      <c r="B18" s="136">
        <f t="shared" si="26"/>
        <v>300</v>
      </c>
      <c r="C18" s="136">
        <f t="shared" si="21"/>
        <v>24.590163934426229</v>
      </c>
      <c r="D18" s="47"/>
      <c r="E18" s="136">
        <f t="shared" si="27"/>
        <v>0</v>
      </c>
      <c r="F18" s="136">
        <f t="shared" si="28"/>
        <v>25</v>
      </c>
      <c r="G18" s="136">
        <f t="shared" si="29"/>
        <v>14</v>
      </c>
      <c r="H18" s="136">
        <f t="shared" si="30"/>
        <v>10</v>
      </c>
      <c r="I18" s="136">
        <f t="shared" si="31"/>
        <v>0</v>
      </c>
      <c r="J18" s="136">
        <f t="shared" si="32"/>
        <v>20</v>
      </c>
      <c r="K18" s="136">
        <f t="shared" si="33"/>
        <v>0</v>
      </c>
      <c r="L18" s="136">
        <f t="shared" si="34"/>
        <v>0</v>
      </c>
      <c r="M18" s="47"/>
      <c r="N18" s="136">
        <f t="shared" si="35"/>
        <v>0</v>
      </c>
      <c r="O18" s="136">
        <f t="shared" si="36"/>
        <v>10</v>
      </c>
      <c r="P18" s="136">
        <f t="shared" si="37"/>
        <v>10</v>
      </c>
      <c r="Q18" s="259" t="str">
        <f>Производительность!AA18</f>
        <v>электрический</v>
      </c>
      <c r="S18" s="136">
        <f t="shared" si="38"/>
        <v>300</v>
      </c>
      <c r="T18" s="136">
        <f t="shared" si="22"/>
        <v>24.590163934426229</v>
      </c>
      <c r="U18" s="47">
        <f t="shared" si="23"/>
        <v>0</v>
      </c>
      <c r="V18" s="47"/>
      <c r="W18" s="136">
        <f t="shared" si="39"/>
        <v>300</v>
      </c>
      <c r="X18" s="136">
        <f t="shared" si="24"/>
        <v>24.590163934426229</v>
      </c>
      <c r="Y18" s="47">
        <f t="shared" si="25"/>
        <v>0</v>
      </c>
    </row>
    <row r="19" spans="1:25" x14ac:dyDescent="0.25">
      <c r="A19" s="133" t="str">
        <f>Производительность!C19</f>
        <v>HIFO 75Е</v>
      </c>
      <c r="B19" s="136">
        <f t="shared" si="26"/>
        <v>300</v>
      </c>
      <c r="C19" s="136">
        <f t="shared" si="21"/>
        <v>24.590163934426229</v>
      </c>
      <c r="D19" s="47"/>
      <c r="E19" s="136">
        <f t="shared" si="27"/>
        <v>0</v>
      </c>
      <c r="F19" s="136">
        <f t="shared" si="28"/>
        <v>25</v>
      </c>
      <c r="G19" s="136">
        <f t="shared" si="29"/>
        <v>14</v>
      </c>
      <c r="H19" s="136">
        <f t="shared" si="30"/>
        <v>10</v>
      </c>
      <c r="I19" s="136">
        <f t="shared" si="31"/>
        <v>0</v>
      </c>
      <c r="J19" s="136">
        <f t="shared" si="32"/>
        <v>20</v>
      </c>
      <c r="K19" s="136">
        <f t="shared" si="33"/>
        <v>0</v>
      </c>
      <c r="L19" s="136">
        <f t="shared" si="34"/>
        <v>0</v>
      </c>
      <c r="M19" s="47"/>
      <c r="N19" s="136">
        <f t="shared" si="35"/>
        <v>0</v>
      </c>
      <c r="O19" s="136">
        <f t="shared" si="36"/>
        <v>10</v>
      </c>
      <c r="P19" s="136">
        <f t="shared" si="37"/>
        <v>10</v>
      </c>
      <c r="Q19" s="259" t="str">
        <f>Производительность!AA19</f>
        <v>электрический</v>
      </c>
      <c r="S19" s="136">
        <f t="shared" si="38"/>
        <v>300</v>
      </c>
      <c r="T19" s="136">
        <f t="shared" si="22"/>
        <v>24.590163934426229</v>
      </c>
      <c r="U19" s="47">
        <f t="shared" si="23"/>
        <v>0</v>
      </c>
      <c r="V19" s="47"/>
      <c r="W19" s="136">
        <f t="shared" si="39"/>
        <v>300</v>
      </c>
      <c r="X19" s="136">
        <f t="shared" si="24"/>
        <v>24.590163934426229</v>
      </c>
      <c r="Y19" s="47">
        <f t="shared" si="25"/>
        <v>0</v>
      </c>
    </row>
    <row r="20" spans="1:25" x14ac:dyDescent="0.25">
      <c r="A20" s="133" t="str">
        <f>Производительность!C20</f>
        <v>НИВА 22.01.00.00.00.00.00.000 (1)</v>
      </c>
      <c r="B20" s="136">
        <f t="shared" si="26"/>
        <v>300</v>
      </c>
      <c r="C20" s="136">
        <f t="shared" si="21"/>
        <v>24.590163934426229</v>
      </c>
      <c r="D20" s="47"/>
      <c r="E20" s="136">
        <f t="shared" si="27"/>
        <v>0</v>
      </c>
      <c r="F20" s="136">
        <f t="shared" si="28"/>
        <v>25</v>
      </c>
      <c r="G20" s="136">
        <f t="shared" si="29"/>
        <v>14</v>
      </c>
      <c r="H20" s="136">
        <f t="shared" si="30"/>
        <v>10</v>
      </c>
      <c r="I20" s="136">
        <f t="shared" si="31"/>
        <v>0</v>
      </c>
      <c r="J20" s="136">
        <f t="shared" si="32"/>
        <v>20</v>
      </c>
      <c r="K20" s="136">
        <f t="shared" si="33"/>
        <v>0</v>
      </c>
      <c r="L20" s="136">
        <f t="shared" si="34"/>
        <v>0</v>
      </c>
      <c r="M20" s="47"/>
      <c r="N20" s="136">
        <f t="shared" si="35"/>
        <v>0</v>
      </c>
      <c r="O20" s="136">
        <f t="shared" si="36"/>
        <v>10</v>
      </c>
      <c r="P20" s="136">
        <f t="shared" si="37"/>
        <v>10</v>
      </c>
      <c r="Q20" s="259" t="str">
        <f>Производительность!AA20</f>
        <v>электрический</v>
      </c>
      <c r="S20" s="136">
        <f t="shared" si="38"/>
        <v>300</v>
      </c>
      <c r="T20" s="136">
        <f t="shared" si="22"/>
        <v>24.590163934426229</v>
      </c>
      <c r="U20" s="47">
        <f t="shared" si="23"/>
        <v>0</v>
      </c>
      <c r="V20" s="47"/>
      <c r="W20" s="136">
        <f t="shared" si="39"/>
        <v>300</v>
      </c>
      <c r="X20" s="136">
        <f t="shared" si="24"/>
        <v>24.590163934426229</v>
      </c>
      <c r="Y20" s="47">
        <f t="shared" si="25"/>
        <v>0</v>
      </c>
    </row>
    <row r="21" spans="1:25" x14ac:dyDescent="0.25">
      <c r="A21" s="133" t="str">
        <f>Производительность!C21</f>
        <v>НИВА 22.01.00.00.00.00.00.000 (2)</v>
      </c>
      <c r="B21" s="136">
        <f t="shared" si="26"/>
        <v>300</v>
      </c>
      <c r="C21" s="136">
        <f t="shared" si="21"/>
        <v>24.590163934426229</v>
      </c>
      <c r="D21" s="47"/>
      <c r="E21" s="136">
        <f t="shared" si="27"/>
        <v>0</v>
      </c>
      <c r="F21" s="136">
        <f t="shared" si="28"/>
        <v>25</v>
      </c>
      <c r="G21" s="136">
        <f t="shared" si="29"/>
        <v>14</v>
      </c>
      <c r="H21" s="136">
        <f t="shared" si="30"/>
        <v>10</v>
      </c>
      <c r="I21" s="136">
        <f t="shared" si="31"/>
        <v>0</v>
      </c>
      <c r="J21" s="136">
        <f t="shared" si="32"/>
        <v>20</v>
      </c>
      <c r="K21" s="136">
        <f t="shared" si="33"/>
        <v>0</v>
      </c>
      <c r="L21" s="136">
        <f t="shared" si="34"/>
        <v>0</v>
      </c>
      <c r="M21" s="47"/>
      <c r="N21" s="136">
        <f t="shared" si="35"/>
        <v>0</v>
      </c>
      <c r="O21" s="136">
        <f t="shared" si="36"/>
        <v>10</v>
      </c>
      <c r="P21" s="136">
        <f t="shared" si="37"/>
        <v>10</v>
      </c>
      <c r="Q21" s="259" t="str">
        <f>Производительность!AA21</f>
        <v>электрический</v>
      </c>
      <c r="S21" s="136">
        <f t="shared" si="38"/>
        <v>300</v>
      </c>
      <c r="T21" s="136">
        <f t="shared" si="22"/>
        <v>24.590163934426229</v>
      </c>
      <c r="U21" s="47">
        <f t="shared" si="23"/>
        <v>0</v>
      </c>
      <c r="V21" s="47"/>
      <c r="W21" s="136">
        <f t="shared" si="39"/>
        <v>300</v>
      </c>
      <c r="X21" s="136">
        <f t="shared" si="24"/>
        <v>24.590163934426229</v>
      </c>
      <c r="Y21" s="47">
        <f t="shared" si="25"/>
        <v>0</v>
      </c>
    </row>
    <row r="22" spans="1:25" s="175" customFormat="1" x14ac:dyDescent="0.25">
      <c r="A22" s="133" t="str">
        <f>Производительность!C22</f>
        <v>**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259" t="str">
        <f>Производительность!AA22</f>
        <v>**</v>
      </c>
      <c r="S22" s="136"/>
      <c r="T22" s="136"/>
      <c r="U22" s="47"/>
      <c r="V22" s="136"/>
      <c r="W22" s="136"/>
      <c r="X22" s="136"/>
      <c r="Y22" s="47"/>
    </row>
    <row r="23" spans="1:25" x14ac:dyDescent="0.25">
      <c r="A23" s="133" t="str">
        <f>Производительность!C23</f>
        <v>БС-215</v>
      </c>
      <c r="B23" s="132">
        <f>B8</f>
        <v>180</v>
      </c>
      <c r="C23" s="136">
        <f t="shared" si="21"/>
        <v>14.754098360655737</v>
      </c>
      <c r="D23" s="47"/>
      <c r="E23" s="132"/>
      <c r="F23" s="132">
        <v>12</v>
      </c>
      <c r="G23" s="132">
        <f>2.5+2.5+2.5+2.5</f>
        <v>10</v>
      </c>
      <c r="H23" s="132">
        <v>7</v>
      </c>
      <c r="I23" s="132">
        <v>7</v>
      </c>
      <c r="J23" s="132"/>
      <c r="K23" s="132">
        <v>10</v>
      </c>
      <c r="L23" s="132">
        <v>5</v>
      </c>
      <c r="M23" s="47"/>
      <c r="N23" s="132">
        <v>60</v>
      </c>
      <c r="O23" s="132">
        <v>10</v>
      </c>
      <c r="P23" s="132">
        <v>10</v>
      </c>
      <c r="Q23" s="259" t="str">
        <f>Производительность!AA23</f>
        <v>дизельный</v>
      </c>
      <c r="S23" s="132">
        <f>S8</f>
        <v>180</v>
      </c>
      <c r="T23" s="136">
        <f t="shared" si="22"/>
        <v>14.754098360655737</v>
      </c>
      <c r="U23" s="47">
        <f t="shared" si="23"/>
        <v>0</v>
      </c>
      <c r="V23" s="47"/>
      <c r="W23" s="132">
        <f>W8</f>
        <v>180</v>
      </c>
      <c r="X23" s="136">
        <f t="shared" si="24"/>
        <v>14.754098360655737</v>
      </c>
      <c r="Y23" s="47">
        <f t="shared" si="25"/>
        <v>0</v>
      </c>
    </row>
    <row r="24" spans="1:25" x14ac:dyDescent="0.25">
      <c r="A24" s="133" t="str">
        <f>Производительность!C24</f>
        <v>Sunward SWDRT200SM</v>
      </c>
      <c r="B24" s="136">
        <f t="shared" ref="B24:B32" si="40">B23</f>
        <v>180</v>
      </c>
      <c r="C24" s="136">
        <f t="shared" si="21"/>
        <v>14.754098360655737</v>
      </c>
      <c r="D24" s="47"/>
      <c r="E24" s="136">
        <f t="shared" ref="E24:E32" si="41">E23</f>
        <v>0</v>
      </c>
      <c r="F24" s="136">
        <f t="shared" ref="F24:F32" si="42">F23</f>
        <v>12</v>
      </c>
      <c r="G24" s="136">
        <f t="shared" ref="G24:G32" si="43">G23</f>
        <v>10</v>
      </c>
      <c r="H24" s="136">
        <f t="shared" ref="H24:H32" si="44">H23</f>
        <v>7</v>
      </c>
      <c r="I24" s="136">
        <f t="shared" ref="I24:I32" si="45">I23</f>
        <v>7</v>
      </c>
      <c r="J24" s="136">
        <f t="shared" ref="J24:J32" si="46">J23</f>
        <v>0</v>
      </c>
      <c r="K24" s="136">
        <f t="shared" ref="K24:K32" si="47">K23</f>
        <v>10</v>
      </c>
      <c r="L24" s="136">
        <f t="shared" ref="L24:L32" si="48">L23</f>
        <v>5</v>
      </c>
      <c r="M24" s="47"/>
      <c r="N24" s="136">
        <f t="shared" ref="N24:N32" si="49">N23</f>
        <v>60</v>
      </c>
      <c r="O24" s="136">
        <f t="shared" ref="O24:O32" si="50">O23</f>
        <v>10</v>
      </c>
      <c r="P24" s="136">
        <f t="shared" ref="P24:P32" si="51">P23</f>
        <v>10</v>
      </c>
      <c r="Q24" s="259" t="str">
        <f>Производительность!AA24</f>
        <v>дизельный</v>
      </c>
      <c r="S24" s="136">
        <f t="shared" ref="S24:S32" si="52">S23</f>
        <v>180</v>
      </c>
      <c r="T24" s="136">
        <f t="shared" si="22"/>
        <v>14.754098360655737</v>
      </c>
      <c r="U24" s="47">
        <f t="shared" si="23"/>
        <v>0</v>
      </c>
      <c r="V24" s="47"/>
      <c r="W24" s="136">
        <f t="shared" ref="W24:W32" si="53">W23</f>
        <v>180</v>
      </c>
      <c r="X24" s="136">
        <f t="shared" si="24"/>
        <v>14.754098360655737</v>
      </c>
      <c r="Y24" s="47">
        <f t="shared" si="25"/>
        <v>0</v>
      </c>
    </row>
    <row r="25" spans="1:25" x14ac:dyDescent="0.25">
      <c r="A25" s="133" t="str">
        <f>Производительность!C25</f>
        <v>Sunward SWDRT250B</v>
      </c>
      <c r="B25" s="136">
        <f t="shared" si="40"/>
        <v>180</v>
      </c>
      <c r="C25" s="136">
        <f t="shared" si="21"/>
        <v>14.754098360655737</v>
      </c>
      <c r="D25" s="47"/>
      <c r="E25" s="136">
        <f t="shared" si="41"/>
        <v>0</v>
      </c>
      <c r="F25" s="136">
        <f t="shared" si="42"/>
        <v>12</v>
      </c>
      <c r="G25" s="136">
        <f t="shared" si="43"/>
        <v>10</v>
      </c>
      <c r="H25" s="136">
        <f t="shared" si="44"/>
        <v>7</v>
      </c>
      <c r="I25" s="136">
        <f t="shared" si="45"/>
        <v>7</v>
      </c>
      <c r="J25" s="136">
        <f t="shared" si="46"/>
        <v>0</v>
      </c>
      <c r="K25" s="136">
        <f t="shared" si="47"/>
        <v>10</v>
      </c>
      <c r="L25" s="136">
        <f t="shared" si="48"/>
        <v>5</v>
      </c>
      <c r="M25" s="47"/>
      <c r="N25" s="136">
        <f t="shared" si="49"/>
        <v>60</v>
      </c>
      <c r="O25" s="136">
        <f t="shared" si="50"/>
        <v>10</v>
      </c>
      <c r="P25" s="136">
        <f t="shared" si="51"/>
        <v>10</v>
      </c>
      <c r="Q25" s="259" t="str">
        <f>Производительность!AA25</f>
        <v>дизельный</v>
      </c>
      <c r="S25" s="136">
        <f t="shared" si="52"/>
        <v>180</v>
      </c>
      <c r="T25" s="136">
        <f t="shared" si="22"/>
        <v>14.754098360655737</v>
      </c>
      <c r="U25" s="47">
        <f t="shared" si="23"/>
        <v>0</v>
      </c>
      <c r="V25" s="47"/>
      <c r="W25" s="136">
        <f t="shared" si="53"/>
        <v>180</v>
      </c>
      <c r="X25" s="136">
        <f t="shared" si="24"/>
        <v>14.754098360655737</v>
      </c>
      <c r="Y25" s="47">
        <f t="shared" si="25"/>
        <v>0</v>
      </c>
    </row>
    <row r="26" spans="1:25" x14ac:dyDescent="0.25">
      <c r="A26" s="133" t="str">
        <f>Производительность!C26</f>
        <v>ZEGA R8100L (2)</v>
      </c>
      <c r="B26" s="136">
        <f t="shared" si="40"/>
        <v>180</v>
      </c>
      <c r="C26" s="136">
        <f t="shared" si="21"/>
        <v>14.754098360655737</v>
      </c>
      <c r="D26" s="47"/>
      <c r="E26" s="136">
        <f t="shared" si="41"/>
        <v>0</v>
      </c>
      <c r="F26" s="136">
        <f t="shared" si="42"/>
        <v>12</v>
      </c>
      <c r="G26" s="136">
        <f t="shared" si="43"/>
        <v>10</v>
      </c>
      <c r="H26" s="136">
        <f t="shared" si="44"/>
        <v>7</v>
      </c>
      <c r="I26" s="136">
        <f t="shared" si="45"/>
        <v>7</v>
      </c>
      <c r="J26" s="136">
        <f t="shared" si="46"/>
        <v>0</v>
      </c>
      <c r="K26" s="136">
        <f t="shared" si="47"/>
        <v>10</v>
      </c>
      <c r="L26" s="136">
        <f t="shared" si="48"/>
        <v>5</v>
      </c>
      <c r="M26" s="47"/>
      <c r="N26" s="136">
        <f t="shared" si="49"/>
        <v>60</v>
      </c>
      <c r="O26" s="136">
        <f t="shared" si="50"/>
        <v>10</v>
      </c>
      <c r="P26" s="136">
        <f t="shared" si="51"/>
        <v>10</v>
      </c>
      <c r="Q26" s="259" t="str">
        <f>Производительность!AA26</f>
        <v>дизельный</v>
      </c>
      <c r="S26" s="136">
        <f t="shared" si="52"/>
        <v>180</v>
      </c>
      <c r="T26" s="136">
        <f t="shared" si="22"/>
        <v>14.754098360655737</v>
      </c>
      <c r="U26" s="47">
        <f t="shared" si="23"/>
        <v>0</v>
      </c>
      <c r="V26" s="47"/>
      <c r="W26" s="136">
        <f t="shared" si="53"/>
        <v>180</v>
      </c>
      <c r="X26" s="136">
        <f t="shared" si="24"/>
        <v>14.754098360655737</v>
      </c>
      <c r="Y26" s="47">
        <f t="shared" si="25"/>
        <v>0</v>
      </c>
    </row>
    <row r="27" spans="1:25" x14ac:dyDescent="0.25">
      <c r="A27" s="133" t="str">
        <f>Производительность!C27</f>
        <v>Revathi C650D</v>
      </c>
      <c r="B27" s="136">
        <f t="shared" si="40"/>
        <v>180</v>
      </c>
      <c r="C27" s="136">
        <f t="shared" si="21"/>
        <v>14.754098360655737</v>
      </c>
      <c r="D27" s="47"/>
      <c r="E27" s="136">
        <f t="shared" si="41"/>
        <v>0</v>
      </c>
      <c r="F27" s="136">
        <f t="shared" si="42"/>
        <v>12</v>
      </c>
      <c r="G27" s="136">
        <f t="shared" si="43"/>
        <v>10</v>
      </c>
      <c r="H27" s="136">
        <f t="shared" si="44"/>
        <v>7</v>
      </c>
      <c r="I27" s="136">
        <f t="shared" si="45"/>
        <v>7</v>
      </c>
      <c r="J27" s="136">
        <f t="shared" si="46"/>
        <v>0</v>
      </c>
      <c r="K27" s="136">
        <f t="shared" si="47"/>
        <v>10</v>
      </c>
      <c r="L27" s="136">
        <f t="shared" si="48"/>
        <v>5</v>
      </c>
      <c r="M27" s="47"/>
      <c r="N27" s="136">
        <f t="shared" si="49"/>
        <v>60</v>
      </c>
      <c r="O27" s="136">
        <f t="shared" si="50"/>
        <v>10</v>
      </c>
      <c r="P27" s="136">
        <f t="shared" si="51"/>
        <v>10</v>
      </c>
      <c r="Q27" s="259" t="str">
        <f>Производительность!AA27</f>
        <v>дизельный</v>
      </c>
      <c r="S27" s="136">
        <f t="shared" si="52"/>
        <v>180</v>
      </c>
      <c r="T27" s="136">
        <f t="shared" si="22"/>
        <v>14.754098360655737</v>
      </c>
      <c r="U27" s="47">
        <f t="shared" si="23"/>
        <v>0</v>
      </c>
      <c r="V27" s="47"/>
      <c r="W27" s="136">
        <f t="shared" si="53"/>
        <v>180</v>
      </c>
      <c r="X27" s="136">
        <f t="shared" si="24"/>
        <v>14.754098360655737</v>
      </c>
      <c r="Y27" s="47">
        <f t="shared" si="25"/>
        <v>0</v>
      </c>
    </row>
    <row r="28" spans="1:25" x14ac:dyDescent="0.25">
      <c r="A28" s="133" t="str">
        <f>Производительность!C28</f>
        <v>MS1200RB</v>
      </c>
      <c r="B28" s="136">
        <f t="shared" si="40"/>
        <v>180</v>
      </c>
      <c r="C28" s="136">
        <f t="shared" si="21"/>
        <v>14.754098360655737</v>
      </c>
      <c r="D28" s="47"/>
      <c r="E28" s="136">
        <f t="shared" si="41"/>
        <v>0</v>
      </c>
      <c r="F28" s="136">
        <f t="shared" si="42"/>
        <v>12</v>
      </c>
      <c r="G28" s="136">
        <f t="shared" si="43"/>
        <v>10</v>
      </c>
      <c r="H28" s="136">
        <f t="shared" si="44"/>
        <v>7</v>
      </c>
      <c r="I28" s="136">
        <f t="shared" si="45"/>
        <v>7</v>
      </c>
      <c r="J28" s="136">
        <f t="shared" si="46"/>
        <v>0</v>
      </c>
      <c r="K28" s="136">
        <f t="shared" si="47"/>
        <v>10</v>
      </c>
      <c r="L28" s="136">
        <f t="shared" si="48"/>
        <v>5</v>
      </c>
      <c r="M28" s="47"/>
      <c r="N28" s="136">
        <f t="shared" si="49"/>
        <v>60</v>
      </c>
      <c r="O28" s="136">
        <f t="shared" si="50"/>
        <v>10</v>
      </c>
      <c r="P28" s="136">
        <f t="shared" si="51"/>
        <v>10</v>
      </c>
      <c r="Q28" s="259" t="str">
        <f>Производительность!AA28</f>
        <v>дизельный</v>
      </c>
      <c r="S28" s="136">
        <f t="shared" si="52"/>
        <v>180</v>
      </c>
      <c r="T28" s="136">
        <f t="shared" si="22"/>
        <v>14.754098360655737</v>
      </c>
      <c r="U28" s="47">
        <f t="shared" si="23"/>
        <v>0</v>
      </c>
      <c r="V28" s="47"/>
      <c r="W28" s="136">
        <f t="shared" si="53"/>
        <v>180</v>
      </c>
      <c r="X28" s="136">
        <f t="shared" si="24"/>
        <v>14.754098360655737</v>
      </c>
      <c r="Y28" s="47">
        <f t="shared" si="25"/>
        <v>0</v>
      </c>
    </row>
    <row r="29" spans="1:25" x14ac:dyDescent="0.25">
      <c r="A29" s="133" t="str">
        <f>Производительность!C29</f>
        <v>СБ-55Д-01</v>
      </c>
      <c r="B29" s="136">
        <f t="shared" si="40"/>
        <v>180</v>
      </c>
      <c r="C29" s="136">
        <f t="shared" si="21"/>
        <v>14.754098360655737</v>
      </c>
      <c r="D29" s="47"/>
      <c r="E29" s="136">
        <f t="shared" si="41"/>
        <v>0</v>
      </c>
      <c r="F29" s="136">
        <f t="shared" si="42"/>
        <v>12</v>
      </c>
      <c r="G29" s="136">
        <f t="shared" si="43"/>
        <v>10</v>
      </c>
      <c r="H29" s="136">
        <f t="shared" si="44"/>
        <v>7</v>
      </c>
      <c r="I29" s="136">
        <f t="shared" si="45"/>
        <v>7</v>
      </c>
      <c r="J29" s="136">
        <f t="shared" si="46"/>
        <v>0</v>
      </c>
      <c r="K29" s="136">
        <f t="shared" si="47"/>
        <v>10</v>
      </c>
      <c r="L29" s="136">
        <f t="shared" si="48"/>
        <v>5</v>
      </c>
      <c r="M29" s="47"/>
      <c r="N29" s="136">
        <f t="shared" si="49"/>
        <v>60</v>
      </c>
      <c r="O29" s="136">
        <f t="shared" si="50"/>
        <v>10</v>
      </c>
      <c r="P29" s="136">
        <f t="shared" si="51"/>
        <v>10</v>
      </c>
      <c r="Q29" s="259" t="str">
        <f>Производительность!AA29</f>
        <v>дизельный</v>
      </c>
      <c r="S29" s="136">
        <f t="shared" si="52"/>
        <v>180</v>
      </c>
      <c r="T29" s="136">
        <f t="shared" si="22"/>
        <v>14.754098360655737</v>
      </c>
      <c r="U29" s="47">
        <f t="shared" si="23"/>
        <v>0</v>
      </c>
      <c r="V29" s="47"/>
      <c r="W29" s="136">
        <f t="shared" si="53"/>
        <v>180</v>
      </c>
      <c r="X29" s="136">
        <f t="shared" si="24"/>
        <v>14.754098360655737</v>
      </c>
      <c r="Y29" s="47">
        <f t="shared" si="25"/>
        <v>0</v>
      </c>
    </row>
    <row r="30" spans="1:25" x14ac:dyDescent="0.25">
      <c r="A30" s="133" t="str">
        <f>Производительность!C30</f>
        <v>KAMACH KY-250D</v>
      </c>
      <c r="B30" s="136">
        <f t="shared" si="40"/>
        <v>180</v>
      </c>
      <c r="C30" s="136">
        <f t="shared" si="21"/>
        <v>14.754098360655737</v>
      </c>
      <c r="D30" s="47"/>
      <c r="E30" s="136">
        <f t="shared" si="41"/>
        <v>0</v>
      </c>
      <c r="F30" s="136">
        <f t="shared" si="42"/>
        <v>12</v>
      </c>
      <c r="G30" s="136">
        <f t="shared" si="43"/>
        <v>10</v>
      </c>
      <c r="H30" s="136">
        <f t="shared" si="44"/>
        <v>7</v>
      </c>
      <c r="I30" s="136">
        <f t="shared" si="45"/>
        <v>7</v>
      </c>
      <c r="J30" s="136">
        <f t="shared" si="46"/>
        <v>0</v>
      </c>
      <c r="K30" s="136">
        <f t="shared" si="47"/>
        <v>10</v>
      </c>
      <c r="L30" s="136">
        <f t="shared" si="48"/>
        <v>5</v>
      </c>
      <c r="M30" s="47"/>
      <c r="N30" s="136">
        <f t="shared" si="49"/>
        <v>60</v>
      </c>
      <c r="O30" s="136">
        <f t="shared" si="50"/>
        <v>10</v>
      </c>
      <c r="P30" s="136">
        <f t="shared" si="51"/>
        <v>10</v>
      </c>
      <c r="Q30" s="259" t="str">
        <f>Производительность!AA30</f>
        <v>дизельный</v>
      </c>
      <c r="S30" s="136">
        <f t="shared" si="52"/>
        <v>180</v>
      </c>
      <c r="T30" s="136">
        <f t="shared" si="22"/>
        <v>14.754098360655737</v>
      </c>
      <c r="U30" s="47">
        <f t="shared" si="23"/>
        <v>0</v>
      </c>
      <c r="V30" s="47"/>
      <c r="W30" s="136">
        <f t="shared" si="53"/>
        <v>180</v>
      </c>
      <c r="X30" s="136">
        <f t="shared" si="24"/>
        <v>14.754098360655737</v>
      </c>
      <c r="Y30" s="47">
        <f t="shared" si="25"/>
        <v>0</v>
      </c>
    </row>
    <row r="31" spans="1:25" x14ac:dyDescent="0.25">
      <c r="A31" s="133" t="str">
        <f>Производительность!C31</f>
        <v>НИВА 23.01.00.00.00.00.00.000 (1)</v>
      </c>
      <c r="B31" s="136">
        <f t="shared" si="40"/>
        <v>180</v>
      </c>
      <c r="C31" s="136">
        <f t="shared" si="21"/>
        <v>14.754098360655737</v>
      </c>
      <c r="D31" s="47"/>
      <c r="E31" s="136">
        <f t="shared" si="41"/>
        <v>0</v>
      </c>
      <c r="F31" s="136">
        <f t="shared" si="42"/>
        <v>12</v>
      </c>
      <c r="G31" s="136">
        <f t="shared" si="43"/>
        <v>10</v>
      </c>
      <c r="H31" s="136">
        <f t="shared" si="44"/>
        <v>7</v>
      </c>
      <c r="I31" s="136">
        <f t="shared" si="45"/>
        <v>7</v>
      </c>
      <c r="J31" s="136">
        <f t="shared" si="46"/>
        <v>0</v>
      </c>
      <c r="K31" s="136">
        <f t="shared" si="47"/>
        <v>10</v>
      </c>
      <c r="L31" s="136">
        <f t="shared" si="48"/>
        <v>5</v>
      </c>
      <c r="M31" s="47"/>
      <c r="N31" s="136">
        <f t="shared" si="49"/>
        <v>60</v>
      </c>
      <c r="O31" s="136">
        <f t="shared" si="50"/>
        <v>10</v>
      </c>
      <c r="P31" s="136">
        <f t="shared" si="51"/>
        <v>10</v>
      </c>
      <c r="Q31" s="259" t="str">
        <f>Производительность!AA31</f>
        <v>дизельный</v>
      </c>
      <c r="S31" s="136">
        <f t="shared" si="52"/>
        <v>180</v>
      </c>
      <c r="T31" s="136">
        <f t="shared" si="22"/>
        <v>14.754098360655737</v>
      </c>
      <c r="U31" s="47">
        <f t="shared" si="23"/>
        <v>0</v>
      </c>
      <c r="V31" s="47"/>
      <c r="W31" s="136">
        <f t="shared" si="53"/>
        <v>180</v>
      </c>
      <c r="X31" s="136">
        <f t="shared" si="24"/>
        <v>14.754098360655737</v>
      </c>
      <c r="Y31" s="47">
        <f t="shared" si="25"/>
        <v>0</v>
      </c>
    </row>
    <row r="32" spans="1:25" x14ac:dyDescent="0.25">
      <c r="A32" s="133" t="str">
        <f>Производительность!C32</f>
        <v>НИВА 23.01.00.00.00.00.00.000 (2)</v>
      </c>
      <c r="B32" s="136">
        <f t="shared" si="40"/>
        <v>180</v>
      </c>
      <c r="C32" s="136">
        <f t="shared" si="21"/>
        <v>14.754098360655737</v>
      </c>
      <c r="D32" s="47"/>
      <c r="E32" s="136">
        <f t="shared" si="41"/>
        <v>0</v>
      </c>
      <c r="F32" s="136">
        <f t="shared" si="42"/>
        <v>12</v>
      </c>
      <c r="G32" s="136">
        <f t="shared" si="43"/>
        <v>10</v>
      </c>
      <c r="H32" s="136">
        <f t="shared" si="44"/>
        <v>7</v>
      </c>
      <c r="I32" s="136">
        <f t="shared" si="45"/>
        <v>7</v>
      </c>
      <c r="J32" s="136">
        <f t="shared" si="46"/>
        <v>0</v>
      </c>
      <c r="K32" s="136">
        <f t="shared" si="47"/>
        <v>10</v>
      </c>
      <c r="L32" s="136">
        <f t="shared" si="48"/>
        <v>5</v>
      </c>
      <c r="M32" s="47"/>
      <c r="N32" s="136">
        <f t="shared" si="49"/>
        <v>60</v>
      </c>
      <c r="O32" s="136">
        <f t="shared" si="50"/>
        <v>10</v>
      </c>
      <c r="P32" s="136">
        <f t="shared" si="51"/>
        <v>10</v>
      </c>
      <c r="Q32" s="259" t="str">
        <f>Производительность!AA32</f>
        <v>дизельный</v>
      </c>
      <c r="S32" s="136">
        <f t="shared" si="52"/>
        <v>180</v>
      </c>
      <c r="T32" s="136">
        <f t="shared" si="22"/>
        <v>14.754098360655737</v>
      </c>
      <c r="U32" s="47">
        <f t="shared" si="23"/>
        <v>0</v>
      </c>
      <c r="V32" s="47"/>
      <c r="W32" s="136">
        <f t="shared" si="53"/>
        <v>180</v>
      </c>
      <c r="X32" s="136">
        <f t="shared" si="24"/>
        <v>14.754098360655737</v>
      </c>
      <c r="Y32" s="47">
        <f t="shared" si="25"/>
        <v>0</v>
      </c>
    </row>
    <row r="33" spans="1:25" s="175" customFormat="1" x14ac:dyDescent="0.25">
      <c r="A33" s="133" t="str">
        <f>Производительность!C33</f>
        <v>***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259" t="str">
        <f>Производительность!AA33</f>
        <v>***</v>
      </c>
      <c r="S33" s="136"/>
      <c r="T33" s="136"/>
      <c r="U33" s="47"/>
      <c r="V33" s="136"/>
      <c r="W33" s="136"/>
      <c r="X33" s="136"/>
      <c r="Y33" s="47"/>
    </row>
    <row r="37" spans="1:25" x14ac:dyDescent="0.25">
      <c r="A37" s="2" t="s">
        <v>326</v>
      </c>
    </row>
  </sheetData>
  <mergeCells count="5">
    <mergeCell ref="W6:X6"/>
    <mergeCell ref="B6:C6"/>
    <mergeCell ref="E6:J6"/>
    <mergeCell ref="N6:P6"/>
    <mergeCell ref="S6:T6"/>
  </mergeCells>
  <pageMargins left="0.7" right="0.7" top="0.75" bottom="0.75" header="0.3" footer="0.3"/>
  <customProperties>
    <customPr name="_pios_id" r:id="rId1"/>
  </customPropertie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B630-27CD-43CD-9757-242002F18770}">
  <sheetPr>
    <tabColor rgb="FFFF0000"/>
  </sheetPr>
  <dimension ref="A1:AO50"/>
  <sheetViews>
    <sheetView showGridLines="0" zoomScale="85" zoomScaleNormal="85" workbookViewId="0">
      <pane xSplit="6" ySplit="4" topLeftCell="G5" activePane="bottomRight" state="frozen"/>
      <selection activeCell="F43" sqref="F43"/>
      <selection pane="topRight" activeCell="F43" sqref="F43"/>
      <selection pane="bottomLeft" activeCell="F43" sqref="F43"/>
      <selection pane="bottomRight" activeCell="V1" sqref="V1"/>
    </sheetView>
  </sheetViews>
  <sheetFormatPr defaultRowHeight="14.3" outlineLevelCol="1" x14ac:dyDescent="0.25"/>
  <cols>
    <col min="1" max="1" width="10.75" style="152" bestFit="1" customWidth="1"/>
    <col min="2" max="2" width="6.125" style="152" customWidth="1"/>
    <col min="3" max="3" width="3.875" style="324" customWidth="1"/>
    <col min="4" max="4" width="4.5" style="152" customWidth="1"/>
    <col min="5" max="5" width="40" style="152" bestFit="1" customWidth="1"/>
    <col min="6" max="6" width="9" style="152" customWidth="1"/>
    <col min="7" max="11" width="11.875" style="152" customWidth="1"/>
    <col min="12" max="13" width="11.875" style="152" hidden="1" customWidth="1" outlineLevel="1"/>
    <col min="14" max="14" width="4" style="152" customWidth="1" collapsed="1"/>
    <col min="15" max="15" width="11.875" style="152" customWidth="1"/>
    <col min="16" max="20" width="11.875" style="152" hidden="1" customWidth="1" outlineLevel="1"/>
    <col min="21" max="21" width="4" style="152" customWidth="1" collapsed="1"/>
    <col min="22" max="22" width="11.875" style="152" customWidth="1"/>
    <col min="23" max="27" width="11.875" style="152" hidden="1" customWidth="1" outlineLevel="1"/>
    <col min="28" max="28" width="11.875" style="152" customWidth="1" collapsed="1"/>
    <col min="29" max="31" width="11.875" style="152" hidden="1" customWidth="1" outlineLevel="1"/>
    <col min="32" max="32" width="4" style="152" customWidth="1" collapsed="1"/>
    <col min="33" max="16384" width="9" style="152"/>
  </cols>
  <sheetData>
    <row r="1" spans="1:32" x14ac:dyDescent="0.25">
      <c r="G1" s="680" t="str">
        <f>VLOOKUP(G$4,Производительность!$C$7:$AB$34,26,FALSE)</f>
        <v>Огунвей</v>
      </c>
      <c r="H1" s="680" t="str">
        <f>VLOOKUP(H$4,Производительность!$C$7:$AB$34,26,FALSE)</f>
        <v>Стройкомпозит-Н</v>
      </c>
      <c r="I1" s="680" t="str">
        <f>VLOOKUP(I$4,Производительность!$C$7:$AB$34,26,FALSE)</f>
        <v>Стройкомпозит-Н</v>
      </c>
      <c r="J1" s="680" t="str">
        <f>VLOOKUP(J$4,Производительность!$C$7:$AB$34,26,FALSE)</f>
        <v>Огунвей</v>
      </c>
      <c r="K1" s="680" t="str">
        <f>VLOOKUP(K$4,Производительность!$C$7:$AB$34,26,FALSE)</f>
        <v>Майнинг Солюшнс</v>
      </c>
      <c r="L1" s="374" t="str">
        <f>VLOOKUP(L$4,Производительность!$C$7:$AB$34,26,FALSE)</f>
        <v>абм</v>
      </c>
      <c r="M1" s="374" t="str">
        <f>VLOOKUP(M$4,Производительность!$C$7:$AB$34,26,FALSE)</f>
        <v>Огунвей</v>
      </c>
      <c r="N1" s="374">
        <f>VLOOKUP(N$4,Производительность!$C$7:$AB$34,26,FALSE)</f>
        <v>0</v>
      </c>
      <c r="O1" s="318" t="str">
        <f>VLOOKUP(O$4,Производительность!$C$7:$AB$34,26,FALSE)</f>
        <v>рудгормаш</v>
      </c>
      <c r="P1" s="374" t="str">
        <f>VLOOKUP(P$4,Производительность!$C$7:$AB$34,26,FALSE)</f>
        <v>Стройкомпозит-Н</v>
      </c>
      <c r="Q1" s="374" t="str">
        <f>VLOOKUP(Q$4,Производительность!$C$7:$AB$34,26,FALSE)</f>
        <v>огунвей</v>
      </c>
      <c r="R1" s="374" t="str">
        <f>VLOOKUP(R$4,Производительность!$C$7:$AB$34,26,FALSE)</f>
        <v>Майнинг Солюшнс</v>
      </c>
      <c r="S1" s="374" t="str">
        <f>VLOOKUP(S$4,Производительность!$C$7:$AB$34,26,FALSE)</f>
        <v>нива завод</v>
      </c>
      <c r="T1" s="374" t="str">
        <f>VLOOKUP(T$4,Производительность!$C$7:$AB$34,26,FALSE)</f>
        <v>нива красноярск</v>
      </c>
      <c r="U1" s="374">
        <f>VLOOKUP(U$4,Производительность!$C$7:$AB$34,26,FALSE)</f>
        <v>0</v>
      </c>
      <c r="V1" s="680" t="str">
        <f>VLOOKUP(V$4,Производительность!$C$7:$AB$34,26,FALSE)</f>
        <v>Копейский машзавод</v>
      </c>
      <c r="W1" s="374" t="str">
        <f>VLOOKUP(W$4,Производительность!$C$7:$AB$34,26,FALSE)</f>
        <v>Стройкомпозит-Н</v>
      </c>
      <c r="X1" s="374" t="str">
        <f>VLOOKUP(X$4,Производительность!$C$7:$AB$34,26,FALSE)</f>
        <v>Огунвей</v>
      </c>
      <c r="Y1" s="374" t="str">
        <f>VLOOKUP(Y$4,Производительность!$C$7:$AB$34,26,FALSE)</f>
        <v>абм</v>
      </c>
      <c r="Z1" s="374" t="str">
        <f>VLOOKUP(Z$4,Производительность!$C$7:$AB$34,26,FALSE)</f>
        <v>ттм</v>
      </c>
      <c r="AA1" s="374" t="str">
        <f>VLOOKUP(AA$4,Производительность!$C$7:$AB$34,26,FALSE)</f>
        <v>Майнинг Солюшнс</v>
      </c>
      <c r="AB1" s="318" t="str">
        <f>VLOOKUP(AB$4,Производительность!$C$7:$AB$34,26,FALSE)</f>
        <v>нипигормаш</v>
      </c>
      <c r="AC1" s="374" t="str">
        <f>VLOOKUP(AC$4,Производительность!$C$7:$AB$34,26,FALSE)</f>
        <v>истк</v>
      </c>
      <c r="AD1" s="374" t="str">
        <f>VLOOKUP(AD$4,Производительность!$C$7:$AB$34,26,FALSE)</f>
        <v>нива завод</v>
      </c>
      <c r="AE1" s="374" t="str">
        <f>VLOOKUP(AE$4,Производительность!$C$7:$AB$34,26,FALSE)</f>
        <v>нива красноярск</v>
      </c>
      <c r="AF1" s="374">
        <f>VLOOKUP(AF$4,Производительность!$C$7:$AB$34,26,FALSE)</f>
        <v>0</v>
      </c>
    </row>
    <row r="2" spans="1:32" x14ac:dyDescent="0.25">
      <c r="D2" s="3" t="s">
        <v>658</v>
      </c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</row>
    <row r="3" spans="1:32" x14ac:dyDescent="0.25">
      <c r="G3" s="797"/>
      <c r="H3" s="797" t="s">
        <v>657</v>
      </c>
      <c r="I3" s="797" t="s">
        <v>657</v>
      </c>
      <c r="J3" s="797"/>
      <c r="K3" s="798" t="s">
        <v>656</v>
      </c>
      <c r="L3" s="797"/>
      <c r="M3" s="797"/>
      <c r="N3" s="797"/>
      <c r="O3" s="797"/>
      <c r="P3" s="797" t="s">
        <v>657</v>
      </c>
      <c r="Q3" s="797"/>
      <c r="R3" s="798" t="s">
        <v>656</v>
      </c>
      <c r="S3" s="797"/>
      <c r="T3" s="797"/>
      <c r="U3" s="797"/>
      <c r="V3" s="798" t="s">
        <v>672</v>
      </c>
      <c r="W3" s="797" t="s">
        <v>657</v>
      </c>
      <c r="X3" s="797"/>
      <c r="Y3" s="797"/>
      <c r="Z3" s="797"/>
      <c r="AA3" s="798" t="s">
        <v>656</v>
      </c>
      <c r="AB3" s="797"/>
      <c r="AC3" s="797"/>
      <c r="AD3" s="797"/>
      <c r="AE3" s="797"/>
      <c r="AF3" s="797"/>
    </row>
    <row r="4" spans="1:32" ht="40.75" x14ac:dyDescent="0.25">
      <c r="D4" s="153" t="s">
        <v>3</v>
      </c>
      <c r="E4" s="153" t="s">
        <v>6</v>
      </c>
      <c r="F4" s="153" t="s">
        <v>7</v>
      </c>
      <c r="G4" s="236" t="str">
        <f>Производительность!C8</f>
        <v>YANGZI DR75</v>
      </c>
      <c r="H4" s="236" t="str">
        <f>Производительность!C9</f>
        <v>Sunward SWDRT250SM</v>
      </c>
      <c r="I4" s="236" t="str">
        <f>Производительность!C10</f>
        <v>Sunward SWDRT270SM</v>
      </c>
      <c r="J4" s="236" t="str">
        <f>Производительность!C11</f>
        <v>Sunward SWDRT270B</v>
      </c>
      <c r="K4" s="236" t="str">
        <f>Производительность!C12</f>
        <v>HIFO 75D</v>
      </c>
      <c r="L4" s="236" t="str">
        <f>Производительность!C13</f>
        <v>ZEGA R8100L (1)</v>
      </c>
      <c r="M4" s="236" t="str">
        <f>Производительность!C14</f>
        <v>YANGZI  DM75</v>
      </c>
      <c r="N4" s="236" t="str">
        <f>Производительность!C15</f>
        <v>*</v>
      </c>
      <c r="O4" s="236" t="str">
        <f>Производительность!C16</f>
        <v>СБШ-250/270КП</v>
      </c>
      <c r="P4" s="236" t="str">
        <f>Производительность!C17</f>
        <v>Sunward SWDRT270E (1)</v>
      </c>
      <c r="Q4" s="236" t="str">
        <f>Производительность!C18</f>
        <v>Sunward SWDRT270E (2)</v>
      </c>
      <c r="R4" s="236" t="str">
        <f>Производительность!C19</f>
        <v>HIFO 75Е</v>
      </c>
      <c r="S4" s="236" t="str">
        <f>Производительность!C20</f>
        <v>НИВА 22.01.00.00.00.00.00.000 (1)</v>
      </c>
      <c r="T4" s="236" t="str">
        <f>Производительность!C21</f>
        <v>НИВА 22.01.00.00.00.00.00.000 (2)</v>
      </c>
      <c r="U4" s="236" t="str">
        <f>Производительность!C22</f>
        <v>**</v>
      </c>
      <c r="V4" s="236" t="str">
        <f>Производительность!C23</f>
        <v>БС-215</v>
      </c>
      <c r="W4" s="236" t="str">
        <f>Производительность!C24</f>
        <v>Sunward SWDRT200SM</v>
      </c>
      <c r="X4" s="236" t="str">
        <f>Производительность!C25</f>
        <v>Sunward SWDRT250B</v>
      </c>
      <c r="Y4" s="236" t="str">
        <f>Производительность!C26</f>
        <v>ZEGA R8100L (2)</v>
      </c>
      <c r="Z4" s="236" t="str">
        <f>Производительность!C27</f>
        <v>Revathi C650D</v>
      </c>
      <c r="AA4" s="236" t="str">
        <f>Производительность!C28</f>
        <v>MS1200RB</v>
      </c>
      <c r="AB4" s="236" t="str">
        <f>Производительность!C29</f>
        <v>СБ-55Д-01</v>
      </c>
      <c r="AC4" s="236" t="str">
        <f>Производительность!C30</f>
        <v>KAMACH KY-250D</v>
      </c>
      <c r="AD4" s="236" t="str">
        <f>Производительность!C31</f>
        <v>НИВА 23.01.00.00.00.00.00.000 (1)</v>
      </c>
      <c r="AE4" s="236" t="str">
        <f>Производительность!C32</f>
        <v>НИВА 23.01.00.00.00.00.00.000 (2)</v>
      </c>
      <c r="AF4" s="236" t="str">
        <f>Производительность!C33</f>
        <v>***</v>
      </c>
    </row>
    <row r="5" spans="1:32" x14ac:dyDescent="0.25">
      <c r="D5" s="154">
        <v>1</v>
      </c>
      <c r="E5" s="291" t="s">
        <v>144</v>
      </c>
      <c r="F5" s="155" t="s">
        <v>9</v>
      </c>
      <c r="G5" s="290" t="s">
        <v>280</v>
      </c>
      <c r="H5" s="271" t="s">
        <v>282</v>
      </c>
      <c r="I5" s="271" t="s">
        <v>282</v>
      </c>
      <c r="J5" s="271" t="str">
        <f t="shared" ref="J5:J10" si="0">I5</f>
        <v>65-70</v>
      </c>
      <c r="K5" s="290" t="s">
        <v>283</v>
      </c>
      <c r="L5" s="156"/>
      <c r="M5" s="156"/>
      <c r="N5" s="352"/>
      <c r="O5" s="271">
        <v>130</v>
      </c>
      <c r="P5" s="271" t="s">
        <v>281</v>
      </c>
      <c r="Q5" s="156"/>
      <c r="R5" s="156"/>
      <c r="S5" s="156"/>
      <c r="T5" s="156"/>
      <c r="U5" s="352"/>
      <c r="V5" s="271">
        <v>50</v>
      </c>
      <c r="W5" s="156"/>
      <c r="X5" s="156"/>
      <c r="Y5" s="156"/>
      <c r="Z5" s="156"/>
      <c r="AA5" s="156"/>
      <c r="AB5" s="271">
        <v>57.3</v>
      </c>
      <c r="AC5" s="156"/>
      <c r="AD5" s="156"/>
      <c r="AE5" s="156"/>
      <c r="AF5" s="352"/>
    </row>
    <row r="6" spans="1:32" ht="28.55" x14ac:dyDescent="0.25">
      <c r="D6" s="157">
        <f>MAX(D$5:D5)+1</f>
        <v>2</v>
      </c>
      <c r="E6" s="273" t="s">
        <v>118</v>
      </c>
      <c r="F6" s="158" t="s">
        <v>119</v>
      </c>
      <c r="G6" s="263">
        <v>53.8</v>
      </c>
      <c r="H6" s="263">
        <v>53</v>
      </c>
      <c r="I6" s="263">
        <v>57</v>
      </c>
      <c r="J6" s="263">
        <f t="shared" si="0"/>
        <v>57</v>
      </c>
      <c r="K6" s="263">
        <f>G6</f>
        <v>53.8</v>
      </c>
      <c r="L6" s="231"/>
      <c r="M6" s="231"/>
      <c r="N6" s="353"/>
      <c r="O6" s="263">
        <v>50</v>
      </c>
      <c r="P6" s="263">
        <v>50.8</v>
      </c>
      <c r="Q6" s="231"/>
      <c r="R6" s="231"/>
      <c r="S6" s="231"/>
      <c r="T6" s="231"/>
      <c r="U6" s="353"/>
      <c r="V6" s="263">
        <v>37</v>
      </c>
      <c r="W6" s="231"/>
      <c r="X6" s="231"/>
      <c r="Y6" s="231"/>
      <c r="Z6" s="231"/>
      <c r="AA6" s="231"/>
      <c r="AB6" s="263">
        <v>37</v>
      </c>
      <c r="AC6" s="231"/>
      <c r="AD6" s="231"/>
      <c r="AE6" s="231"/>
      <c r="AF6" s="354"/>
    </row>
    <row r="7" spans="1:32" x14ac:dyDescent="0.25">
      <c r="D7" s="157">
        <f>MAX(D$5:D6)+1</f>
        <v>3</v>
      </c>
      <c r="E7" s="273" t="s">
        <v>120</v>
      </c>
      <c r="F7" s="158" t="s">
        <v>242</v>
      </c>
      <c r="G7" s="265">
        <v>340</v>
      </c>
      <c r="H7" s="265">
        <v>264.8</v>
      </c>
      <c r="I7" s="265">
        <v>392.3</v>
      </c>
      <c r="J7" s="265">
        <f t="shared" si="0"/>
        <v>392.3</v>
      </c>
      <c r="K7" s="265">
        <f>G7</f>
        <v>340</v>
      </c>
      <c r="L7" s="159"/>
      <c r="M7" s="159"/>
      <c r="N7" s="354"/>
      <c r="O7" s="265">
        <v>341</v>
      </c>
      <c r="P7" s="265">
        <v>392.3</v>
      </c>
      <c r="Q7" s="159"/>
      <c r="R7" s="159"/>
      <c r="S7" s="159"/>
      <c r="T7" s="159"/>
      <c r="U7" s="354"/>
      <c r="V7" s="265">
        <v>276</v>
      </c>
      <c r="W7" s="159"/>
      <c r="X7" s="159"/>
      <c r="Y7" s="159"/>
      <c r="Z7" s="159"/>
      <c r="AA7" s="159"/>
      <c r="AB7" s="265">
        <v>250</v>
      </c>
      <c r="AC7" s="159"/>
      <c r="AD7" s="159"/>
      <c r="AE7" s="159"/>
      <c r="AF7" s="354"/>
    </row>
    <row r="8" spans="1:32" ht="28.55" x14ac:dyDescent="0.25">
      <c r="D8" s="941">
        <f>MAX(D$5:D7)+1</f>
        <v>4</v>
      </c>
      <c r="E8" s="944" t="s">
        <v>145</v>
      </c>
      <c r="F8" s="158"/>
      <c r="G8" s="263" t="s">
        <v>276</v>
      </c>
      <c r="H8" s="263" t="s">
        <v>296</v>
      </c>
      <c r="I8" s="263" t="s">
        <v>296</v>
      </c>
      <c r="J8" s="263" t="str">
        <f t="shared" si="0"/>
        <v>CAT
С27</v>
      </c>
      <c r="K8" s="263" t="s">
        <v>296</v>
      </c>
      <c r="L8" s="231"/>
      <c r="M8" s="231"/>
      <c r="N8" s="353"/>
      <c r="O8" s="263" t="s">
        <v>299</v>
      </c>
      <c r="P8" s="263" t="s">
        <v>299</v>
      </c>
      <c r="Q8" s="231"/>
      <c r="R8" s="231"/>
      <c r="S8" s="231"/>
      <c r="T8" s="231"/>
      <c r="U8" s="353"/>
      <c r="V8" s="263" t="s">
        <v>673</v>
      </c>
      <c r="W8" s="231"/>
      <c r="X8" s="231"/>
      <c r="Y8" s="231"/>
      <c r="Z8" s="231"/>
      <c r="AA8" s="231"/>
      <c r="AB8" s="263" t="s">
        <v>675</v>
      </c>
      <c r="AC8" s="231"/>
      <c r="AD8" s="231"/>
      <c r="AE8" s="231"/>
      <c r="AF8" s="353"/>
    </row>
    <row r="9" spans="1:32" x14ac:dyDescent="0.25">
      <c r="D9" s="942"/>
      <c r="E9" s="945"/>
      <c r="F9" s="158" t="s">
        <v>121</v>
      </c>
      <c r="G9" s="264">
        <v>597</v>
      </c>
      <c r="H9" s="264">
        <v>597</v>
      </c>
      <c r="I9" s="264">
        <v>597</v>
      </c>
      <c r="J9" s="264">
        <f t="shared" si="0"/>
        <v>597</v>
      </c>
      <c r="K9" s="264">
        <v>597</v>
      </c>
      <c r="L9" s="232"/>
      <c r="M9" s="232"/>
      <c r="N9" s="355"/>
      <c r="O9" s="232"/>
      <c r="P9" s="232"/>
      <c r="Q9" s="232"/>
      <c r="R9" s="232"/>
      <c r="S9" s="232"/>
      <c r="T9" s="232"/>
      <c r="U9" s="355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355"/>
    </row>
    <row r="10" spans="1:32" x14ac:dyDescent="0.25">
      <c r="A10" s="685" t="s">
        <v>550</v>
      </c>
      <c r="B10" s="240">
        <v>1.3596200000000001</v>
      </c>
      <c r="C10" s="325"/>
      <c r="D10" s="943"/>
      <c r="E10" s="946"/>
      <c r="F10" s="158" t="s">
        <v>10</v>
      </c>
      <c r="G10" s="264">
        <v>800</v>
      </c>
      <c r="H10" s="264">
        <v>800</v>
      </c>
      <c r="I10" s="264">
        <v>800</v>
      </c>
      <c r="J10" s="264">
        <f t="shared" si="0"/>
        <v>800</v>
      </c>
      <c r="K10" s="264">
        <f>K9*$B10</f>
        <v>811.69314000000008</v>
      </c>
      <c r="L10" s="232"/>
      <c r="M10" s="232"/>
      <c r="N10" s="355"/>
      <c r="O10" s="232"/>
      <c r="P10" s="232"/>
      <c r="Q10" s="232"/>
      <c r="R10" s="232"/>
      <c r="S10" s="232"/>
      <c r="T10" s="232"/>
      <c r="U10" s="355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355"/>
    </row>
    <row r="11" spans="1:32" x14ac:dyDescent="0.25">
      <c r="D11" s="157"/>
      <c r="E11" s="284" t="s">
        <v>122</v>
      </c>
      <c r="F11" s="158"/>
      <c r="G11" s="157"/>
      <c r="H11" s="157"/>
      <c r="I11" s="157"/>
      <c r="J11" s="157"/>
      <c r="K11" s="157"/>
      <c r="L11" s="157"/>
      <c r="M11" s="157"/>
      <c r="N11" s="354"/>
      <c r="O11" s="157"/>
      <c r="P11" s="157"/>
      <c r="Q11" s="157"/>
      <c r="R11" s="157"/>
      <c r="S11" s="157"/>
      <c r="T11" s="157"/>
      <c r="U11" s="354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354"/>
    </row>
    <row r="12" spans="1:32" x14ac:dyDescent="0.25">
      <c r="D12" s="157">
        <f>MAX(D$5:D11)+1</f>
        <v>5</v>
      </c>
      <c r="E12" s="273" t="s">
        <v>123</v>
      </c>
      <c r="F12" s="158" t="s">
        <v>124</v>
      </c>
      <c r="G12" s="278">
        <v>10.7</v>
      </c>
      <c r="H12" s="278">
        <v>10</v>
      </c>
      <c r="I12" s="278">
        <v>10</v>
      </c>
      <c r="J12" s="278">
        <f>I12</f>
        <v>10</v>
      </c>
      <c r="K12" s="278">
        <f>G12</f>
        <v>10.7</v>
      </c>
      <c r="L12" s="164"/>
      <c r="M12" s="164"/>
      <c r="N12" s="356"/>
      <c r="O12" s="278">
        <v>10.5</v>
      </c>
      <c r="P12" s="278">
        <v>10</v>
      </c>
      <c r="Q12" s="164"/>
      <c r="R12" s="164"/>
      <c r="S12" s="164"/>
      <c r="T12" s="164"/>
      <c r="U12" s="356"/>
      <c r="V12" s="278">
        <v>9.14</v>
      </c>
      <c r="W12" s="164"/>
      <c r="X12" s="164"/>
      <c r="Y12" s="164"/>
      <c r="Z12" s="164"/>
      <c r="AA12" s="164"/>
      <c r="AB12" s="278">
        <v>9.14</v>
      </c>
      <c r="AC12" s="164"/>
      <c r="AD12" s="164"/>
      <c r="AE12" s="164"/>
      <c r="AF12" s="356"/>
    </row>
    <row r="13" spans="1:32" x14ac:dyDescent="0.25">
      <c r="D13" s="157">
        <f>MAX(D$5:D12)+1</f>
        <v>6</v>
      </c>
      <c r="E13" s="273" t="s">
        <v>125</v>
      </c>
      <c r="F13" s="158" t="s">
        <v>124</v>
      </c>
      <c r="G13" s="278">
        <v>10.199999999999999</v>
      </c>
      <c r="H13" s="278">
        <v>12</v>
      </c>
      <c r="I13" s="278">
        <v>12</v>
      </c>
      <c r="J13" s="278">
        <f t="shared" ref="J13" si="1">I13</f>
        <v>12</v>
      </c>
      <c r="K13" s="278">
        <f t="shared" ref="K13" si="2">G13</f>
        <v>10.199999999999999</v>
      </c>
      <c r="L13" s="164"/>
      <c r="M13" s="164"/>
      <c r="N13" s="356"/>
      <c r="O13" s="278">
        <v>10</v>
      </c>
      <c r="P13" s="278">
        <v>12</v>
      </c>
      <c r="Q13" s="164"/>
      <c r="R13" s="164"/>
      <c r="S13" s="164"/>
      <c r="T13" s="164"/>
      <c r="U13" s="356"/>
      <c r="V13" s="278">
        <f>V12</f>
        <v>9.14</v>
      </c>
      <c r="W13" s="164"/>
      <c r="X13" s="164"/>
      <c r="Y13" s="164"/>
      <c r="Z13" s="164"/>
      <c r="AA13" s="164"/>
      <c r="AB13" s="278">
        <f>AB12</f>
        <v>9.14</v>
      </c>
      <c r="AC13" s="164"/>
      <c r="AD13" s="164"/>
      <c r="AE13" s="164"/>
      <c r="AF13" s="356"/>
    </row>
    <row r="14" spans="1:32" x14ac:dyDescent="0.25">
      <c r="D14" s="157">
        <f>MAX(D$5:D13)+1</f>
        <v>7</v>
      </c>
      <c r="E14" s="273" t="s">
        <v>126</v>
      </c>
      <c r="F14" s="158" t="s">
        <v>124</v>
      </c>
      <c r="G14" s="278">
        <f>G12</f>
        <v>10.7</v>
      </c>
      <c r="H14" s="278">
        <f t="shared" ref="H14:K14" si="3">H12</f>
        <v>10</v>
      </c>
      <c r="I14" s="278">
        <f t="shared" si="3"/>
        <v>10</v>
      </c>
      <c r="J14" s="278">
        <f t="shared" si="3"/>
        <v>10</v>
      </c>
      <c r="K14" s="278">
        <f t="shared" si="3"/>
        <v>10.7</v>
      </c>
      <c r="L14" s="164"/>
      <c r="M14" s="164"/>
      <c r="N14" s="356"/>
      <c r="O14" s="278">
        <f>O12</f>
        <v>10.5</v>
      </c>
      <c r="P14" s="278">
        <f>P12</f>
        <v>10</v>
      </c>
      <c r="Q14" s="164"/>
      <c r="R14" s="164"/>
      <c r="S14" s="164"/>
      <c r="T14" s="164"/>
      <c r="U14" s="356"/>
      <c r="V14" s="278">
        <f>V12</f>
        <v>9.14</v>
      </c>
      <c r="W14" s="164"/>
      <c r="X14" s="164"/>
      <c r="Y14" s="164"/>
      <c r="Z14" s="164"/>
      <c r="AA14" s="164"/>
      <c r="AB14" s="278">
        <f>AB12</f>
        <v>9.14</v>
      </c>
      <c r="AC14" s="164"/>
      <c r="AD14" s="164"/>
      <c r="AE14" s="164"/>
      <c r="AF14" s="356"/>
    </row>
    <row r="15" spans="1:32" x14ac:dyDescent="0.25">
      <c r="D15" s="157">
        <f>MAX(D$5:D14)+1</f>
        <v>8</v>
      </c>
      <c r="E15" s="273" t="s">
        <v>127</v>
      </c>
      <c r="F15" s="158" t="s">
        <v>124</v>
      </c>
      <c r="G15" s="167">
        <f>G13+G14</f>
        <v>20.9</v>
      </c>
      <c r="H15" s="167">
        <f t="shared" ref="H15:I15" si="4">H13+H14</f>
        <v>22</v>
      </c>
      <c r="I15" s="167">
        <f t="shared" si="4"/>
        <v>22</v>
      </c>
      <c r="J15" s="167">
        <f>J13+J14</f>
        <v>22</v>
      </c>
      <c r="K15" s="167">
        <f>K13+K14</f>
        <v>20.9</v>
      </c>
      <c r="L15" s="167">
        <f t="shared" ref="L15:M15" si="5">L13+L14</f>
        <v>0</v>
      </c>
      <c r="M15" s="167">
        <f t="shared" si="5"/>
        <v>0</v>
      </c>
      <c r="N15" s="356"/>
      <c r="O15" s="167">
        <f t="shared" ref="O15:Q15" si="6">O13+O14</f>
        <v>20.5</v>
      </c>
      <c r="P15" s="167">
        <f t="shared" si="6"/>
        <v>22</v>
      </c>
      <c r="Q15" s="167">
        <f t="shared" si="6"/>
        <v>0</v>
      </c>
      <c r="R15" s="167">
        <f t="shared" ref="R15:T15" si="7">R13+R14</f>
        <v>0</v>
      </c>
      <c r="S15" s="167">
        <f t="shared" si="7"/>
        <v>0</v>
      </c>
      <c r="T15" s="167">
        <f t="shared" si="7"/>
        <v>0</v>
      </c>
      <c r="U15" s="356"/>
      <c r="V15" s="167">
        <f t="shared" ref="V15" si="8">V13+V14</f>
        <v>18.28</v>
      </c>
      <c r="W15" s="167">
        <f t="shared" ref="W15:AE15" si="9">W13+W14</f>
        <v>0</v>
      </c>
      <c r="X15" s="167">
        <f t="shared" si="9"/>
        <v>0</v>
      </c>
      <c r="Y15" s="167">
        <f t="shared" si="9"/>
        <v>0</v>
      </c>
      <c r="Z15" s="167">
        <f t="shared" si="9"/>
        <v>0</v>
      </c>
      <c r="AA15" s="167">
        <f t="shared" si="9"/>
        <v>0</v>
      </c>
      <c r="AB15" s="167">
        <f t="shared" si="9"/>
        <v>18.28</v>
      </c>
      <c r="AC15" s="167">
        <f t="shared" si="9"/>
        <v>0</v>
      </c>
      <c r="AD15" s="167">
        <f t="shared" si="9"/>
        <v>0</v>
      </c>
      <c r="AE15" s="167">
        <f t="shared" si="9"/>
        <v>0</v>
      </c>
      <c r="AF15" s="356"/>
    </row>
    <row r="16" spans="1:32" x14ac:dyDescent="0.25">
      <c r="D16" s="157">
        <f>MAX(D$5:D15)+1</f>
        <v>9</v>
      </c>
      <c r="E16" s="273" t="s">
        <v>146</v>
      </c>
      <c r="F16" s="158" t="s">
        <v>128</v>
      </c>
      <c r="G16" s="278">
        <v>51.5</v>
      </c>
      <c r="H16" s="278">
        <v>60</v>
      </c>
      <c r="I16" s="278">
        <v>45</v>
      </c>
      <c r="J16" s="278">
        <f>I16</f>
        <v>45</v>
      </c>
      <c r="K16" s="278">
        <f>G16</f>
        <v>51.5</v>
      </c>
      <c r="L16" s="164"/>
      <c r="M16" s="164"/>
      <c r="N16" s="356"/>
      <c r="O16" s="278">
        <v>15</v>
      </c>
      <c r="P16" s="278">
        <v>45</v>
      </c>
      <c r="Q16" s="164"/>
      <c r="R16" s="164"/>
      <c r="S16" s="164"/>
      <c r="T16" s="164"/>
      <c r="U16" s="356"/>
      <c r="V16" s="278">
        <v>52</v>
      </c>
      <c r="W16" s="164"/>
      <c r="X16" s="164"/>
      <c r="Y16" s="164"/>
      <c r="Z16" s="164"/>
      <c r="AA16" s="164"/>
      <c r="AB16" s="278">
        <v>15</v>
      </c>
      <c r="AC16" s="164"/>
      <c r="AD16" s="164"/>
      <c r="AE16" s="164"/>
      <c r="AF16" s="356"/>
    </row>
    <row r="17" spans="2:41" x14ac:dyDescent="0.25">
      <c r="D17" s="157">
        <f>MAX(D$5:D16)+1</f>
        <v>10</v>
      </c>
      <c r="E17" s="273" t="s">
        <v>278</v>
      </c>
      <c r="F17" s="158" t="s">
        <v>128</v>
      </c>
      <c r="G17" s="278">
        <v>26.9</v>
      </c>
      <c r="H17" s="278">
        <v>30</v>
      </c>
      <c r="I17" s="278">
        <v>30</v>
      </c>
      <c r="J17" s="278">
        <f>I17</f>
        <v>30</v>
      </c>
      <c r="K17" s="278">
        <f>G17</f>
        <v>26.9</v>
      </c>
      <c r="L17" s="164"/>
      <c r="M17" s="164"/>
      <c r="N17" s="356"/>
      <c r="O17" s="278">
        <v>15</v>
      </c>
      <c r="P17" s="278">
        <v>30</v>
      </c>
      <c r="Q17" s="164"/>
      <c r="R17" s="164"/>
      <c r="S17" s="164"/>
      <c r="T17" s="164"/>
      <c r="U17" s="356"/>
      <c r="V17" s="278">
        <v>22</v>
      </c>
      <c r="W17" s="164"/>
      <c r="X17" s="164"/>
      <c r="Y17" s="164"/>
      <c r="Z17" s="164"/>
      <c r="AA17" s="164"/>
      <c r="AB17" s="278">
        <v>25</v>
      </c>
      <c r="AC17" s="164"/>
      <c r="AD17" s="164"/>
      <c r="AE17" s="164"/>
      <c r="AF17" s="356"/>
    </row>
    <row r="18" spans="2:41" x14ac:dyDescent="0.25">
      <c r="D18" s="157">
        <f>MAX(D$5:D16)+1</f>
        <v>10</v>
      </c>
      <c r="E18" s="273" t="s">
        <v>129</v>
      </c>
      <c r="F18" s="158" t="s">
        <v>20</v>
      </c>
      <c r="G18" s="265" t="s">
        <v>294</v>
      </c>
      <c r="H18" s="265" t="s">
        <v>295</v>
      </c>
      <c r="I18" s="265" t="s">
        <v>295</v>
      </c>
      <c r="J18" s="265" t="str">
        <f>I18</f>
        <v>200-270</v>
      </c>
      <c r="K18" s="265" t="str">
        <f>G18</f>
        <v>229-270</v>
      </c>
      <c r="L18" s="159"/>
      <c r="M18" s="159"/>
      <c r="N18" s="354"/>
      <c r="O18" s="265" t="s">
        <v>300</v>
      </c>
      <c r="P18" s="265" t="s">
        <v>295</v>
      </c>
      <c r="Q18" s="159"/>
      <c r="R18" s="159"/>
      <c r="S18" s="159"/>
      <c r="T18" s="159"/>
      <c r="U18" s="354"/>
      <c r="V18" s="265" t="s">
        <v>674</v>
      </c>
      <c r="W18" s="159"/>
      <c r="X18" s="159"/>
      <c r="Y18" s="159"/>
      <c r="Z18" s="159"/>
      <c r="AA18" s="159"/>
      <c r="AB18" s="265" t="s">
        <v>674</v>
      </c>
      <c r="AC18" s="159"/>
      <c r="AD18" s="159"/>
      <c r="AE18" s="159"/>
      <c r="AF18" s="354"/>
    </row>
    <row r="19" spans="2:41" x14ac:dyDescent="0.25">
      <c r="D19" s="157">
        <f>MAX(D$5:D18)+1</f>
        <v>11</v>
      </c>
      <c r="E19" s="273" t="s">
        <v>147</v>
      </c>
      <c r="F19" s="158" t="s">
        <v>124</v>
      </c>
      <c r="G19" s="277">
        <f t="shared" ref="G19:L19" si="10">(250*$AH$32+270*$AI$32)/1000</f>
        <v>0.26696421252093533</v>
      </c>
      <c r="H19" s="277">
        <f t="shared" si="10"/>
        <v>0.26696421252093533</v>
      </c>
      <c r="I19" s="277">
        <f t="shared" si="10"/>
        <v>0.26696421252093533</v>
      </c>
      <c r="J19" s="277">
        <f t="shared" si="10"/>
        <v>0.26696421252093533</v>
      </c>
      <c r="K19" s="277">
        <f t="shared" si="10"/>
        <v>0.26696421252093533</v>
      </c>
      <c r="L19" s="277">
        <f t="shared" si="10"/>
        <v>0.26696421252093533</v>
      </c>
      <c r="M19" s="277">
        <f t="shared" ref="M19:T19" si="11">(250*$AH$32+270*$AI$32)/1000</f>
        <v>0.26696421252093533</v>
      </c>
      <c r="N19" s="357"/>
      <c r="O19" s="277">
        <f t="shared" si="11"/>
        <v>0.26696421252093533</v>
      </c>
      <c r="P19" s="277">
        <f t="shared" si="11"/>
        <v>0.26696421252093533</v>
      </c>
      <c r="Q19" s="277">
        <f t="shared" si="11"/>
        <v>0.26696421252093533</v>
      </c>
      <c r="R19" s="277">
        <f t="shared" si="11"/>
        <v>0.26696421252093533</v>
      </c>
      <c r="S19" s="277">
        <f t="shared" si="11"/>
        <v>0.26696421252093533</v>
      </c>
      <c r="T19" s="277">
        <f t="shared" si="11"/>
        <v>0.26696421252093533</v>
      </c>
      <c r="U19" s="357"/>
      <c r="V19" s="277">
        <v>0.215</v>
      </c>
      <c r="W19" s="277">
        <v>0.215</v>
      </c>
      <c r="X19" s="277">
        <v>0.215</v>
      </c>
      <c r="Y19" s="277">
        <v>0.215</v>
      </c>
      <c r="Z19" s="277">
        <v>0.215</v>
      </c>
      <c r="AA19" s="277">
        <v>0.215</v>
      </c>
      <c r="AB19" s="277">
        <v>0.215</v>
      </c>
      <c r="AC19" s="277">
        <v>0.215</v>
      </c>
      <c r="AD19" s="277">
        <v>0.215</v>
      </c>
      <c r="AE19" s="277">
        <v>0.215</v>
      </c>
      <c r="AF19" s="357"/>
    </row>
    <row r="20" spans="2:41" x14ac:dyDescent="0.25">
      <c r="B20" s="240">
        <v>1.05</v>
      </c>
      <c r="C20" s="325"/>
      <c r="D20" s="150"/>
      <c r="E20" s="292" t="s">
        <v>149</v>
      </c>
      <c r="F20" s="151"/>
      <c r="G20" s="166">
        <f>$B20</f>
        <v>1.05</v>
      </c>
      <c r="H20" s="166">
        <f t="shared" ref="H20:L20" si="12">$B20</f>
        <v>1.05</v>
      </c>
      <c r="I20" s="166">
        <f t="shared" si="12"/>
        <v>1.05</v>
      </c>
      <c r="J20" s="166">
        <f>$B20</f>
        <v>1.05</v>
      </c>
      <c r="K20" s="166">
        <f t="shared" si="12"/>
        <v>1.05</v>
      </c>
      <c r="L20" s="166">
        <f t="shared" si="12"/>
        <v>1.05</v>
      </c>
      <c r="M20" s="166">
        <f t="shared" ref="M20:T20" si="13">$B20</f>
        <v>1.05</v>
      </c>
      <c r="N20" s="358"/>
      <c r="O20" s="166">
        <f t="shared" si="13"/>
        <v>1.05</v>
      </c>
      <c r="P20" s="166">
        <f t="shared" si="13"/>
        <v>1.05</v>
      </c>
      <c r="Q20" s="166">
        <f t="shared" si="13"/>
        <v>1.05</v>
      </c>
      <c r="R20" s="166">
        <f t="shared" si="13"/>
        <v>1.05</v>
      </c>
      <c r="S20" s="166">
        <f t="shared" si="13"/>
        <v>1.05</v>
      </c>
      <c r="T20" s="166">
        <f t="shared" si="13"/>
        <v>1.05</v>
      </c>
      <c r="U20" s="358"/>
      <c r="V20" s="166">
        <f t="shared" ref="V20:AE20" si="14">$B20</f>
        <v>1.05</v>
      </c>
      <c r="W20" s="166">
        <f t="shared" si="14"/>
        <v>1.05</v>
      </c>
      <c r="X20" s="166">
        <f t="shared" si="14"/>
        <v>1.05</v>
      </c>
      <c r="Y20" s="166">
        <f t="shared" si="14"/>
        <v>1.05</v>
      </c>
      <c r="Z20" s="166">
        <f t="shared" si="14"/>
        <v>1.05</v>
      </c>
      <c r="AA20" s="166">
        <f t="shared" si="14"/>
        <v>1.05</v>
      </c>
      <c r="AB20" s="166">
        <f t="shared" si="14"/>
        <v>1.05</v>
      </c>
      <c r="AC20" s="166">
        <f t="shared" si="14"/>
        <v>1.05</v>
      </c>
      <c r="AD20" s="166">
        <f t="shared" si="14"/>
        <v>1.05</v>
      </c>
      <c r="AE20" s="166">
        <f t="shared" si="14"/>
        <v>1.05</v>
      </c>
      <c r="AF20" s="358"/>
    </row>
    <row r="21" spans="2:41" x14ac:dyDescent="0.25">
      <c r="D21" s="157">
        <f>MAX(D$5:D20)+1</f>
        <v>12</v>
      </c>
      <c r="E21" s="273" t="s">
        <v>148</v>
      </c>
      <c r="F21" s="158" t="s">
        <v>124</v>
      </c>
      <c r="G21" s="160">
        <f>G19*G20</f>
        <v>0.28031242314698213</v>
      </c>
      <c r="H21" s="160">
        <f t="shared" ref="H21:M21" si="15">H19*H20</f>
        <v>0.28031242314698213</v>
      </c>
      <c r="I21" s="160">
        <f t="shared" si="15"/>
        <v>0.28031242314698213</v>
      </c>
      <c r="J21" s="160">
        <f>J19*J20</f>
        <v>0.28031242314698213</v>
      </c>
      <c r="K21" s="160">
        <f t="shared" si="15"/>
        <v>0.28031242314698213</v>
      </c>
      <c r="L21" s="160">
        <f t="shared" si="15"/>
        <v>0.28031242314698213</v>
      </c>
      <c r="M21" s="160">
        <f t="shared" si="15"/>
        <v>0.28031242314698213</v>
      </c>
      <c r="N21" s="357"/>
      <c r="O21" s="160">
        <f t="shared" ref="O21:Q21" si="16">O19*O20</f>
        <v>0.28031242314698213</v>
      </c>
      <c r="P21" s="160">
        <f t="shared" si="16"/>
        <v>0.28031242314698213</v>
      </c>
      <c r="Q21" s="160">
        <f t="shared" si="16"/>
        <v>0.28031242314698213</v>
      </c>
      <c r="R21" s="160">
        <f t="shared" ref="R21:T21" si="17">R19*R20</f>
        <v>0.28031242314698213</v>
      </c>
      <c r="S21" s="160">
        <f t="shared" si="17"/>
        <v>0.28031242314698213</v>
      </c>
      <c r="T21" s="160">
        <f t="shared" si="17"/>
        <v>0.28031242314698213</v>
      </c>
      <c r="U21" s="357"/>
      <c r="V21" s="160">
        <f t="shared" ref="V21" si="18">V19*V20</f>
        <v>0.22575000000000001</v>
      </c>
      <c r="W21" s="160">
        <f t="shared" ref="W21:AE21" si="19">W19*W20</f>
        <v>0.22575000000000001</v>
      </c>
      <c r="X21" s="160">
        <f t="shared" si="19"/>
        <v>0.22575000000000001</v>
      </c>
      <c r="Y21" s="160">
        <f t="shared" si="19"/>
        <v>0.22575000000000001</v>
      </c>
      <c r="Z21" s="160">
        <f t="shared" si="19"/>
        <v>0.22575000000000001</v>
      </c>
      <c r="AA21" s="160">
        <f t="shared" si="19"/>
        <v>0.22575000000000001</v>
      </c>
      <c r="AB21" s="160">
        <f t="shared" si="19"/>
        <v>0.22575000000000001</v>
      </c>
      <c r="AC21" s="160">
        <f t="shared" si="19"/>
        <v>0.22575000000000001</v>
      </c>
      <c r="AD21" s="160">
        <f t="shared" si="19"/>
        <v>0.22575000000000001</v>
      </c>
      <c r="AE21" s="160">
        <f t="shared" si="19"/>
        <v>0.22575000000000001</v>
      </c>
      <c r="AF21" s="357"/>
    </row>
    <row r="22" spans="2:41" x14ac:dyDescent="0.25">
      <c r="D22" s="161">
        <f>MAX(D$5:D21)+1</f>
        <v>13</v>
      </c>
      <c r="E22" s="284" t="s">
        <v>130</v>
      </c>
      <c r="F22" s="162" t="s">
        <v>121</v>
      </c>
      <c r="G22" s="286">
        <f>G23</f>
        <v>136</v>
      </c>
      <c r="H22" s="286">
        <f>H23</f>
        <v>148.30000000000001</v>
      </c>
      <c r="I22" s="286">
        <f>I23</f>
        <v>173.4</v>
      </c>
      <c r="J22" s="286">
        <f>J23</f>
        <v>173.4</v>
      </c>
      <c r="K22" s="286">
        <f>K23</f>
        <v>136</v>
      </c>
      <c r="L22" s="287"/>
      <c r="M22" s="287"/>
      <c r="N22" s="359"/>
      <c r="O22" s="286">
        <f>O23</f>
        <v>120</v>
      </c>
      <c r="P22" s="286">
        <f>P23</f>
        <v>173.4</v>
      </c>
      <c r="Q22" s="287"/>
      <c r="R22" s="287"/>
      <c r="S22" s="287"/>
      <c r="T22" s="287"/>
      <c r="U22" s="359"/>
      <c r="V22" s="286">
        <f>V23</f>
        <v>134</v>
      </c>
      <c r="W22" s="287"/>
      <c r="X22" s="287"/>
      <c r="Y22" s="287"/>
      <c r="Z22" s="287"/>
      <c r="AA22" s="287"/>
      <c r="AB22" s="286">
        <f>AB23</f>
        <v>167</v>
      </c>
      <c r="AC22" s="287"/>
      <c r="AD22" s="287"/>
      <c r="AE22" s="287"/>
      <c r="AF22" s="359"/>
    </row>
    <row r="23" spans="2:41" x14ac:dyDescent="0.25">
      <c r="D23" s="157">
        <f>MAX(D$5:D22)+1</f>
        <v>14</v>
      </c>
      <c r="E23" s="273" t="s">
        <v>150</v>
      </c>
      <c r="F23" s="158" t="s">
        <v>121</v>
      </c>
      <c r="G23" s="266">
        <v>136</v>
      </c>
      <c r="H23" s="266">
        <v>148.30000000000001</v>
      </c>
      <c r="I23" s="266">
        <v>173.4</v>
      </c>
      <c r="J23" s="266">
        <f>I23</f>
        <v>173.4</v>
      </c>
      <c r="K23" s="266">
        <f>G23</f>
        <v>136</v>
      </c>
      <c r="L23" s="163"/>
      <c r="M23" s="163"/>
      <c r="N23" s="360"/>
      <c r="O23" s="266">
        <v>120</v>
      </c>
      <c r="P23" s="266">
        <v>173.4</v>
      </c>
      <c r="Q23" s="163"/>
      <c r="R23" s="163"/>
      <c r="S23" s="163"/>
      <c r="T23" s="163"/>
      <c r="U23" s="360"/>
      <c r="V23" s="266">
        <v>134</v>
      </c>
      <c r="W23" s="163"/>
      <c r="X23" s="163"/>
      <c r="Y23" s="163"/>
      <c r="Z23" s="163"/>
      <c r="AA23" s="163"/>
      <c r="AB23" s="266">
        <v>167</v>
      </c>
      <c r="AC23" s="163"/>
      <c r="AD23" s="163"/>
      <c r="AE23" s="163"/>
      <c r="AF23" s="360"/>
    </row>
    <row r="24" spans="2:41" ht="28.55" x14ac:dyDescent="0.25">
      <c r="D24" s="157">
        <f>MAX(D$5:D23)+1</f>
        <v>15</v>
      </c>
      <c r="E24" s="273" t="s">
        <v>131</v>
      </c>
      <c r="F24" s="158" t="s">
        <v>121</v>
      </c>
      <c r="G24" s="288">
        <f>G26*G28/1000</f>
        <v>148.28317324943808</v>
      </c>
      <c r="H24" s="288">
        <f t="shared" ref="H24:M24" si="20">H26*H28/1000</f>
        <v>148.28317324943808</v>
      </c>
      <c r="I24" s="288">
        <f t="shared" si="20"/>
        <v>173.4159144781564</v>
      </c>
      <c r="J24" s="288">
        <f>J26*J28/1000</f>
        <v>173.4159144781564</v>
      </c>
      <c r="K24" s="288">
        <f t="shared" si="20"/>
        <v>148.28317324943808</v>
      </c>
      <c r="L24" s="288">
        <f t="shared" si="20"/>
        <v>0</v>
      </c>
      <c r="M24" s="288">
        <f t="shared" si="20"/>
        <v>0</v>
      </c>
      <c r="N24" s="360"/>
      <c r="O24" s="288">
        <f t="shared" ref="O24:Q24" si="21">O26*O28/1000</f>
        <v>100.53096491487328</v>
      </c>
      <c r="P24" s="288">
        <f t="shared" si="21"/>
        <v>173.4159144781564</v>
      </c>
      <c r="Q24" s="288">
        <f t="shared" si="21"/>
        <v>0</v>
      </c>
      <c r="R24" s="288">
        <f t="shared" ref="R24:T24" si="22">R26*R28/1000</f>
        <v>0</v>
      </c>
      <c r="S24" s="288">
        <f t="shared" si="22"/>
        <v>0</v>
      </c>
      <c r="T24" s="288">
        <f t="shared" si="22"/>
        <v>0</v>
      </c>
      <c r="U24" s="360"/>
      <c r="V24" s="288">
        <f t="shared" ref="V24" si="23">V26*V28/1000</f>
        <v>127.82512188926137</v>
      </c>
      <c r="W24" s="288">
        <f t="shared" ref="W24:AE24" si="24">W26*W28/1000</f>
        <v>0</v>
      </c>
      <c r="X24" s="288">
        <f t="shared" si="24"/>
        <v>0</v>
      </c>
      <c r="Y24" s="288">
        <f t="shared" si="24"/>
        <v>0</v>
      </c>
      <c r="Z24" s="288">
        <f t="shared" si="24"/>
        <v>0</v>
      </c>
      <c r="AA24" s="288">
        <f t="shared" si="24"/>
        <v>0</v>
      </c>
      <c r="AB24" s="288">
        <f t="shared" si="24"/>
        <v>188.49555921538737</v>
      </c>
      <c r="AC24" s="288">
        <f t="shared" si="24"/>
        <v>0</v>
      </c>
      <c r="AD24" s="288">
        <f t="shared" si="24"/>
        <v>0</v>
      </c>
      <c r="AE24" s="288">
        <f t="shared" si="24"/>
        <v>0</v>
      </c>
      <c r="AF24" s="360"/>
    </row>
    <row r="25" spans="2:41" x14ac:dyDescent="0.25">
      <c r="D25" s="157"/>
      <c r="E25" s="273"/>
      <c r="F25" s="158"/>
      <c r="G25" s="288"/>
      <c r="H25" s="288"/>
      <c r="I25" s="288"/>
      <c r="J25" s="288"/>
      <c r="K25" s="288"/>
      <c r="L25" s="288"/>
      <c r="M25" s="288"/>
      <c r="N25" s="360"/>
      <c r="O25" s="288"/>
      <c r="P25" s="288"/>
      <c r="Q25" s="288"/>
      <c r="R25" s="288"/>
      <c r="S25" s="288"/>
      <c r="T25" s="288"/>
      <c r="U25" s="360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360"/>
    </row>
    <row r="26" spans="2:41" x14ac:dyDescent="0.25">
      <c r="D26" s="157">
        <f>MAX(D$5:D25)+1</f>
        <v>16</v>
      </c>
      <c r="E26" s="273" t="s">
        <v>132</v>
      </c>
      <c r="F26" s="158" t="s">
        <v>133</v>
      </c>
      <c r="G26" s="266">
        <v>11800</v>
      </c>
      <c r="H26" s="266">
        <v>11800</v>
      </c>
      <c r="I26" s="266">
        <v>13800</v>
      </c>
      <c r="J26" s="266">
        <f>I26</f>
        <v>13800</v>
      </c>
      <c r="K26" s="266">
        <f>G26</f>
        <v>11800</v>
      </c>
      <c r="L26" s="163"/>
      <c r="M26" s="163"/>
      <c r="N26" s="360"/>
      <c r="O26" s="266">
        <v>8000</v>
      </c>
      <c r="P26" s="266">
        <v>13800</v>
      </c>
      <c r="Q26" s="163"/>
      <c r="R26" s="163"/>
      <c r="S26" s="163"/>
      <c r="T26" s="163"/>
      <c r="U26" s="360"/>
      <c r="V26" s="266">
        <v>10172</v>
      </c>
      <c r="W26" s="163"/>
      <c r="X26" s="163"/>
      <c r="Y26" s="163"/>
      <c r="Z26" s="163"/>
      <c r="AA26" s="163"/>
      <c r="AB26" s="266">
        <v>15000</v>
      </c>
      <c r="AC26" s="163"/>
      <c r="AD26" s="163"/>
      <c r="AE26" s="163"/>
      <c r="AF26" s="360"/>
      <c r="AH26" s="152" t="str">
        <f>AH30</f>
        <v>руда</v>
      </c>
      <c r="AI26" s="152" t="str">
        <f>AI30</f>
        <v>вскрыша</v>
      </c>
      <c r="AO26" s="152">
        <v>215</v>
      </c>
    </row>
    <row r="27" spans="2:41" x14ac:dyDescent="0.25">
      <c r="D27" s="157">
        <f>MAX(D$5:D26)+1</f>
        <v>17</v>
      </c>
      <c r="E27" s="940" t="s">
        <v>134</v>
      </c>
      <c r="F27" s="158" t="s">
        <v>135</v>
      </c>
      <c r="G27" s="266">
        <v>120</v>
      </c>
      <c r="H27" s="266">
        <v>120</v>
      </c>
      <c r="I27" s="266">
        <v>120</v>
      </c>
      <c r="J27" s="266">
        <f>I27</f>
        <v>120</v>
      </c>
      <c r="K27" s="266">
        <f>G27</f>
        <v>120</v>
      </c>
      <c r="L27" s="163"/>
      <c r="M27" s="163"/>
      <c r="N27" s="360"/>
      <c r="O27" s="266">
        <v>120</v>
      </c>
      <c r="P27" s="266">
        <v>120</v>
      </c>
      <c r="Q27" s="163"/>
      <c r="R27" s="163"/>
      <c r="S27" s="163"/>
      <c r="T27" s="163"/>
      <c r="U27" s="360"/>
      <c r="V27" s="266">
        <v>120</v>
      </c>
      <c r="W27" s="163"/>
      <c r="X27" s="163"/>
      <c r="Y27" s="163"/>
      <c r="Z27" s="163"/>
      <c r="AA27" s="163"/>
      <c r="AB27" s="266">
        <v>120</v>
      </c>
      <c r="AC27" s="163"/>
      <c r="AD27" s="163"/>
      <c r="AE27" s="163"/>
      <c r="AF27" s="360"/>
      <c r="AH27" s="240">
        <v>6.5</v>
      </c>
      <c r="AI27" s="240">
        <v>8.5</v>
      </c>
      <c r="AJ27" s="152" t="s">
        <v>292</v>
      </c>
      <c r="AO27" s="240">
        <v>6</v>
      </c>
    </row>
    <row r="28" spans="2:41" x14ac:dyDescent="0.25">
      <c r="B28" s="240">
        <v>3.14159265358979</v>
      </c>
      <c r="C28" s="325"/>
      <c r="D28" s="157">
        <f>MAX(D$5:D27)+1</f>
        <v>18</v>
      </c>
      <c r="E28" s="940"/>
      <c r="F28" s="158" t="s">
        <v>136</v>
      </c>
      <c r="G28" s="288">
        <f t="shared" ref="G28:M28" si="25">2*$B28*G27/60</f>
        <v>12.56637061435916</v>
      </c>
      <c r="H28" s="288">
        <f t="shared" si="25"/>
        <v>12.56637061435916</v>
      </c>
      <c r="I28" s="288">
        <f t="shared" si="25"/>
        <v>12.56637061435916</v>
      </c>
      <c r="J28" s="288">
        <f>2*$B28*J27/60</f>
        <v>12.56637061435916</v>
      </c>
      <c r="K28" s="288">
        <f t="shared" si="25"/>
        <v>12.56637061435916</v>
      </c>
      <c r="L28" s="288">
        <f t="shared" si="25"/>
        <v>0</v>
      </c>
      <c r="M28" s="288">
        <f t="shared" si="25"/>
        <v>0</v>
      </c>
      <c r="N28" s="360"/>
      <c r="O28" s="288">
        <f t="shared" ref="O28:Q28" si="26">2*$B28*O27/60</f>
        <v>12.56637061435916</v>
      </c>
      <c r="P28" s="288">
        <f t="shared" si="26"/>
        <v>12.56637061435916</v>
      </c>
      <c r="Q28" s="288">
        <f t="shared" si="26"/>
        <v>0</v>
      </c>
      <c r="R28" s="288">
        <f t="shared" ref="R28:T28" si="27">2*$B28*R27/60</f>
        <v>0</v>
      </c>
      <c r="S28" s="288">
        <f t="shared" si="27"/>
        <v>0</v>
      </c>
      <c r="T28" s="288">
        <f t="shared" si="27"/>
        <v>0</v>
      </c>
      <c r="U28" s="360"/>
      <c r="V28" s="288">
        <f t="shared" ref="V28" si="28">2*$B28*V27/60</f>
        <v>12.56637061435916</v>
      </c>
      <c r="W28" s="288">
        <f t="shared" ref="W28:AE28" si="29">2*$B28*W27/60</f>
        <v>0</v>
      </c>
      <c r="X28" s="288">
        <f t="shared" si="29"/>
        <v>0</v>
      </c>
      <c r="Y28" s="288">
        <f t="shared" si="29"/>
        <v>0</v>
      </c>
      <c r="Z28" s="288">
        <f t="shared" si="29"/>
        <v>0</v>
      </c>
      <c r="AA28" s="288">
        <f t="shared" si="29"/>
        <v>0</v>
      </c>
      <c r="AB28" s="288">
        <f t="shared" si="29"/>
        <v>12.56637061435916</v>
      </c>
      <c r="AC28" s="288">
        <f t="shared" si="29"/>
        <v>0</v>
      </c>
      <c r="AD28" s="288">
        <f t="shared" si="29"/>
        <v>0</v>
      </c>
      <c r="AE28" s="288">
        <f t="shared" si="29"/>
        <v>0</v>
      </c>
      <c r="AF28" s="360"/>
      <c r="AH28" s="240">
        <v>5.6291651245988508</v>
      </c>
      <c r="AI28" s="240">
        <v>7.3612159321677284</v>
      </c>
      <c r="AJ28" s="152" t="s">
        <v>293</v>
      </c>
      <c r="AO28" s="240">
        <v>6</v>
      </c>
    </row>
    <row r="29" spans="2:41" x14ac:dyDescent="0.25">
      <c r="D29" s="157">
        <f>MAX(D$5:D28)+1</f>
        <v>19</v>
      </c>
      <c r="E29" s="273" t="s">
        <v>137</v>
      </c>
      <c r="F29" s="158" t="s">
        <v>135</v>
      </c>
      <c r="G29" s="266">
        <v>200</v>
      </c>
      <c r="H29" s="266">
        <v>150</v>
      </c>
      <c r="I29" s="266">
        <v>160</v>
      </c>
      <c r="J29" s="266">
        <f>I29</f>
        <v>160</v>
      </c>
      <c r="K29" s="266">
        <f>G29</f>
        <v>200</v>
      </c>
      <c r="L29" s="163"/>
      <c r="M29" s="163"/>
      <c r="N29" s="360"/>
      <c r="O29" s="266">
        <v>120</v>
      </c>
      <c r="P29" s="266">
        <v>150</v>
      </c>
      <c r="Q29" s="163"/>
      <c r="R29" s="163"/>
      <c r="S29" s="163"/>
      <c r="T29" s="163"/>
      <c r="U29" s="360"/>
      <c r="V29" s="266">
        <v>136</v>
      </c>
      <c r="W29" s="163"/>
      <c r="X29" s="163"/>
      <c r="Y29" s="163"/>
      <c r="Z29" s="163"/>
      <c r="AA29" s="163"/>
      <c r="AB29" s="266">
        <v>200</v>
      </c>
      <c r="AC29" s="163"/>
      <c r="AD29" s="163"/>
      <c r="AE29" s="163"/>
      <c r="AF29" s="360"/>
    </row>
    <row r="30" spans="2:41" x14ac:dyDescent="0.25">
      <c r="B30" s="217">
        <v>130</v>
      </c>
      <c r="C30" s="326"/>
      <c r="D30" s="157">
        <f>MAX(D$5:D29)+1</f>
        <v>20</v>
      </c>
      <c r="E30" s="273" t="s">
        <v>151</v>
      </c>
      <c r="F30" s="158" t="s">
        <v>138</v>
      </c>
      <c r="G30" s="288">
        <f t="shared" ref="G30:L31" si="30">$B30</f>
        <v>130</v>
      </c>
      <c r="H30" s="288">
        <f t="shared" si="30"/>
        <v>130</v>
      </c>
      <c r="I30" s="288">
        <f t="shared" si="30"/>
        <v>130</v>
      </c>
      <c r="J30" s="288">
        <f>$B30</f>
        <v>130</v>
      </c>
      <c r="K30" s="288">
        <f t="shared" si="30"/>
        <v>130</v>
      </c>
      <c r="L30" s="288">
        <f t="shared" si="30"/>
        <v>130</v>
      </c>
      <c r="M30" s="288">
        <f t="shared" ref="M30:T31" si="31">$B30</f>
        <v>130</v>
      </c>
      <c r="N30" s="360"/>
      <c r="O30" s="288">
        <f t="shared" si="31"/>
        <v>130</v>
      </c>
      <c r="P30" s="288">
        <f t="shared" si="31"/>
        <v>130</v>
      </c>
      <c r="Q30" s="288">
        <f t="shared" si="31"/>
        <v>130</v>
      </c>
      <c r="R30" s="288">
        <f t="shared" si="31"/>
        <v>130</v>
      </c>
      <c r="S30" s="288">
        <f t="shared" si="31"/>
        <v>130</v>
      </c>
      <c r="T30" s="288">
        <f t="shared" si="31"/>
        <v>130</v>
      </c>
      <c r="U30" s="360"/>
      <c r="V30" s="288">
        <f t="shared" ref="V30:AE31" si="32">$B30</f>
        <v>130</v>
      </c>
      <c r="W30" s="288">
        <f t="shared" si="32"/>
        <v>130</v>
      </c>
      <c r="X30" s="288">
        <f t="shared" si="32"/>
        <v>130</v>
      </c>
      <c r="Y30" s="288">
        <f t="shared" si="32"/>
        <v>130</v>
      </c>
      <c r="Z30" s="288">
        <f t="shared" si="32"/>
        <v>130</v>
      </c>
      <c r="AA30" s="288">
        <f t="shared" si="32"/>
        <v>130</v>
      </c>
      <c r="AB30" s="288">
        <f t="shared" si="32"/>
        <v>130</v>
      </c>
      <c r="AC30" s="288">
        <f t="shared" si="32"/>
        <v>130</v>
      </c>
      <c r="AD30" s="288">
        <f t="shared" si="32"/>
        <v>130</v>
      </c>
      <c r="AE30" s="288">
        <f t="shared" si="32"/>
        <v>130</v>
      </c>
      <c r="AF30" s="360"/>
      <c r="AH30" s="152" t="s">
        <v>287</v>
      </c>
      <c r="AI30" s="152" t="s">
        <v>288</v>
      </c>
      <c r="AK30" s="152" t="s">
        <v>289</v>
      </c>
    </row>
    <row r="31" spans="2:41" x14ac:dyDescent="0.25">
      <c r="B31" s="217">
        <v>12</v>
      </c>
      <c r="C31" s="326"/>
      <c r="D31" s="157">
        <f>MAX(D$5:D30)+1</f>
        <v>21</v>
      </c>
      <c r="E31" s="273" t="s">
        <v>152</v>
      </c>
      <c r="F31" s="158" t="s">
        <v>139</v>
      </c>
      <c r="G31" s="288">
        <f t="shared" si="30"/>
        <v>12</v>
      </c>
      <c r="H31" s="288">
        <f t="shared" si="30"/>
        <v>12</v>
      </c>
      <c r="I31" s="288">
        <f t="shared" si="30"/>
        <v>12</v>
      </c>
      <c r="J31" s="288">
        <f>$B31</f>
        <v>12</v>
      </c>
      <c r="K31" s="288">
        <f t="shared" si="30"/>
        <v>12</v>
      </c>
      <c r="L31" s="288">
        <f t="shared" si="30"/>
        <v>12</v>
      </c>
      <c r="M31" s="288">
        <f t="shared" si="31"/>
        <v>12</v>
      </c>
      <c r="N31" s="360"/>
      <c r="O31" s="288">
        <f t="shared" si="31"/>
        <v>12</v>
      </c>
      <c r="P31" s="288">
        <f t="shared" si="31"/>
        <v>12</v>
      </c>
      <c r="Q31" s="288">
        <f t="shared" si="31"/>
        <v>12</v>
      </c>
      <c r="R31" s="288">
        <f t="shared" si="31"/>
        <v>12</v>
      </c>
      <c r="S31" s="288">
        <f t="shared" si="31"/>
        <v>12</v>
      </c>
      <c r="T31" s="288">
        <f t="shared" si="31"/>
        <v>12</v>
      </c>
      <c r="U31" s="360"/>
      <c r="V31" s="288">
        <f t="shared" si="32"/>
        <v>12</v>
      </c>
      <c r="W31" s="288">
        <f t="shared" si="32"/>
        <v>12</v>
      </c>
      <c r="X31" s="288">
        <f t="shared" si="32"/>
        <v>12</v>
      </c>
      <c r="Y31" s="288">
        <f t="shared" si="32"/>
        <v>12</v>
      </c>
      <c r="Z31" s="288">
        <f t="shared" si="32"/>
        <v>12</v>
      </c>
      <c r="AA31" s="288">
        <f t="shared" si="32"/>
        <v>12</v>
      </c>
      <c r="AB31" s="288">
        <f t="shared" si="32"/>
        <v>12</v>
      </c>
      <c r="AC31" s="288">
        <f t="shared" si="32"/>
        <v>12</v>
      </c>
      <c r="AD31" s="288">
        <f t="shared" si="32"/>
        <v>12</v>
      </c>
      <c r="AE31" s="288">
        <f t="shared" si="32"/>
        <v>12</v>
      </c>
      <c r="AF31" s="360"/>
      <c r="AH31" s="274">
        <f>15+1.5</f>
        <v>16.5</v>
      </c>
      <c r="AI31" s="274">
        <f>15+1.1</f>
        <v>16.100000000000001</v>
      </c>
      <c r="AK31" s="276">
        <v>2027</v>
      </c>
      <c r="AL31" s="276">
        <f>AK31+1</f>
        <v>2028</v>
      </c>
      <c r="AM31" s="276">
        <f t="shared" ref="AM31:AN31" si="33">AL31+1</f>
        <v>2029</v>
      </c>
      <c r="AN31" s="276">
        <f t="shared" si="33"/>
        <v>2030</v>
      </c>
    </row>
    <row r="32" spans="2:41" x14ac:dyDescent="0.25">
      <c r="D32" s="157">
        <f>MAX(D$5:D31)+1</f>
        <v>22</v>
      </c>
      <c r="E32" s="273" t="s">
        <v>153</v>
      </c>
      <c r="F32" s="158" t="s">
        <v>124</v>
      </c>
      <c r="G32" s="278">
        <f>($AH$31*$AH$32+$AI$31*$AI$32)</f>
        <v>16.160715749581293</v>
      </c>
      <c r="H32" s="278">
        <f t="shared" ref="H32:K32" si="34">($AH$31*$AH$32+$AI$31*$AI$32)</f>
        <v>16.160715749581293</v>
      </c>
      <c r="I32" s="278">
        <f t="shared" si="34"/>
        <v>16.160715749581293</v>
      </c>
      <c r="J32" s="278">
        <f t="shared" si="34"/>
        <v>16.160715749581293</v>
      </c>
      <c r="K32" s="278">
        <f t="shared" si="34"/>
        <v>16.160715749581293</v>
      </c>
      <c r="L32" s="278">
        <f t="shared" ref="L32:T32" si="35">($AH$31*$AH$32+$AI$31*$AI$32)</f>
        <v>16.160715749581293</v>
      </c>
      <c r="M32" s="278">
        <f t="shared" si="35"/>
        <v>16.160715749581293</v>
      </c>
      <c r="N32" s="356"/>
      <c r="O32" s="278">
        <f t="shared" si="35"/>
        <v>16.160715749581293</v>
      </c>
      <c r="P32" s="278">
        <f t="shared" si="35"/>
        <v>16.160715749581293</v>
      </c>
      <c r="Q32" s="278">
        <f t="shared" si="35"/>
        <v>16.160715749581293</v>
      </c>
      <c r="R32" s="278">
        <f t="shared" si="35"/>
        <v>16.160715749581293</v>
      </c>
      <c r="S32" s="278">
        <f t="shared" si="35"/>
        <v>16.160715749581293</v>
      </c>
      <c r="T32" s="278">
        <f t="shared" si="35"/>
        <v>16.160715749581293</v>
      </c>
      <c r="U32" s="356"/>
      <c r="V32" s="278">
        <f>$AJ33</f>
        <v>11.825454545454548</v>
      </c>
      <c r="W32" s="278">
        <f t="shared" ref="W32:AE32" si="36">$AJ33</f>
        <v>11.825454545454548</v>
      </c>
      <c r="X32" s="278">
        <f t="shared" si="36"/>
        <v>11.825454545454548</v>
      </c>
      <c r="Y32" s="278">
        <f t="shared" si="36"/>
        <v>11.825454545454548</v>
      </c>
      <c r="Z32" s="278">
        <f t="shared" si="36"/>
        <v>11.825454545454548</v>
      </c>
      <c r="AA32" s="278">
        <f t="shared" si="36"/>
        <v>11.825454545454548</v>
      </c>
      <c r="AB32" s="278">
        <f t="shared" si="36"/>
        <v>11.825454545454548</v>
      </c>
      <c r="AC32" s="278">
        <f t="shared" si="36"/>
        <v>11.825454545454548</v>
      </c>
      <c r="AD32" s="278">
        <f t="shared" si="36"/>
        <v>11.825454545454548</v>
      </c>
      <c r="AE32" s="278">
        <f t="shared" si="36"/>
        <v>11.825454545454548</v>
      </c>
      <c r="AF32" s="356"/>
      <c r="AH32" s="282">
        <f>AK32</f>
        <v>0.1517893739532323</v>
      </c>
      <c r="AI32" s="279">
        <f>1-AH32</f>
        <v>0.84821062604676767</v>
      </c>
      <c r="AK32" s="275">
        <v>0.1517893739532323</v>
      </c>
      <c r="AL32" s="275">
        <v>0.19455584170510201</v>
      </c>
      <c r="AM32" s="275">
        <v>0.32977036758179978</v>
      </c>
      <c r="AN32" s="275">
        <v>0.18483955953278713</v>
      </c>
      <c r="AO32" s="152" t="s">
        <v>290</v>
      </c>
    </row>
    <row r="33" spans="4:41" x14ac:dyDescent="0.25">
      <c r="D33" s="157">
        <f>MAX(D$5:D32)+1</f>
        <v>23</v>
      </c>
      <c r="E33" s="273" t="s">
        <v>154</v>
      </c>
      <c r="F33" s="158" t="s">
        <v>89</v>
      </c>
      <c r="G33" s="278">
        <v>2</v>
      </c>
      <c r="H33" s="278">
        <v>2</v>
      </c>
      <c r="I33" s="278">
        <v>2</v>
      </c>
      <c r="J33" s="278">
        <f>I33</f>
        <v>2</v>
      </c>
      <c r="K33" s="278">
        <f>G33</f>
        <v>2</v>
      </c>
      <c r="L33" s="164"/>
      <c r="M33" s="164"/>
      <c r="N33" s="356"/>
      <c r="O33" s="278">
        <v>2</v>
      </c>
      <c r="P33" s="278">
        <v>2</v>
      </c>
      <c r="Q33" s="164"/>
      <c r="R33" s="164"/>
      <c r="S33" s="164"/>
      <c r="T33" s="164"/>
      <c r="U33" s="356"/>
      <c r="V33" s="278">
        <v>3</v>
      </c>
      <c r="W33" s="164"/>
      <c r="X33" s="164"/>
      <c r="Y33" s="164"/>
      <c r="Z33" s="164"/>
      <c r="AA33" s="164"/>
      <c r="AB33" s="278">
        <v>3</v>
      </c>
      <c r="AC33" s="164"/>
      <c r="AD33" s="164"/>
      <c r="AE33" s="164"/>
      <c r="AF33" s="356"/>
      <c r="AJ33" s="283">
        <f>AK33</f>
        <v>11.825454545454548</v>
      </c>
      <c r="AK33" s="281">
        <v>11.825454545454548</v>
      </c>
      <c r="AL33" s="281">
        <v>11.702362961102155</v>
      </c>
      <c r="AM33" s="281">
        <v>11.517907839634775</v>
      </c>
      <c r="AN33" s="281">
        <v>11.275747501858794</v>
      </c>
      <c r="AO33" s="152" t="s">
        <v>291</v>
      </c>
    </row>
    <row r="34" spans="4:41" x14ac:dyDescent="0.25">
      <c r="D34" s="157">
        <f>MAX(D$5:D33)+1</f>
        <v>24</v>
      </c>
      <c r="E34" s="273" t="s">
        <v>155</v>
      </c>
      <c r="F34" s="158" t="s">
        <v>89</v>
      </c>
      <c r="G34" s="278">
        <v>1.5</v>
      </c>
      <c r="H34" s="278">
        <v>1.5</v>
      </c>
      <c r="I34" s="278">
        <v>1.5</v>
      </c>
      <c r="J34" s="278">
        <f t="shared" ref="J34:J35" si="37">I34</f>
        <v>1.5</v>
      </c>
      <c r="K34" s="278">
        <f>G34</f>
        <v>1.5</v>
      </c>
      <c r="L34" s="164"/>
      <c r="M34" s="164"/>
      <c r="N34" s="356"/>
      <c r="O34" s="278">
        <v>2</v>
      </c>
      <c r="P34" s="278">
        <v>1.5</v>
      </c>
      <c r="Q34" s="164"/>
      <c r="R34" s="164"/>
      <c r="S34" s="164"/>
      <c r="T34" s="164"/>
      <c r="U34" s="356"/>
      <c r="V34" s="278">
        <v>2</v>
      </c>
      <c r="W34" s="164"/>
      <c r="X34" s="164"/>
      <c r="Y34" s="164"/>
      <c r="Z34" s="164"/>
      <c r="AA34" s="164"/>
      <c r="AB34" s="278">
        <v>2</v>
      </c>
      <c r="AC34" s="164"/>
      <c r="AD34" s="164"/>
      <c r="AE34" s="164"/>
      <c r="AF34" s="356"/>
    </row>
    <row r="35" spans="4:41" x14ac:dyDescent="0.25">
      <c r="D35" s="157">
        <f>MAX(D$5:D34)+1</f>
        <v>25</v>
      </c>
      <c r="E35" s="273" t="s">
        <v>156</v>
      </c>
      <c r="F35" s="158" t="s">
        <v>89</v>
      </c>
      <c r="G35" s="278">
        <v>2.5</v>
      </c>
      <c r="H35" s="278">
        <v>2.5</v>
      </c>
      <c r="I35" s="278">
        <v>2.5</v>
      </c>
      <c r="J35" s="278">
        <f t="shared" si="37"/>
        <v>2.5</v>
      </c>
      <c r="K35" s="278">
        <f>G35</f>
        <v>2.5</v>
      </c>
      <c r="L35" s="164"/>
      <c r="M35" s="164"/>
      <c r="N35" s="356"/>
      <c r="O35" s="278">
        <v>3</v>
      </c>
      <c r="P35" s="278">
        <v>3</v>
      </c>
      <c r="Q35" s="164"/>
      <c r="R35" s="164"/>
      <c r="S35" s="164"/>
      <c r="T35" s="164"/>
      <c r="U35" s="356"/>
      <c r="V35" s="278">
        <v>3</v>
      </c>
      <c r="W35" s="164"/>
      <c r="X35" s="164"/>
      <c r="Y35" s="164"/>
      <c r="Z35" s="164"/>
      <c r="AA35" s="164"/>
      <c r="AB35" s="278">
        <v>3</v>
      </c>
      <c r="AC35" s="164"/>
      <c r="AD35" s="164"/>
      <c r="AE35" s="164"/>
      <c r="AF35" s="356"/>
    </row>
    <row r="36" spans="4:41" ht="28.55" x14ac:dyDescent="0.25">
      <c r="D36" s="161">
        <f>MAX(D$5:D35)+1</f>
        <v>26</v>
      </c>
      <c r="E36" s="284" t="s">
        <v>157</v>
      </c>
      <c r="F36" s="162" t="s">
        <v>143</v>
      </c>
      <c r="G36" s="165">
        <f t="shared" ref="G36:I36" si="38">(0.1*1*1*G22*1)/(POWER(2.73, 0.017*G30)*G21*G21)</f>
        <v>18.807660085625361</v>
      </c>
      <c r="H36" s="165">
        <f t="shared" si="38"/>
        <v>20.508646990428247</v>
      </c>
      <c r="I36" s="165">
        <f t="shared" si="38"/>
        <v>23.979766609172334</v>
      </c>
      <c r="J36" s="165">
        <f t="shared" ref="J36" si="39">(0.1*1*1*J22*1)/(POWER(2.73, 0.017*J30)*J21*J21)</f>
        <v>23.979766609172334</v>
      </c>
      <c r="K36" s="165">
        <f t="shared" ref="K36:M36" si="40">(0.1*1*1*K22*1)/(POWER(2.73, 0.017*K30)*K21*K21)</f>
        <v>18.807660085625361</v>
      </c>
      <c r="L36" s="165">
        <f t="shared" si="40"/>
        <v>0</v>
      </c>
      <c r="M36" s="165">
        <f t="shared" si="40"/>
        <v>0</v>
      </c>
      <c r="N36" s="361"/>
      <c r="O36" s="165">
        <f t="shared" ref="O36:Q36" si="41">(0.1*1*1*O22*1)/(POWER(2.73, 0.017*O30)*O21*O21)</f>
        <v>16.594994193198847</v>
      </c>
      <c r="P36" s="165">
        <f t="shared" si="41"/>
        <v>23.979766609172334</v>
      </c>
      <c r="Q36" s="165">
        <f t="shared" si="41"/>
        <v>0</v>
      </c>
      <c r="R36" s="165">
        <f t="shared" ref="R36:T36" si="42">(0.1*1*1*R22*1)/(POWER(2.73, 0.017*R30)*R21*R21)</f>
        <v>0</v>
      </c>
      <c r="S36" s="165">
        <f t="shared" si="42"/>
        <v>0</v>
      </c>
      <c r="T36" s="165">
        <f t="shared" si="42"/>
        <v>0</v>
      </c>
      <c r="U36" s="361"/>
      <c r="V36" s="165">
        <f t="shared" ref="V36" si="43">(0.1*1*1*V22*1)/(POWER(2.73, 0.017*V30)*V21*V21)</f>
        <v>28.571288757746306</v>
      </c>
      <c r="W36" s="165">
        <f t="shared" ref="W36:AE36" si="44">(0.1*1*1*W22*1)/(POWER(2.73, 0.017*W30)*W21*W21)</f>
        <v>0</v>
      </c>
      <c r="X36" s="165">
        <f t="shared" si="44"/>
        <v>0</v>
      </c>
      <c r="Y36" s="165">
        <f t="shared" si="44"/>
        <v>0</v>
      </c>
      <c r="Z36" s="165">
        <f t="shared" si="44"/>
        <v>0</v>
      </c>
      <c r="AA36" s="165">
        <f t="shared" si="44"/>
        <v>0</v>
      </c>
      <c r="AB36" s="165">
        <f t="shared" si="44"/>
        <v>35.60750166077338</v>
      </c>
      <c r="AC36" s="165">
        <f t="shared" si="44"/>
        <v>0</v>
      </c>
      <c r="AD36" s="165">
        <f t="shared" si="44"/>
        <v>0</v>
      </c>
      <c r="AE36" s="165">
        <f t="shared" si="44"/>
        <v>0</v>
      </c>
      <c r="AF36" s="361"/>
    </row>
    <row r="37" spans="4:41" ht="28.55" x14ac:dyDescent="0.25">
      <c r="D37" s="157">
        <f>MAX(D$5:D36)+1</f>
        <v>27</v>
      </c>
      <c r="E37" s="273" t="s">
        <v>158</v>
      </c>
      <c r="F37" s="158" t="s">
        <v>14</v>
      </c>
      <c r="G37" s="166">
        <f>G45/G36</f>
        <v>0.86724110362992068</v>
      </c>
      <c r="H37" s="166">
        <f t="shared" ref="H37:I37" si="45">H45/H36</f>
        <v>0.8578157800516254</v>
      </c>
      <c r="I37" s="166">
        <f t="shared" si="45"/>
        <v>0.83571471302862532</v>
      </c>
      <c r="J37" s="166">
        <f t="shared" ref="J37" si="46">J45/J36</f>
        <v>0.83571471302862532</v>
      </c>
      <c r="K37" s="166">
        <f t="shared" ref="K37:M37" si="47">K45/K36</f>
        <v>0.86724110362992068</v>
      </c>
      <c r="L37" s="166" t="e">
        <f t="shared" si="47"/>
        <v>#DIV/0!</v>
      </c>
      <c r="M37" s="166" t="e">
        <f t="shared" si="47"/>
        <v>#DIV/0!</v>
      </c>
      <c r="N37" s="358"/>
      <c r="O37" s="166">
        <f t="shared" ref="O37:Q37" si="48">O45/O36</f>
        <v>0.84956030729388388</v>
      </c>
      <c r="P37" s="166">
        <f t="shared" si="48"/>
        <v>0.82716691371983775</v>
      </c>
      <c r="Q37" s="166" t="e">
        <f t="shared" si="48"/>
        <v>#DIV/0!</v>
      </c>
      <c r="R37" s="166" t="e">
        <f t="shared" ref="R37:T37" si="49">R45/R36</f>
        <v>#DIV/0!</v>
      </c>
      <c r="S37" s="166" t="e">
        <f t="shared" si="49"/>
        <v>#DIV/0!</v>
      </c>
      <c r="T37" s="166" t="e">
        <f t="shared" si="49"/>
        <v>#DIV/0!</v>
      </c>
      <c r="U37" s="358"/>
      <c r="V37" s="166">
        <f t="shared" ref="V37" si="50">V45/V36</f>
        <v>0.70714983591069913</v>
      </c>
      <c r="W37" s="166" t="e">
        <f t="shared" ref="W37:AE37" si="51">W45/W36</f>
        <v>#DIV/0!</v>
      </c>
      <c r="X37" s="166" t="e">
        <f t="shared" si="51"/>
        <v>#DIV/0!</v>
      </c>
      <c r="Y37" s="166" t="e">
        <f t="shared" si="51"/>
        <v>#DIV/0!</v>
      </c>
      <c r="Z37" s="166" t="e">
        <f t="shared" si="51"/>
        <v>#DIV/0!</v>
      </c>
      <c r="AA37" s="166" t="e">
        <f t="shared" si="51"/>
        <v>#DIV/0!</v>
      </c>
      <c r="AB37" s="166">
        <f t="shared" si="51"/>
        <v>0.64461934909093721</v>
      </c>
      <c r="AC37" s="166" t="e">
        <f t="shared" si="51"/>
        <v>#DIV/0!</v>
      </c>
      <c r="AD37" s="166" t="e">
        <f t="shared" si="51"/>
        <v>#DIV/0!</v>
      </c>
      <c r="AE37" s="166" t="e">
        <f t="shared" si="51"/>
        <v>#DIV/0!</v>
      </c>
      <c r="AF37" s="358"/>
    </row>
    <row r="38" spans="4:41" x14ac:dyDescent="0.25">
      <c r="D38" s="157">
        <f>MAX(D$5:D37)+1</f>
        <v>28</v>
      </c>
      <c r="E38" s="273" t="s">
        <v>159</v>
      </c>
      <c r="F38" s="158" t="s">
        <v>89</v>
      </c>
      <c r="G38" s="167">
        <f t="shared" ref="G38:I38" si="52">G32/G36*60</f>
        <v>51.555745933327074</v>
      </c>
      <c r="H38" s="167">
        <f t="shared" si="52"/>
        <v>47.279713060906808</v>
      </c>
      <c r="I38" s="167">
        <f t="shared" si="52"/>
        <v>40.435879163393778</v>
      </c>
      <c r="J38" s="167">
        <f t="shared" ref="J38" si="53">J32/J36*60</f>
        <v>40.435879163393778</v>
      </c>
      <c r="K38" s="167">
        <f t="shared" ref="K38:M38" si="54">K32/K36*60</f>
        <v>51.555745933327074</v>
      </c>
      <c r="L38" s="167" t="e">
        <f t="shared" si="54"/>
        <v>#DIV/0!</v>
      </c>
      <c r="M38" s="167" t="e">
        <f t="shared" si="54"/>
        <v>#DIV/0!</v>
      </c>
      <c r="N38" s="356"/>
      <c r="O38" s="167">
        <f t="shared" ref="O38:Q38" si="55">O32/O36*60</f>
        <v>58.429845391104017</v>
      </c>
      <c r="P38" s="167">
        <f t="shared" si="55"/>
        <v>40.435879163393778</v>
      </c>
      <c r="Q38" s="167" t="e">
        <f t="shared" si="55"/>
        <v>#DIV/0!</v>
      </c>
      <c r="R38" s="167" t="e">
        <f t="shared" ref="R38:T38" si="56">R32/R36*60</f>
        <v>#DIV/0!</v>
      </c>
      <c r="S38" s="167" t="e">
        <f t="shared" si="56"/>
        <v>#DIV/0!</v>
      </c>
      <c r="T38" s="167" t="e">
        <f t="shared" si="56"/>
        <v>#DIV/0!</v>
      </c>
      <c r="U38" s="356"/>
      <c r="V38" s="167">
        <f t="shared" ref="V38" si="57">V32/V36*60</f>
        <v>24.833576068034539</v>
      </c>
      <c r="W38" s="167" t="e">
        <f t="shared" ref="W38:AE38" si="58">W32/W36*60</f>
        <v>#DIV/0!</v>
      </c>
      <c r="X38" s="167" t="e">
        <f t="shared" si="58"/>
        <v>#DIV/0!</v>
      </c>
      <c r="Y38" s="167" t="e">
        <f t="shared" si="58"/>
        <v>#DIV/0!</v>
      </c>
      <c r="Z38" s="167" t="e">
        <f t="shared" si="58"/>
        <v>#DIV/0!</v>
      </c>
      <c r="AA38" s="167" t="e">
        <f t="shared" si="58"/>
        <v>#DIV/0!</v>
      </c>
      <c r="AB38" s="167">
        <f t="shared" si="58"/>
        <v>19.926342473752264</v>
      </c>
      <c r="AC38" s="167" t="e">
        <f t="shared" si="58"/>
        <v>#DIV/0!</v>
      </c>
      <c r="AD38" s="167" t="e">
        <f t="shared" si="58"/>
        <v>#DIV/0!</v>
      </c>
      <c r="AE38" s="167" t="e">
        <f t="shared" si="58"/>
        <v>#DIV/0!</v>
      </c>
      <c r="AF38" s="356"/>
    </row>
    <row r="39" spans="4:41" ht="28.55" x14ac:dyDescent="0.25">
      <c r="D39" s="157">
        <f>MAX(D$5:D38)+1</f>
        <v>29</v>
      </c>
      <c r="E39" s="273" t="s">
        <v>140</v>
      </c>
      <c r="F39" s="158" t="s">
        <v>29</v>
      </c>
      <c r="G39" s="373">
        <v>1</v>
      </c>
      <c r="H39" s="373">
        <v>1</v>
      </c>
      <c r="I39" s="373">
        <v>1</v>
      </c>
      <c r="J39" s="373">
        <f>I39</f>
        <v>1</v>
      </c>
      <c r="K39" s="373">
        <f>G39</f>
        <v>1</v>
      </c>
      <c r="L39" s="799">
        <f t="shared" ref="L39:AE39" si="59">2*L40/100</f>
        <v>0</v>
      </c>
      <c r="M39" s="799">
        <f t="shared" si="59"/>
        <v>0</v>
      </c>
      <c r="N39" s="362"/>
      <c r="O39" s="373">
        <v>1</v>
      </c>
      <c r="P39" s="373">
        <v>1</v>
      </c>
      <c r="Q39" s="799">
        <f t="shared" si="59"/>
        <v>0</v>
      </c>
      <c r="R39" s="799">
        <f t="shared" si="59"/>
        <v>0</v>
      </c>
      <c r="S39" s="799">
        <f t="shared" si="59"/>
        <v>0</v>
      </c>
      <c r="T39" s="799">
        <f t="shared" si="59"/>
        <v>0</v>
      </c>
      <c r="U39" s="362"/>
      <c r="V39" s="373">
        <v>1</v>
      </c>
      <c r="W39" s="799">
        <f t="shared" si="59"/>
        <v>0</v>
      </c>
      <c r="X39" s="799">
        <f t="shared" si="59"/>
        <v>0</v>
      </c>
      <c r="Y39" s="799">
        <f t="shared" si="59"/>
        <v>0</v>
      </c>
      <c r="Z39" s="799">
        <f t="shared" si="59"/>
        <v>0</v>
      </c>
      <c r="AA39" s="799">
        <f t="shared" si="59"/>
        <v>0</v>
      </c>
      <c r="AB39" s="373">
        <v>1</v>
      </c>
      <c r="AC39" s="799">
        <f t="shared" si="59"/>
        <v>0</v>
      </c>
      <c r="AD39" s="799">
        <f t="shared" si="59"/>
        <v>0</v>
      </c>
      <c r="AE39" s="799">
        <f t="shared" si="59"/>
        <v>0</v>
      </c>
      <c r="AF39" s="362"/>
    </row>
    <row r="40" spans="4:41" x14ac:dyDescent="0.25">
      <c r="D40" s="157">
        <f>MAX(D$5:D39)+1</f>
        <v>30</v>
      </c>
      <c r="E40" s="273" t="s">
        <v>141</v>
      </c>
      <c r="F40" s="158" t="s">
        <v>40</v>
      </c>
      <c r="G40" s="373">
        <v>100</v>
      </c>
      <c r="H40" s="373">
        <v>100</v>
      </c>
      <c r="I40" s="373">
        <v>100</v>
      </c>
      <c r="J40" s="373">
        <f>I40</f>
        <v>100</v>
      </c>
      <c r="K40" s="373">
        <f>G40</f>
        <v>100</v>
      </c>
      <c r="L40" s="285"/>
      <c r="M40" s="285"/>
      <c r="N40" s="362"/>
      <c r="O40" s="373">
        <v>100</v>
      </c>
      <c r="P40" s="373">
        <v>100</v>
      </c>
      <c r="Q40" s="285"/>
      <c r="R40" s="285"/>
      <c r="S40" s="285"/>
      <c r="T40" s="285"/>
      <c r="U40" s="362"/>
      <c r="V40" s="373">
        <v>100</v>
      </c>
      <c r="W40" s="285"/>
      <c r="X40" s="285"/>
      <c r="Y40" s="285"/>
      <c r="Z40" s="285"/>
      <c r="AA40" s="285"/>
      <c r="AB40" s="373">
        <v>100</v>
      </c>
      <c r="AC40" s="285"/>
      <c r="AD40" s="285"/>
      <c r="AE40" s="285"/>
      <c r="AF40" s="362"/>
    </row>
    <row r="41" spans="4:41" x14ac:dyDescent="0.25">
      <c r="D41" s="157">
        <f>MAX(D$5:D40)+1</f>
        <v>31</v>
      </c>
      <c r="E41" s="273" t="s">
        <v>160</v>
      </c>
      <c r="F41" s="158" t="s">
        <v>89</v>
      </c>
      <c r="G41" s="167">
        <f>G39*G34</f>
        <v>1.5</v>
      </c>
      <c r="H41" s="167">
        <f t="shared" ref="H41:M41" si="60">H39*H34</f>
        <v>1.5</v>
      </c>
      <c r="I41" s="167">
        <f t="shared" si="60"/>
        <v>1.5</v>
      </c>
      <c r="J41" s="167">
        <f t="shared" si="60"/>
        <v>1.5</v>
      </c>
      <c r="K41" s="167">
        <f t="shared" si="60"/>
        <v>1.5</v>
      </c>
      <c r="L41" s="167">
        <f t="shared" si="60"/>
        <v>0</v>
      </c>
      <c r="M41" s="167">
        <f t="shared" si="60"/>
        <v>0</v>
      </c>
      <c r="N41" s="356"/>
      <c r="O41" s="167">
        <f t="shared" ref="O41:Q41" si="61">O39*O34</f>
        <v>2</v>
      </c>
      <c r="P41" s="167">
        <f t="shared" si="61"/>
        <v>1.5</v>
      </c>
      <c r="Q41" s="167">
        <f t="shared" si="61"/>
        <v>0</v>
      </c>
      <c r="R41" s="167">
        <f t="shared" ref="R41:T41" si="62">R39*R34</f>
        <v>0</v>
      </c>
      <c r="S41" s="167">
        <f t="shared" si="62"/>
        <v>0</v>
      </c>
      <c r="T41" s="167">
        <f t="shared" si="62"/>
        <v>0</v>
      </c>
      <c r="U41" s="356"/>
      <c r="V41" s="167">
        <f t="shared" ref="V41" si="63">V39*V34</f>
        <v>2</v>
      </c>
      <c r="W41" s="167">
        <f t="shared" ref="W41:AE41" si="64">W39*W34</f>
        <v>0</v>
      </c>
      <c r="X41" s="167">
        <f t="shared" si="64"/>
        <v>0</v>
      </c>
      <c r="Y41" s="167">
        <f t="shared" si="64"/>
        <v>0</v>
      </c>
      <c r="Z41" s="167">
        <f t="shared" si="64"/>
        <v>0</v>
      </c>
      <c r="AA41" s="167">
        <f t="shared" si="64"/>
        <v>0</v>
      </c>
      <c r="AB41" s="167">
        <f t="shared" si="64"/>
        <v>2</v>
      </c>
      <c r="AC41" s="167">
        <f t="shared" si="64"/>
        <v>0</v>
      </c>
      <c r="AD41" s="167">
        <f t="shared" si="64"/>
        <v>0</v>
      </c>
      <c r="AE41" s="167">
        <f t="shared" si="64"/>
        <v>0</v>
      </c>
      <c r="AF41" s="356"/>
    </row>
    <row r="42" spans="4:41" x14ac:dyDescent="0.25">
      <c r="D42" s="157">
        <f>MAX(D$5:D41)+1</f>
        <v>32</v>
      </c>
      <c r="E42" s="273" t="s">
        <v>161</v>
      </c>
      <c r="F42" s="158" t="s">
        <v>89</v>
      </c>
      <c r="G42" s="167">
        <f t="shared" ref="G42:I42" si="65">G32/(G16*0.8)</f>
        <v>0.39225038227139059</v>
      </c>
      <c r="H42" s="167">
        <f t="shared" si="65"/>
        <v>0.33668157811627691</v>
      </c>
      <c r="I42" s="167">
        <f t="shared" si="65"/>
        <v>0.44890877082170255</v>
      </c>
      <c r="J42" s="167">
        <f t="shared" ref="J42" si="66">J32/(J16*0.8)</f>
        <v>0.44890877082170255</v>
      </c>
      <c r="K42" s="167">
        <f t="shared" ref="K42:M42" si="67">K32/(K16*0.8)</f>
        <v>0.39225038227139059</v>
      </c>
      <c r="L42" s="167" t="e">
        <f t="shared" si="67"/>
        <v>#DIV/0!</v>
      </c>
      <c r="M42" s="167" t="e">
        <f t="shared" si="67"/>
        <v>#DIV/0!</v>
      </c>
      <c r="N42" s="356"/>
      <c r="O42" s="167">
        <f t="shared" ref="O42:Q42" si="68">O32/(O16*0.8)</f>
        <v>1.3467263124651077</v>
      </c>
      <c r="P42" s="167">
        <f t="shared" si="68"/>
        <v>0.44890877082170255</v>
      </c>
      <c r="Q42" s="167" t="e">
        <f t="shared" si="68"/>
        <v>#DIV/0!</v>
      </c>
      <c r="R42" s="167" t="e">
        <f t="shared" ref="R42:T42" si="69">R32/(R16*0.8)</f>
        <v>#DIV/0!</v>
      </c>
      <c r="S42" s="167" t="e">
        <f t="shared" si="69"/>
        <v>#DIV/0!</v>
      </c>
      <c r="T42" s="167" t="e">
        <f t="shared" si="69"/>
        <v>#DIV/0!</v>
      </c>
      <c r="U42" s="356"/>
      <c r="V42" s="167">
        <f t="shared" ref="V42" si="70">V32/(V16*0.8)</f>
        <v>0.28426573426573432</v>
      </c>
      <c r="W42" s="167" t="e">
        <f t="shared" ref="W42:AE42" si="71">W32/(W16*0.8)</f>
        <v>#DIV/0!</v>
      </c>
      <c r="X42" s="167" t="e">
        <f t="shared" si="71"/>
        <v>#DIV/0!</v>
      </c>
      <c r="Y42" s="167" t="e">
        <f t="shared" si="71"/>
        <v>#DIV/0!</v>
      </c>
      <c r="Z42" s="167" t="e">
        <f t="shared" si="71"/>
        <v>#DIV/0!</v>
      </c>
      <c r="AA42" s="167" t="e">
        <f t="shared" si="71"/>
        <v>#DIV/0!</v>
      </c>
      <c r="AB42" s="167">
        <f t="shared" si="71"/>
        <v>0.98545454545454569</v>
      </c>
      <c r="AC42" s="167" t="e">
        <f t="shared" si="71"/>
        <v>#DIV/0!</v>
      </c>
      <c r="AD42" s="167" t="e">
        <f t="shared" si="71"/>
        <v>#DIV/0!</v>
      </c>
      <c r="AE42" s="167" t="e">
        <f t="shared" si="71"/>
        <v>#DIV/0!</v>
      </c>
      <c r="AF42" s="356"/>
    </row>
    <row r="43" spans="4:41" x14ac:dyDescent="0.25">
      <c r="D43" s="157">
        <f>MAX(D$5:D42)+1</f>
        <v>33</v>
      </c>
      <c r="E43" s="273" t="s">
        <v>162</v>
      </c>
      <c r="F43" s="158" t="s">
        <v>89</v>
      </c>
      <c r="G43" s="278">
        <f>G41</f>
        <v>1.5</v>
      </c>
      <c r="H43" s="278">
        <f t="shared" ref="H43:I43" si="72">H41</f>
        <v>1.5</v>
      </c>
      <c r="I43" s="278">
        <f t="shared" si="72"/>
        <v>1.5</v>
      </c>
      <c r="J43" s="278">
        <f>I43</f>
        <v>1.5</v>
      </c>
      <c r="K43" s="278">
        <f>G43</f>
        <v>1.5</v>
      </c>
      <c r="L43" s="164"/>
      <c r="M43" s="164"/>
      <c r="N43" s="356"/>
      <c r="O43" s="278">
        <f t="shared" ref="O43:P43" si="73">O41</f>
        <v>2</v>
      </c>
      <c r="P43" s="278">
        <f t="shared" si="73"/>
        <v>1.5</v>
      </c>
      <c r="Q43" s="164"/>
      <c r="R43" s="164"/>
      <c r="S43" s="164"/>
      <c r="T43" s="164"/>
      <c r="U43" s="356"/>
      <c r="V43" s="278">
        <f>V41</f>
        <v>2</v>
      </c>
      <c r="W43" s="164"/>
      <c r="X43" s="164"/>
      <c r="Y43" s="164"/>
      <c r="Z43" s="164"/>
      <c r="AA43" s="164"/>
      <c r="AB43" s="278">
        <f>AB41</f>
        <v>2</v>
      </c>
      <c r="AC43" s="164"/>
      <c r="AD43" s="164"/>
      <c r="AE43" s="164"/>
      <c r="AF43" s="356"/>
    </row>
    <row r="44" spans="4:41" x14ac:dyDescent="0.25">
      <c r="D44" s="157">
        <f>MAX(D$5:D43)+1</f>
        <v>34</v>
      </c>
      <c r="E44" s="273" t="s">
        <v>142</v>
      </c>
      <c r="F44" s="158" t="s">
        <v>29</v>
      </c>
      <c r="G44" s="167">
        <f t="shared" ref="G44:I44" si="74">(G31/((G38+G33+G41+G42+G43+G35)/60))</f>
        <v>12.11142586164978</v>
      </c>
      <c r="H44" s="167">
        <f t="shared" si="74"/>
        <v>13.063263747847381</v>
      </c>
      <c r="I44" s="167">
        <f t="shared" si="74"/>
        <v>14.880710048350741</v>
      </c>
      <c r="J44" s="167">
        <f t="shared" ref="J44" si="75">(J31/((J38+J33+J41+J42+J43+J35)/60))</f>
        <v>14.880710048350741</v>
      </c>
      <c r="K44" s="167">
        <f t="shared" ref="K44:M44" si="76">(K31/((K38+K33+K41+K42+K43+K35)/60))</f>
        <v>12.11142586164978</v>
      </c>
      <c r="L44" s="167" t="e">
        <f t="shared" si="76"/>
        <v>#DIV/0!</v>
      </c>
      <c r="M44" s="167" t="e">
        <f t="shared" si="76"/>
        <v>#DIV/0!</v>
      </c>
      <c r="N44" s="356"/>
      <c r="O44" s="167">
        <f t="shared" ref="O44:Q44" si="77">(O31/((O38+O33+O41+O42+O43+O35)/60))</f>
        <v>10.468681153565496</v>
      </c>
      <c r="P44" s="167">
        <f t="shared" si="77"/>
        <v>14.728508201138315</v>
      </c>
      <c r="Q44" s="167" t="e">
        <f t="shared" si="77"/>
        <v>#DIV/0!</v>
      </c>
      <c r="R44" s="167" t="e">
        <f t="shared" ref="R44:T44" si="78">(R31/((R38+R33+R41+R42+R43+R35)/60))</f>
        <v>#DIV/0!</v>
      </c>
      <c r="S44" s="167" t="e">
        <f t="shared" si="78"/>
        <v>#DIV/0!</v>
      </c>
      <c r="T44" s="167" t="e">
        <f t="shared" si="78"/>
        <v>#DIV/0!</v>
      </c>
      <c r="U44" s="356"/>
      <c r="V44" s="167">
        <f t="shared" ref="V44" si="79">(V31/((V38+V33+V41+V42+V43+V35)/60))</f>
        <v>20.502398867598941</v>
      </c>
      <c r="W44" s="167" t="e">
        <f t="shared" ref="W44:AE44" si="80">(W31/((W38+W33+W41+W42+W43+W35)/60))</f>
        <v>#DIV/0!</v>
      </c>
      <c r="X44" s="167" t="e">
        <f t="shared" si="80"/>
        <v>#DIV/0!</v>
      </c>
      <c r="Y44" s="167" t="e">
        <f t="shared" si="80"/>
        <v>#DIV/0!</v>
      </c>
      <c r="Z44" s="167" t="e">
        <f t="shared" si="80"/>
        <v>#DIV/0!</v>
      </c>
      <c r="AA44" s="167" t="e">
        <f t="shared" si="80"/>
        <v>#DIV/0!</v>
      </c>
      <c r="AB44" s="167">
        <f t="shared" si="80"/>
        <v>23.292078411120311</v>
      </c>
      <c r="AC44" s="167" t="e">
        <f t="shared" si="80"/>
        <v>#DIV/0!</v>
      </c>
      <c r="AD44" s="167" t="e">
        <f t="shared" si="80"/>
        <v>#DIV/0!</v>
      </c>
      <c r="AE44" s="167" t="e">
        <f t="shared" si="80"/>
        <v>#DIV/0!</v>
      </c>
      <c r="AF44" s="356"/>
    </row>
    <row r="45" spans="4:41" ht="32.6" x14ac:dyDescent="0.25">
      <c r="D45" s="169">
        <f>MAX(D$5:D44)+1</f>
        <v>35</v>
      </c>
      <c r="E45" s="170" t="s">
        <v>243</v>
      </c>
      <c r="F45" s="171" t="s">
        <v>209</v>
      </c>
      <c r="G45" s="289">
        <f>G44*G32/12</f>
        <v>16.310775889354147</v>
      </c>
      <c r="H45" s="289">
        <f t="shared" ref="H45:I45" si="81">H44*H32/12</f>
        <v>17.592641015897627</v>
      </c>
      <c r="I45" s="289">
        <f t="shared" si="81"/>
        <v>20.040243770277868</v>
      </c>
      <c r="J45" s="289">
        <f t="shared" ref="J45" si="82">J44*J32/12</f>
        <v>20.040243770277868</v>
      </c>
      <c r="K45" s="289">
        <f t="shared" ref="K45:M45" si="83">K44*K32/12</f>
        <v>16.310775889354147</v>
      </c>
      <c r="L45" s="289" t="e">
        <f t="shared" si="83"/>
        <v>#DIV/0!</v>
      </c>
      <c r="M45" s="289" t="e">
        <f t="shared" si="83"/>
        <v>#DIV/0!</v>
      </c>
      <c r="N45" s="363"/>
      <c r="O45" s="289">
        <f t="shared" ref="O45:Q45" si="84">O44*O32/12</f>
        <v>14.098448366314232</v>
      </c>
      <c r="P45" s="289">
        <f t="shared" si="84"/>
        <v>19.835269537831099</v>
      </c>
      <c r="Q45" s="289" t="e">
        <f t="shared" si="84"/>
        <v>#DIV/0!</v>
      </c>
      <c r="R45" s="289" t="e">
        <f t="shared" ref="R45:T45" si="85">R44*R32/12</f>
        <v>#DIV/0!</v>
      </c>
      <c r="S45" s="289" t="e">
        <f t="shared" si="85"/>
        <v>#DIV/0!</v>
      </c>
      <c r="T45" s="289" t="e">
        <f t="shared" si="85"/>
        <v>#DIV/0!</v>
      </c>
      <c r="U45" s="363"/>
      <c r="V45" s="289">
        <f t="shared" ref="V45" si="86">V44*V32/12</f>
        <v>20.204182156797504</v>
      </c>
      <c r="W45" s="289" t="e">
        <f t="shared" ref="W45:AE45" si="87">W44*W32/12</f>
        <v>#DIV/0!</v>
      </c>
      <c r="X45" s="289" t="e">
        <f t="shared" si="87"/>
        <v>#DIV/0!</v>
      </c>
      <c r="Y45" s="289" t="e">
        <f t="shared" si="87"/>
        <v>#DIV/0!</v>
      </c>
      <c r="Z45" s="289" t="e">
        <f t="shared" si="87"/>
        <v>#DIV/0!</v>
      </c>
      <c r="AA45" s="289" t="e">
        <f t="shared" si="87"/>
        <v>#DIV/0!</v>
      </c>
      <c r="AB45" s="289">
        <f t="shared" si="87"/>
        <v>22.953284543322201</v>
      </c>
      <c r="AC45" s="289" t="e">
        <f t="shared" si="87"/>
        <v>#DIV/0!</v>
      </c>
      <c r="AD45" s="289" t="e">
        <f t="shared" si="87"/>
        <v>#DIV/0!</v>
      </c>
      <c r="AE45" s="289" t="e">
        <f t="shared" si="87"/>
        <v>#DIV/0!</v>
      </c>
      <c r="AF45" s="363"/>
    </row>
    <row r="46" spans="4:41" x14ac:dyDescent="0.25"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364"/>
      <c r="O46" s="168"/>
      <c r="P46" s="168"/>
      <c r="Q46" s="168"/>
      <c r="R46" s="168"/>
      <c r="S46" s="168"/>
      <c r="T46" s="168"/>
      <c r="U46" s="364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364"/>
    </row>
    <row r="47" spans="4:41" x14ac:dyDescent="0.25">
      <c r="N47" s="324"/>
      <c r="U47" s="324"/>
      <c r="AF47" s="324"/>
    </row>
    <row r="48" spans="4:41" x14ac:dyDescent="0.25">
      <c r="E48" s="213" t="s">
        <v>244</v>
      </c>
      <c r="F48" s="233" t="str">
        <f>F45</f>
        <v>п. м/час</v>
      </c>
      <c r="G48" s="246">
        <f>'факт СЛ'!C25</f>
        <v>18.977282782152361</v>
      </c>
      <c r="H48" s="246"/>
      <c r="I48" s="246"/>
      <c r="J48" s="246"/>
      <c r="K48" s="246"/>
      <c r="L48" s="246"/>
      <c r="M48" s="246"/>
      <c r="N48" s="246"/>
      <c r="O48" s="246">
        <f>'факт СЛ'!C26</f>
        <v>16.322356284282986</v>
      </c>
      <c r="P48" s="246"/>
      <c r="Q48" s="246"/>
      <c r="R48" s="246"/>
      <c r="S48" s="246"/>
      <c r="T48" s="246"/>
      <c r="U48" s="246"/>
      <c r="V48" s="246">
        <f>'факт СЛ'!C27</f>
        <v>17.852769073980131</v>
      </c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</row>
    <row r="49" spans="5:32" x14ac:dyDescent="0.25">
      <c r="N49" s="324"/>
      <c r="U49" s="324"/>
      <c r="AF49" s="324"/>
    </row>
    <row r="50" spans="5:32" ht="16.3" x14ac:dyDescent="0.25">
      <c r="E50" s="241" t="s">
        <v>245</v>
      </c>
      <c r="F50" s="242" t="str">
        <f>F48</f>
        <v>п. м/час</v>
      </c>
      <c r="G50" s="375">
        <f>IFERROR(G45,0)</f>
        <v>16.310775889354147</v>
      </c>
      <c r="H50" s="375">
        <f t="shared" ref="H50:M50" si="88">IFERROR(H45,0)</f>
        <v>17.592641015897627</v>
      </c>
      <c r="I50" s="375">
        <f t="shared" si="88"/>
        <v>20.040243770277868</v>
      </c>
      <c r="J50" s="375">
        <f t="shared" si="88"/>
        <v>20.040243770277868</v>
      </c>
      <c r="K50" s="375">
        <f t="shared" si="88"/>
        <v>16.310775889354147</v>
      </c>
      <c r="L50" s="375">
        <f t="shared" si="88"/>
        <v>0</v>
      </c>
      <c r="M50" s="375">
        <f t="shared" si="88"/>
        <v>0</v>
      </c>
      <c r="N50" s="365" t="str">
        <f>N4</f>
        <v>*</v>
      </c>
      <c r="O50" s="375">
        <f t="shared" ref="O50:T50" si="89">IFERROR(O45,0)</f>
        <v>14.098448366314232</v>
      </c>
      <c r="P50" s="375">
        <f t="shared" si="89"/>
        <v>19.835269537831099</v>
      </c>
      <c r="Q50" s="375">
        <f t="shared" si="89"/>
        <v>0</v>
      </c>
      <c r="R50" s="375">
        <f t="shared" si="89"/>
        <v>0</v>
      </c>
      <c r="S50" s="375">
        <f t="shared" si="89"/>
        <v>0</v>
      </c>
      <c r="T50" s="375">
        <f t="shared" si="89"/>
        <v>0</v>
      </c>
      <c r="U50" s="365" t="str">
        <f>U4</f>
        <v>**</v>
      </c>
      <c r="V50" s="375">
        <f t="shared" ref="V50:AE50" si="90">IFERROR(V45,0)</f>
        <v>20.204182156797504</v>
      </c>
      <c r="W50" s="375">
        <f t="shared" si="90"/>
        <v>0</v>
      </c>
      <c r="X50" s="375">
        <f t="shared" si="90"/>
        <v>0</v>
      </c>
      <c r="Y50" s="375">
        <f t="shared" si="90"/>
        <v>0</v>
      </c>
      <c r="Z50" s="375">
        <f t="shared" si="90"/>
        <v>0</v>
      </c>
      <c r="AA50" s="375">
        <f t="shared" si="90"/>
        <v>0</v>
      </c>
      <c r="AB50" s="375">
        <f t="shared" si="90"/>
        <v>22.953284543322201</v>
      </c>
      <c r="AC50" s="375">
        <f t="shared" si="90"/>
        <v>0</v>
      </c>
      <c r="AD50" s="375">
        <f t="shared" si="90"/>
        <v>0</v>
      </c>
      <c r="AE50" s="375">
        <f t="shared" si="90"/>
        <v>0</v>
      </c>
      <c r="AF50" s="366" t="str">
        <f>AF4</f>
        <v>***</v>
      </c>
    </row>
  </sheetData>
  <mergeCells count="3">
    <mergeCell ref="E27:E28"/>
    <mergeCell ref="D8:D10"/>
    <mergeCell ref="E8:E10"/>
  </mergeCells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C9CF-96D7-42EB-8891-8A96D84AA9B2}">
  <sheetPr>
    <tabColor rgb="FFFF0000"/>
  </sheetPr>
  <dimension ref="A1:AC55"/>
  <sheetViews>
    <sheetView showGridLines="0" zoomScale="85" zoomScaleNormal="85" workbookViewId="0">
      <selection activeCell="H12" sqref="H12"/>
    </sheetView>
  </sheetViews>
  <sheetFormatPr defaultRowHeight="14.3" outlineLevelCol="1" x14ac:dyDescent="0.25"/>
  <cols>
    <col min="1" max="1" width="7.625" bestFit="1" customWidth="1"/>
    <col min="2" max="2" width="44" bestFit="1" customWidth="1"/>
    <col min="3" max="3" width="10.375" bestFit="1" customWidth="1"/>
    <col min="4" max="8" width="11.75" customWidth="1"/>
    <col min="9" max="10" width="11.75" hidden="1" customWidth="1" outlineLevel="1"/>
    <col min="11" max="11" width="3.625" customWidth="1" collapsed="1"/>
    <col min="12" max="12" width="11.75" customWidth="1"/>
    <col min="13" max="17" width="11.75" hidden="1" customWidth="1" outlineLevel="1"/>
    <col min="18" max="18" width="3.625" customWidth="1" collapsed="1"/>
    <col min="19" max="19" width="11.75" customWidth="1"/>
    <col min="20" max="24" width="11.75" hidden="1" customWidth="1" outlineLevel="1"/>
    <col min="25" max="25" width="11.75" customWidth="1" collapsed="1"/>
    <col min="26" max="28" width="11.75" hidden="1" customWidth="1" outlineLevel="1"/>
    <col min="29" max="29" width="3.625" customWidth="1" collapsed="1"/>
  </cols>
  <sheetData>
    <row r="1" spans="1:29" x14ac:dyDescent="0.25">
      <c r="D1" s="319" t="str">
        <f>'W час'!G1</f>
        <v>Огунвей</v>
      </c>
      <c r="E1" s="319" t="str">
        <f>'W час'!H1</f>
        <v>Стройкомпозит-Н</v>
      </c>
      <c r="F1" s="319" t="str">
        <f>'W час'!I1</f>
        <v>Стройкомпозит-Н</v>
      </c>
      <c r="G1" s="319" t="str">
        <f>'W час'!J1</f>
        <v>Огунвей</v>
      </c>
      <c r="H1" s="319" t="str">
        <f>'W час'!K1</f>
        <v>Майнинг Солюшнс</v>
      </c>
      <c r="I1" s="319" t="str">
        <f>'W час'!L1</f>
        <v>абм</v>
      </c>
      <c r="J1" s="319" t="str">
        <f>'W час'!M1</f>
        <v>Огунвей</v>
      </c>
      <c r="K1" s="319">
        <f>'W час'!N1</f>
        <v>0</v>
      </c>
      <c r="L1" s="319" t="str">
        <f>'W час'!O1</f>
        <v>рудгормаш</v>
      </c>
      <c r="M1" s="319" t="str">
        <f>'W час'!P1</f>
        <v>Стройкомпозит-Н</v>
      </c>
      <c r="N1" s="319" t="str">
        <f>'W час'!Q1</f>
        <v>огунвей</v>
      </c>
      <c r="O1" s="319" t="str">
        <f>'W час'!R1</f>
        <v>Майнинг Солюшнс</v>
      </c>
      <c r="P1" s="319" t="str">
        <f>'W час'!S1</f>
        <v>нива завод</v>
      </c>
      <c r="Q1" s="319" t="str">
        <f>'W час'!T1</f>
        <v>нива красноярск</v>
      </c>
      <c r="R1" s="319">
        <f>'W час'!U1</f>
        <v>0</v>
      </c>
      <c r="S1" s="319" t="str">
        <f>'W час'!V1</f>
        <v>Копейский машзавод</v>
      </c>
      <c r="T1" s="319" t="str">
        <f>'W час'!W1</f>
        <v>Стройкомпозит-Н</v>
      </c>
      <c r="U1" s="319" t="str">
        <f>'W час'!X1</f>
        <v>Огунвей</v>
      </c>
      <c r="V1" s="319" t="str">
        <f>'W час'!Y1</f>
        <v>абм</v>
      </c>
      <c r="W1" s="319" t="str">
        <f>'W час'!Z1</f>
        <v>ттм</v>
      </c>
      <c r="X1" s="319" t="str">
        <f>'W час'!AA1</f>
        <v>Майнинг Солюшнс</v>
      </c>
      <c r="Y1" s="319" t="str">
        <f>'W час'!AB1</f>
        <v>нипигормаш</v>
      </c>
      <c r="Z1" s="319" t="str">
        <f>'W час'!AC1</f>
        <v>истк</v>
      </c>
      <c r="AA1" s="319" t="str">
        <f>'W час'!AD1</f>
        <v>нива завод</v>
      </c>
      <c r="AB1" s="319" t="str">
        <f>'W час'!AE1</f>
        <v>нива красноярск</v>
      </c>
      <c r="AC1" s="319">
        <f>'W час'!AF1</f>
        <v>0</v>
      </c>
    </row>
    <row r="2" spans="1:29" x14ac:dyDescent="0.25">
      <c r="B2" s="213" t="s">
        <v>223</v>
      </c>
    </row>
    <row r="4" spans="1:29" ht="40.75" x14ac:dyDescent="0.25">
      <c r="B4" s="260" t="s">
        <v>6</v>
      </c>
      <c r="C4" s="260" t="s">
        <v>7</v>
      </c>
      <c r="D4" s="261" t="str">
        <f>'W час'!G4</f>
        <v>YANGZI DR75</v>
      </c>
      <c r="E4" s="261" t="str">
        <f>'W час'!H4</f>
        <v>Sunward SWDRT250SM</v>
      </c>
      <c r="F4" s="261" t="str">
        <f>'W час'!I4</f>
        <v>Sunward SWDRT270SM</v>
      </c>
      <c r="G4" s="261" t="str">
        <f>'W час'!J4</f>
        <v>Sunward SWDRT270B</v>
      </c>
      <c r="H4" s="261" t="str">
        <f>'W час'!K4</f>
        <v>HIFO 75D</v>
      </c>
      <c r="I4" s="261" t="str">
        <f>'W час'!L4</f>
        <v>ZEGA R8100L (1)</v>
      </c>
      <c r="J4" s="261" t="str">
        <f>'W час'!M4</f>
        <v>YANGZI  DM75</v>
      </c>
      <c r="K4" s="261" t="str">
        <f>'W час'!N4</f>
        <v>*</v>
      </c>
      <c r="L4" s="261" t="str">
        <f>'W час'!O4</f>
        <v>СБШ-250/270КП</v>
      </c>
      <c r="M4" s="261" t="str">
        <f>'W час'!P4</f>
        <v>Sunward SWDRT270E (1)</v>
      </c>
      <c r="N4" s="261" t="str">
        <f>'W час'!Q4</f>
        <v>Sunward SWDRT270E (2)</v>
      </c>
      <c r="O4" s="261" t="str">
        <f>'W час'!R4</f>
        <v>HIFO 75Е</v>
      </c>
      <c r="P4" s="261" t="str">
        <f>'W час'!S4</f>
        <v>НИВА 22.01.00.00.00.00.00.000 (1)</v>
      </c>
      <c r="Q4" s="261" t="str">
        <f>'W час'!T4</f>
        <v>НИВА 22.01.00.00.00.00.00.000 (2)</v>
      </c>
      <c r="R4" s="261" t="str">
        <f>'W час'!U4</f>
        <v>**</v>
      </c>
      <c r="S4" s="261" t="str">
        <f>'W час'!V4</f>
        <v>БС-215</v>
      </c>
      <c r="T4" s="261" t="str">
        <f>'W час'!W4</f>
        <v>Sunward SWDRT200SM</v>
      </c>
      <c r="U4" s="261" t="str">
        <f>'W час'!X4</f>
        <v>Sunward SWDRT250B</v>
      </c>
      <c r="V4" s="261" t="str">
        <f>'W час'!Y4</f>
        <v>ZEGA R8100L (2)</v>
      </c>
      <c r="W4" s="261" t="str">
        <f>'W час'!Z4</f>
        <v>Revathi C650D</v>
      </c>
      <c r="X4" s="261" t="str">
        <f>'W час'!AA4</f>
        <v>MS1200RB</v>
      </c>
      <c r="Y4" s="261" t="str">
        <f>'W час'!AB4</f>
        <v>СБ-55Д-01</v>
      </c>
      <c r="Z4" s="261" t="str">
        <f>'W час'!AC4</f>
        <v>KAMACH KY-250D</v>
      </c>
      <c r="AA4" s="261" t="str">
        <f>'W час'!AD4</f>
        <v>НИВА 23.01.00.00.00.00.00.000 (1)</v>
      </c>
      <c r="AB4" s="261" t="str">
        <f>'W час'!AE4</f>
        <v>НИВА 23.01.00.00.00.00.00.000 (2)</v>
      </c>
      <c r="AC4" s="261" t="str">
        <f>'W час'!AF4</f>
        <v>***</v>
      </c>
    </row>
    <row r="5" spans="1:29" ht="27.2" x14ac:dyDescent="0.25">
      <c r="B5" s="219" t="s">
        <v>224</v>
      </c>
      <c r="C5" s="220"/>
      <c r="D5" s="328" t="str">
        <f>'W час'!G8</f>
        <v>Cummins QSK19</v>
      </c>
      <c r="E5" s="328" t="str">
        <f>'W час'!H8</f>
        <v>CAT
С27</v>
      </c>
      <c r="F5" s="328" t="str">
        <f>'W час'!I8</f>
        <v>CAT
С27</v>
      </c>
      <c r="G5" s="328" t="str">
        <f>'W час'!J8</f>
        <v>CAT
С27</v>
      </c>
      <c r="H5" s="328" t="str">
        <f>'W час'!K8</f>
        <v>CAT
С27</v>
      </c>
      <c r="I5" s="328">
        <f>'W час'!L8</f>
        <v>0</v>
      </c>
      <c r="J5" s="328">
        <f>'W час'!M8</f>
        <v>0</v>
      </c>
      <c r="K5" s="268"/>
      <c r="L5" s="328" t="str">
        <f>'W час'!O8</f>
        <v>ЭД</v>
      </c>
      <c r="M5" s="328" t="str">
        <f>'W час'!P8</f>
        <v>ЭД</v>
      </c>
      <c r="N5" s="328">
        <f>'W час'!Q8</f>
        <v>0</v>
      </c>
      <c r="O5" s="328">
        <f>'W час'!R8</f>
        <v>0</v>
      </c>
      <c r="P5" s="328">
        <f>'W час'!S8</f>
        <v>0</v>
      </c>
      <c r="Q5" s="328">
        <f>'W час'!T8</f>
        <v>0</v>
      </c>
      <c r="R5" s="268"/>
      <c r="S5" s="328" t="str">
        <f>'W час'!V8</f>
        <v>Weichai WP17</v>
      </c>
      <c r="T5" s="328">
        <f>'W час'!W8</f>
        <v>0</v>
      </c>
      <c r="U5" s="328">
        <f>'W час'!X8</f>
        <v>0</v>
      </c>
      <c r="V5" s="328">
        <f>'W час'!Y8</f>
        <v>0</v>
      </c>
      <c r="W5" s="328">
        <f>'W час'!Z8</f>
        <v>0</v>
      </c>
      <c r="X5" s="328">
        <f>'W час'!AA8</f>
        <v>0</v>
      </c>
      <c r="Y5" s="328" t="str">
        <f>'W час'!AB8</f>
        <v>CAT С15</v>
      </c>
      <c r="Z5" s="328">
        <f>'W час'!AC8</f>
        <v>0</v>
      </c>
      <c r="AA5" s="328">
        <f>'W час'!AD8</f>
        <v>0</v>
      </c>
      <c r="AB5" s="328">
        <f>'W час'!AE8</f>
        <v>0</v>
      </c>
      <c r="AC5" s="268"/>
    </row>
    <row r="6" spans="1:29" x14ac:dyDescent="0.25">
      <c r="B6" s="948" t="s">
        <v>225</v>
      </c>
      <c r="C6" s="221" t="s">
        <v>121</v>
      </c>
      <c r="D6" s="269">
        <f>'W час'!G9</f>
        <v>597</v>
      </c>
      <c r="E6" s="269">
        <f>'W час'!H9</f>
        <v>597</v>
      </c>
      <c r="F6" s="269">
        <f>'W час'!I9</f>
        <v>597</v>
      </c>
      <c r="G6" s="269">
        <f>'W час'!J9</f>
        <v>597</v>
      </c>
      <c r="H6" s="269">
        <f>'W час'!K9</f>
        <v>597</v>
      </c>
      <c r="I6" s="269">
        <f>'W час'!L9</f>
        <v>0</v>
      </c>
      <c r="J6" s="269">
        <f>'W час'!M9</f>
        <v>0</v>
      </c>
      <c r="K6" s="269"/>
      <c r="L6" s="269">
        <f>'W час'!O9</f>
        <v>0</v>
      </c>
      <c r="M6" s="269">
        <f>'W час'!P9</f>
        <v>0</v>
      </c>
      <c r="N6" s="269">
        <f>'W час'!Q9</f>
        <v>0</v>
      </c>
      <c r="O6" s="269">
        <f>'W час'!R9</f>
        <v>0</v>
      </c>
      <c r="P6" s="269">
        <f>'W час'!S9</f>
        <v>0</v>
      </c>
      <c r="Q6" s="269">
        <f>'W час'!T9</f>
        <v>0</v>
      </c>
      <c r="R6" s="269"/>
      <c r="S6" s="269">
        <f>'W час'!V9</f>
        <v>0</v>
      </c>
      <c r="T6" s="269">
        <f>'W час'!W9</f>
        <v>0</v>
      </c>
      <c r="U6" s="269">
        <f>'W час'!X9</f>
        <v>0</v>
      </c>
      <c r="V6" s="269">
        <f>'W час'!Y9</f>
        <v>0</v>
      </c>
      <c r="W6" s="269">
        <f>'W час'!Z9</f>
        <v>0</v>
      </c>
      <c r="X6" s="269">
        <f>'W час'!AA9</f>
        <v>0</v>
      </c>
      <c r="Y6" s="269">
        <f>'W час'!AB9</f>
        <v>0</v>
      </c>
      <c r="Z6" s="269">
        <f>'W час'!AC9</f>
        <v>0</v>
      </c>
      <c r="AA6" s="269">
        <f>'W час'!AD9</f>
        <v>0</v>
      </c>
      <c r="AB6" s="269">
        <f>'W час'!AE9</f>
        <v>0</v>
      </c>
      <c r="AC6" s="269"/>
    </row>
    <row r="7" spans="1:29" x14ac:dyDescent="0.25">
      <c r="B7" s="948"/>
      <c r="C7" s="221" t="s">
        <v>10</v>
      </c>
      <c r="D7" s="269">
        <f>'W час'!G10</f>
        <v>800</v>
      </c>
      <c r="E7" s="269">
        <f>'W час'!H10</f>
        <v>800</v>
      </c>
      <c r="F7" s="269">
        <f>'W час'!I10</f>
        <v>800</v>
      </c>
      <c r="G7" s="269">
        <f>'W час'!J10</f>
        <v>800</v>
      </c>
      <c r="H7" s="269">
        <f>'W час'!K10</f>
        <v>811.69314000000008</v>
      </c>
      <c r="I7" s="269">
        <f>'W час'!L10</f>
        <v>0</v>
      </c>
      <c r="J7" s="269">
        <f>'W час'!M10</f>
        <v>0</v>
      </c>
      <c r="K7" s="269"/>
      <c r="L7" s="269">
        <f>'W час'!O10</f>
        <v>0</v>
      </c>
      <c r="M7" s="269">
        <f>'W час'!P10</f>
        <v>0</v>
      </c>
      <c r="N7" s="269">
        <f>'W час'!Q10</f>
        <v>0</v>
      </c>
      <c r="O7" s="269">
        <f>'W час'!R10</f>
        <v>0</v>
      </c>
      <c r="P7" s="269">
        <f>'W час'!S10</f>
        <v>0</v>
      </c>
      <c r="Q7" s="269">
        <f>'W час'!T10</f>
        <v>0</v>
      </c>
      <c r="R7" s="269"/>
      <c r="S7" s="269">
        <f>'W час'!V10</f>
        <v>0</v>
      </c>
      <c r="T7" s="269">
        <f>'W час'!W10</f>
        <v>0</v>
      </c>
      <c r="U7" s="269">
        <f>'W час'!X10</f>
        <v>0</v>
      </c>
      <c r="V7" s="269">
        <f>'W час'!Y10</f>
        <v>0</v>
      </c>
      <c r="W7" s="269">
        <f>'W час'!Z10</f>
        <v>0</v>
      </c>
      <c r="X7" s="269">
        <f>'W час'!AA10</f>
        <v>0</v>
      </c>
      <c r="Y7" s="269">
        <f>'W час'!AB10</f>
        <v>0</v>
      </c>
      <c r="Z7" s="269">
        <f>'W час'!AC10</f>
        <v>0</v>
      </c>
      <c r="AA7" s="269">
        <f>'W час'!AD10</f>
        <v>0</v>
      </c>
      <c r="AB7" s="269">
        <f>'W час'!AE10</f>
        <v>0</v>
      </c>
      <c r="AC7" s="269"/>
    </row>
    <row r="8" spans="1:29" x14ac:dyDescent="0.25">
      <c r="B8" s="222"/>
      <c r="C8" s="221"/>
      <c r="D8" s="222"/>
      <c r="E8" s="222"/>
      <c r="F8" s="222"/>
      <c r="G8" s="222"/>
      <c r="H8" s="222"/>
      <c r="I8" s="222"/>
      <c r="J8" s="222"/>
      <c r="K8" s="337"/>
      <c r="L8" s="222"/>
      <c r="M8" s="222"/>
      <c r="N8" s="222"/>
      <c r="O8" s="222"/>
      <c r="P8" s="222"/>
      <c r="Q8" s="222"/>
      <c r="R8" s="337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337"/>
    </row>
    <row r="9" spans="1:29" x14ac:dyDescent="0.25">
      <c r="B9" s="783" t="str">
        <f>'W час'!E45</f>
        <v>Часовая производительность - расчет</v>
      </c>
      <c r="C9" s="784" t="str">
        <f>'W час'!F45</f>
        <v>п. м/час</v>
      </c>
      <c r="D9" s="785">
        <f>'W час'!G45</f>
        <v>16.310775889354147</v>
      </c>
      <c r="E9" s="785">
        <f>'W час'!H45</f>
        <v>17.592641015897627</v>
      </c>
      <c r="F9" s="785">
        <f>'W час'!I45</f>
        <v>20.040243770277868</v>
      </c>
      <c r="G9" s="785">
        <f>'W час'!J45</f>
        <v>20.040243770277868</v>
      </c>
      <c r="H9" s="785">
        <f>'W час'!K45</f>
        <v>16.310775889354147</v>
      </c>
      <c r="I9" s="785" t="e">
        <f>'W час'!L45</f>
        <v>#DIV/0!</v>
      </c>
      <c r="J9" s="785" t="e">
        <f>'W час'!M45</f>
        <v>#DIV/0!</v>
      </c>
      <c r="K9" s="786"/>
      <c r="L9" s="785">
        <f>'W час'!O45</f>
        <v>14.098448366314232</v>
      </c>
      <c r="M9" s="785">
        <f>'W час'!P45</f>
        <v>19.835269537831099</v>
      </c>
      <c r="N9" s="785" t="e">
        <f>'W час'!Q45</f>
        <v>#DIV/0!</v>
      </c>
      <c r="O9" s="785" t="e">
        <f>'W час'!R45</f>
        <v>#DIV/0!</v>
      </c>
      <c r="P9" s="785" t="e">
        <f>'W час'!S45</f>
        <v>#DIV/0!</v>
      </c>
      <c r="Q9" s="785" t="e">
        <f>'W час'!T45</f>
        <v>#DIV/0!</v>
      </c>
      <c r="R9" s="786"/>
      <c r="S9" s="785">
        <f>'W час'!V45</f>
        <v>20.204182156797504</v>
      </c>
      <c r="T9" s="785" t="e">
        <f>'W час'!W45</f>
        <v>#DIV/0!</v>
      </c>
      <c r="U9" s="785" t="e">
        <f>'W час'!X45</f>
        <v>#DIV/0!</v>
      </c>
      <c r="V9" s="785" t="e">
        <f>'W час'!Y45</f>
        <v>#DIV/0!</v>
      </c>
      <c r="W9" s="785" t="e">
        <f>'W час'!Z45</f>
        <v>#DIV/0!</v>
      </c>
      <c r="X9" s="785" t="e">
        <f>'W час'!AA45</f>
        <v>#DIV/0!</v>
      </c>
      <c r="Y9" s="785">
        <f>'W час'!AB45</f>
        <v>22.953284543322201</v>
      </c>
      <c r="Z9" s="785" t="e">
        <f>'W час'!AC45</f>
        <v>#DIV/0!</v>
      </c>
      <c r="AA9" s="785" t="e">
        <f>'W час'!AD45</f>
        <v>#DIV/0!</v>
      </c>
      <c r="AB9" s="785" t="e">
        <f>'W час'!AE45</f>
        <v>#DIV/0!</v>
      </c>
      <c r="AC9" s="786"/>
    </row>
    <row r="10" spans="1:29" x14ac:dyDescent="0.25">
      <c r="B10" s="222"/>
      <c r="C10" s="221"/>
      <c r="D10" s="222"/>
      <c r="E10" s="222"/>
      <c r="F10" s="222"/>
      <c r="G10" s="222"/>
      <c r="H10" s="222"/>
      <c r="I10" s="222"/>
      <c r="J10" s="222"/>
      <c r="K10" s="337"/>
      <c r="L10" s="222"/>
      <c r="M10" s="222"/>
      <c r="N10" s="222"/>
      <c r="O10" s="222"/>
      <c r="P10" s="222"/>
      <c r="Q10" s="222"/>
      <c r="R10" s="337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337"/>
    </row>
    <row r="11" spans="1:29" x14ac:dyDescent="0.25">
      <c r="B11" s="223" t="s">
        <v>549</v>
      </c>
      <c r="C11" s="370" t="s">
        <v>226</v>
      </c>
      <c r="D11" s="778">
        <f>F21</f>
        <v>72.780455432499437</v>
      </c>
      <c r="E11" s="778">
        <f>F21</f>
        <v>72.780455432499437</v>
      </c>
      <c r="F11" s="778">
        <f>F21</f>
        <v>72.780455432499437</v>
      </c>
      <c r="G11" s="778">
        <f>F11</f>
        <v>72.780455432499437</v>
      </c>
      <c r="H11" s="778">
        <f>D11</f>
        <v>72.780455432499437</v>
      </c>
      <c r="I11" s="778"/>
      <c r="J11" s="778"/>
      <c r="K11" s="779"/>
      <c r="L11" s="780"/>
      <c r="M11" s="780"/>
      <c r="N11" s="780"/>
      <c r="O11" s="780"/>
      <c r="P11" s="780"/>
      <c r="Q11" s="780"/>
      <c r="R11" s="779"/>
      <c r="S11" s="778">
        <f>F28</f>
        <v>38.01483145946878</v>
      </c>
      <c r="T11" s="778"/>
      <c r="U11" s="778"/>
      <c r="V11" s="778"/>
      <c r="W11" s="778"/>
      <c r="X11" s="778"/>
      <c r="Y11" s="778"/>
      <c r="Z11" s="778"/>
      <c r="AA11" s="778"/>
      <c r="AB11" s="778"/>
      <c r="AC11" s="779"/>
    </row>
    <row r="12" spans="1:29" x14ac:dyDescent="0.25">
      <c r="B12" s="222"/>
      <c r="C12" s="781" t="str">
        <f>C16</f>
        <v>кг/п. м</v>
      </c>
      <c r="D12" s="782">
        <f>D11/D9</f>
        <v>4.4621087265384105</v>
      </c>
      <c r="E12" s="782">
        <f t="shared" ref="E12:J12" si="0">E11/E9</f>
        <v>4.136982921821188</v>
      </c>
      <c r="F12" s="782">
        <f t="shared" si="0"/>
        <v>3.6317150762627821</v>
      </c>
      <c r="G12" s="782">
        <f t="shared" si="0"/>
        <v>3.6317150762627821</v>
      </c>
      <c r="H12" s="782">
        <f>H11/H9</f>
        <v>4.4621087265384105</v>
      </c>
      <c r="I12" s="782" t="e">
        <f t="shared" si="0"/>
        <v>#DIV/0!</v>
      </c>
      <c r="J12" s="782" t="e">
        <f t="shared" si="0"/>
        <v>#DIV/0!</v>
      </c>
      <c r="K12" s="337"/>
      <c r="L12" s="222"/>
      <c r="M12" s="222"/>
      <c r="N12" s="222"/>
      <c r="O12" s="222"/>
      <c r="P12" s="222"/>
      <c r="Q12" s="222"/>
      <c r="R12" s="337"/>
      <c r="S12" s="782">
        <f t="shared" ref="S12:AB12" si="1">S11/S9</f>
        <v>1.8815328016966553</v>
      </c>
      <c r="T12" s="782" t="e">
        <f t="shared" si="1"/>
        <v>#DIV/0!</v>
      </c>
      <c r="U12" s="782" t="e">
        <f t="shared" si="1"/>
        <v>#DIV/0!</v>
      </c>
      <c r="V12" s="782" t="e">
        <f t="shared" si="1"/>
        <v>#DIV/0!</v>
      </c>
      <c r="W12" s="782" t="e">
        <f t="shared" si="1"/>
        <v>#DIV/0!</v>
      </c>
      <c r="X12" s="782" t="e">
        <f t="shared" si="1"/>
        <v>#DIV/0!</v>
      </c>
      <c r="Y12" s="782">
        <f t="shared" si="1"/>
        <v>0</v>
      </c>
      <c r="Z12" s="782" t="e">
        <f t="shared" si="1"/>
        <v>#DIV/0!</v>
      </c>
      <c r="AA12" s="782" t="e">
        <f t="shared" si="1"/>
        <v>#DIV/0!</v>
      </c>
      <c r="AB12" s="782" t="e">
        <f t="shared" si="1"/>
        <v>#DIV/0!</v>
      </c>
      <c r="AC12" s="337"/>
    </row>
    <row r="13" spans="1:29" x14ac:dyDescent="0.25">
      <c r="A13" s="240">
        <v>0.85</v>
      </c>
      <c r="B13" s="951" t="s">
        <v>227</v>
      </c>
      <c r="C13" s="221" t="s">
        <v>226</v>
      </c>
      <c r="D13" s="269">
        <f>D14*$A$13</f>
        <v>66.3</v>
      </c>
      <c r="E13" s="787">
        <f>E16*E9</f>
        <v>38.703810234974782</v>
      </c>
      <c r="F13" s="787">
        <f>F16*F9</f>
        <v>50.100609425694671</v>
      </c>
      <c r="G13" s="269">
        <f>G14*$A$13</f>
        <v>74.8</v>
      </c>
      <c r="H13" s="269">
        <f>H14*$A$13</f>
        <v>93.5</v>
      </c>
      <c r="I13" s="681"/>
      <c r="J13" s="681"/>
      <c r="K13" s="269"/>
      <c r="L13" s="333"/>
      <c r="M13" s="333"/>
      <c r="N13" s="333"/>
      <c r="O13" s="333"/>
      <c r="P13" s="333"/>
      <c r="Q13" s="333"/>
      <c r="R13" s="269"/>
      <c r="S13" s="269">
        <f>S14*$A$13</f>
        <v>38.25</v>
      </c>
      <c r="T13" s="681"/>
      <c r="U13" s="681"/>
      <c r="V13" s="681"/>
      <c r="W13" s="681"/>
      <c r="X13" s="681"/>
      <c r="Y13" s="681"/>
      <c r="Z13" s="681"/>
      <c r="AA13" s="681"/>
      <c r="AB13" s="681"/>
      <c r="AC13" s="269"/>
    </row>
    <row r="14" spans="1:29" x14ac:dyDescent="0.25">
      <c r="B14" s="952"/>
      <c r="C14" s="221" t="s">
        <v>277</v>
      </c>
      <c r="D14" s="682">
        <f>'DR-75'!D79</f>
        <v>78</v>
      </c>
      <c r="E14" s="796">
        <f>E13/$A$13</f>
        <v>45.53389439408798</v>
      </c>
      <c r="F14" s="796">
        <f>F13/$A$13</f>
        <v>58.941893441993734</v>
      </c>
      <c r="G14" s="682">
        <f>SWDRT270B!S79</f>
        <v>88</v>
      </c>
      <c r="H14" s="682">
        <f>'HIFO 75D'!Q47</f>
        <v>110</v>
      </c>
      <c r="I14" s="681"/>
      <c r="J14" s="681"/>
      <c r="K14" s="269"/>
      <c r="L14" s="333"/>
      <c r="M14" s="333"/>
      <c r="N14" s="333"/>
      <c r="O14" s="333"/>
      <c r="P14" s="333"/>
      <c r="Q14" s="333"/>
      <c r="R14" s="269"/>
      <c r="S14" s="682">
        <f>'БС-215'!D79</f>
        <v>45</v>
      </c>
      <c r="T14" s="681"/>
      <c r="U14" s="681"/>
      <c r="V14" s="681"/>
      <c r="W14" s="681"/>
      <c r="X14" s="681"/>
      <c r="Y14" s="681"/>
      <c r="Z14" s="681"/>
      <c r="AA14" s="681"/>
      <c r="AB14" s="681"/>
      <c r="AC14" s="269"/>
    </row>
    <row r="15" spans="1:29" x14ac:dyDescent="0.25">
      <c r="B15" s="952"/>
      <c r="C15" s="221" t="s">
        <v>196</v>
      </c>
      <c r="D15" s="330"/>
      <c r="E15" s="330"/>
      <c r="F15" s="330"/>
      <c r="G15" s="330"/>
      <c r="H15" s="330"/>
      <c r="I15" s="330"/>
      <c r="J15" s="330"/>
      <c r="K15" s="338"/>
      <c r="L15" s="267"/>
      <c r="M15" s="267"/>
      <c r="N15" s="267"/>
      <c r="O15" s="267"/>
      <c r="P15" s="267"/>
      <c r="Q15" s="267"/>
      <c r="R15" s="338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8"/>
    </row>
    <row r="16" spans="1:29" x14ac:dyDescent="0.25">
      <c r="B16" s="953"/>
      <c r="C16" s="270" t="s">
        <v>279</v>
      </c>
      <c r="D16" s="788">
        <f>D11/D9</f>
        <v>4.4621087265384105</v>
      </c>
      <c r="E16" s="777">
        <f>SWDRT250SM!S79</f>
        <v>2.2000000000000002</v>
      </c>
      <c r="F16" s="777">
        <f>SWDRT270SM!S79</f>
        <v>2.5</v>
      </c>
      <c r="G16" s="788">
        <f>G11/G9</f>
        <v>3.6317150762627821</v>
      </c>
      <c r="H16" s="788">
        <f>H11/H9</f>
        <v>4.4621087265384105</v>
      </c>
      <c r="I16" s="684"/>
      <c r="J16" s="684"/>
      <c r="K16" s="339"/>
      <c r="L16" s="331"/>
      <c r="M16" s="331"/>
      <c r="N16" s="331"/>
      <c r="O16" s="331"/>
      <c r="P16" s="331"/>
      <c r="Q16" s="331"/>
      <c r="R16" s="339"/>
      <c r="S16" s="788">
        <f>S11/S9</f>
        <v>1.8815328016966553</v>
      </c>
      <c r="T16" s="684"/>
      <c r="U16" s="684"/>
      <c r="V16" s="684"/>
      <c r="W16" s="684"/>
      <c r="X16" s="684"/>
      <c r="Y16" s="684"/>
      <c r="Z16" s="684"/>
      <c r="AA16" s="684"/>
      <c r="AB16" s="684"/>
      <c r="AC16" s="339"/>
    </row>
    <row r="17" spans="2:29" x14ac:dyDescent="0.25">
      <c r="B17" s="215"/>
      <c r="C17" s="216"/>
      <c r="D17" s="215"/>
      <c r="E17" s="215"/>
      <c r="F17" s="215"/>
      <c r="G17" s="215"/>
      <c r="H17" s="215"/>
      <c r="I17" s="215"/>
      <c r="J17" s="215"/>
      <c r="K17" s="340"/>
      <c r="L17" s="215"/>
      <c r="M17" s="215"/>
      <c r="N17" s="215"/>
      <c r="O17" s="215"/>
      <c r="P17" s="215"/>
      <c r="Q17" s="215"/>
      <c r="R17" s="340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340"/>
    </row>
    <row r="19" spans="2:29" x14ac:dyDescent="0.25">
      <c r="D19" s="371">
        <v>2025</v>
      </c>
      <c r="E19" s="371">
        <v>2026</v>
      </c>
      <c r="F19" s="371" t="s">
        <v>325</v>
      </c>
      <c r="G19" s="258" t="s">
        <v>322</v>
      </c>
      <c r="H19" s="53" t="s">
        <v>324</v>
      </c>
    </row>
    <row r="20" spans="2:29" x14ac:dyDescent="0.25">
      <c r="B20" s="367" t="s">
        <v>659</v>
      </c>
      <c r="C20" s="368" t="s">
        <v>279</v>
      </c>
      <c r="D20" s="372">
        <v>3.9924165336282789</v>
      </c>
      <c r="E20" s="372">
        <v>4.4333225087336663</v>
      </c>
      <c r="F20" s="372">
        <v>3.9931964705523937</v>
      </c>
      <c r="G20" s="372">
        <v>3.8408083209361137</v>
      </c>
      <c r="H20" s="372">
        <v>4.438548260869565</v>
      </c>
    </row>
    <row r="21" spans="2:29" ht="16.3" x14ac:dyDescent="0.3">
      <c r="B21" s="369"/>
      <c r="C21" s="368" t="s">
        <v>226</v>
      </c>
      <c r="D21" s="372">
        <v>68.056828386883041</v>
      </c>
      <c r="E21" s="372">
        <v>84.13241490324917</v>
      </c>
      <c r="F21" s="795">
        <v>72.780455432499437</v>
      </c>
      <c r="G21" s="372">
        <v>71.526762729110715</v>
      </c>
    </row>
    <row r="22" spans="2:29" x14ac:dyDescent="0.25">
      <c r="B22" t="str">
        <f>B5</f>
        <v>Двигатель</v>
      </c>
      <c r="D22" s="1213"/>
    </row>
    <row r="23" spans="2:29" x14ac:dyDescent="0.25">
      <c r="B23" s="949" t="str">
        <f>B6</f>
        <v>Мощность двигателя</v>
      </c>
      <c r="C23" s="214" t="str">
        <f>C6</f>
        <v>кВт</v>
      </c>
      <c r="D23" s="1213"/>
      <c r="M23" s="683"/>
    </row>
    <row r="24" spans="2:29" x14ac:dyDescent="0.25">
      <c r="B24" s="949"/>
      <c r="C24" s="214" t="str">
        <f>C7</f>
        <v>л.с.</v>
      </c>
      <c r="D24" s="1213"/>
    </row>
    <row r="26" spans="2:29" x14ac:dyDescent="0.25">
      <c r="D26" s="371">
        <v>2025</v>
      </c>
      <c r="E26" s="371">
        <v>2026</v>
      </c>
      <c r="F26" s="371" t="s">
        <v>325</v>
      </c>
      <c r="G26" s="258"/>
      <c r="H26" s="53" t="s">
        <v>324</v>
      </c>
    </row>
    <row r="27" spans="2:29" x14ac:dyDescent="0.25">
      <c r="B27" s="367" t="s">
        <v>660</v>
      </c>
      <c r="C27" s="368" t="str">
        <f>C20</f>
        <v>кг/п. м</v>
      </c>
      <c r="D27" s="372">
        <v>3.2599119834658556</v>
      </c>
      <c r="E27" s="372">
        <v>2.5282330249501168</v>
      </c>
      <c r="F27" s="372">
        <v>2.8769357049111819</v>
      </c>
      <c r="H27" s="372">
        <v>2.9426947887789767</v>
      </c>
    </row>
    <row r="28" spans="2:29" x14ac:dyDescent="0.25">
      <c r="B28" s="369"/>
      <c r="C28" s="368" t="str">
        <f>C21</f>
        <v>кг/час</v>
      </c>
      <c r="D28" s="372">
        <v>42.640420465584093</v>
      </c>
      <c r="E28" s="372">
        <v>33.662608951529329</v>
      </c>
      <c r="F28" s="926">
        <v>38.01483145946878</v>
      </c>
    </row>
    <row r="29" spans="2:29" x14ac:dyDescent="0.25">
      <c r="B29" t="str">
        <f>B22</f>
        <v>Двигатель</v>
      </c>
      <c r="D29" s="1213"/>
    </row>
    <row r="30" spans="2:29" x14ac:dyDescent="0.25">
      <c r="B30" s="949" t="str">
        <f>B23</f>
        <v>Мощность двигателя</v>
      </c>
      <c r="C30" s="214" t="str">
        <f>C23</f>
        <v>кВт</v>
      </c>
      <c r="D30" s="1213"/>
    </row>
    <row r="31" spans="2:29" x14ac:dyDescent="0.25">
      <c r="B31" s="949"/>
      <c r="C31" s="214" t="str">
        <f>C24</f>
        <v>л.с.</v>
      </c>
      <c r="D31" s="1213"/>
    </row>
    <row r="33" spans="1:29" x14ac:dyDescent="0.25">
      <c r="B33" s="213" t="s">
        <v>229</v>
      </c>
    </row>
    <row r="35" spans="1:29" ht="40.75" x14ac:dyDescent="0.25">
      <c r="B35" s="260" t="str">
        <f>B4</f>
        <v>Показатель</v>
      </c>
      <c r="C35" s="260" t="str">
        <f t="shared" ref="C35:AC35" si="2">C4</f>
        <v>Ед. изм.</v>
      </c>
      <c r="D35" s="261" t="str">
        <f t="shared" si="2"/>
        <v>YANGZI DR75</v>
      </c>
      <c r="E35" s="261" t="str">
        <f t="shared" si="2"/>
        <v>Sunward SWDRT250SM</v>
      </c>
      <c r="F35" s="261" t="str">
        <f t="shared" si="2"/>
        <v>Sunward SWDRT270SM</v>
      </c>
      <c r="G35" s="261" t="str">
        <f t="shared" si="2"/>
        <v>Sunward SWDRT270B</v>
      </c>
      <c r="H35" s="261" t="str">
        <f t="shared" si="2"/>
        <v>HIFO 75D</v>
      </c>
      <c r="I35" s="261" t="str">
        <f t="shared" si="2"/>
        <v>ZEGA R8100L (1)</v>
      </c>
      <c r="J35" s="261" t="str">
        <f t="shared" si="2"/>
        <v>YANGZI  DM75</v>
      </c>
      <c r="K35" s="261" t="str">
        <f t="shared" si="2"/>
        <v>*</v>
      </c>
      <c r="L35" s="261" t="str">
        <f t="shared" si="2"/>
        <v>СБШ-250/270КП</v>
      </c>
      <c r="M35" s="261" t="str">
        <f t="shared" si="2"/>
        <v>Sunward SWDRT270E (1)</v>
      </c>
      <c r="N35" s="261" t="str">
        <f t="shared" si="2"/>
        <v>Sunward SWDRT270E (2)</v>
      </c>
      <c r="O35" s="261" t="str">
        <f t="shared" si="2"/>
        <v>HIFO 75Е</v>
      </c>
      <c r="P35" s="261" t="str">
        <f t="shared" si="2"/>
        <v>НИВА 22.01.00.00.00.00.00.000 (1)</v>
      </c>
      <c r="Q35" s="261" t="str">
        <f t="shared" si="2"/>
        <v>НИВА 22.01.00.00.00.00.00.000 (2)</v>
      </c>
      <c r="R35" s="261" t="str">
        <f t="shared" si="2"/>
        <v>**</v>
      </c>
      <c r="S35" s="261" t="str">
        <f t="shared" si="2"/>
        <v>БС-215</v>
      </c>
      <c r="T35" s="261" t="str">
        <f t="shared" si="2"/>
        <v>Sunward SWDRT200SM</v>
      </c>
      <c r="U35" s="261" t="str">
        <f t="shared" si="2"/>
        <v>Sunward SWDRT250B</v>
      </c>
      <c r="V35" s="261" t="str">
        <f t="shared" si="2"/>
        <v>ZEGA R8100L (2)</v>
      </c>
      <c r="W35" s="261" t="str">
        <f t="shared" si="2"/>
        <v>Revathi C650D</v>
      </c>
      <c r="X35" s="261" t="str">
        <f t="shared" si="2"/>
        <v>MS1200RB</v>
      </c>
      <c r="Y35" s="261" t="str">
        <f t="shared" si="2"/>
        <v>СБ-55Д-01</v>
      </c>
      <c r="Z35" s="261" t="str">
        <f t="shared" si="2"/>
        <v>KAMACH KY-250D</v>
      </c>
      <c r="AA35" s="261" t="str">
        <f t="shared" si="2"/>
        <v>НИВА 23.01.00.00.00.00.00.000 (1)</v>
      </c>
      <c r="AB35" s="261" t="str">
        <f t="shared" si="2"/>
        <v>НИВА 23.01.00.00.00.00.00.000 (2)</v>
      </c>
      <c r="AC35" s="261" t="str">
        <f t="shared" si="2"/>
        <v>***</v>
      </c>
    </row>
    <row r="36" spans="1:29" x14ac:dyDescent="0.25">
      <c r="B36" s="219" t="s">
        <v>233</v>
      </c>
      <c r="C36" s="220" t="s">
        <v>121</v>
      </c>
      <c r="D36" s="332"/>
      <c r="E36" s="332"/>
      <c r="F36" s="332"/>
      <c r="G36" s="332"/>
      <c r="H36" s="332"/>
      <c r="I36" s="332"/>
      <c r="J36" s="332"/>
      <c r="K36" s="341"/>
      <c r="L36" s="225">
        <f>L6</f>
        <v>0</v>
      </c>
      <c r="M36" s="225">
        <f t="shared" ref="M36:Q36" si="3">M6</f>
        <v>0</v>
      </c>
      <c r="N36" s="225">
        <f t="shared" si="3"/>
        <v>0</v>
      </c>
      <c r="O36" s="225">
        <f t="shared" si="3"/>
        <v>0</v>
      </c>
      <c r="P36" s="225">
        <f t="shared" si="3"/>
        <v>0</v>
      </c>
      <c r="Q36" s="225">
        <f t="shared" si="3"/>
        <v>0</v>
      </c>
      <c r="R36" s="341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41"/>
    </row>
    <row r="37" spans="1:29" x14ac:dyDescent="0.25">
      <c r="B37" s="222" t="s">
        <v>230</v>
      </c>
      <c r="C37" s="221" t="s">
        <v>50</v>
      </c>
      <c r="D37" s="333"/>
      <c r="E37" s="333"/>
      <c r="F37" s="333"/>
      <c r="G37" s="333"/>
      <c r="H37" s="333"/>
      <c r="I37" s="333"/>
      <c r="J37" s="333"/>
      <c r="K37" s="269"/>
      <c r="L37" s="269">
        <f>'W час'!O44</f>
        <v>10.468681153565496</v>
      </c>
      <c r="M37" s="269">
        <f>'W час'!P44</f>
        <v>14.728508201138315</v>
      </c>
      <c r="N37" s="269" t="e">
        <f>'W час'!Q44</f>
        <v>#DIV/0!</v>
      </c>
      <c r="O37" s="269" t="e">
        <f>'W час'!R44</f>
        <v>#DIV/0!</v>
      </c>
      <c r="P37" s="269" t="e">
        <f>'W час'!S44</f>
        <v>#DIV/0!</v>
      </c>
      <c r="Q37" s="269" t="e">
        <f>'W час'!T44</f>
        <v>#DIV/0!</v>
      </c>
      <c r="R37" s="269"/>
      <c r="S37" s="333"/>
      <c r="T37" s="333"/>
      <c r="U37" s="333"/>
      <c r="V37" s="333"/>
      <c r="W37" s="333"/>
      <c r="X37" s="333"/>
      <c r="Y37" s="333"/>
      <c r="Z37" s="333"/>
      <c r="AA37" s="333"/>
      <c r="AB37" s="333"/>
      <c r="AC37" s="269"/>
    </row>
    <row r="38" spans="1:29" x14ac:dyDescent="0.25">
      <c r="B38" s="222" t="s">
        <v>231</v>
      </c>
      <c r="C38" s="221" t="s">
        <v>89</v>
      </c>
      <c r="D38" s="333"/>
      <c r="E38" s="333"/>
      <c r="F38" s="333"/>
      <c r="G38" s="333"/>
      <c r="H38" s="333"/>
      <c r="I38" s="333"/>
      <c r="J38" s="333"/>
      <c r="K38" s="269"/>
      <c r="L38" s="269">
        <f>'W час'!O38</f>
        <v>58.429845391104017</v>
      </c>
      <c r="M38" s="269">
        <f>'W час'!P38</f>
        <v>40.435879163393778</v>
      </c>
      <c r="N38" s="269" t="e">
        <f>'W час'!Q38</f>
        <v>#DIV/0!</v>
      </c>
      <c r="O38" s="269" t="e">
        <f>'W час'!R38</f>
        <v>#DIV/0!</v>
      </c>
      <c r="P38" s="269" t="e">
        <f>'W час'!S38</f>
        <v>#DIV/0!</v>
      </c>
      <c r="Q38" s="269" t="e">
        <f>'W час'!T38</f>
        <v>#DIV/0!</v>
      </c>
      <c r="R38" s="269"/>
      <c r="S38" s="333"/>
      <c r="T38" s="333"/>
      <c r="U38" s="333"/>
      <c r="V38" s="333"/>
      <c r="W38" s="333"/>
      <c r="X38" s="333"/>
      <c r="Y38" s="333"/>
      <c r="Z38" s="333"/>
      <c r="AA38" s="333"/>
      <c r="AB38" s="333"/>
      <c r="AC38" s="269"/>
    </row>
    <row r="39" spans="1:29" x14ac:dyDescent="0.25">
      <c r="B39" s="222" t="s">
        <v>152</v>
      </c>
      <c r="C39" s="221" t="s">
        <v>139</v>
      </c>
      <c r="D39" s="333"/>
      <c r="E39" s="333"/>
      <c r="F39" s="333"/>
      <c r="G39" s="333"/>
      <c r="H39" s="333"/>
      <c r="I39" s="333"/>
      <c r="J39" s="333"/>
      <c r="K39" s="269"/>
      <c r="L39" s="269">
        <f>'W час'!O31</f>
        <v>12</v>
      </c>
      <c r="M39" s="269">
        <f>'W час'!P31</f>
        <v>12</v>
      </c>
      <c r="N39" s="269">
        <f>'W час'!Q31</f>
        <v>12</v>
      </c>
      <c r="O39" s="269">
        <f>'W час'!R31</f>
        <v>12</v>
      </c>
      <c r="P39" s="269">
        <f>'W час'!S31</f>
        <v>12</v>
      </c>
      <c r="Q39" s="269">
        <f>'W час'!T31</f>
        <v>12</v>
      </c>
      <c r="R39" s="269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269"/>
    </row>
    <row r="40" spans="1:29" x14ac:dyDescent="0.25">
      <c r="B40" s="222" t="s">
        <v>232</v>
      </c>
      <c r="C40" s="221" t="s">
        <v>14</v>
      </c>
      <c r="D40" s="334"/>
      <c r="E40" s="334"/>
      <c r="F40" s="334"/>
      <c r="G40" s="334"/>
      <c r="H40" s="334"/>
      <c r="I40" s="334"/>
      <c r="J40" s="334"/>
      <c r="K40" s="342"/>
      <c r="L40" s="226">
        <f t="shared" ref="L40:Q40" si="4">L37*(L38/60)/L39</f>
        <v>0.84956030729388388</v>
      </c>
      <c r="M40" s="226">
        <f t="shared" si="4"/>
        <v>0.82716691371983764</v>
      </c>
      <c r="N40" s="226" t="e">
        <f t="shared" si="4"/>
        <v>#DIV/0!</v>
      </c>
      <c r="O40" s="226" t="e">
        <f t="shared" si="4"/>
        <v>#DIV/0!</v>
      </c>
      <c r="P40" s="226" t="e">
        <f t="shared" si="4"/>
        <v>#DIV/0!</v>
      </c>
      <c r="Q40" s="226" t="e">
        <f t="shared" si="4"/>
        <v>#DIV/0!</v>
      </c>
      <c r="R40" s="342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42"/>
    </row>
    <row r="41" spans="1:29" x14ac:dyDescent="0.25">
      <c r="B41" s="222" t="s">
        <v>235</v>
      </c>
      <c r="C41" s="221" t="str">
        <f>C40</f>
        <v>коэфф.</v>
      </c>
      <c r="D41" s="334"/>
      <c r="E41" s="334"/>
      <c r="F41" s="334"/>
      <c r="G41" s="334"/>
      <c r="H41" s="334"/>
      <c r="I41" s="334"/>
      <c r="J41" s="334"/>
      <c r="K41" s="342"/>
      <c r="L41" s="226">
        <f>SUMIFS(Производительность!$E$115:$E$142,Производительность!$C$115:$C$142,L35)</f>
        <v>0</v>
      </c>
      <c r="M41" s="226">
        <f>SUMIFS(Производительность!$E$115:$E$142,Производительность!$C$115:$C$142,M35)</f>
        <v>0</v>
      </c>
      <c r="N41" s="226">
        <f>SUMIFS(Производительность!$E$115:$E$142,Производительность!$C$115:$C$142,N35)</f>
        <v>0</v>
      </c>
      <c r="O41" s="226">
        <f>SUMIFS(Производительность!$E$115:$E$142,Производительность!$C$115:$C$142,O35)</f>
        <v>0</v>
      </c>
      <c r="P41" s="226">
        <f>SUMIFS(Производительность!$E$115:$E$142,Производительность!$C$115:$C$142,P35)</f>
        <v>0</v>
      </c>
      <c r="Q41" s="226">
        <f>SUMIFS(Производительность!$E$115:$E$142,Производительность!$C$115:$C$142,Q35)</f>
        <v>0</v>
      </c>
      <c r="R41" s="342"/>
      <c r="S41" s="334"/>
      <c r="T41" s="334"/>
      <c r="U41" s="334"/>
      <c r="V41" s="334"/>
      <c r="W41" s="334"/>
      <c r="X41" s="334"/>
      <c r="Y41" s="334"/>
      <c r="Z41" s="334"/>
      <c r="AA41" s="334"/>
      <c r="AB41" s="334"/>
      <c r="AC41" s="342"/>
    </row>
    <row r="42" spans="1:29" x14ac:dyDescent="0.25">
      <c r="B42" s="222" t="s">
        <v>236</v>
      </c>
      <c r="C42" s="221" t="str">
        <f>C41</f>
        <v>коэфф.</v>
      </c>
      <c r="D42" s="334"/>
      <c r="E42" s="334"/>
      <c r="F42" s="334"/>
      <c r="G42" s="334"/>
      <c r="H42" s="334"/>
      <c r="I42" s="334"/>
      <c r="J42" s="334"/>
      <c r="K42" s="342"/>
      <c r="L42" s="226">
        <f t="shared" ref="L42:Q42" si="5">L40*L41</f>
        <v>0</v>
      </c>
      <c r="M42" s="226">
        <f t="shared" si="5"/>
        <v>0</v>
      </c>
      <c r="N42" s="226" t="e">
        <f t="shared" si="5"/>
        <v>#DIV/0!</v>
      </c>
      <c r="O42" s="226" t="e">
        <f t="shared" si="5"/>
        <v>#DIV/0!</v>
      </c>
      <c r="P42" s="226" t="e">
        <f t="shared" si="5"/>
        <v>#DIV/0!</v>
      </c>
      <c r="Q42" s="226" t="e">
        <f t="shared" si="5"/>
        <v>#DIV/0!</v>
      </c>
      <c r="R42" s="342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42"/>
    </row>
    <row r="43" spans="1:29" x14ac:dyDescent="0.25">
      <c r="A43" s="217">
        <f>365*24</f>
        <v>8760</v>
      </c>
      <c r="B43" s="222" t="s">
        <v>82</v>
      </c>
      <c r="C43" s="221" t="s">
        <v>139</v>
      </c>
      <c r="D43" s="333"/>
      <c r="E43" s="333"/>
      <c r="F43" s="333"/>
      <c r="G43" s="333"/>
      <c r="H43" s="333"/>
      <c r="I43" s="333"/>
      <c r="J43" s="333"/>
      <c r="K43" s="269"/>
      <c r="L43" s="227">
        <f t="shared" ref="L43:Q43" si="6">$A$43</f>
        <v>8760</v>
      </c>
      <c r="M43" s="227">
        <f t="shared" si="6"/>
        <v>8760</v>
      </c>
      <c r="N43" s="227">
        <f t="shared" si="6"/>
        <v>8760</v>
      </c>
      <c r="O43" s="227">
        <f t="shared" si="6"/>
        <v>8760</v>
      </c>
      <c r="P43" s="227">
        <f t="shared" si="6"/>
        <v>8760</v>
      </c>
      <c r="Q43" s="227">
        <f t="shared" si="6"/>
        <v>8760</v>
      </c>
      <c r="R43" s="269"/>
      <c r="S43" s="333"/>
      <c r="T43" s="333"/>
      <c r="U43" s="333"/>
      <c r="V43" s="333"/>
      <c r="W43" s="333"/>
      <c r="X43" s="333"/>
      <c r="Y43" s="333"/>
      <c r="Z43" s="333"/>
      <c r="AA43" s="333"/>
      <c r="AB43" s="333"/>
      <c r="AC43" s="269"/>
    </row>
    <row r="44" spans="1:29" x14ac:dyDescent="0.25">
      <c r="B44" s="222" t="s">
        <v>234</v>
      </c>
      <c r="C44" s="221" t="s">
        <v>197</v>
      </c>
      <c r="D44" s="335"/>
      <c r="E44" s="335"/>
      <c r="F44" s="335"/>
      <c r="G44" s="335"/>
      <c r="H44" s="335"/>
      <c r="I44" s="335"/>
      <c r="J44" s="335"/>
      <c r="K44" s="343"/>
      <c r="L44" s="228">
        <f t="shared" ref="L44:Q44" si="7">L43*L42*L36/1000</f>
        <v>0</v>
      </c>
      <c r="M44" s="228">
        <f t="shared" si="7"/>
        <v>0</v>
      </c>
      <c r="N44" s="228" t="e">
        <f t="shared" si="7"/>
        <v>#DIV/0!</v>
      </c>
      <c r="O44" s="228" t="e">
        <f t="shared" si="7"/>
        <v>#DIV/0!</v>
      </c>
      <c r="P44" s="228" t="e">
        <f t="shared" si="7"/>
        <v>#DIV/0!</v>
      </c>
      <c r="Q44" s="228" t="e">
        <f t="shared" si="7"/>
        <v>#DIV/0!</v>
      </c>
      <c r="R44" s="343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43"/>
    </row>
    <row r="45" spans="1:29" x14ac:dyDescent="0.25">
      <c r="B45" s="222" t="s">
        <v>18</v>
      </c>
      <c r="C45" s="221" t="s">
        <v>171</v>
      </c>
      <c r="D45" s="333"/>
      <c r="E45" s="333"/>
      <c r="F45" s="333"/>
      <c r="G45" s="333"/>
      <c r="H45" s="333"/>
      <c r="I45" s="333"/>
      <c r="J45" s="333"/>
      <c r="K45" s="269"/>
      <c r="L45" s="227">
        <f>SUMIFS(Производительность!$E$196:$E$223,Производительность!$C$196:$C$223,L35)</f>
        <v>0</v>
      </c>
      <c r="M45" s="227">
        <f>SUMIFS(Производительность!$E$196:$E$223,Производительность!$C$196:$C$223,M35)</f>
        <v>0</v>
      </c>
      <c r="N45" s="227">
        <f>SUMIFS(Производительность!$E$196:$E$223,Производительность!$C$196:$C$223,N35)</f>
        <v>0</v>
      </c>
      <c r="O45" s="227">
        <f>SUMIFS(Производительность!$E$196:$E$223,Производительность!$C$196:$C$223,O35)</f>
        <v>0</v>
      </c>
      <c r="P45" s="227">
        <f>SUMIFS(Производительность!$E$196:$E$223,Производительность!$C$196:$C$223,P35)</f>
        <v>0</v>
      </c>
      <c r="Q45" s="227">
        <f>SUMIFS(Производительность!$E$196:$E$223,Производительность!$C$196:$C$223,Q35)</f>
        <v>0</v>
      </c>
      <c r="R45" s="269"/>
      <c r="S45" s="333"/>
      <c r="T45" s="333"/>
      <c r="U45" s="333"/>
      <c r="V45" s="333"/>
      <c r="W45" s="333"/>
      <c r="X45" s="333"/>
      <c r="Y45" s="333"/>
      <c r="Z45" s="333"/>
      <c r="AA45" s="333"/>
      <c r="AB45" s="333"/>
      <c r="AC45" s="269"/>
    </row>
    <row r="46" spans="1:29" x14ac:dyDescent="0.25">
      <c r="B46" s="950" t="s">
        <v>237</v>
      </c>
      <c r="C46" s="224" t="s">
        <v>238</v>
      </c>
      <c r="D46" s="336"/>
      <c r="E46" s="336"/>
      <c r="F46" s="336"/>
      <c r="G46" s="336"/>
      <c r="H46" s="336"/>
      <c r="I46" s="336"/>
      <c r="J46" s="336"/>
      <c r="K46" s="344"/>
      <c r="L46" s="229" t="e">
        <f t="shared" ref="L46:Q46" si="8">L44/L45</f>
        <v>#DIV/0!</v>
      </c>
      <c r="M46" s="229" t="e">
        <f t="shared" si="8"/>
        <v>#DIV/0!</v>
      </c>
      <c r="N46" s="229" t="e">
        <f t="shared" si="8"/>
        <v>#DIV/0!</v>
      </c>
      <c r="O46" s="229" t="e">
        <f t="shared" si="8"/>
        <v>#DIV/0!</v>
      </c>
      <c r="P46" s="229" t="e">
        <f t="shared" si="8"/>
        <v>#DIV/0!</v>
      </c>
      <c r="Q46" s="229" t="e">
        <f t="shared" si="8"/>
        <v>#DIV/0!</v>
      </c>
      <c r="R46" s="344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344"/>
    </row>
    <row r="47" spans="1:29" x14ac:dyDescent="0.25">
      <c r="B47" s="950"/>
      <c r="C47" s="224" t="s">
        <v>239</v>
      </c>
      <c r="D47" s="329"/>
      <c r="E47" s="329"/>
      <c r="F47" s="329"/>
      <c r="G47" s="329"/>
      <c r="H47" s="329"/>
      <c r="I47" s="329"/>
      <c r="J47" s="329"/>
      <c r="K47" s="345"/>
      <c r="L47" s="327" t="e">
        <f t="shared" ref="L47:Q47" si="9">L44*1000/(L43*L41)</f>
        <v>#DIV/0!</v>
      </c>
      <c r="M47" s="327" t="e">
        <f t="shared" si="9"/>
        <v>#DIV/0!</v>
      </c>
      <c r="N47" s="327" t="e">
        <f t="shared" si="9"/>
        <v>#DIV/0!</v>
      </c>
      <c r="O47" s="327" t="e">
        <f t="shared" si="9"/>
        <v>#DIV/0!</v>
      </c>
      <c r="P47" s="327" t="e">
        <f t="shared" si="9"/>
        <v>#DIV/0!</v>
      </c>
      <c r="Q47" s="327" t="e">
        <f t="shared" si="9"/>
        <v>#DIV/0!</v>
      </c>
      <c r="R47" s="345"/>
      <c r="S47" s="329"/>
      <c r="T47" s="329"/>
      <c r="U47" s="329"/>
      <c r="V47" s="329"/>
      <c r="W47" s="329"/>
      <c r="X47" s="329"/>
      <c r="Y47" s="329"/>
      <c r="Z47" s="329"/>
      <c r="AA47" s="329"/>
      <c r="AB47" s="329"/>
      <c r="AC47" s="345"/>
    </row>
    <row r="48" spans="1:29" x14ac:dyDescent="0.25">
      <c r="B48" s="230"/>
      <c r="C48" s="216"/>
      <c r="D48" s="230"/>
      <c r="E48" s="230"/>
      <c r="F48" s="230"/>
      <c r="G48" s="230"/>
      <c r="H48" s="230"/>
      <c r="I48" s="230"/>
      <c r="J48" s="230"/>
      <c r="K48" s="346"/>
      <c r="L48" s="230"/>
      <c r="M48" s="230"/>
      <c r="N48" s="230"/>
      <c r="O48" s="230"/>
      <c r="P48" s="230"/>
      <c r="Q48" s="230"/>
      <c r="R48" s="346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346"/>
    </row>
    <row r="50" spans="2:8" x14ac:dyDescent="0.25">
      <c r="D50" s="371">
        <v>2025</v>
      </c>
      <c r="E50" s="371">
        <v>2026</v>
      </c>
      <c r="F50" s="371" t="s">
        <v>325</v>
      </c>
      <c r="G50" s="258" t="s">
        <v>323</v>
      </c>
      <c r="H50" s="53" t="s">
        <v>324</v>
      </c>
    </row>
    <row r="51" spans="2:8" x14ac:dyDescent="0.25">
      <c r="B51" s="367" t="s">
        <v>661</v>
      </c>
      <c r="C51" s="368" t="s">
        <v>238</v>
      </c>
      <c r="D51" s="372">
        <v>15.180169289769696</v>
      </c>
      <c r="E51" s="372">
        <v>14.512686080706008</v>
      </c>
      <c r="F51" s="372">
        <v>14.224742518310592</v>
      </c>
      <c r="G51" s="372">
        <v>13.223091370126122</v>
      </c>
      <c r="H51" s="372"/>
    </row>
    <row r="52" spans="2:8" x14ac:dyDescent="0.25">
      <c r="B52" s="369"/>
      <c r="C52" s="368" t="s">
        <v>196</v>
      </c>
      <c r="D52" s="372">
        <v>232.4907728851073</v>
      </c>
      <c r="E52" s="372">
        <v>233.33829338016497</v>
      </c>
      <c r="F52" s="372">
        <v>229.82694863940304</v>
      </c>
      <c r="G52" s="372">
        <v>219.08288146188701</v>
      </c>
    </row>
    <row r="53" spans="2:8" x14ac:dyDescent="0.25">
      <c r="B53" s="369" t="str">
        <f>B5</f>
        <v>Двигатель</v>
      </c>
      <c r="C53" s="369"/>
      <c r="D53" s="1213"/>
    </row>
    <row r="54" spans="2:8" x14ac:dyDescent="0.25">
      <c r="B54" s="947" t="str">
        <f>B6</f>
        <v>Мощность двигателя</v>
      </c>
      <c r="C54" s="368" t="str">
        <f>C6</f>
        <v>кВт</v>
      </c>
      <c r="D54" s="1213"/>
    </row>
    <row r="55" spans="2:8" x14ac:dyDescent="0.25">
      <c r="B55" s="947"/>
      <c r="C55" s="368" t="str">
        <f>C7</f>
        <v>л.с.</v>
      </c>
      <c r="D55" s="1213"/>
    </row>
  </sheetData>
  <mergeCells count="6">
    <mergeCell ref="B54:B55"/>
    <mergeCell ref="B6:B7"/>
    <mergeCell ref="B23:B24"/>
    <mergeCell ref="B30:B31"/>
    <mergeCell ref="B46:B47"/>
    <mergeCell ref="B13:B16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9DF4-2C43-4655-9443-980BED61E04C}">
  <dimension ref="B2:V27"/>
  <sheetViews>
    <sheetView showGridLines="0" workbookViewId="0">
      <selection activeCell="N48" sqref="N48"/>
    </sheetView>
  </sheetViews>
  <sheetFormatPr defaultRowHeight="14.3" x14ac:dyDescent="0.25"/>
  <cols>
    <col min="1" max="1" width="3.625" customWidth="1"/>
    <col min="2" max="2" width="15.625" bestFit="1" customWidth="1"/>
    <col min="3" max="22" width="8.25" customWidth="1"/>
  </cols>
  <sheetData>
    <row r="2" spans="2:22" x14ac:dyDescent="0.25">
      <c r="B2" s="303"/>
      <c r="C2" s="304">
        <v>45658</v>
      </c>
      <c r="D2" s="304">
        <v>45689</v>
      </c>
      <c r="E2" s="304">
        <v>45717</v>
      </c>
      <c r="F2" s="304">
        <v>45748</v>
      </c>
      <c r="G2" s="304">
        <v>45778</v>
      </c>
      <c r="H2" s="304">
        <v>45809</v>
      </c>
      <c r="I2" s="304">
        <v>45839</v>
      </c>
      <c r="J2" s="304">
        <v>45870</v>
      </c>
      <c r="K2" s="304">
        <v>45901</v>
      </c>
      <c r="L2" s="304">
        <v>45931</v>
      </c>
      <c r="M2" s="304">
        <v>45962</v>
      </c>
      <c r="N2" s="304">
        <v>45992</v>
      </c>
      <c r="O2" s="305">
        <v>2025</v>
      </c>
      <c r="P2" s="304">
        <v>46023</v>
      </c>
      <c r="Q2" s="304">
        <v>46054</v>
      </c>
      <c r="R2" s="304">
        <v>46082</v>
      </c>
      <c r="S2" s="304">
        <v>46113</v>
      </c>
      <c r="T2" s="304">
        <v>46143</v>
      </c>
      <c r="U2" s="304">
        <v>46174</v>
      </c>
      <c r="V2" s="305">
        <v>2026</v>
      </c>
    </row>
    <row r="3" spans="2:22" x14ac:dyDescent="0.25">
      <c r="B3" s="300" t="s">
        <v>209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2"/>
      <c r="P3" s="301"/>
      <c r="Q3" s="301"/>
      <c r="R3" s="301"/>
      <c r="S3" s="301"/>
      <c r="T3" s="301"/>
      <c r="U3" s="301"/>
      <c r="V3" s="302"/>
    </row>
    <row r="4" spans="2:22" x14ac:dyDescent="0.25">
      <c r="B4" s="296" t="s">
        <v>302</v>
      </c>
      <c r="C4" s="294">
        <v>14.582690049960817</v>
      </c>
      <c r="D4" s="294">
        <v>16.602543475030032</v>
      </c>
      <c r="E4" s="294">
        <v>16.569546421882368</v>
      </c>
      <c r="F4" s="294">
        <v>16.945482438349735</v>
      </c>
      <c r="G4" s="294">
        <v>17.80091912419805</v>
      </c>
      <c r="H4" s="294">
        <v>14.798748255964931</v>
      </c>
      <c r="I4" s="294">
        <v>14.579562952739181</v>
      </c>
      <c r="J4" s="294">
        <v>20.215001786980061</v>
      </c>
      <c r="K4" s="294">
        <v>19.051945661720925</v>
      </c>
      <c r="L4" s="294">
        <v>18.448620149615</v>
      </c>
      <c r="M4" s="294">
        <v>19.230209135938026</v>
      </c>
      <c r="N4" s="294">
        <v>17.867283394773096</v>
      </c>
      <c r="O4" s="295">
        <v>17.046525035112193</v>
      </c>
      <c r="P4" s="294">
        <v>16.224768908284034</v>
      </c>
      <c r="Q4" s="294">
        <v>20.522910927461325</v>
      </c>
      <c r="R4" s="294">
        <v>21.042011609313338</v>
      </c>
      <c r="S4" s="294" t="s">
        <v>301</v>
      </c>
      <c r="T4" s="294" t="s">
        <v>301</v>
      </c>
      <c r="U4" s="294" t="s">
        <v>301</v>
      </c>
      <c r="V4" s="295">
        <v>18.977282782152361</v>
      </c>
    </row>
    <row r="5" spans="2:22" x14ac:dyDescent="0.25">
      <c r="B5" s="306" t="s">
        <v>303</v>
      </c>
      <c r="C5" s="307">
        <v>13.276654255740524</v>
      </c>
      <c r="D5" s="307">
        <v>15.884705633071569</v>
      </c>
      <c r="E5" s="307">
        <v>14.422989369372038</v>
      </c>
      <c r="F5" s="307">
        <v>15.36210562163477</v>
      </c>
      <c r="G5" s="307">
        <v>16.84443829038603</v>
      </c>
      <c r="H5" s="307" t="s">
        <v>301</v>
      </c>
      <c r="I5" s="307">
        <v>16.409792139901576</v>
      </c>
      <c r="J5" s="307">
        <v>16.914934515422772</v>
      </c>
      <c r="K5" s="307">
        <v>17.49973434138591</v>
      </c>
      <c r="L5" s="307">
        <v>19.135220439447934</v>
      </c>
      <c r="M5" s="307">
        <v>18.421387839407721</v>
      </c>
      <c r="N5" s="307">
        <v>16.603576144342433</v>
      </c>
      <c r="O5" s="308">
        <v>16.322356284282986</v>
      </c>
      <c r="P5" s="307">
        <v>14.958476558559022</v>
      </c>
      <c r="Q5" s="307">
        <v>18.286766798360929</v>
      </c>
      <c r="R5" s="307" t="s">
        <v>301</v>
      </c>
      <c r="S5" s="307" t="s">
        <v>301</v>
      </c>
      <c r="T5" s="307" t="s">
        <v>301</v>
      </c>
      <c r="U5" s="307" t="s">
        <v>301</v>
      </c>
      <c r="V5" s="308">
        <v>15.390744430942515</v>
      </c>
    </row>
    <row r="6" spans="2:22" x14ac:dyDescent="0.25">
      <c r="B6" s="347" t="s">
        <v>304</v>
      </c>
      <c r="C6" s="348" t="s">
        <v>301</v>
      </c>
      <c r="D6" s="348" t="s">
        <v>301</v>
      </c>
      <c r="E6" s="348">
        <v>7.0168242518188046</v>
      </c>
      <c r="F6" s="348" t="s">
        <v>301</v>
      </c>
      <c r="G6" s="348" t="s">
        <v>301</v>
      </c>
      <c r="H6" s="348" t="s">
        <v>301</v>
      </c>
      <c r="I6" s="348">
        <v>10.855202650416869</v>
      </c>
      <c r="J6" s="348">
        <v>12.379518352260819</v>
      </c>
      <c r="K6" s="348">
        <v>12.29042564574217</v>
      </c>
      <c r="L6" s="348">
        <v>12.583071402383192</v>
      </c>
      <c r="M6" s="348">
        <v>13.661982838279148</v>
      </c>
      <c r="N6" s="348">
        <v>13.77496377205104</v>
      </c>
      <c r="O6" s="349">
        <v>12.538360948298715</v>
      </c>
      <c r="P6" s="348">
        <v>13.254469196245408</v>
      </c>
      <c r="Q6" s="348">
        <v>12.752473019371827</v>
      </c>
      <c r="R6" s="348">
        <v>13.514407048382974</v>
      </c>
      <c r="S6" s="348" t="s">
        <v>301</v>
      </c>
      <c r="T6" s="348" t="s">
        <v>301</v>
      </c>
      <c r="U6" s="348" t="s">
        <v>301</v>
      </c>
      <c r="V6" s="349">
        <v>13.127764112102103</v>
      </c>
    </row>
    <row r="7" spans="2:22" x14ac:dyDescent="0.25">
      <c r="B7" s="311" t="s">
        <v>305</v>
      </c>
      <c r="C7" s="312" t="s">
        <v>301</v>
      </c>
      <c r="D7" s="312" t="s">
        <v>301</v>
      </c>
      <c r="E7" s="312" t="s">
        <v>301</v>
      </c>
      <c r="F7" s="312">
        <v>10.201156649319781</v>
      </c>
      <c r="G7" s="312">
        <v>14.881263033326736</v>
      </c>
      <c r="H7" s="312">
        <v>14.878509858438964</v>
      </c>
      <c r="I7" s="312">
        <v>11.004673693073617</v>
      </c>
      <c r="J7" s="348">
        <v>14.35465089195965</v>
      </c>
      <c r="K7" s="348">
        <v>15.108083629263879</v>
      </c>
      <c r="L7" s="348" t="s">
        <v>301</v>
      </c>
      <c r="M7" s="348" t="s">
        <v>301</v>
      </c>
      <c r="N7" s="348" t="s">
        <v>301</v>
      </c>
      <c r="O7" s="349">
        <v>13.270106636452258</v>
      </c>
      <c r="P7" s="348" t="s">
        <v>301</v>
      </c>
      <c r="Q7" s="348" t="s">
        <v>301</v>
      </c>
      <c r="R7" s="348" t="s">
        <v>301</v>
      </c>
      <c r="S7" s="348">
        <v>13.165988543112542</v>
      </c>
      <c r="T7" s="348" t="s">
        <v>301</v>
      </c>
      <c r="U7" s="348" t="s">
        <v>301</v>
      </c>
      <c r="V7" s="349">
        <v>13.165988543112542</v>
      </c>
    </row>
    <row r="8" spans="2:22" x14ac:dyDescent="0.25">
      <c r="B8" s="311" t="s">
        <v>306</v>
      </c>
      <c r="C8" s="312" t="s">
        <v>301</v>
      </c>
      <c r="D8" s="312" t="s">
        <v>301</v>
      </c>
      <c r="E8" s="312" t="s">
        <v>301</v>
      </c>
      <c r="F8" s="312" t="s">
        <v>301</v>
      </c>
      <c r="G8" s="312" t="s">
        <v>301</v>
      </c>
      <c r="H8" s="312" t="s">
        <v>301</v>
      </c>
      <c r="I8" s="312" t="s">
        <v>301</v>
      </c>
      <c r="J8" s="312" t="s">
        <v>301</v>
      </c>
      <c r="K8" s="312" t="s">
        <v>301</v>
      </c>
      <c r="L8" s="348">
        <v>13.816183184979204</v>
      </c>
      <c r="M8" s="348">
        <v>13.538929057185394</v>
      </c>
      <c r="N8" s="348">
        <v>13.074365222613933</v>
      </c>
      <c r="O8" s="349">
        <v>13.464367237538282</v>
      </c>
      <c r="P8" s="348">
        <v>12.19279774548129</v>
      </c>
      <c r="Q8" s="348">
        <v>12.39521968176202</v>
      </c>
      <c r="R8" s="348">
        <v>12.320196316301553</v>
      </c>
      <c r="S8" s="317">
        <v>14.027627812255453</v>
      </c>
      <c r="T8" s="348">
        <v>9.4380899535012173</v>
      </c>
      <c r="U8" s="348">
        <v>8.0383404011032127</v>
      </c>
      <c r="V8" s="349">
        <v>11.269488552615384</v>
      </c>
    </row>
    <row r="9" spans="2:22" x14ac:dyDescent="0.25">
      <c r="B9" s="311" t="s">
        <v>307</v>
      </c>
      <c r="C9" s="312" t="s">
        <v>301</v>
      </c>
      <c r="D9" s="312" t="s">
        <v>301</v>
      </c>
      <c r="E9" s="312" t="s">
        <v>301</v>
      </c>
      <c r="F9" s="312" t="s">
        <v>301</v>
      </c>
      <c r="G9" s="312" t="s">
        <v>301</v>
      </c>
      <c r="H9" s="312" t="s">
        <v>301</v>
      </c>
      <c r="I9" s="312" t="s">
        <v>301</v>
      </c>
      <c r="J9" s="312" t="s">
        <v>301</v>
      </c>
      <c r="K9" s="312" t="s">
        <v>301</v>
      </c>
      <c r="L9" s="312" t="s">
        <v>301</v>
      </c>
      <c r="M9" s="312" t="s">
        <v>301</v>
      </c>
      <c r="N9" s="312" t="s">
        <v>301</v>
      </c>
      <c r="O9" s="313" t="s">
        <v>301</v>
      </c>
      <c r="P9" s="312" t="s">
        <v>301</v>
      </c>
      <c r="Q9" s="312" t="s">
        <v>301</v>
      </c>
      <c r="R9" s="312">
        <v>18.232605280518445</v>
      </c>
      <c r="S9" s="317">
        <v>19.432181656157109</v>
      </c>
      <c r="T9" s="317">
        <v>16.497238409606872</v>
      </c>
      <c r="U9" s="348">
        <v>8.5176945923465173</v>
      </c>
      <c r="V9" s="349">
        <v>15.485988524868189</v>
      </c>
    </row>
    <row r="10" spans="2:22" x14ac:dyDescent="0.25">
      <c r="B10" s="311" t="s">
        <v>308</v>
      </c>
      <c r="C10" s="312" t="s">
        <v>301</v>
      </c>
      <c r="D10" s="312" t="s">
        <v>301</v>
      </c>
      <c r="E10" s="312" t="s">
        <v>301</v>
      </c>
      <c r="F10" s="312" t="s">
        <v>301</v>
      </c>
      <c r="G10" s="312" t="s">
        <v>301</v>
      </c>
      <c r="H10" s="312" t="s">
        <v>301</v>
      </c>
      <c r="I10" s="312" t="s">
        <v>301</v>
      </c>
      <c r="J10" s="312" t="s">
        <v>301</v>
      </c>
      <c r="K10" s="312" t="s">
        <v>301</v>
      </c>
      <c r="L10" s="312" t="s">
        <v>301</v>
      </c>
      <c r="M10" s="312" t="s">
        <v>301</v>
      </c>
      <c r="N10" s="312" t="s">
        <v>301</v>
      </c>
      <c r="O10" s="313" t="s">
        <v>301</v>
      </c>
      <c r="P10" s="312" t="s">
        <v>301</v>
      </c>
      <c r="Q10" s="312" t="s">
        <v>301</v>
      </c>
      <c r="R10" s="312" t="s">
        <v>301</v>
      </c>
      <c r="S10" s="312" t="s">
        <v>301</v>
      </c>
      <c r="T10" s="312">
        <v>20.219789365668838</v>
      </c>
      <c r="U10" s="317">
        <v>19.688510883278742</v>
      </c>
      <c r="V10" s="313">
        <v>19.813706644352603</v>
      </c>
    </row>
    <row r="11" spans="2:22" x14ac:dyDescent="0.25">
      <c r="B11" s="311" t="s">
        <v>309</v>
      </c>
      <c r="C11" s="312" t="s">
        <v>301</v>
      </c>
      <c r="D11" s="312" t="s">
        <v>301</v>
      </c>
      <c r="E11" s="312" t="s">
        <v>301</v>
      </c>
      <c r="F11" s="312" t="s">
        <v>301</v>
      </c>
      <c r="G11" s="312" t="s">
        <v>301</v>
      </c>
      <c r="H11" s="312" t="s">
        <v>301</v>
      </c>
      <c r="I11" s="312" t="s">
        <v>301</v>
      </c>
      <c r="J11" s="312" t="s">
        <v>301</v>
      </c>
      <c r="K11" s="312" t="s">
        <v>301</v>
      </c>
      <c r="L11" s="312" t="s">
        <v>301</v>
      </c>
      <c r="M11" s="312" t="s">
        <v>301</v>
      </c>
      <c r="N11" s="312" t="s">
        <v>301</v>
      </c>
      <c r="O11" s="313" t="s">
        <v>301</v>
      </c>
      <c r="P11" s="312" t="s">
        <v>301</v>
      </c>
      <c r="Q11" s="312" t="s">
        <v>301</v>
      </c>
      <c r="R11" s="312" t="s">
        <v>301</v>
      </c>
      <c r="S11" s="312" t="s">
        <v>301</v>
      </c>
      <c r="T11" s="312" t="s">
        <v>301</v>
      </c>
      <c r="U11" s="348">
        <v>7.1160264629612735</v>
      </c>
      <c r="V11" s="349">
        <v>7.1160264629612735</v>
      </c>
    </row>
    <row r="12" spans="2:22" x14ac:dyDescent="0.25"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3"/>
      <c r="P12" s="296"/>
      <c r="Q12" s="296"/>
      <c r="R12" s="296"/>
      <c r="S12" s="296"/>
      <c r="T12" s="296"/>
      <c r="U12" s="296"/>
      <c r="V12" s="293"/>
    </row>
    <row r="13" spans="2:22" x14ac:dyDescent="0.25">
      <c r="B13" s="293" t="s">
        <v>171</v>
      </c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3"/>
      <c r="P13" s="296"/>
      <c r="Q13" s="296"/>
      <c r="R13" s="296"/>
      <c r="S13" s="296"/>
      <c r="T13" s="296"/>
      <c r="U13" s="296"/>
      <c r="V13" s="293"/>
    </row>
    <row r="14" spans="2:22" x14ac:dyDescent="0.25">
      <c r="B14" s="296" t="str">
        <f t="shared" ref="B14:B21" si="0">B4</f>
        <v>Yangzi DR75 1121</v>
      </c>
      <c r="C14" s="297">
        <v>9.4206000000000003</v>
      </c>
      <c r="D14" s="297">
        <v>8.7063000000000006</v>
      </c>
      <c r="E14" s="297">
        <v>9.5653000000000006</v>
      </c>
      <c r="F14" s="297">
        <v>10.2829</v>
      </c>
      <c r="G14" s="297">
        <v>10.5707</v>
      </c>
      <c r="H14" s="297">
        <v>8.4057999999999993</v>
      </c>
      <c r="I14" s="297">
        <v>9.3991000000000007</v>
      </c>
      <c r="J14" s="297">
        <v>5.0605000000000002</v>
      </c>
      <c r="K14" s="297">
        <v>11.9664</v>
      </c>
      <c r="L14" s="297">
        <v>10.370200000000001</v>
      </c>
      <c r="M14" s="297">
        <v>11.2834</v>
      </c>
      <c r="N14" s="297">
        <v>9.9732000000000003</v>
      </c>
      <c r="O14" s="298">
        <v>115.0044</v>
      </c>
      <c r="P14" s="297">
        <v>6.7712000000000003</v>
      </c>
      <c r="Q14" s="297">
        <v>9.6624999999999996</v>
      </c>
      <c r="R14" s="297">
        <v>4.2907000000000002</v>
      </c>
      <c r="S14" s="297">
        <v>0</v>
      </c>
      <c r="T14" s="297">
        <v>0</v>
      </c>
      <c r="U14" s="297">
        <v>0</v>
      </c>
      <c r="V14" s="298">
        <v>20.724400000000003</v>
      </c>
    </row>
    <row r="15" spans="2:22" x14ac:dyDescent="0.25">
      <c r="B15" s="306" t="str">
        <f t="shared" si="0"/>
        <v>СБШ-250 1109</v>
      </c>
      <c r="C15" s="309">
        <v>7.8211000000000004</v>
      </c>
      <c r="D15" s="309">
        <v>7.9630999999999998</v>
      </c>
      <c r="E15" s="309">
        <v>8.2813999999999997</v>
      </c>
      <c r="F15" s="309">
        <v>5.6731999999999996</v>
      </c>
      <c r="G15" s="309">
        <v>3.4369999999999998</v>
      </c>
      <c r="H15" s="309">
        <v>0</v>
      </c>
      <c r="I15" s="309">
        <v>3.6749000000000001</v>
      </c>
      <c r="J15" s="309">
        <v>7.1403999999999996</v>
      </c>
      <c r="K15" s="309">
        <v>9.6981000000000002</v>
      </c>
      <c r="L15" s="309">
        <v>9.6694999999999993</v>
      </c>
      <c r="M15" s="309">
        <v>7.6962000000000002</v>
      </c>
      <c r="N15" s="309">
        <v>7.7744999999999997</v>
      </c>
      <c r="O15" s="310">
        <v>78.829400000000007</v>
      </c>
      <c r="P15" s="309">
        <v>8.7629000000000001</v>
      </c>
      <c r="Q15" s="309">
        <v>1.599</v>
      </c>
      <c r="R15" s="309">
        <v>0</v>
      </c>
      <c r="S15" s="309">
        <v>0</v>
      </c>
      <c r="T15" s="309">
        <v>0</v>
      </c>
      <c r="U15" s="309">
        <v>0</v>
      </c>
      <c r="V15" s="310">
        <v>10.3619</v>
      </c>
    </row>
    <row r="16" spans="2:22" x14ac:dyDescent="0.25">
      <c r="B16" s="347" t="str">
        <f t="shared" si="0"/>
        <v>БС-215 1120</v>
      </c>
      <c r="C16" s="350">
        <v>0</v>
      </c>
      <c r="D16" s="350">
        <v>0</v>
      </c>
      <c r="E16" s="350">
        <v>9.4999999999999998E-3</v>
      </c>
      <c r="F16" s="350">
        <v>0</v>
      </c>
      <c r="G16" s="350">
        <v>0</v>
      </c>
      <c r="H16" s="350">
        <v>0</v>
      </c>
      <c r="I16" s="350">
        <v>3.444</v>
      </c>
      <c r="J16" s="350">
        <v>6.3854999999999995</v>
      </c>
      <c r="K16" s="350">
        <v>6.1244999999999994</v>
      </c>
      <c r="L16" s="350">
        <v>4.4836</v>
      </c>
      <c r="M16" s="350">
        <v>3.8343000000000003</v>
      </c>
      <c r="N16" s="350">
        <v>4.6304999999999996</v>
      </c>
      <c r="O16" s="351">
        <v>28.911899999999996</v>
      </c>
      <c r="P16" s="350">
        <v>5.5182000000000002</v>
      </c>
      <c r="Q16" s="350">
        <v>5.1061999999999994</v>
      </c>
      <c r="R16" s="350">
        <v>3.4085999999999999</v>
      </c>
      <c r="S16" s="350">
        <v>0</v>
      </c>
      <c r="T16" s="350">
        <v>0</v>
      </c>
      <c r="U16" s="350">
        <v>0</v>
      </c>
      <c r="V16" s="351">
        <v>14.032999999999999</v>
      </c>
    </row>
    <row r="17" spans="2:22" x14ac:dyDescent="0.25">
      <c r="B17" s="311" t="str">
        <f t="shared" si="0"/>
        <v>БС-215 1123</v>
      </c>
      <c r="C17" s="314">
        <v>0</v>
      </c>
      <c r="D17" s="314">
        <v>0</v>
      </c>
      <c r="E17" s="314">
        <v>0</v>
      </c>
      <c r="F17" s="314">
        <v>6.2412999999999998</v>
      </c>
      <c r="G17" s="314">
        <v>6.7819000000000003</v>
      </c>
      <c r="H17" s="314">
        <v>8.4946000000000002</v>
      </c>
      <c r="I17" s="314">
        <v>6.4359000000000002</v>
      </c>
      <c r="J17" s="350">
        <v>8.4933000000000014</v>
      </c>
      <c r="K17" s="350">
        <v>8.3269000000000002</v>
      </c>
      <c r="L17" s="350">
        <v>0</v>
      </c>
      <c r="M17" s="350">
        <v>0</v>
      </c>
      <c r="N17" s="350">
        <v>0</v>
      </c>
      <c r="O17" s="351">
        <v>44.773900000000005</v>
      </c>
      <c r="P17" s="350">
        <v>0</v>
      </c>
      <c r="Q17" s="350">
        <v>0</v>
      </c>
      <c r="R17" s="350">
        <v>0</v>
      </c>
      <c r="S17" s="350">
        <v>3.9539</v>
      </c>
      <c r="T17" s="350">
        <v>0</v>
      </c>
      <c r="U17" s="350">
        <v>0</v>
      </c>
      <c r="V17" s="351">
        <v>3.9539</v>
      </c>
    </row>
    <row r="18" spans="2:22" x14ac:dyDescent="0.25">
      <c r="B18" s="311" t="str">
        <f t="shared" si="0"/>
        <v>БС-215 1124</v>
      </c>
      <c r="C18" s="314">
        <v>0</v>
      </c>
      <c r="D18" s="314">
        <v>0</v>
      </c>
      <c r="E18" s="314">
        <v>0</v>
      </c>
      <c r="F18" s="314">
        <v>0</v>
      </c>
      <c r="G18" s="314">
        <v>0</v>
      </c>
      <c r="H18" s="314">
        <v>0</v>
      </c>
      <c r="I18" s="314">
        <v>0</v>
      </c>
      <c r="J18" s="314">
        <v>0</v>
      </c>
      <c r="K18" s="314">
        <v>0</v>
      </c>
      <c r="L18" s="350">
        <v>6.4450000000000003</v>
      </c>
      <c r="M18" s="350">
        <v>7.9307999999999996</v>
      </c>
      <c r="N18" s="350">
        <v>6.9660000000000002</v>
      </c>
      <c r="O18" s="351">
        <v>21.341799999999999</v>
      </c>
      <c r="P18" s="350">
        <v>5.1957000000000004</v>
      </c>
      <c r="Q18" s="350">
        <v>6.3975</v>
      </c>
      <c r="R18" s="350">
        <v>5.1521999999999997</v>
      </c>
      <c r="S18" s="316">
        <v>6.8959000000000001</v>
      </c>
      <c r="T18" s="350">
        <v>4.6890999999999998</v>
      </c>
      <c r="U18" s="350">
        <v>4.6269</v>
      </c>
      <c r="V18" s="351">
        <v>32.957300000000004</v>
      </c>
    </row>
    <row r="19" spans="2:22" x14ac:dyDescent="0.25">
      <c r="B19" s="311" t="str">
        <f t="shared" si="0"/>
        <v>БС-215 1125</v>
      </c>
      <c r="C19" s="314">
        <v>0</v>
      </c>
      <c r="D19" s="314">
        <v>0</v>
      </c>
      <c r="E19" s="314">
        <v>0</v>
      </c>
      <c r="F19" s="314">
        <v>0</v>
      </c>
      <c r="G19" s="314">
        <v>0</v>
      </c>
      <c r="H19" s="314">
        <v>0</v>
      </c>
      <c r="I19" s="314">
        <v>0</v>
      </c>
      <c r="J19" s="314">
        <v>0</v>
      </c>
      <c r="K19" s="314">
        <v>0</v>
      </c>
      <c r="L19" s="314">
        <v>0</v>
      </c>
      <c r="M19" s="314">
        <v>0</v>
      </c>
      <c r="N19" s="314">
        <v>0</v>
      </c>
      <c r="O19" s="315">
        <v>0</v>
      </c>
      <c r="P19" s="314">
        <v>0</v>
      </c>
      <c r="Q19" s="314">
        <v>0</v>
      </c>
      <c r="R19" s="314">
        <v>3.2553000000000001</v>
      </c>
      <c r="S19" s="316">
        <v>11.2248</v>
      </c>
      <c r="T19" s="316">
        <v>8.6397000000000013</v>
      </c>
      <c r="U19" s="350">
        <v>4.0331000000000001</v>
      </c>
      <c r="V19" s="351">
        <v>27.152900000000002</v>
      </c>
    </row>
    <row r="20" spans="2:22" x14ac:dyDescent="0.25">
      <c r="B20" s="311" t="str">
        <f t="shared" si="0"/>
        <v>БС-215 1126</v>
      </c>
      <c r="C20" s="314">
        <v>0</v>
      </c>
      <c r="D20" s="314">
        <v>0</v>
      </c>
      <c r="E20" s="314">
        <v>0</v>
      </c>
      <c r="F20" s="314">
        <v>0</v>
      </c>
      <c r="G20" s="314">
        <v>0</v>
      </c>
      <c r="H20" s="314">
        <v>0</v>
      </c>
      <c r="I20" s="314">
        <v>0</v>
      </c>
      <c r="J20" s="314">
        <v>0</v>
      </c>
      <c r="K20" s="314">
        <v>0</v>
      </c>
      <c r="L20" s="314">
        <v>0</v>
      </c>
      <c r="M20" s="314">
        <v>0</v>
      </c>
      <c r="N20" s="314">
        <v>0</v>
      </c>
      <c r="O20" s="315">
        <v>0</v>
      </c>
      <c r="P20" s="314">
        <v>0</v>
      </c>
      <c r="Q20" s="314">
        <v>0</v>
      </c>
      <c r="R20" s="314">
        <v>0</v>
      </c>
      <c r="S20" s="314">
        <v>0</v>
      </c>
      <c r="T20" s="314">
        <v>3.5116999999999998</v>
      </c>
      <c r="U20" s="316">
        <v>11.091200000000001</v>
      </c>
      <c r="V20" s="315">
        <v>14.6029</v>
      </c>
    </row>
    <row r="21" spans="2:22" x14ac:dyDescent="0.25">
      <c r="B21" s="311" t="str">
        <f t="shared" si="0"/>
        <v>БС-215 1131</v>
      </c>
      <c r="C21" s="314">
        <v>0</v>
      </c>
      <c r="D21" s="314">
        <v>0</v>
      </c>
      <c r="E21" s="314">
        <v>0</v>
      </c>
      <c r="F21" s="314">
        <v>0</v>
      </c>
      <c r="G21" s="314">
        <v>0</v>
      </c>
      <c r="H21" s="314">
        <v>0</v>
      </c>
      <c r="I21" s="314">
        <v>0</v>
      </c>
      <c r="J21" s="314">
        <v>0</v>
      </c>
      <c r="K21" s="314">
        <v>0</v>
      </c>
      <c r="L21" s="314">
        <v>0</v>
      </c>
      <c r="M21" s="314">
        <v>0</v>
      </c>
      <c r="N21" s="314">
        <v>0</v>
      </c>
      <c r="O21" s="315">
        <v>0</v>
      </c>
      <c r="P21" s="314">
        <v>0</v>
      </c>
      <c r="Q21" s="314">
        <v>0</v>
      </c>
      <c r="R21" s="314">
        <v>0</v>
      </c>
      <c r="S21" s="314">
        <v>0</v>
      </c>
      <c r="T21" s="314">
        <v>0</v>
      </c>
      <c r="U21" s="350">
        <v>2.7223999999999999</v>
      </c>
      <c r="V21" s="351">
        <v>2.7223999999999999</v>
      </c>
    </row>
    <row r="22" spans="2:22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</row>
    <row r="25" spans="2:22" x14ac:dyDescent="0.25">
      <c r="B25" t="s">
        <v>310</v>
      </c>
      <c r="C25" s="280">
        <f>V4</f>
        <v>18.977282782152361</v>
      </c>
    </row>
    <row r="26" spans="2:22" x14ac:dyDescent="0.25">
      <c r="B26" t="s">
        <v>311</v>
      </c>
      <c r="C26" s="280">
        <f>O5</f>
        <v>16.322356284282986</v>
      </c>
    </row>
    <row r="27" spans="2:22" x14ac:dyDescent="0.25">
      <c r="B27" t="s">
        <v>312</v>
      </c>
      <c r="C27" s="280">
        <f>(S8*S18+S9*S19+T9*T19+U10*U20)/(S18+S19+T19+U20)</f>
        <v>17.852769073980131</v>
      </c>
    </row>
  </sheetData>
  <pageMargins left="0.7" right="0.7" top="0.75" bottom="0.75" header="0.3" footer="0.3"/>
  <customProperties>
    <customPr name="_pios_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C84B-B3CF-412C-AB87-64BE23E39FE5}">
  <sheetPr>
    <tabColor rgb="FFFF0000"/>
  </sheetPr>
  <dimension ref="A1:BC76"/>
  <sheetViews>
    <sheetView showGridLines="0" zoomScaleNormal="100" workbookViewId="0">
      <selection activeCell="L8" sqref="L8:M8"/>
    </sheetView>
  </sheetViews>
  <sheetFormatPr defaultRowHeight="13.6" x14ac:dyDescent="0.25"/>
  <cols>
    <col min="1" max="1" width="25.125" style="2" bestFit="1" customWidth="1"/>
    <col min="2" max="3" width="11.25" style="2" customWidth="1"/>
    <col min="4" max="4" width="2.5" style="2" customWidth="1"/>
    <col min="5" max="6" width="11.25" style="2" customWidth="1"/>
    <col min="7" max="7" width="2.5" style="2" customWidth="1"/>
    <col min="8" max="8" width="10.75" style="2" customWidth="1"/>
    <col min="9" max="9" width="8.125" style="2" customWidth="1"/>
    <col min="10" max="10" width="25.125" style="2" bestFit="1" customWidth="1"/>
    <col min="11" max="11" width="11.125" style="2" customWidth="1"/>
    <col min="12" max="13" width="9" style="2" customWidth="1"/>
    <col min="14" max="14" width="12.25" style="2" customWidth="1"/>
    <col min="15" max="15" width="5.125" style="2" customWidth="1"/>
    <col min="16" max="16" width="19.375" style="2" bestFit="1" customWidth="1"/>
    <col min="17" max="20" width="9" style="2" customWidth="1"/>
    <col min="21" max="21" width="14.375" style="2" bestFit="1" customWidth="1"/>
    <col min="22" max="22" width="10.5" style="2" customWidth="1"/>
    <col min="23" max="23" width="25.625" style="2" customWidth="1"/>
    <col min="24" max="24" width="14.75" style="2" customWidth="1"/>
    <col min="25" max="25" width="13.125" style="2" customWidth="1"/>
    <col min="26" max="26" width="26.375" style="2" bestFit="1" customWidth="1"/>
    <col min="27" max="27" width="9.25" style="2" customWidth="1"/>
    <col min="28" max="28" width="17.875" style="2" customWidth="1"/>
    <col min="29" max="29" width="16.25" style="2" customWidth="1"/>
    <col min="30" max="30" width="9" style="2"/>
    <col min="31" max="32" width="11" style="2" customWidth="1"/>
    <col min="33" max="33" width="9" style="2"/>
    <col min="34" max="34" width="21.75" style="2" bestFit="1" customWidth="1"/>
    <col min="35" max="55" width="6.375" style="2" customWidth="1"/>
    <col min="56" max="16384" width="9" style="2"/>
  </cols>
  <sheetData>
    <row r="1" spans="1:55" x14ac:dyDescent="0.25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</row>
    <row r="2" spans="1:55" x14ac:dyDescent="0.25">
      <c r="B2" s="194" t="s">
        <v>183</v>
      </c>
      <c r="C2" s="175"/>
      <c r="D2" s="175"/>
      <c r="E2" s="194" t="s">
        <v>184</v>
      </c>
      <c r="F2" s="175"/>
      <c r="G2" s="175"/>
      <c r="H2" s="194" t="s">
        <v>187</v>
      </c>
      <c r="I2" s="175"/>
      <c r="J2" s="175"/>
      <c r="K2" s="194" t="s">
        <v>189</v>
      </c>
      <c r="L2" s="175"/>
      <c r="P2" s="137" t="s">
        <v>102</v>
      </c>
      <c r="Q2" s="138">
        <f>Q4/S4</f>
        <v>66.018919487352079</v>
      </c>
      <c r="R2" s="137" t="s">
        <v>53</v>
      </c>
      <c r="W2" s="137" t="s">
        <v>199</v>
      </c>
      <c r="AB2" s="137" t="s">
        <v>57</v>
      </c>
      <c r="AE2" s="137" t="s">
        <v>103</v>
      </c>
      <c r="AF2" s="4"/>
      <c r="AH2" s="137" t="s">
        <v>104</v>
      </c>
    </row>
    <row r="4" spans="1:55" ht="27.2" x14ac:dyDescent="0.25">
      <c r="B4" s="135" t="s">
        <v>185</v>
      </c>
      <c r="C4" s="135" t="s">
        <v>186</v>
      </c>
      <c r="E4" s="135" t="s">
        <v>185</v>
      </c>
      <c r="F4" s="135" t="s">
        <v>186</v>
      </c>
      <c r="H4" s="135" t="s">
        <v>188</v>
      </c>
      <c r="K4" s="252" t="s">
        <v>272</v>
      </c>
      <c r="L4" s="135" t="s">
        <v>194</v>
      </c>
      <c r="M4" s="135" t="s">
        <v>195</v>
      </c>
      <c r="N4" s="135" t="s">
        <v>192</v>
      </c>
      <c r="P4" s="4" t="s">
        <v>105</v>
      </c>
      <c r="Q4" s="47">
        <v>1274749.8973300001</v>
      </c>
      <c r="R4" s="2" t="s">
        <v>21</v>
      </c>
      <c r="S4" s="47">
        <v>19308.857327999998</v>
      </c>
      <c r="T4" s="2" t="s">
        <v>9</v>
      </c>
      <c r="X4" s="135" t="s">
        <v>222</v>
      </c>
      <c r="Y4" s="135" t="s">
        <v>212</v>
      </c>
      <c r="AB4" s="135" t="s">
        <v>106</v>
      </c>
      <c r="AC4" s="135" t="s">
        <v>107</v>
      </c>
      <c r="AE4" s="135" t="s">
        <v>108</v>
      </c>
      <c r="AF4" s="135" t="s">
        <v>109</v>
      </c>
    </row>
    <row r="5" spans="1:55" x14ac:dyDescent="0.25">
      <c r="A5" s="258" t="str">
        <f>Производительность!C8</f>
        <v>YANGZI DR75</v>
      </c>
      <c r="B5" s="185"/>
      <c r="C5" s="140"/>
      <c r="E5" s="185"/>
      <c r="F5" s="140"/>
      <c r="H5" s="140"/>
      <c r="J5" s="258" t="str">
        <f>A5</f>
        <v>YANGZI DR75</v>
      </c>
      <c r="K5" s="253" t="s">
        <v>226</v>
      </c>
      <c r="L5" s="141">
        <f>'топл-энерг'!D11</f>
        <v>72.780455432499437</v>
      </c>
      <c r="M5" s="141">
        <f>'топл-энерг'!D13</f>
        <v>66.3</v>
      </c>
      <c r="N5" s="141">
        <v>1</v>
      </c>
      <c r="W5" s="258" t="str">
        <f>A5</f>
        <v>YANGZI DR75</v>
      </c>
      <c r="X5" s="197">
        <f>SUMIFS($Z$43:$Z$44,$W$43:$W$44,Z5)</f>
        <v>12529.553373000001</v>
      </c>
      <c r="Y5" s="197">
        <f t="shared" ref="Y5:Y11" si="0">SUMIFS($Z$35:$Z$36,$W$35:$W$36,Z5)*$X$69</f>
        <v>3180.5687406620973</v>
      </c>
      <c r="Z5" s="259" t="str">
        <f>Производительность!AA8</f>
        <v>дизельный</v>
      </c>
      <c r="AB5" s="141">
        <f>SUMIFS('W час'!$F$10:$AF$10,'W час'!$F$4:$AF$4,W5)</f>
        <v>800</v>
      </c>
      <c r="AC5" s="141">
        <v>15</v>
      </c>
      <c r="AE5" s="141">
        <f>5*12+1</f>
        <v>61</v>
      </c>
      <c r="AF5" s="142">
        <f>100/(AE5/12)</f>
        <v>19.672131147540984</v>
      </c>
      <c r="AI5" s="50">
        <v>2026</v>
      </c>
      <c r="AJ5" s="50">
        <f>'ТСО_250-270_диз'!G2</f>
        <v>2027</v>
      </c>
      <c r="AK5" s="50">
        <f>'ТСО_250-270_диз'!H2</f>
        <v>2028</v>
      </c>
      <c r="AL5" s="50">
        <f>'ТСО_250-270_диз'!I2</f>
        <v>2029</v>
      </c>
      <c r="AM5" s="50">
        <f>'ТСО_250-270_диз'!J2</f>
        <v>2030</v>
      </c>
      <c r="AN5" s="50">
        <f>'ТСО_250-270_диз'!K2</f>
        <v>2031</v>
      </c>
      <c r="AO5" s="50">
        <f>'ТСО_250-270_диз'!L2</f>
        <v>2032</v>
      </c>
      <c r="AP5" s="50">
        <f>'ТСО_250-270_диз'!M2</f>
        <v>2033</v>
      </c>
      <c r="AQ5" s="50">
        <f>'ТСО_250-270_диз'!N2</f>
        <v>2034</v>
      </c>
      <c r="AR5" s="50">
        <f>'ТСО_250-270_диз'!O2</f>
        <v>2035</v>
      </c>
      <c r="AS5" s="50">
        <f>'ТСО_250-270_диз'!P2</f>
        <v>2036</v>
      </c>
      <c r="AT5" s="50">
        <f>'ТСО_250-270_диз'!Q2</f>
        <v>2037</v>
      </c>
      <c r="AU5" s="50">
        <f>'ТСО_250-270_диз'!R2</f>
        <v>2038</v>
      </c>
      <c r="AV5" s="50">
        <f>'ТСО_250-270_диз'!S2</f>
        <v>2039</v>
      </c>
      <c r="AW5" s="50">
        <f>'ТСО_250-270_диз'!T2</f>
        <v>2040</v>
      </c>
      <c r="AX5" s="50">
        <f>'ТСО_250-270_диз'!U2</f>
        <v>2041</v>
      </c>
      <c r="AY5" s="50">
        <f>'ТСО_250-270_диз'!V2</f>
        <v>2042</v>
      </c>
      <c r="AZ5" s="50">
        <f>'ТСО_250-270_диз'!W2</f>
        <v>2043</v>
      </c>
      <c r="BA5" s="50">
        <f>'ТСО_250-270_диз'!X2</f>
        <v>2044</v>
      </c>
      <c r="BB5" s="50">
        <f>'ТСО_250-270_диз'!Y2</f>
        <v>2045</v>
      </c>
      <c r="BC5" s="50">
        <f>'ТСО_250-270_диз'!Z2</f>
        <v>2046</v>
      </c>
    </row>
    <row r="6" spans="1:55" x14ac:dyDescent="0.25">
      <c r="A6" s="258" t="str">
        <f>Производительность!C9</f>
        <v>Sunward SWDRT250SM</v>
      </c>
      <c r="B6" s="186"/>
      <c r="C6" s="139"/>
      <c r="E6" s="186"/>
      <c r="F6" s="139"/>
      <c r="H6" s="139"/>
      <c r="J6" s="258" t="str">
        <f t="shared" ref="J6:J30" si="1">A6</f>
        <v>Sunward SWDRT250SM</v>
      </c>
      <c r="K6" s="254" t="s">
        <v>226</v>
      </c>
      <c r="L6" s="75">
        <f>'топл-энерг'!E11</f>
        <v>72.780455432499437</v>
      </c>
      <c r="M6" s="75">
        <f>'топл-энерг'!E13</f>
        <v>38.703810234974782</v>
      </c>
      <c r="N6" s="75">
        <v>1</v>
      </c>
      <c r="W6" s="258" t="str">
        <f t="shared" ref="W6:W30" si="2">A6</f>
        <v>Sunward SWDRT250SM</v>
      </c>
      <c r="X6" s="198">
        <f t="shared" ref="X6:X11" si="3">SUMIFS($Z$43:$Z$44,$W$43:$W$44,Z6)</f>
        <v>12529.553373000001</v>
      </c>
      <c r="Y6" s="198">
        <f t="shared" si="0"/>
        <v>3180.5687406620973</v>
      </c>
      <c r="Z6" s="259" t="str">
        <f>Производительность!AA9</f>
        <v>дизельный</v>
      </c>
      <c r="AB6" s="75">
        <f>SUMIFS('W час'!$F$10:$AF$10,'W час'!$F$4:$AF$4,W6)</f>
        <v>800</v>
      </c>
      <c r="AC6" s="75">
        <v>15</v>
      </c>
      <c r="AE6" s="75">
        <f t="shared" ref="AE6:AE29" si="4">5*12+1</f>
        <v>61</v>
      </c>
      <c r="AF6" s="143">
        <f>100/(AE6/12)</f>
        <v>19.672131147540984</v>
      </c>
      <c r="AH6" s="4" t="s">
        <v>110</v>
      </c>
    </row>
    <row r="7" spans="1:55" x14ac:dyDescent="0.25">
      <c r="A7" s="258" t="str">
        <f>Производительность!C10</f>
        <v>Sunward SWDRT270SM</v>
      </c>
      <c r="B7" s="186"/>
      <c r="C7" s="139"/>
      <c r="E7" s="186"/>
      <c r="F7" s="139"/>
      <c r="H7" s="139"/>
      <c r="J7" s="258" t="str">
        <f t="shared" si="1"/>
        <v>Sunward SWDRT270SM</v>
      </c>
      <c r="K7" s="254" t="s">
        <v>226</v>
      </c>
      <c r="L7" s="75">
        <f>'топл-энерг'!F11</f>
        <v>72.780455432499437</v>
      </c>
      <c r="M7" s="75">
        <f>'топл-энерг'!F13</f>
        <v>50.100609425694671</v>
      </c>
      <c r="N7" s="75">
        <v>1</v>
      </c>
      <c r="W7" s="258" t="str">
        <f t="shared" si="2"/>
        <v>Sunward SWDRT270SM</v>
      </c>
      <c r="X7" s="198">
        <f t="shared" si="3"/>
        <v>12529.553373000001</v>
      </c>
      <c r="Y7" s="198">
        <f t="shared" si="0"/>
        <v>3180.5687406620973</v>
      </c>
      <c r="Z7" s="259" t="str">
        <f>Производительность!AA10</f>
        <v>дизельный</v>
      </c>
      <c r="AB7" s="75">
        <f>SUMIFS('W час'!$F$10:$AF$10,'W час'!$F$4:$AF$4,W7)</f>
        <v>800</v>
      </c>
      <c r="AC7" s="75">
        <v>15</v>
      </c>
      <c r="AE7" s="75">
        <f t="shared" si="4"/>
        <v>61</v>
      </c>
      <c r="AF7" s="143">
        <f t="shared" ref="AF7:AF29" si="5">100/(AE7/12)</f>
        <v>19.672131147540984</v>
      </c>
      <c r="AH7" s="144" t="s">
        <v>111</v>
      </c>
      <c r="AI7" s="132">
        <f>'Свод_250-270_диз'!R34</f>
        <v>80</v>
      </c>
      <c r="AJ7" s="47">
        <f>AI7</f>
        <v>80</v>
      </c>
      <c r="AK7" s="47">
        <f t="shared" ref="AK7:BC9" si="6">AJ7</f>
        <v>80</v>
      </c>
      <c r="AL7" s="47">
        <f t="shared" si="6"/>
        <v>80</v>
      </c>
      <c r="AM7" s="47">
        <f t="shared" si="6"/>
        <v>80</v>
      </c>
      <c r="AN7" s="47">
        <f t="shared" si="6"/>
        <v>80</v>
      </c>
      <c r="AO7" s="47">
        <f t="shared" si="6"/>
        <v>80</v>
      </c>
      <c r="AP7" s="47">
        <f t="shared" si="6"/>
        <v>80</v>
      </c>
      <c r="AQ7" s="47">
        <f t="shared" si="6"/>
        <v>80</v>
      </c>
      <c r="AR7" s="47">
        <f t="shared" si="6"/>
        <v>80</v>
      </c>
      <c r="AS7" s="47">
        <f t="shared" si="6"/>
        <v>80</v>
      </c>
      <c r="AT7" s="47">
        <f t="shared" si="6"/>
        <v>80</v>
      </c>
      <c r="AU7" s="47">
        <f t="shared" si="6"/>
        <v>80</v>
      </c>
      <c r="AV7" s="47">
        <f t="shared" si="6"/>
        <v>80</v>
      </c>
      <c r="AW7" s="47">
        <f t="shared" si="6"/>
        <v>80</v>
      </c>
      <c r="AX7" s="47">
        <f t="shared" si="6"/>
        <v>80</v>
      </c>
      <c r="AY7" s="47">
        <f t="shared" si="6"/>
        <v>80</v>
      </c>
      <c r="AZ7" s="47">
        <f t="shared" si="6"/>
        <v>80</v>
      </c>
      <c r="BA7" s="47">
        <f t="shared" si="6"/>
        <v>80</v>
      </c>
      <c r="BB7" s="47">
        <f t="shared" si="6"/>
        <v>80</v>
      </c>
      <c r="BC7" s="47">
        <f t="shared" si="6"/>
        <v>80</v>
      </c>
    </row>
    <row r="8" spans="1:55" x14ac:dyDescent="0.25">
      <c r="A8" s="258" t="str">
        <f>Производительность!C11</f>
        <v>Sunward SWDRT270B</v>
      </c>
      <c r="B8" s="186"/>
      <c r="C8" s="139"/>
      <c r="E8" s="186"/>
      <c r="F8" s="139"/>
      <c r="H8" s="139"/>
      <c r="J8" s="258" t="str">
        <f t="shared" si="1"/>
        <v>Sunward SWDRT270B</v>
      </c>
      <c r="K8" s="254" t="s">
        <v>226</v>
      </c>
      <c r="L8" s="75">
        <f>'топл-энерг'!G11</f>
        <v>72.780455432499437</v>
      </c>
      <c r="M8" s="75">
        <f>'топл-энерг'!G13</f>
        <v>74.8</v>
      </c>
      <c r="N8" s="75">
        <v>1</v>
      </c>
      <c r="W8" s="258" t="str">
        <f t="shared" si="2"/>
        <v>Sunward SWDRT270B</v>
      </c>
      <c r="X8" s="198">
        <f t="shared" si="3"/>
        <v>12529.553373000001</v>
      </c>
      <c r="Y8" s="198">
        <f t="shared" si="0"/>
        <v>3180.5687406620973</v>
      </c>
      <c r="Z8" s="259" t="str">
        <f>Производительность!AA11</f>
        <v>дизельный</v>
      </c>
      <c r="AB8" s="75">
        <f>SUMIFS('W час'!$F$10:$AF$10,'W час'!$F$4:$AF$4,W8)</f>
        <v>800</v>
      </c>
      <c r="AC8" s="75">
        <v>15</v>
      </c>
      <c r="AE8" s="75">
        <f t="shared" si="4"/>
        <v>61</v>
      </c>
      <c r="AF8" s="143">
        <f t="shared" si="5"/>
        <v>19.672131147540984</v>
      </c>
      <c r="AH8" s="144" t="s">
        <v>176</v>
      </c>
      <c r="AI8" s="132">
        <f>'Свод_250-270_диз'!R35</f>
        <v>90</v>
      </c>
      <c r="AJ8" s="47">
        <f t="shared" ref="AJ8:AY9" si="7">AI8</f>
        <v>90</v>
      </c>
      <c r="AK8" s="47">
        <f t="shared" si="7"/>
        <v>90</v>
      </c>
      <c r="AL8" s="47">
        <f t="shared" si="7"/>
        <v>90</v>
      </c>
      <c r="AM8" s="47">
        <f t="shared" si="7"/>
        <v>90</v>
      </c>
      <c r="AN8" s="47">
        <f t="shared" si="7"/>
        <v>90</v>
      </c>
      <c r="AO8" s="47">
        <f t="shared" si="7"/>
        <v>90</v>
      </c>
      <c r="AP8" s="47">
        <f t="shared" si="7"/>
        <v>90</v>
      </c>
      <c r="AQ8" s="47">
        <f t="shared" si="7"/>
        <v>90</v>
      </c>
      <c r="AR8" s="47">
        <f t="shared" si="7"/>
        <v>90</v>
      </c>
      <c r="AS8" s="47">
        <f t="shared" si="7"/>
        <v>90</v>
      </c>
      <c r="AT8" s="47">
        <f t="shared" si="7"/>
        <v>90</v>
      </c>
      <c r="AU8" s="47">
        <f t="shared" si="7"/>
        <v>90</v>
      </c>
      <c r="AV8" s="47">
        <f t="shared" si="7"/>
        <v>90</v>
      </c>
      <c r="AW8" s="47">
        <f t="shared" si="7"/>
        <v>90</v>
      </c>
      <c r="AX8" s="47">
        <f t="shared" si="7"/>
        <v>90</v>
      </c>
      <c r="AY8" s="47">
        <f t="shared" si="7"/>
        <v>90</v>
      </c>
      <c r="AZ8" s="47">
        <f t="shared" si="6"/>
        <v>90</v>
      </c>
      <c r="BA8" s="47">
        <f t="shared" si="6"/>
        <v>90</v>
      </c>
      <c r="BB8" s="47">
        <f t="shared" si="6"/>
        <v>90</v>
      </c>
      <c r="BC8" s="47">
        <f t="shared" si="6"/>
        <v>90</v>
      </c>
    </row>
    <row r="9" spans="1:55" x14ac:dyDescent="0.25">
      <c r="A9" s="258" t="str">
        <f>Производительность!C12</f>
        <v>HIFO 75D</v>
      </c>
      <c r="B9" s="186"/>
      <c r="C9" s="139"/>
      <c r="E9" s="186"/>
      <c r="F9" s="139"/>
      <c r="H9" s="139"/>
      <c r="J9" s="258" t="str">
        <f t="shared" si="1"/>
        <v>HIFO 75D</v>
      </c>
      <c r="K9" s="254" t="s">
        <v>226</v>
      </c>
      <c r="L9" s="75">
        <f>'топл-энерг'!H11</f>
        <v>72.780455432499437</v>
      </c>
      <c r="M9" s="75">
        <f>'топл-энерг'!H13</f>
        <v>93.5</v>
      </c>
      <c r="N9" s="75">
        <v>1</v>
      </c>
      <c r="W9" s="258" t="str">
        <f t="shared" si="2"/>
        <v>HIFO 75D</v>
      </c>
      <c r="X9" s="198">
        <f t="shared" si="3"/>
        <v>12529.553373000001</v>
      </c>
      <c r="Y9" s="198">
        <f t="shared" si="0"/>
        <v>3180.5687406620973</v>
      </c>
      <c r="Z9" s="259" t="str">
        <f>Производительность!AA12</f>
        <v>дизельный</v>
      </c>
      <c r="AB9" s="75">
        <f>SUMIFS('W час'!$F$10:$AF$10,'W час'!$F$4:$AF$4,W9)</f>
        <v>811.69314000000008</v>
      </c>
      <c r="AC9" s="75">
        <v>15</v>
      </c>
      <c r="AE9" s="75">
        <f t="shared" si="4"/>
        <v>61</v>
      </c>
      <c r="AF9" s="143">
        <f t="shared" si="5"/>
        <v>19.672131147540984</v>
      </c>
      <c r="AH9" s="144" t="s">
        <v>112</v>
      </c>
      <c r="AI9" s="132">
        <f>'Свод_250-270_диз'!R36</f>
        <v>11</v>
      </c>
      <c r="AJ9" s="47">
        <f t="shared" si="7"/>
        <v>11</v>
      </c>
      <c r="AK9" s="47">
        <f t="shared" si="6"/>
        <v>11</v>
      </c>
      <c r="AL9" s="47">
        <f t="shared" si="6"/>
        <v>11</v>
      </c>
      <c r="AM9" s="47">
        <f t="shared" si="6"/>
        <v>11</v>
      </c>
      <c r="AN9" s="47">
        <f t="shared" si="6"/>
        <v>11</v>
      </c>
      <c r="AO9" s="47">
        <f t="shared" si="6"/>
        <v>11</v>
      </c>
      <c r="AP9" s="47">
        <f t="shared" si="6"/>
        <v>11</v>
      </c>
      <c r="AQ9" s="47">
        <f t="shared" si="6"/>
        <v>11</v>
      </c>
      <c r="AR9" s="47">
        <f t="shared" si="6"/>
        <v>11</v>
      </c>
      <c r="AS9" s="47">
        <f t="shared" si="6"/>
        <v>11</v>
      </c>
      <c r="AT9" s="47">
        <f t="shared" si="6"/>
        <v>11</v>
      </c>
      <c r="AU9" s="47">
        <f t="shared" si="6"/>
        <v>11</v>
      </c>
      <c r="AV9" s="47">
        <f t="shared" si="6"/>
        <v>11</v>
      </c>
      <c r="AW9" s="47">
        <f t="shared" si="6"/>
        <v>11</v>
      </c>
      <c r="AX9" s="47">
        <f t="shared" si="6"/>
        <v>11</v>
      </c>
      <c r="AY9" s="47">
        <f t="shared" si="6"/>
        <v>11</v>
      </c>
      <c r="AZ9" s="47">
        <f t="shared" si="6"/>
        <v>11</v>
      </c>
      <c r="BA9" s="47">
        <f t="shared" si="6"/>
        <v>11</v>
      </c>
      <c r="BB9" s="47">
        <f t="shared" si="6"/>
        <v>11</v>
      </c>
      <c r="BC9" s="47">
        <f t="shared" si="6"/>
        <v>11</v>
      </c>
    </row>
    <row r="10" spans="1:55" x14ac:dyDescent="0.25">
      <c r="A10" s="258" t="str">
        <f>Производительность!C13</f>
        <v>ZEGA R8100L (1)</v>
      </c>
      <c r="B10" s="186"/>
      <c r="C10" s="139"/>
      <c r="E10" s="186"/>
      <c r="F10" s="139"/>
      <c r="H10" s="139"/>
      <c r="J10" s="258" t="str">
        <f t="shared" si="1"/>
        <v>ZEGA R8100L (1)</v>
      </c>
      <c r="K10" s="254" t="s">
        <v>226</v>
      </c>
      <c r="L10" s="927"/>
      <c r="M10" s="927"/>
      <c r="N10" s="927"/>
      <c r="W10" s="258" t="str">
        <f t="shared" si="2"/>
        <v>ZEGA R8100L (1)</v>
      </c>
      <c r="X10" s="198">
        <f t="shared" si="3"/>
        <v>12529.553373000001</v>
      </c>
      <c r="Y10" s="198">
        <f t="shared" si="0"/>
        <v>3180.5687406620973</v>
      </c>
      <c r="Z10" s="259" t="str">
        <f>Производительность!AA13</f>
        <v>дизельный</v>
      </c>
      <c r="AB10" s="75">
        <f>SUMIFS('W час'!$F$10:$AF$10,'W час'!$F$4:$AF$4,W10)</f>
        <v>0</v>
      </c>
      <c r="AC10" s="75">
        <v>15</v>
      </c>
      <c r="AE10" s="75">
        <f t="shared" si="4"/>
        <v>61</v>
      </c>
      <c r="AF10" s="143">
        <f t="shared" si="5"/>
        <v>19.672131147540984</v>
      </c>
    </row>
    <row r="11" spans="1:55" x14ac:dyDescent="0.25">
      <c r="A11" s="258" t="str">
        <f>Производительность!C14</f>
        <v>YANGZI  DM75</v>
      </c>
      <c r="B11" s="186"/>
      <c r="C11" s="139"/>
      <c r="E11" s="186"/>
      <c r="F11" s="139"/>
      <c r="H11" s="139"/>
      <c r="J11" s="258" t="str">
        <f t="shared" si="1"/>
        <v>YANGZI  DM75</v>
      </c>
      <c r="K11" s="254" t="s">
        <v>226</v>
      </c>
      <c r="L11" s="927"/>
      <c r="M11" s="927"/>
      <c r="N11" s="927"/>
      <c r="W11" s="258" t="str">
        <f t="shared" si="2"/>
        <v>YANGZI  DM75</v>
      </c>
      <c r="X11" s="198">
        <f t="shared" si="3"/>
        <v>12529.553373000001</v>
      </c>
      <c r="Y11" s="198">
        <f t="shared" si="0"/>
        <v>3180.5687406620973</v>
      </c>
      <c r="Z11" s="259" t="str">
        <f>Производительность!AA14</f>
        <v>дизельный</v>
      </c>
      <c r="AB11" s="75">
        <f>SUMIFS('W час'!$F$10:$AF$10,'W час'!$F$4:$AF$4,W11)</f>
        <v>0</v>
      </c>
      <c r="AC11" s="75">
        <v>15</v>
      </c>
      <c r="AE11" s="75">
        <f t="shared" si="4"/>
        <v>61</v>
      </c>
      <c r="AF11" s="143">
        <f t="shared" si="5"/>
        <v>19.672131147540984</v>
      </c>
    </row>
    <row r="12" spans="1:55" x14ac:dyDescent="0.25">
      <c r="A12" s="258" t="str">
        <f>Производительность!C15</f>
        <v>*</v>
      </c>
      <c r="B12" s="247"/>
      <c r="C12" s="248"/>
      <c r="D12" s="175"/>
      <c r="E12" s="247"/>
      <c r="F12" s="248"/>
      <c r="G12" s="175"/>
      <c r="H12" s="248"/>
      <c r="I12" s="175"/>
      <c r="J12" s="258" t="str">
        <f t="shared" si="1"/>
        <v>*</v>
      </c>
      <c r="K12" s="249"/>
      <c r="L12" s="248"/>
      <c r="M12" s="248"/>
      <c r="N12" s="248"/>
      <c r="W12" s="258" t="str">
        <f t="shared" si="2"/>
        <v>*</v>
      </c>
      <c r="X12" s="256"/>
      <c r="Y12" s="256"/>
      <c r="Z12" s="259" t="str">
        <f>Производительность!AA15</f>
        <v>*</v>
      </c>
      <c r="AB12" s="248"/>
      <c r="AC12" s="248"/>
      <c r="AE12" s="248"/>
      <c r="AF12" s="143"/>
      <c r="AH12" s="4" t="s">
        <v>63</v>
      </c>
      <c r="AI12" s="145">
        <v>0.25</v>
      </c>
      <c r="AJ12" s="145">
        <f>AI12</f>
        <v>0.25</v>
      </c>
      <c r="AK12" s="145">
        <f t="shared" ref="AK12:BC12" si="8">AJ12</f>
        <v>0.25</v>
      </c>
      <c r="AL12" s="145">
        <f t="shared" si="8"/>
        <v>0.25</v>
      </c>
      <c r="AM12" s="145">
        <f t="shared" si="8"/>
        <v>0.25</v>
      </c>
      <c r="AN12" s="145">
        <f t="shared" si="8"/>
        <v>0.25</v>
      </c>
      <c r="AO12" s="145">
        <f t="shared" si="8"/>
        <v>0.25</v>
      </c>
      <c r="AP12" s="145">
        <f t="shared" si="8"/>
        <v>0.25</v>
      </c>
      <c r="AQ12" s="145">
        <f t="shared" si="8"/>
        <v>0.25</v>
      </c>
      <c r="AR12" s="145">
        <f t="shared" si="8"/>
        <v>0.25</v>
      </c>
      <c r="AS12" s="145">
        <f t="shared" si="8"/>
        <v>0.25</v>
      </c>
      <c r="AT12" s="145">
        <f t="shared" si="8"/>
        <v>0.25</v>
      </c>
      <c r="AU12" s="145">
        <f t="shared" si="8"/>
        <v>0.25</v>
      </c>
      <c r="AV12" s="145">
        <f t="shared" si="8"/>
        <v>0.25</v>
      </c>
      <c r="AW12" s="145">
        <f t="shared" si="8"/>
        <v>0.25</v>
      </c>
      <c r="AX12" s="145">
        <f t="shared" si="8"/>
        <v>0.25</v>
      </c>
      <c r="AY12" s="145">
        <f t="shared" si="8"/>
        <v>0.25</v>
      </c>
      <c r="AZ12" s="145">
        <f t="shared" si="8"/>
        <v>0.25</v>
      </c>
      <c r="BA12" s="145">
        <f t="shared" si="8"/>
        <v>0.25</v>
      </c>
      <c r="BB12" s="145">
        <f t="shared" si="8"/>
        <v>0.25</v>
      </c>
      <c r="BC12" s="145">
        <f t="shared" si="8"/>
        <v>0.25</v>
      </c>
    </row>
    <row r="13" spans="1:55" x14ac:dyDescent="0.25">
      <c r="A13" s="258" t="str">
        <f>Производительность!C16</f>
        <v>СБШ-250/270КП</v>
      </c>
      <c r="B13" s="186"/>
      <c r="C13" s="139"/>
      <c r="E13" s="186"/>
      <c r="F13" s="139"/>
      <c r="H13" s="139"/>
      <c r="J13" s="258" t="str">
        <f t="shared" si="1"/>
        <v>СБШ-250/270КП</v>
      </c>
      <c r="K13" s="254" t="s">
        <v>196</v>
      </c>
      <c r="L13" s="139"/>
      <c r="M13" s="139"/>
      <c r="N13" s="139"/>
      <c r="W13" s="258" t="str">
        <f t="shared" si="2"/>
        <v>СБШ-250/270КП</v>
      </c>
      <c r="X13" s="198">
        <f t="shared" ref="X13:X18" si="9">SUMIFS($Z$43:$Z$44,$W$43:$W$44,Z13)</f>
        <v>22904.170275</v>
      </c>
      <c r="Y13" s="198">
        <f t="shared" ref="Y13:Y18" si="10">SUMIFS($Z$35:$Z$36,$W$35:$W$36,Z13)*$X$69</f>
        <v>6361.1374813241946</v>
      </c>
      <c r="Z13" s="259" t="str">
        <f>Производительность!AA16</f>
        <v>электрический</v>
      </c>
      <c r="AB13" s="75">
        <f>SUMIFS('W час'!$F$10:$AF$10,'W час'!$F$4:$AF$4,W13)</f>
        <v>0</v>
      </c>
      <c r="AC13" s="75">
        <v>15</v>
      </c>
      <c r="AE13" s="75">
        <f t="shared" si="4"/>
        <v>61</v>
      </c>
      <c r="AF13" s="143">
        <f t="shared" si="5"/>
        <v>19.672131147540984</v>
      </c>
    </row>
    <row r="14" spans="1:55" x14ac:dyDescent="0.25">
      <c r="A14" s="258" t="str">
        <f>Производительность!C17</f>
        <v>Sunward SWDRT270E (1)</v>
      </c>
      <c r="B14" s="186"/>
      <c r="C14" s="139"/>
      <c r="E14" s="186"/>
      <c r="F14" s="139"/>
      <c r="H14" s="139"/>
      <c r="J14" s="258" t="str">
        <f t="shared" si="1"/>
        <v>Sunward SWDRT270E (1)</v>
      </c>
      <c r="K14" s="254" t="s">
        <v>196</v>
      </c>
      <c r="L14" s="927"/>
      <c r="M14" s="927"/>
      <c r="N14" s="927"/>
      <c r="W14" s="258" t="str">
        <f t="shared" si="2"/>
        <v>Sunward SWDRT270E (1)</v>
      </c>
      <c r="X14" s="198">
        <f t="shared" si="9"/>
        <v>22904.170275</v>
      </c>
      <c r="Y14" s="198">
        <f t="shared" si="10"/>
        <v>6361.1374813241946</v>
      </c>
      <c r="Z14" s="259" t="str">
        <f>Производительность!AA17</f>
        <v>электрический</v>
      </c>
      <c r="AB14" s="75">
        <f>SUMIFS('W час'!$F$10:$AF$10,'W час'!$F$4:$AF$4,W14)</f>
        <v>0</v>
      </c>
      <c r="AC14" s="75">
        <v>15</v>
      </c>
      <c r="AE14" s="75">
        <f t="shared" si="4"/>
        <v>61</v>
      </c>
      <c r="AF14" s="143">
        <f t="shared" si="5"/>
        <v>19.672131147540984</v>
      </c>
      <c r="AH14" s="4" t="s">
        <v>113</v>
      </c>
      <c r="AI14" s="146">
        <v>1</v>
      </c>
      <c r="AJ14" s="46">
        <f t="shared" ref="AJ14:BC14" si="11">AI14/(1+$AH$15)</f>
        <v>0.89285714285714279</v>
      </c>
      <c r="AK14" s="46">
        <f t="shared" si="11"/>
        <v>0.79719387755102022</v>
      </c>
      <c r="AL14" s="46">
        <f t="shared" si="11"/>
        <v>0.71178024781341087</v>
      </c>
      <c r="AM14" s="46">
        <f t="shared" si="11"/>
        <v>0.6355180784048311</v>
      </c>
      <c r="AN14" s="46">
        <f t="shared" si="11"/>
        <v>0.56742685571859919</v>
      </c>
      <c r="AO14" s="46">
        <f t="shared" si="11"/>
        <v>0.50663112117732068</v>
      </c>
      <c r="AP14" s="46">
        <f t="shared" si="11"/>
        <v>0.45234921533689343</v>
      </c>
      <c r="AQ14" s="46">
        <f t="shared" si="11"/>
        <v>0.4038832279793691</v>
      </c>
      <c r="AR14" s="46">
        <f t="shared" si="11"/>
        <v>0.36061002498157951</v>
      </c>
      <c r="AS14" s="46">
        <f t="shared" si="11"/>
        <v>0.32197323659069599</v>
      </c>
      <c r="AT14" s="46">
        <f t="shared" si="11"/>
        <v>0.28747610409883567</v>
      </c>
      <c r="AU14" s="46">
        <f t="shared" si="11"/>
        <v>0.25667509294538898</v>
      </c>
      <c r="AV14" s="46">
        <f t="shared" si="11"/>
        <v>0.22917419012981158</v>
      </c>
      <c r="AW14" s="46">
        <f t="shared" si="11"/>
        <v>0.20461981261590317</v>
      </c>
      <c r="AX14" s="46">
        <f t="shared" si="11"/>
        <v>0.18269626126419924</v>
      </c>
      <c r="AY14" s="46">
        <f t="shared" si="11"/>
        <v>0.16312166184303503</v>
      </c>
      <c r="AZ14" s="46">
        <f t="shared" si="11"/>
        <v>0.14564434093128126</v>
      </c>
      <c r="BA14" s="46">
        <f t="shared" si="11"/>
        <v>0.13003959011721539</v>
      </c>
      <c r="BB14" s="46">
        <f t="shared" si="11"/>
        <v>0.11610677689037087</v>
      </c>
      <c r="BC14" s="46">
        <f t="shared" si="11"/>
        <v>0.10366676508068827</v>
      </c>
    </row>
    <row r="15" spans="1:55" x14ac:dyDescent="0.25">
      <c r="A15" s="258" t="str">
        <f>Производительность!C18</f>
        <v>Sunward SWDRT270E (2)</v>
      </c>
      <c r="B15" s="186"/>
      <c r="C15" s="139"/>
      <c r="E15" s="186"/>
      <c r="F15" s="139"/>
      <c r="H15" s="139"/>
      <c r="J15" s="258" t="str">
        <f t="shared" si="1"/>
        <v>Sunward SWDRT270E (2)</v>
      </c>
      <c r="K15" s="254" t="s">
        <v>196</v>
      </c>
      <c r="L15" s="927"/>
      <c r="M15" s="927"/>
      <c r="N15" s="927"/>
      <c r="P15" s="137" t="s">
        <v>193</v>
      </c>
      <c r="Q15" s="138">
        <f>Q17/S17</f>
        <v>5.1334544871189411</v>
      </c>
      <c r="R15" s="137" t="s">
        <v>198</v>
      </c>
      <c r="W15" s="258" t="str">
        <f t="shared" si="2"/>
        <v>Sunward SWDRT270E (2)</v>
      </c>
      <c r="X15" s="198">
        <f t="shared" si="9"/>
        <v>22904.170275</v>
      </c>
      <c r="Y15" s="198">
        <f t="shared" si="10"/>
        <v>6361.1374813241946</v>
      </c>
      <c r="Z15" s="259" t="str">
        <f>Производительность!AA18</f>
        <v>электрический</v>
      </c>
      <c r="AB15" s="75">
        <f>SUMIFS('W час'!$F$10:$AF$10,'W час'!$F$4:$AF$4,W15)</f>
        <v>0</v>
      </c>
      <c r="AC15" s="75">
        <v>15</v>
      </c>
      <c r="AE15" s="75">
        <f t="shared" si="4"/>
        <v>61</v>
      </c>
      <c r="AF15" s="143">
        <f t="shared" si="5"/>
        <v>19.672131147540984</v>
      </c>
      <c r="AH15" s="147">
        <v>0.12</v>
      </c>
      <c r="AI15" s="53" t="s">
        <v>114</v>
      </c>
      <c r="AJ15" s="46">
        <f>AJ14</f>
        <v>0.89285714285714279</v>
      </c>
      <c r="AK15" s="46">
        <f>AJ15+AK14</f>
        <v>1.6900510204081631</v>
      </c>
      <c r="AL15" s="46">
        <f t="shared" ref="AL15:BC15" si="12">AK15+AL14</f>
        <v>2.4018312682215739</v>
      </c>
      <c r="AM15" s="46">
        <f t="shared" si="12"/>
        <v>3.0373493466264048</v>
      </c>
      <c r="AN15" s="46">
        <f t="shared" si="12"/>
        <v>3.6047762023450041</v>
      </c>
      <c r="AO15" s="46">
        <f t="shared" si="12"/>
        <v>4.1114073235223252</v>
      </c>
      <c r="AP15" s="46">
        <f t="shared" si="12"/>
        <v>4.5637565388592183</v>
      </c>
      <c r="AQ15" s="46">
        <f t="shared" si="12"/>
        <v>4.9676397668385874</v>
      </c>
      <c r="AR15" s="46">
        <f t="shared" si="12"/>
        <v>5.3282497918201672</v>
      </c>
      <c r="AS15" s="46">
        <f t="shared" si="12"/>
        <v>5.6502230284108634</v>
      </c>
      <c r="AT15" s="46">
        <f t="shared" si="12"/>
        <v>5.9376991325096995</v>
      </c>
      <c r="AU15" s="46">
        <f t="shared" si="12"/>
        <v>6.1943742254550882</v>
      </c>
      <c r="AV15" s="46">
        <f t="shared" si="12"/>
        <v>6.4235484155849001</v>
      </c>
      <c r="AW15" s="46">
        <f t="shared" si="12"/>
        <v>6.6281682282008036</v>
      </c>
      <c r="AX15" s="46">
        <f t="shared" si="12"/>
        <v>6.8108644894650032</v>
      </c>
      <c r="AY15" s="46">
        <f t="shared" si="12"/>
        <v>6.9739861513080381</v>
      </c>
      <c r="AZ15" s="46">
        <f t="shared" si="12"/>
        <v>7.1196304922393194</v>
      </c>
      <c r="BA15" s="46">
        <f t="shared" si="12"/>
        <v>7.249670082356535</v>
      </c>
      <c r="BB15" s="46">
        <f t="shared" si="12"/>
        <v>7.3657768592469059</v>
      </c>
      <c r="BC15" s="46">
        <f t="shared" si="12"/>
        <v>7.4694436243275941</v>
      </c>
    </row>
    <row r="16" spans="1:55" x14ac:dyDescent="0.25">
      <c r="A16" s="258" t="str">
        <f>Производительность!C19</f>
        <v>HIFO 75Е</v>
      </c>
      <c r="B16" s="186"/>
      <c r="C16" s="139"/>
      <c r="E16" s="186"/>
      <c r="F16" s="139"/>
      <c r="H16" s="139"/>
      <c r="J16" s="258" t="str">
        <f t="shared" si="1"/>
        <v>HIFO 75Е</v>
      </c>
      <c r="K16" s="254" t="s">
        <v>196</v>
      </c>
      <c r="L16" s="927"/>
      <c r="M16" s="927"/>
      <c r="N16" s="927"/>
      <c r="W16" s="258" t="str">
        <f t="shared" si="2"/>
        <v>HIFO 75Е</v>
      </c>
      <c r="X16" s="198">
        <f t="shared" si="9"/>
        <v>22904.170275</v>
      </c>
      <c r="Y16" s="198">
        <f t="shared" si="10"/>
        <v>6361.1374813241946</v>
      </c>
      <c r="Z16" s="259" t="str">
        <f>Производительность!AA19</f>
        <v>электрический</v>
      </c>
      <c r="AB16" s="75">
        <f>SUMIFS('W час'!$F$10:$AF$10,'W час'!$F$4:$AF$4,W16)</f>
        <v>0</v>
      </c>
      <c r="AC16" s="75">
        <v>15</v>
      </c>
      <c r="AE16" s="75">
        <f t="shared" si="4"/>
        <v>61</v>
      </c>
      <c r="AF16" s="143">
        <f t="shared" si="5"/>
        <v>19.672131147540984</v>
      </c>
    </row>
    <row r="17" spans="1:32" x14ac:dyDescent="0.25">
      <c r="A17" s="258" t="str">
        <f>Производительность!C20</f>
        <v>НИВА 22.01.00.00.00.00.00.000 (1)</v>
      </c>
      <c r="B17" s="186"/>
      <c r="C17" s="139"/>
      <c r="E17" s="186"/>
      <c r="F17" s="139"/>
      <c r="H17" s="139"/>
      <c r="J17" s="258" t="str">
        <f t="shared" si="1"/>
        <v>НИВА 22.01.00.00.00.00.00.000 (1)</v>
      </c>
      <c r="K17" s="254" t="s">
        <v>196</v>
      </c>
      <c r="L17" s="927"/>
      <c r="M17" s="927"/>
      <c r="N17" s="927"/>
      <c r="P17" s="4" t="s">
        <v>105</v>
      </c>
      <c r="Q17" s="47">
        <v>104419.39068</v>
      </c>
      <c r="R17" s="2" t="s">
        <v>21</v>
      </c>
      <c r="S17" s="47">
        <v>20340.959668</v>
      </c>
      <c r="T17" s="2" t="s">
        <v>197</v>
      </c>
      <c r="W17" s="258" t="str">
        <f t="shared" si="2"/>
        <v>НИВА 22.01.00.00.00.00.00.000 (1)</v>
      </c>
      <c r="X17" s="198">
        <f t="shared" si="9"/>
        <v>22904.170275</v>
      </c>
      <c r="Y17" s="198">
        <f t="shared" si="10"/>
        <v>6361.1374813241946</v>
      </c>
      <c r="Z17" s="259" t="str">
        <f>Производительность!AA20</f>
        <v>электрический</v>
      </c>
      <c r="AB17" s="75">
        <f>SUMIFS('W час'!$F$10:$AF$10,'W час'!$F$4:$AF$4,W17)</f>
        <v>0</v>
      </c>
      <c r="AC17" s="75">
        <v>15</v>
      </c>
      <c r="AE17" s="75">
        <f t="shared" si="4"/>
        <v>61</v>
      </c>
      <c r="AF17" s="143">
        <f t="shared" si="5"/>
        <v>19.672131147540984</v>
      </c>
    </row>
    <row r="18" spans="1:32" x14ac:dyDescent="0.25">
      <c r="A18" s="258" t="str">
        <f>Производительность!C21</f>
        <v>НИВА 22.01.00.00.00.00.00.000 (2)</v>
      </c>
      <c r="B18" s="186"/>
      <c r="C18" s="139"/>
      <c r="E18" s="186"/>
      <c r="F18" s="139"/>
      <c r="H18" s="139"/>
      <c r="J18" s="258" t="str">
        <f t="shared" si="1"/>
        <v>НИВА 22.01.00.00.00.00.00.000 (2)</v>
      </c>
      <c r="K18" s="254" t="s">
        <v>196</v>
      </c>
      <c r="L18" s="927"/>
      <c r="M18" s="927"/>
      <c r="N18" s="927"/>
      <c r="W18" s="258" t="str">
        <f t="shared" si="2"/>
        <v>НИВА 22.01.00.00.00.00.00.000 (2)</v>
      </c>
      <c r="X18" s="198">
        <f t="shared" si="9"/>
        <v>22904.170275</v>
      </c>
      <c r="Y18" s="198">
        <f t="shared" si="10"/>
        <v>6361.1374813241946</v>
      </c>
      <c r="Z18" s="259" t="str">
        <f>Производительность!AA21</f>
        <v>электрический</v>
      </c>
      <c r="AB18" s="75">
        <f>SUMIFS('W час'!$F$10:$AF$10,'W час'!$F$4:$AF$4,W18)</f>
        <v>0</v>
      </c>
      <c r="AC18" s="75">
        <v>15</v>
      </c>
      <c r="AE18" s="75">
        <f t="shared" si="4"/>
        <v>61</v>
      </c>
      <c r="AF18" s="143">
        <f t="shared" si="5"/>
        <v>19.672131147540984</v>
      </c>
    </row>
    <row r="19" spans="1:32" x14ac:dyDescent="0.25">
      <c r="A19" s="258" t="str">
        <f>Производительность!C22</f>
        <v>**</v>
      </c>
      <c r="B19" s="247"/>
      <c r="C19" s="248"/>
      <c r="D19" s="175"/>
      <c r="E19" s="247"/>
      <c r="F19" s="248"/>
      <c r="G19" s="175"/>
      <c r="H19" s="248"/>
      <c r="I19" s="175"/>
      <c r="J19" s="258" t="str">
        <f t="shared" si="1"/>
        <v>**</v>
      </c>
      <c r="K19" s="249"/>
      <c r="L19" s="248"/>
      <c r="M19" s="248"/>
      <c r="N19" s="248"/>
      <c r="W19" s="258" t="str">
        <f t="shared" si="2"/>
        <v>**</v>
      </c>
      <c r="X19" s="256"/>
      <c r="Y19" s="256"/>
      <c r="Z19" s="259" t="str">
        <f>Производительность!AA22</f>
        <v>**</v>
      </c>
      <c r="AB19" s="248"/>
      <c r="AC19" s="248"/>
      <c r="AE19" s="248"/>
      <c r="AF19" s="143"/>
    </row>
    <row r="20" spans="1:32" x14ac:dyDescent="0.25">
      <c r="A20" s="258" t="str">
        <f>Производительность!C23</f>
        <v>БС-215</v>
      </c>
      <c r="B20" s="186"/>
      <c r="C20" s="139"/>
      <c r="E20" s="186"/>
      <c r="F20" s="139"/>
      <c r="H20" s="139"/>
      <c r="J20" s="258" t="str">
        <f t="shared" si="1"/>
        <v>БС-215</v>
      </c>
      <c r="K20" s="255" t="s">
        <v>226</v>
      </c>
      <c r="L20" s="789">
        <f>'топл-энерг'!S11</f>
        <v>38.01483145946878</v>
      </c>
      <c r="M20" s="789">
        <f>'топл-энерг'!S13</f>
        <v>38.25</v>
      </c>
      <c r="N20" s="789">
        <v>1</v>
      </c>
      <c r="W20" s="258" t="str">
        <f t="shared" si="2"/>
        <v>БС-215</v>
      </c>
      <c r="X20" s="198">
        <f t="shared" ref="X20:X29" si="13">SUMIFS($Z$43:$Z$44,$W$43:$W$44,Z20)</f>
        <v>12529.553373000001</v>
      </c>
      <c r="Y20" s="199">
        <f t="shared" ref="Y20:Y29" si="14">SUMIFS($Z$35:$Z$36,$W$35:$W$36,Z20)*$X$69</f>
        <v>3180.5687406620973</v>
      </c>
      <c r="Z20" s="259" t="str">
        <f>Производительность!AA23</f>
        <v>дизельный</v>
      </c>
      <c r="AB20" s="789">
        <f>SUMIFS('W час'!$F$10:$AF$10,'W час'!$F$4:$AF$4,W20)</f>
        <v>0</v>
      </c>
      <c r="AC20" s="75">
        <v>15</v>
      </c>
      <c r="AE20" s="75">
        <f t="shared" si="4"/>
        <v>61</v>
      </c>
      <c r="AF20" s="143">
        <f t="shared" si="5"/>
        <v>19.672131147540984</v>
      </c>
    </row>
    <row r="21" spans="1:32" x14ac:dyDescent="0.25">
      <c r="A21" s="258" t="str">
        <f>Производительность!C24</f>
        <v>Sunward SWDRT200SM</v>
      </c>
      <c r="B21" s="186"/>
      <c r="C21" s="139"/>
      <c r="E21" s="186"/>
      <c r="F21" s="139"/>
      <c r="H21" s="139"/>
      <c r="J21" s="258" t="str">
        <f t="shared" si="1"/>
        <v>Sunward SWDRT200SM</v>
      </c>
      <c r="K21" s="255" t="s">
        <v>226</v>
      </c>
      <c r="L21" s="927"/>
      <c r="M21" s="927"/>
      <c r="N21" s="927"/>
      <c r="W21" s="258" t="str">
        <f t="shared" si="2"/>
        <v>Sunward SWDRT200SM</v>
      </c>
      <c r="X21" s="198">
        <f t="shared" si="13"/>
        <v>12529.553373000001</v>
      </c>
      <c r="Y21" s="199">
        <f t="shared" si="14"/>
        <v>3180.5687406620973</v>
      </c>
      <c r="Z21" s="259" t="str">
        <f>Производительность!AA24</f>
        <v>дизельный</v>
      </c>
      <c r="AB21" s="789">
        <f>SUMIFS('W час'!$F$10:$AF$10,'W час'!$F$4:$AF$4,W21)</f>
        <v>0</v>
      </c>
      <c r="AC21" s="75">
        <v>15</v>
      </c>
      <c r="AE21" s="75">
        <f t="shared" si="4"/>
        <v>61</v>
      </c>
      <c r="AF21" s="143">
        <f t="shared" si="5"/>
        <v>19.672131147540984</v>
      </c>
    </row>
    <row r="22" spans="1:32" x14ac:dyDescent="0.25">
      <c r="A22" s="258" t="str">
        <f>Производительность!C25</f>
        <v>Sunward SWDRT250B</v>
      </c>
      <c r="B22" s="186"/>
      <c r="C22" s="139"/>
      <c r="E22" s="186"/>
      <c r="F22" s="139"/>
      <c r="H22" s="139"/>
      <c r="J22" s="258" t="str">
        <f t="shared" si="1"/>
        <v>Sunward SWDRT250B</v>
      </c>
      <c r="K22" s="255" t="s">
        <v>226</v>
      </c>
      <c r="L22" s="927"/>
      <c r="M22" s="927"/>
      <c r="N22" s="927"/>
      <c r="W22" s="258" t="str">
        <f t="shared" si="2"/>
        <v>Sunward SWDRT250B</v>
      </c>
      <c r="X22" s="198">
        <f t="shared" si="13"/>
        <v>12529.553373000001</v>
      </c>
      <c r="Y22" s="199">
        <f t="shared" si="14"/>
        <v>3180.5687406620973</v>
      </c>
      <c r="Z22" s="259" t="str">
        <f>Производительность!AA25</f>
        <v>дизельный</v>
      </c>
      <c r="AB22" s="789">
        <f>SUMIFS('W час'!$F$10:$AF$10,'W час'!$F$4:$AF$4,W22)</f>
        <v>0</v>
      </c>
      <c r="AC22" s="75">
        <v>15</v>
      </c>
      <c r="AE22" s="75">
        <f t="shared" si="4"/>
        <v>61</v>
      </c>
      <c r="AF22" s="143">
        <f t="shared" si="5"/>
        <v>19.672131147540984</v>
      </c>
    </row>
    <row r="23" spans="1:32" x14ac:dyDescent="0.25">
      <c r="A23" s="258" t="str">
        <f>Производительность!C26</f>
        <v>ZEGA R8100L (2)</v>
      </c>
      <c r="B23" s="186"/>
      <c r="C23" s="139"/>
      <c r="E23" s="186"/>
      <c r="F23" s="139"/>
      <c r="H23" s="139"/>
      <c r="J23" s="258" t="str">
        <f t="shared" si="1"/>
        <v>ZEGA R8100L (2)</v>
      </c>
      <c r="K23" s="255" t="s">
        <v>226</v>
      </c>
      <c r="L23" s="927"/>
      <c r="M23" s="927"/>
      <c r="N23" s="927"/>
      <c r="W23" s="258" t="str">
        <f t="shared" si="2"/>
        <v>ZEGA R8100L (2)</v>
      </c>
      <c r="X23" s="198">
        <f t="shared" si="13"/>
        <v>12529.553373000001</v>
      </c>
      <c r="Y23" s="199">
        <f t="shared" si="14"/>
        <v>3180.5687406620973</v>
      </c>
      <c r="Z23" s="259" t="str">
        <f>Производительность!AA26</f>
        <v>дизельный</v>
      </c>
      <c r="AB23" s="789">
        <f>SUMIFS('W час'!$F$10:$AF$10,'W час'!$F$4:$AF$4,W23)</f>
        <v>0</v>
      </c>
      <c r="AC23" s="75">
        <v>15</v>
      </c>
      <c r="AE23" s="75">
        <f t="shared" si="4"/>
        <v>61</v>
      </c>
      <c r="AF23" s="143">
        <f t="shared" si="5"/>
        <v>19.672131147540984</v>
      </c>
    </row>
    <row r="24" spans="1:32" x14ac:dyDescent="0.25">
      <c r="A24" s="258" t="str">
        <f>Производительность!C27</f>
        <v>Revathi C650D</v>
      </c>
      <c r="B24" s="186"/>
      <c r="C24" s="139"/>
      <c r="E24" s="186"/>
      <c r="F24" s="139"/>
      <c r="H24" s="139"/>
      <c r="J24" s="258" t="str">
        <f t="shared" si="1"/>
        <v>Revathi C650D</v>
      </c>
      <c r="K24" s="255" t="s">
        <v>226</v>
      </c>
      <c r="L24" s="927"/>
      <c r="M24" s="927"/>
      <c r="N24" s="927"/>
      <c r="W24" s="258" t="str">
        <f t="shared" si="2"/>
        <v>Revathi C650D</v>
      </c>
      <c r="X24" s="198">
        <f t="shared" si="13"/>
        <v>12529.553373000001</v>
      </c>
      <c r="Y24" s="199">
        <f t="shared" si="14"/>
        <v>3180.5687406620973</v>
      </c>
      <c r="Z24" s="259" t="str">
        <f>Производительность!AA27</f>
        <v>дизельный</v>
      </c>
      <c r="AB24" s="789">
        <f>SUMIFS('W час'!$F$10:$AF$10,'W час'!$F$4:$AF$4,W24)</f>
        <v>0</v>
      </c>
      <c r="AC24" s="75">
        <v>15</v>
      </c>
      <c r="AE24" s="75">
        <f t="shared" si="4"/>
        <v>61</v>
      </c>
      <c r="AF24" s="143">
        <f t="shared" si="5"/>
        <v>19.672131147540984</v>
      </c>
    </row>
    <row r="25" spans="1:32" x14ac:dyDescent="0.25">
      <c r="A25" s="258" t="str">
        <f>Производительность!C28</f>
        <v>MS1200RB</v>
      </c>
      <c r="B25" s="186"/>
      <c r="C25" s="139"/>
      <c r="E25" s="186"/>
      <c r="F25" s="139"/>
      <c r="H25" s="139"/>
      <c r="J25" s="258" t="str">
        <f t="shared" si="1"/>
        <v>MS1200RB</v>
      </c>
      <c r="K25" s="255" t="s">
        <v>226</v>
      </c>
      <c r="L25" s="927"/>
      <c r="M25" s="927"/>
      <c r="N25" s="927"/>
      <c r="W25" s="258" t="str">
        <f t="shared" si="2"/>
        <v>MS1200RB</v>
      </c>
      <c r="X25" s="199">
        <f t="shared" si="13"/>
        <v>12529.553373000001</v>
      </c>
      <c r="Y25" s="199">
        <f t="shared" si="14"/>
        <v>3180.5687406620973</v>
      </c>
      <c r="Z25" s="259" t="str">
        <f>Производительность!AA28</f>
        <v>дизельный</v>
      </c>
      <c r="AB25" s="789">
        <f>SUMIFS('W час'!$F$10:$AF$10,'W час'!$F$4:$AF$4,W25)</f>
        <v>0</v>
      </c>
      <c r="AC25" s="75">
        <v>15</v>
      </c>
      <c r="AE25" s="75">
        <f t="shared" si="4"/>
        <v>61</v>
      </c>
      <c r="AF25" s="143">
        <f t="shared" si="5"/>
        <v>19.672131147540984</v>
      </c>
    </row>
    <row r="26" spans="1:32" x14ac:dyDescent="0.25">
      <c r="A26" s="258" t="str">
        <f>Производительность!C29</f>
        <v>СБ-55Д-01</v>
      </c>
      <c r="B26" s="186"/>
      <c r="C26" s="139"/>
      <c r="E26" s="186"/>
      <c r="F26" s="139"/>
      <c r="H26" s="139"/>
      <c r="J26" s="258" t="str">
        <f t="shared" si="1"/>
        <v>СБ-55Д-01</v>
      </c>
      <c r="K26" s="255" t="s">
        <v>226</v>
      </c>
      <c r="L26" s="184"/>
      <c r="M26" s="184"/>
      <c r="N26" s="184"/>
      <c r="W26" s="258" t="str">
        <f t="shared" si="2"/>
        <v>СБ-55Д-01</v>
      </c>
      <c r="X26" s="199">
        <f t="shared" si="13"/>
        <v>12529.553373000001</v>
      </c>
      <c r="Y26" s="199">
        <f t="shared" si="14"/>
        <v>3180.5687406620973</v>
      </c>
      <c r="Z26" s="259" t="str">
        <f>Производительность!AA29</f>
        <v>дизельный</v>
      </c>
      <c r="AB26" s="789">
        <f>SUMIFS('W час'!$F$10:$AF$10,'W час'!$F$4:$AF$4,W26)</f>
        <v>0</v>
      </c>
      <c r="AC26" s="75">
        <v>15</v>
      </c>
      <c r="AE26" s="75">
        <f t="shared" si="4"/>
        <v>61</v>
      </c>
      <c r="AF26" s="143">
        <f t="shared" si="5"/>
        <v>19.672131147540984</v>
      </c>
    </row>
    <row r="27" spans="1:32" x14ac:dyDescent="0.25">
      <c r="A27" s="258" t="str">
        <f>Производительность!C30</f>
        <v>KAMACH KY-250D</v>
      </c>
      <c r="B27" s="186"/>
      <c r="C27" s="139"/>
      <c r="E27" s="186"/>
      <c r="F27" s="139"/>
      <c r="H27" s="139"/>
      <c r="J27" s="258" t="str">
        <f t="shared" si="1"/>
        <v>KAMACH KY-250D</v>
      </c>
      <c r="K27" s="255" t="s">
        <v>226</v>
      </c>
      <c r="L27" s="927"/>
      <c r="M27" s="927"/>
      <c r="N27" s="927"/>
      <c r="W27" s="258" t="str">
        <f t="shared" si="2"/>
        <v>KAMACH KY-250D</v>
      </c>
      <c r="X27" s="199">
        <f t="shared" si="13"/>
        <v>12529.553373000001</v>
      </c>
      <c r="Y27" s="199">
        <f t="shared" si="14"/>
        <v>3180.5687406620973</v>
      </c>
      <c r="Z27" s="259" t="str">
        <f>Производительность!AA30</f>
        <v>дизельный</v>
      </c>
      <c r="AB27" s="789">
        <f>SUMIFS('W час'!$F$10:$AF$10,'W час'!$F$4:$AF$4,W27)</f>
        <v>0</v>
      </c>
      <c r="AC27" s="75">
        <v>15</v>
      </c>
      <c r="AE27" s="75">
        <f t="shared" si="4"/>
        <v>61</v>
      </c>
      <c r="AF27" s="143">
        <f t="shared" si="5"/>
        <v>19.672131147540984</v>
      </c>
    </row>
    <row r="28" spans="1:32" x14ac:dyDescent="0.25">
      <c r="A28" s="258" t="str">
        <f>Производительность!C31</f>
        <v>НИВА 23.01.00.00.00.00.00.000 (1)</v>
      </c>
      <c r="B28" s="186"/>
      <c r="C28" s="139"/>
      <c r="E28" s="186"/>
      <c r="F28" s="139"/>
      <c r="H28" s="139"/>
      <c r="J28" s="258" t="str">
        <f t="shared" si="1"/>
        <v>НИВА 23.01.00.00.00.00.00.000 (1)</v>
      </c>
      <c r="K28" s="255" t="s">
        <v>226</v>
      </c>
      <c r="L28" s="927"/>
      <c r="M28" s="927"/>
      <c r="N28" s="927"/>
      <c r="W28" s="258" t="str">
        <f t="shared" si="2"/>
        <v>НИВА 23.01.00.00.00.00.00.000 (1)</v>
      </c>
      <c r="X28" s="199">
        <f t="shared" si="13"/>
        <v>12529.553373000001</v>
      </c>
      <c r="Y28" s="199">
        <f t="shared" si="14"/>
        <v>3180.5687406620973</v>
      </c>
      <c r="Z28" s="259" t="str">
        <f>Производительность!AA31</f>
        <v>дизельный</v>
      </c>
      <c r="AB28" s="789">
        <f>SUMIFS('W час'!$F$10:$AF$10,'W час'!$F$4:$AF$4,W28)</f>
        <v>0</v>
      </c>
      <c r="AC28" s="75">
        <v>15</v>
      </c>
      <c r="AE28" s="75">
        <f t="shared" si="4"/>
        <v>61</v>
      </c>
      <c r="AF28" s="143">
        <f t="shared" si="5"/>
        <v>19.672131147540984</v>
      </c>
    </row>
    <row r="29" spans="1:32" x14ac:dyDescent="0.25">
      <c r="A29" s="258" t="str">
        <f>Производительность!C32</f>
        <v>НИВА 23.01.00.00.00.00.00.000 (2)</v>
      </c>
      <c r="B29" s="186"/>
      <c r="C29" s="139"/>
      <c r="E29" s="186"/>
      <c r="F29" s="139"/>
      <c r="H29" s="139"/>
      <c r="J29" s="258" t="str">
        <f t="shared" si="1"/>
        <v>НИВА 23.01.00.00.00.00.00.000 (2)</v>
      </c>
      <c r="K29" s="255" t="s">
        <v>226</v>
      </c>
      <c r="L29" s="927"/>
      <c r="M29" s="927"/>
      <c r="N29" s="927"/>
      <c r="W29" s="258" t="str">
        <f t="shared" si="2"/>
        <v>НИВА 23.01.00.00.00.00.00.000 (2)</v>
      </c>
      <c r="X29" s="199">
        <f t="shared" si="13"/>
        <v>12529.553373000001</v>
      </c>
      <c r="Y29" s="199">
        <f t="shared" si="14"/>
        <v>3180.5687406620973</v>
      </c>
      <c r="Z29" s="259" t="str">
        <f>Производительность!AA32</f>
        <v>дизельный</v>
      </c>
      <c r="AB29" s="789">
        <f>SUMIFS('W час'!$F$10:$AF$10,'W час'!$F$4:$AF$4,W29)</f>
        <v>0</v>
      </c>
      <c r="AC29" s="75">
        <v>15</v>
      </c>
      <c r="AE29" s="75">
        <f t="shared" si="4"/>
        <v>61</v>
      </c>
      <c r="AF29" s="143">
        <f t="shared" si="5"/>
        <v>19.672131147540984</v>
      </c>
    </row>
    <row r="30" spans="1:32" x14ac:dyDescent="0.25">
      <c r="A30" s="258" t="str">
        <f>Производительность!C33</f>
        <v>***</v>
      </c>
      <c r="B30" s="247"/>
      <c r="C30" s="248"/>
      <c r="D30" s="175"/>
      <c r="E30" s="247"/>
      <c r="F30" s="248"/>
      <c r="G30" s="175"/>
      <c r="H30" s="248"/>
      <c r="I30" s="175"/>
      <c r="J30" s="258" t="str">
        <f t="shared" si="1"/>
        <v>***</v>
      </c>
      <c r="K30" s="250"/>
      <c r="L30" s="251"/>
      <c r="M30" s="251"/>
      <c r="N30" s="251"/>
      <c r="W30" s="258" t="str">
        <f t="shared" si="2"/>
        <v>***</v>
      </c>
      <c r="X30" s="257"/>
      <c r="Y30" s="257"/>
      <c r="Z30" s="259" t="str">
        <f>Производительность!AA33</f>
        <v>***</v>
      </c>
      <c r="AB30" s="248"/>
      <c r="AC30" s="248"/>
      <c r="AE30" s="248"/>
      <c r="AF30" s="143"/>
    </row>
    <row r="31" spans="1:32" x14ac:dyDescent="0.25">
      <c r="B31" s="148"/>
      <c r="C31" s="148"/>
      <c r="E31" s="148"/>
      <c r="F31" s="148"/>
      <c r="H31" s="148"/>
      <c r="K31" s="191"/>
      <c r="L31" s="148"/>
      <c r="M31" s="148"/>
      <c r="N31" s="148"/>
      <c r="X31" s="191"/>
      <c r="Y31" s="191"/>
      <c r="AB31" s="148"/>
      <c r="AC31" s="148"/>
      <c r="AE31" s="149"/>
      <c r="AF31" s="148"/>
    </row>
    <row r="33" spans="23:28" ht="14.3" x14ac:dyDescent="0.25">
      <c r="AB33" s="1" t="s">
        <v>115</v>
      </c>
    </row>
    <row r="34" spans="23:28" x14ac:dyDescent="0.25">
      <c r="W34" s="49" t="s">
        <v>200</v>
      </c>
      <c r="X34" s="49" t="s">
        <v>201</v>
      </c>
      <c r="Y34" s="49" t="s">
        <v>202</v>
      </c>
      <c r="Z34" s="49" t="s">
        <v>205</v>
      </c>
      <c r="AB34" s="2" t="s">
        <v>116</v>
      </c>
    </row>
    <row r="35" spans="23:28" x14ac:dyDescent="0.25">
      <c r="W35" s="144" t="s">
        <v>203</v>
      </c>
      <c r="X35" s="132">
        <v>3</v>
      </c>
      <c r="Y35" s="132"/>
      <c r="Z35" s="200">
        <f>SUM(X35:Y35)</f>
        <v>3</v>
      </c>
    </row>
    <row r="36" spans="23:28" x14ac:dyDescent="0.25">
      <c r="W36" s="144" t="s">
        <v>204</v>
      </c>
      <c r="X36" s="132">
        <v>3</v>
      </c>
      <c r="Y36" s="132">
        <v>3</v>
      </c>
      <c r="Z36" s="200">
        <f>SUM(X36:Y36)</f>
        <v>6</v>
      </c>
    </row>
    <row r="38" spans="23:28" x14ac:dyDescent="0.25">
      <c r="Z38" s="2" t="s">
        <v>274</v>
      </c>
    </row>
    <row r="39" spans="23:28" x14ac:dyDescent="0.25">
      <c r="W39" s="144" t="str">
        <f>W35</f>
        <v>дизельный</v>
      </c>
      <c r="X39" s="132">
        <v>4176.5177910000002</v>
      </c>
      <c r="Y39" s="132"/>
    </row>
    <row r="40" spans="23:28" x14ac:dyDescent="0.25">
      <c r="W40" s="144" t="str">
        <f>W36</f>
        <v>электрический</v>
      </c>
      <c r="X40" s="132">
        <f>X39</f>
        <v>4176.5177910000002</v>
      </c>
      <c r="Y40" s="132">
        <v>3458.2056339999999</v>
      </c>
    </row>
    <row r="42" spans="23:28" x14ac:dyDescent="0.25">
      <c r="Z42" s="131" t="s">
        <v>241</v>
      </c>
    </row>
    <row r="43" spans="23:28" x14ac:dyDescent="0.25">
      <c r="W43" s="144" t="str">
        <f>W39</f>
        <v>дизельный</v>
      </c>
      <c r="X43" s="132">
        <f>X39*X35</f>
        <v>12529.553373000001</v>
      </c>
      <c r="Y43" s="132">
        <f>Y39*Y35</f>
        <v>0</v>
      </c>
      <c r="Z43" s="200">
        <f>SUM(X43:Y43)</f>
        <v>12529.553373000001</v>
      </c>
    </row>
    <row r="44" spans="23:28" x14ac:dyDescent="0.25">
      <c r="W44" s="144" t="str">
        <f>W40</f>
        <v>электрический</v>
      </c>
      <c r="X44" s="132">
        <f>X40*X36</f>
        <v>12529.553373000001</v>
      </c>
      <c r="Y44" s="132">
        <f>Y40*Y36</f>
        <v>10374.616902</v>
      </c>
      <c r="Z44" s="200">
        <f>SUM(X44:Y44)</f>
        <v>22904.170275</v>
      </c>
    </row>
    <row r="69" spans="23:25" x14ac:dyDescent="0.25">
      <c r="W69" s="131" t="s">
        <v>214</v>
      </c>
      <c r="X69" s="212">
        <f>SUM(X70:X76)</f>
        <v>1060.1895802206991</v>
      </c>
      <c r="Y69" s="131" t="s">
        <v>273</v>
      </c>
    </row>
    <row r="70" spans="23:25" x14ac:dyDescent="0.25">
      <c r="W70" s="144" t="s">
        <v>215</v>
      </c>
      <c r="X70" s="132">
        <v>252.23988627376502</v>
      </c>
    </row>
    <row r="71" spans="23:25" x14ac:dyDescent="0.25">
      <c r="W71" s="144" t="s">
        <v>216</v>
      </c>
      <c r="X71" s="132">
        <v>10.343118949509959</v>
      </c>
    </row>
    <row r="72" spans="23:25" x14ac:dyDescent="0.25">
      <c r="W72" s="144" t="s">
        <v>217</v>
      </c>
      <c r="X72" s="132">
        <v>66.086456380832203</v>
      </c>
    </row>
    <row r="73" spans="23:25" x14ac:dyDescent="0.25">
      <c r="W73" s="144" t="s">
        <v>218</v>
      </c>
      <c r="X73" s="132">
        <v>97.196422781873807</v>
      </c>
    </row>
    <row r="74" spans="23:25" x14ac:dyDescent="0.25">
      <c r="W74" s="144" t="s">
        <v>219</v>
      </c>
      <c r="X74" s="132">
        <v>39.911169141237032</v>
      </c>
    </row>
    <row r="75" spans="23:25" x14ac:dyDescent="0.25">
      <c r="W75" s="144" t="s">
        <v>220</v>
      </c>
      <c r="X75" s="132">
        <v>340.81252669348106</v>
      </c>
    </row>
    <row r="76" spans="23:25" x14ac:dyDescent="0.25">
      <c r="W76" s="144" t="s">
        <v>221</v>
      </c>
      <c r="X76" s="132">
        <v>253.6</v>
      </c>
    </row>
  </sheetData>
  <hyperlinks>
    <hyperlink ref="AB33" r:id="rId1" location="content:210:hdoc" xr:uid="{08377BF9-FDAF-4ED8-8DA5-C8FC19A99427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1C67-09FC-4050-A723-DAD5FD6C4D0D}">
  <sheetPr>
    <tabColor theme="7" tint="0.79998168889431442"/>
  </sheetPr>
  <dimension ref="A2:V53"/>
  <sheetViews>
    <sheetView showGridLines="0" zoomScale="85" zoomScaleNormal="85" zoomScaleSheetLayoutView="85" workbookViewId="0">
      <pane xSplit="4" ySplit="4" topLeftCell="E5" activePane="bottomRight" state="frozen"/>
      <selection activeCell="S28" sqref="S28:U33"/>
      <selection pane="topRight" activeCell="S28" sqref="S28:U33"/>
      <selection pane="bottomLeft" activeCell="S28" sqref="S28:U33"/>
      <selection pane="bottomRight" activeCell="G51" sqref="G51"/>
    </sheetView>
  </sheetViews>
  <sheetFormatPr defaultColWidth="9.125" defaultRowHeight="12.9" x14ac:dyDescent="0.25"/>
  <cols>
    <col min="1" max="1" width="9.875" style="377" customWidth="1"/>
    <col min="2" max="2" width="42.75" style="416" customWidth="1"/>
    <col min="3" max="3" width="12.125" style="379" customWidth="1"/>
    <col min="4" max="4" width="14.625" style="379" customWidth="1"/>
    <col min="5" max="5" width="13.75" style="380" customWidth="1"/>
    <col min="6" max="6" width="13" style="380" customWidth="1"/>
    <col min="7" max="14" width="14" style="380" customWidth="1"/>
    <col min="15" max="15" width="13.875" style="377" customWidth="1"/>
    <col min="16" max="16" width="14" style="377" bestFit="1" customWidth="1"/>
    <col min="17" max="16384" width="9.125" style="377"/>
  </cols>
  <sheetData>
    <row r="2" spans="1:16" ht="16.5" customHeight="1" x14ac:dyDescent="0.25">
      <c r="B2" s="378" t="s">
        <v>327</v>
      </c>
    </row>
    <row r="3" spans="1:16" s="381" customFormat="1" ht="22.6" customHeight="1" thickBot="1" x14ac:dyDescent="0.3">
      <c r="B3" s="382" t="s">
        <v>206</v>
      </c>
      <c r="C3" s="383" t="s">
        <v>328</v>
      </c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5" t="s">
        <v>329</v>
      </c>
    </row>
    <row r="4" spans="1:16" s="391" customFormat="1" ht="13.6" x14ac:dyDescent="0.25">
      <c r="A4" s="386">
        <v>1</v>
      </c>
      <c r="B4" s="387" t="s">
        <v>330</v>
      </c>
      <c r="C4" s="388" t="s">
        <v>7</v>
      </c>
      <c r="D4" s="388">
        <v>0</v>
      </c>
      <c r="E4" s="388">
        <f>D4+1</f>
        <v>1</v>
      </c>
      <c r="F4" s="388">
        <f>E4+1</f>
        <v>2</v>
      </c>
      <c r="G4" s="388">
        <f t="shared" ref="G4:N4" si="0">F4+1</f>
        <v>3</v>
      </c>
      <c r="H4" s="388">
        <f t="shared" si="0"/>
        <v>4</v>
      </c>
      <c r="I4" s="388">
        <f t="shared" si="0"/>
        <v>5</v>
      </c>
      <c r="J4" s="388">
        <f t="shared" si="0"/>
        <v>6</v>
      </c>
      <c r="K4" s="388">
        <f t="shared" si="0"/>
        <v>7</v>
      </c>
      <c r="L4" s="388">
        <f t="shared" si="0"/>
        <v>8</v>
      </c>
      <c r="M4" s="388">
        <f t="shared" si="0"/>
        <v>9</v>
      </c>
      <c r="N4" s="388">
        <f t="shared" si="0"/>
        <v>10</v>
      </c>
      <c r="O4" s="389"/>
      <c r="P4" s="390"/>
    </row>
    <row r="5" spans="1:16" s="391" customFormat="1" ht="13.6" x14ac:dyDescent="0.25">
      <c r="A5" s="386">
        <f>A4+1</f>
        <v>2</v>
      </c>
      <c r="B5" s="392" t="s">
        <v>331</v>
      </c>
      <c r="C5" s="393" t="s">
        <v>20</v>
      </c>
      <c r="D5" s="394" t="s">
        <v>332</v>
      </c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5"/>
      <c r="P5" s="390"/>
    </row>
    <row r="6" spans="1:16" ht="18" customHeight="1" x14ac:dyDescent="0.25">
      <c r="A6" s="386">
        <f t="shared" ref="A6:A14" si="1">A5+1</f>
        <v>3</v>
      </c>
      <c r="B6" s="392" t="s">
        <v>333</v>
      </c>
      <c r="C6" s="393" t="s">
        <v>334</v>
      </c>
      <c r="D6" s="393"/>
      <c r="E6" s="396">
        <f>(8760-E7-E8-E9)/8760</f>
        <v>0.89322361745306944</v>
      </c>
      <c r="F6" s="396">
        <f>(8760-F7-F8-F9)/8760</f>
        <v>0.8669947044647387</v>
      </c>
      <c r="G6" s="396">
        <f t="shared" ref="G6:N6" si="2">(8760-G7-G8-G9)/8760</f>
        <v>0.85358336504312537</v>
      </c>
      <c r="H6" s="396">
        <f t="shared" si="2"/>
        <v>0.86506357813292745</v>
      </c>
      <c r="I6" s="396">
        <f t="shared" si="2"/>
        <v>0.87024876331811263</v>
      </c>
      <c r="J6" s="396">
        <f t="shared" si="2"/>
        <v>0.84426956494165395</v>
      </c>
      <c r="K6" s="396">
        <f t="shared" si="2"/>
        <v>0.85844003678335867</v>
      </c>
      <c r="L6" s="396">
        <f t="shared" si="2"/>
        <v>0.87057949644850341</v>
      </c>
      <c r="M6" s="396">
        <f t="shared" si="2"/>
        <v>0.85290636098427197</v>
      </c>
      <c r="N6" s="396">
        <f t="shared" si="2"/>
        <v>0.85267773338406894</v>
      </c>
      <c r="O6" s="395" t="s">
        <v>335</v>
      </c>
    </row>
    <row r="7" spans="1:16" ht="16.5" customHeight="1" x14ac:dyDescent="0.25">
      <c r="A7" s="386">
        <f t="shared" si="1"/>
        <v>4</v>
      </c>
      <c r="B7" s="397" t="s">
        <v>336</v>
      </c>
      <c r="C7" s="398" t="s">
        <v>337</v>
      </c>
      <c r="D7" s="398"/>
      <c r="E7" s="399">
        <f>'HIFO 75D ТО'!G7</f>
        <v>626.80000000000007</v>
      </c>
      <c r="F7" s="399">
        <f>'HIFO 75D ТО'!H7</f>
        <v>632.47</v>
      </c>
      <c r="G7" s="399">
        <f>'HIFO 75D ТО'!I7</f>
        <v>645.31999999999994</v>
      </c>
      <c r="H7" s="399">
        <f>'HIFO 75D ТО'!J7</f>
        <v>632.47</v>
      </c>
      <c r="I7" s="399">
        <f>'HIFO 75D ТО'!K7</f>
        <v>635.26</v>
      </c>
      <c r="J7" s="399">
        <f>'HIFO 75D ТО'!L7</f>
        <v>642.53</v>
      </c>
      <c r="K7" s="399">
        <f>'HIFO 75D ТО'!M7</f>
        <v>626.80000000000007</v>
      </c>
      <c r="L7" s="399">
        <f>'HIFO 75D ТО'!N7</f>
        <v>640.92999999999995</v>
      </c>
      <c r="M7" s="399">
        <f>'HIFO 75D ТО'!O7</f>
        <v>636.86</v>
      </c>
      <c r="N7" s="399">
        <f>'HIFO 75D ТО'!P7</f>
        <v>640.92999999999995</v>
      </c>
      <c r="O7" s="664"/>
    </row>
    <row r="8" spans="1:16" ht="16.5" customHeight="1" x14ac:dyDescent="0.25">
      <c r="A8" s="386">
        <f t="shared" si="1"/>
        <v>5</v>
      </c>
      <c r="B8" s="397" t="s">
        <v>338</v>
      </c>
      <c r="C8" s="398" t="s">
        <v>337</v>
      </c>
      <c r="D8" s="398"/>
      <c r="E8" s="399">
        <f>'HIFO 75D Рем'!F8</f>
        <v>85.000000000000014</v>
      </c>
      <c r="F8" s="399">
        <f>'HIFO 75D Рем'!G8</f>
        <v>315.65999999999997</v>
      </c>
      <c r="G8" s="399">
        <f>'HIFO 75D Рем'!H8</f>
        <v>423.65000000000003</v>
      </c>
      <c r="H8" s="399">
        <f>'HIFO 75D Рем'!I8</f>
        <v>333.06</v>
      </c>
      <c r="I8" s="399">
        <f>'HIFO 75D Рем'!J8</f>
        <v>283.54999999999995</v>
      </c>
      <c r="J8" s="399">
        <f>'HIFO 75D Рем'!K8</f>
        <v>510.36000000000007</v>
      </c>
      <c r="K8" s="399">
        <f>'HIFO 75D Рем'!L8</f>
        <v>398.41</v>
      </c>
      <c r="L8" s="399">
        <f>'HIFO 75D Рем'!M8</f>
        <v>274.89999999999992</v>
      </c>
      <c r="M8" s="399">
        <f>'HIFO 75D Рем'!N8</f>
        <v>438.21000000000004</v>
      </c>
      <c r="N8" s="399">
        <f>'HIFO 75D Рем'!O8</f>
        <v>436.19999999999993</v>
      </c>
      <c r="O8" s="664"/>
    </row>
    <row r="9" spans="1:16" ht="16.5" customHeight="1" x14ac:dyDescent="0.25">
      <c r="A9" s="386"/>
      <c r="B9" s="397" t="s">
        <v>339</v>
      </c>
      <c r="C9" s="398" t="s">
        <v>337</v>
      </c>
      <c r="D9" s="398"/>
      <c r="E9" s="399">
        <f>(8760-E7-E8)/12*20/60</f>
        <v>223.5611111111111</v>
      </c>
      <c r="F9" s="399">
        <f t="shared" ref="F9:N9" si="3">(8760-F7-F8)/12*20/60</f>
        <v>216.99638888888887</v>
      </c>
      <c r="G9" s="399">
        <f t="shared" si="3"/>
        <v>213.63972222222222</v>
      </c>
      <c r="H9" s="399">
        <f t="shared" si="3"/>
        <v>216.51305555555552</v>
      </c>
      <c r="I9" s="399">
        <f t="shared" si="3"/>
        <v>217.81083333333333</v>
      </c>
      <c r="J9" s="399">
        <f t="shared" si="3"/>
        <v>211.30861111111111</v>
      </c>
      <c r="K9" s="399">
        <f t="shared" si="3"/>
        <v>214.85527777777776</v>
      </c>
      <c r="L9" s="399">
        <f t="shared" si="3"/>
        <v>217.89361111111111</v>
      </c>
      <c r="M9" s="399">
        <f t="shared" si="3"/>
        <v>213.4702777777778</v>
      </c>
      <c r="N9" s="399">
        <f t="shared" si="3"/>
        <v>213.41305555555556</v>
      </c>
      <c r="O9" s="664"/>
    </row>
    <row r="10" spans="1:16" ht="13.6" x14ac:dyDescent="0.25">
      <c r="A10" s="386">
        <f>A8+1</f>
        <v>6</v>
      </c>
      <c r="B10" s="392" t="s">
        <v>340</v>
      </c>
      <c r="C10" s="398"/>
      <c r="D10" s="400" t="s">
        <v>341</v>
      </c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5"/>
    </row>
    <row r="11" spans="1:16" ht="13.6" x14ac:dyDescent="0.25">
      <c r="A11" s="386">
        <f t="shared" si="1"/>
        <v>7</v>
      </c>
      <c r="B11" s="392" t="s">
        <v>225</v>
      </c>
      <c r="C11" s="398" t="s">
        <v>121</v>
      </c>
      <c r="D11" s="400" t="s">
        <v>342</v>
      </c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5"/>
    </row>
    <row r="12" spans="1:16" ht="13.6" x14ac:dyDescent="0.25">
      <c r="A12" s="386">
        <f t="shared" si="1"/>
        <v>8</v>
      </c>
      <c r="B12" s="392" t="s">
        <v>123</v>
      </c>
      <c r="C12" s="398" t="s">
        <v>124</v>
      </c>
      <c r="D12" s="400">
        <v>10.7</v>
      </c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395"/>
    </row>
    <row r="13" spans="1:16" ht="13.6" x14ac:dyDescent="0.25">
      <c r="A13" s="386">
        <f t="shared" si="1"/>
        <v>9</v>
      </c>
      <c r="B13" s="392" t="s">
        <v>125</v>
      </c>
      <c r="C13" s="398" t="s">
        <v>124</v>
      </c>
      <c r="D13" s="402" t="s">
        <v>343</v>
      </c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395"/>
    </row>
    <row r="14" spans="1:16" ht="13.6" x14ac:dyDescent="0.25">
      <c r="A14" s="386">
        <f t="shared" si="1"/>
        <v>10</v>
      </c>
      <c r="B14" s="392" t="s">
        <v>344</v>
      </c>
      <c r="C14" s="398" t="s">
        <v>128</v>
      </c>
      <c r="D14" s="400">
        <v>51.5</v>
      </c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395"/>
    </row>
    <row r="15" spans="1:16" ht="14.3" thickBot="1" x14ac:dyDescent="0.3">
      <c r="A15" s="386"/>
      <c r="B15" s="403" t="s">
        <v>345</v>
      </c>
      <c r="C15" s="404" t="s">
        <v>128</v>
      </c>
      <c r="D15" s="405">
        <v>26.9</v>
      </c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7"/>
    </row>
    <row r="16" spans="1:16" ht="20.25" customHeight="1" thickBot="1" x14ac:dyDescent="0.3">
      <c r="A16" s="386"/>
      <c r="B16" s="408" t="s">
        <v>346</v>
      </c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</row>
    <row r="17" spans="1:22" ht="13.6" x14ac:dyDescent="0.25">
      <c r="A17" s="386">
        <f>A14+1</f>
        <v>11</v>
      </c>
      <c r="B17" s="387" t="s">
        <v>347</v>
      </c>
      <c r="C17" s="409" t="s">
        <v>348</v>
      </c>
      <c r="D17" s="410">
        <v>248</v>
      </c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389"/>
    </row>
    <row r="18" spans="1:22" ht="13.6" x14ac:dyDescent="0.25">
      <c r="A18" s="386">
        <f>A17+1</f>
        <v>12</v>
      </c>
      <c r="B18" s="412" t="s">
        <v>349</v>
      </c>
      <c r="C18" s="398" t="s">
        <v>133</v>
      </c>
      <c r="D18" s="413">
        <v>11800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395"/>
    </row>
    <row r="19" spans="1:22" ht="14.3" thickBot="1" x14ac:dyDescent="0.3">
      <c r="A19" s="386">
        <f>A18+1</f>
        <v>13</v>
      </c>
      <c r="B19" s="403" t="s">
        <v>350</v>
      </c>
      <c r="C19" s="404" t="s">
        <v>135</v>
      </c>
      <c r="D19" s="414" t="s">
        <v>351</v>
      </c>
      <c r="E19" s="415"/>
      <c r="F19" s="406"/>
      <c r="G19" s="406"/>
      <c r="H19" s="406"/>
      <c r="I19" s="406"/>
      <c r="J19" s="406"/>
      <c r="K19" s="406"/>
      <c r="L19" s="406"/>
      <c r="M19" s="406"/>
      <c r="N19" s="406"/>
      <c r="O19" s="407"/>
      <c r="Q19" s="377" t="s">
        <v>176</v>
      </c>
      <c r="T19" s="377" t="s">
        <v>546</v>
      </c>
      <c r="U19" s="678">
        <f>'ФОТ, МТР, макро'!AI8/'ФОТ, МТР, макро'!AI7</f>
        <v>1.125</v>
      </c>
    </row>
    <row r="20" spans="1:22" ht="13.6" thickBot="1" x14ac:dyDescent="0.3">
      <c r="A20" s="386"/>
      <c r="E20" s="380">
        <f>E21/7</f>
        <v>18.29331004047847</v>
      </c>
      <c r="F20" s="380">
        <f t="shared" ref="F20:N20" si="4">F21/7</f>
        <v>56.186188002979108</v>
      </c>
      <c r="G20" s="380">
        <f t="shared" si="4"/>
        <v>102.23813673861059</v>
      </c>
      <c r="H20" s="380">
        <f t="shared" si="4"/>
        <v>83.269465100456642</v>
      </c>
      <c r="I20" s="380">
        <f t="shared" si="4"/>
        <v>108.62896678998321</v>
      </c>
      <c r="J20" s="380">
        <f t="shared" si="4"/>
        <v>79.578565396597682</v>
      </c>
      <c r="K20" s="380">
        <f t="shared" si="4"/>
        <v>89.048450855194815</v>
      </c>
      <c r="L20" s="380">
        <f t="shared" si="4"/>
        <v>88.728050368010557</v>
      </c>
      <c r="M20" s="380">
        <f t="shared" si="4"/>
        <v>128.19009218853003</v>
      </c>
      <c r="N20" s="380">
        <f t="shared" si="4"/>
        <v>41.706479825307042</v>
      </c>
      <c r="Q20" s="377" t="s">
        <v>545</v>
      </c>
    </row>
    <row r="21" spans="1:22" ht="23.3" customHeight="1" x14ac:dyDescent="0.25">
      <c r="A21" s="386">
        <f>A19+1</f>
        <v>14</v>
      </c>
      <c r="B21" s="387" t="s">
        <v>352</v>
      </c>
      <c r="C21" s="417" t="s">
        <v>353</v>
      </c>
      <c r="D21" s="417"/>
      <c r="E21" s="418">
        <f>SUM(E22:E26)</f>
        <v>128.05317028334929</v>
      </c>
      <c r="F21" s="418">
        <f t="shared" ref="F21:N21" si="5">SUM(F22:F26)</f>
        <v>393.30331602085374</v>
      </c>
      <c r="G21" s="418">
        <f t="shared" si="5"/>
        <v>715.66695717027415</v>
      </c>
      <c r="H21" s="418">
        <f t="shared" si="5"/>
        <v>582.88625570319653</v>
      </c>
      <c r="I21" s="418">
        <f t="shared" si="5"/>
        <v>760.40276752988245</v>
      </c>
      <c r="J21" s="418">
        <f t="shared" si="5"/>
        <v>557.04995777618376</v>
      </c>
      <c r="K21" s="418">
        <f t="shared" si="5"/>
        <v>623.33915598636372</v>
      </c>
      <c r="L21" s="418">
        <f t="shared" si="5"/>
        <v>621.09635257607385</v>
      </c>
      <c r="M21" s="418">
        <f t="shared" si="5"/>
        <v>897.33064531971013</v>
      </c>
      <c r="N21" s="418">
        <f t="shared" si="5"/>
        <v>291.94535877714929</v>
      </c>
      <c r="O21" s="665"/>
      <c r="Q21" s="668">
        <f>SUM(E21:N21)</f>
        <v>5571.0739371430373</v>
      </c>
      <c r="R21" s="668">
        <f>Q21/$N$4</f>
        <v>557.10739371430373</v>
      </c>
      <c r="T21" s="668">
        <f>Q21*$U$19</f>
        <v>6267.4581792859171</v>
      </c>
      <c r="U21" s="668">
        <f t="shared" ref="U21:U26" si="6">R21*$U$19</f>
        <v>626.74581792859169</v>
      </c>
      <c r="V21" s="1215">
        <f>U21*'ФОТ, МТР, макро'!$AI$7</f>
        <v>50139.665434287337</v>
      </c>
    </row>
    <row r="22" spans="1:22" x14ac:dyDescent="0.25">
      <c r="A22" s="386">
        <f>A21+1</f>
        <v>15</v>
      </c>
      <c r="B22" s="419" t="s">
        <v>354</v>
      </c>
      <c r="C22" s="420"/>
      <c r="D22" s="420"/>
      <c r="E22" s="421">
        <f>'HIFO 75D ТО'!G9/1000</f>
        <v>74.955219516562664</v>
      </c>
      <c r="F22" s="421">
        <f>'HIFO 75D ТО'!H9/1000</f>
        <v>78.685548969275089</v>
      </c>
      <c r="G22" s="421">
        <f>'HIFO 75D ТО'!I9/1000</f>
        <v>101.76629511785887</v>
      </c>
      <c r="H22" s="421">
        <f>'HIFO 75D ТО'!J9/1000</f>
        <v>78.685548969275089</v>
      </c>
      <c r="I22" s="421">
        <f>'HIFO 75D ТО'!K9/1000</f>
        <v>100.97286806072972</v>
      </c>
      <c r="J22" s="421">
        <f>'HIFO 75D ТО'!L9/1000</f>
        <v>79.478976026404212</v>
      </c>
      <c r="K22" s="421">
        <f>'HIFO 75D ТО'!M9/1000</f>
        <v>74.955219516562664</v>
      </c>
      <c r="L22" s="421">
        <f>'HIFO 75D ТО'!N9/1000</f>
        <v>104.70319751344215</v>
      </c>
      <c r="M22" s="421">
        <f>'HIFO 75D ТО'!O9/1000</f>
        <v>75.748646573691801</v>
      </c>
      <c r="N22" s="421">
        <f>'HIFO 75D ТО'!P9/1000</f>
        <v>104.70319751344215</v>
      </c>
      <c r="O22" s="664"/>
      <c r="Q22" s="667">
        <f t="shared" ref="Q22:Q26" si="7">SUM(E22:N22)</f>
        <v>874.65471777724429</v>
      </c>
      <c r="R22" s="667">
        <f t="shared" ref="R22:R26" si="8">Q22/$N$4</f>
        <v>87.465471777724431</v>
      </c>
      <c r="T22" s="667">
        <f t="shared" ref="T22:T26" si="9">Q22*$U$19</f>
        <v>983.98655749939985</v>
      </c>
      <c r="U22" s="667">
        <f t="shared" si="6"/>
        <v>98.398655749939991</v>
      </c>
    </row>
    <row r="23" spans="1:22" x14ac:dyDescent="0.25">
      <c r="A23" s="386">
        <f t="shared" ref="A23:A26" si="10">A22+1</f>
        <v>16</v>
      </c>
      <c r="B23" s="419" t="s">
        <v>355</v>
      </c>
      <c r="C23" s="420"/>
      <c r="D23" s="420"/>
      <c r="E23" s="421">
        <f>'HIFO 75D Рем'!F10/1000</f>
        <v>4.5068199999999985</v>
      </c>
      <c r="F23" s="421">
        <f>'HIFO 75D Рем'!G10/1000</f>
        <v>55.6417</v>
      </c>
      <c r="G23" s="421">
        <f>'HIFO 75D Рем'!H10/1000</f>
        <v>136.24929999999998</v>
      </c>
      <c r="H23" s="421">
        <f>'HIFO 75D Рем'!I10/1000</f>
        <v>12.468179999999998</v>
      </c>
      <c r="I23" s="421">
        <f>'HIFO 75D Рем'!J10/1000</f>
        <v>1.0423399999999998</v>
      </c>
      <c r="J23" s="421">
        <f>'HIFO 75D Рем'!K10/1000</f>
        <v>62.52169</v>
      </c>
      <c r="K23" s="421">
        <f>'HIFO 75D Рем'!L10/1000</f>
        <v>136.39325999999997</v>
      </c>
      <c r="L23" s="421">
        <f>'HIFO 75D Рем'!M10/1000</f>
        <v>9.0969200000000008</v>
      </c>
      <c r="M23" s="421">
        <f>'HIFO 75D Рем'!N10/1000</f>
        <v>4.4135999999999997</v>
      </c>
      <c r="N23" s="421">
        <f>'HIFO 75D Рем'!O10/1000</f>
        <v>71.836787000000001</v>
      </c>
      <c r="O23" s="664"/>
      <c r="Q23" s="667">
        <f t="shared" si="7"/>
        <v>494.17059699999993</v>
      </c>
      <c r="R23" s="667">
        <f t="shared" si="8"/>
        <v>49.417059699999996</v>
      </c>
      <c r="T23" s="667">
        <f t="shared" si="9"/>
        <v>555.94192162499996</v>
      </c>
      <c r="U23" s="667">
        <f t="shared" si="6"/>
        <v>55.594192162499994</v>
      </c>
    </row>
    <row r="24" spans="1:22" ht="25.85" x14ac:dyDescent="0.25">
      <c r="A24" s="386">
        <f t="shared" si="10"/>
        <v>17</v>
      </c>
      <c r="B24" s="419" t="s">
        <v>356</v>
      </c>
      <c r="C24" s="420"/>
      <c r="D24" s="420"/>
      <c r="E24" s="421">
        <f>'HIFO 75D Рем'!F11/1000</f>
        <v>7.3823820840000005</v>
      </c>
      <c r="F24" s="421">
        <f>'HIFO 75D Рем'!G11/1000</f>
        <v>204.08529592400004</v>
      </c>
      <c r="G24" s="421">
        <f>'HIFO 75D Рем'!H11/1000</f>
        <v>415.76471400600002</v>
      </c>
      <c r="H24" s="421">
        <f>'HIFO 75D Рем'!I11/1000</f>
        <v>435.83440490799995</v>
      </c>
      <c r="I24" s="421">
        <f>'HIFO 75D Рем'!J11/1000</f>
        <v>605.19423216200016</v>
      </c>
      <c r="J24" s="421">
        <f>'HIFO 75D Рем'!K11/1000</f>
        <v>348.30420286400005</v>
      </c>
      <c r="K24" s="421">
        <f>'HIFO 75D Рем'!L11/1000</f>
        <v>352.637457536</v>
      </c>
      <c r="L24" s="421">
        <f>'HIFO 75D Рем'!M11/1000</f>
        <v>454.27543103599999</v>
      </c>
      <c r="M24" s="421">
        <f>'HIFO 75D Рем'!N11/1000</f>
        <v>754.928599018</v>
      </c>
      <c r="N24" s="421">
        <f>'HIFO 75D Рем'!O11/1000</f>
        <v>53.046313476000002</v>
      </c>
      <c r="O24" s="664"/>
      <c r="Q24" s="667">
        <f t="shared" si="7"/>
        <v>3631.4530330140001</v>
      </c>
      <c r="R24" s="667">
        <f t="shared" si="8"/>
        <v>363.14530330140002</v>
      </c>
      <c r="T24" s="667">
        <f t="shared" si="9"/>
        <v>4085.3846621407502</v>
      </c>
      <c r="U24" s="667">
        <f t="shared" si="6"/>
        <v>408.53846621407502</v>
      </c>
    </row>
    <row r="25" spans="1:22" x14ac:dyDescent="0.25">
      <c r="A25" s="386">
        <f t="shared" si="10"/>
        <v>18</v>
      </c>
      <c r="B25" s="419" t="s">
        <v>357</v>
      </c>
      <c r="C25" s="420"/>
      <c r="D25" s="420"/>
      <c r="E25" s="421">
        <f>'HIFO 75D ТО'!G10/1000</f>
        <v>36.287782627663177</v>
      </c>
      <c r="F25" s="421">
        <f>'HIFO 75D ТО'!H10/1000</f>
        <v>36.616040010399054</v>
      </c>
      <c r="G25" s="421">
        <f>'HIFO 75D ТО'!I10/1000</f>
        <v>37.359974290497121</v>
      </c>
      <c r="H25" s="421">
        <f>'HIFO 75D ТО'!J10/1000</f>
        <v>36.616040010399054</v>
      </c>
      <c r="I25" s="421">
        <f>'HIFO 75D ТО'!K10/1000</f>
        <v>36.777563484443696</v>
      </c>
      <c r="J25" s="421">
        <f>'HIFO 75D ТО'!L10/1000</f>
        <v>37.198450816452478</v>
      </c>
      <c r="K25" s="421">
        <f>'HIFO 75D ТО'!M10/1000</f>
        <v>36.287782627663177</v>
      </c>
      <c r="L25" s="421">
        <f>'HIFO 75D ТО'!N10/1000</f>
        <v>37.105820867179574</v>
      </c>
      <c r="M25" s="421">
        <f>'HIFO 75D ТО'!O10/1000</f>
        <v>36.870193433716601</v>
      </c>
      <c r="N25" s="421">
        <f>'HIFO 75D ТО'!P10/1000</f>
        <v>37.105820867179574</v>
      </c>
      <c r="O25" s="664"/>
      <c r="Q25" s="667">
        <f t="shared" si="7"/>
        <v>368.22546903559351</v>
      </c>
      <c r="R25" s="667">
        <f t="shared" si="8"/>
        <v>36.822546903559349</v>
      </c>
      <c r="T25" s="667">
        <f t="shared" si="9"/>
        <v>414.25365266504269</v>
      </c>
      <c r="U25" s="667">
        <f t="shared" si="6"/>
        <v>41.425365266504265</v>
      </c>
    </row>
    <row r="26" spans="1:22" ht="13.6" thickBot="1" x14ac:dyDescent="0.3">
      <c r="A26" s="386">
        <f t="shared" si="10"/>
        <v>19</v>
      </c>
      <c r="B26" s="422" t="s">
        <v>358</v>
      </c>
      <c r="C26" s="423"/>
      <c r="D26" s="423"/>
      <c r="E26" s="424">
        <f>'HIFO 75D Рем'!F12/1000</f>
        <v>4.9209660551234347</v>
      </c>
      <c r="F26" s="424">
        <f>'HIFO 75D Рем'!G12/1000</f>
        <v>18.274731117179581</v>
      </c>
      <c r="G26" s="424">
        <f>'HIFO 75D Рем'!H12/1000</f>
        <v>24.526673755918164</v>
      </c>
      <c r="H26" s="424">
        <f>'HIFO 75D Рем'!I12/1000</f>
        <v>19.282081815522496</v>
      </c>
      <c r="I26" s="424">
        <f>'HIFO 75D Рем'!J12/1000</f>
        <v>16.415763822708829</v>
      </c>
      <c r="J26" s="424">
        <f>'HIFO 75D Рем'!K12/1000</f>
        <v>29.546638069327035</v>
      </c>
      <c r="K26" s="424">
        <f>'HIFO 75D Рем'!L12/1000</f>
        <v>23.065436306137986</v>
      </c>
      <c r="L26" s="424">
        <f>'HIFO 75D Рем'!M12/1000</f>
        <v>15.91498315945215</v>
      </c>
      <c r="M26" s="424">
        <f>'HIFO 75D Рем'!N12/1000</f>
        <v>25.369606294301665</v>
      </c>
      <c r="N26" s="424">
        <f>'HIFO 75D Рем'!O12/1000</f>
        <v>25.253239920527566</v>
      </c>
      <c r="O26" s="666"/>
      <c r="Q26" s="667">
        <f t="shared" si="7"/>
        <v>202.57012031619891</v>
      </c>
      <c r="R26" s="667">
        <f t="shared" si="8"/>
        <v>20.25701203161989</v>
      </c>
      <c r="T26" s="667">
        <f t="shared" si="9"/>
        <v>227.89138535572377</v>
      </c>
      <c r="U26" s="667">
        <f t="shared" si="6"/>
        <v>22.789138535572377</v>
      </c>
    </row>
    <row r="27" spans="1:22" ht="13.6" thickBot="1" x14ac:dyDescent="0.3">
      <c r="A27" s="386"/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</row>
    <row r="28" spans="1:22" ht="19.55" customHeight="1" x14ac:dyDescent="0.25">
      <c r="A28" s="386">
        <f>A26+1</f>
        <v>20</v>
      </c>
      <c r="B28" s="425" t="s">
        <v>359</v>
      </c>
      <c r="C28" s="417"/>
      <c r="D28" s="417"/>
      <c r="E28" s="426">
        <f>E32+E35+E38+E41+E44</f>
        <v>128401</v>
      </c>
      <c r="F28" s="426">
        <f t="shared" ref="F28:N28" si="11">F32+F35+F38+F41+F44</f>
        <v>128401</v>
      </c>
      <c r="G28" s="426">
        <f t="shared" si="11"/>
        <v>128401</v>
      </c>
      <c r="H28" s="426">
        <f t="shared" si="11"/>
        <v>128401</v>
      </c>
      <c r="I28" s="426">
        <f t="shared" si="11"/>
        <v>128401</v>
      </c>
      <c r="J28" s="426">
        <f t="shared" si="11"/>
        <v>128401</v>
      </c>
      <c r="K28" s="426">
        <f t="shared" si="11"/>
        <v>128401</v>
      </c>
      <c r="L28" s="426">
        <f t="shared" si="11"/>
        <v>128401</v>
      </c>
      <c r="M28" s="426">
        <f t="shared" si="11"/>
        <v>128401</v>
      </c>
      <c r="N28" s="426">
        <f t="shared" si="11"/>
        <v>128401</v>
      </c>
      <c r="O28" s="389"/>
    </row>
    <row r="29" spans="1:22" ht="19.55" customHeight="1" x14ac:dyDescent="0.25">
      <c r="A29" s="386">
        <f>A28+1</f>
        <v>21</v>
      </c>
      <c r="B29" s="427" t="s">
        <v>346</v>
      </c>
      <c r="C29" s="377"/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428"/>
    </row>
    <row r="30" spans="1:22" x14ac:dyDescent="0.25">
      <c r="A30" s="386">
        <f t="shared" ref="A30:A40" si="12">A29+1</f>
        <v>22</v>
      </c>
      <c r="B30" s="429" t="s">
        <v>360</v>
      </c>
      <c r="C30" s="430" t="s">
        <v>361</v>
      </c>
      <c r="D30" s="398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395"/>
    </row>
    <row r="31" spans="1:22" ht="16.5" customHeight="1" x14ac:dyDescent="0.25">
      <c r="A31" s="386">
        <f t="shared" si="12"/>
        <v>23</v>
      </c>
      <c r="B31" s="431" t="s">
        <v>48</v>
      </c>
      <c r="C31" s="432">
        <v>60</v>
      </c>
      <c r="D31" s="398"/>
      <c r="E31" s="401"/>
      <c r="F31" s="401"/>
      <c r="G31" s="401"/>
      <c r="H31" s="401"/>
      <c r="I31" s="401"/>
      <c r="J31" s="401"/>
      <c r="K31" s="401"/>
      <c r="L31" s="401"/>
      <c r="M31" s="401"/>
      <c r="N31" s="401"/>
      <c r="O31" s="395"/>
    </row>
    <row r="32" spans="1:22" ht="13.6" customHeight="1" x14ac:dyDescent="0.25">
      <c r="A32" s="386">
        <f t="shared" si="12"/>
        <v>24</v>
      </c>
      <c r="B32" s="431" t="s">
        <v>362</v>
      </c>
      <c r="C32" s="433">
        <v>1750</v>
      </c>
      <c r="D32" s="434"/>
      <c r="E32" s="435">
        <f>$C$31*$C$32</f>
        <v>105000</v>
      </c>
      <c r="F32" s="435">
        <f t="shared" ref="F32:N32" si="13">$C$31*$C$32</f>
        <v>105000</v>
      </c>
      <c r="G32" s="435">
        <f t="shared" si="13"/>
        <v>105000</v>
      </c>
      <c r="H32" s="435">
        <f t="shared" si="13"/>
        <v>105000</v>
      </c>
      <c r="I32" s="435">
        <f t="shared" si="13"/>
        <v>105000</v>
      </c>
      <c r="J32" s="435">
        <f>$C$31*$C$32</f>
        <v>105000</v>
      </c>
      <c r="K32" s="435">
        <f t="shared" si="13"/>
        <v>105000</v>
      </c>
      <c r="L32" s="435">
        <f t="shared" si="13"/>
        <v>105000</v>
      </c>
      <c r="M32" s="435">
        <f t="shared" si="13"/>
        <v>105000</v>
      </c>
      <c r="N32" s="435">
        <f t="shared" si="13"/>
        <v>105000</v>
      </c>
      <c r="O32" s="395"/>
    </row>
    <row r="33" spans="1:17" x14ac:dyDescent="0.25">
      <c r="A33" s="386">
        <f t="shared" si="12"/>
        <v>25</v>
      </c>
      <c r="B33" s="429" t="s">
        <v>363</v>
      </c>
      <c r="C33" s="430" t="s">
        <v>361</v>
      </c>
      <c r="D33" s="434"/>
      <c r="E33" s="435"/>
      <c r="F33" s="436"/>
      <c r="G33" s="436"/>
      <c r="H33" s="436"/>
      <c r="I33" s="436"/>
      <c r="J33" s="436"/>
      <c r="K33" s="436"/>
      <c r="L33" s="436"/>
      <c r="M33" s="436"/>
      <c r="N33" s="436"/>
      <c r="O33" s="395"/>
    </row>
    <row r="34" spans="1:17" ht="13.6" customHeight="1" x14ac:dyDescent="0.25">
      <c r="A34" s="386">
        <f t="shared" si="12"/>
        <v>26</v>
      </c>
      <c r="B34" s="431" t="s">
        <v>48</v>
      </c>
      <c r="C34" s="437">
        <v>8</v>
      </c>
      <c r="D34" s="434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395"/>
    </row>
    <row r="35" spans="1:17" ht="13.6" customHeight="1" x14ac:dyDescent="0.25">
      <c r="A35" s="386">
        <f t="shared" si="12"/>
        <v>27</v>
      </c>
      <c r="B35" s="431" t="s">
        <v>362</v>
      </c>
      <c r="C35" s="438">
        <v>2114</v>
      </c>
      <c r="D35" s="434"/>
      <c r="E35" s="435">
        <f>$C$34*$C$35</f>
        <v>16912</v>
      </c>
      <c r="F35" s="435">
        <f t="shared" ref="F35:N35" si="14">$C$34*$C$35</f>
        <v>16912</v>
      </c>
      <c r="G35" s="435">
        <f t="shared" si="14"/>
        <v>16912</v>
      </c>
      <c r="H35" s="435">
        <f t="shared" si="14"/>
        <v>16912</v>
      </c>
      <c r="I35" s="435">
        <f t="shared" si="14"/>
        <v>16912</v>
      </c>
      <c r="J35" s="435">
        <f t="shared" si="14"/>
        <v>16912</v>
      </c>
      <c r="K35" s="435">
        <f t="shared" si="14"/>
        <v>16912</v>
      </c>
      <c r="L35" s="435">
        <f t="shared" si="14"/>
        <v>16912</v>
      </c>
      <c r="M35" s="435">
        <f t="shared" si="14"/>
        <v>16912</v>
      </c>
      <c r="N35" s="435">
        <f t="shared" si="14"/>
        <v>16912</v>
      </c>
      <c r="O35" s="395"/>
    </row>
    <row r="36" spans="1:17" x14ac:dyDescent="0.25">
      <c r="A36" s="386">
        <f t="shared" si="12"/>
        <v>28</v>
      </c>
      <c r="B36" s="429" t="s">
        <v>364</v>
      </c>
      <c r="C36" s="430" t="s">
        <v>361</v>
      </c>
      <c r="D36" s="439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395"/>
    </row>
    <row r="37" spans="1:17" x14ac:dyDescent="0.25">
      <c r="A37" s="386">
        <f t="shared" si="12"/>
        <v>29</v>
      </c>
      <c r="B37" s="431" t="s">
        <v>48</v>
      </c>
      <c r="C37" s="437">
        <v>3</v>
      </c>
      <c r="D37" s="439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395"/>
    </row>
    <row r="38" spans="1:17" x14ac:dyDescent="0.25">
      <c r="A38" s="386">
        <f t="shared" si="12"/>
        <v>30</v>
      </c>
      <c r="B38" s="431" t="s">
        <v>362</v>
      </c>
      <c r="C38" s="438">
        <v>583</v>
      </c>
      <c r="D38" s="439"/>
      <c r="E38" s="435">
        <f>$C$37*$C$38</f>
        <v>1749</v>
      </c>
      <c r="F38" s="435">
        <f t="shared" ref="F38:N38" si="15">$C$37*$C$38</f>
        <v>1749</v>
      </c>
      <c r="G38" s="435">
        <f t="shared" si="15"/>
        <v>1749</v>
      </c>
      <c r="H38" s="435">
        <f t="shared" si="15"/>
        <v>1749</v>
      </c>
      <c r="I38" s="435">
        <f t="shared" si="15"/>
        <v>1749</v>
      </c>
      <c r="J38" s="435">
        <f t="shared" si="15"/>
        <v>1749</v>
      </c>
      <c r="K38" s="435">
        <f t="shared" si="15"/>
        <v>1749</v>
      </c>
      <c r="L38" s="435">
        <f t="shared" si="15"/>
        <v>1749</v>
      </c>
      <c r="M38" s="435">
        <f t="shared" si="15"/>
        <v>1749</v>
      </c>
      <c r="N38" s="435">
        <f t="shared" si="15"/>
        <v>1749</v>
      </c>
      <c r="O38" s="395"/>
    </row>
    <row r="39" spans="1:17" x14ac:dyDescent="0.25">
      <c r="A39" s="386">
        <f t="shared" si="12"/>
        <v>31</v>
      </c>
      <c r="B39" s="429" t="s">
        <v>365</v>
      </c>
      <c r="C39" s="430" t="s">
        <v>361</v>
      </c>
      <c r="D39" s="439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395"/>
    </row>
    <row r="40" spans="1:17" x14ac:dyDescent="0.25">
      <c r="A40" s="386">
        <f t="shared" si="12"/>
        <v>32</v>
      </c>
      <c r="B40" s="431" t="s">
        <v>48</v>
      </c>
      <c r="C40" s="437">
        <v>3</v>
      </c>
      <c r="D40" s="439"/>
      <c r="E40" s="401"/>
      <c r="F40" s="401"/>
      <c r="G40" s="401"/>
      <c r="H40" s="401"/>
      <c r="I40" s="401"/>
      <c r="J40" s="401"/>
      <c r="K40" s="401"/>
      <c r="L40" s="401"/>
      <c r="M40" s="401"/>
      <c r="N40" s="401"/>
      <c r="O40" s="395"/>
    </row>
    <row r="41" spans="1:17" x14ac:dyDescent="0.25">
      <c r="A41" s="386"/>
      <c r="B41" s="431" t="s">
        <v>362</v>
      </c>
      <c r="C41" s="438">
        <v>612</v>
      </c>
      <c r="D41" s="439"/>
      <c r="E41" s="435">
        <f>$C$40*$C$41</f>
        <v>1836</v>
      </c>
      <c r="F41" s="435">
        <f t="shared" ref="F41:N41" si="16">$C$40*$C$41</f>
        <v>1836</v>
      </c>
      <c r="G41" s="435">
        <f t="shared" si="16"/>
        <v>1836</v>
      </c>
      <c r="H41" s="435">
        <f t="shared" si="16"/>
        <v>1836</v>
      </c>
      <c r="I41" s="435">
        <f t="shared" si="16"/>
        <v>1836</v>
      </c>
      <c r="J41" s="435">
        <f t="shared" si="16"/>
        <v>1836</v>
      </c>
      <c r="K41" s="435">
        <f t="shared" si="16"/>
        <v>1836</v>
      </c>
      <c r="L41" s="435">
        <f t="shared" si="16"/>
        <v>1836</v>
      </c>
      <c r="M41" s="435">
        <f t="shared" si="16"/>
        <v>1836</v>
      </c>
      <c r="N41" s="435">
        <f t="shared" si="16"/>
        <v>1836</v>
      </c>
      <c r="O41" s="395"/>
    </row>
    <row r="42" spans="1:17" x14ac:dyDescent="0.25">
      <c r="A42" s="386"/>
      <c r="B42" s="429" t="s">
        <v>366</v>
      </c>
      <c r="C42" s="430" t="s">
        <v>361</v>
      </c>
      <c r="D42" s="439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395"/>
    </row>
    <row r="43" spans="1:17" x14ac:dyDescent="0.25">
      <c r="A43" s="386"/>
      <c r="B43" s="431" t="s">
        <v>48</v>
      </c>
      <c r="C43" s="437">
        <v>4</v>
      </c>
      <c r="D43" s="439"/>
      <c r="E43" s="401"/>
      <c r="F43" s="401"/>
      <c r="G43" s="401"/>
      <c r="H43" s="401"/>
      <c r="I43" s="401"/>
      <c r="J43" s="401"/>
      <c r="K43" s="401"/>
      <c r="L43" s="401"/>
      <c r="M43" s="401"/>
      <c r="N43" s="401"/>
      <c r="O43" s="395"/>
    </row>
    <row r="44" spans="1:17" x14ac:dyDescent="0.25">
      <c r="A44" s="386">
        <f>A40+1</f>
        <v>33</v>
      </c>
      <c r="B44" s="431" t="s">
        <v>362</v>
      </c>
      <c r="C44" s="438">
        <v>726</v>
      </c>
      <c r="D44" s="439"/>
      <c r="E44" s="435">
        <f>$C$43*$C$44</f>
        <v>2904</v>
      </c>
      <c r="F44" s="435">
        <f t="shared" ref="F44:N44" si="17">$C$43*$C$44</f>
        <v>2904</v>
      </c>
      <c r="G44" s="435">
        <f t="shared" si="17"/>
        <v>2904</v>
      </c>
      <c r="H44" s="435">
        <f t="shared" si="17"/>
        <v>2904</v>
      </c>
      <c r="I44" s="435">
        <f t="shared" si="17"/>
        <v>2904</v>
      </c>
      <c r="J44" s="435">
        <f t="shared" si="17"/>
        <v>2904</v>
      </c>
      <c r="K44" s="435">
        <f t="shared" si="17"/>
        <v>2904</v>
      </c>
      <c r="L44" s="435">
        <f t="shared" si="17"/>
        <v>2904</v>
      </c>
      <c r="M44" s="435">
        <f t="shared" si="17"/>
        <v>2904</v>
      </c>
      <c r="N44" s="435">
        <f t="shared" si="17"/>
        <v>2904</v>
      </c>
      <c r="O44" s="395"/>
    </row>
    <row r="45" spans="1:17" ht="13.6" thickBot="1" x14ac:dyDescent="0.3">
      <c r="A45" s="386"/>
      <c r="B45" s="441"/>
      <c r="C45" s="442"/>
      <c r="D45" s="443"/>
      <c r="E45" s="444"/>
      <c r="F45" s="445"/>
      <c r="G45" s="445"/>
      <c r="H45" s="445"/>
      <c r="I45" s="445"/>
      <c r="J45" s="445"/>
      <c r="K45" s="445"/>
      <c r="L45" s="445"/>
      <c r="M45" s="445"/>
      <c r="N45" s="445"/>
      <c r="O45" s="446"/>
    </row>
    <row r="46" spans="1:17" ht="13.6" x14ac:dyDescent="0.25">
      <c r="A46" s="386">
        <f>A44+1</f>
        <v>34</v>
      </c>
      <c r="B46" s="447" t="s">
        <v>367</v>
      </c>
      <c r="C46" s="448"/>
      <c r="D46" s="448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389"/>
    </row>
    <row r="47" spans="1:17" ht="23.95" customHeight="1" x14ac:dyDescent="0.25">
      <c r="A47" s="386">
        <f t="shared" ref="A47:A48" si="18">A46+1</f>
        <v>35</v>
      </c>
      <c r="B47" s="431" t="s">
        <v>48</v>
      </c>
      <c r="C47" s="450" t="s">
        <v>368</v>
      </c>
      <c r="D47" s="451" t="s">
        <v>369</v>
      </c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395"/>
      <c r="Q47" s="678">
        <v>110</v>
      </c>
    </row>
    <row r="48" spans="1:17" ht="18" customHeight="1" thickBot="1" x14ac:dyDescent="0.3">
      <c r="A48" s="386">
        <f t="shared" si="18"/>
        <v>36</v>
      </c>
      <c r="B48" s="403" t="s">
        <v>370</v>
      </c>
      <c r="C48" s="452" t="s">
        <v>371</v>
      </c>
      <c r="D48" s="453" t="s">
        <v>372</v>
      </c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5"/>
    </row>
    <row r="51" spans="5:16" ht="13.6" x14ac:dyDescent="0.25">
      <c r="E51" s="669">
        <f>E21/(365*24*E6)*1000</f>
        <v>16.365377636172685</v>
      </c>
      <c r="F51" s="669">
        <f t="shared" ref="F51:N51" si="19">F21/(365*24*F6)*1000</f>
        <v>51.785366835527164</v>
      </c>
      <c r="G51" s="669">
        <f t="shared" si="19"/>
        <v>95.710793550148182</v>
      </c>
      <c r="H51" s="669">
        <f t="shared" si="19"/>
        <v>76.91865498530214</v>
      </c>
      <c r="I51" s="669">
        <f t="shared" si="19"/>
        <v>99.746155990083025</v>
      </c>
      <c r="J51" s="669">
        <f t="shared" si="19"/>
        <v>75.319756235351306</v>
      </c>
      <c r="K51" s="669">
        <f t="shared" si="19"/>
        <v>82.891564755785581</v>
      </c>
      <c r="L51" s="669">
        <f t="shared" si="19"/>
        <v>81.441626411675912</v>
      </c>
      <c r="M51" s="669">
        <f t="shared" si="19"/>
        <v>120.10111526811774</v>
      </c>
      <c r="N51" s="669">
        <f t="shared" si="19"/>
        <v>39.085218771398019</v>
      </c>
      <c r="O51" s="670">
        <f>SUMPRODUCT(E51:N51,E6:N6)/SUM(E6:N6)</f>
        <v>73.709815294837028</v>
      </c>
      <c r="P51" s="377" t="s">
        <v>176</v>
      </c>
    </row>
    <row r="53" spans="5:16" ht="13.6" x14ac:dyDescent="0.25">
      <c r="E53" s="669">
        <f>E51*$U$19</f>
        <v>18.411049840694272</v>
      </c>
      <c r="F53" s="669">
        <f t="shared" ref="F53:O53" si="20">F51*$U$19</f>
        <v>58.258537689968058</v>
      </c>
      <c r="G53" s="669">
        <f t="shared" si="20"/>
        <v>107.67464274391671</v>
      </c>
      <c r="H53" s="669">
        <f t="shared" si="20"/>
        <v>86.533486858464912</v>
      </c>
      <c r="I53" s="669">
        <f t="shared" si="20"/>
        <v>112.2144254888434</v>
      </c>
      <c r="J53" s="669">
        <f t="shared" si="20"/>
        <v>84.734725764770218</v>
      </c>
      <c r="K53" s="669">
        <f t="shared" si="20"/>
        <v>93.253010350258776</v>
      </c>
      <c r="L53" s="669">
        <f t="shared" si="20"/>
        <v>91.621829713135398</v>
      </c>
      <c r="M53" s="669">
        <f t="shared" si="20"/>
        <v>135.11375467663245</v>
      </c>
      <c r="N53" s="669">
        <f t="shared" si="20"/>
        <v>43.970871117822767</v>
      </c>
      <c r="O53" s="670">
        <f t="shared" si="20"/>
        <v>82.92354220669165</v>
      </c>
      <c r="P53" s="377" t="s">
        <v>546</v>
      </c>
    </row>
  </sheetData>
  <dataValidations count="1">
    <dataValidation type="list" allowBlank="1" showInputMessage="1" showErrorMessage="1" sqref="C46" xr:uid="{4BA90295-1D59-4F86-B531-EA51EAA772ED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53" orientation="landscape" r:id="rId1"/>
  <headerFooter alignWithMargins="0">
    <oddFooter>&amp;R&amp;"Arial Cyr,полужирный курсив"&amp;12&amp;A,  стр.&amp;P из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7E20-3B3A-41DC-9624-73235F28186B}">
  <sheetPr>
    <tabColor theme="7" tint="0.79998168889431442"/>
  </sheetPr>
  <dimension ref="B2:AC61"/>
  <sheetViews>
    <sheetView showGridLines="0" zoomScale="85" zoomScaleNormal="85" workbookViewId="0">
      <pane xSplit="5" ySplit="4" topLeftCell="F5" activePane="bottomRight" state="frozen"/>
      <selection activeCell="L59" sqref="L59"/>
      <selection pane="topRight" activeCell="L59" sqref="L59"/>
      <selection pane="bottomLeft" activeCell="L59" sqref="L59"/>
      <selection pane="bottomRight" activeCell="P47" sqref="P47"/>
    </sheetView>
  </sheetViews>
  <sheetFormatPr defaultColWidth="9.125" defaultRowHeight="12.9" x14ac:dyDescent="0.2"/>
  <cols>
    <col min="1" max="1" width="5.625" style="456" customWidth="1"/>
    <col min="2" max="2" width="39.625" style="456" customWidth="1"/>
    <col min="3" max="3" width="20.875" style="456" customWidth="1"/>
    <col min="4" max="4" width="14.75" style="456" customWidth="1"/>
    <col min="5" max="5" width="14" style="456" customWidth="1"/>
    <col min="6" max="16" width="13.875" style="456" customWidth="1"/>
    <col min="17" max="17" width="8.25" style="456" customWidth="1"/>
    <col min="18" max="18" width="11.25" style="456" customWidth="1"/>
    <col min="19" max="16384" width="9.125" style="456"/>
  </cols>
  <sheetData>
    <row r="2" spans="2:29" x14ac:dyDescent="0.2">
      <c r="B2" s="378" t="s">
        <v>327</v>
      </c>
    </row>
    <row r="3" spans="2:29" ht="13.6" thickBot="1" x14ac:dyDescent="0.25"/>
    <row r="4" spans="2:29" ht="22.1" customHeight="1" thickBot="1" x14ac:dyDescent="0.3">
      <c r="B4" s="457" t="s">
        <v>373</v>
      </c>
      <c r="C4" s="458" t="s">
        <v>7</v>
      </c>
      <c r="D4" s="459"/>
      <c r="E4" s="460"/>
      <c r="F4" s="461"/>
      <c r="G4" s="462">
        <f>E4+1</f>
        <v>1</v>
      </c>
      <c r="H4" s="462">
        <f>G4+1</f>
        <v>2</v>
      </c>
      <c r="I4" s="462">
        <f t="shared" ref="I4:P4" si="0">H4+1</f>
        <v>3</v>
      </c>
      <c r="J4" s="462">
        <f t="shared" si="0"/>
        <v>4</v>
      </c>
      <c r="K4" s="462">
        <f t="shared" si="0"/>
        <v>5</v>
      </c>
      <c r="L4" s="462">
        <f t="shared" si="0"/>
        <v>6</v>
      </c>
      <c r="M4" s="462">
        <f t="shared" si="0"/>
        <v>7</v>
      </c>
      <c r="N4" s="462">
        <f t="shared" si="0"/>
        <v>8</v>
      </c>
      <c r="O4" s="462">
        <f t="shared" si="0"/>
        <v>9</v>
      </c>
      <c r="P4" s="462">
        <f t="shared" si="0"/>
        <v>10</v>
      </c>
    </row>
    <row r="5" spans="2:29" x14ac:dyDescent="0.2">
      <c r="B5" s="463" t="s">
        <v>374</v>
      </c>
      <c r="C5" s="464" t="s">
        <v>375</v>
      </c>
      <c r="D5" s="465"/>
      <c r="E5" s="466"/>
      <c r="F5" s="467"/>
      <c r="G5" s="468">
        <v>0</v>
      </c>
      <c r="H5" s="468">
        <f>G6+1</f>
        <v>7001</v>
      </c>
      <c r="I5" s="468">
        <f t="shared" ref="I5:P5" si="1">H6+1</f>
        <v>14001</v>
      </c>
      <c r="J5" s="468">
        <f t="shared" si="1"/>
        <v>21001</v>
      </c>
      <c r="K5" s="468">
        <f t="shared" si="1"/>
        <v>28001</v>
      </c>
      <c r="L5" s="468">
        <f t="shared" si="1"/>
        <v>35001</v>
      </c>
      <c r="M5" s="468">
        <f t="shared" si="1"/>
        <v>42001</v>
      </c>
      <c r="N5" s="468">
        <f t="shared" si="1"/>
        <v>49001</v>
      </c>
      <c r="O5" s="468">
        <f t="shared" si="1"/>
        <v>56001</v>
      </c>
      <c r="P5" s="468">
        <f t="shared" si="1"/>
        <v>63001</v>
      </c>
    </row>
    <row r="6" spans="2:29" x14ac:dyDescent="0.2">
      <c r="B6" s="469" t="s">
        <v>376</v>
      </c>
      <c r="C6" s="470" t="s">
        <v>375</v>
      </c>
      <c r="D6" s="471"/>
      <c r="E6" s="472"/>
      <c r="F6" s="473">
        <v>7000</v>
      </c>
      <c r="G6" s="474">
        <f>F6</f>
        <v>7000</v>
      </c>
      <c r="H6" s="474">
        <f t="shared" ref="H6:P6" si="2">G6+$F6</f>
        <v>14000</v>
      </c>
      <c r="I6" s="474">
        <f t="shared" si="2"/>
        <v>21000</v>
      </c>
      <c r="J6" s="474">
        <f t="shared" si="2"/>
        <v>28000</v>
      </c>
      <c r="K6" s="474">
        <f t="shared" si="2"/>
        <v>35000</v>
      </c>
      <c r="L6" s="474">
        <f t="shared" si="2"/>
        <v>42000</v>
      </c>
      <c r="M6" s="474">
        <f t="shared" si="2"/>
        <v>49000</v>
      </c>
      <c r="N6" s="474">
        <f t="shared" si="2"/>
        <v>56000</v>
      </c>
      <c r="O6" s="474">
        <f t="shared" si="2"/>
        <v>63000</v>
      </c>
      <c r="P6" s="474">
        <f t="shared" si="2"/>
        <v>70000</v>
      </c>
      <c r="R6" s="475">
        <v>7000</v>
      </c>
      <c r="S6" s="475">
        <v>14000</v>
      </c>
      <c r="T6" s="475">
        <v>21000</v>
      </c>
      <c r="U6" s="475">
        <v>28000</v>
      </c>
      <c r="V6" s="475">
        <v>35000</v>
      </c>
      <c r="W6" s="475">
        <v>42000</v>
      </c>
      <c r="X6" s="475">
        <v>49000</v>
      </c>
      <c r="Y6" s="475">
        <v>56000</v>
      </c>
      <c r="Z6" s="475">
        <v>63000</v>
      </c>
      <c r="AA6" s="475">
        <v>70000</v>
      </c>
      <c r="AB6" s="476"/>
      <c r="AC6" s="476"/>
    </row>
    <row r="7" spans="2:29" ht="21.75" customHeight="1" x14ac:dyDescent="0.2">
      <c r="B7" s="477" t="s">
        <v>377</v>
      </c>
      <c r="C7" s="478" t="s">
        <v>337</v>
      </c>
      <c r="D7" s="398"/>
      <c r="E7" s="479"/>
      <c r="F7" s="480"/>
      <c r="G7" s="481">
        <f>G13</f>
        <v>626.80000000000007</v>
      </c>
      <c r="H7" s="481">
        <f t="shared" ref="H7:P7" si="3">H13</f>
        <v>632.47</v>
      </c>
      <c r="I7" s="481">
        <f t="shared" si="3"/>
        <v>645.31999999999994</v>
      </c>
      <c r="J7" s="481">
        <f t="shared" si="3"/>
        <v>632.47</v>
      </c>
      <c r="K7" s="481">
        <f t="shared" si="3"/>
        <v>635.26</v>
      </c>
      <c r="L7" s="481">
        <f t="shared" si="3"/>
        <v>642.53</v>
      </c>
      <c r="M7" s="481">
        <f t="shared" si="3"/>
        <v>626.80000000000007</v>
      </c>
      <c r="N7" s="481">
        <f t="shared" si="3"/>
        <v>640.92999999999995</v>
      </c>
      <c r="O7" s="481">
        <f t="shared" si="3"/>
        <v>636.86</v>
      </c>
      <c r="P7" s="481">
        <f t="shared" si="3"/>
        <v>640.92999999999995</v>
      </c>
    </row>
    <row r="8" spans="2:29" ht="21.1" customHeight="1" x14ac:dyDescent="0.2">
      <c r="B8" s="482" t="s">
        <v>378</v>
      </c>
      <c r="C8" s="429" t="s">
        <v>379</v>
      </c>
      <c r="D8" s="434"/>
      <c r="E8" s="479"/>
      <c r="F8" s="480"/>
      <c r="G8" s="483">
        <f t="shared" ref="G8:P8" si="4">SUM(G9:G10)</f>
        <v>111243.00214422584</v>
      </c>
      <c r="H8" s="483">
        <f t="shared" si="4"/>
        <v>115301.58897967414</v>
      </c>
      <c r="I8" s="483">
        <f t="shared" si="4"/>
        <v>139126.26940835599</v>
      </c>
      <c r="J8" s="483">
        <f t="shared" si="4"/>
        <v>115301.58897967414</v>
      </c>
      <c r="K8" s="483">
        <f t="shared" si="4"/>
        <v>137750.43154517343</v>
      </c>
      <c r="L8" s="483">
        <f t="shared" si="4"/>
        <v>116677.42684285669</v>
      </c>
      <c r="M8" s="483">
        <f t="shared" si="4"/>
        <v>111243.00214422584</v>
      </c>
      <c r="N8" s="483">
        <f t="shared" si="4"/>
        <v>141809.01838062174</v>
      </c>
      <c r="O8" s="483">
        <f t="shared" si="4"/>
        <v>112618.84000740841</v>
      </c>
      <c r="P8" s="483">
        <f t="shared" si="4"/>
        <v>141809.01838062174</v>
      </c>
    </row>
    <row r="9" spans="2:29" ht="20.25" customHeight="1" x14ac:dyDescent="0.2">
      <c r="B9" s="484" t="s">
        <v>380</v>
      </c>
      <c r="C9" s="485" t="s">
        <v>379</v>
      </c>
      <c r="D9" s="420"/>
      <c r="E9" s="486"/>
      <c r="F9" s="487"/>
      <c r="G9" s="488">
        <f>G22</f>
        <v>74955.219516562662</v>
      </c>
      <c r="H9" s="488">
        <f>H22</f>
        <v>78685.548969275085</v>
      </c>
      <c r="I9" s="488">
        <f t="shared" ref="I9:P9" si="5">I22</f>
        <v>101766.29511785887</v>
      </c>
      <c r="J9" s="488">
        <f t="shared" si="5"/>
        <v>78685.548969275085</v>
      </c>
      <c r="K9" s="488">
        <f t="shared" si="5"/>
        <v>100972.86806072973</v>
      </c>
      <c r="L9" s="488">
        <f t="shared" si="5"/>
        <v>79478.976026404212</v>
      </c>
      <c r="M9" s="488">
        <f t="shared" si="5"/>
        <v>74955.219516562662</v>
      </c>
      <c r="N9" s="488">
        <f t="shared" si="5"/>
        <v>104703.19751344215</v>
      </c>
      <c r="O9" s="488">
        <f t="shared" si="5"/>
        <v>75748.646573691803</v>
      </c>
      <c r="P9" s="488">
        <f t="shared" si="5"/>
        <v>104703.19751344215</v>
      </c>
    </row>
    <row r="10" spans="2:29" ht="23.3" customHeight="1" thickBot="1" x14ac:dyDescent="0.25">
      <c r="B10" s="489" t="s">
        <v>381</v>
      </c>
      <c r="C10" s="490" t="s">
        <v>379</v>
      </c>
      <c r="D10" s="423"/>
      <c r="E10" s="491"/>
      <c r="F10" s="492">
        <f>X13</f>
        <v>57.893718295569833</v>
      </c>
      <c r="G10" s="493">
        <f>SUMPRODUCT(G14:G19,$F$14:$F$19)*$F10</f>
        <v>36287.782627663175</v>
      </c>
      <c r="H10" s="493">
        <f>SUMPRODUCT(H14:H19,$F$14:$F$19)*$F10</f>
        <v>36616.040010399054</v>
      </c>
      <c r="I10" s="493">
        <f t="shared" ref="I10:P10" si="6">SUMPRODUCT(I14:I19,$F$14:$F$19)*$F10</f>
        <v>37359.974290497121</v>
      </c>
      <c r="J10" s="493">
        <f t="shared" si="6"/>
        <v>36616.040010399054</v>
      </c>
      <c r="K10" s="493">
        <f t="shared" si="6"/>
        <v>36777.563484443694</v>
      </c>
      <c r="L10" s="493">
        <f t="shared" si="6"/>
        <v>37198.450816452481</v>
      </c>
      <c r="M10" s="493">
        <f t="shared" si="6"/>
        <v>36287.782627663175</v>
      </c>
      <c r="N10" s="493">
        <f t="shared" si="6"/>
        <v>37105.820867179573</v>
      </c>
      <c r="O10" s="493">
        <f t="shared" si="6"/>
        <v>36870.193433716602</v>
      </c>
      <c r="P10" s="493">
        <f t="shared" si="6"/>
        <v>37105.820867179573</v>
      </c>
    </row>
    <row r="11" spans="2:29" ht="13.6" thickBot="1" x14ac:dyDescent="0.25">
      <c r="B11" s="954"/>
      <c r="C11" s="955"/>
      <c r="D11" s="955"/>
      <c r="E11" s="955"/>
      <c r="F11" s="955"/>
      <c r="G11" s="955"/>
      <c r="H11" s="955"/>
      <c r="I11" s="955"/>
      <c r="J11" s="955"/>
      <c r="K11" s="955"/>
      <c r="L11" s="955"/>
      <c r="M11" s="955"/>
      <c r="N11" s="955"/>
      <c r="O11" s="955"/>
      <c r="P11" s="955"/>
    </row>
    <row r="12" spans="2:29" ht="40.75" x14ac:dyDescent="0.2">
      <c r="B12" s="494" t="s">
        <v>382</v>
      </c>
      <c r="C12" s="495" t="s">
        <v>383</v>
      </c>
      <c r="D12" s="496" t="s">
        <v>384</v>
      </c>
      <c r="E12" s="497" t="s">
        <v>385</v>
      </c>
      <c r="F12" s="498" t="s">
        <v>386</v>
      </c>
      <c r="G12" s="499" t="s">
        <v>387</v>
      </c>
      <c r="H12" s="499" t="s">
        <v>387</v>
      </c>
      <c r="I12" s="499" t="s">
        <v>387</v>
      </c>
      <c r="J12" s="499" t="s">
        <v>387</v>
      </c>
      <c r="K12" s="499" t="s">
        <v>387</v>
      </c>
      <c r="L12" s="499" t="s">
        <v>387</v>
      </c>
      <c r="M12" s="499" t="s">
        <v>387</v>
      </c>
      <c r="N12" s="499" t="s">
        <v>387</v>
      </c>
      <c r="O12" s="499" t="s">
        <v>387</v>
      </c>
      <c r="P12" s="499" t="s">
        <v>387</v>
      </c>
      <c r="R12" s="956" t="s">
        <v>388</v>
      </c>
      <c r="S12" s="957"/>
      <c r="T12" s="500" t="s">
        <v>389</v>
      </c>
      <c r="U12" s="500" t="s">
        <v>390</v>
      </c>
      <c r="V12" s="500" t="s">
        <v>391</v>
      </c>
      <c r="W12" s="501" t="s">
        <v>392</v>
      </c>
      <c r="X12" s="502">
        <v>88.71</v>
      </c>
    </row>
    <row r="13" spans="2:29" ht="14.3" thickBot="1" x14ac:dyDescent="0.25">
      <c r="B13" s="503" t="s">
        <v>393</v>
      </c>
      <c r="C13" s="504"/>
      <c r="D13" s="505"/>
      <c r="E13" s="506"/>
      <c r="F13" s="507"/>
      <c r="G13" s="508">
        <f>SUM(G14:G19)</f>
        <v>626.80000000000007</v>
      </c>
      <c r="H13" s="508">
        <f t="shared" ref="H13:P13" si="7">SUM(H14:H19)</f>
        <v>632.47</v>
      </c>
      <c r="I13" s="508">
        <f t="shared" si="7"/>
        <v>645.31999999999994</v>
      </c>
      <c r="J13" s="508">
        <f t="shared" si="7"/>
        <v>632.47</v>
      </c>
      <c r="K13" s="508">
        <f t="shared" si="7"/>
        <v>635.26</v>
      </c>
      <c r="L13" s="508">
        <f t="shared" si="7"/>
        <v>642.53</v>
      </c>
      <c r="M13" s="508">
        <f t="shared" si="7"/>
        <v>626.80000000000007</v>
      </c>
      <c r="N13" s="508">
        <f t="shared" si="7"/>
        <v>640.92999999999995</v>
      </c>
      <c r="O13" s="508">
        <f t="shared" si="7"/>
        <v>636.86</v>
      </c>
      <c r="P13" s="508">
        <f t="shared" si="7"/>
        <v>640.92999999999995</v>
      </c>
      <c r="R13" s="958">
        <v>1232580.42</v>
      </c>
      <c r="S13" s="959"/>
      <c r="T13" s="509">
        <v>8</v>
      </c>
      <c r="U13" s="509">
        <v>30</v>
      </c>
      <c r="V13" s="510">
        <f>R13/(T13*U13)</f>
        <v>5135.7517499999994</v>
      </c>
      <c r="W13" s="509"/>
      <c r="X13" s="511">
        <f>V13/X12</f>
        <v>57.893718295569833</v>
      </c>
    </row>
    <row r="14" spans="2:29" ht="14.3" customHeight="1" x14ac:dyDescent="0.2">
      <c r="B14" s="512" t="s">
        <v>394</v>
      </c>
      <c r="C14" s="513">
        <v>250</v>
      </c>
      <c r="D14" s="514">
        <v>10.9</v>
      </c>
      <c r="E14" s="515">
        <v>28</v>
      </c>
      <c r="F14" s="516">
        <v>1</v>
      </c>
      <c r="G14" s="514">
        <f>R14*$D14</f>
        <v>305.2</v>
      </c>
      <c r="H14" s="514">
        <f t="shared" ref="H14:P19" si="8">S14*$D14</f>
        <v>305.2</v>
      </c>
      <c r="I14" s="514">
        <f t="shared" si="8"/>
        <v>305.2</v>
      </c>
      <c r="J14" s="514">
        <f t="shared" si="8"/>
        <v>305.2</v>
      </c>
      <c r="K14" s="514">
        <f t="shared" si="8"/>
        <v>305.2</v>
      </c>
      <c r="L14" s="514">
        <f t="shared" si="8"/>
        <v>305.2</v>
      </c>
      <c r="M14" s="514">
        <f t="shared" si="8"/>
        <v>305.2</v>
      </c>
      <c r="N14" s="514">
        <f t="shared" si="8"/>
        <v>305.2</v>
      </c>
      <c r="O14" s="514">
        <f t="shared" si="8"/>
        <v>305.2</v>
      </c>
      <c r="P14" s="514">
        <f t="shared" si="8"/>
        <v>305.2</v>
      </c>
      <c r="R14" s="476">
        <f>INT($R$6/C14)</f>
        <v>28</v>
      </c>
      <c r="S14" s="476">
        <f>INT($R$6/$C$14)</f>
        <v>28</v>
      </c>
      <c r="T14" s="476">
        <f t="shared" ref="T14:AA14" si="9">INT($R$6/$C$14)</f>
        <v>28</v>
      </c>
      <c r="U14" s="476">
        <f t="shared" si="9"/>
        <v>28</v>
      </c>
      <c r="V14" s="476">
        <f t="shared" si="9"/>
        <v>28</v>
      </c>
      <c r="W14" s="476">
        <f t="shared" si="9"/>
        <v>28</v>
      </c>
      <c r="X14" s="476">
        <f t="shared" si="9"/>
        <v>28</v>
      </c>
      <c r="Y14" s="476">
        <f t="shared" si="9"/>
        <v>28</v>
      </c>
      <c r="Z14" s="476">
        <f t="shared" si="9"/>
        <v>28</v>
      </c>
      <c r="AA14" s="476">
        <f t="shared" si="9"/>
        <v>28</v>
      </c>
    </row>
    <row r="15" spans="2:29" x14ac:dyDescent="0.2">
      <c r="B15" s="512" t="s">
        <v>395</v>
      </c>
      <c r="C15" s="513">
        <v>500</v>
      </c>
      <c r="D15" s="514">
        <v>13.5</v>
      </c>
      <c r="E15" s="515">
        <v>14</v>
      </c>
      <c r="F15" s="516">
        <v>1</v>
      </c>
      <c r="G15" s="514">
        <f t="shared" ref="G15:G19" si="10">R15*$D15</f>
        <v>189</v>
      </c>
      <c r="H15" s="514">
        <f t="shared" si="8"/>
        <v>189</v>
      </c>
      <c r="I15" s="514">
        <f t="shared" si="8"/>
        <v>189</v>
      </c>
      <c r="J15" s="514">
        <f t="shared" si="8"/>
        <v>189</v>
      </c>
      <c r="K15" s="514">
        <f t="shared" si="8"/>
        <v>189</v>
      </c>
      <c r="L15" s="514">
        <f t="shared" si="8"/>
        <v>189</v>
      </c>
      <c r="M15" s="514">
        <f t="shared" si="8"/>
        <v>189</v>
      </c>
      <c r="N15" s="514">
        <f t="shared" si="8"/>
        <v>189</v>
      </c>
      <c r="O15" s="514">
        <f t="shared" si="8"/>
        <v>189</v>
      </c>
      <c r="P15" s="514">
        <f t="shared" si="8"/>
        <v>189</v>
      </c>
      <c r="R15" s="476">
        <f>INT(G6/$C$15)</f>
        <v>14</v>
      </c>
      <c r="S15" s="476">
        <f>INT(H6/$C$15)-INT(R6/$C$15)</f>
        <v>14</v>
      </c>
      <c r="T15" s="476">
        <f t="shared" ref="T15:AA15" si="11">INT(I6/$C$15)-INT(S6/$C$15)</f>
        <v>14</v>
      </c>
      <c r="U15" s="476">
        <f t="shared" si="11"/>
        <v>14</v>
      </c>
      <c r="V15" s="476">
        <f t="shared" si="11"/>
        <v>14</v>
      </c>
      <c r="W15" s="476">
        <f t="shared" si="11"/>
        <v>14</v>
      </c>
      <c r="X15" s="476">
        <f t="shared" si="11"/>
        <v>14</v>
      </c>
      <c r="Y15" s="476">
        <f t="shared" si="11"/>
        <v>14</v>
      </c>
      <c r="Z15" s="476">
        <f t="shared" si="11"/>
        <v>14</v>
      </c>
      <c r="AA15" s="476">
        <f t="shared" si="11"/>
        <v>14</v>
      </c>
    </row>
    <row r="16" spans="2:29" x14ac:dyDescent="0.2">
      <c r="B16" s="512" t="s">
        <v>396</v>
      </c>
      <c r="C16" s="513">
        <v>1000</v>
      </c>
      <c r="D16" s="514">
        <v>12.43</v>
      </c>
      <c r="E16" s="515">
        <v>7</v>
      </c>
      <c r="F16" s="516">
        <v>1</v>
      </c>
      <c r="G16" s="514">
        <f t="shared" si="10"/>
        <v>87.009999999999991</v>
      </c>
      <c r="H16" s="514">
        <f t="shared" si="8"/>
        <v>87.009999999999991</v>
      </c>
      <c r="I16" s="514">
        <f t="shared" si="8"/>
        <v>87.009999999999991</v>
      </c>
      <c r="J16" s="514">
        <f t="shared" si="8"/>
        <v>87.009999999999991</v>
      </c>
      <c r="K16" s="514">
        <f t="shared" si="8"/>
        <v>87.009999999999991</v>
      </c>
      <c r="L16" s="514">
        <f t="shared" si="8"/>
        <v>87.009999999999991</v>
      </c>
      <c r="M16" s="514">
        <f t="shared" si="8"/>
        <v>87.009999999999991</v>
      </c>
      <c r="N16" s="514">
        <f t="shared" si="8"/>
        <v>87.009999999999991</v>
      </c>
      <c r="O16" s="514">
        <f t="shared" si="8"/>
        <v>87.009999999999991</v>
      </c>
      <c r="P16" s="514">
        <f t="shared" si="8"/>
        <v>87.009999999999991</v>
      </c>
      <c r="R16" s="476">
        <f t="shared" ref="R16:R19" si="12">INT($G$6/C16)</f>
        <v>7</v>
      </c>
      <c r="S16" s="476">
        <f>INT(H6/$C$16)-INT(R6/$C$16)</f>
        <v>7</v>
      </c>
      <c r="T16" s="476">
        <f t="shared" ref="T16:AA16" si="13">INT(I6/$C$16)-INT(S6/$C$16)</f>
        <v>7</v>
      </c>
      <c r="U16" s="476">
        <f t="shared" si="13"/>
        <v>7</v>
      </c>
      <c r="V16" s="476">
        <f t="shared" si="13"/>
        <v>7</v>
      </c>
      <c r="W16" s="476">
        <f t="shared" si="13"/>
        <v>7</v>
      </c>
      <c r="X16" s="476">
        <f t="shared" si="13"/>
        <v>7</v>
      </c>
      <c r="Y16" s="476">
        <f t="shared" si="13"/>
        <v>7</v>
      </c>
      <c r="Z16" s="476">
        <f t="shared" si="13"/>
        <v>7</v>
      </c>
      <c r="AA16" s="476">
        <f t="shared" si="13"/>
        <v>7</v>
      </c>
    </row>
    <row r="17" spans="2:27" x14ac:dyDescent="0.2">
      <c r="B17" s="512" t="s">
        <v>397</v>
      </c>
      <c r="C17" s="513">
        <v>2000</v>
      </c>
      <c r="D17" s="514">
        <v>5.67</v>
      </c>
      <c r="E17" s="517" t="s">
        <v>398</v>
      </c>
      <c r="F17" s="516">
        <v>1</v>
      </c>
      <c r="G17" s="514">
        <f t="shared" si="10"/>
        <v>17.009999999999998</v>
      </c>
      <c r="H17" s="514">
        <f t="shared" si="8"/>
        <v>22.68</v>
      </c>
      <c r="I17" s="514">
        <f t="shared" si="8"/>
        <v>17.009999999999998</v>
      </c>
      <c r="J17" s="514">
        <f t="shared" si="8"/>
        <v>22.68</v>
      </c>
      <c r="K17" s="514">
        <f t="shared" si="8"/>
        <v>17.009999999999998</v>
      </c>
      <c r="L17" s="514">
        <f t="shared" si="8"/>
        <v>22.68</v>
      </c>
      <c r="M17" s="514">
        <f t="shared" si="8"/>
        <v>17.009999999999998</v>
      </c>
      <c r="N17" s="514">
        <f t="shared" si="8"/>
        <v>22.68</v>
      </c>
      <c r="O17" s="514">
        <f t="shared" si="8"/>
        <v>17.009999999999998</v>
      </c>
      <c r="P17" s="514">
        <f t="shared" si="8"/>
        <v>22.68</v>
      </c>
      <c r="R17" s="476">
        <f t="shared" si="12"/>
        <v>3</v>
      </c>
      <c r="S17" s="476">
        <f>INT(H6/$C$17)-INT(R6/$C$17)</f>
        <v>4</v>
      </c>
      <c r="T17" s="476">
        <f t="shared" ref="T17:AA17" si="14">INT(I6/$C$17)-INT(S6/$C$17)</f>
        <v>3</v>
      </c>
      <c r="U17" s="476">
        <f t="shared" si="14"/>
        <v>4</v>
      </c>
      <c r="V17" s="476">
        <f t="shared" si="14"/>
        <v>3</v>
      </c>
      <c r="W17" s="476">
        <f t="shared" si="14"/>
        <v>4</v>
      </c>
      <c r="X17" s="476">
        <f t="shared" si="14"/>
        <v>3</v>
      </c>
      <c r="Y17" s="476">
        <f t="shared" si="14"/>
        <v>4</v>
      </c>
      <c r="Z17" s="476">
        <f t="shared" si="14"/>
        <v>3</v>
      </c>
      <c r="AA17" s="476">
        <f t="shared" si="14"/>
        <v>4</v>
      </c>
    </row>
    <row r="18" spans="2:27" x14ac:dyDescent="0.2">
      <c r="B18" s="512" t="s">
        <v>399</v>
      </c>
      <c r="C18" s="513">
        <v>3000</v>
      </c>
      <c r="D18" s="514">
        <v>10.06</v>
      </c>
      <c r="E18" s="517" t="s">
        <v>400</v>
      </c>
      <c r="F18" s="516">
        <v>1</v>
      </c>
      <c r="G18" s="514">
        <f t="shared" si="10"/>
        <v>20.12</v>
      </c>
      <c r="H18" s="514">
        <f t="shared" si="8"/>
        <v>20.12</v>
      </c>
      <c r="I18" s="514">
        <f t="shared" si="8"/>
        <v>30.18</v>
      </c>
      <c r="J18" s="514">
        <f t="shared" si="8"/>
        <v>20.12</v>
      </c>
      <c r="K18" s="514">
        <f t="shared" si="8"/>
        <v>20.12</v>
      </c>
      <c r="L18" s="514">
        <f t="shared" si="8"/>
        <v>30.18</v>
      </c>
      <c r="M18" s="514">
        <f t="shared" si="8"/>
        <v>20.12</v>
      </c>
      <c r="N18" s="514">
        <f t="shared" si="8"/>
        <v>20.12</v>
      </c>
      <c r="O18" s="514">
        <f t="shared" si="8"/>
        <v>30.18</v>
      </c>
      <c r="P18" s="514">
        <f t="shared" si="8"/>
        <v>20.12</v>
      </c>
      <c r="R18" s="476">
        <f t="shared" si="12"/>
        <v>2</v>
      </c>
      <c r="S18" s="476">
        <f>INT(H6/$C$18)-INT(R6/$C$18)</f>
        <v>2</v>
      </c>
      <c r="T18" s="476">
        <f t="shared" ref="T18:AA18" si="15">INT(I6/$C$18)-INT(S6/$C$18)</f>
        <v>3</v>
      </c>
      <c r="U18" s="476">
        <f t="shared" si="15"/>
        <v>2</v>
      </c>
      <c r="V18" s="476">
        <f t="shared" si="15"/>
        <v>2</v>
      </c>
      <c r="W18" s="476">
        <f t="shared" si="15"/>
        <v>3</v>
      </c>
      <c r="X18" s="476">
        <f t="shared" si="15"/>
        <v>2</v>
      </c>
      <c r="Y18" s="476">
        <f t="shared" si="15"/>
        <v>2</v>
      </c>
      <c r="Z18" s="476">
        <f t="shared" si="15"/>
        <v>3</v>
      </c>
      <c r="AA18" s="476">
        <f t="shared" si="15"/>
        <v>2</v>
      </c>
    </row>
    <row r="19" spans="2:27" ht="13.6" thickBot="1" x14ac:dyDescent="0.25">
      <c r="B19" s="518" t="s">
        <v>401</v>
      </c>
      <c r="C19" s="519">
        <v>5000</v>
      </c>
      <c r="D19" s="520">
        <v>8.4600000000000009</v>
      </c>
      <c r="E19" s="521" t="s">
        <v>402</v>
      </c>
      <c r="F19" s="516">
        <v>1</v>
      </c>
      <c r="G19" s="514">
        <f t="shared" si="10"/>
        <v>8.4600000000000009</v>
      </c>
      <c r="H19" s="514">
        <f t="shared" si="8"/>
        <v>8.4600000000000009</v>
      </c>
      <c r="I19" s="514">
        <f t="shared" si="8"/>
        <v>16.920000000000002</v>
      </c>
      <c r="J19" s="514">
        <f t="shared" si="8"/>
        <v>8.4600000000000009</v>
      </c>
      <c r="K19" s="514">
        <f t="shared" si="8"/>
        <v>16.920000000000002</v>
      </c>
      <c r="L19" s="514">
        <f t="shared" si="8"/>
        <v>8.4600000000000009</v>
      </c>
      <c r="M19" s="514">
        <f t="shared" si="8"/>
        <v>8.4600000000000009</v>
      </c>
      <c r="N19" s="514">
        <f t="shared" si="8"/>
        <v>16.920000000000002</v>
      </c>
      <c r="O19" s="514">
        <f t="shared" si="8"/>
        <v>8.4600000000000009</v>
      </c>
      <c r="P19" s="514">
        <f t="shared" si="8"/>
        <v>16.920000000000002</v>
      </c>
      <c r="R19" s="476">
        <f t="shared" si="12"/>
        <v>1</v>
      </c>
      <c r="S19" s="476">
        <f>INT(H6/$C$19)-INT(R6/$C$19)</f>
        <v>1</v>
      </c>
      <c r="T19" s="476">
        <f t="shared" ref="T19:AA19" si="16">INT(I6/$C$19)-INT(S6/$C$19)</f>
        <v>2</v>
      </c>
      <c r="U19" s="476">
        <f t="shared" si="16"/>
        <v>1</v>
      </c>
      <c r="V19" s="476">
        <f t="shared" si="16"/>
        <v>2</v>
      </c>
      <c r="W19" s="476">
        <f t="shared" si="16"/>
        <v>1</v>
      </c>
      <c r="X19" s="476">
        <f t="shared" si="16"/>
        <v>1</v>
      </c>
      <c r="Y19" s="476">
        <f t="shared" si="16"/>
        <v>2</v>
      </c>
      <c r="Z19" s="476">
        <f t="shared" si="16"/>
        <v>1</v>
      </c>
      <c r="AA19" s="476">
        <f t="shared" si="16"/>
        <v>2</v>
      </c>
    </row>
    <row r="20" spans="2:27" ht="13.6" thickBot="1" x14ac:dyDescent="0.25">
      <c r="B20" s="960"/>
      <c r="C20" s="961"/>
      <c r="D20" s="961"/>
      <c r="E20" s="961"/>
      <c r="F20" s="961"/>
      <c r="G20" s="961"/>
      <c r="H20" s="961"/>
      <c r="I20" s="961"/>
      <c r="J20" s="961"/>
      <c r="K20" s="961"/>
      <c r="L20" s="961"/>
      <c r="M20" s="961"/>
      <c r="N20" s="961"/>
      <c r="O20" s="961"/>
      <c r="P20" s="961"/>
    </row>
    <row r="21" spans="2:27" ht="27.85" thickBot="1" x14ac:dyDescent="0.25">
      <c r="B21" s="458" t="s">
        <v>378</v>
      </c>
      <c r="C21" s="462" t="s">
        <v>403</v>
      </c>
      <c r="D21" s="462" t="s">
        <v>404</v>
      </c>
      <c r="E21" s="462" t="s">
        <v>405</v>
      </c>
      <c r="F21" s="462" t="s">
        <v>385</v>
      </c>
      <c r="G21" s="522" t="s">
        <v>406</v>
      </c>
      <c r="H21" s="522" t="s">
        <v>406</v>
      </c>
      <c r="I21" s="522" t="s">
        <v>406</v>
      </c>
      <c r="J21" s="522" t="s">
        <v>406</v>
      </c>
      <c r="K21" s="522" t="s">
        <v>406</v>
      </c>
      <c r="L21" s="522" t="s">
        <v>406</v>
      </c>
      <c r="M21" s="522" t="s">
        <v>406</v>
      </c>
      <c r="N21" s="522" t="s">
        <v>406</v>
      </c>
      <c r="O21" s="522" t="s">
        <v>406</v>
      </c>
      <c r="P21" s="522" t="s">
        <v>406</v>
      </c>
    </row>
    <row r="22" spans="2:27" ht="14.3" thickBot="1" x14ac:dyDescent="0.3">
      <c r="B22" s="458" t="s">
        <v>354</v>
      </c>
      <c r="C22" s="462"/>
      <c r="D22" s="462"/>
      <c r="E22" s="462"/>
      <c r="F22" s="462"/>
      <c r="G22" s="523">
        <f t="shared" ref="G22:P22" si="17">SUM(G23:G61)</f>
        <v>74955.219516562662</v>
      </c>
      <c r="H22" s="523">
        <f t="shared" si="17"/>
        <v>78685.548969275085</v>
      </c>
      <c r="I22" s="523">
        <f t="shared" si="17"/>
        <v>101766.29511785887</v>
      </c>
      <c r="J22" s="523">
        <f t="shared" si="17"/>
        <v>78685.548969275085</v>
      </c>
      <c r="K22" s="523">
        <f t="shared" si="17"/>
        <v>100972.86806072973</v>
      </c>
      <c r="L22" s="523">
        <f t="shared" si="17"/>
        <v>79478.976026404212</v>
      </c>
      <c r="M22" s="523">
        <f t="shared" si="17"/>
        <v>74955.219516562662</v>
      </c>
      <c r="N22" s="523">
        <f t="shared" si="17"/>
        <v>104703.19751344215</v>
      </c>
      <c r="O22" s="523">
        <f t="shared" si="17"/>
        <v>75748.646573691803</v>
      </c>
      <c r="P22" s="524">
        <f t="shared" si="17"/>
        <v>104703.19751344215</v>
      </c>
    </row>
    <row r="23" spans="2:27" x14ac:dyDescent="0.2">
      <c r="B23" s="525" t="s">
        <v>394</v>
      </c>
      <c r="C23" s="526"/>
      <c r="D23" s="527"/>
      <c r="E23" s="528">
        <v>250</v>
      </c>
      <c r="F23" s="528">
        <v>28</v>
      </c>
      <c r="G23" s="529"/>
      <c r="H23" s="529"/>
      <c r="I23" s="529"/>
      <c r="J23" s="529"/>
      <c r="K23" s="529"/>
      <c r="L23" s="529"/>
      <c r="M23" s="529"/>
      <c r="N23" s="529"/>
      <c r="O23" s="529"/>
      <c r="P23" s="530"/>
    </row>
    <row r="24" spans="2:27" x14ac:dyDescent="0.2">
      <c r="B24" s="531" t="s">
        <v>407</v>
      </c>
      <c r="C24" s="532" t="s">
        <v>408</v>
      </c>
      <c r="D24" s="433">
        <v>6.7704000000000004</v>
      </c>
      <c r="E24" s="413">
        <v>70</v>
      </c>
      <c r="F24" s="533"/>
      <c r="G24" s="534">
        <f>IF(G$14=0,0,G$14/$D$14*$E24*$D24)</f>
        <v>13269.983999999999</v>
      </c>
      <c r="H24" s="534">
        <f t="shared" ref="H24:P28" si="18">IF(H$14=0,0,H$14/$D$14*$E24*$D24)</f>
        <v>13269.983999999999</v>
      </c>
      <c r="I24" s="534">
        <f t="shared" si="18"/>
        <v>13269.983999999999</v>
      </c>
      <c r="J24" s="534">
        <f t="shared" si="18"/>
        <v>13269.983999999999</v>
      </c>
      <c r="K24" s="534">
        <f t="shared" si="18"/>
        <v>13269.983999999999</v>
      </c>
      <c r="L24" s="534">
        <f t="shared" si="18"/>
        <v>13269.983999999999</v>
      </c>
      <c r="M24" s="534">
        <f t="shared" si="18"/>
        <v>13269.983999999999</v>
      </c>
      <c r="N24" s="534">
        <f t="shared" si="18"/>
        <v>13269.983999999999</v>
      </c>
      <c r="O24" s="534">
        <f t="shared" si="18"/>
        <v>13269.983999999999</v>
      </c>
      <c r="P24" s="535">
        <f t="shared" si="18"/>
        <v>13269.983999999999</v>
      </c>
      <c r="R24" s="536"/>
    </row>
    <row r="25" spans="2:27" x14ac:dyDescent="0.2">
      <c r="B25" s="531" t="s">
        <v>409</v>
      </c>
      <c r="C25" s="532"/>
      <c r="D25" s="433">
        <v>75.787500000000009</v>
      </c>
      <c r="E25" s="413">
        <v>2</v>
      </c>
      <c r="F25" s="533"/>
      <c r="G25" s="534">
        <f>IF(G$14=0,0,G$14/$D$14*$E25*$D25)</f>
        <v>4244.1000000000004</v>
      </c>
      <c r="H25" s="534">
        <f t="shared" si="18"/>
        <v>4244.1000000000004</v>
      </c>
      <c r="I25" s="534">
        <f t="shared" si="18"/>
        <v>4244.1000000000004</v>
      </c>
      <c r="J25" s="534">
        <f t="shared" si="18"/>
        <v>4244.1000000000004</v>
      </c>
      <c r="K25" s="534">
        <f t="shared" si="18"/>
        <v>4244.1000000000004</v>
      </c>
      <c r="L25" s="534">
        <f t="shared" si="18"/>
        <v>4244.1000000000004</v>
      </c>
      <c r="M25" s="534">
        <f t="shared" si="18"/>
        <v>4244.1000000000004</v>
      </c>
      <c r="N25" s="534">
        <f t="shared" si="18"/>
        <v>4244.1000000000004</v>
      </c>
      <c r="O25" s="534">
        <f t="shared" si="18"/>
        <v>4244.1000000000004</v>
      </c>
      <c r="P25" s="535">
        <f t="shared" si="18"/>
        <v>4244.1000000000004</v>
      </c>
      <c r="R25" s="536"/>
    </row>
    <row r="26" spans="2:27" x14ac:dyDescent="0.2">
      <c r="B26" s="531" t="s">
        <v>410</v>
      </c>
      <c r="C26" s="532" t="s">
        <v>411</v>
      </c>
      <c r="D26" s="433">
        <v>4.3679999999999994</v>
      </c>
      <c r="E26" s="413">
        <v>3</v>
      </c>
      <c r="F26" s="533"/>
      <c r="G26" s="534">
        <f t="shared" ref="G26:P28" si="19">IF(G$14=0,0,G$14/$D$14*$E26*$D26)</f>
        <v>366.91199999999986</v>
      </c>
      <c r="H26" s="534">
        <f t="shared" si="19"/>
        <v>366.91199999999986</v>
      </c>
      <c r="I26" s="534">
        <f t="shared" si="19"/>
        <v>366.91199999999986</v>
      </c>
      <c r="J26" s="534">
        <f t="shared" si="19"/>
        <v>366.91199999999986</v>
      </c>
      <c r="K26" s="534">
        <f t="shared" si="19"/>
        <v>366.91199999999986</v>
      </c>
      <c r="L26" s="534">
        <f t="shared" si="19"/>
        <v>366.91199999999986</v>
      </c>
      <c r="M26" s="534">
        <f t="shared" si="19"/>
        <v>366.91199999999986</v>
      </c>
      <c r="N26" s="534">
        <f t="shared" si="19"/>
        <v>366.91199999999986</v>
      </c>
      <c r="O26" s="534">
        <f t="shared" si="19"/>
        <v>366.91199999999986</v>
      </c>
      <c r="P26" s="535">
        <f t="shared" si="19"/>
        <v>366.91199999999986</v>
      </c>
      <c r="R26" s="536"/>
    </row>
    <row r="27" spans="2:27" x14ac:dyDescent="0.2">
      <c r="B27" s="531" t="s">
        <v>412</v>
      </c>
      <c r="C27" s="532"/>
      <c r="D27" s="433">
        <v>51.587500000000006</v>
      </c>
      <c r="E27" s="413">
        <v>3</v>
      </c>
      <c r="F27" s="533"/>
      <c r="G27" s="534">
        <f t="shared" si="19"/>
        <v>4333.3499999999995</v>
      </c>
      <c r="H27" s="534">
        <f t="shared" si="18"/>
        <v>4333.3499999999995</v>
      </c>
      <c r="I27" s="534">
        <f t="shared" si="18"/>
        <v>4333.3499999999995</v>
      </c>
      <c r="J27" s="534">
        <f t="shared" si="18"/>
        <v>4333.3499999999995</v>
      </c>
      <c r="K27" s="534">
        <f t="shared" si="18"/>
        <v>4333.3499999999995</v>
      </c>
      <c r="L27" s="534">
        <f t="shared" si="18"/>
        <v>4333.3499999999995</v>
      </c>
      <c r="M27" s="534">
        <f t="shared" si="18"/>
        <v>4333.3499999999995</v>
      </c>
      <c r="N27" s="534">
        <f t="shared" si="18"/>
        <v>4333.3499999999995</v>
      </c>
      <c r="O27" s="534">
        <f t="shared" si="18"/>
        <v>4333.3499999999995</v>
      </c>
      <c r="P27" s="535">
        <f t="shared" si="18"/>
        <v>4333.3499999999995</v>
      </c>
      <c r="R27" s="536"/>
    </row>
    <row r="28" spans="2:27" x14ac:dyDescent="0.2">
      <c r="B28" s="531" t="s">
        <v>413</v>
      </c>
      <c r="C28" s="532"/>
      <c r="D28" s="433">
        <v>37.65</v>
      </c>
      <c r="E28" s="413">
        <v>3</v>
      </c>
      <c r="F28" s="533"/>
      <c r="G28" s="534">
        <f t="shared" si="19"/>
        <v>3162.5999999999995</v>
      </c>
      <c r="H28" s="534">
        <f t="shared" si="18"/>
        <v>3162.5999999999995</v>
      </c>
      <c r="I28" s="534">
        <f t="shared" si="18"/>
        <v>3162.5999999999995</v>
      </c>
      <c r="J28" s="534">
        <f t="shared" si="18"/>
        <v>3162.5999999999995</v>
      </c>
      <c r="K28" s="534">
        <f t="shared" si="18"/>
        <v>3162.5999999999995</v>
      </c>
      <c r="L28" s="534">
        <f t="shared" si="18"/>
        <v>3162.5999999999995</v>
      </c>
      <c r="M28" s="534">
        <f t="shared" si="18"/>
        <v>3162.5999999999995</v>
      </c>
      <c r="N28" s="534">
        <f t="shared" si="18"/>
        <v>3162.5999999999995</v>
      </c>
      <c r="O28" s="534">
        <f t="shared" si="18"/>
        <v>3162.5999999999995</v>
      </c>
      <c r="P28" s="535">
        <f t="shared" si="18"/>
        <v>3162.5999999999995</v>
      </c>
      <c r="R28" s="536"/>
    </row>
    <row r="29" spans="2:27" x14ac:dyDescent="0.2">
      <c r="B29" s="531" t="s">
        <v>414</v>
      </c>
      <c r="C29" s="532"/>
      <c r="D29" s="433">
        <v>27.112500000000001</v>
      </c>
      <c r="E29" s="413">
        <v>2</v>
      </c>
      <c r="F29" s="533"/>
      <c r="G29" s="534">
        <f>IF(G$15=0,0,G$15/$D$15*$E29*$D29)</f>
        <v>759.15</v>
      </c>
      <c r="H29" s="534">
        <f t="shared" ref="H29:P33" si="20">IF(H$15=0,0,H$15/$D$15*$E29*$D29)</f>
        <v>759.15</v>
      </c>
      <c r="I29" s="534">
        <f t="shared" si="20"/>
        <v>759.15</v>
      </c>
      <c r="J29" s="534">
        <f t="shared" si="20"/>
        <v>759.15</v>
      </c>
      <c r="K29" s="534">
        <f t="shared" si="20"/>
        <v>759.15</v>
      </c>
      <c r="L29" s="534">
        <f t="shared" si="20"/>
        <v>759.15</v>
      </c>
      <c r="M29" s="534">
        <f t="shared" si="20"/>
        <v>759.15</v>
      </c>
      <c r="N29" s="534">
        <f t="shared" si="20"/>
        <v>759.15</v>
      </c>
      <c r="O29" s="534">
        <f t="shared" si="20"/>
        <v>759.15</v>
      </c>
      <c r="P29" s="535">
        <f t="shared" si="20"/>
        <v>759.15</v>
      </c>
      <c r="R29" s="536"/>
    </row>
    <row r="30" spans="2:27" x14ac:dyDescent="0.2">
      <c r="B30" s="531" t="s">
        <v>415</v>
      </c>
      <c r="C30" s="532"/>
      <c r="D30" s="433">
        <v>65.662499999999994</v>
      </c>
      <c r="E30" s="413">
        <v>1</v>
      </c>
      <c r="F30" s="533"/>
      <c r="G30" s="534">
        <f t="shared" ref="G30:P33" si="21">IF(G$15=0,0,G$15/$D$15*$E30*$D30)</f>
        <v>919.27499999999986</v>
      </c>
      <c r="H30" s="534">
        <f t="shared" si="21"/>
        <v>919.27499999999986</v>
      </c>
      <c r="I30" s="534">
        <f t="shared" si="21"/>
        <v>919.27499999999986</v>
      </c>
      <c r="J30" s="534">
        <f t="shared" si="21"/>
        <v>919.27499999999986</v>
      </c>
      <c r="K30" s="534">
        <f t="shared" si="21"/>
        <v>919.27499999999986</v>
      </c>
      <c r="L30" s="534">
        <f t="shared" si="21"/>
        <v>919.27499999999986</v>
      </c>
      <c r="M30" s="534">
        <f t="shared" si="21"/>
        <v>919.27499999999986</v>
      </c>
      <c r="N30" s="534">
        <f t="shared" si="21"/>
        <v>919.27499999999986</v>
      </c>
      <c r="O30" s="534">
        <f t="shared" si="21"/>
        <v>919.27499999999986</v>
      </c>
      <c r="P30" s="535">
        <f t="shared" si="21"/>
        <v>919.27499999999986</v>
      </c>
      <c r="R30" s="536"/>
    </row>
    <row r="31" spans="2:27" x14ac:dyDescent="0.2">
      <c r="B31" s="531" t="s">
        <v>416</v>
      </c>
      <c r="C31" s="532"/>
      <c r="D31" s="433">
        <v>127.66249999999999</v>
      </c>
      <c r="E31" s="413">
        <v>1</v>
      </c>
      <c r="F31" s="533"/>
      <c r="G31" s="534">
        <f t="shared" si="21"/>
        <v>1787.2749999999999</v>
      </c>
      <c r="H31" s="534">
        <f t="shared" si="20"/>
        <v>1787.2749999999999</v>
      </c>
      <c r="I31" s="534">
        <f t="shared" si="20"/>
        <v>1787.2749999999999</v>
      </c>
      <c r="J31" s="534">
        <f t="shared" si="20"/>
        <v>1787.2749999999999</v>
      </c>
      <c r="K31" s="534">
        <f t="shared" si="20"/>
        <v>1787.2749999999999</v>
      </c>
      <c r="L31" s="534">
        <f t="shared" si="20"/>
        <v>1787.2749999999999</v>
      </c>
      <c r="M31" s="534">
        <f t="shared" si="20"/>
        <v>1787.2749999999999</v>
      </c>
      <c r="N31" s="534">
        <f t="shared" si="20"/>
        <v>1787.2749999999999</v>
      </c>
      <c r="O31" s="534">
        <f t="shared" si="20"/>
        <v>1787.2749999999999</v>
      </c>
      <c r="P31" s="535">
        <f t="shared" si="20"/>
        <v>1787.2749999999999</v>
      </c>
      <c r="R31" s="536"/>
    </row>
    <row r="32" spans="2:27" x14ac:dyDescent="0.2">
      <c r="B32" s="531" t="s">
        <v>417</v>
      </c>
      <c r="C32" s="532"/>
      <c r="D32" s="433">
        <v>14.612499999999999</v>
      </c>
      <c r="E32" s="413">
        <v>2</v>
      </c>
      <c r="F32" s="533"/>
      <c r="G32" s="534">
        <f t="shared" si="21"/>
        <v>409.15</v>
      </c>
      <c r="H32" s="534">
        <f t="shared" si="20"/>
        <v>409.15</v>
      </c>
      <c r="I32" s="534">
        <f t="shared" si="20"/>
        <v>409.15</v>
      </c>
      <c r="J32" s="534">
        <f t="shared" si="20"/>
        <v>409.15</v>
      </c>
      <c r="K32" s="534">
        <f t="shared" si="20"/>
        <v>409.15</v>
      </c>
      <c r="L32" s="534">
        <f t="shared" si="20"/>
        <v>409.15</v>
      </c>
      <c r="M32" s="534">
        <f t="shared" si="20"/>
        <v>409.15</v>
      </c>
      <c r="N32" s="534">
        <f t="shared" si="20"/>
        <v>409.15</v>
      </c>
      <c r="O32" s="534">
        <f t="shared" si="20"/>
        <v>409.15</v>
      </c>
      <c r="P32" s="535">
        <f t="shared" si="20"/>
        <v>409.15</v>
      </c>
      <c r="R32" s="536"/>
    </row>
    <row r="33" spans="2:18" x14ac:dyDescent="0.2">
      <c r="B33" s="531" t="s">
        <v>418</v>
      </c>
      <c r="C33" s="532"/>
      <c r="D33" s="433">
        <v>10.752000000000001</v>
      </c>
      <c r="E33" s="413">
        <v>2</v>
      </c>
      <c r="F33" s="533"/>
      <c r="G33" s="534">
        <f t="shared" si="21"/>
        <v>301.05600000000004</v>
      </c>
      <c r="H33" s="534">
        <f t="shared" si="20"/>
        <v>301.05600000000004</v>
      </c>
      <c r="I33" s="534">
        <f t="shared" si="20"/>
        <v>301.05600000000004</v>
      </c>
      <c r="J33" s="534">
        <f t="shared" si="20"/>
        <v>301.05600000000004</v>
      </c>
      <c r="K33" s="534">
        <f t="shared" si="20"/>
        <v>301.05600000000004</v>
      </c>
      <c r="L33" s="534">
        <f t="shared" si="20"/>
        <v>301.05600000000004</v>
      </c>
      <c r="M33" s="534">
        <f t="shared" si="20"/>
        <v>301.05600000000004</v>
      </c>
      <c r="N33" s="534">
        <f t="shared" si="20"/>
        <v>301.05600000000004</v>
      </c>
      <c r="O33" s="534">
        <f t="shared" si="20"/>
        <v>301.05600000000004</v>
      </c>
      <c r="P33" s="535">
        <f t="shared" si="20"/>
        <v>301.05600000000004</v>
      </c>
      <c r="R33" s="536"/>
    </row>
    <row r="34" spans="2:18" x14ac:dyDescent="0.2">
      <c r="B34" s="537" t="s">
        <v>395</v>
      </c>
      <c r="C34" s="538"/>
      <c r="D34" s="539"/>
      <c r="E34" s="481">
        <v>500</v>
      </c>
      <c r="F34" s="481">
        <v>14</v>
      </c>
      <c r="G34" s="534"/>
      <c r="H34" s="534"/>
      <c r="I34" s="534"/>
      <c r="J34" s="534"/>
      <c r="K34" s="534"/>
      <c r="L34" s="534"/>
      <c r="M34" s="534"/>
      <c r="N34" s="534"/>
      <c r="O34" s="534"/>
      <c r="P34" s="535"/>
      <c r="R34" s="536"/>
    </row>
    <row r="35" spans="2:18" x14ac:dyDescent="0.2">
      <c r="B35" s="531" t="s">
        <v>419</v>
      </c>
      <c r="C35" s="532"/>
      <c r="D35" s="433">
        <v>18.024999999999999</v>
      </c>
      <c r="E35" s="413">
        <v>2</v>
      </c>
      <c r="F35" s="533"/>
      <c r="G35" s="534">
        <f>IF(G$16=0,0,G$16/$D$16*$E35*$D35)</f>
        <v>252.34999999999994</v>
      </c>
      <c r="H35" s="534">
        <f t="shared" ref="H35:P41" si="22">IF(H$16=0,0,H$16/$D$16*$E35*$D35)</f>
        <v>252.34999999999994</v>
      </c>
      <c r="I35" s="534">
        <f t="shared" si="22"/>
        <v>252.34999999999994</v>
      </c>
      <c r="J35" s="534">
        <f t="shared" si="22"/>
        <v>252.34999999999994</v>
      </c>
      <c r="K35" s="534">
        <f t="shared" si="22"/>
        <v>252.34999999999994</v>
      </c>
      <c r="L35" s="534">
        <f t="shared" si="22"/>
        <v>252.34999999999994</v>
      </c>
      <c r="M35" s="534">
        <f t="shared" si="22"/>
        <v>252.34999999999994</v>
      </c>
      <c r="N35" s="534">
        <f t="shared" si="22"/>
        <v>252.34999999999994</v>
      </c>
      <c r="O35" s="534">
        <f t="shared" si="22"/>
        <v>252.34999999999994</v>
      </c>
      <c r="P35" s="535">
        <f t="shared" si="22"/>
        <v>252.34999999999994</v>
      </c>
      <c r="R35" s="536"/>
    </row>
    <row r="36" spans="2:18" x14ac:dyDescent="0.2">
      <c r="B36" s="531" t="s">
        <v>420</v>
      </c>
      <c r="C36" s="532"/>
      <c r="D36" s="433">
        <v>58.9</v>
      </c>
      <c r="E36" s="413">
        <v>9</v>
      </c>
      <c r="F36" s="533"/>
      <c r="G36" s="534">
        <f>IF(G$16=0,0,G$16/$D$16*$E36*$D36)</f>
        <v>3710.6999999999994</v>
      </c>
      <c r="H36" s="534">
        <f t="shared" si="22"/>
        <v>3710.6999999999994</v>
      </c>
      <c r="I36" s="534">
        <f t="shared" si="22"/>
        <v>3710.6999999999994</v>
      </c>
      <c r="J36" s="534">
        <f t="shared" si="22"/>
        <v>3710.6999999999994</v>
      </c>
      <c r="K36" s="534">
        <f t="shared" si="22"/>
        <v>3710.6999999999994</v>
      </c>
      <c r="L36" s="534">
        <f t="shared" si="22"/>
        <v>3710.6999999999994</v>
      </c>
      <c r="M36" s="534">
        <f t="shared" si="22"/>
        <v>3710.6999999999994</v>
      </c>
      <c r="N36" s="534">
        <f t="shared" si="22"/>
        <v>3710.6999999999994</v>
      </c>
      <c r="O36" s="534">
        <f t="shared" si="22"/>
        <v>3710.6999999999994</v>
      </c>
      <c r="P36" s="535">
        <f t="shared" si="22"/>
        <v>3710.6999999999994</v>
      </c>
      <c r="R36" s="536"/>
    </row>
    <row r="37" spans="2:18" x14ac:dyDescent="0.2">
      <c r="B37" s="531" t="s">
        <v>421</v>
      </c>
      <c r="C37" s="532"/>
      <c r="D37" s="433">
        <v>60.512499999999996</v>
      </c>
      <c r="E37" s="413">
        <v>1</v>
      </c>
      <c r="F37" s="533"/>
      <c r="G37" s="534">
        <f t="shared" ref="G37:P41" si="23">IF(G$16=0,0,G$16/$D$16*$E37*$D37)</f>
        <v>423.58749999999992</v>
      </c>
      <c r="H37" s="534">
        <f t="shared" si="23"/>
        <v>423.58749999999992</v>
      </c>
      <c r="I37" s="534">
        <f t="shared" si="23"/>
        <v>423.58749999999992</v>
      </c>
      <c r="J37" s="534">
        <f t="shared" si="23"/>
        <v>423.58749999999992</v>
      </c>
      <c r="K37" s="534">
        <f t="shared" si="23"/>
        <v>423.58749999999992</v>
      </c>
      <c r="L37" s="534">
        <f t="shared" si="23"/>
        <v>423.58749999999992</v>
      </c>
      <c r="M37" s="534">
        <f t="shared" si="23"/>
        <v>423.58749999999992</v>
      </c>
      <c r="N37" s="534">
        <f t="shared" si="23"/>
        <v>423.58749999999992</v>
      </c>
      <c r="O37" s="534">
        <f t="shared" si="23"/>
        <v>423.58749999999992</v>
      </c>
      <c r="P37" s="535">
        <f t="shared" si="23"/>
        <v>423.58749999999992</v>
      </c>
      <c r="R37" s="536"/>
    </row>
    <row r="38" spans="2:18" x14ac:dyDescent="0.2">
      <c r="B38" s="531" t="s">
        <v>422</v>
      </c>
      <c r="C38" s="532"/>
      <c r="D38" s="433">
        <v>29.512499999999999</v>
      </c>
      <c r="E38" s="413">
        <v>1</v>
      </c>
      <c r="F38" s="533"/>
      <c r="G38" s="534">
        <f t="shared" si="23"/>
        <v>206.58749999999998</v>
      </c>
      <c r="H38" s="534">
        <f t="shared" si="22"/>
        <v>206.58749999999998</v>
      </c>
      <c r="I38" s="534">
        <f t="shared" si="22"/>
        <v>206.58749999999998</v>
      </c>
      <c r="J38" s="534">
        <f t="shared" si="22"/>
        <v>206.58749999999998</v>
      </c>
      <c r="K38" s="534">
        <f t="shared" si="22"/>
        <v>206.58749999999998</v>
      </c>
      <c r="L38" s="534">
        <f t="shared" si="22"/>
        <v>206.58749999999998</v>
      </c>
      <c r="M38" s="534">
        <f t="shared" si="22"/>
        <v>206.58749999999998</v>
      </c>
      <c r="N38" s="534">
        <f t="shared" si="22"/>
        <v>206.58749999999998</v>
      </c>
      <c r="O38" s="534">
        <f t="shared" si="22"/>
        <v>206.58749999999998</v>
      </c>
      <c r="P38" s="535">
        <f t="shared" si="22"/>
        <v>206.58749999999998</v>
      </c>
      <c r="R38" s="536"/>
    </row>
    <row r="39" spans="2:18" x14ac:dyDescent="0.2">
      <c r="B39" s="531" t="s">
        <v>423</v>
      </c>
      <c r="C39" s="532"/>
      <c r="D39" s="433">
        <v>81.537500000000009</v>
      </c>
      <c r="E39" s="413">
        <v>1</v>
      </c>
      <c r="F39" s="533"/>
      <c r="G39" s="534">
        <f t="shared" si="23"/>
        <v>570.76249999999993</v>
      </c>
      <c r="H39" s="534">
        <f t="shared" si="22"/>
        <v>570.76249999999993</v>
      </c>
      <c r="I39" s="534">
        <f t="shared" si="22"/>
        <v>570.76249999999993</v>
      </c>
      <c r="J39" s="534">
        <f t="shared" si="22"/>
        <v>570.76249999999993</v>
      </c>
      <c r="K39" s="534">
        <f t="shared" si="22"/>
        <v>570.76249999999993</v>
      </c>
      <c r="L39" s="534">
        <f t="shared" si="22"/>
        <v>570.76249999999993</v>
      </c>
      <c r="M39" s="534">
        <f t="shared" si="22"/>
        <v>570.76249999999993</v>
      </c>
      <c r="N39" s="534">
        <f t="shared" si="22"/>
        <v>570.76249999999993</v>
      </c>
      <c r="O39" s="534">
        <f t="shared" si="22"/>
        <v>570.76249999999993</v>
      </c>
      <c r="P39" s="535">
        <f t="shared" si="22"/>
        <v>570.76249999999993</v>
      </c>
      <c r="R39" s="536"/>
    </row>
    <row r="40" spans="2:18" x14ac:dyDescent="0.2">
      <c r="B40" s="531" t="s">
        <v>424</v>
      </c>
      <c r="C40" s="532"/>
      <c r="D40" s="433">
        <v>68.099999999999994</v>
      </c>
      <c r="E40" s="413">
        <v>2</v>
      </c>
      <c r="F40" s="533"/>
      <c r="G40" s="534">
        <f t="shared" si="23"/>
        <v>953.39999999999975</v>
      </c>
      <c r="H40" s="534">
        <f t="shared" si="22"/>
        <v>953.39999999999975</v>
      </c>
      <c r="I40" s="534">
        <f t="shared" si="22"/>
        <v>953.39999999999975</v>
      </c>
      <c r="J40" s="534">
        <f t="shared" si="22"/>
        <v>953.39999999999975</v>
      </c>
      <c r="K40" s="534">
        <f t="shared" si="22"/>
        <v>953.39999999999975</v>
      </c>
      <c r="L40" s="534">
        <f t="shared" si="22"/>
        <v>953.39999999999975</v>
      </c>
      <c r="M40" s="534">
        <f t="shared" si="22"/>
        <v>953.39999999999975</v>
      </c>
      <c r="N40" s="534">
        <f t="shared" si="22"/>
        <v>953.39999999999975</v>
      </c>
      <c r="O40" s="534">
        <f t="shared" si="22"/>
        <v>953.39999999999975</v>
      </c>
      <c r="P40" s="535">
        <f t="shared" si="22"/>
        <v>953.39999999999975</v>
      </c>
      <c r="R40" s="536"/>
    </row>
    <row r="41" spans="2:18" x14ac:dyDescent="0.2">
      <c r="B41" s="531" t="s">
        <v>418</v>
      </c>
      <c r="C41" s="532" t="s">
        <v>425</v>
      </c>
      <c r="D41" s="433">
        <v>10.752000000000001</v>
      </c>
      <c r="E41" s="413">
        <v>1</v>
      </c>
      <c r="F41" s="533"/>
      <c r="G41" s="534">
        <f t="shared" si="23"/>
        <v>75.263999999999996</v>
      </c>
      <c r="H41" s="534">
        <f t="shared" si="22"/>
        <v>75.263999999999996</v>
      </c>
      <c r="I41" s="534">
        <f t="shared" si="22"/>
        <v>75.263999999999996</v>
      </c>
      <c r="J41" s="534">
        <f t="shared" si="22"/>
        <v>75.263999999999996</v>
      </c>
      <c r="K41" s="534">
        <f t="shared" si="22"/>
        <v>75.263999999999996</v>
      </c>
      <c r="L41" s="534">
        <f t="shared" si="22"/>
        <v>75.263999999999996</v>
      </c>
      <c r="M41" s="534">
        <f t="shared" si="22"/>
        <v>75.263999999999996</v>
      </c>
      <c r="N41" s="534">
        <f t="shared" si="22"/>
        <v>75.263999999999996</v>
      </c>
      <c r="O41" s="534">
        <f t="shared" si="22"/>
        <v>75.263999999999996</v>
      </c>
      <c r="P41" s="535">
        <f t="shared" si="22"/>
        <v>75.263999999999996</v>
      </c>
      <c r="R41" s="536"/>
    </row>
    <row r="42" spans="2:18" x14ac:dyDescent="0.2">
      <c r="B42" s="537" t="s">
        <v>396</v>
      </c>
      <c r="C42" s="538"/>
      <c r="D42" s="539"/>
      <c r="E42" s="481">
        <v>1000</v>
      </c>
      <c r="F42" s="481">
        <v>7</v>
      </c>
      <c r="G42" s="474"/>
      <c r="H42" s="474"/>
      <c r="I42" s="474"/>
      <c r="J42" s="474"/>
      <c r="K42" s="474"/>
      <c r="L42" s="474"/>
      <c r="M42" s="474"/>
      <c r="N42" s="474"/>
      <c r="O42" s="474"/>
      <c r="P42" s="540"/>
      <c r="R42" s="536"/>
    </row>
    <row r="43" spans="2:18" x14ac:dyDescent="0.2">
      <c r="B43" s="531" t="s">
        <v>426</v>
      </c>
      <c r="C43" s="532" t="s">
        <v>427</v>
      </c>
      <c r="D43" s="433">
        <v>12.705892942870861</v>
      </c>
      <c r="E43" s="413">
        <v>4.2</v>
      </c>
      <c r="F43" s="533"/>
      <c r="G43" s="534">
        <f>IF(G$17=0,0,G$17/$D$17*$E43*$D43)</f>
        <v>160.09425108017282</v>
      </c>
      <c r="H43" s="534">
        <f t="shared" ref="H43:P48" si="24">IF(H$17=0,0,H$17/$D$17*$E43*$D43)</f>
        <v>213.45900144023048</v>
      </c>
      <c r="I43" s="534">
        <f t="shared" si="24"/>
        <v>160.09425108017282</v>
      </c>
      <c r="J43" s="534">
        <f t="shared" si="24"/>
        <v>213.45900144023048</v>
      </c>
      <c r="K43" s="534">
        <f t="shared" si="24"/>
        <v>160.09425108017282</v>
      </c>
      <c r="L43" s="534">
        <f t="shared" si="24"/>
        <v>213.45900144023048</v>
      </c>
      <c r="M43" s="534">
        <f t="shared" si="24"/>
        <v>160.09425108017282</v>
      </c>
      <c r="N43" s="534">
        <f t="shared" si="24"/>
        <v>213.45900144023048</v>
      </c>
      <c r="O43" s="534">
        <f t="shared" si="24"/>
        <v>160.09425108017282</v>
      </c>
      <c r="P43" s="535">
        <f t="shared" si="24"/>
        <v>213.45900144023048</v>
      </c>
      <c r="R43" s="536"/>
    </row>
    <row r="44" spans="2:18" x14ac:dyDescent="0.2">
      <c r="B44" s="531" t="s">
        <v>428</v>
      </c>
      <c r="C44" s="532" t="s">
        <v>427</v>
      </c>
      <c r="D44" s="433">
        <v>12.705892942870861</v>
      </c>
      <c r="E44" s="413">
        <v>42</v>
      </c>
      <c r="F44" s="533"/>
      <c r="G44" s="534">
        <f t="shared" ref="G44:P48" si="25">IF(G$17=0,0,G$17/$D$17*$E44*$D44)</f>
        <v>1600.9425108017283</v>
      </c>
      <c r="H44" s="534">
        <f t="shared" si="25"/>
        <v>2134.5900144023044</v>
      </c>
      <c r="I44" s="534">
        <f t="shared" si="25"/>
        <v>1600.9425108017283</v>
      </c>
      <c r="J44" s="534">
        <f t="shared" si="25"/>
        <v>2134.5900144023044</v>
      </c>
      <c r="K44" s="534">
        <f t="shared" si="25"/>
        <v>1600.9425108017283</v>
      </c>
      <c r="L44" s="534">
        <f t="shared" si="25"/>
        <v>2134.5900144023044</v>
      </c>
      <c r="M44" s="534">
        <f t="shared" si="25"/>
        <v>1600.9425108017283</v>
      </c>
      <c r="N44" s="534">
        <f t="shared" si="25"/>
        <v>2134.5900144023044</v>
      </c>
      <c r="O44" s="534">
        <f t="shared" si="25"/>
        <v>1600.9425108017283</v>
      </c>
      <c r="P44" s="535">
        <f t="shared" si="25"/>
        <v>2134.5900144023044</v>
      </c>
      <c r="R44" s="536"/>
    </row>
    <row r="45" spans="2:18" x14ac:dyDescent="0.2">
      <c r="B45" s="531" t="s">
        <v>429</v>
      </c>
      <c r="C45" s="532" t="s">
        <v>427</v>
      </c>
      <c r="D45" s="433">
        <v>12.705892942870861</v>
      </c>
      <c r="E45" s="413">
        <v>1.4</v>
      </c>
      <c r="F45" s="533"/>
      <c r="G45" s="534">
        <f t="shared" si="25"/>
        <v>53.364750360057606</v>
      </c>
      <c r="H45" s="534">
        <f t="shared" si="24"/>
        <v>71.153000480076813</v>
      </c>
      <c r="I45" s="534">
        <f t="shared" si="24"/>
        <v>53.364750360057606</v>
      </c>
      <c r="J45" s="534">
        <f t="shared" si="24"/>
        <v>71.153000480076813</v>
      </c>
      <c r="K45" s="534">
        <f t="shared" si="24"/>
        <v>53.364750360057606</v>
      </c>
      <c r="L45" s="534">
        <f t="shared" si="24"/>
        <v>71.153000480076813</v>
      </c>
      <c r="M45" s="534">
        <f t="shared" si="24"/>
        <v>53.364750360057606</v>
      </c>
      <c r="N45" s="534">
        <f t="shared" si="24"/>
        <v>71.153000480076813</v>
      </c>
      <c r="O45" s="534">
        <f t="shared" si="24"/>
        <v>53.364750360057606</v>
      </c>
      <c r="P45" s="535">
        <f t="shared" si="24"/>
        <v>71.153000480076813</v>
      </c>
      <c r="R45" s="536"/>
    </row>
    <row r="46" spans="2:18" x14ac:dyDescent="0.2">
      <c r="B46" s="531" t="s">
        <v>430</v>
      </c>
      <c r="C46" s="532" t="s">
        <v>431</v>
      </c>
      <c r="D46" s="433">
        <v>23.349015842534811</v>
      </c>
      <c r="E46" s="413">
        <v>123</v>
      </c>
      <c r="F46" s="533"/>
      <c r="G46" s="534">
        <f t="shared" si="25"/>
        <v>8615.7868458953435</v>
      </c>
      <c r="H46" s="534">
        <f t="shared" si="24"/>
        <v>11487.715794527126</v>
      </c>
      <c r="I46" s="534">
        <f t="shared" si="24"/>
        <v>8615.7868458953435</v>
      </c>
      <c r="J46" s="534">
        <f t="shared" si="24"/>
        <v>11487.715794527126</v>
      </c>
      <c r="K46" s="534">
        <f t="shared" si="24"/>
        <v>8615.7868458953435</v>
      </c>
      <c r="L46" s="534">
        <f t="shared" si="24"/>
        <v>11487.715794527126</v>
      </c>
      <c r="M46" s="534">
        <f t="shared" si="24"/>
        <v>8615.7868458953435</v>
      </c>
      <c r="N46" s="534">
        <f t="shared" si="24"/>
        <v>11487.715794527126</v>
      </c>
      <c r="O46" s="534">
        <f t="shared" si="24"/>
        <v>8615.7868458953435</v>
      </c>
      <c r="P46" s="535">
        <f t="shared" si="24"/>
        <v>11487.715794527126</v>
      </c>
      <c r="R46" s="536"/>
    </row>
    <row r="47" spans="2:18" x14ac:dyDescent="0.2">
      <c r="B47" s="531" t="s">
        <v>432</v>
      </c>
      <c r="C47" s="532"/>
      <c r="D47" s="433">
        <v>48.3125</v>
      </c>
      <c r="E47" s="413">
        <v>2</v>
      </c>
      <c r="F47" s="533"/>
      <c r="G47" s="534">
        <f t="shared" si="25"/>
        <v>289.87499999999994</v>
      </c>
      <c r="H47" s="534">
        <f t="shared" si="24"/>
        <v>386.5</v>
      </c>
      <c r="I47" s="534">
        <f t="shared" si="24"/>
        <v>289.87499999999994</v>
      </c>
      <c r="J47" s="534">
        <f t="shared" si="24"/>
        <v>386.5</v>
      </c>
      <c r="K47" s="534">
        <f t="shared" si="24"/>
        <v>289.87499999999994</v>
      </c>
      <c r="L47" s="534">
        <f t="shared" si="24"/>
        <v>386.5</v>
      </c>
      <c r="M47" s="534">
        <f t="shared" si="24"/>
        <v>289.87499999999994</v>
      </c>
      <c r="N47" s="534">
        <f t="shared" si="24"/>
        <v>386.5</v>
      </c>
      <c r="O47" s="534">
        <f t="shared" si="24"/>
        <v>289.87499999999994</v>
      </c>
      <c r="P47" s="535">
        <f t="shared" si="24"/>
        <v>386.5</v>
      </c>
      <c r="R47" s="536"/>
    </row>
    <row r="48" spans="2:18" x14ac:dyDescent="0.2">
      <c r="B48" s="531" t="s">
        <v>433</v>
      </c>
      <c r="C48" s="532"/>
      <c r="D48" s="433">
        <v>156.97499999999999</v>
      </c>
      <c r="E48" s="413">
        <v>1</v>
      </c>
      <c r="F48" s="533"/>
      <c r="G48" s="534">
        <f t="shared" si="25"/>
        <v>470.9249999999999</v>
      </c>
      <c r="H48" s="534">
        <f t="shared" si="24"/>
        <v>627.9</v>
      </c>
      <c r="I48" s="534">
        <f t="shared" si="24"/>
        <v>470.9249999999999</v>
      </c>
      <c r="J48" s="534">
        <f t="shared" si="24"/>
        <v>627.9</v>
      </c>
      <c r="K48" s="534">
        <f t="shared" si="24"/>
        <v>470.9249999999999</v>
      </c>
      <c r="L48" s="534">
        <f t="shared" si="24"/>
        <v>627.9</v>
      </c>
      <c r="M48" s="534">
        <f t="shared" si="24"/>
        <v>470.9249999999999</v>
      </c>
      <c r="N48" s="534">
        <f t="shared" si="24"/>
        <v>627.9</v>
      </c>
      <c r="O48" s="534">
        <f t="shared" si="24"/>
        <v>470.9249999999999</v>
      </c>
      <c r="P48" s="535">
        <f t="shared" si="24"/>
        <v>627.9</v>
      </c>
      <c r="R48" s="536"/>
    </row>
    <row r="49" spans="2:18" x14ac:dyDescent="0.2">
      <c r="B49" s="531" t="s">
        <v>434</v>
      </c>
      <c r="C49" s="532"/>
      <c r="D49" s="433">
        <v>59.175000000000004</v>
      </c>
      <c r="E49" s="413">
        <v>1</v>
      </c>
      <c r="F49" s="533"/>
      <c r="G49" s="534">
        <f t="shared" ref="G49:P49" si="26">IF(G$16=0,0,G$16/$D$16*$E49*$D49)</f>
        <v>414.22499999999997</v>
      </c>
      <c r="H49" s="534">
        <f t="shared" si="26"/>
        <v>414.22499999999997</v>
      </c>
      <c r="I49" s="534">
        <f t="shared" si="26"/>
        <v>414.22499999999997</v>
      </c>
      <c r="J49" s="534">
        <f t="shared" si="26"/>
        <v>414.22499999999997</v>
      </c>
      <c r="K49" s="534">
        <f t="shared" si="26"/>
        <v>414.22499999999997</v>
      </c>
      <c r="L49" s="534">
        <f t="shared" si="26"/>
        <v>414.22499999999997</v>
      </c>
      <c r="M49" s="534">
        <f t="shared" si="26"/>
        <v>414.22499999999997</v>
      </c>
      <c r="N49" s="534">
        <f t="shared" si="26"/>
        <v>414.22499999999997</v>
      </c>
      <c r="O49" s="534">
        <f t="shared" si="26"/>
        <v>414.22499999999997</v>
      </c>
      <c r="P49" s="535">
        <f t="shared" si="26"/>
        <v>414.22499999999997</v>
      </c>
      <c r="R49" s="536"/>
    </row>
    <row r="50" spans="2:18" x14ac:dyDescent="0.2">
      <c r="B50" s="531" t="s">
        <v>435</v>
      </c>
      <c r="C50" s="532"/>
      <c r="D50" s="433">
        <v>33.662500000000001</v>
      </c>
      <c r="E50" s="413">
        <v>1</v>
      </c>
      <c r="F50" s="533"/>
      <c r="G50" s="534">
        <f t="shared" ref="G50:P55" si="27">IF(G$18=0,0,G$18/$D$18*$E50*$D50)</f>
        <v>67.325000000000003</v>
      </c>
      <c r="H50" s="534">
        <f t="shared" si="27"/>
        <v>67.325000000000003</v>
      </c>
      <c r="I50" s="534">
        <f t="shared" si="27"/>
        <v>100.98750000000001</v>
      </c>
      <c r="J50" s="534">
        <f t="shared" si="27"/>
        <v>67.325000000000003</v>
      </c>
      <c r="K50" s="534">
        <f t="shared" si="27"/>
        <v>67.325000000000003</v>
      </c>
      <c r="L50" s="534">
        <f t="shared" si="27"/>
        <v>100.98750000000001</v>
      </c>
      <c r="M50" s="534">
        <f t="shared" si="27"/>
        <v>67.325000000000003</v>
      </c>
      <c r="N50" s="534">
        <f t="shared" si="27"/>
        <v>67.325000000000003</v>
      </c>
      <c r="O50" s="534">
        <f t="shared" si="27"/>
        <v>100.98750000000001</v>
      </c>
      <c r="P50" s="535">
        <f t="shared" si="27"/>
        <v>67.325000000000003</v>
      </c>
      <c r="R50" s="536"/>
    </row>
    <row r="51" spans="2:18" x14ac:dyDescent="0.2">
      <c r="B51" s="531" t="s">
        <v>436</v>
      </c>
      <c r="C51" s="532"/>
      <c r="D51" s="433">
        <v>29.875</v>
      </c>
      <c r="E51" s="413">
        <v>1</v>
      </c>
      <c r="F51" s="533"/>
      <c r="G51" s="534">
        <f t="shared" si="27"/>
        <v>59.75</v>
      </c>
      <c r="H51" s="534">
        <f t="shared" si="27"/>
        <v>59.75</v>
      </c>
      <c r="I51" s="534">
        <f t="shared" si="27"/>
        <v>89.625</v>
      </c>
      <c r="J51" s="534">
        <f t="shared" si="27"/>
        <v>59.75</v>
      </c>
      <c r="K51" s="534">
        <f t="shared" si="27"/>
        <v>59.75</v>
      </c>
      <c r="L51" s="534">
        <f t="shared" si="27"/>
        <v>89.625</v>
      </c>
      <c r="M51" s="534">
        <f t="shared" si="27"/>
        <v>59.75</v>
      </c>
      <c r="N51" s="534">
        <f t="shared" si="27"/>
        <v>59.75</v>
      </c>
      <c r="O51" s="534">
        <f t="shared" si="27"/>
        <v>89.625</v>
      </c>
      <c r="P51" s="535">
        <f t="shared" si="27"/>
        <v>59.75</v>
      </c>
      <c r="R51" s="536"/>
    </row>
    <row r="52" spans="2:18" x14ac:dyDescent="0.2">
      <c r="B52" s="531" t="s">
        <v>418</v>
      </c>
      <c r="C52" s="532" t="s">
        <v>425</v>
      </c>
      <c r="D52" s="433">
        <v>10.752000000000001</v>
      </c>
      <c r="E52" s="541">
        <v>0.1</v>
      </c>
      <c r="F52" s="533"/>
      <c r="G52" s="534">
        <f t="shared" si="27"/>
        <v>2.1504000000000003</v>
      </c>
      <c r="H52" s="534">
        <f t="shared" si="27"/>
        <v>2.1504000000000003</v>
      </c>
      <c r="I52" s="534">
        <f t="shared" si="27"/>
        <v>3.2256000000000005</v>
      </c>
      <c r="J52" s="534">
        <f t="shared" si="27"/>
        <v>2.1504000000000003</v>
      </c>
      <c r="K52" s="534">
        <f t="shared" si="27"/>
        <v>2.1504000000000003</v>
      </c>
      <c r="L52" s="534">
        <f t="shared" si="27"/>
        <v>3.2256000000000005</v>
      </c>
      <c r="M52" s="534">
        <f t="shared" si="27"/>
        <v>2.1504000000000003</v>
      </c>
      <c r="N52" s="534">
        <f t="shared" si="27"/>
        <v>2.1504000000000003</v>
      </c>
      <c r="O52" s="534">
        <f t="shared" si="27"/>
        <v>3.2256000000000005</v>
      </c>
      <c r="P52" s="535">
        <f t="shared" si="27"/>
        <v>2.1504000000000003</v>
      </c>
      <c r="R52" s="536"/>
    </row>
    <row r="53" spans="2:18" x14ac:dyDescent="0.2">
      <c r="B53" s="537" t="s">
        <v>397</v>
      </c>
      <c r="C53" s="538"/>
      <c r="D53" s="539"/>
      <c r="E53" s="481">
        <v>2000</v>
      </c>
      <c r="F53" s="542" t="s">
        <v>398</v>
      </c>
      <c r="G53" s="534"/>
      <c r="H53" s="534"/>
      <c r="I53" s="534"/>
      <c r="J53" s="534"/>
      <c r="K53" s="534"/>
      <c r="L53" s="534"/>
      <c r="M53" s="534"/>
      <c r="N53" s="534"/>
      <c r="O53" s="534"/>
      <c r="P53" s="535"/>
      <c r="R53" s="536"/>
    </row>
    <row r="54" spans="2:18" x14ac:dyDescent="0.2">
      <c r="B54" s="531" t="s">
        <v>437</v>
      </c>
      <c r="C54" s="532"/>
      <c r="D54" s="433">
        <v>561.46249999999998</v>
      </c>
      <c r="E54" s="413">
        <v>1</v>
      </c>
      <c r="F54" s="542"/>
      <c r="G54" s="534">
        <f t="shared" si="27"/>
        <v>1122.925</v>
      </c>
      <c r="H54" s="534">
        <f t="shared" si="27"/>
        <v>1122.925</v>
      </c>
      <c r="I54" s="534">
        <f t="shared" si="27"/>
        <v>1684.3874999999998</v>
      </c>
      <c r="J54" s="534">
        <f t="shared" si="27"/>
        <v>1122.925</v>
      </c>
      <c r="K54" s="534">
        <f t="shared" si="27"/>
        <v>1122.925</v>
      </c>
      <c r="L54" s="534">
        <f t="shared" si="27"/>
        <v>1684.3874999999998</v>
      </c>
      <c r="M54" s="534">
        <f t="shared" si="27"/>
        <v>1122.925</v>
      </c>
      <c r="N54" s="534">
        <f t="shared" si="27"/>
        <v>1122.925</v>
      </c>
      <c r="O54" s="534">
        <f t="shared" si="27"/>
        <v>1684.3874999999998</v>
      </c>
      <c r="P54" s="535">
        <f t="shared" si="27"/>
        <v>1122.925</v>
      </c>
      <c r="R54" s="536"/>
    </row>
    <row r="55" spans="2:18" x14ac:dyDescent="0.2">
      <c r="B55" s="531" t="s">
        <v>438</v>
      </c>
      <c r="C55" s="532" t="s">
        <v>427</v>
      </c>
      <c r="D55" s="433">
        <v>23.907408161305803</v>
      </c>
      <c r="E55" s="413">
        <v>7</v>
      </c>
      <c r="F55" s="542"/>
      <c r="G55" s="534">
        <f t="shared" si="27"/>
        <v>334.70371425828125</v>
      </c>
      <c r="H55" s="534">
        <f t="shared" si="27"/>
        <v>334.70371425828125</v>
      </c>
      <c r="I55" s="534">
        <f t="shared" si="27"/>
        <v>502.05557138742188</v>
      </c>
      <c r="J55" s="534">
        <f t="shared" si="27"/>
        <v>334.70371425828125</v>
      </c>
      <c r="K55" s="534">
        <f t="shared" si="27"/>
        <v>334.70371425828125</v>
      </c>
      <c r="L55" s="534">
        <f t="shared" si="27"/>
        <v>502.05557138742188</v>
      </c>
      <c r="M55" s="534">
        <f t="shared" si="27"/>
        <v>334.70371425828125</v>
      </c>
      <c r="N55" s="534">
        <f t="shared" si="27"/>
        <v>334.70371425828125</v>
      </c>
      <c r="O55" s="534">
        <f t="shared" si="27"/>
        <v>502.05557138742188</v>
      </c>
      <c r="P55" s="535">
        <f t="shared" si="27"/>
        <v>334.70371425828125</v>
      </c>
      <c r="R55" s="536"/>
    </row>
    <row r="56" spans="2:18" x14ac:dyDescent="0.2">
      <c r="B56" s="531" t="s">
        <v>439</v>
      </c>
      <c r="C56" s="532"/>
      <c r="D56" s="433">
        <v>19.45</v>
      </c>
      <c r="E56" s="413">
        <v>1</v>
      </c>
      <c r="F56" s="542"/>
      <c r="G56" s="534">
        <f>IF(G$19=0,0,G$19/$D$19*$E56*$D56)</f>
        <v>19.45</v>
      </c>
      <c r="H56" s="534">
        <f t="shared" ref="H56:P61" si="28">IF(H$19=0,0,H$19/$D$19*$E56*$D56)</f>
        <v>19.45</v>
      </c>
      <c r="I56" s="534">
        <f t="shared" si="28"/>
        <v>38.9</v>
      </c>
      <c r="J56" s="534">
        <f t="shared" si="28"/>
        <v>19.45</v>
      </c>
      <c r="K56" s="534">
        <f t="shared" si="28"/>
        <v>38.9</v>
      </c>
      <c r="L56" s="534">
        <f t="shared" si="28"/>
        <v>19.45</v>
      </c>
      <c r="M56" s="534">
        <f t="shared" si="28"/>
        <v>19.45</v>
      </c>
      <c r="N56" s="534">
        <f t="shared" si="28"/>
        <v>38.9</v>
      </c>
      <c r="O56" s="534">
        <f t="shared" si="28"/>
        <v>19.45</v>
      </c>
      <c r="P56" s="535">
        <f t="shared" si="28"/>
        <v>38.9</v>
      </c>
      <c r="R56" s="536"/>
    </row>
    <row r="57" spans="2:18" x14ac:dyDescent="0.2">
      <c r="B57" s="531" t="s">
        <v>440</v>
      </c>
      <c r="C57" s="532"/>
      <c r="D57" s="433">
        <v>218.16249999999999</v>
      </c>
      <c r="E57" s="413">
        <v>1</v>
      </c>
      <c r="F57" s="542"/>
      <c r="G57" s="534">
        <f t="shared" ref="G57:P61" si="29">IF(G$19=0,0,G$19/$D$19*$E57*$D57)</f>
        <v>218.16249999999999</v>
      </c>
      <c r="H57" s="534">
        <f t="shared" si="29"/>
        <v>218.16249999999999</v>
      </c>
      <c r="I57" s="534">
        <f t="shared" si="29"/>
        <v>436.32499999999999</v>
      </c>
      <c r="J57" s="534">
        <f t="shared" si="29"/>
        <v>218.16249999999999</v>
      </c>
      <c r="K57" s="534">
        <f t="shared" si="29"/>
        <v>436.32499999999999</v>
      </c>
      <c r="L57" s="534">
        <f t="shared" si="29"/>
        <v>218.16249999999999</v>
      </c>
      <c r="M57" s="534">
        <f t="shared" si="29"/>
        <v>218.16249999999999</v>
      </c>
      <c r="N57" s="534">
        <f t="shared" si="29"/>
        <v>436.32499999999999</v>
      </c>
      <c r="O57" s="534">
        <f t="shared" si="29"/>
        <v>218.16249999999999</v>
      </c>
      <c r="P57" s="535">
        <f t="shared" si="29"/>
        <v>436.32499999999999</v>
      </c>
      <c r="R57" s="536"/>
    </row>
    <row r="58" spans="2:18" x14ac:dyDescent="0.2">
      <c r="B58" s="537" t="s">
        <v>399</v>
      </c>
      <c r="C58" s="538"/>
      <c r="D58" s="539"/>
      <c r="E58" s="481">
        <v>3000</v>
      </c>
      <c r="F58" s="542" t="s">
        <v>400</v>
      </c>
      <c r="G58" s="534"/>
      <c r="H58" s="534"/>
      <c r="I58" s="534"/>
      <c r="J58" s="534"/>
      <c r="K58" s="534"/>
      <c r="L58" s="534"/>
      <c r="M58" s="534"/>
      <c r="N58" s="534"/>
      <c r="O58" s="534"/>
      <c r="P58" s="535"/>
      <c r="R58" s="536"/>
    </row>
    <row r="59" spans="2:18" x14ac:dyDescent="0.2">
      <c r="B59" s="531" t="s">
        <v>441</v>
      </c>
      <c r="C59" s="532" t="s">
        <v>425</v>
      </c>
      <c r="D59" s="433">
        <v>30.236370619299091</v>
      </c>
      <c r="E59" s="413">
        <v>833</v>
      </c>
      <c r="F59" s="542"/>
      <c r="G59" s="534">
        <f t="shared" si="29"/>
        <v>25186.896725876144</v>
      </c>
      <c r="H59" s="534">
        <f t="shared" si="28"/>
        <v>25186.896725876144</v>
      </c>
      <c r="I59" s="534">
        <f t="shared" si="28"/>
        <v>50373.793451752288</v>
      </c>
      <c r="J59" s="534">
        <f t="shared" si="28"/>
        <v>25186.896725876144</v>
      </c>
      <c r="K59" s="534">
        <f t="shared" si="28"/>
        <v>50373.793451752288</v>
      </c>
      <c r="L59" s="534">
        <f t="shared" si="28"/>
        <v>25186.896725876144</v>
      </c>
      <c r="M59" s="534">
        <f t="shared" si="28"/>
        <v>25186.896725876144</v>
      </c>
      <c r="N59" s="534">
        <f t="shared" si="28"/>
        <v>50373.793451752288</v>
      </c>
      <c r="O59" s="534">
        <f t="shared" si="28"/>
        <v>25186.896725876144</v>
      </c>
      <c r="P59" s="535">
        <f t="shared" si="28"/>
        <v>50373.793451752288</v>
      </c>
      <c r="R59" s="536"/>
    </row>
    <row r="60" spans="2:18" x14ac:dyDescent="0.2">
      <c r="B60" s="537" t="s">
        <v>401</v>
      </c>
      <c r="C60" s="538"/>
      <c r="D60" s="539"/>
      <c r="E60" s="481">
        <v>5000</v>
      </c>
      <c r="F60" s="542" t="s">
        <v>402</v>
      </c>
      <c r="G60" s="534"/>
      <c r="H60" s="534"/>
      <c r="I60" s="534"/>
      <c r="J60" s="534"/>
      <c r="K60" s="534"/>
      <c r="L60" s="534"/>
      <c r="M60" s="534"/>
      <c r="N60" s="534"/>
      <c r="O60" s="534"/>
      <c r="P60" s="535"/>
      <c r="R60" s="536"/>
    </row>
    <row r="61" spans="2:18" ht="13.6" thickBot="1" x14ac:dyDescent="0.25">
      <c r="B61" s="543" t="s">
        <v>410</v>
      </c>
      <c r="C61" s="544" t="s">
        <v>411</v>
      </c>
      <c r="D61" s="545">
        <v>3.1217858857417191</v>
      </c>
      <c r="E61" s="546">
        <v>190</v>
      </c>
      <c r="F61" s="547"/>
      <c r="G61" s="548">
        <f t="shared" si="29"/>
        <v>593.13931829092667</v>
      </c>
      <c r="H61" s="548">
        <f t="shared" si="28"/>
        <v>593.13931829092667</v>
      </c>
      <c r="I61" s="548">
        <f t="shared" si="28"/>
        <v>1186.2786365818533</v>
      </c>
      <c r="J61" s="548">
        <f t="shared" si="28"/>
        <v>593.13931829092667</v>
      </c>
      <c r="K61" s="548">
        <f t="shared" si="28"/>
        <v>1186.2786365818533</v>
      </c>
      <c r="L61" s="548">
        <f t="shared" si="28"/>
        <v>593.13931829092667</v>
      </c>
      <c r="M61" s="548">
        <f t="shared" si="28"/>
        <v>593.13931829092667</v>
      </c>
      <c r="N61" s="548">
        <f t="shared" si="28"/>
        <v>1186.2786365818533</v>
      </c>
      <c r="O61" s="548">
        <f t="shared" si="28"/>
        <v>593.13931829092667</v>
      </c>
      <c r="P61" s="549">
        <f t="shared" si="28"/>
        <v>1186.2786365818533</v>
      </c>
      <c r="R61" s="536"/>
    </row>
  </sheetData>
  <mergeCells count="4">
    <mergeCell ref="B11:P11"/>
    <mergeCell ref="R12:S12"/>
    <mergeCell ref="R13:S13"/>
    <mergeCell ref="B20:P20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48" max="16383" man="1"/>
  </rowBreaks>
  <colBreaks count="1" manualBreakCount="1">
    <brk id="17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B377-8FB4-44EB-9FC0-6531D2C99A95}">
  <sheetPr>
    <tabColor theme="7" tint="0.79998168889431442"/>
  </sheetPr>
  <dimension ref="B2:Q285"/>
  <sheetViews>
    <sheetView showGridLines="0" zoomScale="85" zoomScaleNormal="85" zoomScaleSheetLayoutView="80" workbookViewId="0">
      <pane xSplit="2" ySplit="6" topLeftCell="C7" activePane="bottomRight" state="frozen"/>
      <selection activeCell="V35" sqref="V35"/>
      <selection pane="topRight" activeCell="V35" sqref="V35"/>
      <selection pane="bottomLeft" activeCell="V35" sqref="V35"/>
      <selection pane="bottomRight" activeCell="R48" sqref="R48"/>
    </sheetView>
  </sheetViews>
  <sheetFormatPr defaultColWidth="9.125" defaultRowHeight="12.9" x14ac:dyDescent="0.2"/>
  <cols>
    <col min="1" max="1" width="5.375" style="551" customWidth="1"/>
    <col min="2" max="2" width="59.625" style="456" customWidth="1"/>
    <col min="3" max="3" width="14.625" style="456" customWidth="1"/>
    <col min="4" max="4" width="17.625" style="550" customWidth="1"/>
    <col min="5" max="5" width="11.375" style="456" customWidth="1"/>
    <col min="6" max="15" width="14.875" style="456" customWidth="1"/>
    <col min="16" max="16" width="11.875" style="551" customWidth="1"/>
    <col min="17" max="17" width="13.125" style="551" bestFit="1" customWidth="1"/>
    <col min="18" max="16384" width="9.125" style="551"/>
  </cols>
  <sheetData>
    <row r="2" spans="2:15" x14ac:dyDescent="0.2">
      <c r="B2" s="378" t="s">
        <v>327</v>
      </c>
    </row>
    <row r="3" spans="2:15" ht="16.5" customHeight="1" thickBot="1" x14ac:dyDescent="0.25">
      <c r="B3" s="456" t="s">
        <v>442</v>
      </c>
      <c r="F3" s="552">
        <f>'HIFO 75D'!E6</f>
        <v>0.89322361745306944</v>
      </c>
      <c r="G3" s="552">
        <f>'HIFO 75D'!F6</f>
        <v>0.8669947044647387</v>
      </c>
      <c r="H3" s="552">
        <f>'HIFO 75D'!G6</f>
        <v>0.85358336504312537</v>
      </c>
      <c r="I3" s="552">
        <f>'HIFO 75D'!H6</f>
        <v>0.86506357813292745</v>
      </c>
      <c r="J3" s="552">
        <f>'HIFO 75D'!I6</f>
        <v>0.87024876331811263</v>
      </c>
      <c r="K3" s="552">
        <f>'HIFO 75D'!J6</f>
        <v>0.84426956494165395</v>
      </c>
      <c r="L3" s="552">
        <f>'HIFO 75D'!K6</f>
        <v>0.85844003678335867</v>
      </c>
      <c r="M3" s="552">
        <f>'HIFO 75D'!L6</f>
        <v>0.87057949644850341</v>
      </c>
      <c r="N3" s="552">
        <f>'HIFO 75D'!M6</f>
        <v>0.85290636098427197</v>
      </c>
      <c r="O3" s="552">
        <f>'HIFO 75D'!N6</f>
        <v>0.85267773338406894</v>
      </c>
    </row>
    <row r="4" spans="2:15" s="550" customFormat="1" ht="22.95" customHeight="1" x14ac:dyDescent="0.25">
      <c r="B4" s="553" t="s">
        <v>373</v>
      </c>
      <c r="C4" s="554" t="s">
        <v>443</v>
      </c>
      <c r="D4" s="555"/>
      <c r="E4" s="555"/>
      <c r="F4" s="388">
        <v>1</v>
      </c>
      <c r="G4" s="388">
        <f>F4+1</f>
        <v>2</v>
      </c>
      <c r="H4" s="388">
        <f t="shared" ref="H4:O4" si="0">G4+1</f>
        <v>3</v>
      </c>
      <c r="I4" s="388">
        <f t="shared" si="0"/>
        <v>4</v>
      </c>
      <c r="J4" s="388">
        <f t="shared" si="0"/>
        <v>5</v>
      </c>
      <c r="K4" s="388">
        <f t="shared" si="0"/>
        <v>6</v>
      </c>
      <c r="L4" s="388">
        <f t="shared" si="0"/>
        <v>7</v>
      </c>
      <c r="M4" s="388">
        <f t="shared" si="0"/>
        <v>8</v>
      </c>
      <c r="N4" s="388">
        <f t="shared" si="0"/>
        <v>9</v>
      </c>
      <c r="O4" s="556">
        <f t="shared" si="0"/>
        <v>10</v>
      </c>
    </row>
    <row r="5" spans="2:15" x14ac:dyDescent="0.2">
      <c r="B5" s="469" t="s">
        <v>374</v>
      </c>
      <c r="C5" s="557" t="s">
        <v>375</v>
      </c>
      <c r="D5" s="558"/>
      <c r="E5" s="559"/>
      <c r="F5" s="474">
        <v>0</v>
      </c>
      <c r="G5" s="474">
        <f>F6+1</f>
        <v>7001</v>
      </c>
      <c r="H5" s="474">
        <f t="shared" ref="H5:O5" si="1">G6+1</f>
        <v>14001</v>
      </c>
      <c r="I5" s="474">
        <f t="shared" si="1"/>
        <v>21001</v>
      </c>
      <c r="J5" s="474">
        <f t="shared" si="1"/>
        <v>28001</v>
      </c>
      <c r="K5" s="474">
        <f t="shared" si="1"/>
        <v>35001</v>
      </c>
      <c r="L5" s="474">
        <f t="shared" si="1"/>
        <v>42001</v>
      </c>
      <c r="M5" s="474">
        <f t="shared" si="1"/>
        <v>49001</v>
      </c>
      <c r="N5" s="474">
        <f t="shared" si="1"/>
        <v>56001</v>
      </c>
      <c r="O5" s="540">
        <f t="shared" si="1"/>
        <v>63001</v>
      </c>
    </row>
    <row r="6" spans="2:15" ht="13.6" thickBot="1" x14ac:dyDescent="0.25">
      <c r="B6" s="560" t="s">
        <v>376</v>
      </c>
      <c r="C6" s="561" t="s">
        <v>375</v>
      </c>
      <c r="D6" s="562">
        <v>7000</v>
      </c>
      <c r="E6" s="563"/>
      <c r="F6" s="564">
        <f>D6</f>
        <v>7000</v>
      </c>
      <c r="G6" s="564">
        <f t="shared" ref="G6:O6" si="2">F6+$D6</f>
        <v>14000</v>
      </c>
      <c r="H6" s="564">
        <f t="shared" si="2"/>
        <v>21000</v>
      </c>
      <c r="I6" s="564">
        <f t="shared" si="2"/>
        <v>28000</v>
      </c>
      <c r="J6" s="564">
        <f t="shared" si="2"/>
        <v>35000</v>
      </c>
      <c r="K6" s="564">
        <f t="shared" si="2"/>
        <v>42000</v>
      </c>
      <c r="L6" s="564">
        <f t="shared" si="2"/>
        <v>49000</v>
      </c>
      <c r="M6" s="564">
        <f t="shared" si="2"/>
        <v>56000</v>
      </c>
      <c r="N6" s="564">
        <f t="shared" si="2"/>
        <v>63000</v>
      </c>
      <c r="O6" s="565">
        <f t="shared" si="2"/>
        <v>70000</v>
      </c>
    </row>
    <row r="7" spans="2:15" ht="13.6" thickBot="1" x14ac:dyDescent="0.25">
      <c r="B7" s="566"/>
    </row>
    <row r="8" spans="2:15" x14ac:dyDescent="0.25">
      <c r="B8" s="567" t="s">
        <v>444</v>
      </c>
      <c r="C8" s="409" t="s">
        <v>337</v>
      </c>
      <c r="D8" s="409"/>
      <c r="E8" s="409"/>
      <c r="F8" s="528">
        <f>F16</f>
        <v>85.000000000000014</v>
      </c>
      <c r="G8" s="528">
        <f t="shared" ref="G8:O8" si="3">G16</f>
        <v>315.65999999999997</v>
      </c>
      <c r="H8" s="528">
        <f t="shared" si="3"/>
        <v>423.65000000000003</v>
      </c>
      <c r="I8" s="528">
        <f t="shared" si="3"/>
        <v>333.06</v>
      </c>
      <c r="J8" s="528">
        <f t="shared" si="3"/>
        <v>283.54999999999995</v>
      </c>
      <c r="K8" s="528">
        <f t="shared" si="3"/>
        <v>510.36000000000007</v>
      </c>
      <c r="L8" s="528">
        <f t="shared" si="3"/>
        <v>398.41</v>
      </c>
      <c r="M8" s="528">
        <f t="shared" si="3"/>
        <v>274.89999999999992</v>
      </c>
      <c r="N8" s="528">
        <f t="shared" si="3"/>
        <v>438.21000000000004</v>
      </c>
      <c r="O8" s="568">
        <f t="shared" si="3"/>
        <v>436.19999999999993</v>
      </c>
    </row>
    <row r="9" spans="2:15" ht="13.6" x14ac:dyDescent="0.25">
      <c r="B9" s="392" t="s">
        <v>352</v>
      </c>
      <c r="C9" s="434" t="s">
        <v>445</v>
      </c>
      <c r="D9" s="398"/>
      <c r="E9" s="398"/>
      <c r="F9" s="481">
        <f>SUM(F10:F12)</f>
        <v>16810.168139123434</v>
      </c>
      <c r="G9" s="481">
        <f t="shared" ref="G9:O9" si="4">SUM(G10:G12)</f>
        <v>278001.72704117961</v>
      </c>
      <c r="H9" s="481">
        <f t="shared" si="4"/>
        <v>576540.68776191818</v>
      </c>
      <c r="I9" s="481">
        <f t="shared" si="4"/>
        <v>467584.66672352247</v>
      </c>
      <c r="J9" s="481">
        <f t="shared" si="4"/>
        <v>622652.33598470897</v>
      </c>
      <c r="K9" s="481">
        <f t="shared" si="4"/>
        <v>440372.5309333271</v>
      </c>
      <c r="L9" s="481">
        <f t="shared" si="4"/>
        <v>512096.15384213795</v>
      </c>
      <c r="M9" s="481">
        <f t="shared" si="4"/>
        <v>479287.3341954521</v>
      </c>
      <c r="N9" s="481">
        <f t="shared" si="4"/>
        <v>784711.80531230161</v>
      </c>
      <c r="O9" s="569">
        <f t="shared" si="4"/>
        <v>150136.34039652755</v>
      </c>
    </row>
    <row r="10" spans="2:15" x14ac:dyDescent="0.25">
      <c r="B10" s="419" t="s">
        <v>355</v>
      </c>
      <c r="C10" s="434" t="s">
        <v>445</v>
      </c>
      <c r="D10" s="434"/>
      <c r="E10" s="434"/>
      <c r="F10" s="488">
        <f>F196</f>
        <v>4506.8199999999988</v>
      </c>
      <c r="G10" s="488">
        <f t="shared" ref="G10:O10" si="5">G196</f>
        <v>55641.7</v>
      </c>
      <c r="H10" s="488">
        <f t="shared" si="5"/>
        <v>136249.29999999999</v>
      </c>
      <c r="I10" s="488">
        <f t="shared" si="5"/>
        <v>12468.179999999998</v>
      </c>
      <c r="J10" s="488">
        <f t="shared" si="5"/>
        <v>1042.3399999999999</v>
      </c>
      <c r="K10" s="488">
        <f t="shared" si="5"/>
        <v>62521.69</v>
      </c>
      <c r="L10" s="488">
        <f t="shared" si="5"/>
        <v>136393.25999999998</v>
      </c>
      <c r="M10" s="488">
        <f t="shared" si="5"/>
        <v>9096.92</v>
      </c>
      <c r="N10" s="488">
        <f t="shared" si="5"/>
        <v>4413.5999999999995</v>
      </c>
      <c r="O10" s="570">
        <f t="shared" si="5"/>
        <v>71836.786999999997</v>
      </c>
    </row>
    <row r="11" spans="2:15" x14ac:dyDescent="0.25">
      <c r="B11" s="419" t="s">
        <v>356</v>
      </c>
      <c r="C11" s="434" t="s">
        <v>445</v>
      </c>
      <c r="D11" s="434"/>
      <c r="E11" s="434"/>
      <c r="F11" s="488">
        <f>F216</f>
        <v>7382.3820840000008</v>
      </c>
      <c r="G11" s="488">
        <f t="shared" ref="G11:O11" si="6">G216</f>
        <v>204085.29592400003</v>
      </c>
      <c r="H11" s="488">
        <f t="shared" si="6"/>
        <v>415764.71400600002</v>
      </c>
      <c r="I11" s="488">
        <f t="shared" si="6"/>
        <v>435834.40490799997</v>
      </c>
      <c r="J11" s="488">
        <f t="shared" si="6"/>
        <v>605194.23216200015</v>
      </c>
      <c r="K11" s="488">
        <f t="shared" si="6"/>
        <v>348304.20286400005</v>
      </c>
      <c r="L11" s="488">
        <f t="shared" si="6"/>
        <v>352637.457536</v>
      </c>
      <c r="M11" s="488">
        <f t="shared" si="6"/>
        <v>454275.43103599997</v>
      </c>
      <c r="N11" s="488">
        <f t="shared" si="6"/>
        <v>754928.59901799995</v>
      </c>
      <c r="O11" s="570">
        <f t="shared" si="6"/>
        <v>53046.313476000003</v>
      </c>
    </row>
    <row r="12" spans="2:15" ht="13.6" thickBot="1" x14ac:dyDescent="0.3">
      <c r="B12" s="422" t="s">
        <v>446</v>
      </c>
      <c r="C12" s="571" t="s">
        <v>445</v>
      </c>
      <c r="D12" s="571"/>
      <c r="E12" s="571"/>
      <c r="F12" s="493">
        <f t="shared" ref="F12:O12" si="7">SUMPRODUCT(F$108:F$192,$D108:$D192)</f>
        <v>4920.9660551234347</v>
      </c>
      <c r="G12" s="493">
        <f t="shared" si="7"/>
        <v>18274.731117179581</v>
      </c>
      <c r="H12" s="493">
        <f t="shared" si="7"/>
        <v>24526.673755918164</v>
      </c>
      <c r="I12" s="493">
        <f t="shared" si="7"/>
        <v>19282.081815522495</v>
      </c>
      <c r="J12" s="493">
        <f t="shared" si="7"/>
        <v>16415.763822708828</v>
      </c>
      <c r="K12" s="493">
        <f t="shared" si="7"/>
        <v>29546.638069327033</v>
      </c>
      <c r="L12" s="493">
        <f t="shared" si="7"/>
        <v>23065.436306137985</v>
      </c>
      <c r="M12" s="493">
        <f t="shared" si="7"/>
        <v>15914.983159452151</v>
      </c>
      <c r="N12" s="493">
        <f t="shared" si="7"/>
        <v>25369.606294301666</v>
      </c>
      <c r="O12" s="493">
        <f t="shared" si="7"/>
        <v>25253.239920527565</v>
      </c>
    </row>
    <row r="13" spans="2:15" x14ac:dyDescent="0.2">
      <c r="B13" s="572"/>
      <c r="E13" s="573"/>
      <c r="F13" s="574"/>
      <c r="G13" s="574"/>
      <c r="H13" s="574"/>
      <c r="I13" s="574"/>
      <c r="J13" s="574"/>
      <c r="K13" s="574"/>
      <c r="L13" s="574"/>
      <c r="M13" s="574"/>
      <c r="N13" s="574"/>
      <c r="O13" s="574"/>
    </row>
    <row r="14" spans="2:15" ht="14.3" thickBot="1" x14ac:dyDescent="0.3">
      <c r="B14" s="575" t="s">
        <v>447</v>
      </c>
      <c r="E14" s="573"/>
      <c r="F14" s="574"/>
      <c r="G14" s="574"/>
      <c r="H14" s="574"/>
      <c r="I14" s="574"/>
      <c r="J14" s="574"/>
      <c r="K14" s="574"/>
      <c r="L14" s="574"/>
      <c r="M14" s="574"/>
      <c r="N14" s="574"/>
      <c r="O14" s="574"/>
    </row>
    <row r="15" spans="2:15" ht="14.3" thickBot="1" x14ac:dyDescent="0.3">
      <c r="B15" s="576" t="s">
        <v>448</v>
      </c>
      <c r="C15" s="577" t="s">
        <v>443</v>
      </c>
      <c r="D15" s="578"/>
      <c r="E15" s="578"/>
      <c r="F15" s="577" t="s">
        <v>337</v>
      </c>
      <c r="G15" s="579" t="s">
        <v>337</v>
      </c>
      <c r="H15" s="579" t="s">
        <v>337</v>
      </c>
      <c r="I15" s="579" t="s">
        <v>337</v>
      </c>
      <c r="J15" s="579" t="s">
        <v>337</v>
      </c>
      <c r="K15" s="579" t="s">
        <v>337</v>
      </c>
      <c r="L15" s="579" t="s">
        <v>337</v>
      </c>
      <c r="M15" s="579" t="s">
        <v>337</v>
      </c>
      <c r="N15" s="579" t="s">
        <v>337</v>
      </c>
      <c r="O15" s="580" t="s">
        <v>337</v>
      </c>
    </row>
    <row r="16" spans="2:15" ht="13.6" customHeight="1" thickBot="1" x14ac:dyDescent="0.3">
      <c r="B16" s="581" t="s">
        <v>449</v>
      </c>
      <c r="C16" s="462" t="s">
        <v>337</v>
      </c>
      <c r="D16" s="462"/>
      <c r="E16" s="582"/>
      <c r="F16" s="523">
        <f t="shared" ref="F16:O16" si="8">SUM(F17:F102)</f>
        <v>85.000000000000014</v>
      </c>
      <c r="G16" s="523">
        <f t="shared" si="8"/>
        <v>315.65999999999997</v>
      </c>
      <c r="H16" s="523">
        <f t="shared" si="8"/>
        <v>423.65000000000003</v>
      </c>
      <c r="I16" s="523">
        <f t="shared" si="8"/>
        <v>333.06</v>
      </c>
      <c r="J16" s="523">
        <f t="shared" si="8"/>
        <v>283.54999999999995</v>
      </c>
      <c r="K16" s="523">
        <f t="shared" si="8"/>
        <v>510.36000000000007</v>
      </c>
      <c r="L16" s="523">
        <f t="shared" si="8"/>
        <v>398.41</v>
      </c>
      <c r="M16" s="523">
        <f t="shared" si="8"/>
        <v>274.89999999999992</v>
      </c>
      <c r="N16" s="523">
        <f t="shared" si="8"/>
        <v>438.21000000000004</v>
      </c>
      <c r="O16" s="523">
        <f t="shared" si="8"/>
        <v>436.19999999999993</v>
      </c>
    </row>
    <row r="17" spans="2:16" ht="13.6" x14ac:dyDescent="0.25">
      <c r="B17" s="583" t="s">
        <v>450</v>
      </c>
      <c r="C17" s="528"/>
      <c r="D17" s="528"/>
      <c r="E17" s="584"/>
      <c r="F17" s="585"/>
      <c r="G17" s="526"/>
      <c r="H17" s="526"/>
      <c r="I17" s="585"/>
      <c r="J17" s="526"/>
      <c r="K17" s="585"/>
      <c r="L17" s="526"/>
      <c r="M17" s="526"/>
      <c r="N17" s="585"/>
      <c r="O17" s="586"/>
    </row>
    <row r="18" spans="2:16" x14ac:dyDescent="0.2">
      <c r="B18" s="587" t="s">
        <v>451</v>
      </c>
      <c r="C18" s="588">
        <v>56</v>
      </c>
      <c r="D18" s="589">
        <v>15000</v>
      </c>
      <c r="E18" s="471"/>
      <c r="F18" s="590">
        <v>0</v>
      </c>
      <c r="G18" s="590">
        <v>0</v>
      </c>
      <c r="H18" s="590">
        <v>56</v>
      </c>
      <c r="I18" s="590">
        <v>0</v>
      </c>
      <c r="J18" s="590"/>
      <c r="K18" s="590">
        <v>0</v>
      </c>
      <c r="L18" s="590">
        <v>56</v>
      </c>
      <c r="M18" s="590">
        <v>0</v>
      </c>
      <c r="N18" s="590"/>
      <c r="O18" s="591">
        <v>0</v>
      </c>
      <c r="P18" s="592"/>
    </row>
    <row r="19" spans="2:16" x14ac:dyDescent="0.2">
      <c r="B19" s="587" t="s">
        <v>452</v>
      </c>
      <c r="C19" s="588">
        <v>4</v>
      </c>
      <c r="D19" s="589">
        <v>16000</v>
      </c>
      <c r="E19" s="399"/>
      <c r="F19" s="590">
        <v>0</v>
      </c>
      <c r="G19" s="590">
        <v>0</v>
      </c>
      <c r="H19" s="590">
        <v>4</v>
      </c>
      <c r="I19" s="590">
        <v>0</v>
      </c>
      <c r="J19" s="590"/>
      <c r="K19" s="590">
        <v>0</v>
      </c>
      <c r="L19" s="590">
        <v>4</v>
      </c>
      <c r="M19" s="590">
        <v>0</v>
      </c>
      <c r="N19" s="590">
        <v>0</v>
      </c>
      <c r="O19" s="591"/>
      <c r="P19" s="592"/>
    </row>
    <row r="20" spans="2:16" x14ac:dyDescent="0.2">
      <c r="B20" s="587" t="s">
        <v>453</v>
      </c>
      <c r="C20" s="588">
        <v>8</v>
      </c>
      <c r="D20" s="589">
        <v>13000</v>
      </c>
      <c r="E20" s="399"/>
      <c r="F20" s="590">
        <v>0</v>
      </c>
      <c r="G20" s="590">
        <v>8</v>
      </c>
      <c r="H20" s="590">
        <v>0</v>
      </c>
      <c r="I20" s="590"/>
      <c r="J20" s="590">
        <v>0</v>
      </c>
      <c r="K20" s="590">
        <v>8</v>
      </c>
      <c r="L20" s="590">
        <v>0</v>
      </c>
      <c r="M20" s="590"/>
      <c r="N20" s="590">
        <v>0</v>
      </c>
      <c r="O20" s="591">
        <v>8</v>
      </c>
      <c r="P20" s="592"/>
    </row>
    <row r="21" spans="2:16" x14ac:dyDescent="0.2">
      <c r="B21" s="587" t="s">
        <v>454</v>
      </c>
      <c r="C21" s="588">
        <v>36</v>
      </c>
      <c r="D21" s="533">
        <v>7450</v>
      </c>
      <c r="E21" s="399"/>
      <c r="F21" s="590">
        <v>0</v>
      </c>
      <c r="G21" s="590">
        <v>36</v>
      </c>
      <c r="H21" s="590"/>
      <c r="I21" s="590">
        <v>36</v>
      </c>
      <c r="J21" s="590"/>
      <c r="K21" s="590">
        <v>36</v>
      </c>
      <c r="L21" s="590"/>
      <c r="M21" s="590">
        <v>36</v>
      </c>
      <c r="N21" s="590"/>
      <c r="O21" s="591">
        <v>36</v>
      </c>
      <c r="P21" s="592"/>
    </row>
    <row r="22" spans="2:16" x14ac:dyDescent="0.2">
      <c r="B22" s="587" t="s">
        <v>455</v>
      </c>
      <c r="C22" s="588">
        <v>72</v>
      </c>
      <c r="D22" s="533">
        <v>7450</v>
      </c>
      <c r="E22" s="399"/>
      <c r="F22" s="590">
        <v>0</v>
      </c>
      <c r="G22" s="590">
        <v>72</v>
      </c>
      <c r="H22" s="590"/>
      <c r="I22" s="590">
        <v>72</v>
      </c>
      <c r="J22" s="590"/>
      <c r="K22" s="590">
        <v>72</v>
      </c>
      <c r="L22" s="590"/>
      <c r="M22" s="590">
        <v>72</v>
      </c>
      <c r="N22" s="590"/>
      <c r="O22" s="591">
        <v>72</v>
      </c>
      <c r="P22" s="592"/>
    </row>
    <row r="23" spans="2:16" x14ac:dyDescent="0.2">
      <c r="B23" s="587" t="s">
        <v>456</v>
      </c>
      <c r="C23" s="588">
        <v>28</v>
      </c>
      <c r="D23" s="533">
        <v>6000</v>
      </c>
      <c r="E23" s="399"/>
      <c r="F23" s="590">
        <v>28</v>
      </c>
      <c r="G23" s="590"/>
      <c r="H23" s="590">
        <v>28</v>
      </c>
      <c r="I23" s="590">
        <v>28</v>
      </c>
      <c r="J23" s="590"/>
      <c r="K23" s="590">
        <v>28</v>
      </c>
      <c r="L23" s="590">
        <v>28</v>
      </c>
      <c r="M23" s="590"/>
      <c r="N23" s="590">
        <v>28</v>
      </c>
      <c r="O23" s="591">
        <v>28</v>
      </c>
      <c r="P23" s="592"/>
    </row>
    <row r="24" spans="2:16" x14ac:dyDescent="0.2">
      <c r="B24" s="587" t="s">
        <v>457</v>
      </c>
      <c r="C24" s="588">
        <v>3.5</v>
      </c>
      <c r="D24" s="533">
        <v>6000</v>
      </c>
      <c r="E24" s="399"/>
      <c r="F24" s="590">
        <v>3.5</v>
      </c>
      <c r="G24" s="590"/>
      <c r="H24" s="590">
        <v>3.5</v>
      </c>
      <c r="I24" s="590"/>
      <c r="J24" s="590">
        <v>3.5</v>
      </c>
      <c r="K24" s="590"/>
      <c r="L24" s="590">
        <v>3.5</v>
      </c>
      <c r="M24" s="590">
        <v>3.5</v>
      </c>
      <c r="N24" s="590"/>
      <c r="O24" s="591">
        <v>3.5</v>
      </c>
      <c r="P24" s="592"/>
    </row>
    <row r="25" spans="2:16" x14ac:dyDescent="0.2">
      <c r="B25" s="587" t="s">
        <v>458</v>
      </c>
      <c r="C25" s="588">
        <v>3.5</v>
      </c>
      <c r="D25" s="533">
        <v>4000</v>
      </c>
      <c r="E25" s="399"/>
      <c r="F25" s="590">
        <v>3.5</v>
      </c>
      <c r="G25" s="590"/>
      <c r="H25" s="590">
        <v>3.5</v>
      </c>
      <c r="I25" s="590"/>
      <c r="J25" s="590">
        <v>3.5</v>
      </c>
      <c r="K25" s="590"/>
      <c r="L25" s="590">
        <v>3.5</v>
      </c>
      <c r="M25" s="590"/>
      <c r="N25" s="590">
        <v>3.5</v>
      </c>
      <c r="O25" s="591"/>
      <c r="P25" s="592"/>
    </row>
    <row r="26" spans="2:16" x14ac:dyDescent="0.2">
      <c r="B26" s="587" t="s">
        <v>459</v>
      </c>
      <c r="C26" s="588">
        <v>3.5</v>
      </c>
      <c r="D26" s="533">
        <v>4000</v>
      </c>
      <c r="E26" s="399"/>
      <c r="F26" s="590">
        <v>3.5</v>
      </c>
      <c r="G26" s="590"/>
      <c r="H26" s="590">
        <v>3.5</v>
      </c>
      <c r="I26" s="590"/>
      <c r="J26" s="590">
        <v>3.5</v>
      </c>
      <c r="K26" s="590"/>
      <c r="L26" s="590">
        <v>3.5</v>
      </c>
      <c r="M26" s="590"/>
      <c r="N26" s="590">
        <v>3.5</v>
      </c>
      <c r="O26" s="591"/>
      <c r="P26" s="592"/>
    </row>
    <row r="27" spans="2:16" x14ac:dyDescent="0.2">
      <c r="B27" s="587" t="s">
        <v>460</v>
      </c>
      <c r="C27" s="588">
        <v>4</v>
      </c>
      <c r="D27" s="533">
        <v>5000</v>
      </c>
      <c r="E27" s="399"/>
      <c r="F27" s="590">
        <v>4</v>
      </c>
      <c r="G27" s="590"/>
      <c r="H27" s="590">
        <v>4</v>
      </c>
      <c r="I27" s="590"/>
      <c r="J27" s="590">
        <v>4</v>
      </c>
      <c r="K27" s="590"/>
      <c r="L27" s="590">
        <v>4</v>
      </c>
      <c r="M27" s="590"/>
      <c r="N27" s="590">
        <v>4</v>
      </c>
      <c r="O27" s="591"/>
      <c r="P27" s="592"/>
    </row>
    <row r="28" spans="2:16" x14ac:dyDescent="0.2">
      <c r="B28" s="587" t="s">
        <v>461</v>
      </c>
      <c r="C28" s="588">
        <v>0.9</v>
      </c>
      <c r="D28" s="533">
        <v>4000</v>
      </c>
      <c r="E28" s="399"/>
      <c r="F28" s="590">
        <v>0.9</v>
      </c>
      <c r="G28" s="590"/>
      <c r="H28" s="590">
        <v>0.9</v>
      </c>
      <c r="I28" s="590"/>
      <c r="J28" s="590">
        <v>0.9</v>
      </c>
      <c r="K28" s="590"/>
      <c r="L28" s="590">
        <v>0.9</v>
      </c>
      <c r="M28" s="590"/>
      <c r="N28" s="590">
        <v>0.9</v>
      </c>
      <c r="O28" s="591"/>
      <c r="P28" s="592"/>
    </row>
    <row r="29" spans="2:16" x14ac:dyDescent="0.2">
      <c r="B29" s="587" t="s">
        <v>462</v>
      </c>
      <c r="C29" s="588">
        <v>2</v>
      </c>
      <c r="D29" s="533">
        <v>12000</v>
      </c>
      <c r="E29" s="399"/>
      <c r="F29" s="590">
        <v>0</v>
      </c>
      <c r="G29" s="590">
        <v>2</v>
      </c>
      <c r="H29" s="590">
        <v>0</v>
      </c>
      <c r="I29" s="590">
        <v>2</v>
      </c>
      <c r="J29" s="590">
        <v>0</v>
      </c>
      <c r="K29" s="590">
        <v>2</v>
      </c>
      <c r="L29" s="590">
        <v>2</v>
      </c>
      <c r="M29" s="590">
        <v>0</v>
      </c>
      <c r="N29" s="590">
        <v>2</v>
      </c>
      <c r="O29" s="591">
        <v>0</v>
      </c>
      <c r="P29" s="592"/>
    </row>
    <row r="30" spans="2:16" x14ac:dyDescent="0.2">
      <c r="B30" s="587" t="s">
        <v>463</v>
      </c>
      <c r="C30" s="588">
        <v>2</v>
      </c>
      <c r="D30" s="533">
        <v>7000</v>
      </c>
      <c r="E30" s="399"/>
      <c r="F30" s="590">
        <v>2</v>
      </c>
      <c r="G30" s="590">
        <v>2</v>
      </c>
      <c r="H30" s="590">
        <v>2</v>
      </c>
      <c r="I30" s="590">
        <v>2</v>
      </c>
      <c r="J30" s="590">
        <v>2</v>
      </c>
      <c r="K30" s="590">
        <v>2</v>
      </c>
      <c r="L30" s="590">
        <v>2</v>
      </c>
      <c r="M30" s="590">
        <v>2</v>
      </c>
      <c r="N30" s="590">
        <v>2</v>
      </c>
      <c r="O30" s="591">
        <v>2</v>
      </c>
      <c r="P30" s="592"/>
    </row>
    <row r="31" spans="2:16" x14ac:dyDescent="0.2">
      <c r="B31" s="587" t="s">
        <v>464</v>
      </c>
      <c r="C31" s="588">
        <v>3</v>
      </c>
      <c r="D31" s="533">
        <v>7000</v>
      </c>
      <c r="E31" s="399"/>
      <c r="F31" s="590">
        <v>3</v>
      </c>
      <c r="G31" s="590">
        <v>3</v>
      </c>
      <c r="H31" s="590">
        <v>3</v>
      </c>
      <c r="I31" s="590">
        <v>3</v>
      </c>
      <c r="J31" s="590">
        <v>3</v>
      </c>
      <c r="K31" s="590">
        <v>3</v>
      </c>
      <c r="L31" s="590">
        <v>3</v>
      </c>
      <c r="M31" s="590">
        <v>3</v>
      </c>
      <c r="N31" s="590">
        <v>3</v>
      </c>
      <c r="O31" s="590">
        <v>3</v>
      </c>
      <c r="P31" s="592"/>
    </row>
    <row r="32" spans="2:16" x14ac:dyDescent="0.2">
      <c r="B32" s="587" t="s">
        <v>465</v>
      </c>
      <c r="C32" s="588">
        <v>50</v>
      </c>
      <c r="D32" s="533">
        <v>36000</v>
      </c>
      <c r="E32" s="399"/>
      <c r="F32" s="590">
        <v>0</v>
      </c>
      <c r="G32" s="590">
        <v>0</v>
      </c>
      <c r="H32" s="590">
        <v>0</v>
      </c>
      <c r="I32" s="590">
        <v>0</v>
      </c>
      <c r="J32" s="590">
        <v>0</v>
      </c>
      <c r="K32" s="590">
        <v>50</v>
      </c>
      <c r="L32" s="590">
        <v>0</v>
      </c>
      <c r="M32" s="590">
        <v>0</v>
      </c>
      <c r="N32" s="590">
        <v>0</v>
      </c>
      <c r="O32" s="591">
        <v>0</v>
      </c>
      <c r="P32" s="592"/>
    </row>
    <row r="33" spans="2:16" x14ac:dyDescent="0.2">
      <c r="B33" s="587" t="s">
        <v>466</v>
      </c>
      <c r="C33" s="588">
        <v>185</v>
      </c>
      <c r="D33" s="533">
        <v>65000</v>
      </c>
      <c r="E33" s="399"/>
      <c r="F33" s="590">
        <v>0</v>
      </c>
      <c r="G33" s="590">
        <v>0</v>
      </c>
      <c r="H33" s="590">
        <v>0</v>
      </c>
      <c r="I33" s="590">
        <v>0</v>
      </c>
      <c r="J33" s="590">
        <v>0</v>
      </c>
      <c r="K33" s="590">
        <v>0</v>
      </c>
      <c r="L33" s="590">
        <v>0</v>
      </c>
      <c r="M33" s="590">
        <v>0</v>
      </c>
      <c r="N33" s="590">
        <v>0</v>
      </c>
      <c r="O33" s="591">
        <v>185</v>
      </c>
      <c r="P33" s="592"/>
    </row>
    <row r="34" spans="2:16" ht="13.6" x14ac:dyDescent="0.25">
      <c r="B34" s="593" t="s">
        <v>467</v>
      </c>
      <c r="C34" s="588"/>
      <c r="D34" s="533"/>
      <c r="E34" s="399"/>
      <c r="F34" s="590"/>
      <c r="G34" s="590"/>
      <c r="H34" s="590"/>
      <c r="I34" s="590"/>
      <c r="J34" s="590"/>
      <c r="K34" s="590"/>
      <c r="L34" s="590"/>
      <c r="M34" s="590"/>
      <c r="N34" s="590"/>
      <c r="O34" s="591"/>
      <c r="P34" s="592"/>
    </row>
    <row r="35" spans="2:16" x14ac:dyDescent="0.2">
      <c r="B35" s="587" t="s">
        <v>468</v>
      </c>
      <c r="C35" s="588">
        <v>8</v>
      </c>
      <c r="D35" s="533">
        <v>12000</v>
      </c>
      <c r="E35" s="399"/>
      <c r="F35" s="590">
        <v>0</v>
      </c>
      <c r="G35" s="590">
        <v>8</v>
      </c>
      <c r="H35" s="590">
        <v>0</v>
      </c>
      <c r="I35" s="590">
        <v>8</v>
      </c>
      <c r="J35" s="590">
        <v>0</v>
      </c>
      <c r="K35" s="590">
        <v>8</v>
      </c>
      <c r="L35" s="590">
        <v>8</v>
      </c>
      <c r="M35" s="590">
        <v>0</v>
      </c>
      <c r="N35" s="590">
        <v>8</v>
      </c>
      <c r="O35" s="591">
        <v>0</v>
      </c>
      <c r="P35" s="592"/>
    </row>
    <row r="36" spans="2:16" x14ac:dyDescent="0.2">
      <c r="B36" s="587" t="s">
        <v>469</v>
      </c>
      <c r="C36" s="588">
        <v>10</v>
      </c>
      <c r="D36" s="533">
        <v>11000</v>
      </c>
      <c r="E36" s="399"/>
      <c r="F36" s="590">
        <v>0</v>
      </c>
      <c r="G36" s="590">
        <v>10</v>
      </c>
      <c r="H36" s="590">
        <v>0</v>
      </c>
      <c r="I36" s="590">
        <v>10</v>
      </c>
      <c r="J36" s="590">
        <v>10</v>
      </c>
      <c r="K36" s="590">
        <v>0</v>
      </c>
      <c r="L36" s="590">
        <v>10</v>
      </c>
      <c r="M36" s="590">
        <v>10</v>
      </c>
      <c r="N36" s="590">
        <v>0</v>
      </c>
      <c r="O36" s="591">
        <v>10</v>
      </c>
      <c r="P36" s="592"/>
    </row>
    <row r="37" spans="2:16" x14ac:dyDescent="0.2">
      <c r="B37" s="587" t="s">
        <v>470</v>
      </c>
      <c r="C37" s="588">
        <v>2</v>
      </c>
      <c r="D37" s="533">
        <v>12000</v>
      </c>
      <c r="E37" s="399"/>
      <c r="F37" s="590">
        <v>0</v>
      </c>
      <c r="G37" s="590">
        <v>2</v>
      </c>
      <c r="H37" s="590">
        <v>0</v>
      </c>
      <c r="I37" s="590">
        <v>2</v>
      </c>
      <c r="J37" s="590">
        <v>0</v>
      </c>
      <c r="K37" s="590">
        <v>2</v>
      </c>
      <c r="L37" s="590">
        <v>2</v>
      </c>
      <c r="M37" s="590">
        <v>0</v>
      </c>
      <c r="N37" s="590">
        <v>2</v>
      </c>
      <c r="O37" s="591">
        <v>0</v>
      </c>
      <c r="P37" s="592"/>
    </row>
    <row r="38" spans="2:16" x14ac:dyDescent="0.2">
      <c r="B38" s="587" t="s">
        <v>471</v>
      </c>
      <c r="C38" s="588">
        <v>3.5</v>
      </c>
      <c r="D38" s="533">
        <v>8000</v>
      </c>
      <c r="E38" s="399"/>
      <c r="F38" s="590">
        <v>0</v>
      </c>
      <c r="G38" s="590">
        <v>3.5</v>
      </c>
      <c r="H38" s="590">
        <v>3.5</v>
      </c>
      <c r="I38" s="590">
        <v>3.5</v>
      </c>
      <c r="J38" s="590">
        <v>3.5</v>
      </c>
      <c r="K38" s="590">
        <v>3.5</v>
      </c>
      <c r="L38" s="590">
        <v>3.5</v>
      </c>
      <c r="M38" s="590">
        <v>3.5</v>
      </c>
      <c r="N38" s="590">
        <v>0</v>
      </c>
      <c r="O38" s="591">
        <v>3.5</v>
      </c>
      <c r="P38" s="592"/>
    </row>
    <row r="39" spans="2:16" ht="13.6" x14ac:dyDescent="0.25">
      <c r="B39" s="593" t="s">
        <v>472</v>
      </c>
      <c r="C39" s="588"/>
      <c r="D39" s="533"/>
      <c r="E39" s="399"/>
      <c r="F39" s="590"/>
      <c r="G39" s="590"/>
      <c r="H39" s="590"/>
      <c r="I39" s="590"/>
      <c r="J39" s="590"/>
      <c r="K39" s="590"/>
      <c r="L39" s="590"/>
      <c r="M39" s="590"/>
      <c r="N39" s="590"/>
      <c r="O39" s="591"/>
      <c r="P39" s="592"/>
    </row>
    <row r="40" spans="2:16" x14ac:dyDescent="0.2">
      <c r="B40" s="587" t="s">
        <v>473</v>
      </c>
      <c r="C40" s="588">
        <v>2.2999999999999998</v>
      </c>
      <c r="D40" s="533">
        <v>25000</v>
      </c>
      <c r="E40" s="399"/>
      <c r="F40" s="590">
        <v>0</v>
      </c>
      <c r="G40" s="590">
        <v>0</v>
      </c>
      <c r="H40" s="590">
        <v>0</v>
      </c>
      <c r="I40" s="590">
        <v>2.2999999999999998</v>
      </c>
      <c r="J40" s="590">
        <v>0</v>
      </c>
      <c r="K40" s="590">
        <v>0</v>
      </c>
      <c r="L40" s="590">
        <v>0</v>
      </c>
      <c r="M40" s="590">
        <v>2.2999999999999998</v>
      </c>
      <c r="N40" s="590">
        <v>0</v>
      </c>
      <c r="O40" s="591">
        <v>0</v>
      </c>
      <c r="P40" s="592"/>
    </row>
    <row r="41" spans="2:16" x14ac:dyDescent="0.2">
      <c r="B41" s="587" t="s">
        <v>474</v>
      </c>
      <c r="C41" s="588">
        <v>1.9</v>
      </c>
      <c r="D41" s="533">
        <v>22000</v>
      </c>
      <c r="E41" s="399"/>
      <c r="F41" s="590">
        <v>0</v>
      </c>
      <c r="G41" s="590">
        <v>0</v>
      </c>
      <c r="H41" s="590">
        <v>0</v>
      </c>
      <c r="I41" s="590">
        <v>1.9</v>
      </c>
      <c r="J41" s="590">
        <v>0</v>
      </c>
      <c r="K41" s="590">
        <v>0</v>
      </c>
      <c r="L41" s="590">
        <v>1.9</v>
      </c>
      <c r="M41" s="590">
        <v>0</v>
      </c>
      <c r="N41" s="590">
        <v>0</v>
      </c>
      <c r="O41" s="591">
        <v>1.9</v>
      </c>
      <c r="P41" s="592"/>
    </row>
    <row r="42" spans="2:16" x14ac:dyDescent="0.2">
      <c r="B42" s="587" t="s">
        <v>475</v>
      </c>
      <c r="C42" s="588">
        <v>1.5</v>
      </c>
      <c r="D42" s="533">
        <v>15000</v>
      </c>
      <c r="E42" s="399"/>
      <c r="F42" s="590">
        <v>0</v>
      </c>
      <c r="G42" s="590">
        <v>0</v>
      </c>
      <c r="H42" s="590">
        <v>1.5</v>
      </c>
      <c r="I42" s="590">
        <v>0</v>
      </c>
      <c r="J42" s="590">
        <v>1.5</v>
      </c>
      <c r="K42" s="590">
        <v>0</v>
      </c>
      <c r="L42" s="590">
        <v>1.5</v>
      </c>
      <c r="M42" s="590">
        <v>0</v>
      </c>
      <c r="N42" s="590">
        <v>1.5</v>
      </c>
      <c r="O42" s="591">
        <v>0</v>
      </c>
      <c r="P42" s="592"/>
    </row>
    <row r="43" spans="2:16" x14ac:dyDescent="0.2">
      <c r="B43" s="587" t="s">
        <v>476</v>
      </c>
      <c r="C43" s="588">
        <v>10</v>
      </c>
      <c r="D43" s="533">
        <v>12500</v>
      </c>
      <c r="E43" s="399"/>
      <c r="F43" s="590">
        <v>0</v>
      </c>
      <c r="G43" s="590">
        <v>10</v>
      </c>
      <c r="H43" s="590">
        <v>0</v>
      </c>
      <c r="I43" s="590">
        <v>10</v>
      </c>
      <c r="J43" s="590">
        <v>0</v>
      </c>
      <c r="K43" s="590">
        <v>10</v>
      </c>
      <c r="L43" s="590">
        <v>0</v>
      </c>
      <c r="M43" s="590">
        <v>10</v>
      </c>
      <c r="N43" s="590">
        <v>10</v>
      </c>
      <c r="O43" s="591">
        <v>0</v>
      </c>
      <c r="P43" s="592"/>
    </row>
    <row r="44" spans="2:16" x14ac:dyDescent="0.2">
      <c r="B44" s="587" t="s">
        <v>477</v>
      </c>
      <c r="C44" s="588">
        <v>0.8</v>
      </c>
      <c r="D44" s="533">
        <v>18000</v>
      </c>
      <c r="E44" s="399"/>
      <c r="F44" s="590">
        <v>0</v>
      </c>
      <c r="G44" s="590">
        <v>0</v>
      </c>
      <c r="H44" s="590">
        <v>0.8</v>
      </c>
      <c r="I44" s="590">
        <v>0</v>
      </c>
      <c r="J44" s="590">
        <v>0</v>
      </c>
      <c r="K44" s="590">
        <v>0.8</v>
      </c>
      <c r="L44" s="590">
        <v>0</v>
      </c>
      <c r="M44" s="590">
        <v>0.8</v>
      </c>
      <c r="N44" s="590">
        <v>0</v>
      </c>
      <c r="O44" s="591">
        <v>0</v>
      </c>
      <c r="P44" s="592"/>
    </row>
    <row r="45" spans="2:16" x14ac:dyDescent="0.2">
      <c r="B45" s="587" t="s">
        <v>478</v>
      </c>
      <c r="C45" s="588">
        <v>5</v>
      </c>
      <c r="D45" s="533">
        <v>25000</v>
      </c>
      <c r="E45" s="399"/>
      <c r="F45" s="590">
        <v>0</v>
      </c>
      <c r="G45" s="590">
        <v>0</v>
      </c>
      <c r="H45" s="590">
        <v>0</v>
      </c>
      <c r="I45" s="590">
        <v>5</v>
      </c>
      <c r="J45" s="590">
        <v>0</v>
      </c>
      <c r="K45" s="590">
        <v>0</v>
      </c>
      <c r="L45" s="590">
        <v>0</v>
      </c>
      <c r="M45" s="590">
        <v>5</v>
      </c>
      <c r="N45" s="590">
        <v>0</v>
      </c>
      <c r="O45" s="591">
        <v>0</v>
      </c>
      <c r="P45" s="592"/>
    </row>
    <row r="46" spans="2:16" ht="13.6" x14ac:dyDescent="0.25">
      <c r="B46" s="593" t="s">
        <v>479</v>
      </c>
      <c r="C46" s="588"/>
      <c r="D46" s="533"/>
      <c r="E46" s="399"/>
      <c r="F46" s="590"/>
      <c r="G46" s="590"/>
      <c r="H46" s="590"/>
      <c r="I46" s="590"/>
      <c r="J46" s="590"/>
      <c r="K46" s="590"/>
      <c r="L46" s="590"/>
      <c r="M46" s="590"/>
      <c r="N46" s="590"/>
      <c r="O46" s="591"/>
      <c r="P46" s="592"/>
    </row>
    <row r="47" spans="2:16" x14ac:dyDescent="0.2">
      <c r="B47" s="587" t="s">
        <v>480</v>
      </c>
      <c r="C47" s="588">
        <v>2</v>
      </c>
      <c r="D47" s="533">
        <v>15100</v>
      </c>
      <c r="E47" s="399"/>
      <c r="F47" s="590">
        <v>0</v>
      </c>
      <c r="G47" s="590">
        <v>0</v>
      </c>
      <c r="H47" s="590">
        <v>2</v>
      </c>
      <c r="I47" s="590">
        <v>0</v>
      </c>
      <c r="J47" s="590">
        <v>2</v>
      </c>
      <c r="K47" s="590">
        <v>0</v>
      </c>
      <c r="L47" s="590">
        <v>2</v>
      </c>
      <c r="M47" s="590">
        <v>0</v>
      </c>
      <c r="N47" s="590">
        <v>2</v>
      </c>
      <c r="O47" s="591">
        <v>0</v>
      </c>
      <c r="P47" s="592"/>
    </row>
    <row r="48" spans="2:16" x14ac:dyDescent="0.2">
      <c r="B48" s="587" t="s">
        <v>480</v>
      </c>
      <c r="C48" s="588">
        <v>2</v>
      </c>
      <c r="D48" s="533">
        <v>15100</v>
      </c>
      <c r="E48" s="399"/>
      <c r="F48" s="590">
        <v>0</v>
      </c>
      <c r="G48" s="590">
        <v>0</v>
      </c>
      <c r="H48" s="590">
        <v>2</v>
      </c>
      <c r="I48" s="590">
        <v>0</v>
      </c>
      <c r="J48" s="590">
        <v>2</v>
      </c>
      <c r="K48" s="590">
        <v>0</v>
      </c>
      <c r="L48" s="590">
        <v>2</v>
      </c>
      <c r="M48" s="590">
        <v>0</v>
      </c>
      <c r="N48" s="590">
        <v>2</v>
      </c>
      <c r="O48" s="591">
        <v>0</v>
      </c>
      <c r="P48" s="592"/>
    </row>
    <row r="49" spans="2:17" x14ac:dyDescent="0.2">
      <c r="B49" s="587" t="s">
        <v>481</v>
      </c>
      <c r="C49" s="588">
        <v>3.5</v>
      </c>
      <c r="D49" s="533">
        <v>10100</v>
      </c>
      <c r="E49" s="399"/>
      <c r="F49" s="590">
        <v>0</v>
      </c>
      <c r="G49" s="590">
        <v>3.5</v>
      </c>
      <c r="H49" s="590">
        <v>3.5</v>
      </c>
      <c r="I49" s="590">
        <v>0</v>
      </c>
      <c r="J49" s="590">
        <v>3.5</v>
      </c>
      <c r="K49" s="590">
        <v>3.5</v>
      </c>
      <c r="L49" s="590">
        <v>0</v>
      </c>
      <c r="M49" s="590">
        <v>3.5</v>
      </c>
      <c r="N49" s="590">
        <v>3.5</v>
      </c>
      <c r="O49" s="591">
        <v>0</v>
      </c>
      <c r="P49" s="592"/>
    </row>
    <row r="50" spans="2:17" x14ac:dyDescent="0.2">
      <c r="B50" s="587" t="s">
        <v>482</v>
      </c>
      <c r="C50" s="588">
        <v>2</v>
      </c>
      <c r="D50" s="533">
        <v>15000</v>
      </c>
      <c r="E50" s="399"/>
      <c r="F50" s="590">
        <v>0</v>
      </c>
      <c r="G50" s="590">
        <v>0</v>
      </c>
      <c r="H50" s="590">
        <v>2</v>
      </c>
      <c r="I50" s="590">
        <v>0</v>
      </c>
      <c r="J50" s="590">
        <v>2</v>
      </c>
      <c r="K50" s="590">
        <v>0</v>
      </c>
      <c r="L50" s="590">
        <v>2</v>
      </c>
      <c r="M50" s="590">
        <v>0</v>
      </c>
      <c r="N50" s="590">
        <v>2</v>
      </c>
      <c r="O50" s="591">
        <v>0</v>
      </c>
      <c r="P50" s="592"/>
    </row>
    <row r="51" spans="2:17" x14ac:dyDescent="0.2">
      <c r="B51" s="587" t="s">
        <v>483</v>
      </c>
      <c r="C51" s="588">
        <v>2.97</v>
      </c>
      <c r="D51" s="533">
        <v>15000</v>
      </c>
      <c r="E51" s="399"/>
      <c r="F51" s="590">
        <v>0</v>
      </c>
      <c r="G51" s="590">
        <v>0</v>
      </c>
      <c r="H51" s="590">
        <v>2.97</v>
      </c>
      <c r="I51" s="590">
        <v>0</v>
      </c>
      <c r="J51" s="590">
        <v>2.97</v>
      </c>
      <c r="K51" s="590">
        <v>0</v>
      </c>
      <c r="L51" s="590">
        <v>2.97</v>
      </c>
      <c r="M51" s="590">
        <v>0</v>
      </c>
      <c r="N51" s="590">
        <v>2.97</v>
      </c>
      <c r="O51" s="591">
        <v>0</v>
      </c>
      <c r="P51" s="592"/>
    </row>
    <row r="52" spans="2:17" x14ac:dyDescent="0.2">
      <c r="B52" s="587" t="s">
        <v>484</v>
      </c>
      <c r="C52" s="588">
        <v>1.5</v>
      </c>
      <c r="D52" s="533">
        <v>8000</v>
      </c>
      <c r="E52" s="399"/>
      <c r="F52" s="590">
        <v>0</v>
      </c>
      <c r="G52" s="590">
        <v>1.5</v>
      </c>
      <c r="H52" s="590">
        <v>1.5</v>
      </c>
      <c r="I52" s="590">
        <v>1.5</v>
      </c>
      <c r="J52" s="590">
        <v>1.5</v>
      </c>
      <c r="K52" s="590">
        <v>1.5</v>
      </c>
      <c r="L52" s="590">
        <v>1.5</v>
      </c>
      <c r="M52" s="590">
        <v>1.5</v>
      </c>
      <c r="N52" s="590">
        <v>0</v>
      </c>
      <c r="O52" s="591">
        <v>1.5</v>
      </c>
      <c r="P52" s="592"/>
    </row>
    <row r="53" spans="2:17" ht="13.6" x14ac:dyDescent="0.25">
      <c r="B53" s="593" t="s">
        <v>485</v>
      </c>
      <c r="C53" s="588"/>
      <c r="D53" s="533"/>
      <c r="E53" s="399"/>
      <c r="F53" s="590"/>
      <c r="G53" s="590"/>
      <c r="H53" s="590"/>
      <c r="I53" s="590"/>
      <c r="J53" s="590"/>
      <c r="K53" s="590"/>
      <c r="L53" s="590"/>
      <c r="M53" s="590"/>
      <c r="N53" s="590"/>
      <c r="O53" s="591"/>
      <c r="P53" s="592"/>
    </row>
    <row r="54" spans="2:17" x14ac:dyDescent="0.2">
      <c r="B54" s="587" t="s">
        <v>486</v>
      </c>
      <c r="C54" s="588">
        <v>22.68</v>
      </c>
      <c r="D54" s="533">
        <v>14900</v>
      </c>
      <c r="E54" s="399"/>
      <c r="F54" s="590">
        <v>0</v>
      </c>
      <c r="G54" s="590">
        <v>0</v>
      </c>
      <c r="H54" s="590">
        <v>22.68</v>
      </c>
      <c r="I54" s="590">
        <v>0</v>
      </c>
      <c r="J54" s="590">
        <v>22.68</v>
      </c>
      <c r="K54" s="590">
        <v>0</v>
      </c>
      <c r="L54" s="590">
        <v>22.68</v>
      </c>
      <c r="M54" s="590">
        <v>0</v>
      </c>
      <c r="N54" s="590">
        <v>22.68</v>
      </c>
      <c r="O54" s="591">
        <v>0</v>
      </c>
      <c r="P54" s="592"/>
    </row>
    <row r="55" spans="2:17" x14ac:dyDescent="0.2">
      <c r="B55" s="587" t="s">
        <v>487</v>
      </c>
      <c r="C55" s="588">
        <v>19.5</v>
      </c>
      <c r="D55" s="533">
        <v>14900</v>
      </c>
      <c r="E55" s="399"/>
      <c r="F55" s="590">
        <v>0</v>
      </c>
      <c r="G55" s="590">
        <v>0</v>
      </c>
      <c r="H55" s="590">
        <v>19.5</v>
      </c>
      <c r="I55" s="590">
        <v>0</v>
      </c>
      <c r="J55" s="590">
        <v>19.5</v>
      </c>
      <c r="K55" s="590">
        <v>0</v>
      </c>
      <c r="L55" s="590">
        <v>19.5</v>
      </c>
      <c r="M55" s="590">
        <v>0</v>
      </c>
      <c r="N55" s="590">
        <v>19.5</v>
      </c>
      <c r="O55" s="591">
        <v>0</v>
      </c>
      <c r="P55" s="592"/>
    </row>
    <row r="56" spans="2:17" x14ac:dyDescent="0.2">
      <c r="B56" s="587" t="s">
        <v>488</v>
      </c>
      <c r="C56" s="588">
        <v>10.6</v>
      </c>
      <c r="D56" s="533">
        <v>10400</v>
      </c>
      <c r="E56" s="399"/>
      <c r="F56" s="590">
        <v>0</v>
      </c>
      <c r="G56" s="590">
        <v>10.6</v>
      </c>
      <c r="H56" s="590"/>
      <c r="I56" s="590">
        <v>0</v>
      </c>
      <c r="J56" s="590">
        <v>10.6</v>
      </c>
      <c r="K56" s="590"/>
      <c r="L56" s="590">
        <v>0</v>
      </c>
      <c r="M56" s="590">
        <v>10.6</v>
      </c>
      <c r="N56" s="590"/>
      <c r="O56" s="591">
        <v>0</v>
      </c>
      <c r="P56" s="592"/>
    </row>
    <row r="57" spans="2:17" x14ac:dyDescent="0.2">
      <c r="B57" s="587" t="s">
        <v>489</v>
      </c>
      <c r="C57" s="588">
        <v>6.6</v>
      </c>
      <c r="D57" s="533">
        <v>12000</v>
      </c>
      <c r="E57" s="399"/>
      <c r="F57" s="590">
        <v>0</v>
      </c>
      <c r="G57" s="590">
        <v>6.6</v>
      </c>
      <c r="H57" s="590">
        <v>0</v>
      </c>
      <c r="I57" s="590">
        <v>6.6</v>
      </c>
      <c r="J57" s="590">
        <v>0</v>
      </c>
      <c r="K57" s="590">
        <v>6.6</v>
      </c>
      <c r="L57" s="590"/>
      <c r="M57" s="590">
        <v>0</v>
      </c>
      <c r="N57" s="590">
        <v>6.6</v>
      </c>
      <c r="O57" s="591">
        <v>0</v>
      </c>
      <c r="P57" s="592"/>
    </row>
    <row r="58" spans="2:17" s="595" customFormat="1" ht="14.3" x14ac:dyDescent="0.2">
      <c r="B58" s="587" t="s">
        <v>490</v>
      </c>
      <c r="C58" s="588">
        <v>1.1000000000000001</v>
      </c>
      <c r="D58" s="533">
        <v>8000</v>
      </c>
      <c r="E58" s="399"/>
      <c r="F58" s="590">
        <v>0</v>
      </c>
      <c r="G58" s="590">
        <v>1.1000000000000001</v>
      </c>
      <c r="H58" s="590"/>
      <c r="I58" s="590">
        <v>1.1000000000000001</v>
      </c>
      <c r="J58" s="590"/>
      <c r="K58" s="590">
        <v>1.1000000000000001</v>
      </c>
      <c r="L58" s="590"/>
      <c r="M58" s="590">
        <v>1.1000000000000001</v>
      </c>
      <c r="N58" s="590">
        <v>0</v>
      </c>
      <c r="O58" s="591"/>
      <c r="P58" s="592"/>
      <c r="Q58" s="594"/>
    </row>
    <row r="59" spans="2:17" s="595" customFormat="1" ht="14.95" customHeight="1" x14ac:dyDescent="0.2">
      <c r="B59" s="587" t="s">
        <v>491</v>
      </c>
      <c r="C59" s="588">
        <v>1.1000000000000001</v>
      </c>
      <c r="D59" s="533">
        <v>8000</v>
      </c>
      <c r="E59" s="399"/>
      <c r="F59" s="590">
        <v>0</v>
      </c>
      <c r="G59" s="590">
        <v>1.1000000000000001</v>
      </c>
      <c r="H59" s="590"/>
      <c r="I59" s="590">
        <v>1.1000000000000001</v>
      </c>
      <c r="J59" s="590"/>
      <c r="K59" s="590">
        <v>1.1000000000000001</v>
      </c>
      <c r="L59" s="590"/>
      <c r="M59" s="590">
        <v>1.1000000000000001</v>
      </c>
      <c r="N59" s="590">
        <v>0</v>
      </c>
      <c r="O59" s="591"/>
      <c r="P59" s="592"/>
      <c r="Q59" s="594"/>
    </row>
    <row r="60" spans="2:17" s="595" customFormat="1" ht="14.95" customHeight="1" x14ac:dyDescent="0.2">
      <c r="B60" s="587" t="s">
        <v>492</v>
      </c>
      <c r="C60" s="588">
        <v>1.5</v>
      </c>
      <c r="D60" s="533">
        <v>10400</v>
      </c>
      <c r="E60" s="399"/>
      <c r="F60" s="590">
        <v>0</v>
      </c>
      <c r="G60" s="590">
        <v>1.5</v>
      </c>
      <c r="H60" s="590"/>
      <c r="I60" s="590">
        <v>1.5</v>
      </c>
      <c r="J60" s="590"/>
      <c r="K60" s="590">
        <v>1.5</v>
      </c>
      <c r="L60" s="590">
        <v>0</v>
      </c>
      <c r="M60" s="590">
        <v>1.5</v>
      </c>
      <c r="N60" s="590"/>
      <c r="O60" s="591">
        <v>1.5</v>
      </c>
      <c r="P60" s="592"/>
      <c r="Q60" s="594"/>
    </row>
    <row r="61" spans="2:17" s="595" customFormat="1" ht="14.95" customHeight="1" x14ac:dyDescent="0.2">
      <c r="B61" s="587" t="s">
        <v>493</v>
      </c>
      <c r="C61" s="588">
        <v>0.9</v>
      </c>
      <c r="D61" s="533">
        <v>8000</v>
      </c>
      <c r="E61" s="399"/>
      <c r="F61" s="590">
        <v>0</v>
      </c>
      <c r="G61" s="590">
        <v>0.9</v>
      </c>
      <c r="H61" s="590"/>
      <c r="I61" s="590">
        <v>0.9</v>
      </c>
      <c r="J61" s="590"/>
      <c r="K61" s="590">
        <v>0.9</v>
      </c>
      <c r="L61" s="590"/>
      <c r="M61" s="590">
        <v>0.9</v>
      </c>
      <c r="N61" s="590">
        <v>0</v>
      </c>
      <c r="O61" s="591">
        <v>0.9</v>
      </c>
      <c r="P61" s="592"/>
      <c r="Q61" s="594"/>
    </row>
    <row r="62" spans="2:17" ht="14.95" customHeight="1" x14ac:dyDescent="0.25">
      <c r="B62" s="593" t="s">
        <v>494</v>
      </c>
      <c r="C62" s="588"/>
      <c r="D62" s="533"/>
      <c r="E62" s="399"/>
      <c r="F62" s="590"/>
      <c r="G62" s="590"/>
      <c r="H62" s="590"/>
      <c r="I62" s="590"/>
      <c r="J62" s="590"/>
      <c r="K62" s="590"/>
      <c r="L62" s="590"/>
      <c r="M62" s="590"/>
      <c r="N62" s="590"/>
      <c r="O62" s="591"/>
      <c r="P62" s="592"/>
    </row>
    <row r="63" spans="2:17" ht="14.95" customHeight="1" x14ac:dyDescent="0.2">
      <c r="B63" s="587" t="s">
        <v>495</v>
      </c>
      <c r="C63" s="588">
        <v>11</v>
      </c>
      <c r="D63" s="533">
        <v>18000</v>
      </c>
      <c r="E63" s="399"/>
      <c r="F63" s="590">
        <v>0</v>
      </c>
      <c r="G63" s="590">
        <v>0</v>
      </c>
      <c r="H63" s="590">
        <v>11</v>
      </c>
      <c r="I63" s="590">
        <v>0</v>
      </c>
      <c r="J63" s="590">
        <v>0</v>
      </c>
      <c r="K63" s="590">
        <v>11</v>
      </c>
      <c r="L63" s="590">
        <v>0</v>
      </c>
      <c r="M63" s="590">
        <v>11</v>
      </c>
      <c r="N63" s="590">
        <v>0</v>
      </c>
      <c r="O63" s="591">
        <v>0</v>
      </c>
      <c r="P63" s="592"/>
    </row>
    <row r="64" spans="2:17" ht="13.6" x14ac:dyDescent="0.25">
      <c r="B64" s="593" t="s">
        <v>496</v>
      </c>
      <c r="C64" s="588"/>
      <c r="D64" s="533"/>
      <c r="E64" s="399"/>
      <c r="F64" s="590"/>
      <c r="G64" s="590"/>
      <c r="H64" s="590"/>
      <c r="I64" s="590"/>
      <c r="J64" s="590"/>
      <c r="K64" s="590"/>
      <c r="L64" s="590"/>
      <c r="M64" s="590"/>
      <c r="N64" s="590"/>
      <c r="O64" s="591"/>
      <c r="P64" s="592"/>
    </row>
    <row r="65" spans="2:16" x14ac:dyDescent="0.2">
      <c r="B65" s="587" t="s">
        <v>497</v>
      </c>
      <c r="C65" s="588">
        <v>8</v>
      </c>
      <c r="D65" s="533">
        <v>30000</v>
      </c>
      <c r="E65" s="399"/>
      <c r="F65" s="590">
        <v>0</v>
      </c>
      <c r="G65" s="590">
        <v>0</v>
      </c>
      <c r="H65" s="590">
        <v>0</v>
      </c>
      <c r="I65" s="590">
        <v>0</v>
      </c>
      <c r="J65" s="590">
        <v>8</v>
      </c>
      <c r="K65" s="590">
        <v>0</v>
      </c>
      <c r="L65" s="590">
        <v>0</v>
      </c>
      <c r="M65" s="590">
        <v>0</v>
      </c>
      <c r="N65" s="590">
        <v>8</v>
      </c>
      <c r="O65" s="591">
        <v>0</v>
      </c>
      <c r="P65" s="592"/>
    </row>
    <row r="66" spans="2:16" x14ac:dyDescent="0.2">
      <c r="B66" s="587" t="s">
        <v>498</v>
      </c>
      <c r="C66" s="588">
        <v>8.3000000000000007</v>
      </c>
      <c r="D66" s="533">
        <v>20000</v>
      </c>
      <c r="E66" s="399"/>
      <c r="F66" s="590">
        <v>0</v>
      </c>
      <c r="G66" s="590">
        <v>0</v>
      </c>
      <c r="H66" s="590">
        <v>8.3000000000000007</v>
      </c>
      <c r="I66" s="590">
        <v>0</v>
      </c>
      <c r="J66" s="590">
        <v>0</v>
      </c>
      <c r="K66" s="590">
        <v>8.3000000000000007</v>
      </c>
      <c r="L66" s="590">
        <v>0</v>
      </c>
      <c r="M66" s="590">
        <v>0</v>
      </c>
      <c r="N66" s="590">
        <v>8.3000000000000007</v>
      </c>
      <c r="O66" s="591">
        <v>0</v>
      </c>
      <c r="P66" s="592"/>
    </row>
    <row r="67" spans="2:16" x14ac:dyDescent="0.2">
      <c r="B67" s="587" t="s">
        <v>499</v>
      </c>
      <c r="C67" s="588">
        <v>3.5</v>
      </c>
      <c r="D67" s="533">
        <v>10000</v>
      </c>
      <c r="E67" s="399"/>
      <c r="F67" s="590">
        <v>0</v>
      </c>
      <c r="G67" s="590">
        <v>3.5</v>
      </c>
      <c r="H67" s="590">
        <v>3.5</v>
      </c>
      <c r="I67" s="590">
        <v>0</v>
      </c>
      <c r="J67" s="590">
        <v>3.5</v>
      </c>
      <c r="K67" s="590">
        <v>3.5</v>
      </c>
      <c r="L67" s="590">
        <v>0</v>
      </c>
      <c r="M67" s="590">
        <v>3.5</v>
      </c>
      <c r="N67" s="590">
        <v>3.5</v>
      </c>
      <c r="O67" s="591">
        <v>3.5</v>
      </c>
      <c r="P67" s="592"/>
    </row>
    <row r="68" spans="2:16" x14ac:dyDescent="0.2">
      <c r="B68" s="587" t="s">
        <v>500</v>
      </c>
      <c r="C68" s="588">
        <v>8</v>
      </c>
      <c r="D68" s="533">
        <v>20000</v>
      </c>
      <c r="E68" s="399"/>
      <c r="F68" s="590">
        <v>0</v>
      </c>
      <c r="G68" s="590">
        <v>0</v>
      </c>
      <c r="H68" s="590">
        <v>8</v>
      </c>
      <c r="I68" s="590">
        <v>0</v>
      </c>
      <c r="J68" s="590">
        <v>0</v>
      </c>
      <c r="K68" s="590">
        <v>8</v>
      </c>
      <c r="L68" s="590">
        <v>0</v>
      </c>
      <c r="M68" s="590">
        <v>0</v>
      </c>
      <c r="N68" s="590">
        <v>8</v>
      </c>
      <c r="O68" s="591">
        <v>0</v>
      </c>
      <c r="P68" s="592"/>
    </row>
    <row r="69" spans="2:16" x14ac:dyDescent="0.2">
      <c r="B69" s="587" t="s">
        <v>501</v>
      </c>
      <c r="C69" s="588">
        <v>2.8</v>
      </c>
      <c r="D69" s="533">
        <v>22000</v>
      </c>
      <c r="E69" s="399"/>
      <c r="F69" s="590">
        <v>0</v>
      </c>
      <c r="G69" s="590">
        <v>0</v>
      </c>
      <c r="H69" s="590">
        <v>0</v>
      </c>
      <c r="I69" s="590">
        <v>2.8</v>
      </c>
      <c r="J69" s="590">
        <v>0</v>
      </c>
      <c r="K69" s="590">
        <v>0</v>
      </c>
      <c r="L69" s="590">
        <v>2.8</v>
      </c>
      <c r="M69" s="590">
        <v>0</v>
      </c>
      <c r="N69" s="590">
        <v>0</v>
      </c>
      <c r="O69" s="591">
        <v>2.8</v>
      </c>
      <c r="P69" s="592"/>
    </row>
    <row r="70" spans="2:16" x14ac:dyDescent="0.2">
      <c r="B70" s="587" t="s">
        <v>502</v>
      </c>
      <c r="C70" s="588">
        <v>2.1</v>
      </c>
      <c r="D70" s="533">
        <v>20000</v>
      </c>
      <c r="E70" s="399"/>
      <c r="F70" s="590">
        <v>0</v>
      </c>
      <c r="G70" s="590">
        <v>0</v>
      </c>
      <c r="H70" s="590">
        <v>2.1</v>
      </c>
      <c r="I70" s="590">
        <v>0</v>
      </c>
      <c r="J70" s="590">
        <v>0</v>
      </c>
      <c r="K70" s="590">
        <v>2.1</v>
      </c>
      <c r="L70" s="590">
        <v>0</v>
      </c>
      <c r="M70" s="590">
        <v>0</v>
      </c>
      <c r="N70" s="590">
        <v>2.1</v>
      </c>
      <c r="O70" s="591">
        <v>0</v>
      </c>
      <c r="P70" s="592"/>
    </row>
    <row r="71" spans="2:16" x14ac:dyDescent="0.2">
      <c r="B71" s="587" t="s">
        <v>503</v>
      </c>
      <c r="C71" s="588">
        <v>1.7</v>
      </c>
      <c r="D71" s="533">
        <v>13000</v>
      </c>
      <c r="E71" s="399"/>
      <c r="F71" s="590">
        <v>0</v>
      </c>
      <c r="G71" s="590">
        <v>1.7</v>
      </c>
      <c r="H71" s="590">
        <v>0</v>
      </c>
      <c r="I71" s="590">
        <v>1.7</v>
      </c>
      <c r="J71" s="590">
        <v>0</v>
      </c>
      <c r="K71" s="590">
        <v>1.7</v>
      </c>
      <c r="L71" s="590">
        <v>0</v>
      </c>
      <c r="M71" s="590">
        <v>1.7</v>
      </c>
      <c r="N71" s="590">
        <v>0</v>
      </c>
      <c r="O71" s="591">
        <v>1.7</v>
      </c>
      <c r="P71" s="592"/>
    </row>
    <row r="72" spans="2:16" ht="13.6" x14ac:dyDescent="0.25">
      <c r="B72" s="593" t="s">
        <v>504</v>
      </c>
      <c r="C72" s="588"/>
      <c r="D72" s="533"/>
      <c r="E72" s="399"/>
      <c r="F72" s="590"/>
      <c r="G72" s="590"/>
      <c r="H72" s="590"/>
      <c r="I72" s="590"/>
      <c r="J72" s="590"/>
      <c r="K72" s="590"/>
      <c r="L72" s="590"/>
      <c r="M72" s="590"/>
      <c r="N72" s="590"/>
      <c r="O72" s="591"/>
      <c r="P72" s="592"/>
    </row>
    <row r="73" spans="2:16" x14ac:dyDescent="0.2">
      <c r="B73" s="587" t="s">
        <v>505</v>
      </c>
      <c r="C73" s="588">
        <v>20</v>
      </c>
      <c r="D73" s="533">
        <v>30000</v>
      </c>
      <c r="E73" s="399"/>
      <c r="F73" s="590">
        <v>0</v>
      </c>
      <c r="G73" s="590">
        <v>0</v>
      </c>
      <c r="H73" s="590">
        <v>0</v>
      </c>
      <c r="I73" s="590">
        <v>0</v>
      </c>
      <c r="J73" s="590">
        <v>20</v>
      </c>
      <c r="K73" s="590">
        <v>0</v>
      </c>
      <c r="L73" s="590">
        <v>0</v>
      </c>
      <c r="M73" s="590">
        <v>0</v>
      </c>
      <c r="N73" s="590">
        <v>20</v>
      </c>
      <c r="O73" s="591">
        <v>0</v>
      </c>
      <c r="P73" s="592"/>
    </row>
    <row r="74" spans="2:16" x14ac:dyDescent="0.2">
      <c r="B74" s="587" t="s">
        <v>506</v>
      </c>
      <c r="C74" s="588">
        <v>1</v>
      </c>
      <c r="D74" s="533">
        <v>11000</v>
      </c>
      <c r="E74" s="399"/>
      <c r="F74" s="590">
        <v>0</v>
      </c>
      <c r="G74" s="590">
        <v>1</v>
      </c>
      <c r="H74" s="590">
        <v>0</v>
      </c>
      <c r="I74" s="590">
        <v>1</v>
      </c>
      <c r="J74" s="590">
        <v>1</v>
      </c>
      <c r="K74" s="590">
        <v>0</v>
      </c>
      <c r="L74" s="590">
        <v>1</v>
      </c>
      <c r="M74" s="590">
        <v>1</v>
      </c>
      <c r="N74" s="590">
        <v>0</v>
      </c>
      <c r="O74" s="591">
        <v>1</v>
      </c>
      <c r="P74" s="592"/>
    </row>
    <row r="75" spans="2:16" x14ac:dyDescent="0.2">
      <c r="B75" s="587" t="s">
        <v>507</v>
      </c>
      <c r="C75" s="588">
        <v>1.1000000000000001</v>
      </c>
      <c r="D75" s="533">
        <v>11000</v>
      </c>
      <c r="E75" s="399"/>
      <c r="F75" s="590">
        <v>0</v>
      </c>
      <c r="G75" s="590">
        <v>1.1000000000000001</v>
      </c>
      <c r="H75" s="590">
        <v>0</v>
      </c>
      <c r="I75" s="590">
        <v>1.1000000000000001</v>
      </c>
      <c r="J75" s="590">
        <v>1.1000000000000001</v>
      </c>
      <c r="K75" s="590">
        <v>0</v>
      </c>
      <c r="L75" s="590">
        <v>1.1000000000000001</v>
      </c>
      <c r="M75" s="590">
        <v>1.1000000000000001</v>
      </c>
      <c r="N75" s="590">
        <v>0</v>
      </c>
      <c r="O75" s="591">
        <v>1.1000000000000001</v>
      </c>
      <c r="P75" s="592"/>
    </row>
    <row r="76" spans="2:16" x14ac:dyDescent="0.2">
      <c r="B76" s="587" t="s">
        <v>508</v>
      </c>
      <c r="C76" s="588">
        <v>3.8</v>
      </c>
      <c r="D76" s="533">
        <v>11900</v>
      </c>
      <c r="E76" s="399"/>
      <c r="F76" s="590">
        <v>0</v>
      </c>
      <c r="G76" s="590">
        <v>3.8</v>
      </c>
      <c r="H76" s="590">
        <v>0</v>
      </c>
      <c r="I76" s="590">
        <v>3.8</v>
      </c>
      <c r="J76" s="590">
        <v>0</v>
      </c>
      <c r="K76" s="590">
        <v>3.8</v>
      </c>
      <c r="L76" s="590">
        <v>3.8</v>
      </c>
      <c r="M76" s="590">
        <v>0</v>
      </c>
      <c r="N76" s="590">
        <v>3.8</v>
      </c>
      <c r="O76" s="591">
        <v>0</v>
      </c>
      <c r="P76" s="592"/>
    </row>
    <row r="77" spans="2:16" x14ac:dyDescent="0.2">
      <c r="B77" s="587" t="s">
        <v>509</v>
      </c>
      <c r="C77" s="588">
        <v>2.5</v>
      </c>
      <c r="D77" s="533">
        <v>15000</v>
      </c>
      <c r="E77" s="399"/>
      <c r="F77" s="590">
        <v>0</v>
      </c>
      <c r="G77" s="590">
        <v>0</v>
      </c>
      <c r="H77" s="590">
        <v>2.5</v>
      </c>
      <c r="I77" s="590">
        <v>0</v>
      </c>
      <c r="J77" s="590">
        <v>2.5</v>
      </c>
      <c r="K77" s="590">
        <v>0</v>
      </c>
      <c r="L77" s="590">
        <v>2.5</v>
      </c>
      <c r="M77" s="590">
        <v>0</v>
      </c>
      <c r="N77" s="590">
        <v>2.5</v>
      </c>
      <c r="O77" s="591">
        <v>0</v>
      </c>
      <c r="P77" s="592"/>
    </row>
    <row r="78" spans="2:16" ht="13.6" x14ac:dyDescent="0.25">
      <c r="B78" s="593" t="s">
        <v>510</v>
      </c>
      <c r="C78" s="588"/>
      <c r="D78" s="533"/>
      <c r="E78" s="399"/>
      <c r="F78" s="590"/>
      <c r="G78" s="590"/>
      <c r="H78" s="590"/>
      <c r="I78" s="590"/>
      <c r="J78" s="590"/>
      <c r="K78" s="590"/>
      <c r="L78" s="590"/>
      <c r="M78" s="590"/>
      <c r="N78" s="590"/>
      <c r="O78" s="591"/>
      <c r="P78" s="592"/>
    </row>
    <row r="79" spans="2:16" x14ac:dyDescent="0.2">
      <c r="B79" s="587" t="s">
        <v>511</v>
      </c>
      <c r="C79" s="588">
        <v>16</v>
      </c>
      <c r="D79" s="533">
        <v>18000</v>
      </c>
      <c r="E79" s="399"/>
      <c r="F79" s="590">
        <v>0</v>
      </c>
      <c r="G79" s="590">
        <v>0</v>
      </c>
      <c r="H79" s="590">
        <v>16</v>
      </c>
      <c r="I79" s="590">
        <v>0</v>
      </c>
      <c r="J79" s="590">
        <v>0</v>
      </c>
      <c r="K79" s="590">
        <v>16</v>
      </c>
      <c r="L79" s="590">
        <v>0</v>
      </c>
      <c r="M79" s="590">
        <v>16</v>
      </c>
      <c r="N79" s="590">
        <v>0</v>
      </c>
      <c r="O79" s="591">
        <v>0</v>
      </c>
      <c r="P79" s="592"/>
    </row>
    <row r="80" spans="2:16" x14ac:dyDescent="0.2">
      <c r="B80" s="587" t="s">
        <v>512</v>
      </c>
      <c r="C80" s="588">
        <v>20</v>
      </c>
      <c r="D80" s="533">
        <v>14000</v>
      </c>
      <c r="E80" s="399"/>
      <c r="F80" s="590">
        <v>0</v>
      </c>
      <c r="G80" s="590">
        <v>20</v>
      </c>
      <c r="H80" s="590">
        <v>0</v>
      </c>
      <c r="I80" s="590">
        <v>20</v>
      </c>
      <c r="J80" s="590">
        <v>0</v>
      </c>
      <c r="K80" s="590">
        <v>20</v>
      </c>
      <c r="L80" s="590">
        <v>0</v>
      </c>
      <c r="M80" s="590">
        <v>20</v>
      </c>
      <c r="N80" s="590">
        <v>0</v>
      </c>
      <c r="O80" s="591">
        <v>20</v>
      </c>
      <c r="P80" s="592"/>
    </row>
    <row r="81" spans="2:16" x14ac:dyDescent="0.2">
      <c r="B81" s="587" t="s">
        <v>513</v>
      </c>
      <c r="C81" s="588">
        <v>3</v>
      </c>
      <c r="D81" s="533">
        <v>12000</v>
      </c>
      <c r="E81" s="399"/>
      <c r="F81" s="590">
        <v>0</v>
      </c>
      <c r="G81" s="590">
        <v>3</v>
      </c>
      <c r="H81" s="590">
        <v>0</v>
      </c>
      <c r="I81" s="590">
        <v>3</v>
      </c>
      <c r="J81" s="590">
        <v>0</v>
      </c>
      <c r="K81" s="590">
        <v>3</v>
      </c>
      <c r="L81" s="590">
        <v>3</v>
      </c>
      <c r="M81" s="590">
        <v>0</v>
      </c>
      <c r="N81" s="590">
        <v>3</v>
      </c>
      <c r="O81" s="591">
        <v>0</v>
      </c>
      <c r="P81" s="592"/>
    </row>
    <row r="82" spans="2:16" x14ac:dyDescent="0.2">
      <c r="B82" s="587" t="s">
        <v>514</v>
      </c>
      <c r="C82" s="588">
        <v>23</v>
      </c>
      <c r="D82" s="533">
        <v>21000</v>
      </c>
      <c r="E82" s="399"/>
      <c r="F82" s="590">
        <v>0</v>
      </c>
      <c r="G82" s="590">
        <v>0</v>
      </c>
      <c r="H82" s="590">
        <v>23</v>
      </c>
      <c r="I82" s="590">
        <v>0</v>
      </c>
      <c r="J82" s="590">
        <v>0</v>
      </c>
      <c r="K82" s="590">
        <v>23</v>
      </c>
      <c r="L82" s="590">
        <v>0</v>
      </c>
      <c r="M82" s="590">
        <v>0</v>
      </c>
      <c r="N82" s="590">
        <v>23</v>
      </c>
      <c r="O82" s="591">
        <v>0</v>
      </c>
      <c r="P82" s="592"/>
    </row>
    <row r="83" spans="2:16" x14ac:dyDescent="0.2">
      <c r="B83" s="587" t="s">
        <v>515</v>
      </c>
      <c r="C83" s="588">
        <v>11.2</v>
      </c>
      <c r="D83" s="533">
        <v>14000</v>
      </c>
      <c r="E83" s="399"/>
      <c r="F83" s="590">
        <v>0</v>
      </c>
      <c r="G83" s="590">
        <v>11.2</v>
      </c>
      <c r="H83" s="590">
        <v>0</v>
      </c>
      <c r="I83" s="590">
        <v>11.2</v>
      </c>
      <c r="J83" s="590">
        <v>0</v>
      </c>
      <c r="K83" s="590">
        <v>11.2</v>
      </c>
      <c r="L83" s="590">
        <v>0</v>
      </c>
      <c r="M83" s="590">
        <v>11.2</v>
      </c>
      <c r="N83" s="590">
        <v>0</v>
      </c>
      <c r="O83" s="591">
        <v>11.2</v>
      </c>
      <c r="P83" s="592"/>
    </row>
    <row r="84" spans="2:16" x14ac:dyDescent="0.2">
      <c r="B84" s="587" t="s">
        <v>516</v>
      </c>
      <c r="C84" s="588">
        <v>6.7</v>
      </c>
      <c r="D84" s="533">
        <v>6000</v>
      </c>
      <c r="E84" s="399"/>
      <c r="F84" s="590">
        <v>6.7</v>
      </c>
      <c r="G84" s="590">
        <v>6.7</v>
      </c>
      <c r="H84" s="590">
        <v>6.7</v>
      </c>
      <c r="I84" s="590">
        <v>6.7</v>
      </c>
      <c r="J84" s="590">
        <v>6.7</v>
      </c>
      <c r="K84" s="590">
        <v>13.4</v>
      </c>
      <c r="L84" s="590">
        <v>6.7</v>
      </c>
      <c r="M84" s="590">
        <v>6.7</v>
      </c>
      <c r="N84" s="590">
        <v>6.7</v>
      </c>
      <c r="O84" s="591">
        <v>6.7</v>
      </c>
      <c r="P84" s="592"/>
    </row>
    <row r="85" spans="2:16" x14ac:dyDescent="0.2">
      <c r="B85" s="587" t="s">
        <v>516</v>
      </c>
      <c r="C85" s="588">
        <v>6.7</v>
      </c>
      <c r="D85" s="533">
        <v>6000</v>
      </c>
      <c r="E85" s="399"/>
      <c r="F85" s="590">
        <v>6.7</v>
      </c>
      <c r="G85" s="590">
        <v>6.7</v>
      </c>
      <c r="H85" s="590">
        <v>6.7</v>
      </c>
      <c r="I85" s="590">
        <v>6.7</v>
      </c>
      <c r="J85" s="590">
        <v>6.7</v>
      </c>
      <c r="K85" s="590">
        <v>13.4</v>
      </c>
      <c r="L85" s="590">
        <v>6.7</v>
      </c>
      <c r="M85" s="590">
        <v>6.7</v>
      </c>
      <c r="N85" s="590">
        <v>6.7</v>
      </c>
      <c r="O85" s="591">
        <v>6.7</v>
      </c>
      <c r="P85" s="592"/>
    </row>
    <row r="86" spans="2:16" x14ac:dyDescent="0.2">
      <c r="B86" s="587" t="s">
        <v>517</v>
      </c>
      <c r="C86" s="588">
        <v>10.86</v>
      </c>
      <c r="D86" s="533">
        <v>12000</v>
      </c>
      <c r="E86" s="399"/>
      <c r="F86" s="590">
        <v>0</v>
      </c>
      <c r="G86" s="590">
        <v>10.86</v>
      </c>
      <c r="H86" s="590">
        <v>0</v>
      </c>
      <c r="I86" s="590">
        <v>10.86</v>
      </c>
      <c r="J86" s="590">
        <v>0</v>
      </c>
      <c r="K86" s="590">
        <v>10.86</v>
      </c>
      <c r="L86" s="590">
        <v>10.86</v>
      </c>
      <c r="M86" s="590">
        <v>0</v>
      </c>
      <c r="N86" s="590">
        <v>10.86</v>
      </c>
      <c r="O86" s="591">
        <v>0</v>
      </c>
      <c r="P86" s="592"/>
    </row>
    <row r="87" spans="2:16" x14ac:dyDescent="0.2">
      <c r="B87" s="587" t="s">
        <v>518</v>
      </c>
      <c r="C87" s="588">
        <v>33.6</v>
      </c>
      <c r="D87" s="533">
        <v>21000</v>
      </c>
      <c r="E87" s="399"/>
      <c r="F87" s="590">
        <v>0</v>
      </c>
      <c r="G87" s="590">
        <v>0</v>
      </c>
      <c r="H87" s="590">
        <v>33.6</v>
      </c>
      <c r="I87" s="590">
        <v>0</v>
      </c>
      <c r="J87" s="590">
        <v>0</v>
      </c>
      <c r="K87" s="590">
        <v>33.6</v>
      </c>
      <c r="L87" s="590">
        <v>0</v>
      </c>
      <c r="M87" s="590">
        <v>0</v>
      </c>
      <c r="N87" s="590">
        <v>33.6</v>
      </c>
      <c r="O87" s="591">
        <v>0</v>
      </c>
      <c r="P87" s="592"/>
    </row>
    <row r="88" spans="2:16" x14ac:dyDescent="0.2">
      <c r="B88" s="587" t="s">
        <v>519</v>
      </c>
      <c r="C88" s="588">
        <v>19.2</v>
      </c>
      <c r="D88" s="533">
        <v>15000</v>
      </c>
      <c r="E88" s="399"/>
      <c r="F88" s="590">
        <v>0</v>
      </c>
      <c r="G88" s="590">
        <v>0</v>
      </c>
      <c r="H88" s="590">
        <v>19.2</v>
      </c>
      <c r="I88" s="590">
        <v>0</v>
      </c>
      <c r="J88" s="590">
        <v>19.2</v>
      </c>
      <c r="K88" s="590">
        <v>0</v>
      </c>
      <c r="L88" s="590">
        <v>19.2</v>
      </c>
      <c r="M88" s="590">
        <v>0</v>
      </c>
      <c r="N88" s="590">
        <v>19.2</v>
      </c>
      <c r="O88" s="591">
        <v>0</v>
      </c>
      <c r="P88" s="592"/>
    </row>
    <row r="89" spans="2:16" x14ac:dyDescent="0.2">
      <c r="B89" s="587" t="s">
        <v>520</v>
      </c>
      <c r="C89" s="588">
        <v>8</v>
      </c>
      <c r="D89" s="533">
        <v>15000</v>
      </c>
      <c r="E89" s="399"/>
      <c r="F89" s="590">
        <v>0</v>
      </c>
      <c r="G89" s="590">
        <v>0</v>
      </c>
      <c r="H89" s="590">
        <v>8</v>
      </c>
      <c r="I89" s="590">
        <v>0</v>
      </c>
      <c r="J89" s="590">
        <v>8</v>
      </c>
      <c r="K89" s="590">
        <v>0</v>
      </c>
      <c r="L89" s="590">
        <v>8</v>
      </c>
      <c r="M89" s="590">
        <v>0</v>
      </c>
      <c r="N89" s="590">
        <v>8</v>
      </c>
      <c r="O89" s="591">
        <v>0</v>
      </c>
      <c r="P89" s="592"/>
    </row>
    <row r="90" spans="2:16" ht="13.6" x14ac:dyDescent="0.25">
      <c r="B90" s="593" t="s">
        <v>521</v>
      </c>
      <c r="C90" s="588"/>
      <c r="D90" s="533"/>
      <c r="E90" s="399"/>
      <c r="F90" s="590"/>
      <c r="G90" s="590"/>
      <c r="H90" s="590"/>
      <c r="I90" s="590"/>
      <c r="J90" s="590"/>
      <c r="K90" s="590"/>
      <c r="L90" s="590"/>
      <c r="M90" s="590"/>
      <c r="N90" s="590"/>
      <c r="O90" s="591"/>
      <c r="P90" s="592"/>
    </row>
    <row r="91" spans="2:16" x14ac:dyDescent="0.2">
      <c r="B91" s="587" t="s">
        <v>522</v>
      </c>
      <c r="C91" s="588">
        <v>3</v>
      </c>
      <c r="D91" s="533">
        <v>22000</v>
      </c>
      <c r="E91" s="399"/>
      <c r="F91" s="590">
        <v>0</v>
      </c>
      <c r="G91" s="590">
        <v>0</v>
      </c>
      <c r="H91" s="590">
        <v>0</v>
      </c>
      <c r="I91" s="590">
        <v>3</v>
      </c>
      <c r="J91" s="590">
        <v>0</v>
      </c>
      <c r="K91" s="590">
        <v>0</v>
      </c>
      <c r="L91" s="590"/>
      <c r="M91" s="590">
        <v>3</v>
      </c>
      <c r="N91" s="590">
        <v>0</v>
      </c>
      <c r="O91" s="591"/>
      <c r="P91" s="592"/>
    </row>
    <row r="92" spans="2:16" x14ac:dyDescent="0.2">
      <c r="B92" s="587" t="s">
        <v>523</v>
      </c>
      <c r="C92" s="588">
        <v>8.8000000000000007</v>
      </c>
      <c r="D92" s="533">
        <v>6000</v>
      </c>
      <c r="E92" s="399"/>
      <c r="F92" s="590">
        <v>8.8000000000000007</v>
      </c>
      <c r="G92" s="590">
        <v>8.8000000000000007</v>
      </c>
      <c r="H92" s="590">
        <v>8.8000000000000007</v>
      </c>
      <c r="I92" s="590">
        <v>8.8000000000000007</v>
      </c>
      <c r="J92" s="590">
        <v>8.8000000000000007</v>
      </c>
      <c r="K92" s="590">
        <v>17.600000000000001</v>
      </c>
      <c r="L92" s="590">
        <v>8.8000000000000007</v>
      </c>
      <c r="M92" s="590">
        <v>8.8000000000000007</v>
      </c>
      <c r="N92" s="590">
        <v>8.8000000000000007</v>
      </c>
      <c r="O92" s="591">
        <v>8.8000000000000007</v>
      </c>
      <c r="P92" s="592"/>
    </row>
    <row r="93" spans="2:16" x14ac:dyDescent="0.2">
      <c r="B93" s="587" t="s">
        <v>524</v>
      </c>
      <c r="C93" s="588">
        <v>8.8000000000000007</v>
      </c>
      <c r="D93" s="533">
        <v>6000</v>
      </c>
      <c r="E93" s="399"/>
      <c r="F93" s="590">
        <v>8.8000000000000007</v>
      </c>
      <c r="G93" s="590">
        <v>8.8000000000000007</v>
      </c>
      <c r="H93" s="590">
        <v>8.8000000000000007</v>
      </c>
      <c r="I93" s="590">
        <v>8.8000000000000007</v>
      </c>
      <c r="J93" s="590">
        <v>8.8000000000000007</v>
      </c>
      <c r="K93" s="590">
        <v>17.600000000000001</v>
      </c>
      <c r="L93" s="590">
        <v>8.8000000000000007</v>
      </c>
      <c r="M93" s="590">
        <v>8.8000000000000007</v>
      </c>
      <c r="N93" s="590">
        <v>8.8000000000000007</v>
      </c>
      <c r="O93" s="591">
        <v>8.8000000000000007</v>
      </c>
      <c r="P93" s="592"/>
    </row>
    <row r="94" spans="2:16" x14ac:dyDescent="0.2">
      <c r="B94" s="587" t="s">
        <v>525</v>
      </c>
      <c r="C94" s="588">
        <v>2.4</v>
      </c>
      <c r="D94" s="533">
        <v>6000</v>
      </c>
      <c r="E94" s="399"/>
      <c r="F94" s="590">
        <v>2.4</v>
      </c>
      <c r="G94" s="590">
        <v>2.4</v>
      </c>
      <c r="H94" s="590">
        <v>2.4</v>
      </c>
      <c r="I94" s="590">
        <v>2.4</v>
      </c>
      <c r="J94" s="590">
        <v>2.4</v>
      </c>
      <c r="K94" s="590">
        <v>4.8</v>
      </c>
      <c r="L94" s="590">
        <v>2.4</v>
      </c>
      <c r="M94" s="590">
        <v>2.4</v>
      </c>
      <c r="N94" s="590">
        <v>2.4</v>
      </c>
      <c r="O94" s="591">
        <v>2.4</v>
      </c>
      <c r="P94" s="592"/>
    </row>
    <row r="95" spans="2:16" x14ac:dyDescent="0.2">
      <c r="B95" s="587" t="s">
        <v>526</v>
      </c>
      <c r="C95" s="588">
        <v>3.2</v>
      </c>
      <c r="D95" s="533">
        <v>6000</v>
      </c>
      <c r="E95" s="399"/>
      <c r="F95" s="590">
        <v>3.2</v>
      </c>
      <c r="G95" s="590">
        <v>3.2</v>
      </c>
      <c r="H95" s="590">
        <v>3.2</v>
      </c>
      <c r="I95" s="590">
        <v>3.2</v>
      </c>
      <c r="J95" s="590">
        <v>3.2</v>
      </c>
      <c r="K95" s="590">
        <v>6.4</v>
      </c>
      <c r="L95" s="590">
        <v>3.2</v>
      </c>
      <c r="M95" s="590">
        <v>3.2</v>
      </c>
      <c r="N95" s="590">
        <v>3.2</v>
      </c>
      <c r="O95" s="591">
        <v>3.2</v>
      </c>
      <c r="P95" s="592"/>
    </row>
    <row r="96" spans="2:16" x14ac:dyDescent="0.2">
      <c r="B96" s="587" t="s">
        <v>527</v>
      </c>
      <c r="C96" s="588">
        <v>36</v>
      </c>
      <c r="D96" s="533">
        <v>12000</v>
      </c>
      <c r="E96" s="399"/>
      <c r="F96" s="590">
        <v>0</v>
      </c>
      <c r="G96" s="590">
        <v>36</v>
      </c>
      <c r="H96" s="590">
        <v>0</v>
      </c>
      <c r="I96" s="590">
        <v>36</v>
      </c>
      <c r="J96" s="590">
        <v>0</v>
      </c>
      <c r="K96" s="590">
        <v>36</v>
      </c>
      <c r="L96" s="590">
        <v>36</v>
      </c>
      <c r="M96" s="590">
        <v>0</v>
      </c>
      <c r="N96" s="590">
        <v>36</v>
      </c>
      <c r="O96" s="591">
        <v>0</v>
      </c>
      <c r="P96" s="592"/>
    </row>
    <row r="97" spans="2:17" x14ac:dyDescent="0.2">
      <c r="B97" s="587" t="s">
        <v>528</v>
      </c>
      <c r="C97" s="588">
        <v>14</v>
      </c>
      <c r="D97" s="533">
        <v>15000</v>
      </c>
      <c r="E97" s="399"/>
      <c r="F97" s="590">
        <v>0</v>
      </c>
      <c r="G97" s="590">
        <v>0</v>
      </c>
      <c r="H97" s="590">
        <v>14</v>
      </c>
      <c r="I97" s="590">
        <v>0</v>
      </c>
      <c r="J97" s="590">
        <v>14</v>
      </c>
      <c r="K97" s="590">
        <v>0</v>
      </c>
      <c r="L97" s="590">
        <v>14</v>
      </c>
      <c r="M97" s="590">
        <v>0</v>
      </c>
      <c r="N97" s="590">
        <v>14</v>
      </c>
      <c r="O97" s="591">
        <v>0</v>
      </c>
      <c r="P97" s="592"/>
    </row>
    <row r="98" spans="2:17" ht="13.6" x14ac:dyDescent="0.25">
      <c r="B98" s="593" t="s">
        <v>529</v>
      </c>
      <c r="C98" s="588"/>
      <c r="D98" s="533"/>
      <c r="E98" s="399"/>
      <c r="F98" s="590"/>
      <c r="G98" s="590"/>
      <c r="H98" s="590"/>
      <c r="I98" s="590"/>
      <c r="J98" s="590"/>
      <c r="K98" s="590"/>
      <c r="L98" s="590"/>
      <c r="M98" s="590"/>
      <c r="N98" s="590"/>
      <c r="O98" s="591"/>
      <c r="P98" s="592"/>
    </row>
    <row r="99" spans="2:17" x14ac:dyDescent="0.2">
      <c r="B99" s="587" t="s">
        <v>530</v>
      </c>
      <c r="C99" s="588">
        <v>2.1</v>
      </c>
      <c r="D99" s="533">
        <v>12000</v>
      </c>
      <c r="E99" s="399"/>
      <c r="F99" s="590">
        <v>0</v>
      </c>
      <c r="G99" s="590">
        <v>2.1</v>
      </c>
      <c r="H99" s="590">
        <v>0</v>
      </c>
      <c r="I99" s="590">
        <v>2.1</v>
      </c>
      <c r="J99" s="590">
        <v>0</v>
      </c>
      <c r="K99" s="590">
        <v>2.1</v>
      </c>
      <c r="L99" s="590">
        <v>2.1</v>
      </c>
      <c r="M99" s="590">
        <v>0</v>
      </c>
      <c r="N99" s="590">
        <v>2.1</v>
      </c>
      <c r="O99" s="591">
        <v>0</v>
      </c>
      <c r="P99" s="592"/>
    </row>
    <row r="100" spans="2:17" x14ac:dyDescent="0.2">
      <c r="B100" s="587" t="s">
        <v>531</v>
      </c>
      <c r="C100" s="588">
        <v>1.5</v>
      </c>
      <c r="D100" s="533">
        <v>8000</v>
      </c>
      <c r="E100" s="399"/>
      <c r="F100" s="590">
        <v>0</v>
      </c>
      <c r="G100" s="590">
        <v>1.5</v>
      </c>
      <c r="H100" s="590">
        <v>1.5</v>
      </c>
      <c r="I100" s="590">
        <v>1.5</v>
      </c>
      <c r="J100" s="590">
        <v>1.5</v>
      </c>
      <c r="K100" s="590">
        <v>1.5</v>
      </c>
      <c r="L100" s="590">
        <v>1.5</v>
      </c>
      <c r="M100" s="590">
        <v>1.5</v>
      </c>
      <c r="N100" s="590">
        <v>0</v>
      </c>
      <c r="O100" s="591">
        <v>1.5</v>
      </c>
      <c r="P100" s="592"/>
    </row>
    <row r="101" spans="2:17" x14ac:dyDescent="0.2">
      <c r="B101" s="587" t="s">
        <v>532</v>
      </c>
      <c r="C101" s="588">
        <v>36</v>
      </c>
      <c r="D101" s="533">
        <v>15000</v>
      </c>
      <c r="E101" s="399"/>
      <c r="F101" s="590">
        <v>0</v>
      </c>
      <c r="G101" s="590">
        <v>0</v>
      </c>
      <c r="H101" s="590">
        <v>36</v>
      </c>
      <c r="I101" s="590">
        <v>0</v>
      </c>
      <c r="J101" s="590">
        <v>36</v>
      </c>
      <c r="K101" s="590">
        <v>0</v>
      </c>
      <c r="L101" s="590">
        <v>36</v>
      </c>
      <c r="M101" s="590">
        <v>0</v>
      </c>
      <c r="N101" s="590">
        <v>36</v>
      </c>
      <c r="O101" s="591">
        <v>0</v>
      </c>
      <c r="P101" s="592"/>
    </row>
    <row r="102" spans="2:17" ht="13.6" thickBot="1" x14ac:dyDescent="0.25">
      <c r="B102" s="596" t="s">
        <v>533</v>
      </c>
      <c r="C102" s="597">
        <v>30</v>
      </c>
      <c r="D102" s="598">
        <v>15000</v>
      </c>
      <c r="E102" s="599"/>
      <c r="F102" s="600">
        <v>0</v>
      </c>
      <c r="G102" s="600">
        <v>0</v>
      </c>
      <c r="H102" s="600">
        <v>30</v>
      </c>
      <c r="I102" s="600">
        <v>0</v>
      </c>
      <c r="J102" s="600">
        <v>30</v>
      </c>
      <c r="K102" s="600">
        <v>0</v>
      </c>
      <c r="L102" s="600">
        <v>30</v>
      </c>
      <c r="M102" s="600">
        <v>0</v>
      </c>
      <c r="N102" s="600">
        <v>30</v>
      </c>
      <c r="O102" s="601">
        <v>0</v>
      </c>
      <c r="P102" s="592"/>
    </row>
    <row r="103" spans="2:17" x14ac:dyDescent="0.2">
      <c r="B103" s="572"/>
      <c r="E103" s="573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</row>
    <row r="104" spans="2:17" ht="14.3" thickBot="1" x14ac:dyDescent="0.3">
      <c r="B104" s="575" t="s">
        <v>534</v>
      </c>
      <c r="D104" s="603">
        <v>57.893718295569833</v>
      </c>
      <c r="E104" s="573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</row>
    <row r="105" spans="2:17" ht="27.85" thickBot="1" x14ac:dyDescent="0.3">
      <c r="B105" s="576" t="s">
        <v>448</v>
      </c>
      <c r="C105" s="577" t="s">
        <v>443</v>
      </c>
      <c r="D105" s="578" t="s">
        <v>535</v>
      </c>
      <c r="E105" s="578"/>
      <c r="F105" s="577" t="s">
        <v>536</v>
      </c>
      <c r="G105" s="577" t="s">
        <v>536</v>
      </c>
      <c r="H105" s="577" t="s">
        <v>536</v>
      </c>
      <c r="I105" s="577" t="s">
        <v>536</v>
      </c>
      <c r="J105" s="577" t="s">
        <v>536</v>
      </c>
      <c r="K105" s="577" t="s">
        <v>536</v>
      </c>
      <c r="L105" s="577" t="s">
        <v>536</v>
      </c>
      <c r="M105" s="577" t="s">
        <v>536</v>
      </c>
      <c r="N105" s="577" t="s">
        <v>536</v>
      </c>
      <c r="O105" s="577" t="s">
        <v>536</v>
      </c>
      <c r="Q105" s="604"/>
    </row>
    <row r="106" spans="2:17" ht="36" customHeight="1" thickBot="1" x14ac:dyDescent="0.3">
      <c r="B106" s="458" t="s">
        <v>537</v>
      </c>
      <c r="C106" s="605" t="s">
        <v>536</v>
      </c>
      <c r="D106" s="606"/>
      <c r="E106" s="606"/>
      <c r="F106" s="607">
        <f t="shared" ref="F106:O106" si="9">SUM(F108:F192)</f>
        <v>85.000000000000014</v>
      </c>
      <c r="G106" s="607">
        <f t="shared" si="9"/>
        <v>315.65999999999997</v>
      </c>
      <c r="H106" s="607">
        <f t="shared" si="9"/>
        <v>423.65000000000003</v>
      </c>
      <c r="I106" s="607">
        <f t="shared" si="9"/>
        <v>333.06</v>
      </c>
      <c r="J106" s="607">
        <f t="shared" si="9"/>
        <v>283.54999999999995</v>
      </c>
      <c r="K106" s="607">
        <f t="shared" si="9"/>
        <v>510.36000000000007</v>
      </c>
      <c r="L106" s="607">
        <f t="shared" si="9"/>
        <v>398.41</v>
      </c>
      <c r="M106" s="607">
        <f t="shared" si="9"/>
        <v>274.89999999999992</v>
      </c>
      <c r="N106" s="607">
        <f t="shared" si="9"/>
        <v>438.21000000000004</v>
      </c>
      <c r="O106" s="608">
        <f t="shared" si="9"/>
        <v>436.19999999999993</v>
      </c>
    </row>
    <row r="107" spans="2:17" ht="13.6" x14ac:dyDescent="0.25">
      <c r="B107" s="609" t="s">
        <v>450</v>
      </c>
      <c r="C107" s="610"/>
      <c r="D107" s="611"/>
      <c r="E107" s="611"/>
      <c r="F107" s="612"/>
      <c r="G107" s="612"/>
      <c r="H107" s="612"/>
      <c r="I107" s="612"/>
      <c r="J107" s="612"/>
      <c r="K107" s="612"/>
      <c r="L107" s="612"/>
      <c r="M107" s="612"/>
      <c r="N107" s="612"/>
      <c r="O107" s="613"/>
      <c r="Q107" s="604"/>
    </row>
    <row r="108" spans="2:17" x14ac:dyDescent="0.2">
      <c r="B108" s="614" t="s">
        <v>451</v>
      </c>
      <c r="C108" s="615">
        <v>56</v>
      </c>
      <c r="D108" s="616">
        <v>57.893718295569833</v>
      </c>
      <c r="E108" s="558"/>
      <c r="F108" s="617">
        <v>0</v>
      </c>
      <c r="G108" s="617">
        <v>0</v>
      </c>
      <c r="H108" s="617">
        <v>56</v>
      </c>
      <c r="I108" s="617">
        <v>0</v>
      </c>
      <c r="J108" s="617"/>
      <c r="K108" s="617">
        <v>0</v>
      </c>
      <c r="L108" s="617">
        <v>56</v>
      </c>
      <c r="M108" s="617">
        <v>0</v>
      </c>
      <c r="N108" s="617"/>
      <c r="O108" s="618">
        <v>0</v>
      </c>
      <c r="Q108" s="604"/>
    </row>
    <row r="109" spans="2:17" x14ac:dyDescent="0.2">
      <c r="B109" s="614" t="s">
        <v>452</v>
      </c>
      <c r="C109" s="615">
        <v>4</v>
      </c>
      <c r="D109" s="616">
        <v>57.893718295569833</v>
      </c>
      <c r="E109" s="481"/>
      <c r="F109" s="617">
        <v>0</v>
      </c>
      <c r="G109" s="617">
        <v>0</v>
      </c>
      <c r="H109" s="617">
        <v>4</v>
      </c>
      <c r="I109" s="617">
        <v>0</v>
      </c>
      <c r="J109" s="617"/>
      <c r="K109" s="617">
        <v>0</v>
      </c>
      <c r="L109" s="617">
        <v>4</v>
      </c>
      <c r="M109" s="617">
        <v>0</v>
      </c>
      <c r="N109" s="617">
        <v>0</v>
      </c>
      <c r="O109" s="618"/>
      <c r="Q109" s="604"/>
    </row>
    <row r="110" spans="2:17" x14ac:dyDescent="0.2">
      <c r="B110" s="614" t="s">
        <v>453</v>
      </c>
      <c r="C110" s="615">
        <v>8</v>
      </c>
      <c r="D110" s="616">
        <v>57.893718295569833</v>
      </c>
      <c r="E110" s="481"/>
      <c r="F110" s="617">
        <v>0</v>
      </c>
      <c r="G110" s="617">
        <v>8</v>
      </c>
      <c r="H110" s="617">
        <v>0</v>
      </c>
      <c r="I110" s="617"/>
      <c r="J110" s="617">
        <v>0</v>
      </c>
      <c r="K110" s="617">
        <v>8</v>
      </c>
      <c r="L110" s="617">
        <v>0</v>
      </c>
      <c r="M110" s="617"/>
      <c r="N110" s="617">
        <v>0</v>
      </c>
      <c r="O110" s="618">
        <v>8</v>
      </c>
      <c r="Q110" s="604"/>
    </row>
    <row r="111" spans="2:17" x14ac:dyDescent="0.2">
      <c r="B111" s="614" t="s">
        <v>454</v>
      </c>
      <c r="C111" s="615">
        <v>36</v>
      </c>
      <c r="D111" s="616">
        <v>57.893718295569833</v>
      </c>
      <c r="E111" s="481"/>
      <c r="F111" s="617">
        <v>0</v>
      </c>
      <c r="G111" s="617">
        <v>36</v>
      </c>
      <c r="H111" s="617"/>
      <c r="I111" s="617">
        <v>36</v>
      </c>
      <c r="J111" s="617"/>
      <c r="K111" s="617">
        <v>36</v>
      </c>
      <c r="L111" s="617"/>
      <c r="M111" s="617">
        <v>36</v>
      </c>
      <c r="N111" s="617"/>
      <c r="O111" s="618">
        <v>36</v>
      </c>
      <c r="Q111" s="604"/>
    </row>
    <row r="112" spans="2:17" x14ac:dyDescent="0.2">
      <c r="B112" s="614" t="s">
        <v>455</v>
      </c>
      <c r="C112" s="615">
        <v>72</v>
      </c>
      <c r="D112" s="616">
        <v>57.893718295569833</v>
      </c>
      <c r="E112" s="481"/>
      <c r="F112" s="617">
        <v>0</v>
      </c>
      <c r="G112" s="617">
        <v>72</v>
      </c>
      <c r="H112" s="617"/>
      <c r="I112" s="617">
        <v>72</v>
      </c>
      <c r="J112" s="617"/>
      <c r="K112" s="617">
        <v>72</v>
      </c>
      <c r="L112" s="617"/>
      <c r="M112" s="617">
        <v>72</v>
      </c>
      <c r="N112" s="617"/>
      <c r="O112" s="618">
        <v>72</v>
      </c>
      <c r="Q112" s="604"/>
    </row>
    <row r="113" spans="2:17" x14ac:dyDescent="0.2">
      <c r="B113" s="614" t="s">
        <v>456</v>
      </c>
      <c r="C113" s="615">
        <v>28</v>
      </c>
      <c r="D113" s="616">
        <v>57.893718295569833</v>
      </c>
      <c r="E113" s="481"/>
      <c r="F113" s="617">
        <v>28</v>
      </c>
      <c r="G113" s="617"/>
      <c r="H113" s="617">
        <v>28</v>
      </c>
      <c r="I113" s="617">
        <v>28</v>
      </c>
      <c r="J113" s="617"/>
      <c r="K113" s="617">
        <v>28</v>
      </c>
      <c r="L113" s="617">
        <v>28</v>
      </c>
      <c r="M113" s="617"/>
      <c r="N113" s="617">
        <v>28</v>
      </c>
      <c r="O113" s="618">
        <v>28</v>
      </c>
      <c r="Q113" s="604"/>
    </row>
    <row r="114" spans="2:17" x14ac:dyDescent="0.2">
      <c r="B114" s="614" t="s">
        <v>457</v>
      </c>
      <c r="C114" s="615">
        <v>3.5</v>
      </c>
      <c r="D114" s="616">
        <v>57.893718295569833</v>
      </c>
      <c r="E114" s="481"/>
      <c r="F114" s="617">
        <v>3.5</v>
      </c>
      <c r="G114" s="617"/>
      <c r="H114" s="617">
        <v>3.5</v>
      </c>
      <c r="I114" s="617"/>
      <c r="J114" s="617">
        <v>3.5</v>
      </c>
      <c r="K114" s="617"/>
      <c r="L114" s="617">
        <v>3.5</v>
      </c>
      <c r="M114" s="617">
        <v>3.5</v>
      </c>
      <c r="N114" s="617"/>
      <c r="O114" s="618">
        <v>3.5</v>
      </c>
      <c r="Q114" s="604"/>
    </row>
    <row r="115" spans="2:17" x14ac:dyDescent="0.2">
      <c r="B115" s="614" t="s">
        <v>458</v>
      </c>
      <c r="C115" s="615">
        <v>3.5</v>
      </c>
      <c r="D115" s="616">
        <v>57.893718295569833</v>
      </c>
      <c r="E115" s="481"/>
      <c r="F115" s="617">
        <v>3.5</v>
      </c>
      <c r="G115" s="617"/>
      <c r="H115" s="617">
        <v>3.5</v>
      </c>
      <c r="I115" s="617"/>
      <c r="J115" s="617">
        <v>3.5</v>
      </c>
      <c r="K115" s="617"/>
      <c r="L115" s="617">
        <v>3.5</v>
      </c>
      <c r="M115" s="617"/>
      <c r="N115" s="617">
        <v>3.5</v>
      </c>
      <c r="O115" s="618"/>
      <c r="Q115" s="604"/>
    </row>
    <row r="116" spans="2:17" x14ac:dyDescent="0.2">
      <c r="B116" s="614" t="s">
        <v>459</v>
      </c>
      <c r="C116" s="615">
        <v>3.5</v>
      </c>
      <c r="D116" s="616">
        <v>57.893718295569833</v>
      </c>
      <c r="E116" s="481"/>
      <c r="F116" s="617">
        <v>3.5</v>
      </c>
      <c r="G116" s="617"/>
      <c r="H116" s="617">
        <v>3.5</v>
      </c>
      <c r="I116" s="617"/>
      <c r="J116" s="617">
        <v>3.5</v>
      </c>
      <c r="K116" s="617"/>
      <c r="L116" s="617">
        <v>3.5</v>
      </c>
      <c r="M116" s="617"/>
      <c r="N116" s="617">
        <v>3.5</v>
      </c>
      <c r="O116" s="618"/>
      <c r="Q116" s="604"/>
    </row>
    <row r="117" spans="2:17" x14ac:dyDescent="0.2">
      <c r="B117" s="614" t="s">
        <v>460</v>
      </c>
      <c r="C117" s="615">
        <v>4</v>
      </c>
      <c r="D117" s="616">
        <v>57.893718295569833</v>
      </c>
      <c r="E117" s="481"/>
      <c r="F117" s="617">
        <v>4</v>
      </c>
      <c r="G117" s="617"/>
      <c r="H117" s="617">
        <v>4</v>
      </c>
      <c r="I117" s="617"/>
      <c r="J117" s="617">
        <v>4</v>
      </c>
      <c r="K117" s="617"/>
      <c r="L117" s="617">
        <v>4</v>
      </c>
      <c r="M117" s="617"/>
      <c r="N117" s="617">
        <v>4</v>
      </c>
      <c r="O117" s="618"/>
      <c r="Q117" s="604"/>
    </row>
    <row r="118" spans="2:17" x14ac:dyDescent="0.2">
      <c r="B118" s="614" t="s">
        <v>461</v>
      </c>
      <c r="C118" s="615">
        <v>0.9</v>
      </c>
      <c r="D118" s="616">
        <v>57.893718295569833</v>
      </c>
      <c r="E118" s="481"/>
      <c r="F118" s="617">
        <v>0.9</v>
      </c>
      <c r="G118" s="617"/>
      <c r="H118" s="617">
        <v>0.9</v>
      </c>
      <c r="I118" s="617"/>
      <c r="J118" s="617">
        <v>0.9</v>
      </c>
      <c r="K118" s="617"/>
      <c r="L118" s="617">
        <v>0.9</v>
      </c>
      <c r="M118" s="617"/>
      <c r="N118" s="617">
        <v>0.9</v>
      </c>
      <c r="O118" s="618"/>
      <c r="Q118" s="604"/>
    </row>
    <row r="119" spans="2:17" x14ac:dyDescent="0.2">
      <c r="B119" s="619" t="s">
        <v>462</v>
      </c>
      <c r="C119" s="620">
        <v>2</v>
      </c>
      <c r="D119" s="616">
        <v>57.893718295569833</v>
      </c>
      <c r="E119" s="481"/>
      <c r="F119" s="617">
        <v>0</v>
      </c>
      <c r="G119" s="617">
        <v>2</v>
      </c>
      <c r="H119" s="617">
        <v>0</v>
      </c>
      <c r="I119" s="617">
        <v>2</v>
      </c>
      <c r="J119" s="617">
        <v>0</v>
      </c>
      <c r="K119" s="617">
        <v>2</v>
      </c>
      <c r="L119" s="617">
        <v>2</v>
      </c>
      <c r="M119" s="617">
        <v>0</v>
      </c>
      <c r="N119" s="617">
        <v>2</v>
      </c>
      <c r="O119" s="618">
        <v>0</v>
      </c>
      <c r="Q119" s="604"/>
    </row>
    <row r="120" spans="2:17" x14ac:dyDescent="0.2">
      <c r="B120" s="619" t="s">
        <v>463</v>
      </c>
      <c r="C120" s="620">
        <v>2</v>
      </c>
      <c r="D120" s="616">
        <v>57.893718295569833</v>
      </c>
      <c r="E120" s="481"/>
      <c r="F120" s="617">
        <v>2</v>
      </c>
      <c r="G120" s="617">
        <v>2</v>
      </c>
      <c r="H120" s="617">
        <v>2</v>
      </c>
      <c r="I120" s="617">
        <v>2</v>
      </c>
      <c r="J120" s="617">
        <v>2</v>
      </c>
      <c r="K120" s="617">
        <v>2</v>
      </c>
      <c r="L120" s="617">
        <v>2</v>
      </c>
      <c r="M120" s="617">
        <v>2</v>
      </c>
      <c r="N120" s="617">
        <v>2</v>
      </c>
      <c r="O120" s="618">
        <v>2</v>
      </c>
      <c r="Q120" s="604"/>
    </row>
    <row r="121" spans="2:17" x14ac:dyDescent="0.2">
      <c r="B121" s="619" t="s">
        <v>464</v>
      </c>
      <c r="C121" s="620">
        <v>3</v>
      </c>
      <c r="D121" s="616">
        <v>57.893718295569833</v>
      </c>
      <c r="E121" s="481"/>
      <c r="F121" s="617">
        <v>3</v>
      </c>
      <c r="G121" s="617">
        <v>3</v>
      </c>
      <c r="H121" s="617">
        <v>3</v>
      </c>
      <c r="I121" s="617">
        <v>3</v>
      </c>
      <c r="J121" s="617">
        <v>3</v>
      </c>
      <c r="K121" s="617">
        <v>3</v>
      </c>
      <c r="L121" s="617">
        <v>3</v>
      </c>
      <c r="M121" s="617">
        <v>3</v>
      </c>
      <c r="N121" s="617">
        <v>3</v>
      </c>
      <c r="O121" s="618">
        <v>3</v>
      </c>
      <c r="Q121" s="604"/>
    </row>
    <row r="122" spans="2:17" x14ac:dyDescent="0.2">
      <c r="B122" s="619" t="s">
        <v>465</v>
      </c>
      <c r="C122" s="620">
        <v>50</v>
      </c>
      <c r="D122" s="616">
        <v>57.893718295569833</v>
      </c>
      <c r="E122" s="481"/>
      <c r="F122" s="617">
        <v>0</v>
      </c>
      <c r="G122" s="617">
        <v>0</v>
      </c>
      <c r="H122" s="617">
        <v>0</v>
      </c>
      <c r="I122" s="617">
        <v>0</v>
      </c>
      <c r="J122" s="617">
        <v>0</v>
      </c>
      <c r="K122" s="617">
        <v>50</v>
      </c>
      <c r="L122" s="617">
        <v>0</v>
      </c>
      <c r="M122" s="617">
        <v>0</v>
      </c>
      <c r="N122" s="617">
        <v>0</v>
      </c>
      <c r="O122" s="618">
        <v>0</v>
      </c>
      <c r="Q122" s="604"/>
    </row>
    <row r="123" spans="2:17" x14ac:dyDescent="0.2">
      <c r="B123" s="619" t="s">
        <v>466</v>
      </c>
      <c r="C123" s="620">
        <v>185</v>
      </c>
      <c r="D123" s="616">
        <v>57.893718295569833</v>
      </c>
      <c r="E123" s="481"/>
      <c r="F123" s="617">
        <v>0</v>
      </c>
      <c r="G123" s="617">
        <v>0</v>
      </c>
      <c r="H123" s="617">
        <v>0</v>
      </c>
      <c r="I123" s="617">
        <v>0</v>
      </c>
      <c r="J123" s="617">
        <v>0</v>
      </c>
      <c r="K123" s="617">
        <v>0</v>
      </c>
      <c r="L123" s="617">
        <v>0</v>
      </c>
      <c r="M123" s="617">
        <v>0</v>
      </c>
      <c r="N123" s="617">
        <v>0</v>
      </c>
      <c r="O123" s="618">
        <v>185</v>
      </c>
      <c r="Q123" s="604"/>
    </row>
    <row r="124" spans="2:17" ht="13.6" x14ac:dyDescent="0.25">
      <c r="B124" s="621" t="s">
        <v>467</v>
      </c>
      <c r="C124" s="588"/>
      <c r="D124" s="616"/>
      <c r="E124" s="481"/>
      <c r="F124" s="617"/>
      <c r="G124" s="617"/>
      <c r="H124" s="617"/>
      <c r="I124" s="617"/>
      <c r="J124" s="617"/>
      <c r="K124" s="617"/>
      <c r="L124" s="617"/>
      <c r="M124" s="617"/>
      <c r="N124" s="617"/>
      <c r="O124" s="618"/>
      <c r="Q124" s="604"/>
    </row>
    <row r="125" spans="2:17" x14ac:dyDescent="0.2">
      <c r="B125" s="622" t="s">
        <v>468</v>
      </c>
      <c r="C125" s="588">
        <v>8</v>
      </c>
      <c r="D125" s="616">
        <v>57.893718295569833</v>
      </c>
      <c r="E125" s="481"/>
      <c r="F125" s="617">
        <v>0</v>
      </c>
      <c r="G125" s="617">
        <v>8</v>
      </c>
      <c r="H125" s="617">
        <v>0</v>
      </c>
      <c r="I125" s="617">
        <v>8</v>
      </c>
      <c r="J125" s="617">
        <v>0</v>
      </c>
      <c r="K125" s="617">
        <v>8</v>
      </c>
      <c r="L125" s="617">
        <v>8</v>
      </c>
      <c r="M125" s="617">
        <v>0</v>
      </c>
      <c r="N125" s="617">
        <v>8</v>
      </c>
      <c r="O125" s="618">
        <v>0</v>
      </c>
      <c r="Q125" s="604"/>
    </row>
    <row r="126" spans="2:17" x14ac:dyDescent="0.2">
      <c r="B126" s="622" t="s">
        <v>469</v>
      </c>
      <c r="C126" s="588">
        <v>10</v>
      </c>
      <c r="D126" s="616">
        <v>57.893718295569833</v>
      </c>
      <c r="E126" s="481"/>
      <c r="F126" s="617">
        <v>0</v>
      </c>
      <c r="G126" s="617">
        <v>10</v>
      </c>
      <c r="H126" s="617">
        <v>0</v>
      </c>
      <c r="I126" s="617">
        <v>10</v>
      </c>
      <c r="J126" s="617">
        <v>10</v>
      </c>
      <c r="K126" s="617">
        <v>0</v>
      </c>
      <c r="L126" s="617">
        <v>10</v>
      </c>
      <c r="M126" s="617">
        <v>10</v>
      </c>
      <c r="N126" s="617">
        <v>0</v>
      </c>
      <c r="O126" s="618">
        <v>10</v>
      </c>
      <c r="Q126" s="604"/>
    </row>
    <row r="127" spans="2:17" x14ac:dyDescent="0.2">
      <c r="B127" s="614" t="s">
        <v>470</v>
      </c>
      <c r="C127" s="588">
        <v>2</v>
      </c>
      <c r="D127" s="616">
        <v>57.893718295569833</v>
      </c>
      <c r="E127" s="481"/>
      <c r="F127" s="617">
        <v>0</v>
      </c>
      <c r="G127" s="617">
        <v>2</v>
      </c>
      <c r="H127" s="617">
        <v>0</v>
      </c>
      <c r="I127" s="617">
        <v>2</v>
      </c>
      <c r="J127" s="617">
        <v>0</v>
      </c>
      <c r="K127" s="617">
        <v>2</v>
      </c>
      <c r="L127" s="617">
        <v>2</v>
      </c>
      <c r="M127" s="617">
        <v>0</v>
      </c>
      <c r="N127" s="617">
        <v>2</v>
      </c>
      <c r="O127" s="618">
        <v>0</v>
      </c>
      <c r="Q127" s="604"/>
    </row>
    <row r="128" spans="2:17" x14ac:dyDescent="0.2">
      <c r="B128" s="614" t="s">
        <v>471</v>
      </c>
      <c r="C128" s="588">
        <v>3.5</v>
      </c>
      <c r="D128" s="616">
        <v>57.893718295569833</v>
      </c>
      <c r="E128" s="481"/>
      <c r="F128" s="617">
        <v>0</v>
      </c>
      <c r="G128" s="617">
        <v>3.5</v>
      </c>
      <c r="H128" s="617">
        <v>3.5</v>
      </c>
      <c r="I128" s="617">
        <v>3.5</v>
      </c>
      <c r="J128" s="617">
        <v>3.5</v>
      </c>
      <c r="K128" s="617">
        <v>3.5</v>
      </c>
      <c r="L128" s="617">
        <v>3.5</v>
      </c>
      <c r="M128" s="617">
        <v>3.5</v>
      </c>
      <c r="N128" s="617">
        <v>0</v>
      </c>
      <c r="O128" s="618">
        <v>3.5</v>
      </c>
      <c r="Q128" s="604"/>
    </row>
    <row r="129" spans="2:17" ht="13.6" x14ac:dyDescent="0.25">
      <c r="B129" s="623" t="s">
        <v>472</v>
      </c>
      <c r="C129" s="588"/>
      <c r="D129" s="539"/>
      <c r="E129" s="481"/>
      <c r="F129" s="617"/>
      <c r="G129" s="617"/>
      <c r="H129" s="617"/>
      <c r="I129" s="617"/>
      <c r="J129" s="617"/>
      <c r="K129" s="617"/>
      <c r="L129" s="617"/>
      <c r="M129" s="617"/>
      <c r="N129" s="617"/>
      <c r="O129" s="618"/>
      <c r="Q129" s="604"/>
    </row>
    <row r="130" spans="2:17" x14ac:dyDescent="0.2">
      <c r="B130" s="614" t="s">
        <v>473</v>
      </c>
      <c r="C130" s="588">
        <v>2.2999999999999998</v>
      </c>
      <c r="D130" s="616">
        <v>57.893718295569833</v>
      </c>
      <c r="E130" s="481"/>
      <c r="F130" s="617">
        <v>0</v>
      </c>
      <c r="G130" s="617">
        <v>0</v>
      </c>
      <c r="H130" s="617">
        <v>0</v>
      </c>
      <c r="I130" s="617">
        <v>2.2999999999999998</v>
      </c>
      <c r="J130" s="617">
        <v>0</v>
      </c>
      <c r="K130" s="617">
        <v>0</v>
      </c>
      <c r="L130" s="617">
        <v>0</v>
      </c>
      <c r="M130" s="617">
        <v>2.2999999999999998</v>
      </c>
      <c r="N130" s="617">
        <v>0</v>
      </c>
      <c r="O130" s="618">
        <v>0</v>
      </c>
      <c r="Q130" s="604"/>
    </row>
    <row r="131" spans="2:17" x14ac:dyDescent="0.2">
      <c r="B131" s="614" t="s">
        <v>474</v>
      </c>
      <c r="C131" s="588">
        <v>1.9</v>
      </c>
      <c r="D131" s="616">
        <v>57.893718295569833</v>
      </c>
      <c r="E131" s="481"/>
      <c r="F131" s="617">
        <v>0</v>
      </c>
      <c r="G131" s="617">
        <v>0</v>
      </c>
      <c r="H131" s="617">
        <v>0</v>
      </c>
      <c r="I131" s="617">
        <v>1.9</v>
      </c>
      <c r="J131" s="617">
        <v>0</v>
      </c>
      <c r="K131" s="617">
        <v>0</v>
      </c>
      <c r="L131" s="617">
        <v>1.9</v>
      </c>
      <c r="M131" s="617">
        <v>0</v>
      </c>
      <c r="N131" s="617">
        <v>0</v>
      </c>
      <c r="O131" s="618">
        <v>1.9</v>
      </c>
      <c r="Q131" s="604"/>
    </row>
    <row r="132" spans="2:17" x14ac:dyDescent="0.2">
      <c r="B132" s="614" t="s">
        <v>475</v>
      </c>
      <c r="C132" s="588">
        <v>1.5</v>
      </c>
      <c r="D132" s="616">
        <v>57.893718295569833</v>
      </c>
      <c r="E132" s="481"/>
      <c r="F132" s="617">
        <v>0</v>
      </c>
      <c r="G132" s="617">
        <v>0</v>
      </c>
      <c r="H132" s="617">
        <v>1.5</v>
      </c>
      <c r="I132" s="617">
        <v>0</v>
      </c>
      <c r="J132" s="617">
        <v>1.5</v>
      </c>
      <c r="K132" s="617">
        <v>0</v>
      </c>
      <c r="L132" s="617">
        <v>1.5</v>
      </c>
      <c r="M132" s="617">
        <v>0</v>
      </c>
      <c r="N132" s="617">
        <v>1.5</v>
      </c>
      <c r="O132" s="618">
        <v>0</v>
      </c>
      <c r="Q132" s="604"/>
    </row>
    <row r="133" spans="2:17" x14ac:dyDescent="0.2">
      <c r="B133" s="614" t="s">
        <v>476</v>
      </c>
      <c r="C133" s="588">
        <v>10</v>
      </c>
      <c r="D133" s="616">
        <v>57.893718295569833</v>
      </c>
      <c r="E133" s="481"/>
      <c r="F133" s="617">
        <v>0</v>
      </c>
      <c r="G133" s="617">
        <v>10</v>
      </c>
      <c r="H133" s="617">
        <v>0</v>
      </c>
      <c r="I133" s="617">
        <v>10</v>
      </c>
      <c r="J133" s="617">
        <v>0</v>
      </c>
      <c r="K133" s="617">
        <v>10</v>
      </c>
      <c r="L133" s="617">
        <v>0</v>
      </c>
      <c r="M133" s="617">
        <v>10</v>
      </c>
      <c r="N133" s="617">
        <v>10</v>
      </c>
      <c r="O133" s="618">
        <v>0</v>
      </c>
      <c r="Q133" s="604"/>
    </row>
    <row r="134" spans="2:17" x14ac:dyDescent="0.2">
      <c r="B134" s="614" t="s">
        <v>477</v>
      </c>
      <c r="C134" s="588">
        <v>0.8</v>
      </c>
      <c r="D134" s="616">
        <v>57.893718295569833</v>
      </c>
      <c r="E134" s="481"/>
      <c r="F134" s="617">
        <v>0</v>
      </c>
      <c r="G134" s="617">
        <v>0</v>
      </c>
      <c r="H134" s="617">
        <v>0.8</v>
      </c>
      <c r="I134" s="617">
        <v>0</v>
      </c>
      <c r="J134" s="617">
        <v>0</v>
      </c>
      <c r="K134" s="617">
        <v>0.8</v>
      </c>
      <c r="L134" s="617">
        <v>0</v>
      </c>
      <c r="M134" s="617">
        <v>0.8</v>
      </c>
      <c r="N134" s="617">
        <v>0</v>
      </c>
      <c r="O134" s="618">
        <v>0</v>
      </c>
      <c r="Q134" s="604"/>
    </row>
    <row r="135" spans="2:17" x14ac:dyDescent="0.2">
      <c r="B135" s="614" t="s">
        <v>478</v>
      </c>
      <c r="C135" s="588">
        <v>5</v>
      </c>
      <c r="D135" s="616">
        <v>57.893718295569833</v>
      </c>
      <c r="E135" s="481"/>
      <c r="F135" s="617">
        <v>0</v>
      </c>
      <c r="G135" s="617">
        <v>0</v>
      </c>
      <c r="H135" s="617">
        <v>0</v>
      </c>
      <c r="I135" s="617">
        <v>5</v>
      </c>
      <c r="J135" s="617">
        <v>0</v>
      </c>
      <c r="K135" s="617">
        <v>0</v>
      </c>
      <c r="L135" s="617">
        <v>0</v>
      </c>
      <c r="M135" s="617">
        <v>5</v>
      </c>
      <c r="N135" s="617">
        <v>0</v>
      </c>
      <c r="O135" s="618">
        <v>0</v>
      </c>
      <c r="Q135" s="604"/>
    </row>
    <row r="136" spans="2:17" ht="13.6" x14ac:dyDescent="0.25">
      <c r="B136" s="623" t="s">
        <v>479</v>
      </c>
      <c r="C136" s="588"/>
      <c r="D136" s="539"/>
      <c r="E136" s="481"/>
      <c r="F136" s="617"/>
      <c r="G136" s="617"/>
      <c r="H136" s="617"/>
      <c r="I136" s="617"/>
      <c r="J136" s="617"/>
      <c r="K136" s="617"/>
      <c r="L136" s="617"/>
      <c r="M136" s="617"/>
      <c r="N136" s="617"/>
      <c r="O136" s="618"/>
      <c r="Q136" s="604"/>
    </row>
    <row r="137" spans="2:17" x14ac:dyDescent="0.2">
      <c r="B137" s="614" t="s">
        <v>480</v>
      </c>
      <c r="C137" s="588">
        <v>2</v>
      </c>
      <c r="D137" s="616">
        <v>57.893718295569833</v>
      </c>
      <c r="E137" s="481"/>
      <c r="F137" s="617">
        <v>0</v>
      </c>
      <c r="G137" s="617">
        <v>0</v>
      </c>
      <c r="H137" s="617">
        <v>2</v>
      </c>
      <c r="I137" s="617">
        <v>0</v>
      </c>
      <c r="J137" s="617">
        <v>2</v>
      </c>
      <c r="K137" s="617">
        <v>0</v>
      </c>
      <c r="L137" s="617">
        <v>2</v>
      </c>
      <c r="M137" s="617">
        <v>0</v>
      </c>
      <c r="N137" s="617">
        <v>2</v>
      </c>
      <c r="O137" s="618">
        <v>0</v>
      </c>
      <c r="Q137" s="604"/>
    </row>
    <row r="138" spans="2:17" x14ac:dyDescent="0.2">
      <c r="B138" s="614" t="s">
        <v>480</v>
      </c>
      <c r="C138" s="588">
        <v>2</v>
      </c>
      <c r="D138" s="616">
        <v>57.893718295569833</v>
      </c>
      <c r="E138" s="481"/>
      <c r="F138" s="617">
        <v>0</v>
      </c>
      <c r="G138" s="617">
        <v>0</v>
      </c>
      <c r="H138" s="617">
        <v>2</v>
      </c>
      <c r="I138" s="617">
        <v>0</v>
      </c>
      <c r="J138" s="617">
        <v>2</v>
      </c>
      <c r="K138" s="617">
        <v>0</v>
      </c>
      <c r="L138" s="617">
        <v>2</v>
      </c>
      <c r="M138" s="617">
        <v>0</v>
      </c>
      <c r="N138" s="617">
        <v>2</v>
      </c>
      <c r="O138" s="618">
        <v>0</v>
      </c>
      <c r="Q138" s="604"/>
    </row>
    <row r="139" spans="2:17" x14ac:dyDescent="0.2">
      <c r="B139" s="614" t="s">
        <v>481</v>
      </c>
      <c r="C139" s="588">
        <v>3.5</v>
      </c>
      <c r="D139" s="616">
        <v>57.893718295569833</v>
      </c>
      <c r="E139" s="481"/>
      <c r="F139" s="617">
        <v>0</v>
      </c>
      <c r="G139" s="617">
        <v>3.5</v>
      </c>
      <c r="H139" s="617">
        <v>3.5</v>
      </c>
      <c r="I139" s="617">
        <v>0</v>
      </c>
      <c r="J139" s="617">
        <v>3.5</v>
      </c>
      <c r="K139" s="617">
        <v>3.5</v>
      </c>
      <c r="L139" s="617">
        <v>0</v>
      </c>
      <c r="M139" s="617">
        <v>3.5</v>
      </c>
      <c r="N139" s="617">
        <v>3.5</v>
      </c>
      <c r="O139" s="618">
        <v>0</v>
      </c>
    </row>
    <row r="140" spans="2:17" x14ac:dyDescent="0.2">
      <c r="B140" s="614" t="s">
        <v>482</v>
      </c>
      <c r="C140" s="588">
        <v>2</v>
      </c>
      <c r="D140" s="616">
        <v>57.893718295569833</v>
      </c>
      <c r="E140" s="481"/>
      <c r="F140" s="617">
        <v>0</v>
      </c>
      <c r="G140" s="617">
        <v>0</v>
      </c>
      <c r="H140" s="617">
        <v>2</v>
      </c>
      <c r="I140" s="617">
        <v>0</v>
      </c>
      <c r="J140" s="617">
        <v>2</v>
      </c>
      <c r="K140" s="617">
        <v>0</v>
      </c>
      <c r="L140" s="617">
        <v>2</v>
      </c>
      <c r="M140" s="617">
        <v>0</v>
      </c>
      <c r="N140" s="617">
        <v>2</v>
      </c>
      <c r="O140" s="618">
        <v>0</v>
      </c>
    </row>
    <row r="141" spans="2:17" x14ac:dyDescent="0.2">
      <c r="B141" s="614" t="s">
        <v>483</v>
      </c>
      <c r="C141" s="588">
        <v>2.97</v>
      </c>
      <c r="D141" s="616">
        <v>57.893718295569833</v>
      </c>
      <c r="E141" s="481"/>
      <c r="F141" s="617">
        <v>0</v>
      </c>
      <c r="G141" s="617">
        <v>0</v>
      </c>
      <c r="H141" s="617">
        <v>2.97</v>
      </c>
      <c r="I141" s="617">
        <v>0</v>
      </c>
      <c r="J141" s="617">
        <v>2.97</v>
      </c>
      <c r="K141" s="617">
        <v>0</v>
      </c>
      <c r="L141" s="617">
        <v>2.97</v>
      </c>
      <c r="M141" s="617">
        <v>0</v>
      </c>
      <c r="N141" s="617">
        <v>2.97</v>
      </c>
      <c r="O141" s="618">
        <v>0</v>
      </c>
    </row>
    <row r="142" spans="2:17" x14ac:dyDescent="0.2">
      <c r="B142" s="614" t="s">
        <v>484</v>
      </c>
      <c r="C142" s="588">
        <v>1.5</v>
      </c>
      <c r="D142" s="616">
        <v>57.893718295569833</v>
      </c>
      <c r="E142" s="481"/>
      <c r="F142" s="617">
        <v>0</v>
      </c>
      <c r="G142" s="617">
        <v>1.5</v>
      </c>
      <c r="H142" s="617">
        <v>1.5</v>
      </c>
      <c r="I142" s="617">
        <v>1.5</v>
      </c>
      <c r="J142" s="617">
        <v>1.5</v>
      </c>
      <c r="K142" s="617">
        <v>1.5</v>
      </c>
      <c r="L142" s="617">
        <v>1.5</v>
      </c>
      <c r="M142" s="617">
        <v>1.5</v>
      </c>
      <c r="N142" s="617">
        <v>0</v>
      </c>
      <c r="O142" s="618">
        <v>1.5</v>
      </c>
    </row>
    <row r="143" spans="2:17" ht="13.6" x14ac:dyDescent="0.25">
      <c r="B143" s="623" t="s">
        <v>485</v>
      </c>
      <c r="C143" s="588"/>
      <c r="D143" s="539"/>
      <c r="E143" s="481"/>
      <c r="F143" s="617"/>
      <c r="G143" s="617"/>
      <c r="H143" s="617"/>
      <c r="I143" s="617"/>
      <c r="J143" s="617"/>
      <c r="K143" s="617"/>
      <c r="L143" s="617"/>
      <c r="M143" s="617"/>
      <c r="N143" s="617"/>
      <c r="O143" s="618"/>
    </row>
    <row r="144" spans="2:17" x14ac:dyDescent="0.2">
      <c r="B144" s="614" t="s">
        <v>486</v>
      </c>
      <c r="C144" s="588">
        <v>22.68</v>
      </c>
      <c r="D144" s="616">
        <v>57.893718295569833</v>
      </c>
      <c r="E144" s="481"/>
      <c r="F144" s="617">
        <v>0</v>
      </c>
      <c r="G144" s="617">
        <v>0</v>
      </c>
      <c r="H144" s="617">
        <v>22.68</v>
      </c>
      <c r="I144" s="617">
        <v>0</v>
      </c>
      <c r="J144" s="617">
        <v>22.68</v>
      </c>
      <c r="K144" s="617">
        <v>0</v>
      </c>
      <c r="L144" s="617">
        <v>22.68</v>
      </c>
      <c r="M144" s="617">
        <v>0</v>
      </c>
      <c r="N144" s="617">
        <v>22.68</v>
      </c>
      <c r="O144" s="618">
        <v>0</v>
      </c>
    </row>
    <row r="145" spans="2:15" x14ac:dyDescent="0.2">
      <c r="B145" s="614" t="s">
        <v>487</v>
      </c>
      <c r="C145" s="588">
        <v>19.5</v>
      </c>
      <c r="D145" s="616">
        <v>57.893718295569833</v>
      </c>
      <c r="E145" s="481"/>
      <c r="F145" s="617">
        <v>0</v>
      </c>
      <c r="G145" s="617">
        <v>0</v>
      </c>
      <c r="H145" s="617">
        <v>19.5</v>
      </c>
      <c r="I145" s="617">
        <v>0</v>
      </c>
      <c r="J145" s="617">
        <v>19.5</v>
      </c>
      <c r="K145" s="617">
        <v>0</v>
      </c>
      <c r="L145" s="617">
        <v>19.5</v>
      </c>
      <c r="M145" s="617">
        <v>0</v>
      </c>
      <c r="N145" s="617">
        <v>19.5</v>
      </c>
      <c r="O145" s="618">
        <v>0</v>
      </c>
    </row>
    <row r="146" spans="2:15" x14ac:dyDescent="0.2">
      <c r="B146" s="614" t="s">
        <v>488</v>
      </c>
      <c r="C146" s="588">
        <v>10.6</v>
      </c>
      <c r="D146" s="616">
        <v>57.893718295569833</v>
      </c>
      <c r="E146" s="481"/>
      <c r="F146" s="617">
        <v>0</v>
      </c>
      <c r="G146" s="617">
        <v>10.6</v>
      </c>
      <c r="H146" s="617"/>
      <c r="I146" s="617">
        <v>0</v>
      </c>
      <c r="J146" s="617">
        <v>10.6</v>
      </c>
      <c r="K146" s="617"/>
      <c r="L146" s="617">
        <v>0</v>
      </c>
      <c r="M146" s="617">
        <v>10.6</v>
      </c>
      <c r="N146" s="617"/>
      <c r="O146" s="618">
        <v>0</v>
      </c>
    </row>
    <row r="147" spans="2:15" x14ac:dyDescent="0.2">
      <c r="B147" s="614" t="s">
        <v>489</v>
      </c>
      <c r="C147" s="588">
        <v>6.6</v>
      </c>
      <c r="D147" s="616">
        <v>57.893718295569833</v>
      </c>
      <c r="E147" s="481"/>
      <c r="F147" s="617">
        <v>0</v>
      </c>
      <c r="G147" s="617">
        <v>6.6</v>
      </c>
      <c r="H147" s="617">
        <v>0</v>
      </c>
      <c r="I147" s="617">
        <v>6.6</v>
      </c>
      <c r="J147" s="617">
        <v>0</v>
      </c>
      <c r="K147" s="617">
        <v>6.6</v>
      </c>
      <c r="L147" s="617"/>
      <c r="M147" s="617">
        <v>0</v>
      </c>
      <c r="N147" s="617">
        <v>6.6</v>
      </c>
      <c r="O147" s="618">
        <v>0</v>
      </c>
    </row>
    <row r="148" spans="2:15" x14ac:dyDescent="0.2">
      <c r="B148" s="614" t="s">
        <v>490</v>
      </c>
      <c r="C148" s="588">
        <v>1.1000000000000001</v>
      </c>
      <c r="D148" s="616">
        <v>57.893718295569833</v>
      </c>
      <c r="E148" s="481"/>
      <c r="F148" s="617">
        <v>0</v>
      </c>
      <c r="G148" s="617">
        <v>1.1000000000000001</v>
      </c>
      <c r="H148" s="617"/>
      <c r="I148" s="617">
        <v>1.1000000000000001</v>
      </c>
      <c r="J148" s="617"/>
      <c r="K148" s="617">
        <v>1.1000000000000001</v>
      </c>
      <c r="L148" s="617"/>
      <c r="M148" s="617">
        <v>1.1000000000000001</v>
      </c>
      <c r="N148" s="617">
        <v>0</v>
      </c>
      <c r="O148" s="618"/>
    </row>
    <row r="149" spans="2:15" x14ac:dyDescent="0.2">
      <c r="B149" s="614" t="s">
        <v>491</v>
      </c>
      <c r="C149" s="588">
        <v>1.1000000000000001</v>
      </c>
      <c r="D149" s="616">
        <v>57.893718295569833</v>
      </c>
      <c r="E149" s="481"/>
      <c r="F149" s="617">
        <v>0</v>
      </c>
      <c r="G149" s="617">
        <v>1.1000000000000001</v>
      </c>
      <c r="H149" s="617"/>
      <c r="I149" s="617">
        <v>1.1000000000000001</v>
      </c>
      <c r="J149" s="617"/>
      <c r="K149" s="617">
        <v>1.1000000000000001</v>
      </c>
      <c r="L149" s="617"/>
      <c r="M149" s="617">
        <v>1.1000000000000001</v>
      </c>
      <c r="N149" s="617">
        <v>0</v>
      </c>
      <c r="O149" s="618"/>
    </row>
    <row r="150" spans="2:15" x14ac:dyDescent="0.2">
      <c r="B150" s="614" t="s">
        <v>492</v>
      </c>
      <c r="C150" s="588">
        <v>1.5</v>
      </c>
      <c r="D150" s="616">
        <v>57.893718295569833</v>
      </c>
      <c r="E150" s="481"/>
      <c r="F150" s="617">
        <v>0</v>
      </c>
      <c r="G150" s="617">
        <v>1.5</v>
      </c>
      <c r="H150" s="617"/>
      <c r="I150" s="617">
        <v>1.5</v>
      </c>
      <c r="J150" s="617"/>
      <c r="K150" s="617">
        <v>1.5</v>
      </c>
      <c r="L150" s="617">
        <v>0</v>
      </c>
      <c r="M150" s="617">
        <v>1.5</v>
      </c>
      <c r="N150" s="617"/>
      <c r="O150" s="618">
        <v>1.5</v>
      </c>
    </row>
    <row r="151" spans="2:15" x14ac:dyDescent="0.2">
      <c r="B151" s="614" t="s">
        <v>493</v>
      </c>
      <c r="C151" s="588">
        <v>0.9</v>
      </c>
      <c r="D151" s="616">
        <v>57.893718295569833</v>
      </c>
      <c r="E151" s="481"/>
      <c r="F151" s="617">
        <v>0</v>
      </c>
      <c r="G151" s="617">
        <v>0.9</v>
      </c>
      <c r="H151" s="617"/>
      <c r="I151" s="617">
        <v>0.9</v>
      </c>
      <c r="J151" s="617"/>
      <c r="K151" s="617">
        <v>0.9</v>
      </c>
      <c r="L151" s="617"/>
      <c r="M151" s="617">
        <v>0.9</v>
      </c>
      <c r="N151" s="617">
        <v>0</v>
      </c>
      <c r="O151" s="618">
        <v>0.9</v>
      </c>
    </row>
    <row r="152" spans="2:15" ht="13.6" x14ac:dyDescent="0.25">
      <c r="B152" s="623" t="s">
        <v>494</v>
      </c>
      <c r="C152" s="588"/>
      <c r="D152" s="539"/>
      <c r="E152" s="481"/>
      <c r="F152" s="617"/>
      <c r="G152" s="617"/>
      <c r="H152" s="617"/>
      <c r="I152" s="617"/>
      <c r="J152" s="617"/>
      <c r="K152" s="617"/>
      <c r="L152" s="617"/>
      <c r="M152" s="617"/>
      <c r="N152" s="617"/>
      <c r="O152" s="618"/>
    </row>
    <row r="153" spans="2:15" x14ac:dyDescent="0.2">
      <c r="B153" s="614" t="s">
        <v>495</v>
      </c>
      <c r="C153" s="588">
        <v>11</v>
      </c>
      <c r="D153" s="616">
        <v>57.893718295569833</v>
      </c>
      <c r="E153" s="481"/>
      <c r="F153" s="617">
        <v>0</v>
      </c>
      <c r="G153" s="617">
        <v>0</v>
      </c>
      <c r="H153" s="617">
        <v>11</v>
      </c>
      <c r="I153" s="617">
        <v>0</v>
      </c>
      <c r="J153" s="617">
        <v>0</v>
      </c>
      <c r="K153" s="617">
        <v>11</v>
      </c>
      <c r="L153" s="617">
        <v>0</v>
      </c>
      <c r="M153" s="617">
        <v>11</v>
      </c>
      <c r="N153" s="617">
        <v>0</v>
      </c>
      <c r="O153" s="618">
        <v>0</v>
      </c>
    </row>
    <row r="154" spans="2:15" ht="13.6" x14ac:dyDescent="0.25">
      <c r="B154" s="623" t="s">
        <v>496</v>
      </c>
      <c r="C154" s="588"/>
      <c r="D154" s="539"/>
      <c r="E154" s="481"/>
      <c r="F154" s="617"/>
      <c r="G154" s="617"/>
      <c r="H154" s="617"/>
      <c r="I154" s="617"/>
      <c r="J154" s="617"/>
      <c r="K154" s="617"/>
      <c r="L154" s="617"/>
      <c r="M154" s="617"/>
      <c r="N154" s="617"/>
      <c r="O154" s="618"/>
    </row>
    <row r="155" spans="2:15" x14ac:dyDescent="0.2">
      <c r="B155" s="614" t="s">
        <v>497</v>
      </c>
      <c r="C155" s="588">
        <v>8</v>
      </c>
      <c r="D155" s="616">
        <v>57.893718295569833</v>
      </c>
      <c r="E155" s="481"/>
      <c r="F155" s="617">
        <v>0</v>
      </c>
      <c r="G155" s="617">
        <v>0</v>
      </c>
      <c r="H155" s="617">
        <v>0</v>
      </c>
      <c r="I155" s="617">
        <v>0</v>
      </c>
      <c r="J155" s="617">
        <v>8</v>
      </c>
      <c r="K155" s="617">
        <v>0</v>
      </c>
      <c r="L155" s="617">
        <v>0</v>
      </c>
      <c r="M155" s="617">
        <v>0</v>
      </c>
      <c r="N155" s="617">
        <v>8</v>
      </c>
      <c r="O155" s="618">
        <v>0</v>
      </c>
    </row>
    <row r="156" spans="2:15" x14ac:dyDescent="0.2">
      <c r="B156" s="614" t="s">
        <v>498</v>
      </c>
      <c r="C156" s="588">
        <v>8.3000000000000007</v>
      </c>
      <c r="D156" s="616">
        <v>57.893718295569833</v>
      </c>
      <c r="E156" s="481"/>
      <c r="F156" s="617">
        <v>0</v>
      </c>
      <c r="G156" s="617">
        <v>0</v>
      </c>
      <c r="H156" s="617">
        <v>8.3000000000000007</v>
      </c>
      <c r="I156" s="617">
        <v>0</v>
      </c>
      <c r="J156" s="617">
        <v>0</v>
      </c>
      <c r="K156" s="617">
        <v>8.3000000000000007</v>
      </c>
      <c r="L156" s="617">
        <v>0</v>
      </c>
      <c r="M156" s="617">
        <v>0</v>
      </c>
      <c r="N156" s="617">
        <v>8.3000000000000007</v>
      </c>
      <c r="O156" s="618">
        <v>0</v>
      </c>
    </row>
    <row r="157" spans="2:15" x14ac:dyDescent="0.2">
      <c r="B157" s="614" t="s">
        <v>499</v>
      </c>
      <c r="C157" s="588">
        <v>3.5</v>
      </c>
      <c r="D157" s="616">
        <v>57.893718295569833</v>
      </c>
      <c r="E157" s="481"/>
      <c r="F157" s="617">
        <v>0</v>
      </c>
      <c r="G157" s="617">
        <v>3.5</v>
      </c>
      <c r="H157" s="617">
        <v>3.5</v>
      </c>
      <c r="I157" s="617">
        <v>0</v>
      </c>
      <c r="J157" s="617">
        <v>3.5</v>
      </c>
      <c r="K157" s="617">
        <v>3.5</v>
      </c>
      <c r="L157" s="617">
        <v>0</v>
      </c>
      <c r="M157" s="617">
        <v>3.5</v>
      </c>
      <c r="N157" s="617">
        <v>3.5</v>
      </c>
      <c r="O157" s="618">
        <v>3.5</v>
      </c>
    </row>
    <row r="158" spans="2:15" x14ac:dyDescent="0.2">
      <c r="B158" s="614" t="s">
        <v>500</v>
      </c>
      <c r="C158" s="588">
        <v>8</v>
      </c>
      <c r="D158" s="616">
        <v>57.893718295569833</v>
      </c>
      <c r="E158" s="481"/>
      <c r="F158" s="617">
        <v>0</v>
      </c>
      <c r="G158" s="617">
        <v>0</v>
      </c>
      <c r="H158" s="617">
        <v>8</v>
      </c>
      <c r="I158" s="617">
        <v>0</v>
      </c>
      <c r="J158" s="617">
        <v>0</v>
      </c>
      <c r="K158" s="617">
        <v>8</v>
      </c>
      <c r="L158" s="617">
        <v>0</v>
      </c>
      <c r="M158" s="617">
        <v>0</v>
      </c>
      <c r="N158" s="617">
        <v>8</v>
      </c>
      <c r="O158" s="618">
        <v>0</v>
      </c>
    </row>
    <row r="159" spans="2:15" x14ac:dyDescent="0.2">
      <c r="B159" s="614" t="s">
        <v>501</v>
      </c>
      <c r="C159" s="588">
        <v>2.8</v>
      </c>
      <c r="D159" s="616">
        <v>57.893718295569833</v>
      </c>
      <c r="E159" s="481"/>
      <c r="F159" s="617">
        <v>0</v>
      </c>
      <c r="G159" s="617">
        <v>0</v>
      </c>
      <c r="H159" s="617">
        <v>0</v>
      </c>
      <c r="I159" s="617">
        <v>2.8</v>
      </c>
      <c r="J159" s="617">
        <v>0</v>
      </c>
      <c r="K159" s="617">
        <v>0</v>
      </c>
      <c r="L159" s="617">
        <v>2.8</v>
      </c>
      <c r="M159" s="617">
        <v>0</v>
      </c>
      <c r="N159" s="617">
        <v>0</v>
      </c>
      <c r="O159" s="618">
        <v>2.8</v>
      </c>
    </row>
    <row r="160" spans="2:15" x14ac:dyDescent="0.2">
      <c r="B160" s="614" t="s">
        <v>502</v>
      </c>
      <c r="C160" s="588">
        <v>2.1</v>
      </c>
      <c r="D160" s="616">
        <v>57.893718295569833</v>
      </c>
      <c r="E160" s="481"/>
      <c r="F160" s="617">
        <v>0</v>
      </c>
      <c r="G160" s="617">
        <v>0</v>
      </c>
      <c r="H160" s="617">
        <v>2.1</v>
      </c>
      <c r="I160" s="617">
        <v>0</v>
      </c>
      <c r="J160" s="617">
        <v>0</v>
      </c>
      <c r="K160" s="617">
        <v>2.1</v>
      </c>
      <c r="L160" s="617">
        <v>0</v>
      </c>
      <c r="M160" s="617">
        <v>0</v>
      </c>
      <c r="N160" s="617">
        <v>2.1</v>
      </c>
      <c r="O160" s="618">
        <v>0</v>
      </c>
    </row>
    <row r="161" spans="2:15" x14ac:dyDescent="0.2">
      <c r="B161" s="614" t="s">
        <v>503</v>
      </c>
      <c r="C161" s="588">
        <v>1.7</v>
      </c>
      <c r="D161" s="616">
        <v>57.893718295569833</v>
      </c>
      <c r="E161" s="481"/>
      <c r="F161" s="617">
        <v>0</v>
      </c>
      <c r="G161" s="617">
        <v>1.7</v>
      </c>
      <c r="H161" s="617">
        <v>0</v>
      </c>
      <c r="I161" s="617">
        <v>1.7</v>
      </c>
      <c r="J161" s="617">
        <v>0</v>
      </c>
      <c r="K161" s="617">
        <v>1.7</v>
      </c>
      <c r="L161" s="617">
        <v>0</v>
      </c>
      <c r="M161" s="617">
        <v>1.7</v>
      </c>
      <c r="N161" s="617">
        <v>0</v>
      </c>
      <c r="O161" s="618">
        <v>1.7</v>
      </c>
    </row>
    <row r="162" spans="2:15" ht="13.6" x14ac:dyDescent="0.25">
      <c r="B162" s="623" t="s">
        <v>504</v>
      </c>
      <c r="C162" s="588"/>
      <c r="D162" s="539"/>
      <c r="E162" s="481"/>
      <c r="F162" s="617"/>
      <c r="G162" s="617"/>
      <c r="H162" s="617"/>
      <c r="I162" s="617"/>
      <c r="J162" s="617"/>
      <c r="K162" s="617"/>
      <c r="L162" s="617"/>
      <c r="M162" s="617"/>
      <c r="N162" s="617"/>
      <c r="O162" s="618"/>
    </row>
    <row r="163" spans="2:15" x14ac:dyDescent="0.2">
      <c r="B163" s="614" t="s">
        <v>505</v>
      </c>
      <c r="C163" s="588">
        <v>20</v>
      </c>
      <c r="D163" s="616">
        <v>57.893718295569833</v>
      </c>
      <c r="E163" s="481"/>
      <c r="F163" s="617">
        <v>0</v>
      </c>
      <c r="G163" s="617">
        <v>0</v>
      </c>
      <c r="H163" s="617">
        <v>0</v>
      </c>
      <c r="I163" s="617">
        <v>0</v>
      </c>
      <c r="J163" s="617">
        <v>20</v>
      </c>
      <c r="K163" s="617">
        <v>0</v>
      </c>
      <c r="L163" s="617">
        <v>0</v>
      </c>
      <c r="M163" s="617">
        <v>0</v>
      </c>
      <c r="N163" s="617">
        <v>20</v>
      </c>
      <c r="O163" s="618">
        <v>0</v>
      </c>
    </row>
    <row r="164" spans="2:15" x14ac:dyDescent="0.2">
      <c r="B164" s="614" t="s">
        <v>506</v>
      </c>
      <c r="C164" s="588">
        <v>1</v>
      </c>
      <c r="D164" s="616">
        <v>57.893718295569833</v>
      </c>
      <c r="E164" s="481"/>
      <c r="F164" s="617">
        <v>0</v>
      </c>
      <c r="G164" s="617">
        <v>1</v>
      </c>
      <c r="H164" s="617">
        <v>0</v>
      </c>
      <c r="I164" s="617">
        <v>1</v>
      </c>
      <c r="J164" s="617">
        <v>1</v>
      </c>
      <c r="K164" s="617">
        <v>0</v>
      </c>
      <c r="L164" s="617">
        <v>1</v>
      </c>
      <c r="M164" s="617">
        <v>1</v>
      </c>
      <c r="N164" s="617">
        <v>0</v>
      </c>
      <c r="O164" s="618">
        <v>1</v>
      </c>
    </row>
    <row r="165" spans="2:15" x14ac:dyDescent="0.2">
      <c r="B165" s="614" t="s">
        <v>507</v>
      </c>
      <c r="C165" s="588">
        <v>1.1000000000000001</v>
      </c>
      <c r="D165" s="616">
        <v>57.893718295569833</v>
      </c>
      <c r="E165" s="481"/>
      <c r="F165" s="617">
        <v>0</v>
      </c>
      <c r="G165" s="617">
        <v>1.1000000000000001</v>
      </c>
      <c r="H165" s="617">
        <v>0</v>
      </c>
      <c r="I165" s="617">
        <v>1.1000000000000001</v>
      </c>
      <c r="J165" s="617">
        <v>1.1000000000000001</v>
      </c>
      <c r="K165" s="617">
        <v>0</v>
      </c>
      <c r="L165" s="617">
        <v>1.1000000000000001</v>
      </c>
      <c r="M165" s="617">
        <v>1.1000000000000001</v>
      </c>
      <c r="N165" s="617">
        <v>0</v>
      </c>
      <c r="O165" s="618">
        <v>1.1000000000000001</v>
      </c>
    </row>
    <row r="166" spans="2:15" x14ac:dyDescent="0.2">
      <c r="B166" s="614" t="s">
        <v>508</v>
      </c>
      <c r="C166" s="588">
        <v>3.8</v>
      </c>
      <c r="D166" s="616">
        <v>57.893718295569833</v>
      </c>
      <c r="E166" s="481"/>
      <c r="F166" s="617">
        <v>0</v>
      </c>
      <c r="G166" s="617">
        <v>3.8</v>
      </c>
      <c r="H166" s="617">
        <v>0</v>
      </c>
      <c r="I166" s="617">
        <v>3.8</v>
      </c>
      <c r="J166" s="617">
        <v>0</v>
      </c>
      <c r="K166" s="617">
        <v>3.8</v>
      </c>
      <c r="L166" s="617">
        <v>3.8</v>
      </c>
      <c r="M166" s="617">
        <v>0</v>
      </c>
      <c r="N166" s="617">
        <v>3.8</v>
      </c>
      <c r="O166" s="618">
        <v>0</v>
      </c>
    </row>
    <row r="167" spans="2:15" x14ac:dyDescent="0.2">
      <c r="B167" s="614" t="s">
        <v>509</v>
      </c>
      <c r="C167" s="588">
        <v>2.5</v>
      </c>
      <c r="D167" s="616">
        <v>57.893718295569833</v>
      </c>
      <c r="E167" s="481"/>
      <c r="F167" s="617">
        <v>0</v>
      </c>
      <c r="G167" s="617">
        <v>0</v>
      </c>
      <c r="H167" s="617">
        <v>2.5</v>
      </c>
      <c r="I167" s="617">
        <v>0</v>
      </c>
      <c r="J167" s="617">
        <v>2.5</v>
      </c>
      <c r="K167" s="617">
        <v>0</v>
      </c>
      <c r="L167" s="617">
        <v>2.5</v>
      </c>
      <c r="M167" s="617">
        <v>0</v>
      </c>
      <c r="N167" s="617">
        <v>2.5</v>
      </c>
      <c r="O167" s="618">
        <v>0</v>
      </c>
    </row>
    <row r="168" spans="2:15" ht="13.6" x14ac:dyDescent="0.25">
      <c r="B168" s="623" t="s">
        <v>510</v>
      </c>
      <c r="C168" s="588"/>
      <c r="D168" s="539"/>
      <c r="E168" s="481"/>
      <c r="F168" s="617"/>
      <c r="G168" s="617"/>
      <c r="H168" s="617"/>
      <c r="I168" s="617"/>
      <c r="J168" s="617"/>
      <c r="K168" s="617"/>
      <c r="L168" s="617"/>
      <c r="M168" s="617"/>
      <c r="N168" s="617"/>
      <c r="O168" s="618"/>
    </row>
    <row r="169" spans="2:15" x14ac:dyDescent="0.2">
      <c r="B169" s="614" t="s">
        <v>511</v>
      </c>
      <c r="C169" s="588">
        <v>16</v>
      </c>
      <c r="D169" s="616">
        <v>57.893718295569833</v>
      </c>
      <c r="E169" s="481"/>
      <c r="F169" s="617">
        <v>0</v>
      </c>
      <c r="G169" s="617">
        <v>0</v>
      </c>
      <c r="H169" s="617">
        <v>16</v>
      </c>
      <c r="I169" s="617">
        <v>0</v>
      </c>
      <c r="J169" s="617">
        <v>0</v>
      </c>
      <c r="K169" s="617">
        <v>16</v>
      </c>
      <c r="L169" s="617">
        <v>0</v>
      </c>
      <c r="M169" s="617">
        <v>16</v>
      </c>
      <c r="N169" s="617">
        <v>0</v>
      </c>
      <c r="O169" s="618">
        <v>0</v>
      </c>
    </row>
    <row r="170" spans="2:15" x14ac:dyDescent="0.2">
      <c r="B170" s="614" t="s">
        <v>512</v>
      </c>
      <c r="C170" s="588">
        <v>20</v>
      </c>
      <c r="D170" s="616">
        <v>57.893718295569833</v>
      </c>
      <c r="E170" s="481"/>
      <c r="F170" s="617">
        <v>0</v>
      </c>
      <c r="G170" s="617">
        <v>20</v>
      </c>
      <c r="H170" s="617">
        <v>0</v>
      </c>
      <c r="I170" s="617">
        <v>20</v>
      </c>
      <c r="J170" s="617">
        <v>0</v>
      </c>
      <c r="K170" s="617">
        <v>20</v>
      </c>
      <c r="L170" s="617">
        <v>0</v>
      </c>
      <c r="M170" s="617">
        <v>20</v>
      </c>
      <c r="N170" s="617">
        <v>0</v>
      </c>
      <c r="O170" s="618">
        <v>20</v>
      </c>
    </row>
    <row r="171" spans="2:15" x14ac:dyDescent="0.2">
      <c r="B171" s="614" t="s">
        <v>513</v>
      </c>
      <c r="C171" s="588">
        <v>3</v>
      </c>
      <c r="D171" s="616">
        <v>57.893718295569833</v>
      </c>
      <c r="E171" s="481"/>
      <c r="F171" s="617">
        <v>0</v>
      </c>
      <c r="G171" s="617">
        <v>3</v>
      </c>
      <c r="H171" s="617">
        <v>0</v>
      </c>
      <c r="I171" s="617">
        <v>3</v>
      </c>
      <c r="J171" s="617">
        <v>0</v>
      </c>
      <c r="K171" s="617">
        <v>3</v>
      </c>
      <c r="L171" s="617">
        <v>3</v>
      </c>
      <c r="M171" s="617">
        <v>0</v>
      </c>
      <c r="N171" s="617">
        <v>3</v>
      </c>
      <c r="O171" s="618">
        <v>0</v>
      </c>
    </row>
    <row r="172" spans="2:15" x14ac:dyDescent="0.2">
      <c r="B172" s="614" t="s">
        <v>514</v>
      </c>
      <c r="C172" s="588">
        <v>23</v>
      </c>
      <c r="D172" s="616">
        <v>57.893718295569833</v>
      </c>
      <c r="E172" s="481"/>
      <c r="F172" s="617">
        <v>0</v>
      </c>
      <c r="G172" s="617">
        <v>0</v>
      </c>
      <c r="H172" s="617">
        <v>23</v>
      </c>
      <c r="I172" s="617">
        <v>0</v>
      </c>
      <c r="J172" s="617">
        <v>0</v>
      </c>
      <c r="K172" s="617">
        <v>23</v>
      </c>
      <c r="L172" s="617">
        <v>0</v>
      </c>
      <c r="M172" s="617">
        <v>0</v>
      </c>
      <c r="N172" s="617">
        <v>23</v>
      </c>
      <c r="O172" s="618">
        <v>0</v>
      </c>
    </row>
    <row r="173" spans="2:15" x14ac:dyDescent="0.2">
      <c r="B173" s="614" t="s">
        <v>515</v>
      </c>
      <c r="C173" s="588">
        <v>11.2</v>
      </c>
      <c r="D173" s="616">
        <v>57.893718295569833</v>
      </c>
      <c r="E173" s="481"/>
      <c r="F173" s="617">
        <v>0</v>
      </c>
      <c r="G173" s="617">
        <v>11.2</v>
      </c>
      <c r="H173" s="617">
        <v>0</v>
      </c>
      <c r="I173" s="617">
        <v>11.2</v>
      </c>
      <c r="J173" s="617">
        <v>0</v>
      </c>
      <c r="K173" s="617">
        <v>11.2</v>
      </c>
      <c r="L173" s="617">
        <v>0</v>
      </c>
      <c r="M173" s="617">
        <v>11.2</v>
      </c>
      <c r="N173" s="617">
        <v>0</v>
      </c>
      <c r="O173" s="618">
        <v>11.2</v>
      </c>
    </row>
    <row r="174" spans="2:15" x14ac:dyDescent="0.2">
      <c r="B174" s="614" t="s">
        <v>516</v>
      </c>
      <c r="C174" s="588">
        <v>6.7</v>
      </c>
      <c r="D174" s="616">
        <v>57.893718295569833</v>
      </c>
      <c r="E174" s="481"/>
      <c r="F174" s="617">
        <v>6.7</v>
      </c>
      <c r="G174" s="617">
        <v>6.7</v>
      </c>
      <c r="H174" s="617">
        <v>6.7</v>
      </c>
      <c r="I174" s="617">
        <v>6.7</v>
      </c>
      <c r="J174" s="617">
        <v>6.7</v>
      </c>
      <c r="K174" s="617">
        <v>13.4</v>
      </c>
      <c r="L174" s="617">
        <v>6.7</v>
      </c>
      <c r="M174" s="617">
        <v>6.7</v>
      </c>
      <c r="N174" s="617">
        <v>6.7</v>
      </c>
      <c r="O174" s="618">
        <v>6.7</v>
      </c>
    </row>
    <row r="175" spans="2:15" x14ac:dyDescent="0.2">
      <c r="B175" s="614" t="s">
        <v>516</v>
      </c>
      <c r="C175" s="588">
        <v>6.7</v>
      </c>
      <c r="D175" s="616">
        <v>57.893718295569833</v>
      </c>
      <c r="E175" s="481"/>
      <c r="F175" s="617">
        <v>6.7</v>
      </c>
      <c r="G175" s="617">
        <v>6.7</v>
      </c>
      <c r="H175" s="617">
        <v>6.7</v>
      </c>
      <c r="I175" s="617">
        <v>6.7</v>
      </c>
      <c r="J175" s="617">
        <v>6.7</v>
      </c>
      <c r="K175" s="617">
        <v>13.4</v>
      </c>
      <c r="L175" s="617">
        <v>6.7</v>
      </c>
      <c r="M175" s="617">
        <v>6.7</v>
      </c>
      <c r="N175" s="617">
        <v>6.7</v>
      </c>
      <c r="O175" s="618">
        <v>6.7</v>
      </c>
    </row>
    <row r="176" spans="2:15" x14ac:dyDescent="0.2">
      <c r="B176" s="614" t="s">
        <v>517</v>
      </c>
      <c r="C176" s="588">
        <v>10.86</v>
      </c>
      <c r="D176" s="616">
        <v>57.893718295569833</v>
      </c>
      <c r="E176" s="481"/>
      <c r="F176" s="617">
        <v>0</v>
      </c>
      <c r="G176" s="617">
        <v>10.86</v>
      </c>
      <c r="H176" s="617">
        <v>0</v>
      </c>
      <c r="I176" s="617">
        <v>10.86</v>
      </c>
      <c r="J176" s="617">
        <v>0</v>
      </c>
      <c r="K176" s="617">
        <v>10.86</v>
      </c>
      <c r="L176" s="617">
        <v>10.86</v>
      </c>
      <c r="M176" s="617">
        <v>0</v>
      </c>
      <c r="N176" s="617">
        <v>10.86</v>
      </c>
      <c r="O176" s="618">
        <v>0</v>
      </c>
    </row>
    <row r="177" spans="2:15" x14ac:dyDescent="0.2">
      <c r="B177" s="614" t="s">
        <v>518</v>
      </c>
      <c r="C177" s="588">
        <v>33.6</v>
      </c>
      <c r="D177" s="616">
        <v>57.893718295569833</v>
      </c>
      <c r="E177" s="481"/>
      <c r="F177" s="617">
        <v>0</v>
      </c>
      <c r="G177" s="617">
        <v>0</v>
      </c>
      <c r="H177" s="617">
        <v>33.6</v>
      </c>
      <c r="I177" s="617">
        <v>0</v>
      </c>
      <c r="J177" s="617">
        <v>0</v>
      </c>
      <c r="K177" s="617">
        <v>33.6</v>
      </c>
      <c r="L177" s="617">
        <v>0</v>
      </c>
      <c r="M177" s="617">
        <v>0</v>
      </c>
      <c r="N177" s="617">
        <v>33.6</v>
      </c>
      <c r="O177" s="618">
        <v>0</v>
      </c>
    </row>
    <row r="178" spans="2:15" x14ac:dyDescent="0.2">
      <c r="B178" s="614" t="s">
        <v>519</v>
      </c>
      <c r="C178" s="588">
        <v>19.2</v>
      </c>
      <c r="D178" s="616">
        <v>57.893718295569833</v>
      </c>
      <c r="E178" s="481"/>
      <c r="F178" s="617">
        <v>0</v>
      </c>
      <c r="G178" s="617">
        <v>0</v>
      </c>
      <c r="H178" s="617">
        <v>19.2</v>
      </c>
      <c r="I178" s="617">
        <v>0</v>
      </c>
      <c r="J178" s="617">
        <v>19.2</v>
      </c>
      <c r="K178" s="617">
        <v>0</v>
      </c>
      <c r="L178" s="617">
        <v>19.2</v>
      </c>
      <c r="M178" s="617">
        <v>0</v>
      </c>
      <c r="N178" s="617">
        <v>19.2</v>
      </c>
      <c r="O178" s="618">
        <v>0</v>
      </c>
    </row>
    <row r="179" spans="2:15" x14ac:dyDescent="0.2">
      <c r="B179" s="614" t="s">
        <v>520</v>
      </c>
      <c r="C179" s="588">
        <v>8</v>
      </c>
      <c r="D179" s="616">
        <v>57.893718295569833</v>
      </c>
      <c r="E179" s="481"/>
      <c r="F179" s="617">
        <v>0</v>
      </c>
      <c r="G179" s="617">
        <v>0</v>
      </c>
      <c r="H179" s="617">
        <v>8</v>
      </c>
      <c r="I179" s="617">
        <v>0</v>
      </c>
      <c r="J179" s="617">
        <v>8</v>
      </c>
      <c r="K179" s="617">
        <v>0</v>
      </c>
      <c r="L179" s="617">
        <v>8</v>
      </c>
      <c r="M179" s="617">
        <v>0</v>
      </c>
      <c r="N179" s="617">
        <v>8</v>
      </c>
      <c r="O179" s="618">
        <v>0</v>
      </c>
    </row>
    <row r="180" spans="2:15" ht="13.6" x14ac:dyDescent="0.25">
      <c r="B180" s="623" t="s">
        <v>521</v>
      </c>
      <c r="C180" s="588"/>
      <c r="D180" s="539"/>
      <c r="E180" s="481"/>
      <c r="F180" s="617"/>
      <c r="G180" s="617"/>
      <c r="H180" s="617"/>
      <c r="I180" s="617"/>
      <c r="J180" s="617"/>
      <c r="K180" s="617"/>
      <c r="L180" s="617"/>
      <c r="M180" s="617"/>
      <c r="N180" s="617"/>
      <c r="O180" s="618"/>
    </row>
    <row r="181" spans="2:15" x14ac:dyDescent="0.2">
      <c r="B181" s="614" t="s">
        <v>522</v>
      </c>
      <c r="C181" s="588">
        <v>3</v>
      </c>
      <c r="D181" s="616">
        <v>57.893718295569833</v>
      </c>
      <c r="E181" s="481"/>
      <c r="F181" s="617">
        <v>0</v>
      </c>
      <c r="G181" s="617">
        <v>0</v>
      </c>
      <c r="H181" s="617">
        <v>0</v>
      </c>
      <c r="I181" s="617">
        <v>3</v>
      </c>
      <c r="J181" s="617">
        <v>0</v>
      </c>
      <c r="K181" s="617">
        <v>0</v>
      </c>
      <c r="L181" s="617"/>
      <c r="M181" s="617">
        <v>3</v>
      </c>
      <c r="N181" s="617">
        <v>0</v>
      </c>
      <c r="O181" s="618"/>
    </row>
    <row r="182" spans="2:15" x14ac:dyDescent="0.2">
      <c r="B182" s="614" t="s">
        <v>523</v>
      </c>
      <c r="C182" s="588">
        <v>8.8000000000000007</v>
      </c>
      <c r="D182" s="616">
        <v>57.893718295569833</v>
      </c>
      <c r="E182" s="481"/>
      <c r="F182" s="617">
        <v>8.8000000000000007</v>
      </c>
      <c r="G182" s="617">
        <v>8.8000000000000007</v>
      </c>
      <c r="H182" s="617">
        <v>8.8000000000000007</v>
      </c>
      <c r="I182" s="617">
        <v>8.8000000000000007</v>
      </c>
      <c r="J182" s="617">
        <v>8.8000000000000007</v>
      </c>
      <c r="K182" s="617">
        <v>17.600000000000001</v>
      </c>
      <c r="L182" s="617">
        <v>8.8000000000000007</v>
      </c>
      <c r="M182" s="617">
        <v>8.8000000000000007</v>
      </c>
      <c r="N182" s="617">
        <v>8.8000000000000007</v>
      </c>
      <c r="O182" s="618">
        <v>8.8000000000000007</v>
      </c>
    </row>
    <row r="183" spans="2:15" x14ac:dyDescent="0.2">
      <c r="B183" s="614" t="s">
        <v>524</v>
      </c>
      <c r="C183" s="588">
        <v>8.8000000000000007</v>
      </c>
      <c r="D183" s="616">
        <v>57.893718295569833</v>
      </c>
      <c r="E183" s="481"/>
      <c r="F183" s="617">
        <v>8.8000000000000007</v>
      </c>
      <c r="G183" s="617">
        <v>8.8000000000000007</v>
      </c>
      <c r="H183" s="617">
        <v>8.8000000000000007</v>
      </c>
      <c r="I183" s="617">
        <v>8.8000000000000007</v>
      </c>
      <c r="J183" s="617">
        <v>8.8000000000000007</v>
      </c>
      <c r="K183" s="617">
        <v>17.600000000000001</v>
      </c>
      <c r="L183" s="617">
        <v>8.8000000000000007</v>
      </c>
      <c r="M183" s="617">
        <v>8.8000000000000007</v>
      </c>
      <c r="N183" s="617">
        <v>8.8000000000000007</v>
      </c>
      <c r="O183" s="618">
        <v>8.8000000000000007</v>
      </c>
    </row>
    <row r="184" spans="2:15" x14ac:dyDescent="0.2">
      <c r="B184" s="614" t="s">
        <v>525</v>
      </c>
      <c r="C184" s="588">
        <v>2.4</v>
      </c>
      <c r="D184" s="616">
        <v>57.893718295569833</v>
      </c>
      <c r="E184" s="481"/>
      <c r="F184" s="617">
        <v>2.4</v>
      </c>
      <c r="G184" s="617">
        <v>2.4</v>
      </c>
      <c r="H184" s="617">
        <v>2.4</v>
      </c>
      <c r="I184" s="617">
        <v>2.4</v>
      </c>
      <c r="J184" s="617">
        <v>2.4</v>
      </c>
      <c r="K184" s="617">
        <v>4.8</v>
      </c>
      <c r="L184" s="617">
        <v>2.4</v>
      </c>
      <c r="M184" s="617">
        <v>2.4</v>
      </c>
      <c r="N184" s="617">
        <v>2.4</v>
      </c>
      <c r="O184" s="618">
        <v>2.4</v>
      </c>
    </row>
    <row r="185" spans="2:15" x14ac:dyDescent="0.2">
      <c r="B185" s="614" t="s">
        <v>526</v>
      </c>
      <c r="C185" s="588">
        <v>3.2</v>
      </c>
      <c r="D185" s="616">
        <v>57.893718295569833</v>
      </c>
      <c r="E185" s="481"/>
      <c r="F185" s="617">
        <v>3.2</v>
      </c>
      <c r="G185" s="617">
        <v>3.2</v>
      </c>
      <c r="H185" s="617">
        <v>3.2</v>
      </c>
      <c r="I185" s="617">
        <v>3.2</v>
      </c>
      <c r="J185" s="617">
        <v>3.2</v>
      </c>
      <c r="K185" s="617">
        <v>6.4</v>
      </c>
      <c r="L185" s="617">
        <v>3.2</v>
      </c>
      <c r="M185" s="617">
        <v>3.2</v>
      </c>
      <c r="N185" s="617">
        <v>3.2</v>
      </c>
      <c r="O185" s="618">
        <v>3.2</v>
      </c>
    </row>
    <row r="186" spans="2:15" x14ac:dyDescent="0.2">
      <c r="B186" s="614" t="s">
        <v>527</v>
      </c>
      <c r="C186" s="588">
        <v>36</v>
      </c>
      <c r="D186" s="616">
        <v>57.893718295569833</v>
      </c>
      <c r="E186" s="481"/>
      <c r="F186" s="617">
        <v>0</v>
      </c>
      <c r="G186" s="617">
        <v>36</v>
      </c>
      <c r="H186" s="617">
        <v>0</v>
      </c>
      <c r="I186" s="617">
        <v>36</v>
      </c>
      <c r="J186" s="617">
        <v>0</v>
      </c>
      <c r="K186" s="617">
        <v>36</v>
      </c>
      <c r="L186" s="617">
        <v>36</v>
      </c>
      <c r="M186" s="617">
        <v>0</v>
      </c>
      <c r="N186" s="617">
        <v>36</v>
      </c>
      <c r="O186" s="618">
        <v>0</v>
      </c>
    </row>
    <row r="187" spans="2:15" x14ac:dyDescent="0.2">
      <c r="B187" s="614" t="s">
        <v>528</v>
      </c>
      <c r="C187" s="588">
        <v>14</v>
      </c>
      <c r="D187" s="616">
        <v>57.893718295569833</v>
      </c>
      <c r="E187" s="481"/>
      <c r="F187" s="617">
        <v>0</v>
      </c>
      <c r="G187" s="617">
        <v>0</v>
      </c>
      <c r="H187" s="617">
        <v>14</v>
      </c>
      <c r="I187" s="617">
        <v>0</v>
      </c>
      <c r="J187" s="617">
        <v>14</v>
      </c>
      <c r="K187" s="617">
        <v>0</v>
      </c>
      <c r="L187" s="617">
        <v>14</v>
      </c>
      <c r="M187" s="617">
        <v>0</v>
      </c>
      <c r="N187" s="617">
        <v>14</v>
      </c>
      <c r="O187" s="618">
        <v>0</v>
      </c>
    </row>
    <row r="188" spans="2:15" ht="13.6" x14ac:dyDescent="0.25">
      <c r="B188" s="623" t="s">
        <v>529</v>
      </c>
      <c r="C188" s="588"/>
      <c r="D188" s="539"/>
      <c r="E188" s="481"/>
      <c r="F188" s="617"/>
      <c r="G188" s="617"/>
      <c r="H188" s="617"/>
      <c r="I188" s="617"/>
      <c r="J188" s="617"/>
      <c r="K188" s="617"/>
      <c r="L188" s="617"/>
      <c r="M188" s="617"/>
      <c r="N188" s="617"/>
      <c r="O188" s="618"/>
    </row>
    <row r="189" spans="2:15" x14ac:dyDescent="0.2">
      <c r="B189" s="614" t="s">
        <v>530</v>
      </c>
      <c r="C189" s="588">
        <v>2.1</v>
      </c>
      <c r="D189" s="616">
        <v>57.893718295569833</v>
      </c>
      <c r="E189" s="481"/>
      <c r="F189" s="617">
        <v>0</v>
      </c>
      <c r="G189" s="617">
        <v>2.1</v>
      </c>
      <c r="H189" s="617">
        <v>0</v>
      </c>
      <c r="I189" s="617">
        <v>2.1</v>
      </c>
      <c r="J189" s="617">
        <v>0</v>
      </c>
      <c r="K189" s="617">
        <v>2.1</v>
      </c>
      <c r="L189" s="617">
        <v>2.1</v>
      </c>
      <c r="M189" s="617">
        <v>0</v>
      </c>
      <c r="N189" s="617">
        <v>2.1</v>
      </c>
      <c r="O189" s="618">
        <v>0</v>
      </c>
    </row>
    <row r="190" spans="2:15" x14ac:dyDescent="0.2">
      <c r="B190" s="614" t="s">
        <v>531</v>
      </c>
      <c r="C190" s="588">
        <v>1.5</v>
      </c>
      <c r="D190" s="616">
        <v>57.893718295569833</v>
      </c>
      <c r="E190" s="481"/>
      <c r="F190" s="617">
        <v>0</v>
      </c>
      <c r="G190" s="617">
        <v>1.5</v>
      </c>
      <c r="H190" s="617">
        <v>1.5</v>
      </c>
      <c r="I190" s="617">
        <v>1.5</v>
      </c>
      <c r="J190" s="617">
        <v>1.5</v>
      </c>
      <c r="K190" s="617">
        <v>1.5</v>
      </c>
      <c r="L190" s="617">
        <v>1.5</v>
      </c>
      <c r="M190" s="617">
        <v>1.5</v>
      </c>
      <c r="N190" s="617">
        <v>0</v>
      </c>
      <c r="O190" s="618">
        <v>1.5</v>
      </c>
    </row>
    <row r="191" spans="2:15" x14ac:dyDescent="0.2">
      <c r="B191" s="614" t="s">
        <v>532</v>
      </c>
      <c r="C191" s="588">
        <v>36</v>
      </c>
      <c r="D191" s="616">
        <v>57.893718295569833</v>
      </c>
      <c r="E191" s="481"/>
      <c r="F191" s="617">
        <v>0</v>
      </c>
      <c r="G191" s="617">
        <v>0</v>
      </c>
      <c r="H191" s="617">
        <v>36</v>
      </c>
      <c r="I191" s="617">
        <v>0</v>
      </c>
      <c r="J191" s="617">
        <v>36</v>
      </c>
      <c r="K191" s="617">
        <v>0</v>
      </c>
      <c r="L191" s="617">
        <v>36</v>
      </c>
      <c r="M191" s="617">
        <v>0</v>
      </c>
      <c r="N191" s="617">
        <v>36</v>
      </c>
      <c r="O191" s="618">
        <v>0</v>
      </c>
    </row>
    <row r="192" spans="2:15" ht="13.6" thickBot="1" x14ac:dyDescent="0.25">
      <c r="B192" s="624" t="s">
        <v>533</v>
      </c>
      <c r="C192" s="597">
        <v>30</v>
      </c>
      <c r="D192" s="625">
        <v>57.893718295569833</v>
      </c>
      <c r="E192" s="562"/>
      <c r="F192" s="626">
        <v>0</v>
      </c>
      <c r="G192" s="626">
        <v>0</v>
      </c>
      <c r="H192" s="626">
        <v>30</v>
      </c>
      <c r="I192" s="626">
        <v>0</v>
      </c>
      <c r="J192" s="626">
        <v>30</v>
      </c>
      <c r="K192" s="626">
        <v>0</v>
      </c>
      <c r="L192" s="626">
        <v>30</v>
      </c>
      <c r="M192" s="626">
        <v>0</v>
      </c>
      <c r="N192" s="626">
        <v>30</v>
      </c>
      <c r="O192" s="627">
        <v>0</v>
      </c>
    </row>
    <row r="193" spans="2:16" x14ac:dyDescent="0.2">
      <c r="B193" s="572"/>
      <c r="E193" s="573"/>
      <c r="F193" s="602"/>
      <c r="G193" s="602"/>
      <c r="H193" s="602"/>
      <c r="I193" s="602"/>
      <c r="J193" s="602"/>
      <c r="K193" s="602"/>
      <c r="L193" s="602"/>
      <c r="M193" s="602"/>
      <c r="N193" s="602"/>
      <c r="O193" s="602"/>
    </row>
    <row r="194" spans="2:16" ht="14.3" thickBot="1" x14ac:dyDescent="0.3">
      <c r="B194" s="575" t="s">
        <v>538</v>
      </c>
      <c r="F194" s="602"/>
      <c r="G194" s="550"/>
      <c r="H194" s="550"/>
      <c r="I194" s="550"/>
      <c r="J194" s="550"/>
      <c r="K194" s="550"/>
      <c r="L194" s="550"/>
      <c r="M194" s="550"/>
      <c r="N194" s="550"/>
      <c r="O194" s="550"/>
    </row>
    <row r="195" spans="2:16" ht="41.45" thickBot="1" x14ac:dyDescent="0.3">
      <c r="B195" s="628" t="s">
        <v>539</v>
      </c>
      <c r="C195" s="629" t="s">
        <v>540</v>
      </c>
      <c r="D195" s="499" t="s">
        <v>541</v>
      </c>
      <c r="E195" s="499" t="s">
        <v>542</v>
      </c>
      <c r="F195" s="522" t="s">
        <v>406</v>
      </c>
      <c r="G195" s="522" t="s">
        <v>406</v>
      </c>
      <c r="H195" s="522" t="s">
        <v>406</v>
      </c>
      <c r="I195" s="522" t="s">
        <v>406</v>
      </c>
      <c r="J195" s="522" t="s">
        <v>406</v>
      </c>
      <c r="K195" s="522" t="s">
        <v>406</v>
      </c>
      <c r="L195" s="522" t="s">
        <v>406</v>
      </c>
      <c r="M195" s="522" t="s">
        <v>406</v>
      </c>
      <c r="N195" s="522" t="s">
        <v>406</v>
      </c>
      <c r="O195" s="522" t="s">
        <v>406</v>
      </c>
    </row>
    <row r="196" spans="2:16" ht="27.85" thickBot="1" x14ac:dyDescent="0.3">
      <c r="B196" s="628" t="s">
        <v>543</v>
      </c>
      <c r="C196" s="629"/>
      <c r="D196" s="499"/>
      <c r="E196" s="499"/>
      <c r="F196" s="630">
        <f t="shared" ref="F196:O196" si="10">SUM(F197:F212)</f>
        <v>4506.8199999999988</v>
      </c>
      <c r="G196" s="630">
        <f t="shared" si="10"/>
        <v>55641.7</v>
      </c>
      <c r="H196" s="630">
        <f t="shared" si="10"/>
        <v>136249.29999999999</v>
      </c>
      <c r="I196" s="630">
        <f t="shared" si="10"/>
        <v>12468.179999999998</v>
      </c>
      <c r="J196" s="630">
        <f t="shared" si="10"/>
        <v>1042.3399999999999</v>
      </c>
      <c r="K196" s="630">
        <f t="shared" si="10"/>
        <v>62521.69</v>
      </c>
      <c r="L196" s="630">
        <f t="shared" si="10"/>
        <v>136393.25999999998</v>
      </c>
      <c r="M196" s="630">
        <f t="shared" si="10"/>
        <v>9096.92</v>
      </c>
      <c r="N196" s="630">
        <f t="shared" si="10"/>
        <v>4413.5999999999995</v>
      </c>
      <c r="O196" s="631">
        <f t="shared" si="10"/>
        <v>71836.786999999997</v>
      </c>
    </row>
    <row r="197" spans="2:16" x14ac:dyDescent="0.2">
      <c r="B197" s="632" t="s">
        <v>451</v>
      </c>
      <c r="C197" s="633">
        <v>98848.48</v>
      </c>
      <c r="D197" s="634">
        <v>15000</v>
      </c>
      <c r="E197" s="635">
        <v>1</v>
      </c>
      <c r="F197" s="636">
        <v>0</v>
      </c>
      <c r="G197" s="636">
        <v>0</v>
      </c>
      <c r="H197" s="636">
        <v>98848.48</v>
      </c>
      <c r="I197" s="636">
        <v>0</v>
      </c>
      <c r="J197" s="636"/>
      <c r="K197" s="636">
        <v>0</v>
      </c>
      <c r="L197" s="636">
        <v>98848.48</v>
      </c>
      <c r="M197" s="636">
        <v>0</v>
      </c>
      <c r="N197" s="636"/>
      <c r="O197" s="637">
        <v>0</v>
      </c>
    </row>
    <row r="198" spans="2:16" x14ac:dyDescent="0.2">
      <c r="B198" s="614" t="s">
        <v>452</v>
      </c>
      <c r="C198" s="638">
        <v>32894</v>
      </c>
      <c r="D198" s="589">
        <v>16000</v>
      </c>
      <c r="E198" s="559">
        <v>1</v>
      </c>
      <c r="F198" s="639">
        <v>0</v>
      </c>
      <c r="G198" s="639">
        <v>0</v>
      </c>
      <c r="H198" s="639">
        <v>32894</v>
      </c>
      <c r="I198" s="639">
        <v>0</v>
      </c>
      <c r="J198" s="639"/>
      <c r="K198" s="639">
        <v>0</v>
      </c>
      <c r="L198" s="639">
        <v>32894</v>
      </c>
      <c r="M198" s="639">
        <v>0</v>
      </c>
      <c r="N198" s="639">
        <v>0</v>
      </c>
      <c r="O198" s="640"/>
    </row>
    <row r="199" spans="2:16" x14ac:dyDescent="0.2">
      <c r="B199" s="614" t="s">
        <v>453</v>
      </c>
      <c r="C199" s="638">
        <v>46638</v>
      </c>
      <c r="D199" s="589">
        <v>13000</v>
      </c>
      <c r="E199" s="559">
        <v>1</v>
      </c>
      <c r="F199" s="639">
        <v>0</v>
      </c>
      <c r="G199" s="639">
        <v>46638</v>
      </c>
      <c r="H199" s="639">
        <v>0</v>
      </c>
      <c r="I199" s="639"/>
      <c r="J199" s="639">
        <v>0</v>
      </c>
      <c r="K199" s="639">
        <v>46638</v>
      </c>
      <c r="L199" s="639">
        <v>0</v>
      </c>
      <c r="M199" s="639"/>
      <c r="N199" s="639">
        <v>0</v>
      </c>
      <c r="O199" s="640">
        <v>46638</v>
      </c>
    </row>
    <row r="200" spans="2:16" x14ac:dyDescent="0.2">
      <c r="B200" s="614" t="s">
        <v>454</v>
      </c>
      <c r="C200" s="638">
        <v>2120.46</v>
      </c>
      <c r="D200" s="589">
        <v>7450</v>
      </c>
      <c r="E200" s="559">
        <v>2</v>
      </c>
      <c r="F200" s="639">
        <v>0</v>
      </c>
      <c r="G200" s="639">
        <f>E200*C200</f>
        <v>4240.92</v>
      </c>
      <c r="H200" s="639"/>
      <c r="I200" s="639">
        <v>4240.92</v>
      </c>
      <c r="J200" s="639"/>
      <c r="K200" s="639">
        <v>4240.92</v>
      </c>
      <c r="L200" s="639"/>
      <c r="M200" s="639">
        <v>4240.92</v>
      </c>
      <c r="N200" s="639"/>
      <c r="O200" s="639">
        <v>4240.92</v>
      </c>
      <c r="P200" s="604"/>
    </row>
    <row r="201" spans="2:16" x14ac:dyDescent="0.2">
      <c r="B201" s="614" t="s">
        <v>455</v>
      </c>
      <c r="C201" s="638">
        <v>2121.46</v>
      </c>
      <c r="D201" s="589">
        <v>7450</v>
      </c>
      <c r="E201" s="559">
        <v>2</v>
      </c>
      <c r="F201" s="639">
        <v>0</v>
      </c>
      <c r="G201" s="639">
        <f>E201*C201</f>
        <v>4242.92</v>
      </c>
      <c r="H201" s="639"/>
      <c r="I201" s="639">
        <v>4242.92</v>
      </c>
      <c r="J201" s="639"/>
      <c r="K201" s="639">
        <v>4242.92</v>
      </c>
      <c r="L201" s="639"/>
      <c r="M201" s="639">
        <v>4242.92</v>
      </c>
      <c r="N201" s="639"/>
      <c r="O201" s="639">
        <v>4242.92</v>
      </c>
      <c r="P201" s="604"/>
    </row>
    <row r="202" spans="2:16" x14ac:dyDescent="0.2">
      <c r="B202" s="614" t="s">
        <v>456</v>
      </c>
      <c r="C202" s="638">
        <v>1732.24</v>
      </c>
      <c r="D202" s="589">
        <v>6000</v>
      </c>
      <c r="E202" s="559">
        <v>2</v>
      </c>
      <c r="F202" s="639">
        <f>E202*C202</f>
        <v>3464.48</v>
      </c>
      <c r="G202" s="639"/>
      <c r="H202" s="639">
        <v>3464.48</v>
      </c>
      <c r="I202" s="639">
        <v>3464.48</v>
      </c>
      <c r="J202" s="639"/>
      <c r="K202" s="639">
        <v>3464.48</v>
      </c>
      <c r="L202" s="639">
        <v>3464.48</v>
      </c>
      <c r="M202" s="639"/>
      <c r="N202" s="639">
        <v>3464.48</v>
      </c>
      <c r="O202" s="640">
        <v>3464.48</v>
      </c>
      <c r="P202" s="604"/>
    </row>
    <row r="203" spans="2:16" x14ac:dyDescent="0.2">
      <c r="B203" s="614" t="s">
        <v>457</v>
      </c>
      <c r="C203" s="638">
        <v>237.17999999999998</v>
      </c>
      <c r="D203" s="589">
        <v>6000</v>
      </c>
      <c r="E203" s="559">
        <v>1</v>
      </c>
      <c r="F203" s="639">
        <v>237.17999999999998</v>
      </c>
      <c r="G203" s="639"/>
      <c r="H203" s="639">
        <v>237.17999999999998</v>
      </c>
      <c r="I203" s="639"/>
      <c r="J203" s="639">
        <v>237.17999999999998</v>
      </c>
      <c r="K203" s="639"/>
      <c r="L203" s="639">
        <v>237.17999999999998</v>
      </c>
      <c r="M203" s="639">
        <v>237.17999999999998</v>
      </c>
      <c r="N203" s="639"/>
      <c r="O203" s="639">
        <v>237.17999999999998</v>
      </c>
      <c r="P203" s="604"/>
    </row>
    <row r="204" spans="2:16" x14ac:dyDescent="0.2">
      <c r="B204" s="614" t="s">
        <v>458</v>
      </c>
      <c r="C204" s="638">
        <v>102.66</v>
      </c>
      <c r="D204" s="589">
        <v>4000</v>
      </c>
      <c r="E204" s="559">
        <v>1</v>
      </c>
      <c r="F204" s="639">
        <v>102.66</v>
      </c>
      <c r="G204" s="639"/>
      <c r="H204" s="639">
        <v>102.66</v>
      </c>
      <c r="I204" s="639"/>
      <c r="J204" s="639">
        <v>102.66</v>
      </c>
      <c r="K204" s="639"/>
      <c r="L204" s="639">
        <v>102.66</v>
      </c>
      <c r="M204" s="639"/>
      <c r="N204" s="639">
        <v>102.66</v>
      </c>
      <c r="O204" s="640"/>
      <c r="P204" s="604"/>
    </row>
    <row r="205" spans="2:16" x14ac:dyDescent="0.2">
      <c r="B205" s="614" t="s">
        <v>459</v>
      </c>
      <c r="C205" s="638">
        <v>110.66</v>
      </c>
      <c r="D205" s="589">
        <v>4000</v>
      </c>
      <c r="E205" s="559">
        <v>1</v>
      </c>
      <c r="F205" s="639">
        <v>110.66</v>
      </c>
      <c r="G205" s="639"/>
      <c r="H205" s="639">
        <v>110.66</v>
      </c>
      <c r="I205" s="639"/>
      <c r="J205" s="639">
        <v>110.66</v>
      </c>
      <c r="K205" s="639"/>
      <c r="L205" s="639">
        <v>110.66</v>
      </c>
      <c r="M205" s="639"/>
      <c r="N205" s="639">
        <v>110.66</v>
      </c>
      <c r="O205" s="640"/>
      <c r="P205" s="604"/>
    </row>
    <row r="206" spans="2:16" x14ac:dyDescent="0.2">
      <c r="B206" s="614" t="s">
        <v>460</v>
      </c>
      <c r="C206" s="638">
        <v>92.039999999999992</v>
      </c>
      <c r="D206" s="589">
        <v>5000</v>
      </c>
      <c r="E206" s="559">
        <v>1</v>
      </c>
      <c r="F206" s="639">
        <v>92.039999999999992</v>
      </c>
      <c r="G206" s="639"/>
      <c r="H206" s="639">
        <v>92.039999999999992</v>
      </c>
      <c r="I206" s="639"/>
      <c r="J206" s="639">
        <v>92.039999999999992</v>
      </c>
      <c r="K206" s="639"/>
      <c r="L206" s="639">
        <v>92.039999999999992</v>
      </c>
      <c r="M206" s="639"/>
      <c r="N206" s="639">
        <v>92.039999999999992</v>
      </c>
      <c r="O206" s="640"/>
      <c r="P206" s="604"/>
    </row>
    <row r="207" spans="2:16" x14ac:dyDescent="0.2">
      <c r="B207" s="614" t="s">
        <v>461</v>
      </c>
      <c r="C207" s="638">
        <v>123.89999999999999</v>
      </c>
      <c r="D207" s="589">
        <v>4000</v>
      </c>
      <c r="E207" s="559">
        <v>1</v>
      </c>
      <c r="F207" s="639">
        <v>123.89999999999999</v>
      </c>
      <c r="G207" s="639"/>
      <c r="H207" s="639">
        <v>123.89999999999999</v>
      </c>
      <c r="I207" s="639"/>
      <c r="J207" s="639">
        <v>123.89999999999999</v>
      </c>
      <c r="K207" s="639"/>
      <c r="L207" s="639">
        <v>123.89999999999999</v>
      </c>
      <c r="M207" s="639"/>
      <c r="N207" s="639">
        <v>123.89999999999999</v>
      </c>
      <c r="O207" s="640"/>
      <c r="P207" s="604"/>
    </row>
    <row r="208" spans="2:16" x14ac:dyDescent="0.2">
      <c r="B208" s="641" t="s">
        <v>462</v>
      </c>
      <c r="C208" s="638">
        <v>143.95999999999998</v>
      </c>
      <c r="D208" s="481">
        <v>12000</v>
      </c>
      <c r="E208" s="398">
        <v>1</v>
      </c>
      <c r="F208" s="639">
        <v>0</v>
      </c>
      <c r="G208" s="639">
        <v>143.95999999999998</v>
      </c>
      <c r="H208" s="639">
        <v>0</v>
      </c>
      <c r="I208" s="639">
        <v>143.95999999999998</v>
      </c>
      <c r="J208" s="639">
        <v>0</v>
      </c>
      <c r="K208" s="639">
        <v>143.95999999999998</v>
      </c>
      <c r="L208" s="639">
        <v>143.95999999999998</v>
      </c>
      <c r="M208" s="639">
        <v>0</v>
      </c>
      <c r="N208" s="639">
        <v>143.95999999999998</v>
      </c>
      <c r="O208" s="640">
        <v>0</v>
      </c>
      <c r="P208" s="604"/>
    </row>
    <row r="209" spans="2:16" x14ac:dyDescent="0.2">
      <c r="B209" s="641" t="s">
        <v>463</v>
      </c>
      <c r="C209" s="638">
        <v>159.96</v>
      </c>
      <c r="D209" s="481">
        <v>7000</v>
      </c>
      <c r="E209" s="398">
        <v>1</v>
      </c>
      <c r="F209" s="639">
        <v>159.96</v>
      </c>
      <c r="G209" s="639">
        <v>159.96</v>
      </c>
      <c r="H209" s="639">
        <v>159.96</v>
      </c>
      <c r="I209" s="639">
        <v>159.96</v>
      </c>
      <c r="J209" s="639">
        <v>159.96</v>
      </c>
      <c r="K209" s="639">
        <v>159.96</v>
      </c>
      <c r="L209" s="639">
        <v>159.96</v>
      </c>
      <c r="M209" s="639">
        <v>159.96</v>
      </c>
      <c r="N209" s="639">
        <v>159.96</v>
      </c>
      <c r="O209" s="640">
        <v>159.96</v>
      </c>
      <c r="P209" s="604"/>
    </row>
    <row r="210" spans="2:16" x14ac:dyDescent="0.2">
      <c r="B210" s="641" t="s">
        <v>464</v>
      </c>
      <c r="C210" s="638">
        <v>215.94</v>
      </c>
      <c r="D210" s="481">
        <v>7000</v>
      </c>
      <c r="E210" s="398">
        <v>1</v>
      </c>
      <c r="F210" s="639">
        <v>215.94</v>
      </c>
      <c r="G210" s="639">
        <v>215.94</v>
      </c>
      <c r="H210" s="639">
        <v>215.94</v>
      </c>
      <c r="I210" s="639">
        <v>215.94</v>
      </c>
      <c r="J210" s="639">
        <v>215.94</v>
      </c>
      <c r="K210" s="639">
        <v>215.94</v>
      </c>
      <c r="L210" s="639">
        <v>215.94</v>
      </c>
      <c r="M210" s="639">
        <v>215.94</v>
      </c>
      <c r="N210" s="639">
        <v>215.94</v>
      </c>
      <c r="O210" s="640">
        <v>215.94</v>
      </c>
      <c r="P210" s="604"/>
    </row>
    <row r="211" spans="2:16" x14ac:dyDescent="0.2">
      <c r="B211" s="641" t="s">
        <v>465</v>
      </c>
      <c r="C211" s="638">
        <v>3415.5099999999998</v>
      </c>
      <c r="D211" s="481">
        <v>36000</v>
      </c>
      <c r="E211" s="398">
        <v>1</v>
      </c>
      <c r="F211" s="639">
        <v>0</v>
      </c>
      <c r="G211" s="639">
        <v>0</v>
      </c>
      <c r="H211" s="639">
        <v>0</v>
      </c>
      <c r="I211" s="639">
        <v>0</v>
      </c>
      <c r="J211" s="639">
        <v>0</v>
      </c>
      <c r="K211" s="639">
        <v>3415.5099999999998</v>
      </c>
      <c r="L211" s="639">
        <v>0</v>
      </c>
      <c r="M211" s="639">
        <v>0</v>
      </c>
      <c r="N211" s="639">
        <v>0</v>
      </c>
      <c r="O211" s="640">
        <v>0</v>
      </c>
      <c r="P211" s="604"/>
    </row>
    <row r="212" spans="2:16" ht="13.6" thickBot="1" x14ac:dyDescent="0.25">
      <c r="B212" s="642" t="s">
        <v>466</v>
      </c>
      <c r="C212" s="643">
        <v>12637.386999999999</v>
      </c>
      <c r="D212" s="562">
        <v>65000</v>
      </c>
      <c r="E212" s="404">
        <v>1</v>
      </c>
      <c r="F212" s="644">
        <v>0</v>
      </c>
      <c r="G212" s="644">
        <v>0</v>
      </c>
      <c r="H212" s="644">
        <v>0</v>
      </c>
      <c r="I212" s="644">
        <v>0</v>
      </c>
      <c r="J212" s="644">
        <v>0</v>
      </c>
      <c r="K212" s="644">
        <v>0</v>
      </c>
      <c r="L212" s="644">
        <v>0</v>
      </c>
      <c r="M212" s="644">
        <v>0</v>
      </c>
      <c r="N212" s="644">
        <v>0</v>
      </c>
      <c r="O212" s="645">
        <v>12637.386999999999</v>
      </c>
      <c r="P212" s="604"/>
    </row>
    <row r="213" spans="2:16" x14ac:dyDescent="0.2">
      <c r="B213" s="646"/>
      <c r="C213" s="647"/>
      <c r="D213" s="573"/>
      <c r="E213" s="648"/>
      <c r="F213" s="602"/>
      <c r="G213" s="602"/>
      <c r="H213" s="602"/>
      <c r="I213" s="602"/>
      <c r="J213" s="602"/>
      <c r="K213" s="602"/>
      <c r="L213" s="602"/>
      <c r="M213" s="602"/>
      <c r="N213" s="602"/>
      <c r="O213" s="602"/>
    </row>
    <row r="214" spans="2:16" x14ac:dyDescent="0.2">
      <c r="B214" s="646"/>
      <c r="C214" s="647"/>
      <c r="D214" s="573"/>
      <c r="E214" s="648"/>
      <c r="F214" s="602"/>
      <c r="G214" s="602"/>
      <c r="H214" s="602"/>
      <c r="I214" s="602"/>
      <c r="J214" s="602"/>
      <c r="K214" s="602"/>
      <c r="L214" s="602"/>
      <c r="M214" s="602"/>
      <c r="N214" s="602"/>
      <c r="O214" s="602"/>
    </row>
    <row r="215" spans="2:16" ht="13.6" thickBot="1" x14ac:dyDescent="0.25">
      <c r="B215" s="646"/>
      <c r="C215" s="647"/>
      <c r="D215" s="573"/>
      <c r="E215" s="648"/>
      <c r="F215" s="602"/>
      <c r="G215" s="602"/>
      <c r="H215" s="602"/>
      <c r="I215" s="602"/>
      <c r="J215" s="602"/>
      <c r="K215" s="602"/>
      <c r="L215" s="602"/>
      <c r="M215" s="602"/>
      <c r="N215" s="602"/>
      <c r="O215" s="602"/>
    </row>
    <row r="216" spans="2:16" ht="41.45" thickBot="1" x14ac:dyDescent="0.3">
      <c r="B216" s="649" t="s">
        <v>356</v>
      </c>
      <c r="C216" s="650" t="s">
        <v>540</v>
      </c>
      <c r="D216" s="462" t="s">
        <v>541</v>
      </c>
      <c r="E216" s="462" t="s">
        <v>542</v>
      </c>
      <c r="F216" s="651">
        <f t="shared" ref="F216:O216" si="11">SUM(F217:F285)</f>
        <v>7382.3820840000008</v>
      </c>
      <c r="G216" s="651">
        <f t="shared" si="11"/>
        <v>204085.29592400003</v>
      </c>
      <c r="H216" s="651">
        <f t="shared" si="11"/>
        <v>415764.71400600002</v>
      </c>
      <c r="I216" s="651">
        <f t="shared" si="11"/>
        <v>435834.40490799997</v>
      </c>
      <c r="J216" s="651">
        <f t="shared" si="11"/>
        <v>605194.23216200015</v>
      </c>
      <c r="K216" s="651">
        <f t="shared" si="11"/>
        <v>348304.20286400005</v>
      </c>
      <c r="L216" s="651">
        <f t="shared" si="11"/>
        <v>352637.457536</v>
      </c>
      <c r="M216" s="651">
        <f t="shared" si="11"/>
        <v>454275.43103599997</v>
      </c>
      <c r="N216" s="651">
        <f t="shared" si="11"/>
        <v>754928.59901799995</v>
      </c>
      <c r="O216" s="651">
        <f t="shared" si="11"/>
        <v>53046.313476000003</v>
      </c>
    </row>
    <row r="217" spans="2:16" ht="13.6" x14ac:dyDescent="0.25">
      <c r="B217" s="621" t="s">
        <v>467</v>
      </c>
      <c r="C217" s="652"/>
      <c r="D217" s="653"/>
      <c r="E217" s="465"/>
      <c r="F217" s="653"/>
      <c r="G217" s="653"/>
      <c r="H217" s="653"/>
      <c r="I217" s="653"/>
      <c r="J217" s="653"/>
      <c r="K217" s="653"/>
      <c r="L217" s="653"/>
      <c r="M217" s="653"/>
      <c r="N217" s="653"/>
      <c r="O217" s="654"/>
    </row>
    <row r="218" spans="2:16" x14ac:dyDescent="0.2">
      <c r="B218" s="622" t="s">
        <v>468</v>
      </c>
      <c r="C218" s="638">
        <v>18562</v>
      </c>
      <c r="D218" s="655">
        <v>12000</v>
      </c>
      <c r="E218" s="559">
        <v>2</v>
      </c>
      <c r="F218" s="656">
        <v>0</v>
      </c>
      <c r="G218" s="656">
        <v>37124</v>
      </c>
      <c r="H218" s="656">
        <v>0</v>
      </c>
      <c r="I218" s="656">
        <v>37124</v>
      </c>
      <c r="J218" s="656">
        <v>0</v>
      </c>
      <c r="K218" s="656">
        <v>37124</v>
      </c>
      <c r="L218" s="656">
        <v>37124</v>
      </c>
      <c r="M218" s="656">
        <v>0</v>
      </c>
      <c r="N218" s="656">
        <v>37124</v>
      </c>
      <c r="O218" s="657">
        <v>0</v>
      </c>
      <c r="P218" s="604"/>
    </row>
    <row r="219" spans="2:16" x14ac:dyDescent="0.2">
      <c r="B219" s="622" t="s">
        <v>469</v>
      </c>
      <c r="C219" s="638">
        <v>613.08576000000005</v>
      </c>
      <c r="D219" s="655">
        <v>11000</v>
      </c>
      <c r="E219" s="658">
        <v>2</v>
      </c>
      <c r="F219" s="656">
        <v>0</v>
      </c>
      <c r="G219" s="656">
        <v>1226.1715200000001</v>
      </c>
      <c r="H219" s="656">
        <v>0</v>
      </c>
      <c r="I219" s="656">
        <v>1226.1715200000001</v>
      </c>
      <c r="J219" s="656">
        <v>1226.1715200000001</v>
      </c>
      <c r="K219" s="656">
        <v>0</v>
      </c>
      <c r="L219" s="656">
        <v>1226.1715200000001</v>
      </c>
      <c r="M219" s="656">
        <v>1226.1715200000001</v>
      </c>
      <c r="N219" s="656">
        <v>0</v>
      </c>
      <c r="O219" s="657">
        <v>1226.1715200000001</v>
      </c>
      <c r="P219" s="604"/>
    </row>
    <row r="220" spans="2:16" x14ac:dyDescent="0.2">
      <c r="B220" s="614" t="s">
        <v>470</v>
      </c>
      <c r="C220" s="659">
        <v>9048.42</v>
      </c>
      <c r="D220" s="589">
        <v>12000</v>
      </c>
      <c r="E220" s="559">
        <v>2</v>
      </c>
      <c r="F220" s="656">
        <v>0</v>
      </c>
      <c r="G220" s="656">
        <v>18096.84</v>
      </c>
      <c r="H220" s="656">
        <v>0</v>
      </c>
      <c r="I220" s="656">
        <v>18096.84</v>
      </c>
      <c r="J220" s="656">
        <v>0</v>
      </c>
      <c r="K220" s="656">
        <v>18096.84</v>
      </c>
      <c r="L220" s="656">
        <v>18096.84</v>
      </c>
      <c r="M220" s="656">
        <v>0</v>
      </c>
      <c r="N220" s="656">
        <v>18096.84</v>
      </c>
      <c r="O220" s="657">
        <v>0</v>
      </c>
      <c r="P220" s="604"/>
    </row>
    <row r="221" spans="2:16" x14ac:dyDescent="0.2">
      <c r="B221" s="614" t="s">
        <v>471</v>
      </c>
      <c r="C221" s="638">
        <v>6929.7447600000005</v>
      </c>
      <c r="D221" s="589">
        <v>8000</v>
      </c>
      <c r="E221" s="559">
        <v>1</v>
      </c>
      <c r="F221" s="656">
        <v>0</v>
      </c>
      <c r="G221" s="656">
        <v>6929.7447600000005</v>
      </c>
      <c r="H221" s="656">
        <v>6929.7447600000005</v>
      </c>
      <c r="I221" s="656">
        <v>6929.7447600000005</v>
      </c>
      <c r="J221" s="656">
        <v>6929.7447600000005</v>
      </c>
      <c r="K221" s="656">
        <v>6929.7447600000005</v>
      </c>
      <c r="L221" s="656">
        <v>6929.7447600000005</v>
      </c>
      <c r="M221" s="656">
        <v>6929.7447600000005</v>
      </c>
      <c r="N221" s="656">
        <v>0</v>
      </c>
      <c r="O221" s="657">
        <v>6929.7447600000005</v>
      </c>
      <c r="P221" s="604"/>
    </row>
    <row r="222" spans="2:16" ht="13.6" x14ac:dyDescent="0.25">
      <c r="B222" s="623" t="s">
        <v>472</v>
      </c>
      <c r="C222" s="638"/>
      <c r="D222" s="589"/>
      <c r="E222" s="559"/>
      <c r="F222" s="656"/>
      <c r="G222" s="656"/>
      <c r="H222" s="656"/>
      <c r="I222" s="656"/>
      <c r="J222" s="656"/>
      <c r="K222" s="656"/>
      <c r="L222" s="656"/>
      <c r="M222" s="656"/>
      <c r="N222" s="656"/>
      <c r="O222" s="657"/>
      <c r="P222" s="604"/>
    </row>
    <row r="223" spans="2:16" x14ac:dyDescent="0.2">
      <c r="B223" s="614" t="s">
        <v>473</v>
      </c>
      <c r="C223" s="638">
        <v>19766.433239999998</v>
      </c>
      <c r="D223" s="589">
        <v>25000</v>
      </c>
      <c r="E223" s="559">
        <v>1</v>
      </c>
      <c r="F223" s="656">
        <v>0</v>
      </c>
      <c r="G223" s="656">
        <v>0</v>
      </c>
      <c r="H223" s="656">
        <v>0</v>
      </c>
      <c r="I223" s="656">
        <v>19766.433239999998</v>
      </c>
      <c r="J223" s="656">
        <v>0</v>
      </c>
      <c r="K223" s="656">
        <v>0</v>
      </c>
      <c r="L223" s="656">
        <v>0</v>
      </c>
      <c r="M223" s="656">
        <v>19766.433239999998</v>
      </c>
      <c r="N223" s="656">
        <v>0</v>
      </c>
      <c r="O223" s="657">
        <v>0</v>
      </c>
      <c r="P223" s="604"/>
    </row>
    <row r="224" spans="2:16" x14ac:dyDescent="0.2">
      <c r="B224" s="614" t="s">
        <v>474</v>
      </c>
      <c r="C224" s="638">
        <v>556.43628000000012</v>
      </c>
      <c r="D224" s="589">
        <v>22000</v>
      </c>
      <c r="E224" s="559">
        <v>1</v>
      </c>
      <c r="F224" s="656">
        <v>0</v>
      </c>
      <c r="G224" s="656">
        <v>0</v>
      </c>
      <c r="H224" s="656">
        <v>0</v>
      </c>
      <c r="I224" s="656">
        <v>556.43628000000012</v>
      </c>
      <c r="J224" s="656">
        <v>0</v>
      </c>
      <c r="K224" s="656">
        <v>0</v>
      </c>
      <c r="L224" s="656">
        <v>556.43628000000012</v>
      </c>
      <c r="M224" s="656">
        <v>0</v>
      </c>
      <c r="N224" s="656">
        <v>0</v>
      </c>
      <c r="O224" s="657">
        <v>556.43628000000012</v>
      </c>
      <c r="P224" s="604"/>
    </row>
    <row r="225" spans="2:16" x14ac:dyDescent="0.2">
      <c r="B225" s="614" t="s">
        <v>475</v>
      </c>
      <c r="C225" s="638">
        <v>12656.364960000001</v>
      </c>
      <c r="D225" s="589">
        <v>15000</v>
      </c>
      <c r="E225" s="559">
        <v>1</v>
      </c>
      <c r="F225" s="656">
        <v>0</v>
      </c>
      <c r="G225" s="656">
        <v>0</v>
      </c>
      <c r="H225" s="656">
        <v>12656.364960000001</v>
      </c>
      <c r="I225" s="656">
        <v>0</v>
      </c>
      <c r="J225" s="656">
        <v>12656.364960000001</v>
      </c>
      <c r="K225" s="656">
        <v>0</v>
      </c>
      <c r="L225" s="656">
        <v>12656.364960000001</v>
      </c>
      <c r="M225" s="656">
        <v>0</v>
      </c>
      <c r="N225" s="656">
        <v>12656.364960000001</v>
      </c>
      <c r="O225" s="657">
        <v>0</v>
      </c>
      <c r="P225" s="604"/>
    </row>
    <row r="226" spans="2:16" x14ac:dyDescent="0.2">
      <c r="B226" s="614" t="s">
        <v>476</v>
      </c>
      <c r="C226" s="638">
        <v>3571.0754400000001</v>
      </c>
      <c r="D226" s="589">
        <v>12500</v>
      </c>
      <c r="E226" s="559">
        <v>4</v>
      </c>
      <c r="F226" s="656">
        <v>0</v>
      </c>
      <c r="G226" s="656">
        <v>14284.30176</v>
      </c>
      <c r="H226" s="656">
        <v>0</v>
      </c>
      <c r="I226" s="656">
        <v>14284.30176</v>
      </c>
      <c r="J226" s="656">
        <v>0</v>
      </c>
      <c r="K226" s="656">
        <v>14284.30176</v>
      </c>
      <c r="L226" s="656">
        <v>0</v>
      </c>
      <c r="M226" s="656">
        <v>14284.30176</v>
      </c>
      <c r="N226" s="656">
        <v>14284.30176</v>
      </c>
      <c r="O226" s="657">
        <v>0</v>
      </c>
      <c r="P226" s="604"/>
    </row>
    <row r="227" spans="2:16" x14ac:dyDescent="0.2">
      <c r="B227" s="614" t="s">
        <v>477</v>
      </c>
      <c r="C227" s="638">
        <v>1440.9582</v>
      </c>
      <c r="D227" s="589">
        <v>18000</v>
      </c>
      <c r="E227" s="559">
        <v>1</v>
      </c>
      <c r="F227" s="656">
        <v>0</v>
      </c>
      <c r="G227" s="656">
        <v>0</v>
      </c>
      <c r="H227" s="656">
        <v>1440.9582</v>
      </c>
      <c r="I227" s="656">
        <v>0</v>
      </c>
      <c r="J227" s="656">
        <v>0</v>
      </c>
      <c r="K227" s="656">
        <v>1440.9582</v>
      </c>
      <c r="L227" s="656">
        <v>0</v>
      </c>
      <c r="M227" s="656">
        <v>1440.9582</v>
      </c>
      <c r="N227" s="656">
        <v>0</v>
      </c>
      <c r="O227" s="657">
        <v>0</v>
      </c>
      <c r="P227" s="604"/>
    </row>
    <row r="228" spans="2:16" x14ac:dyDescent="0.2">
      <c r="B228" s="614" t="s">
        <v>478</v>
      </c>
      <c r="C228" s="659">
        <v>11889.72</v>
      </c>
      <c r="D228" s="589">
        <v>25000</v>
      </c>
      <c r="E228" s="559">
        <v>1</v>
      </c>
      <c r="F228" s="656">
        <v>0</v>
      </c>
      <c r="G228" s="656">
        <v>0</v>
      </c>
      <c r="H228" s="656">
        <v>0</v>
      </c>
      <c r="I228" s="656">
        <v>11889.72</v>
      </c>
      <c r="J228" s="656">
        <v>0</v>
      </c>
      <c r="K228" s="656">
        <v>0</v>
      </c>
      <c r="L228" s="656">
        <v>0</v>
      </c>
      <c r="M228" s="656">
        <v>11889.72</v>
      </c>
      <c r="N228" s="656">
        <v>0</v>
      </c>
      <c r="O228" s="657">
        <v>0</v>
      </c>
      <c r="P228" s="604"/>
    </row>
    <row r="229" spans="2:16" ht="13.6" x14ac:dyDescent="0.25">
      <c r="B229" s="623" t="s">
        <v>479</v>
      </c>
      <c r="C229" s="638"/>
      <c r="D229" s="589"/>
      <c r="E229" s="559"/>
      <c r="F229" s="656"/>
      <c r="G229" s="656"/>
      <c r="H229" s="656"/>
      <c r="I229" s="656"/>
      <c r="J229" s="656"/>
      <c r="K229" s="656"/>
      <c r="L229" s="656"/>
      <c r="M229" s="656"/>
      <c r="N229" s="656"/>
      <c r="O229" s="657"/>
      <c r="P229" s="604"/>
    </row>
    <row r="230" spans="2:16" x14ac:dyDescent="0.2">
      <c r="B230" s="614" t="s">
        <v>480</v>
      </c>
      <c r="C230" s="638">
        <v>8918.021826000002</v>
      </c>
      <c r="D230" s="589">
        <v>15100</v>
      </c>
      <c r="E230" s="559">
        <v>1</v>
      </c>
      <c r="F230" s="656">
        <v>0</v>
      </c>
      <c r="G230" s="656">
        <v>0</v>
      </c>
      <c r="H230" s="656">
        <v>8918.021826000002</v>
      </c>
      <c r="I230" s="656">
        <v>0</v>
      </c>
      <c r="J230" s="656">
        <v>8918.021826000002</v>
      </c>
      <c r="K230" s="656">
        <v>0</v>
      </c>
      <c r="L230" s="656">
        <v>8918.021826000002</v>
      </c>
      <c r="M230" s="656">
        <v>0</v>
      </c>
      <c r="N230" s="656">
        <v>8918.021826000002</v>
      </c>
      <c r="O230" s="657">
        <v>0</v>
      </c>
      <c r="P230" s="604"/>
    </row>
    <row r="231" spans="2:16" x14ac:dyDescent="0.2">
      <c r="B231" s="614" t="s">
        <v>480</v>
      </c>
      <c r="C231" s="638">
        <v>15102.840312000002</v>
      </c>
      <c r="D231" s="589">
        <v>15100</v>
      </c>
      <c r="E231" s="559">
        <v>1</v>
      </c>
      <c r="F231" s="656">
        <v>0</v>
      </c>
      <c r="G231" s="656">
        <v>0</v>
      </c>
      <c r="H231" s="656">
        <v>15102.840312000002</v>
      </c>
      <c r="I231" s="656">
        <v>0</v>
      </c>
      <c r="J231" s="656">
        <v>15102.840312000002</v>
      </c>
      <c r="K231" s="656">
        <v>0</v>
      </c>
      <c r="L231" s="656">
        <v>15102.840312000002</v>
      </c>
      <c r="M231" s="656">
        <v>0</v>
      </c>
      <c r="N231" s="656">
        <v>15102.840312000002</v>
      </c>
      <c r="O231" s="657">
        <v>0</v>
      </c>
      <c r="P231" s="604"/>
    </row>
    <row r="232" spans="2:16" x14ac:dyDescent="0.2">
      <c r="B232" s="614" t="s">
        <v>481</v>
      </c>
      <c r="C232" s="638">
        <v>10422.265643999999</v>
      </c>
      <c r="D232" s="589">
        <v>10100</v>
      </c>
      <c r="E232" s="559">
        <v>1</v>
      </c>
      <c r="F232" s="656">
        <v>0</v>
      </c>
      <c r="G232" s="656">
        <v>10422.265643999999</v>
      </c>
      <c r="H232" s="656">
        <v>10422.265643999999</v>
      </c>
      <c r="I232" s="656">
        <v>0</v>
      </c>
      <c r="J232" s="656">
        <v>10422.265643999999</v>
      </c>
      <c r="K232" s="656">
        <v>10422.265643999999</v>
      </c>
      <c r="L232" s="656">
        <v>0</v>
      </c>
      <c r="M232" s="656">
        <v>10422.265643999999</v>
      </c>
      <c r="N232" s="656">
        <v>10422.265643999999</v>
      </c>
      <c r="O232" s="657">
        <v>0</v>
      </c>
      <c r="P232" s="604"/>
    </row>
    <row r="233" spans="2:16" x14ac:dyDescent="0.2">
      <c r="B233" s="614" t="s">
        <v>482</v>
      </c>
      <c r="C233" s="638">
        <v>16109.693586000003</v>
      </c>
      <c r="D233" s="589">
        <v>15000</v>
      </c>
      <c r="E233" s="559">
        <v>2</v>
      </c>
      <c r="F233" s="656">
        <v>0</v>
      </c>
      <c r="G233" s="656">
        <v>0</v>
      </c>
      <c r="H233" s="656">
        <v>32219.387172000006</v>
      </c>
      <c r="I233" s="656">
        <v>0</v>
      </c>
      <c r="J233" s="656">
        <v>32219.387172000006</v>
      </c>
      <c r="K233" s="656">
        <v>0</v>
      </c>
      <c r="L233" s="656">
        <v>32219.387172000006</v>
      </c>
      <c r="M233" s="656">
        <v>0</v>
      </c>
      <c r="N233" s="656">
        <v>32219.387172000006</v>
      </c>
      <c r="O233" s="657">
        <v>0</v>
      </c>
      <c r="P233" s="604"/>
    </row>
    <row r="234" spans="2:16" x14ac:dyDescent="0.2">
      <c r="B234" s="614" t="s">
        <v>483</v>
      </c>
      <c r="C234" s="638">
        <v>1720.0461600000003</v>
      </c>
      <c r="D234" s="589">
        <v>15000</v>
      </c>
      <c r="E234" s="559">
        <v>1</v>
      </c>
      <c r="F234" s="656">
        <v>0</v>
      </c>
      <c r="G234" s="656">
        <v>0</v>
      </c>
      <c r="H234" s="656">
        <v>1720.0461600000003</v>
      </c>
      <c r="I234" s="656">
        <v>0</v>
      </c>
      <c r="J234" s="656">
        <v>1720.0461600000003</v>
      </c>
      <c r="K234" s="656">
        <v>0</v>
      </c>
      <c r="L234" s="656">
        <v>1720.0461600000003</v>
      </c>
      <c r="M234" s="656">
        <v>0</v>
      </c>
      <c r="N234" s="656">
        <v>1720.0461600000003</v>
      </c>
      <c r="O234" s="657">
        <v>0</v>
      </c>
      <c r="P234" s="604"/>
    </row>
    <row r="235" spans="2:16" x14ac:dyDescent="0.2">
      <c r="B235" s="614" t="s">
        <v>484</v>
      </c>
      <c r="C235" s="660">
        <v>2773.0080000000003</v>
      </c>
      <c r="D235" s="589">
        <v>8000</v>
      </c>
      <c r="E235" s="559">
        <v>1</v>
      </c>
      <c r="F235" s="656">
        <v>0</v>
      </c>
      <c r="G235" s="656">
        <v>2773.0080000000003</v>
      </c>
      <c r="H235" s="656">
        <v>2773.0080000000003</v>
      </c>
      <c r="I235" s="656">
        <v>2773.0080000000003</v>
      </c>
      <c r="J235" s="656">
        <v>2773.0080000000003</v>
      </c>
      <c r="K235" s="656">
        <v>2773.0080000000003</v>
      </c>
      <c r="L235" s="656">
        <v>2773.0080000000003</v>
      </c>
      <c r="M235" s="656">
        <v>2773.0080000000003</v>
      </c>
      <c r="N235" s="656">
        <v>0</v>
      </c>
      <c r="O235" s="657">
        <v>2773.0080000000003</v>
      </c>
      <c r="P235" s="604"/>
    </row>
    <row r="236" spans="2:16" ht="13.6" x14ac:dyDescent="0.25">
      <c r="B236" s="623" t="s">
        <v>485</v>
      </c>
      <c r="C236" s="638"/>
      <c r="D236" s="589"/>
      <c r="E236" s="559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04"/>
    </row>
    <row r="237" spans="2:16" x14ac:dyDescent="0.2">
      <c r="B237" s="614" t="s">
        <v>486</v>
      </c>
      <c r="C237" s="638">
        <v>20675.094930000003</v>
      </c>
      <c r="D237" s="589">
        <v>14900</v>
      </c>
      <c r="E237" s="559">
        <v>2</v>
      </c>
      <c r="F237" s="656">
        <v>0</v>
      </c>
      <c r="G237" s="656">
        <v>0</v>
      </c>
      <c r="H237" s="656">
        <v>41350.189860000006</v>
      </c>
      <c r="I237" s="656">
        <v>0</v>
      </c>
      <c r="J237" s="656">
        <v>41350.189860000006</v>
      </c>
      <c r="K237" s="656">
        <v>0</v>
      </c>
      <c r="L237" s="656">
        <v>41350.189860000006</v>
      </c>
      <c r="M237" s="656">
        <v>0</v>
      </c>
      <c r="N237" s="656">
        <v>41350.189860000006</v>
      </c>
      <c r="O237" s="657">
        <v>0</v>
      </c>
      <c r="P237" s="604"/>
    </row>
    <row r="238" spans="2:16" x14ac:dyDescent="0.2">
      <c r="B238" s="614" t="s">
        <v>487</v>
      </c>
      <c r="C238" s="638">
        <v>9744.5751479999999</v>
      </c>
      <c r="D238" s="589">
        <v>14900</v>
      </c>
      <c r="E238" s="559">
        <v>3</v>
      </c>
      <c r="F238" s="656">
        <v>0</v>
      </c>
      <c r="G238" s="656">
        <v>0</v>
      </c>
      <c r="H238" s="656">
        <v>29233.725444</v>
      </c>
      <c r="I238" s="656">
        <v>0</v>
      </c>
      <c r="J238" s="656">
        <v>29233.725444</v>
      </c>
      <c r="K238" s="656">
        <v>0</v>
      </c>
      <c r="L238" s="656">
        <v>29233.725444</v>
      </c>
      <c r="M238" s="656">
        <v>0</v>
      </c>
      <c r="N238" s="656">
        <v>29233.725444</v>
      </c>
      <c r="O238" s="657">
        <v>0</v>
      </c>
      <c r="P238" s="604"/>
    </row>
    <row r="239" spans="2:16" x14ac:dyDescent="0.2">
      <c r="B239" s="614" t="s">
        <v>488</v>
      </c>
      <c r="C239" s="638">
        <v>8938.9524419999998</v>
      </c>
      <c r="D239" s="589">
        <v>10400</v>
      </c>
      <c r="E239" s="559">
        <v>2</v>
      </c>
      <c r="F239" s="656">
        <v>0</v>
      </c>
      <c r="G239" s="656">
        <v>17877.904884</v>
      </c>
      <c r="H239" s="656"/>
      <c r="I239" s="656">
        <v>0</v>
      </c>
      <c r="J239" s="656">
        <v>17877.904884</v>
      </c>
      <c r="K239" s="656"/>
      <c r="L239" s="656">
        <v>0</v>
      </c>
      <c r="M239" s="656">
        <v>17877.904884</v>
      </c>
      <c r="N239" s="656"/>
      <c r="O239" s="657">
        <v>0</v>
      </c>
      <c r="P239" s="604"/>
    </row>
    <row r="240" spans="2:16" x14ac:dyDescent="0.2">
      <c r="B240" s="614" t="s">
        <v>489</v>
      </c>
      <c r="C240" s="638">
        <v>2203.2220140000004</v>
      </c>
      <c r="D240" s="589">
        <v>12000</v>
      </c>
      <c r="E240" s="559">
        <v>2</v>
      </c>
      <c r="F240" s="656">
        <v>0</v>
      </c>
      <c r="G240" s="656">
        <v>4406.4440280000008</v>
      </c>
      <c r="H240" s="656">
        <v>0</v>
      </c>
      <c r="I240" s="656">
        <v>4406.4440280000008</v>
      </c>
      <c r="J240" s="656">
        <v>0</v>
      </c>
      <c r="K240" s="656">
        <v>4406.4440280000008</v>
      </c>
      <c r="L240" s="656"/>
      <c r="M240" s="656">
        <v>0</v>
      </c>
      <c r="N240" s="656">
        <v>4406.4440280000008</v>
      </c>
      <c r="O240" s="657">
        <v>0</v>
      </c>
      <c r="P240" s="604"/>
    </row>
    <row r="241" spans="2:16" x14ac:dyDescent="0.2">
      <c r="B241" s="614" t="s">
        <v>490</v>
      </c>
      <c r="C241" s="638">
        <v>179.66818800000001</v>
      </c>
      <c r="D241" s="589">
        <v>8000</v>
      </c>
      <c r="E241" s="559">
        <v>2</v>
      </c>
      <c r="F241" s="656">
        <v>0</v>
      </c>
      <c r="G241" s="656">
        <v>179.66818800000001</v>
      </c>
      <c r="H241" s="656"/>
      <c r="I241" s="656">
        <v>179.66818800000001</v>
      </c>
      <c r="J241" s="656"/>
      <c r="K241" s="656">
        <v>179.66818800000001</v>
      </c>
      <c r="L241" s="656"/>
      <c r="M241" s="656">
        <v>179.66818800000001</v>
      </c>
      <c r="N241" s="656">
        <v>0</v>
      </c>
      <c r="O241" s="657"/>
      <c r="P241" s="604"/>
    </row>
    <row r="242" spans="2:16" x14ac:dyDescent="0.2">
      <c r="B242" s="614" t="s">
        <v>491</v>
      </c>
      <c r="C242" s="638">
        <v>1855.6282080000001</v>
      </c>
      <c r="D242" s="589">
        <v>8000</v>
      </c>
      <c r="E242" s="559">
        <v>1</v>
      </c>
      <c r="F242" s="656">
        <v>0</v>
      </c>
      <c r="G242" s="656">
        <v>1855.6282080000001</v>
      </c>
      <c r="H242" s="656"/>
      <c r="I242" s="656">
        <v>1855.6282080000001</v>
      </c>
      <c r="J242" s="656"/>
      <c r="K242" s="656">
        <v>1855.6282080000001</v>
      </c>
      <c r="L242" s="656"/>
      <c r="M242" s="656">
        <v>1855.6282080000001</v>
      </c>
      <c r="N242" s="656">
        <v>0</v>
      </c>
      <c r="O242" s="657"/>
      <c r="P242" s="604"/>
    </row>
    <row r="243" spans="2:16" x14ac:dyDescent="0.2">
      <c r="B243" s="614" t="s">
        <v>492</v>
      </c>
      <c r="C243" s="638">
        <v>1750.0686840000001</v>
      </c>
      <c r="D243" s="589">
        <v>10400</v>
      </c>
      <c r="E243" s="559">
        <v>1</v>
      </c>
      <c r="F243" s="656">
        <v>0</v>
      </c>
      <c r="G243" s="656">
        <v>1750.0686840000001</v>
      </c>
      <c r="H243" s="656"/>
      <c r="I243" s="656">
        <v>1150.6737600000001</v>
      </c>
      <c r="J243" s="656"/>
      <c r="K243" s="656">
        <v>1750.0686840000001</v>
      </c>
      <c r="L243" s="656">
        <v>0</v>
      </c>
      <c r="M243" s="656">
        <v>1750.0686840000001</v>
      </c>
      <c r="N243" s="656"/>
      <c r="O243" s="657">
        <v>1750.0686840000001</v>
      </c>
      <c r="P243" s="604"/>
    </row>
    <row r="244" spans="2:16" x14ac:dyDescent="0.2">
      <c r="B244" s="614" t="s">
        <v>493</v>
      </c>
      <c r="C244" s="638">
        <v>1208.2074480000001</v>
      </c>
      <c r="D244" s="589">
        <v>8000</v>
      </c>
      <c r="E244" s="559">
        <v>1</v>
      </c>
      <c r="F244" s="656">
        <v>0</v>
      </c>
      <c r="G244" s="656">
        <v>1208.2074480000001</v>
      </c>
      <c r="H244" s="656"/>
      <c r="I244" s="656">
        <v>1208.2074480000001</v>
      </c>
      <c r="J244" s="656"/>
      <c r="K244" s="656">
        <v>1208.2074480000001</v>
      </c>
      <c r="L244" s="656"/>
      <c r="M244" s="656">
        <v>1208.2074480000001</v>
      </c>
      <c r="N244" s="656">
        <v>0</v>
      </c>
      <c r="O244" s="657">
        <v>1208.2074480000001</v>
      </c>
      <c r="P244" s="604"/>
    </row>
    <row r="245" spans="2:16" ht="13.6" x14ac:dyDescent="0.25">
      <c r="B245" s="623" t="s">
        <v>494</v>
      </c>
      <c r="C245" s="638"/>
      <c r="D245" s="589"/>
      <c r="E245" s="559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04"/>
    </row>
    <row r="246" spans="2:16" x14ac:dyDescent="0.2">
      <c r="B246" s="614" t="s">
        <v>495</v>
      </c>
      <c r="C246" s="638">
        <v>10570.400568000003</v>
      </c>
      <c r="D246" s="589">
        <v>18000</v>
      </c>
      <c r="E246" s="559">
        <v>1</v>
      </c>
      <c r="F246" s="656">
        <v>0</v>
      </c>
      <c r="G246" s="656">
        <v>0</v>
      </c>
      <c r="H246" s="656">
        <v>10570.400568000003</v>
      </c>
      <c r="I246" s="656">
        <v>0</v>
      </c>
      <c r="J246" s="656">
        <v>0</v>
      </c>
      <c r="K246" s="656">
        <v>10570.400568000003</v>
      </c>
      <c r="L246" s="656">
        <v>0</v>
      </c>
      <c r="M246" s="656">
        <v>10570.400568000003</v>
      </c>
      <c r="N246" s="656">
        <v>0</v>
      </c>
      <c r="O246" s="657">
        <v>0</v>
      </c>
      <c r="P246" s="604"/>
    </row>
    <row r="247" spans="2:16" ht="13.6" x14ac:dyDescent="0.25">
      <c r="B247" s="623" t="s">
        <v>496</v>
      </c>
      <c r="C247" s="638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04"/>
    </row>
    <row r="248" spans="2:16" x14ac:dyDescent="0.2">
      <c r="B248" s="614" t="s">
        <v>497</v>
      </c>
      <c r="C248" s="638">
        <v>149339.64301199999</v>
      </c>
      <c r="D248" s="639">
        <v>30000</v>
      </c>
      <c r="E248" s="559">
        <v>1</v>
      </c>
      <c r="F248" s="656">
        <v>0</v>
      </c>
      <c r="G248" s="656">
        <v>0</v>
      </c>
      <c r="H248" s="656">
        <v>0</v>
      </c>
      <c r="I248" s="656">
        <v>0</v>
      </c>
      <c r="J248" s="656">
        <v>149339.64301199999</v>
      </c>
      <c r="K248" s="656">
        <v>0</v>
      </c>
      <c r="L248" s="656">
        <v>0</v>
      </c>
      <c r="M248" s="656">
        <v>0</v>
      </c>
      <c r="N248" s="656">
        <v>149339.64301199999</v>
      </c>
      <c r="O248" s="657">
        <v>0</v>
      </c>
      <c r="P248" s="604"/>
    </row>
    <row r="249" spans="2:16" x14ac:dyDescent="0.2">
      <c r="B249" s="614" t="s">
        <v>498</v>
      </c>
      <c r="C249" s="638">
        <v>10830.343986</v>
      </c>
      <c r="D249" s="639">
        <v>20000</v>
      </c>
      <c r="E249" s="559">
        <v>1</v>
      </c>
      <c r="F249" s="656">
        <v>0</v>
      </c>
      <c r="G249" s="656">
        <v>0</v>
      </c>
      <c r="H249" s="656">
        <v>10830.343986</v>
      </c>
      <c r="I249" s="656">
        <v>0</v>
      </c>
      <c r="J249" s="656">
        <v>0</v>
      </c>
      <c r="K249" s="656">
        <v>10830.343986</v>
      </c>
      <c r="L249" s="656">
        <v>0</v>
      </c>
      <c r="M249" s="656">
        <v>0</v>
      </c>
      <c r="N249" s="656">
        <v>10830.343986</v>
      </c>
      <c r="O249" s="657">
        <v>0</v>
      </c>
      <c r="P249" s="604"/>
    </row>
    <row r="250" spans="2:16" x14ac:dyDescent="0.2">
      <c r="B250" s="614" t="s">
        <v>499</v>
      </c>
      <c r="C250" s="638">
        <v>1593.9543060000003</v>
      </c>
      <c r="D250" s="639">
        <v>10000</v>
      </c>
      <c r="E250" s="559">
        <v>1</v>
      </c>
      <c r="F250" s="656">
        <v>0</v>
      </c>
      <c r="G250" s="656">
        <v>1593.9543060000003</v>
      </c>
      <c r="H250" s="656">
        <v>1593.9543060000003</v>
      </c>
      <c r="I250" s="656">
        <v>0</v>
      </c>
      <c r="J250" s="656">
        <v>1593.9543060000003</v>
      </c>
      <c r="K250" s="656">
        <v>1593.9543060000003</v>
      </c>
      <c r="L250" s="656">
        <v>0</v>
      </c>
      <c r="M250" s="656">
        <v>1593.9543060000003</v>
      </c>
      <c r="N250" s="656">
        <v>1593.9543060000003</v>
      </c>
      <c r="O250" s="657">
        <v>1593.9543060000003</v>
      </c>
      <c r="P250" s="604"/>
    </row>
    <row r="251" spans="2:16" x14ac:dyDescent="0.2">
      <c r="B251" s="614" t="s">
        <v>500</v>
      </c>
      <c r="C251" s="638">
        <v>4616.4918239999997</v>
      </c>
      <c r="D251" s="639">
        <v>20000</v>
      </c>
      <c r="E251" s="559">
        <v>1</v>
      </c>
      <c r="F251" s="656">
        <v>0</v>
      </c>
      <c r="G251" s="656">
        <v>0</v>
      </c>
      <c r="H251" s="656">
        <v>4616.4918239999997</v>
      </c>
      <c r="I251" s="656">
        <v>0</v>
      </c>
      <c r="J251" s="656">
        <v>0</v>
      </c>
      <c r="K251" s="656">
        <v>4616.4918239999997</v>
      </c>
      <c r="L251" s="656">
        <v>0</v>
      </c>
      <c r="M251" s="656">
        <v>0</v>
      </c>
      <c r="N251" s="656">
        <v>4616.4918239999997</v>
      </c>
      <c r="O251" s="657">
        <v>0</v>
      </c>
      <c r="P251" s="604"/>
    </row>
    <row r="252" spans="2:16" x14ac:dyDescent="0.2">
      <c r="B252" s="614" t="s">
        <v>544</v>
      </c>
      <c r="C252" s="638">
        <v>238.87546200000003</v>
      </c>
      <c r="D252" s="639">
        <v>22000</v>
      </c>
      <c r="E252" s="559"/>
      <c r="F252" s="656">
        <v>0</v>
      </c>
      <c r="G252" s="656">
        <v>0</v>
      </c>
      <c r="H252" s="656">
        <v>0</v>
      </c>
      <c r="I252" s="656">
        <v>238.87546200000003</v>
      </c>
      <c r="J252" s="656">
        <v>0</v>
      </c>
      <c r="K252" s="656">
        <v>0</v>
      </c>
      <c r="L252" s="656">
        <v>238.87546200000003</v>
      </c>
      <c r="M252" s="656">
        <v>0</v>
      </c>
      <c r="N252" s="656">
        <v>0</v>
      </c>
      <c r="O252" s="657">
        <v>238.87546200000003</v>
      </c>
      <c r="P252" s="604"/>
    </row>
    <row r="253" spans="2:16" x14ac:dyDescent="0.2">
      <c r="B253" s="614" t="s">
        <v>502</v>
      </c>
      <c r="C253" s="638">
        <v>620.81800199999998</v>
      </c>
      <c r="D253" s="639">
        <v>20000</v>
      </c>
      <c r="E253" s="559">
        <v>1</v>
      </c>
      <c r="F253" s="656">
        <v>0</v>
      </c>
      <c r="G253" s="656">
        <v>0</v>
      </c>
      <c r="H253" s="656">
        <v>620.81800199999998</v>
      </c>
      <c r="I253" s="656">
        <v>0</v>
      </c>
      <c r="J253" s="656">
        <v>0</v>
      </c>
      <c r="K253" s="656">
        <v>620.81800199999998</v>
      </c>
      <c r="L253" s="656">
        <v>0</v>
      </c>
      <c r="M253" s="656">
        <v>0</v>
      </c>
      <c r="N253" s="656">
        <v>620.81800199999998</v>
      </c>
      <c r="O253" s="657">
        <v>0</v>
      </c>
      <c r="P253" s="604"/>
    </row>
    <row r="254" spans="2:16" x14ac:dyDescent="0.2">
      <c r="B254" s="614" t="s">
        <v>503</v>
      </c>
      <c r="C254" s="638">
        <v>16243.366608000002</v>
      </c>
      <c r="D254" s="639">
        <v>13000</v>
      </c>
      <c r="E254" s="559">
        <v>1</v>
      </c>
      <c r="F254" s="656">
        <v>0</v>
      </c>
      <c r="G254" s="656">
        <v>16243.366608000002</v>
      </c>
      <c r="H254" s="656">
        <v>0</v>
      </c>
      <c r="I254" s="656">
        <v>16243.366608000002</v>
      </c>
      <c r="J254" s="656">
        <v>0</v>
      </c>
      <c r="K254" s="656">
        <v>16243.366608000002</v>
      </c>
      <c r="L254" s="656">
        <v>0</v>
      </c>
      <c r="M254" s="656">
        <v>16243.366608000002</v>
      </c>
      <c r="N254" s="656">
        <v>0</v>
      </c>
      <c r="O254" s="657">
        <v>16243.366608000002</v>
      </c>
      <c r="P254" s="604"/>
    </row>
    <row r="255" spans="2:16" ht="13.6" x14ac:dyDescent="0.25">
      <c r="B255" s="623" t="s">
        <v>504</v>
      </c>
      <c r="C255" s="638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04"/>
    </row>
    <row r="256" spans="2:16" x14ac:dyDescent="0.2">
      <c r="B256" s="614" t="s">
        <v>505</v>
      </c>
      <c r="C256" s="638">
        <v>176926.4</v>
      </c>
      <c r="D256" s="639">
        <v>30000</v>
      </c>
      <c r="E256" s="559">
        <v>1</v>
      </c>
      <c r="F256" s="656">
        <v>0</v>
      </c>
      <c r="G256" s="656">
        <v>0</v>
      </c>
      <c r="H256" s="656">
        <v>0</v>
      </c>
      <c r="I256" s="656">
        <v>0</v>
      </c>
      <c r="J256" s="656">
        <v>176926.4</v>
      </c>
      <c r="K256" s="656">
        <v>0</v>
      </c>
      <c r="L256" s="656">
        <v>0</v>
      </c>
      <c r="M256" s="656">
        <v>0</v>
      </c>
      <c r="N256" s="656">
        <v>176926.4</v>
      </c>
      <c r="O256" s="657">
        <v>0</v>
      </c>
      <c r="P256" s="604"/>
    </row>
    <row r="257" spans="2:16" x14ac:dyDescent="0.2">
      <c r="B257" s="614" t="s">
        <v>506</v>
      </c>
      <c r="C257" s="638">
        <v>2480.1</v>
      </c>
      <c r="D257" s="639">
        <v>11000</v>
      </c>
      <c r="E257" s="559">
        <v>1</v>
      </c>
      <c r="F257" s="656">
        <v>0</v>
      </c>
      <c r="G257" s="656">
        <v>2480.1</v>
      </c>
      <c r="H257" s="656">
        <v>0</v>
      </c>
      <c r="I257" s="656">
        <v>2480.1</v>
      </c>
      <c r="J257" s="656">
        <v>2480.1</v>
      </c>
      <c r="K257" s="656">
        <v>0</v>
      </c>
      <c r="L257" s="656">
        <v>2480.1</v>
      </c>
      <c r="M257" s="656">
        <v>2480.1</v>
      </c>
      <c r="N257" s="656">
        <v>0</v>
      </c>
      <c r="O257" s="657">
        <v>2480.1</v>
      </c>
      <c r="P257" s="604"/>
    </row>
    <row r="258" spans="2:16" x14ac:dyDescent="0.2">
      <c r="B258" s="614" t="s">
        <v>507</v>
      </c>
      <c r="C258" s="638">
        <v>2068.08</v>
      </c>
      <c r="D258" s="639">
        <v>11000</v>
      </c>
      <c r="E258" s="559">
        <v>1</v>
      </c>
      <c r="F258" s="656">
        <v>0</v>
      </c>
      <c r="G258" s="656">
        <v>2068.08</v>
      </c>
      <c r="H258" s="656">
        <v>0</v>
      </c>
      <c r="I258" s="656">
        <v>2068.08</v>
      </c>
      <c r="J258" s="656">
        <v>2068.08</v>
      </c>
      <c r="K258" s="656">
        <v>0</v>
      </c>
      <c r="L258" s="656">
        <v>2068.08</v>
      </c>
      <c r="M258" s="656">
        <v>2068.08</v>
      </c>
      <c r="N258" s="656">
        <v>0</v>
      </c>
      <c r="O258" s="657">
        <v>2068.08</v>
      </c>
      <c r="P258" s="604"/>
    </row>
    <row r="259" spans="2:16" x14ac:dyDescent="0.2">
      <c r="B259" s="614" t="s">
        <v>508</v>
      </c>
      <c r="C259" s="638">
        <v>14077.023114</v>
      </c>
      <c r="D259" s="639">
        <v>11900</v>
      </c>
      <c r="E259" s="559">
        <v>1</v>
      </c>
      <c r="F259" s="656">
        <v>0</v>
      </c>
      <c r="G259" s="656">
        <v>14077.023114</v>
      </c>
      <c r="H259" s="656">
        <v>0</v>
      </c>
      <c r="I259" s="656">
        <v>14077.023114</v>
      </c>
      <c r="J259" s="656">
        <v>0</v>
      </c>
      <c r="K259" s="656">
        <v>14077.023114</v>
      </c>
      <c r="L259" s="656">
        <v>14077.023114</v>
      </c>
      <c r="M259" s="656">
        <v>0</v>
      </c>
      <c r="N259" s="656">
        <v>14077.023114</v>
      </c>
      <c r="O259" s="657">
        <v>0</v>
      </c>
      <c r="P259" s="604"/>
    </row>
    <row r="260" spans="2:16" x14ac:dyDescent="0.2">
      <c r="B260" s="614" t="s">
        <v>509</v>
      </c>
      <c r="C260" s="638">
        <v>1626.0918660000002</v>
      </c>
      <c r="D260" s="639">
        <v>15000</v>
      </c>
      <c r="E260" s="559">
        <v>1</v>
      </c>
      <c r="F260" s="656">
        <v>0</v>
      </c>
      <c r="G260" s="656">
        <v>0</v>
      </c>
      <c r="H260" s="656">
        <v>1626.0918660000002</v>
      </c>
      <c r="I260" s="656">
        <v>0</v>
      </c>
      <c r="J260" s="656">
        <v>1626.0918660000002</v>
      </c>
      <c r="K260" s="656">
        <v>0</v>
      </c>
      <c r="L260" s="656">
        <v>1626.0918660000002</v>
      </c>
      <c r="M260" s="656">
        <v>0</v>
      </c>
      <c r="N260" s="656">
        <v>1626.0918660000002</v>
      </c>
      <c r="O260" s="657">
        <v>0</v>
      </c>
      <c r="P260" s="604"/>
    </row>
    <row r="261" spans="2:16" ht="13.6" x14ac:dyDescent="0.25">
      <c r="B261" s="623" t="s">
        <v>510</v>
      </c>
      <c r="C261" s="638"/>
      <c r="D261" s="639"/>
      <c r="E261" s="559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04"/>
    </row>
    <row r="262" spans="2:16" x14ac:dyDescent="0.2">
      <c r="B262" s="614" t="s">
        <v>511</v>
      </c>
      <c r="C262" s="638">
        <v>83945.984850000008</v>
      </c>
      <c r="D262" s="639">
        <v>18000</v>
      </c>
      <c r="E262" s="559">
        <v>1</v>
      </c>
      <c r="F262" s="656">
        <v>0</v>
      </c>
      <c r="G262" s="656">
        <v>0</v>
      </c>
      <c r="H262" s="656">
        <v>83945.984850000008</v>
      </c>
      <c r="I262" s="656">
        <v>0</v>
      </c>
      <c r="J262" s="656">
        <v>0</v>
      </c>
      <c r="K262" s="656">
        <v>83945.984850000008</v>
      </c>
      <c r="L262" s="656">
        <v>0</v>
      </c>
      <c r="M262" s="656">
        <v>83945.984850000008</v>
      </c>
      <c r="N262" s="656">
        <v>0</v>
      </c>
      <c r="O262" s="657">
        <v>0</v>
      </c>
      <c r="P262" s="604"/>
    </row>
    <row r="263" spans="2:16" x14ac:dyDescent="0.2">
      <c r="B263" s="614" t="s">
        <v>512</v>
      </c>
      <c r="C263" s="638">
        <v>2428.3222740000001</v>
      </c>
      <c r="D263" s="639">
        <v>14000</v>
      </c>
      <c r="E263" s="559">
        <v>2</v>
      </c>
      <c r="F263" s="656">
        <v>0</v>
      </c>
      <c r="G263" s="656">
        <v>4856.6445480000002</v>
      </c>
      <c r="H263" s="656">
        <v>0</v>
      </c>
      <c r="I263" s="656">
        <v>4856.6445480000002</v>
      </c>
      <c r="J263" s="656">
        <v>0</v>
      </c>
      <c r="K263" s="656">
        <v>4856.6445480000002</v>
      </c>
      <c r="L263" s="656">
        <v>0</v>
      </c>
      <c r="M263" s="656">
        <v>4856.6445480000002</v>
      </c>
      <c r="N263" s="656">
        <v>0</v>
      </c>
      <c r="O263" s="657">
        <v>4856.6445480000002</v>
      </c>
      <c r="P263" s="604"/>
    </row>
    <row r="264" spans="2:16" x14ac:dyDescent="0.2">
      <c r="B264" s="614" t="s">
        <v>513</v>
      </c>
      <c r="C264" s="638">
        <v>5251.8815999999997</v>
      </c>
      <c r="D264" s="639">
        <v>12000</v>
      </c>
      <c r="E264" s="559">
        <v>2</v>
      </c>
      <c r="F264" s="656">
        <v>0</v>
      </c>
      <c r="G264" s="656">
        <v>10503.763199999999</v>
      </c>
      <c r="H264" s="656">
        <v>0</v>
      </c>
      <c r="I264" s="656">
        <v>10503.763199999999</v>
      </c>
      <c r="J264" s="656">
        <v>0</v>
      </c>
      <c r="K264" s="656">
        <v>10503.763199999999</v>
      </c>
      <c r="L264" s="656">
        <v>10503.763199999999</v>
      </c>
      <c r="M264" s="656">
        <v>0</v>
      </c>
      <c r="N264" s="656">
        <v>10503.763199999999</v>
      </c>
      <c r="O264" s="657">
        <v>0</v>
      </c>
      <c r="P264" s="604"/>
    </row>
    <row r="265" spans="2:16" x14ac:dyDescent="0.2">
      <c r="B265" s="614" t="s">
        <v>514</v>
      </c>
      <c r="C265" s="638">
        <v>33088.433490000003</v>
      </c>
      <c r="D265" s="639">
        <v>21000</v>
      </c>
      <c r="E265" s="559">
        <v>1</v>
      </c>
      <c r="F265" s="656">
        <v>0</v>
      </c>
      <c r="G265" s="656">
        <v>0</v>
      </c>
      <c r="H265" s="656">
        <v>33088.433490000003</v>
      </c>
      <c r="I265" s="656">
        <v>0</v>
      </c>
      <c r="J265" s="656">
        <v>0</v>
      </c>
      <c r="K265" s="656">
        <v>33088.433490000003</v>
      </c>
      <c r="L265" s="656">
        <v>0</v>
      </c>
      <c r="M265" s="656">
        <v>0</v>
      </c>
      <c r="N265" s="656">
        <v>33088.433490000003</v>
      </c>
      <c r="O265" s="657">
        <v>0</v>
      </c>
      <c r="P265" s="604"/>
    </row>
    <row r="266" spans="2:16" x14ac:dyDescent="0.2">
      <c r="B266" s="614" t="s">
        <v>515</v>
      </c>
      <c r="C266" s="638">
        <v>199.59622200000001</v>
      </c>
      <c r="D266" s="639">
        <v>14000</v>
      </c>
      <c r="E266" s="559">
        <v>4</v>
      </c>
      <c r="F266" s="656">
        <v>0</v>
      </c>
      <c r="G266" s="656">
        <v>798.38488800000005</v>
      </c>
      <c r="H266" s="656">
        <v>0</v>
      </c>
      <c r="I266" s="656">
        <v>798.38488800000005</v>
      </c>
      <c r="J266" s="656">
        <v>0</v>
      </c>
      <c r="K266" s="656">
        <v>798.38488800000005</v>
      </c>
      <c r="L266" s="656">
        <v>0</v>
      </c>
      <c r="M266" s="656">
        <v>798.38488800000005</v>
      </c>
      <c r="N266" s="656">
        <v>0</v>
      </c>
      <c r="O266" s="657">
        <v>798.38488800000005</v>
      </c>
      <c r="P266" s="604"/>
    </row>
    <row r="267" spans="2:16" x14ac:dyDescent="0.2">
      <c r="B267" s="614" t="s">
        <v>516</v>
      </c>
      <c r="C267" s="638">
        <v>2803.8098340000006</v>
      </c>
      <c r="D267" s="639">
        <v>6000</v>
      </c>
      <c r="E267" s="559">
        <v>1</v>
      </c>
      <c r="F267" s="656">
        <v>2803.8098340000006</v>
      </c>
      <c r="G267" s="656">
        <v>2803.8098340000006</v>
      </c>
      <c r="H267" s="656">
        <v>2803.8098340000006</v>
      </c>
      <c r="I267" s="656">
        <v>2803.8098340000006</v>
      </c>
      <c r="J267" s="656">
        <v>2803.8098340000006</v>
      </c>
      <c r="K267" s="656">
        <v>5607.6196680000012</v>
      </c>
      <c r="L267" s="656">
        <v>2803.8098340000006</v>
      </c>
      <c r="M267" s="656">
        <v>2803.8098340000006</v>
      </c>
      <c r="N267" s="656">
        <v>2803.8098340000006</v>
      </c>
      <c r="O267" s="657">
        <v>2803.8098340000006</v>
      </c>
      <c r="P267" s="604"/>
    </row>
    <row r="268" spans="2:16" x14ac:dyDescent="0.2">
      <c r="B268" s="614" t="s">
        <v>516</v>
      </c>
      <c r="C268" s="638">
        <v>2803.8098340000006</v>
      </c>
      <c r="D268" s="639">
        <v>6000</v>
      </c>
      <c r="E268" s="559">
        <v>1</v>
      </c>
      <c r="F268" s="656">
        <v>2803.8098340000006</v>
      </c>
      <c r="G268" s="656">
        <v>2803.8098340000006</v>
      </c>
      <c r="H268" s="656">
        <v>2803.8098340000006</v>
      </c>
      <c r="I268" s="656">
        <v>2803.8098340000006</v>
      </c>
      <c r="J268" s="656">
        <v>2803.8098340000006</v>
      </c>
      <c r="K268" s="656">
        <v>5607.6196680000012</v>
      </c>
      <c r="L268" s="656">
        <v>2803.8098340000006</v>
      </c>
      <c r="M268" s="656">
        <v>2803.8098340000006</v>
      </c>
      <c r="N268" s="656">
        <v>2803.8098340000006</v>
      </c>
      <c r="O268" s="657">
        <v>2803.8098340000006</v>
      </c>
      <c r="P268" s="604"/>
    </row>
    <row r="269" spans="2:16" x14ac:dyDescent="0.2">
      <c r="B269" s="614" t="s">
        <v>517</v>
      </c>
      <c r="C269" s="638">
        <v>5842.2238560000014</v>
      </c>
      <c r="D269" s="639">
        <v>12000</v>
      </c>
      <c r="E269" s="559">
        <v>2</v>
      </c>
      <c r="F269" s="656">
        <v>0</v>
      </c>
      <c r="G269" s="656">
        <v>11684.447712000003</v>
      </c>
      <c r="H269" s="656">
        <v>0</v>
      </c>
      <c r="I269" s="656">
        <v>11684.447712000003</v>
      </c>
      <c r="J269" s="656">
        <v>0</v>
      </c>
      <c r="K269" s="656">
        <v>11684.447712000003</v>
      </c>
      <c r="L269" s="656">
        <v>11684.447712000003</v>
      </c>
      <c r="M269" s="656">
        <v>0</v>
      </c>
      <c r="N269" s="656">
        <v>11684.447712000003</v>
      </c>
      <c r="O269" s="657">
        <v>0</v>
      </c>
      <c r="P269" s="604"/>
    </row>
    <row r="270" spans="2:16" x14ac:dyDescent="0.2">
      <c r="B270" s="614" t="s">
        <v>518</v>
      </c>
      <c r="C270" s="638">
        <v>1098.2393099999999</v>
      </c>
      <c r="D270" s="639">
        <v>21000</v>
      </c>
      <c r="E270" s="559">
        <v>14</v>
      </c>
      <c r="F270" s="656">
        <v>0</v>
      </c>
      <c r="G270" s="656">
        <v>0</v>
      </c>
      <c r="H270" s="656">
        <v>15375.350339999999</v>
      </c>
      <c r="I270" s="656">
        <v>0</v>
      </c>
      <c r="J270" s="656">
        <v>0</v>
      </c>
      <c r="K270" s="656">
        <v>15375.350339999999</v>
      </c>
      <c r="L270" s="656">
        <v>0</v>
      </c>
      <c r="M270" s="656">
        <v>0</v>
      </c>
      <c r="N270" s="656">
        <v>15375.350339999999</v>
      </c>
      <c r="O270" s="657">
        <v>0</v>
      </c>
      <c r="P270" s="604"/>
    </row>
    <row r="271" spans="2:16" x14ac:dyDescent="0.2">
      <c r="B271" s="614" t="s">
        <v>519</v>
      </c>
      <c r="C271" s="638">
        <v>1009.1331180000001</v>
      </c>
      <c r="D271" s="639">
        <v>15000</v>
      </c>
      <c r="E271" s="559">
        <v>4</v>
      </c>
      <c r="F271" s="656">
        <v>0</v>
      </c>
      <c r="G271" s="656">
        <v>0</v>
      </c>
      <c r="H271" s="656">
        <v>4036.5324720000003</v>
      </c>
      <c r="I271" s="656">
        <v>0</v>
      </c>
      <c r="J271" s="656">
        <v>4036.5324720000003</v>
      </c>
      <c r="K271" s="656">
        <v>0</v>
      </c>
      <c r="L271" s="656">
        <v>4036.5324720000003</v>
      </c>
      <c r="M271" s="656">
        <v>0</v>
      </c>
      <c r="N271" s="656">
        <v>4036.5324720000003</v>
      </c>
      <c r="O271" s="657">
        <v>0</v>
      </c>
      <c r="P271" s="604"/>
    </row>
    <row r="272" spans="2:16" x14ac:dyDescent="0.2">
      <c r="B272" s="614" t="s">
        <v>520</v>
      </c>
      <c r="C272" s="638">
        <v>32881.571982000001</v>
      </c>
      <c r="D272" s="639">
        <v>15000</v>
      </c>
      <c r="E272" s="559">
        <v>2</v>
      </c>
      <c r="F272" s="656">
        <v>0</v>
      </c>
      <c r="G272" s="656">
        <v>0</v>
      </c>
      <c r="H272" s="656">
        <v>65763.143964000003</v>
      </c>
      <c r="I272" s="656">
        <v>0</v>
      </c>
      <c r="J272" s="656">
        <v>65763.143964000003</v>
      </c>
      <c r="K272" s="656">
        <v>0</v>
      </c>
      <c r="L272" s="656">
        <v>65763.143964000003</v>
      </c>
      <c r="M272" s="656">
        <v>0</v>
      </c>
      <c r="N272" s="656">
        <v>65763.143964000003</v>
      </c>
      <c r="O272" s="657">
        <v>0</v>
      </c>
      <c r="P272" s="604"/>
    </row>
    <row r="273" spans="2:16" ht="13.6" x14ac:dyDescent="0.25">
      <c r="B273" s="623" t="s">
        <v>521</v>
      </c>
      <c r="C273" s="638"/>
      <c r="D273" s="639"/>
      <c r="E273" s="559"/>
      <c r="F273" s="656"/>
      <c r="G273" s="656"/>
      <c r="H273" s="656"/>
      <c r="I273" s="656"/>
      <c r="J273" s="656"/>
      <c r="K273" s="656"/>
      <c r="L273" s="656"/>
      <c r="M273" s="656"/>
      <c r="N273" s="656"/>
      <c r="O273" s="657"/>
      <c r="P273" s="604"/>
    </row>
    <row r="274" spans="2:16" x14ac:dyDescent="0.2">
      <c r="B274" s="614" t="s">
        <v>522</v>
      </c>
      <c r="C274" s="638">
        <v>229791.16376</v>
      </c>
      <c r="D274" s="639">
        <v>22000</v>
      </c>
      <c r="E274" s="559">
        <v>1</v>
      </c>
      <c r="F274" s="656">
        <v>0</v>
      </c>
      <c r="G274" s="656">
        <v>0</v>
      </c>
      <c r="H274" s="656">
        <v>0</v>
      </c>
      <c r="I274" s="656">
        <v>229791.16376</v>
      </c>
      <c r="J274" s="656">
        <v>0</v>
      </c>
      <c r="K274" s="656">
        <v>0</v>
      </c>
      <c r="L274" s="656"/>
      <c r="M274" s="656">
        <v>229791.16376</v>
      </c>
      <c r="N274" s="656">
        <v>0</v>
      </c>
      <c r="O274" s="657"/>
      <c r="P274" s="604"/>
    </row>
    <row r="275" spans="2:16" x14ac:dyDescent="0.2">
      <c r="B275" s="614" t="s">
        <v>523</v>
      </c>
      <c r="C275" s="638">
        <v>132.12108000000001</v>
      </c>
      <c r="D275" s="639">
        <v>6000</v>
      </c>
      <c r="E275" s="559">
        <v>8</v>
      </c>
      <c r="F275" s="656">
        <v>1056.9686400000001</v>
      </c>
      <c r="G275" s="656">
        <v>1056.9686400000001</v>
      </c>
      <c r="H275" s="656">
        <v>1056.9686400000001</v>
      </c>
      <c r="I275" s="656">
        <v>1056.9686400000001</v>
      </c>
      <c r="J275" s="656">
        <v>1056.9686400000001</v>
      </c>
      <c r="K275" s="656">
        <v>2113.9372800000001</v>
      </c>
      <c r="L275" s="656">
        <v>1056.9686400000001</v>
      </c>
      <c r="M275" s="656">
        <v>1056.9686400000001</v>
      </c>
      <c r="N275" s="656">
        <v>1056.9686400000001</v>
      </c>
      <c r="O275" s="657">
        <v>1056.9686400000001</v>
      </c>
      <c r="P275" s="604"/>
    </row>
    <row r="276" spans="2:16" x14ac:dyDescent="0.2">
      <c r="B276" s="614" t="s">
        <v>524</v>
      </c>
      <c r="C276" s="638">
        <v>10.808658000000001</v>
      </c>
      <c r="D276" s="639">
        <v>6000</v>
      </c>
      <c r="E276" s="559">
        <v>8</v>
      </c>
      <c r="F276" s="656">
        <v>86.46926400000001</v>
      </c>
      <c r="G276" s="656">
        <v>86.46926400000001</v>
      </c>
      <c r="H276" s="656">
        <v>86.46926400000001</v>
      </c>
      <c r="I276" s="656">
        <v>86.46926400000001</v>
      </c>
      <c r="J276" s="656">
        <v>86.46926400000001</v>
      </c>
      <c r="K276" s="656">
        <v>172.93852800000002</v>
      </c>
      <c r="L276" s="656">
        <v>86.46926400000001</v>
      </c>
      <c r="M276" s="656">
        <v>86.46926400000001</v>
      </c>
      <c r="N276" s="656">
        <v>86.46926400000001</v>
      </c>
      <c r="O276" s="657">
        <v>86.46926400000001</v>
      </c>
      <c r="P276" s="604"/>
    </row>
    <row r="277" spans="2:16" x14ac:dyDescent="0.2">
      <c r="B277" s="614" t="s">
        <v>525</v>
      </c>
      <c r="C277" s="638">
        <v>132.12108000000001</v>
      </c>
      <c r="D277" s="639">
        <v>6000</v>
      </c>
      <c r="E277" s="559">
        <v>4</v>
      </c>
      <c r="F277" s="656">
        <v>528.48432000000003</v>
      </c>
      <c r="G277" s="656">
        <v>528.48432000000003</v>
      </c>
      <c r="H277" s="656">
        <v>528.48432000000003</v>
      </c>
      <c r="I277" s="656">
        <v>528.48432000000003</v>
      </c>
      <c r="J277" s="656">
        <v>528.48432000000003</v>
      </c>
      <c r="K277" s="656">
        <v>1056.9686400000001</v>
      </c>
      <c r="L277" s="656">
        <v>528.48432000000003</v>
      </c>
      <c r="M277" s="656">
        <v>528.48432000000003</v>
      </c>
      <c r="N277" s="656">
        <v>528.48432000000003</v>
      </c>
      <c r="O277" s="657">
        <v>528.48432000000003</v>
      </c>
      <c r="P277" s="604"/>
    </row>
    <row r="278" spans="2:16" x14ac:dyDescent="0.2">
      <c r="B278" s="614" t="s">
        <v>526</v>
      </c>
      <c r="C278" s="638">
        <v>3.2137560000000005</v>
      </c>
      <c r="D278" s="639">
        <v>6000</v>
      </c>
      <c r="E278" s="559">
        <v>32</v>
      </c>
      <c r="F278" s="656">
        <v>102.84019200000002</v>
      </c>
      <c r="G278" s="656">
        <v>102.84019200000002</v>
      </c>
      <c r="H278" s="656">
        <v>102.84019200000002</v>
      </c>
      <c r="I278" s="656">
        <v>102.84019200000002</v>
      </c>
      <c r="J278" s="656">
        <v>102.84019200000002</v>
      </c>
      <c r="K278" s="656">
        <v>205.68038400000003</v>
      </c>
      <c r="L278" s="656">
        <v>102.84019200000002</v>
      </c>
      <c r="M278" s="656">
        <v>102.84019200000002</v>
      </c>
      <c r="N278" s="656">
        <v>102.84019200000002</v>
      </c>
      <c r="O278" s="657">
        <v>102.84019200000002</v>
      </c>
      <c r="P278" s="604"/>
    </row>
    <row r="279" spans="2:16" x14ac:dyDescent="0.2">
      <c r="B279" s="614" t="s">
        <v>527</v>
      </c>
      <c r="C279" s="638">
        <v>4627.781172</v>
      </c>
      <c r="D279" s="639">
        <v>12000</v>
      </c>
      <c r="E279" s="559">
        <v>2</v>
      </c>
      <c r="F279" s="656">
        <v>0</v>
      </c>
      <c r="G279" s="656">
        <v>9255.5623439999999</v>
      </c>
      <c r="H279" s="656">
        <v>0</v>
      </c>
      <c r="I279" s="656">
        <v>9255.5623439999999</v>
      </c>
      <c r="J279" s="656">
        <v>0</v>
      </c>
      <c r="K279" s="656">
        <v>9255.5623439999999</v>
      </c>
      <c r="L279" s="656">
        <v>9255.5623439999999</v>
      </c>
      <c r="M279" s="656">
        <v>0</v>
      </c>
      <c r="N279" s="656">
        <v>9255.5623439999999</v>
      </c>
      <c r="O279" s="657">
        <v>0</v>
      </c>
      <c r="P279" s="604"/>
    </row>
    <row r="280" spans="2:16" x14ac:dyDescent="0.2">
      <c r="B280" s="614" t="s">
        <v>528</v>
      </c>
      <c r="C280" s="638">
        <v>1324.9052460000003</v>
      </c>
      <c r="D280" s="639">
        <v>15000</v>
      </c>
      <c r="E280" s="559">
        <v>4</v>
      </c>
      <c r="F280" s="656">
        <v>0</v>
      </c>
      <c r="G280" s="656">
        <v>0</v>
      </c>
      <c r="H280" s="656">
        <v>5299.620984000001</v>
      </c>
      <c r="I280" s="656">
        <v>0</v>
      </c>
      <c r="J280" s="656">
        <v>5299.620984000001</v>
      </c>
      <c r="K280" s="656">
        <v>0</v>
      </c>
      <c r="L280" s="656">
        <v>5299.620984000001</v>
      </c>
      <c r="M280" s="656">
        <v>0</v>
      </c>
      <c r="N280" s="656">
        <v>5299.620984000001</v>
      </c>
      <c r="O280" s="657">
        <v>0</v>
      </c>
      <c r="P280" s="604"/>
    </row>
    <row r="281" spans="2:16" ht="13.6" x14ac:dyDescent="0.25">
      <c r="B281" s="623" t="s">
        <v>529</v>
      </c>
      <c r="C281" s="638"/>
      <c r="D281" s="639"/>
      <c r="E281" s="559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04"/>
    </row>
    <row r="282" spans="2:16" x14ac:dyDescent="0.2">
      <c r="B282" s="614" t="s">
        <v>530</v>
      </c>
      <c r="C282" s="638">
        <v>2066.4451079999999</v>
      </c>
      <c r="D282" s="639">
        <v>12000</v>
      </c>
      <c r="E282" s="559">
        <v>1</v>
      </c>
      <c r="F282" s="656">
        <v>0</v>
      </c>
      <c r="G282" s="656">
        <v>2066.4451079999999</v>
      </c>
      <c r="H282" s="656">
        <v>0</v>
      </c>
      <c r="I282" s="656">
        <v>2066.4451079999999</v>
      </c>
      <c r="J282" s="656">
        <v>0</v>
      </c>
      <c r="K282" s="656">
        <v>2066.4451079999999</v>
      </c>
      <c r="L282" s="656">
        <v>2066.4451079999999</v>
      </c>
      <c r="M282" s="656">
        <v>0</v>
      </c>
      <c r="N282" s="656">
        <v>2066.4451079999999</v>
      </c>
      <c r="O282" s="657">
        <v>0</v>
      </c>
      <c r="P282" s="604"/>
    </row>
    <row r="283" spans="2:16" x14ac:dyDescent="0.2">
      <c r="B283" s="614" t="s">
        <v>531</v>
      </c>
      <c r="C283" s="638">
        <v>2940.8888880000004</v>
      </c>
      <c r="D283" s="639">
        <v>8000</v>
      </c>
      <c r="E283" s="559">
        <v>1</v>
      </c>
      <c r="F283" s="656">
        <v>0</v>
      </c>
      <c r="G283" s="656">
        <v>2940.8888880000004</v>
      </c>
      <c r="H283" s="656">
        <v>2940.8888880000004</v>
      </c>
      <c r="I283" s="656">
        <v>2940.8888880000004</v>
      </c>
      <c r="J283" s="656">
        <v>2940.8888880000004</v>
      </c>
      <c r="K283" s="656">
        <v>2940.8888880000004</v>
      </c>
      <c r="L283" s="656">
        <v>2940.8888880000004</v>
      </c>
      <c r="M283" s="656">
        <v>2940.8888880000004</v>
      </c>
      <c r="N283" s="656">
        <v>0</v>
      </c>
      <c r="O283" s="657">
        <v>2940.8888880000004</v>
      </c>
      <c r="P283" s="604"/>
    </row>
    <row r="284" spans="2:16" x14ac:dyDescent="0.2">
      <c r="B284" s="614" t="s">
        <v>532</v>
      </c>
      <c r="C284" s="638">
        <v>635.005224</v>
      </c>
      <c r="D284" s="639">
        <v>15000</v>
      </c>
      <c r="E284" s="559">
        <v>6</v>
      </c>
      <c r="F284" s="656">
        <v>0</v>
      </c>
      <c r="G284" s="656">
        <v>0</v>
      </c>
      <c r="H284" s="656">
        <v>3810.031344</v>
      </c>
      <c r="I284" s="656">
        <v>0</v>
      </c>
      <c r="J284" s="656">
        <v>3810.031344</v>
      </c>
      <c r="K284" s="656">
        <v>0</v>
      </c>
      <c r="L284" s="656">
        <v>3810.031344</v>
      </c>
      <c r="M284" s="656">
        <v>0</v>
      </c>
      <c r="N284" s="656">
        <v>3810.031344</v>
      </c>
      <c r="O284" s="657">
        <v>0</v>
      </c>
      <c r="P284" s="604"/>
    </row>
    <row r="285" spans="2:16" ht="13.6" thickBot="1" x14ac:dyDescent="0.25">
      <c r="B285" s="624" t="s">
        <v>533</v>
      </c>
      <c r="C285" s="643">
        <v>249.61545000000004</v>
      </c>
      <c r="D285" s="644">
        <v>15000</v>
      </c>
      <c r="E285" s="661">
        <v>6</v>
      </c>
      <c r="F285" s="662">
        <v>0</v>
      </c>
      <c r="G285" s="662">
        <v>0</v>
      </c>
      <c r="H285" s="662">
        <v>1497.6927000000003</v>
      </c>
      <c r="I285" s="662">
        <v>0</v>
      </c>
      <c r="J285" s="662">
        <v>1497.6927000000003</v>
      </c>
      <c r="K285" s="662">
        <v>0</v>
      </c>
      <c r="L285" s="662">
        <v>1497.6927000000003</v>
      </c>
      <c r="M285" s="662">
        <v>0</v>
      </c>
      <c r="N285" s="662">
        <v>1497.6927000000003</v>
      </c>
      <c r="O285" s="663">
        <v>0</v>
      </c>
      <c r="P285" s="604"/>
    </row>
  </sheetData>
  <conditionalFormatting sqref="F18:O31 F33:O102 F123:O192">
    <cfRule type="cellIs" dxfId="10" priority="11" operator="equal">
      <formula>0</formula>
    </cfRule>
  </conditionalFormatting>
  <conditionalFormatting sqref="F108:O116 F118:O120">
    <cfRule type="cellIs" dxfId="9" priority="10" operator="equal">
      <formula>0</formula>
    </cfRule>
  </conditionalFormatting>
  <conditionalFormatting sqref="F212:O212 F218:O285 F197:O197 F198:K198 M198:O198 F199:O203 F205:O209">
    <cfRule type="cellIs" dxfId="8" priority="9" operator="equal">
      <formula>0</formula>
    </cfRule>
  </conditionalFormatting>
  <conditionalFormatting sqref="F32:O32">
    <cfRule type="cellIs" dxfId="7" priority="8" operator="equal">
      <formula>0</formula>
    </cfRule>
  </conditionalFormatting>
  <conditionalFormatting sqref="F210:O210">
    <cfRule type="cellIs" dxfId="6" priority="7" operator="equal">
      <formula>0</formula>
    </cfRule>
  </conditionalFormatting>
  <conditionalFormatting sqref="F211:O211">
    <cfRule type="cellIs" dxfId="5" priority="6" operator="equal">
      <formula>0</formula>
    </cfRule>
  </conditionalFormatting>
  <conditionalFormatting sqref="F121:O121">
    <cfRule type="cellIs" dxfId="4" priority="5" operator="equal">
      <formula>0</formula>
    </cfRule>
  </conditionalFormatting>
  <conditionalFormatting sqref="F122:O122">
    <cfRule type="cellIs" dxfId="3" priority="4" operator="equal">
      <formula>0</formula>
    </cfRule>
  </conditionalFormatting>
  <conditionalFormatting sqref="F117:O117">
    <cfRule type="cellIs" dxfId="2" priority="3" operator="equal">
      <formula>0</formula>
    </cfRule>
  </conditionalFormatting>
  <conditionalFormatting sqref="F204:O204">
    <cfRule type="cellIs" dxfId="1" priority="2" operator="equal">
      <formula>0</formula>
    </cfRule>
  </conditionalFormatting>
  <conditionalFormatting sqref="L198">
    <cfRule type="cellIs" dxfId="0" priority="1" operator="equal">
      <formula>0</formula>
    </cfRule>
  </conditionalFormatting>
  <pageMargins left="0.31496062992125984" right="0.31496062992125984" top="0.35433070866141736" bottom="0.35433070866141736" header="0.31496062992125984" footer="0.31496062992125984"/>
  <pageSetup paperSize="9" scale="35" orientation="landscape" r:id="rId1"/>
  <rowBreaks count="2" manualBreakCount="2">
    <brk id="102" max="16383" man="1"/>
    <brk id="212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06FB-B57F-46CA-BA42-E90FF5826DE5}">
  <sheetPr>
    <tabColor theme="9" tint="0.79998168889431442"/>
  </sheetPr>
  <dimension ref="A2:U83"/>
  <sheetViews>
    <sheetView showGridLines="0" zoomScale="85" zoomScaleNormal="85" zoomScaleSheetLayoutView="85" workbookViewId="0">
      <pane xSplit="4" ySplit="4" topLeftCell="E26" activePane="bottomRight" state="frozen"/>
      <selection activeCell="T45" sqref="T45"/>
      <selection pane="topRight" activeCell="T45" sqref="T45"/>
      <selection pane="bottomLeft" activeCell="T45" sqref="T45"/>
      <selection pane="bottomRight" activeCell="J90" sqref="J90"/>
    </sheetView>
  </sheetViews>
  <sheetFormatPr defaultColWidth="9.125" defaultRowHeight="12.9" x14ac:dyDescent="0.25"/>
  <cols>
    <col min="1" max="1" width="6" style="377" customWidth="1"/>
    <col min="2" max="2" width="42.625" style="416" customWidth="1"/>
    <col min="3" max="3" width="12.125" style="379" customWidth="1"/>
    <col min="4" max="4" width="11.5" style="379" customWidth="1"/>
    <col min="5" max="5" width="8.625" style="380" customWidth="1"/>
    <col min="6" max="16" width="8.375" style="380" customWidth="1"/>
    <col min="17" max="17" width="44" style="377" customWidth="1"/>
    <col min="18" max="18" width="14" style="377" bestFit="1" customWidth="1"/>
    <col min="19" max="16384" width="9.125" style="377"/>
  </cols>
  <sheetData>
    <row r="2" spans="1:18" ht="18" customHeight="1" x14ac:dyDescent="0.25">
      <c r="B2" s="378" t="s">
        <v>327</v>
      </c>
    </row>
    <row r="3" spans="1:18" s="381" customFormat="1" ht="27" customHeight="1" thickBot="1" x14ac:dyDescent="0.3">
      <c r="B3" s="382" t="s">
        <v>206</v>
      </c>
      <c r="C3" s="383" t="s">
        <v>246</v>
      </c>
      <c r="D3" s="687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385" t="s">
        <v>329</v>
      </c>
    </row>
    <row r="4" spans="1:18" s="391" customFormat="1" ht="25.85" x14ac:dyDescent="0.25">
      <c r="A4" s="386">
        <v>1</v>
      </c>
      <c r="B4" s="387" t="s">
        <v>330</v>
      </c>
      <c r="C4" s="388" t="s">
        <v>7</v>
      </c>
      <c r="D4" s="388">
        <v>0</v>
      </c>
      <c r="E4" s="388">
        <f>D4+1</f>
        <v>1</v>
      </c>
      <c r="F4" s="388">
        <f>E4+1</f>
        <v>2</v>
      </c>
      <c r="G4" s="388">
        <f t="shared" ref="G4:N4" si="0">F4+1</f>
        <v>3</v>
      </c>
      <c r="H4" s="388">
        <f t="shared" si="0"/>
        <v>4</v>
      </c>
      <c r="I4" s="388">
        <f t="shared" si="0"/>
        <v>5</v>
      </c>
      <c r="J4" s="388">
        <f t="shared" si="0"/>
        <v>6</v>
      </c>
      <c r="K4" s="388">
        <f t="shared" si="0"/>
        <v>7</v>
      </c>
      <c r="L4" s="388">
        <f t="shared" si="0"/>
        <v>8</v>
      </c>
      <c r="M4" s="388">
        <f t="shared" si="0"/>
        <v>9</v>
      </c>
      <c r="N4" s="388">
        <f t="shared" si="0"/>
        <v>10</v>
      </c>
      <c r="O4" s="388">
        <f>N4+1</f>
        <v>11</v>
      </c>
      <c r="P4" s="388">
        <f>O4+1</f>
        <v>12</v>
      </c>
      <c r="Q4" s="389" t="s">
        <v>551</v>
      </c>
      <c r="R4" s="390"/>
    </row>
    <row r="5" spans="1:18" s="391" customFormat="1" ht="13.6" x14ac:dyDescent="0.25">
      <c r="A5" s="386">
        <f>A4+1</f>
        <v>2</v>
      </c>
      <c r="B5" s="392" t="s">
        <v>331</v>
      </c>
      <c r="C5" s="393" t="s">
        <v>20</v>
      </c>
      <c r="D5" s="394" t="s">
        <v>552</v>
      </c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5"/>
      <c r="R5" s="390"/>
    </row>
    <row r="6" spans="1:18" ht="18" customHeight="1" x14ac:dyDescent="0.25">
      <c r="A6" s="386">
        <f t="shared" ref="A6:A69" si="1">A5+1</f>
        <v>3</v>
      </c>
      <c r="B6" s="392" t="s">
        <v>333</v>
      </c>
      <c r="C6" s="393" t="s">
        <v>334</v>
      </c>
      <c r="D6" s="393"/>
      <c r="E6" s="396">
        <f>(8760-E7-E8-E9)/8760</f>
        <v>0.89479459982242504</v>
      </c>
      <c r="F6" s="396">
        <f>(8760-F7-F8-F9)/8760</f>
        <v>0.86538376775748349</v>
      </c>
      <c r="G6" s="396">
        <f t="shared" ref="G6:P6" si="2">(8760-G7-G8-G9)/8760</f>
        <v>0.84540659880771174</v>
      </c>
      <c r="H6" s="396">
        <f t="shared" si="2"/>
        <v>0.8748174308726534</v>
      </c>
      <c r="I6" s="396">
        <f t="shared" si="2"/>
        <v>0.86538376775748349</v>
      </c>
      <c r="J6" s="396">
        <f t="shared" si="2"/>
        <v>0.84318691336884821</v>
      </c>
      <c r="K6" s="396">
        <f t="shared" si="2"/>
        <v>0.86205423959918825</v>
      </c>
      <c r="L6" s="396">
        <f t="shared" si="2"/>
        <v>0.86538376775748349</v>
      </c>
      <c r="M6" s="396">
        <f t="shared" si="2"/>
        <v>0.8498459696854388</v>
      </c>
      <c r="N6" s="396">
        <f t="shared" si="2"/>
        <v>0.85428534056316585</v>
      </c>
      <c r="O6" s="396">
        <f t="shared" si="2"/>
        <v>0.85428534056316585</v>
      </c>
      <c r="P6" s="396">
        <f t="shared" si="2"/>
        <v>0.85428534056316585</v>
      </c>
      <c r="Q6" s="395" t="s">
        <v>335</v>
      </c>
    </row>
    <row r="7" spans="1:18" ht="16.5" customHeight="1" x14ac:dyDescent="0.25">
      <c r="A7" s="386">
        <f t="shared" si="1"/>
        <v>4</v>
      </c>
      <c r="B7" s="397" t="s">
        <v>336</v>
      </c>
      <c r="C7" s="398" t="s">
        <v>337</v>
      </c>
      <c r="D7" s="398"/>
      <c r="E7" s="399">
        <f>'SWDRT270SM ТО'!G7</f>
        <v>272</v>
      </c>
      <c r="F7" s="399">
        <f>'SWDRT270SM ТО'!H7</f>
        <v>272</v>
      </c>
      <c r="G7" s="399">
        <f>'SWDRT270SM ТО'!I7</f>
        <v>272</v>
      </c>
      <c r="H7" s="399">
        <f>'SWDRT270SM ТО'!J7</f>
        <v>272</v>
      </c>
      <c r="I7" s="399">
        <f>'SWDRT270SM ТО'!K7</f>
        <v>272</v>
      </c>
      <c r="J7" s="399">
        <f>'SWDRT270SM ТО'!L7</f>
        <v>272</v>
      </c>
      <c r="K7" s="399">
        <f>'SWDRT270SM ТО'!M7</f>
        <v>272</v>
      </c>
      <c r="L7" s="399">
        <f>'SWDRT270SM ТО'!N7</f>
        <v>272</v>
      </c>
      <c r="M7" s="399">
        <f>'SWDRT270SM ТО'!O7</f>
        <v>272</v>
      </c>
      <c r="N7" s="399">
        <f>'SWDRT270SM ТО'!P7</f>
        <v>272</v>
      </c>
      <c r="O7" s="399">
        <f>'SWDRT270SM ТО'!Q7</f>
        <v>272</v>
      </c>
      <c r="P7" s="399">
        <f>'SWDRT270SM ТО'!R7</f>
        <v>272</v>
      </c>
      <c r="Q7" s="664"/>
    </row>
    <row r="8" spans="1:18" ht="16.5" customHeight="1" x14ac:dyDescent="0.25">
      <c r="A8" s="386">
        <f t="shared" si="1"/>
        <v>5</v>
      </c>
      <c r="B8" s="397" t="s">
        <v>338</v>
      </c>
      <c r="C8" s="398" t="s">
        <v>337</v>
      </c>
      <c r="D8" s="398"/>
      <c r="E8" s="399">
        <f>'SWDRT270SM Рем'!F8</f>
        <v>425.64499999999998</v>
      </c>
      <c r="F8" s="399">
        <f>'SWDRT270SM Рем'!G8</f>
        <v>690.64499999999998</v>
      </c>
      <c r="G8" s="399">
        <f>'SWDRT270SM Рем'!H8</f>
        <v>870.64499999999998</v>
      </c>
      <c r="H8" s="399">
        <f>'SWDRT270SM Рем'!I8</f>
        <v>605.64499999999998</v>
      </c>
      <c r="I8" s="399">
        <f>'SWDRT270SM Рем'!J8</f>
        <v>690.64499999999998</v>
      </c>
      <c r="J8" s="399">
        <f>'SWDRT270SM Рем'!K8</f>
        <v>890.64499999999998</v>
      </c>
      <c r="K8" s="399">
        <f>'SWDRT270SM Рем'!L8</f>
        <v>720.64499999999998</v>
      </c>
      <c r="L8" s="399">
        <f>'SWDRT270SM Рем'!M8</f>
        <v>690.64499999999998</v>
      </c>
      <c r="M8" s="399">
        <f>'SWDRT270SM Рем'!N8</f>
        <v>830.64499999999998</v>
      </c>
      <c r="N8" s="399">
        <f>'SWDRT270SM Рем'!O8</f>
        <v>790.64499999999998</v>
      </c>
      <c r="O8" s="399">
        <f>'SWDRT270SM Рем'!P8</f>
        <v>790.64499999999998</v>
      </c>
      <c r="P8" s="399">
        <f>'SWDRT270SM Рем'!Q8</f>
        <v>790.64499999999998</v>
      </c>
      <c r="Q8" s="664"/>
    </row>
    <row r="9" spans="1:18" ht="16.5" customHeight="1" x14ac:dyDescent="0.25">
      <c r="A9" s="386"/>
      <c r="B9" s="397" t="s">
        <v>339</v>
      </c>
      <c r="C9" s="398" t="s">
        <v>337</v>
      </c>
      <c r="D9" s="398"/>
      <c r="E9" s="399">
        <f>(8760-E7-E8)/12*20/60</f>
        <v>223.95430555555552</v>
      </c>
      <c r="F9" s="399">
        <f t="shared" ref="F9:P9" si="3">(8760-F7-F8)/12*20/60</f>
        <v>216.59319444444446</v>
      </c>
      <c r="G9" s="399">
        <f t="shared" si="3"/>
        <v>211.59319444444446</v>
      </c>
      <c r="H9" s="399">
        <f t="shared" si="3"/>
        <v>218.95430555555552</v>
      </c>
      <c r="I9" s="399">
        <f t="shared" si="3"/>
        <v>216.59319444444446</v>
      </c>
      <c r="J9" s="399">
        <f t="shared" si="3"/>
        <v>211.03763888888886</v>
      </c>
      <c r="K9" s="399">
        <f t="shared" si="3"/>
        <v>215.75986111111112</v>
      </c>
      <c r="L9" s="399">
        <f t="shared" si="3"/>
        <v>216.59319444444446</v>
      </c>
      <c r="M9" s="399">
        <f t="shared" si="3"/>
        <v>212.70430555555552</v>
      </c>
      <c r="N9" s="399">
        <f t="shared" si="3"/>
        <v>213.81541666666666</v>
      </c>
      <c r="O9" s="399">
        <f t="shared" si="3"/>
        <v>213.81541666666666</v>
      </c>
      <c r="P9" s="399">
        <f t="shared" si="3"/>
        <v>213.81541666666666</v>
      </c>
      <c r="Q9" s="664"/>
    </row>
    <row r="10" spans="1:18" ht="13.6" x14ac:dyDescent="0.25">
      <c r="A10" s="386">
        <f>A8+1</f>
        <v>6</v>
      </c>
      <c r="B10" s="392" t="s">
        <v>340</v>
      </c>
      <c r="C10" s="398"/>
      <c r="D10" s="400" t="s">
        <v>341</v>
      </c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5"/>
    </row>
    <row r="11" spans="1:18" ht="13.6" x14ac:dyDescent="0.25">
      <c r="A11" s="386">
        <f t="shared" si="1"/>
        <v>7</v>
      </c>
      <c r="B11" s="392" t="s">
        <v>225</v>
      </c>
      <c r="C11" s="398" t="s">
        <v>121</v>
      </c>
      <c r="D11" s="400" t="s">
        <v>553</v>
      </c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395"/>
    </row>
    <row r="12" spans="1:18" ht="13.6" x14ac:dyDescent="0.25">
      <c r="A12" s="386">
        <f t="shared" si="1"/>
        <v>8</v>
      </c>
      <c r="B12" s="392" t="s">
        <v>123</v>
      </c>
      <c r="C12" s="398" t="s">
        <v>124</v>
      </c>
      <c r="D12" s="400">
        <v>10</v>
      </c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  <c r="P12" s="401"/>
      <c r="Q12" s="395"/>
    </row>
    <row r="13" spans="1:18" ht="13.6" x14ac:dyDescent="0.25">
      <c r="A13" s="386">
        <f t="shared" si="1"/>
        <v>9</v>
      </c>
      <c r="B13" s="392" t="s">
        <v>125</v>
      </c>
      <c r="C13" s="398" t="s">
        <v>124</v>
      </c>
      <c r="D13" s="400">
        <v>15</v>
      </c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395"/>
    </row>
    <row r="14" spans="1:18" ht="13.6" x14ac:dyDescent="0.25">
      <c r="A14" s="386">
        <f t="shared" si="1"/>
        <v>10</v>
      </c>
      <c r="B14" s="392" t="s">
        <v>344</v>
      </c>
      <c r="C14" s="398" t="s">
        <v>128</v>
      </c>
      <c r="D14" s="400">
        <v>45</v>
      </c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395"/>
    </row>
    <row r="15" spans="1:18" ht="14.3" thickBot="1" x14ac:dyDescent="0.3">
      <c r="A15" s="386"/>
      <c r="B15" s="403" t="s">
        <v>345</v>
      </c>
      <c r="C15" s="404" t="s">
        <v>128</v>
      </c>
      <c r="D15" s="405">
        <v>30</v>
      </c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7"/>
    </row>
    <row r="16" spans="1:18" ht="20.25" customHeight="1" thickBot="1" x14ac:dyDescent="0.3">
      <c r="A16" s="386"/>
      <c r="B16" s="408" t="s">
        <v>346</v>
      </c>
      <c r="C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</row>
    <row r="17" spans="1:21" ht="103.25" x14ac:dyDescent="0.25">
      <c r="A17" s="386">
        <f>A14+1</f>
        <v>11</v>
      </c>
      <c r="B17" s="387" t="s">
        <v>347</v>
      </c>
      <c r="C17" s="409" t="s">
        <v>348</v>
      </c>
      <c r="D17" s="410" t="s">
        <v>554</v>
      </c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389"/>
    </row>
    <row r="18" spans="1:21" ht="13.6" x14ac:dyDescent="0.25">
      <c r="A18" s="386">
        <f>A17+1</f>
        <v>12</v>
      </c>
      <c r="B18" s="412" t="s">
        <v>349</v>
      </c>
      <c r="C18" s="398" t="s">
        <v>133</v>
      </c>
      <c r="D18" s="400" t="s">
        <v>555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395"/>
    </row>
    <row r="19" spans="1:21" ht="22.6" customHeight="1" thickBot="1" x14ac:dyDescent="0.3">
      <c r="A19" s="386">
        <f>A18+1</f>
        <v>13</v>
      </c>
      <c r="B19" s="403" t="s">
        <v>350</v>
      </c>
      <c r="C19" s="404" t="s">
        <v>135</v>
      </c>
      <c r="D19" s="414" t="s">
        <v>556</v>
      </c>
      <c r="E19" s="415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7"/>
    </row>
    <row r="20" spans="1:21" ht="22.6" customHeight="1" thickBot="1" x14ac:dyDescent="0.3">
      <c r="A20" s="386"/>
      <c r="B20" s="408" t="s">
        <v>557</v>
      </c>
      <c r="C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</row>
    <row r="21" spans="1:21" ht="13.6" x14ac:dyDescent="0.25">
      <c r="A21" s="386">
        <f>A19+1</f>
        <v>14</v>
      </c>
      <c r="B21" s="387" t="s">
        <v>118</v>
      </c>
      <c r="C21" s="409" t="s">
        <v>558</v>
      </c>
      <c r="D21" s="689" t="s">
        <v>559</v>
      </c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389"/>
    </row>
    <row r="22" spans="1:21" ht="13.6" x14ac:dyDescent="0.25">
      <c r="A22" s="386">
        <f>A21+1</f>
        <v>15</v>
      </c>
      <c r="B22" s="392" t="s">
        <v>560</v>
      </c>
      <c r="C22" s="398" t="s">
        <v>561</v>
      </c>
      <c r="D22" s="691">
        <v>8</v>
      </c>
      <c r="E22" s="692"/>
      <c r="F22" s="692"/>
      <c r="G22" s="692"/>
      <c r="H22" s="692"/>
      <c r="I22" s="692"/>
      <c r="J22" s="692"/>
      <c r="K22" s="692"/>
      <c r="L22" s="692"/>
      <c r="M22" s="692"/>
      <c r="N22" s="692"/>
      <c r="O22" s="692"/>
      <c r="P22" s="692"/>
      <c r="Q22" s="693"/>
    </row>
    <row r="23" spans="1:21" ht="13.6" x14ac:dyDescent="0.25">
      <c r="A23" s="386">
        <f t="shared" ref="A23:A26" si="4">A22+1</f>
        <v>16</v>
      </c>
      <c r="B23" s="392" t="s">
        <v>359</v>
      </c>
      <c r="C23" s="398"/>
      <c r="D23" s="430"/>
      <c r="E23" s="692"/>
      <c r="F23" s="692"/>
      <c r="G23" s="692"/>
      <c r="H23" s="692"/>
      <c r="I23" s="692"/>
      <c r="J23" s="692"/>
      <c r="K23" s="692"/>
      <c r="L23" s="692"/>
      <c r="M23" s="692"/>
      <c r="N23" s="692"/>
      <c r="O23" s="692"/>
      <c r="P23" s="692"/>
      <c r="Q23" s="693"/>
    </row>
    <row r="24" spans="1:21" x14ac:dyDescent="0.25">
      <c r="A24" s="386">
        <f t="shared" si="4"/>
        <v>17</v>
      </c>
      <c r="B24" s="397" t="s">
        <v>562</v>
      </c>
      <c r="C24" s="694" t="s">
        <v>558</v>
      </c>
      <c r="D24" s="378"/>
      <c r="E24" s="695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3"/>
    </row>
    <row r="25" spans="1:21" ht="38.75" x14ac:dyDescent="0.25">
      <c r="A25" s="386">
        <f t="shared" si="4"/>
        <v>18</v>
      </c>
      <c r="B25" s="397" t="s">
        <v>563</v>
      </c>
      <c r="C25" s="398" t="s">
        <v>564</v>
      </c>
      <c r="D25" s="696" t="s">
        <v>565</v>
      </c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395"/>
    </row>
    <row r="26" spans="1:21" ht="39.4" thickBot="1" x14ac:dyDescent="0.3">
      <c r="A26" s="386">
        <f t="shared" si="4"/>
        <v>19</v>
      </c>
      <c r="B26" s="697" t="s">
        <v>566</v>
      </c>
      <c r="C26" s="404" t="s">
        <v>567</v>
      </c>
      <c r="D26" s="698" t="s">
        <v>565</v>
      </c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7"/>
    </row>
    <row r="27" spans="1:21" ht="13.6" thickBot="1" x14ac:dyDescent="0.3">
      <c r="A27" s="386"/>
    </row>
    <row r="28" spans="1:21" ht="23.3" customHeight="1" x14ac:dyDescent="0.25">
      <c r="A28" s="386">
        <f>A26+1</f>
        <v>20</v>
      </c>
      <c r="B28" s="387" t="s">
        <v>352</v>
      </c>
      <c r="C28" s="417" t="s">
        <v>353</v>
      </c>
      <c r="D28" s="417"/>
      <c r="E28" s="418">
        <f>SUM(E29:E33)</f>
        <v>420.87882966166654</v>
      </c>
      <c r="F28" s="418">
        <f t="shared" ref="F28:O28" si="5">SUM(F29:F33)</f>
        <v>715.41873135193191</v>
      </c>
      <c r="G28" s="418">
        <f t="shared" si="5"/>
        <v>744.01349155193202</v>
      </c>
      <c r="H28" s="418">
        <f t="shared" si="5"/>
        <v>536.07373666166654</v>
      </c>
      <c r="I28" s="418">
        <f t="shared" si="5"/>
        <v>674.42177635193207</v>
      </c>
      <c r="J28" s="418">
        <f t="shared" si="5"/>
        <v>785.01044655193186</v>
      </c>
      <c r="K28" s="418">
        <f t="shared" si="5"/>
        <v>499.34678166166657</v>
      </c>
      <c r="L28" s="418">
        <f t="shared" si="5"/>
        <v>719.466831351932</v>
      </c>
      <c r="M28" s="418">
        <f t="shared" si="5"/>
        <v>681.86673955193203</v>
      </c>
      <c r="N28" s="418">
        <f t="shared" si="5"/>
        <v>536.07373666166654</v>
      </c>
      <c r="O28" s="418">
        <f t="shared" si="5"/>
        <v>674.42177635193207</v>
      </c>
      <c r="P28" s="418">
        <f>SUM(P29:P33)</f>
        <v>420.87882966166654</v>
      </c>
      <c r="Q28" s="665"/>
      <c r="S28" s="668">
        <f>SUM(E28:P28)</f>
        <v>7407.8717073718572</v>
      </c>
      <c r="T28" s="668">
        <f>S28/$P$4</f>
        <v>617.32264228098813</v>
      </c>
      <c r="U28" s="1215">
        <f>T28*'ФОТ, МТР, макро'!$AI$7</f>
        <v>49385.811382479049</v>
      </c>
    </row>
    <row r="29" spans="1:21" x14ac:dyDescent="0.25">
      <c r="A29" s="386">
        <f>A28+1</f>
        <v>21</v>
      </c>
      <c r="B29" s="419" t="s">
        <v>354</v>
      </c>
      <c r="C29" s="420"/>
      <c r="D29" s="420"/>
      <c r="E29" s="421">
        <f>'SWDRT270SM ТО'!G9/1000</f>
        <v>300.62090926166655</v>
      </c>
      <c r="F29" s="421">
        <f>'SWDRT270SM ТО'!H9/1000</f>
        <v>300.62090926166655</v>
      </c>
      <c r="G29" s="421">
        <f>'SWDRT270SM ТО'!I9/1000</f>
        <v>300.62090926166655</v>
      </c>
      <c r="H29" s="421">
        <f>'SWDRT270SM ТО'!J9/1000</f>
        <v>300.62090926166655</v>
      </c>
      <c r="I29" s="421">
        <f>'SWDRT270SM ТО'!K9/1000</f>
        <v>300.62090926166655</v>
      </c>
      <c r="J29" s="421">
        <f>'SWDRT270SM ТО'!L9/1000</f>
        <v>300.62090926166655</v>
      </c>
      <c r="K29" s="421">
        <f>'SWDRT270SM ТО'!M9/1000</f>
        <v>300.62090926166655</v>
      </c>
      <c r="L29" s="421">
        <f>'SWDRT270SM ТО'!N9/1000</f>
        <v>300.62090926166655</v>
      </c>
      <c r="M29" s="421">
        <f>'SWDRT270SM ТО'!O9/1000</f>
        <v>300.62090926166655</v>
      </c>
      <c r="N29" s="421">
        <f>'SWDRT270SM ТО'!P9/1000</f>
        <v>300.62090926166655</v>
      </c>
      <c r="O29" s="421">
        <f>'SWDRT270SM ТО'!Q9/1000</f>
        <v>300.62090926166655</v>
      </c>
      <c r="P29" s="421">
        <f>'SWDRT270SM ТО'!R9/1000</f>
        <v>300.62090926166655</v>
      </c>
      <c r="Q29" s="664"/>
      <c r="S29" s="667">
        <f t="shared" ref="S29:S33" si="6">SUM(E29:P29)</f>
        <v>3607.450911139998</v>
      </c>
      <c r="T29" s="667">
        <f t="shared" ref="T29:T33" si="7">S29/$P$4</f>
        <v>300.6209092616665</v>
      </c>
    </row>
    <row r="30" spans="1:21" x14ac:dyDescent="0.25">
      <c r="A30" s="386">
        <f t="shared" ref="A30:A33" si="8">A29+1</f>
        <v>22</v>
      </c>
      <c r="B30" s="419" t="s">
        <v>355</v>
      </c>
      <c r="C30" s="420"/>
      <c r="D30" s="420"/>
      <c r="E30" s="421">
        <f>'SWDRT270SM Рем'!F29/1000</f>
        <v>53.173999999999999</v>
      </c>
      <c r="F30" s="421">
        <f>'SWDRT270SM Рем'!G29/1000</f>
        <v>53.173999999999999</v>
      </c>
      <c r="G30" s="421">
        <f>'SWDRT270SM Рем'!H29/1000</f>
        <v>53.173999999999999</v>
      </c>
      <c r="H30" s="421">
        <f>'SWDRT270SM Рем'!I29/1000</f>
        <v>53.173999999999999</v>
      </c>
      <c r="I30" s="421">
        <f>'SWDRT270SM Рем'!J29/1000</f>
        <v>53.173999999999999</v>
      </c>
      <c r="J30" s="421">
        <f>'SWDRT270SM Рем'!K29/1000</f>
        <v>53.173999999999999</v>
      </c>
      <c r="K30" s="421">
        <f>'SWDRT270SM Рем'!L29/1000</f>
        <v>53.173999999999999</v>
      </c>
      <c r="L30" s="421">
        <f>'SWDRT270SM Рем'!M29/1000</f>
        <v>53.173999999999999</v>
      </c>
      <c r="M30" s="421">
        <f>'SWDRT270SM Рем'!N29/1000</f>
        <v>53.173999999999999</v>
      </c>
      <c r="N30" s="421">
        <f>'SWDRT270SM Рем'!O29/1000</f>
        <v>53.173999999999999</v>
      </c>
      <c r="O30" s="421">
        <f>'SWDRT270SM Рем'!P29/1000</f>
        <v>53.173999999999999</v>
      </c>
      <c r="P30" s="421">
        <f>'SWDRT270SM Рем'!Q29/1000</f>
        <v>53.173999999999999</v>
      </c>
      <c r="Q30" s="664"/>
      <c r="S30" s="667">
        <f t="shared" si="6"/>
        <v>638.08799999999985</v>
      </c>
      <c r="T30" s="667">
        <f t="shared" si="7"/>
        <v>53.173999999999985</v>
      </c>
    </row>
    <row r="31" spans="1:21" ht="25.85" x14ac:dyDescent="0.25">
      <c r="A31" s="386">
        <f t="shared" si="8"/>
        <v>23</v>
      </c>
      <c r="B31" s="419" t="s">
        <v>356</v>
      </c>
      <c r="C31" s="420"/>
      <c r="D31" s="420"/>
      <c r="E31" s="421">
        <f>'SWDRT270SM Рем'!F33/1000</f>
        <v>35.958770399999999</v>
      </c>
      <c r="F31" s="421">
        <f>'SWDRT270SM Рем'!G33/1000</f>
        <v>301.93867209026541</v>
      </c>
      <c r="G31" s="421">
        <f>'SWDRT270SM Рем'!H33/1000</f>
        <v>327.73343229026545</v>
      </c>
      <c r="H31" s="421">
        <f>'SWDRT270SM Рем'!I33/1000</f>
        <v>133.08247740000002</v>
      </c>
      <c r="I31" s="421">
        <f>'SWDRT270SM Рем'!J33/1000</f>
        <v>264.44171709026546</v>
      </c>
      <c r="J31" s="421">
        <f>'SWDRT270SM Рем'!K33/1000</f>
        <v>365.23038729026541</v>
      </c>
      <c r="K31" s="421">
        <f>'SWDRT270SM Рем'!L33/1000</f>
        <v>95.585522399999988</v>
      </c>
      <c r="L31" s="421">
        <f>'SWDRT270SM Рем'!M33/1000</f>
        <v>307.31677209026549</v>
      </c>
      <c r="M31" s="421">
        <f>'SWDRT270SM Рем'!N33/1000</f>
        <v>268.1066802902655</v>
      </c>
      <c r="N31" s="421">
        <f>'SWDRT270SM Рем'!O33/1000</f>
        <v>133.08247740000002</v>
      </c>
      <c r="O31" s="421">
        <f>'SWDRT270SM Рем'!P33/1000</f>
        <v>264.44171709026546</v>
      </c>
      <c r="P31" s="421">
        <f>'SWDRT270SM Рем'!Q33/1000</f>
        <v>35.958770399999999</v>
      </c>
      <c r="Q31" s="664"/>
      <c r="S31" s="667">
        <f t="shared" si="6"/>
        <v>2532.8773962318578</v>
      </c>
      <c r="T31" s="667">
        <f t="shared" si="7"/>
        <v>211.07311635265481</v>
      </c>
    </row>
    <row r="32" spans="1:21" x14ac:dyDescent="0.25">
      <c r="A32" s="386">
        <f t="shared" si="8"/>
        <v>24</v>
      </c>
      <c r="B32" s="419" t="s">
        <v>357</v>
      </c>
      <c r="C32" s="420"/>
      <c r="D32" s="420"/>
      <c r="E32" s="421">
        <f>'SWDRT270SM ТО'!G10/1000</f>
        <v>19.04</v>
      </c>
      <c r="F32" s="421">
        <f>'SWDRT270SM ТО'!H10/1000</f>
        <v>19.04</v>
      </c>
      <c r="G32" s="421">
        <f>'SWDRT270SM ТО'!I10/1000</f>
        <v>19.04</v>
      </c>
      <c r="H32" s="421">
        <f>'SWDRT270SM ТО'!J10/1000</f>
        <v>19.04</v>
      </c>
      <c r="I32" s="421">
        <f>'SWDRT270SM ТО'!K10/1000</f>
        <v>19.04</v>
      </c>
      <c r="J32" s="421">
        <f>'SWDRT270SM ТО'!L10/1000</f>
        <v>19.04</v>
      </c>
      <c r="K32" s="421">
        <f>'SWDRT270SM ТО'!M10/1000</f>
        <v>19.04</v>
      </c>
      <c r="L32" s="421">
        <f>'SWDRT270SM ТО'!N10/1000</f>
        <v>19.04</v>
      </c>
      <c r="M32" s="421">
        <f>'SWDRT270SM ТО'!O10/1000</f>
        <v>19.04</v>
      </c>
      <c r="N32" s="421">
        <f>'SWDRT270SM ТО'!P10/1000</f>
        <v>19.04</v>
      </c>
      <c r="O32" s="421">
        <f>'SWDRT270SM ТО'!Q10/1000</f>
        <v>19.04</v>
      </c>
      <c r="P32" s="421">
        <f>'SWDRT270SM ТО'!R10/1000</f>
        <v>19.04</v>
      </c>
      <c r="Q32" s="664"/>
      <c r="S32" s="667">
        <f t="shared" si="6"/>
        <v>228.47999999999993</v>
      </c>
      <c r="T32" s="667">
        <f t="shared" si="7"/>
        <v>19.039999999999996</v>
      </c>
    </row>
    <row r="33" spans="1:20" ht="13.6" thickBot="1" x14ac:dyDescent="0.3">
      <c r="A33" s="386">
        <f t="shared" si="8"/>
        <v>25</v>
      </c>
      <c r="B33" s="422" t="s">
        <v>358</v>
      </c>
      <c r="C33" s="423"/>
      <c r="D33" s="423"/>
      <c r="E33" s="424">
        <f>'SWDRT270SM Рем'!F12/1000</f>
        <v>12.085150000000001</v>
      </c>
      <c r="F33" s="424">
        <f>'SWDRT270SM Рем'!G12/1000</f>
        <v>40.645150000000001</v>
      </c>
      <c r="G33" s="424">
        <f>'SWDRT270SM Рем'!H12/1000</f>
        <v>43.445149999999998</v>
      </c>
      <c r="H33" s="424">
        <f>'SWDRT270SM Рем'!I12/1000</f>
        <v>30.15635</v>
      </c>
      <c r="I33" s="424">
        <f>'SWDRT270SM Рем'!J12/1000</f>
        <v>37.145150000000001</v>
      </c>
      <c r="J33" s="424">
        <f>'SWDRT270SM Рем'!K12/1000</f>
        <v>46.945149999999998</v>
      </c>
      <c r="K33" s="424">
        <f>'SWDRT270SM Рем'!L12/1000</f>
        <v>30.926349999999999</v>
      </c>
      <c r="L33" s="424">
        <f>'SWDRT270SM Рем'!M12/1000</f>
        <v>39.315150000000003</v>
      </c>
      <c r="M33" s="424">
        <f>'SWDRT270SM Рем'!N12/1000</f>
        <v>40.925150000000002</v>
      </c>
      <c r="N33" s="424">
        <f>'SWDRT270SM Рем'!O12/1000</f>
        <v>30.15635</v>
      </c>
      <c r="O33" s="424">
        <f>'SWDRT270SM Рем'!P12/1000</f>
        <v>37.145150000000001</v>
      </c>
      <c r="P33" s="424">
        <f>'SWDRT270SM Рем'!Q12/1000</f>
        <v>12.085150000000001</v>
      </c>
      <c r="Q33" s="666"/>
      <c r="S33" s="667">
        <f t="shared" si="6"/>
        <v>400.97539999999998</v>
      </c>
      <c r="T33" s="667">
        <f t="shared" si="7"/>
        <v>33.414616666666667</v>
      </c>
    </row>
    <row r="34" spans="1:20" ht="13.6" thickBot="1" x14ac:dyDescent="0.3">
      <c r="A34" s="386"/>
      <c r="B34" s="377"/>
      <c r="C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</row>
    <row r="35" spans="1:20" ht="19.55" customHeight="1" x14ac:dyDescent="0.25">
      <c r="A35" s="386">
        <f>A33+1</f>
        <v>26</v>
      </c>
      <c r="B35" s="425" t="s">
        <v>359</v>
      </c>
      <c r="C35" s="417"/>
      <c r="D35" s="417"/>
      <c r="E35" s="699"/>
      <c r="F35" s="699"/>
      <c r="G35" s="699"/>
      <c r="H35" s="699"/>
      <c r="I35" s="699"/>
      <c r="J35" s="699"/>
      <c r="K35" s="699"/>
      <c r="L35" s="699"/>
      <c r="M35" s="699"/>
      <c r="N35" s="699"/>
      <c r="O35" s="699"/>
      <c r="P35" s="699"/>
      <c r="Q35" s="389" t="s">
        <v>568</v>
      </c>
    </row>
    <row r="36" spans="1:20" ht="19.55" customHeight="1" x14ac:dyDescent="0.25">
      <c r="A36" s="386">
        <f>A35+1</f>
        <v>27</v>
      </c>
      <c r="B36" s="427" t="s">
        <v>346</v>
      </c>
      <c r="C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428"/>
    </row>
    <row r="37" spans="1:20" x14ac:dyDescent="0.25">
      <c r="A37" s="386">
        <f t="shared" ref="A37:A56" si="9">A36+1</f>
        <v>28</v>
      </c>
      <c r="B37" s="429" t="s">
        <v>569</v>
      </c>
      <c r="C37" s="692"/>
      <c r="D37" s="398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395"/>
    </row>
    <row r="38" spans="1:20" ht="16.5" customHeight="1" x14ac:dyDescent="0.25">
      <c r="A38" s="386">
        <f t="shared" si="9"/>
        <v>29</v>
      </c>
      <c r="B38" s="431" t="s">
        <v>48</v>
      </c>
      <c r="C38" s="378"/>
      <c r="D38" s="398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395"/>
    </row>
    <row r="39" spans="1:20" ht="13.6" customHeight="1" x14ac:dyDescent="0.25">
      <c r="A39" s="386">
        <f t="shared" si="9"/>
        <v>30</v>
      </c>
      <c r="B39" s="431" t="s">
        <v>362</v>
      </c>
      <c r="C39" s="378"/>
      <c r="D39" s="434"/>
      <c r="E39" s="435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395"/>
    </row>
    <row r="40" spans="1:20" x14ac:dyDescent="0.25">
      <c r="A40" s="386">
        <f t="shared" si="9"/>
        <v>31</v>
      </c>
      <c r="B40" s="429" t="s">
        <v>184</v>
      </c>
      <c r="C40" s="434"/>
      <c r="D40" s="434"/>
      <c r="E40" s="435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395"/>
    </row>
    <row r="41" spans="1:20" ht="13.6" customHeight="1" x14ac:dyDescent="0.25">
      <c r="A41" s="386">
        <f t="shared" si="9"/>
        <v>32</v>
      </c>
      <c r="B41" s="431" t="s">
        <v>48</v>
      </c>
      <c r="C41" s="378"/>
      <c r="D41" s="434"/>
      <c r="E41" s="401"/>
      <c r="F41" s="401"/>
      <c r="G41" s="401"/>
      <c r="H41" s="401"/>
      <c r="I41" s="401"/>
      <c r="J41" s="401"/>
      <c r="K41" s="401"/>
      <c r="L41" s="401"/>
      <c r="M41" s="401"/>
      <c r="N41" s="401"/>
      <c r="O41" s="401"/>
      <c r="P41" s="401"/>
      <c r="Q41" s="395"/>
    </row>
    <row r="42" spans="1:20" ht="13.6" customHeight="1" x14ac:dyDescent="0.25">
      <c r="A42" s="386">
        <f t="shared" si="9"/>
        <v>33</v>
      </c>
      <c r="B42" s="431" t="s">
        <v>362</v>
      </c>
      <c r="C42" s="378"/>
      <c r="D42" s="434"/>
      <c r="E42" s="435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395"/>
    </row>
    <row r="43" spans="1:20" x14ac:dyDescent="0.25">
      <c r="A43" s="386">
        <f t="shared" si="9"/>
        <v>34</v>
      </c>
      <c r="B43" s="429" t="s">
        <v>570</v>
      </c>
      <c r="C43" s="434"/>
      <c r="D43" s="70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395"/>
    </row>
    <row r="44" spans="1:20" x14ac:dyDescent="0.25">
      <c r="A44" s="386">
        <f t="shared" si="9"/>
        <v>35</v>
      </c>
      <c r="B44" s="431" t="s">
        <v>48</v>
      </c>
      <c r="C44" s="378"/>
      <c r="D44" s="700"/>
      <c r="E44" s="401"/>
      <c r="F44" s="401"/>
      <c r="G44" s="401"/>
      <c r="H44" s="401"/>
      <c r="I44" s="401"/>
      <c r="J44" s="401"/>
      <c r="K44" s="401"/>
      <c r="L44" s="401"/>
      <c r="M44" s="401"/>
      <c r="N44" s="401"/>
      <c r="O44" s="401"/>
      <c r="P44" s="401"/>
      <c r="Q44" s="395"/>
    </row>
    <row r="45" spans="1:20" x14ac:dyDescent="0.25">
      <c r="A45" s="386">
        <f t="shared" si="9"/>
        <v>36</v>
      </c>
      <c r="B45" s="431" t="s">
        <v>362</v>
      </c>
      <c r="C45" s="378"/>
      <c r="D45" s="700"/>
      <c r="E45" s="435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395"/>
    </row>
    <row r="46" spans="1:20" x14ac:dyDescent="0.25">
      <c r="A46" s="386">
        <f t="shared" si="9"/>
        <v>37</v>
      </c>
      <c r="B46" s="429" t="s">
        <v>570</v>
      </c>
      <c r="C46" s="434"/>
      <c r="D46" s="70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395"/>
    </row>
    <row r="47" spans="1:20" x14ac:dyDescent="0.25">
      <c r="A47" s="386">
        <f t="shared" si="9"/>
        <v>38</v>
      </c>
      <c r="B47" s="431" t="s">
        <v>48</v>
      </c>
      <c r="C47" s="378"/>
      <c r="D47" s="700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395"/>
    </row>
    <row r="48" spans="1:20" x14ac:dyDescent="0.25">
      <c r="A48" s="386">
        <f t="shared" si="9"/>
        <v>39</v>
      </c>
      <c r="B48" s="431" t="s">
        <v>362</v>
      </c>
      <c r="C48" s="378"/>
      <c r="D48" s="700"/>
      <c r="E48" s="435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395"/>
    </row>
    <row r="49" spans="1:17" x14ac:dyDescent="0.25">
      <c r="A49" s="386">
        <f t="shared" si="9"/>
        <v>40</v>
      </c>
      <c r="B49" s="429" t="s">
        <v>570</v>
      </c>
      <c r="C49" s="434"/>
      <c r="D49" s="70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395"/>
    </row>
    <row r="50" spans="1:17" x14ac:dyDescent="0.25">
      <c r="A50" s="386">
        <f t="shared" si="9"/>
        <v>41</v>
      </c>
      <c r="B50" s="431" t="s">
        <v>48</v>
      </c>
      <c r="C50" s="378"/>
      <c r="D50" s="700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395"/>
    </row>
    <row r="51" spans="1:17" x14ac:dyDescent="0.25">
      <c r="A51" s="386">
        <f t="shared" si="9"/>
        <v>42</v>
      </c>
      <c r="B51" s="431" t="s">
        <v>362</v>
      </c>
      <c r="C51" s="378"/>
      <c r="D51" s="700"/>
      <c r="E51" s="435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395"/>
    </row>
    <row r="52" spans="1:17" ht="19.55" customHeight="1" x14ac:dyDescent="0.25">
      <c r="A52" s="386">
        <f t="shared" si="9"/>
        <v>43</v>
      </c>
      <c r="B52" s="427" t="s">
        <v>557</v>
      </c>
      <c r="C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428"/>
    </row>
    <row r="53" spans="1:17" x14ac:dyDescent="0.25">
      <c r="A53" s="386">
        <f t="shared" si="9"/>
        <v>44</v>
      </c>
      <c r="B53" s="429" t="s">
        <v>571</v>
      </c>
      <c r="C53" s="692"/>
      <c r="D53" s="398"/>
      <c r="E53" s="401"/>
      <c r="F53" s="401"/>
      <c r="G53" s="401"/>
      <c r="H53" s="401"/>
      <c r="I53" s="401"/>
      <c r="J53" s="401"/>
      <c r="K53" s="401"/>
      <c r="L53" s="401"/>
      <c r="M53" s="401"/>
      <c r="N53" s="401"/>
      <c r="O53" s="401"/>
      <c r="P53" s="401"/>
      <c r="Q53" s="395"/>
    </row>
    <row r="54" spans="1:17" x14ac:dyDescent="0.25">
      <c r="A54" s="386">
        <f t="shared" si="9"/>
        <v>45</v>
      </c>
      <c r="B54" s="431" t="s">
        <v>48</v>
      </c>
      <c r="C54" s="378"/>
      <c r="D54" s="398"/>
      <c r="E54" s="401"/>
      <c r="F54" s="401"/>
      <c r="G54" s="401"/>
      <c r="H54" s="401"/>
      <c r="I54" s="401"/>
      <c r="J54" s="401"/>
      <c r="K54" s="401"/>
      <c r="L54" s="401"/>
      <c r="M54" s="401"/>
      <c r="N54" s="401"/>
      <c r="O54" s="401"/>
      <c r="P54" s="401"/>
      <c r="Q54" s="395"/>
    </row>
    <row r="55" spans="1:17" x14ac:dyDescent="0.25">
      <c r="A55" s="386">
        <f t="shared" si="9"/>
        <v>46</v>
      </c>
      <c r="B55" s="431" t="s">
        <v>362</v>
      </c>
      <c r="C55" s="378"/>
      <c r="D55" s="434"/>
      <c r="E55" s="435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395"/>
    </row>
    <row r="56" spans="1:17" x14ac:dyDescent="0.25">
      <c r="A56" s="386">
        <f t="shared" si="9"/>
        <v>47</v>
      </c>
      <c r="B56" s="429" t="s">
        <v>572</v>
      </c>
      <c r="C56" s="398"/>
      <c r="D56" s="434"/>
      <c r="E56" s="435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395"/>
    </row>
    <row r="57" spans="1:17" x14ac:dyDescent="0.25">
      <c r="A57" s="386">
        <f t="shared" si="1"/>
        <v>48</v>
      </c>
      <c r="B57" s="431" t="s">
        <v>48</v>
      </c>
      <c r="C57" s="378"/>
      <c r="D57" s="434"/>
      <c r="E57" s="435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395"/>
    </row>
    <row r="58" spans="1:17" x14ac:dyDescent="0.25">
      <c r="A58" s="386">
        <f t="shared" si="1"/>
        <v>49</v>
      </c>
      <c r="B58" s="431" t="s">
        <v>362</v>
      </c>
      <c r="C58" s="378"/>
      <c r="D58" s="434"/>
      <c r="E58" s="435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395"/>
    </row>
    <row r="59" spans="1:17" x14ac:dyDescent="0.25">
      <c r="A59" s="386">
        <f t="shared" si="1"/>
        <v>50</v>
      </c>
      <c r="B59" s="429" t="s">
        <v>573</v>
      </c>
      <c r="C59" s="398"/>
      <c r="D59" s="434"/>
      <c r="E59" s="435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395"/>
    </row>
    <row r="60" spans="1:17" x14ac:dyDescent="0.25">
      <c r="A60" s="386">
        <f t="shared" si="1"/>
        <v>51</v>
      </c>
      <c r="B60" s="431" t="s">
        <v>48</v>
      </c>
      <c r="C60" s="378"/>
      <c r="D60" s="434"/>
      <c r="E60" s="435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395"/>
    </row>
    <row r="61" spans="1:17" x14ac:dyDescent="0.25">
      <c r="A61" s="386">
        <f t="shared" si="1"/>
        <v>52</v>
      </c>
      <c r="B61" s="431" t="s">
        <v>362</v>
      </c>
      <c r="C61" s="378"/>
      <c r="D61" s="434"/>
      <c r="E61" s="435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395"/>
    </row>
    <row r="62" spans="1:17" x14ac:dyDescent="0.25">
      <c r="A62" s="386">
        <f t="shared" si="1"/>
        <v>53</v>
      </c>
      <c r="B62" s="429" t="s">
        <v>184</v>
      </c>
      <c r="C62" s="434"/>
      <c r="D62" s="434"/>
      <c r="E62" s="435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395"/>
    </row>
    <row r="63" spans="1:17" x14ac:dyDescent="0.25">
      <c r="A63" s="386">
        <f t="shared" si="1"/>
        <v>54</v>
      </c>
      <c r="B63" s="431" t="s">
        <v>48</v>
      </c>
      <c r="C63" s="378"/>
      <c r="D63" s="434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395"/>
    </row>
    <row r="64" spans="1:17" x14ac:dyDescent="0.25">
      <c r="A64" s="386">
        <f t="shared" si="1"/>
        <v>55</v>
      </c>
      <c r="B64" s="431" t="s">
        <v>362</v>
      </c>
      <c r="C64" s="378"/>
      <c r="D64" s="434"/>
      <c r="E64" s="435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395"/>
    </row>
    <row r="65" spans="1:19" x14ac:dyDescent="0.25">
      <c r="A65" s="386">
        <f t="shared" si="1"/>
        <v>56</v>
      </c>
      <c r="B65" s="429" t="s">
        <v>574</v>
      </c>
      <c r="C65" s="434"/>
      <c r="D65" s="70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395"/>
    </row>
    <row r="66" spans="1:19" x14ac:dyDescent="0.25">
      <c r="A66" s="386">
        <f t="shared" si="1"/>
        <v>57</v>
      </c>
      <c r="B66" s="431" t="s">
        <v>48</v>
      </c>
      <c r="C66" s="378"/>
      <c r="D66" s="700"/>
      <c r="E66" s="401"/>
      <c r="F66" s="401"/>
      <c r="G66" s="401"/>
      <c r="H66" s="401"/>
      <c r="I66" s="401"/>
      <c r="J66" s="401"/>
      <c r="K66" s="401"/>
      <c r="L66" s="401"/>
      <c r="M66" s="401"/>
      <c r="N66" s="401"/>
      <c r="O66" s="401"/>
      <c r="P66" s="401"/>
      <c r="Q66" s="395"/>
    </row>
    <row r="67" spans="1:19" x14ac:dyDescent="0.25">
      <c r="A67" s="386">
        <f t="shared" si="1"/>
        <v>58</v>
      </c>
      <c r="B67" s="431" t="s">
        <v>362</v>
      </c>
      <c r="C67" s="378"/>
      <c r="D67" s="700"/>
      <c r="E67" s="435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395"/>
    </row>
    <row r="68" spans="1:19" x14ac:dyDescent="0.25">
      <c r="A68" s="386">
        <f t="shared" si="1"/>
        <v>59</v>
      </c>
      <c r="B68" s="429" t="s">
        <v>570</v>
      </c>
      <c r="C68" s="434"/>
      <c r="D68" s="70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395"/>
    </row>
    <row r="69" spans="1:19" x14ac:dyDescent="0.25">
      <c r="A69" s="386">
        <f t="shared" si="1"/>
        <v>60</v>
      </c>
      <c r="B69" s="431" t="s">
        <v>48</v>
      </c>
      <c r="C69" s="378"/>
      <c r="D69" s="700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1"/>
      <c r="P69" s="401"/>
      <c r="Q69" s="395"/>
    </row>
    <row r="70" spans="1:19" x14ac:dyDescent="0.25">
      <c r="A70" s="386">
        <f t="shared" ref="A70:A80" si="10">A69+1</f>
        <v>61</v>
      </c>
      <c r="B70" s="431" t="s">
        <v>362</v>
      </c>
      <c r="C70" s="378"/>
      <c r="D70" s="700"/>
      <c r="E70" s="435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395"/>
    </row>
    <row r="71" spans="1:19" x14ac:dyDescent="0.25">
      <c r="A71" s="386">
        <f t="shared" si="10"/>
        <v>62</v>
      </c>
      <c r="B71" s="429" t="s">
        <v>570</v>
      </c>
      <c r="C71" s="434"/>
      <c r="D71" s="700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395"/>
    </row>
    <row r="72" spans="1:19" x14ac:dyDescent="0.25">
      <c r="A72" s="386">
        <f t="shared" si="10"/>
        <v>63</v>
      </c>
      <c r="B72" s="431" t="s">
        <v>48</v>
      </c>
      <c r="C72" s="378"/>
      <c r="D72" s="700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1"/>
      <c r="P72" s="401"/>
      <c r="Q72" s="395"/>
    </row>
    <row r="73" spans="1:19" x14ac:dyDescent="0.25">
      <c r="A73" s="386">
        <f t="shared" si="10"/>
        <v>64</v>
      </c>
      <c r="B73" s="431" t="s">
        <v>362</v>
      </c>
      <c r="C73" s="378"/>
      <c r="D73" s="700"/>
      <c r="E73" s="435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395"/>
    </row>
    <row r="74" spans="1:19" x14ac:dyDescent="0.25">
      <c r="A74" s="386">
        <f t="shared" si="10"/>
        <v>65</v>
      </c>
      <c r="B74" s="429" t="s">
        <v>570</v>
      </c>
      <c r="C74" s="434"/>
      <c r="D74" s="700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440"/>
      <c r="Q74" s="395"/>
    </row>
    <row r="75" spans="1:19" x14ac:dyDescent="0.25">
      <c r="A75" s="386">
        <f t="shared" si="10"/>
        <v>66</v>
      </c>
      <c r="B75" s="431" t="s">
        <v>48</v>
      </c>
      <c r="C75" s="378"/>
      <c r="D75" s="700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1"/>
      <c r="P75" s="401"/>
      <c r="Q75" s="395"/>
    </row>
    <row r="76" spans="1:19" ht="13.6" thickBot="1" x14ac:dyDescent="0.3">
      <c r="A76" s="386">
        <f>A75+1</f>
        <v>67</v>
      </c>
      <c r="B76" s="701" t="s">
        <v>362</v>
      </c>
      <c r="C76" s="702"/>
      <c r="D76" s="703"/>
      <c r="E76" s="704"/>
      <c r="F76" s="705"/>
      <c r="G76" s="705"/>
      <c r="H76" s="705"/>
      <c r="I76" s="705"/>
      <c r="J76" s="705"/>
      <c r="K76" s="705"/>
      <c r="L76" s="705"/>
      <c r="M76" s="705"/>
      <c r="N76" s="705"/>
      <c r="O76" s="705"/>
      <c r="P76" s="705"/>
      <c r="Q76" s="407"/>
    </row>
    <row r="77" spans="1:19" ht="13.6" thickBot="1" x14ac:dyDescent="0.3">
      <c r="A77" s="386"/>
      <c r="B77" s="441"/>
      <c r="C77" s="442"/>
      <c r="D77" s="706"/>
      <c r="E77" s="444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6"/>
    </row>
    <row r="78" spans="1:19" ht="13.6" x14ac:dyDescent="0.25">
      <c r="A78" s="386">
        <f>A76+1</f>
        <v>68</v>
      </c>
      <c r="B78" s="447" t="s">
        <v>367</v>
      </c>
      <c r="C78" s="448"/>
      <c r="D78" s="448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389"/>
    </row>
    <row r="79" spans="1:19" ht="23.95" customHeight="1" x14ac:dyDescent="0.25">
      <c r="A79" s="386">
        <f t="shared" si="10"/>
        <v>69</v>
      </c>
      <c r="B79" s="431" t="s">
        <v>48</v>
      </c>
      <c r="C79" s="707" t="s">
        <v>575</v>
      </c>
      <c r="D79" s="707" t="s">
        <v>576</v>
      </c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395" t="s">
        <v>577</v>
      </c>
      <c r="S79" s="678">
        <v>2.5</v>
      </c>
    </row>
    <row r="80" spans="1:19" ht="18" customHeight="1" thickBot="1" x14ac:dyDescent="0.3">
      <c r="A80" s="386">
        <f t="shared" si="10"/>
        <v>70</v>
      </c>
      <c r="B80" s="403" t="s">
        <v>370</v>
      </c>
      <c r="C80" s="452" t="s">
        <v>371</v>
      </c>
      <c r="D80" s="450"/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5"/>
    </row>
    <row r="83" spans="5:17" ht="13.6" x14ac:dyDescent="0.25">
      <c r="E83" s="669">
        <f>E28/(365*24*E6)*1000</f>
        <v>53.694477492069176</v>
      </c>
      <c r="F83" s="669">
        <f t="shared" ref="F83:P83" si="11">F28/(365*24*F6)*1000</f>
        <v>94.372933710651338</v>
      </c>
      <c r="G83" s="669">
        <f t="shared" si="11"/>
        <v>100.46414009613406</v>
      </c>
      <c r="H83" s="669">
        <f t="shared" si="11"/>
        <v>69.952460798544877</v>
      </c>
      <c r="I83" s="669">
        <f t="shared" si="11"/>
        <v>88.964907967123125</v>
      </c>
      <c r="J83" s="669">
        <f t="shared" si="11"/>
        <v>106.27900321275177</v>
      </c>
      <c r="K83" s="669">
        <f t="shared" si="11"/>
        <v>66.124675976092959</v>
      </c>
      <c r="L83" s="669">
        <f t="shared" si="11"/>
        <v>94.906930174836958</v>
      </c>
      <c r="M83" s="669">
        <f t="shared" si="11"/>
        <v>91.591502078233674</v>
      </c>
      <c r="N83" s="669">
        <f t="shared" si="11"/>
        <v>71.63371432624767</v>
      </c>
      <c r="O83" s="669">
        <f t="shared" si="11"/>
        <v>90.120693402082566</v>
      </c>
      <c r="P83" s="669">
        <f t="shared" si="11"/>
        <v>56.240609804351145</v>
      </c>
      <c r="Q83" s="670">
        <f>SUMPRODUCT(E83:P83,E6:P6)/SUM(E6:P6)</f>
        <v>81.870287300153009</v>
      </c>
    </row>
  </sheetData>
  <dataValidations count="1">
    <dataValidation type="list" allowBlank="1" showInputMessage="1" showErrorMessage="1" sqref="C78" xr:uid="{FBDB4DF9-DEC2-4791-BE34-9CC3C59CDA0B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6FB9-B62F-4719-9AE2-EB12AB690296}">
  <sheetPr>
    <tabColor theme="9" tint="0.79998168889431442"/>
  </sheetPr>
  <dimension ref="B2:T107"/>
  <sheetViews>
    <sheetView showGridLines="0" zoomScale="85" zoomScaleNormal="85" workbookViewId="0">
      <pane xSplit="5" ySplit="4" topLeftCell="F5" activePane="bottomRight" state="frozen"/>
      <selection activeCell="T45" sqref="T45"/>
      <selection pane="topRight" activeCell="T45" sqref="T45"/>
      <selection pane="bottomLeft" activeCell="T45" sqref="T45"/>
      <selection pane="bottomRight" activeCell="T45" sqref="T45"/>
    </sheetView>
  </sheetViews>
  <sheetFormatPr defaultColWidth="9.125" defaultRowHeight="12.9" x14ac:dyDescent="0.2"/>
  <cols>
    <col min="1" max="1" width="5.5" style="456" customWidth="1"/>
    <col min="2" max="2" width="58.75" style="456" customWidth="1"/>
    <col min="3" max="3" width="16.5" style="708" customWidth="1"/>
    <col min="4" max="4" width="14.625" style="456" customWidth="1"/>
    <col min="5" max="5" width="14" style="708" customWidth="1"/>
    <col min="6" max="6" width="9.375" style="456" bestFit="1" customWidth="1"/>
    <col min="7" max="18" width="11.125" style="456" customWidth="1"/>
    <col min="19" max="19" width="5.5" style="456" customWidth="1"/>
    <col min="20" max="16384" width="9.125" style="456"/>
  </cols>
  <sheetData>
    <row r="2" spans="2:20" x14ac:dyDescent="0.2">
      <c r="B2" s="378" t="s">
        <v>327</v>
      </c>
    </row>
    <row r="3" spans="2:20" ht="13.6" thickBot="1" x14ac:dyDescent="0.25"/>
    <row r="4" spans="2:20" ht="22.25" customHeight="1" thickBot="1" x14ac:dyDescent="0.3">
      <c r="B4" s="457" t="s">
        <v>373</v>
      </c>
      <c r="C4" s="458" t="s">
        <v>7</v>
      </c>
      <c r="D4" s="459"/>
      <c r="E4" s="709"/>
      <c r="F4" s="461"/>
      <c r="G4" s="462">
        <f>E4+1</f>
        <v>1</v>
      </c>
      <c r="H4" s="462">
        <f>G4+1</f>
        <v>2</v>
      </c>
      <c r="I4" s="462">
        <f t="shared" ref="I4:P4" si="0">H4+1</f>
        <v>3</v>
      </c>
      <c r="J4" s="462">
        <f t="shared" si="0"/>
        <v>4</v>
      </c>
      <c r="K4" s="462">
        <f t="shared" si="0"/>
        <v>5</v>
      </c>
      <c r="L4" s="462">
        <f t="shared" si="0"/>
        <v>6</v>
      </c>
      <c r="M4" s="462">
        <f t="shared" si="0"/>
        <v>7</v>
      </c>
      <c r="N4" s="462">
        <f t="shared" si="0"/>
        <v>8</v>
      </c>
      <c r="O4" s="462">
        <f t="shared" si="0"/>
        <v>9</v>
      </c>
      <c r="P4" s="462">
        <f t="shared" si="0"/>
        <v>10</v>
      </c>
      <c r="Q4" s="462">
        <f>P4+1</f>
        <v>11</v>
      </c>
      <c r="R4" s="462">
        <f>Q4+1</f>
        <v>12</v>
      </c>
    </row>
    <row r="5" spans="2:20" x14ac:dyDescent="0.2">
      <c r="B5" s="463" t="s">
        <v>374</v>
      </c>
      <c r="C5" s="464" t="s">
        <v>375</v>
      </c>
      <c r="D5" s="465"/>
      <c r="E5" s="710"/>
      <c r="F5" s="467"/>
      <c r="G5" s="468">
        <v>0</v>
      </c>
      <c r="H5" s="468">
        <f>G6+1</f>
        <v>7001</v>
      </c>
      <c r="I5" s="468">
        <f t="shared" ref="I5:R5" si="1">H6+1</f>
        <v>14001</v>
      </c>
      <c r="J5" s="468">
        <f t="shared" si="1"/>
        <v>21001</v>
      </c>
      <c r="K5" s="468">
        <f t="shared" si="1"/>
        <v>28001</v>
      </c>
      <c r="L5" s="468">
        <f t="shared" si="1"/>
        <v>35001</v>
      </c>
      <c r="M5" s="468">
        <f t="shared" si="1"/>
        <v>42001</v>
      </c>
      <c r="N5" s="468">
        <f t="shared" si="1"/>
        <v>49001</v>
      </c>
      <c r="O5" s="468">
        <f t="shared" si="1"/>
        <v>56001</v>
      </c>
      <c r="P5" s="468">
        <f t="shared" si="1"/>
        <v>63001</v>
      </c>
      <c r="Q5" s="468">
        <f t="shared" si="1"/>
        <v>70001</v>
      </c>
      <c r="R5" s="468">
        <f t="shared" si="1"/>
        <v>77001</v>
      </c>
    </row>
    <row r="6" spans="2:20" x14ac:dyDescent="0.2">
      <c r="B6" s="469" t="s">
        <v>376</v>
      </c>
      <c r="C6" s="470" t="s">
        <v>375</v>
      </c>
      <c r="D6" s="471"/>
      <c r="E6" s="711"/>
      <c r="F6" s="473">
        <v>7000</v>
      </c>
      <c r="G6" s="474">
        <f>F6</f>
        <v>7000</v>
      </c>
      <c r="H6" s="474">
        <f t="shared" ref="H6:R6" si="2">G6+$F6</f>
        <v>14000</v>
      </c>
      <c r="I6" s="474">
        <f t="shared" si="2"/>
        <v>21000</v>
      </c>
      <c r="J6" s="474">
        <f t="shared" si="2"/>
        <v>28000</v>
      </c>
      <c r="K6" s="474">
        <f t="shared" si="2"/>
        <v>35000</v>
      </c>
      <c r="L6" s="474">
        <f t="shared" si="2"/>
        <v>42000</v>
      </c>
      <c r="M6" s="474">
        <f t="shared" si="2"/>
        <v>49000</v>
      </c>
      <c r="N6" s="474">
        <f t="shared" si="2"/>
        <v>56000</v>
      </c>
      <c r="O6" s="474">
        <f t="shared" si="2"/>
        <v>63000</v>
      </c>
      <c r="P6" s="474">
        <f t="shared" si="2"/>
        <v>70000</v>
      </c>
      <c r="Q6" s="474">
        <f t="shared" si="2"/>
        <v>77000</v>
      </c>
      <c r="R6" s="474">
        <f t="shared" si="2"/>
        <v>84000</v>
      </c>
    </row>
    <row r="7" spans="2:20" ht="21.75" customHeight="1" x14ac:dyDescent="0.2">
      <c r="B7" s="477" t="s">
        <v>377</v>
      </c>
      <c r="C7" s="478" t="s">
        <v>337</v>
      </c>
      <c r="D7" s="398"/>
      <c r="E7" s="479"/>
      <c r="F7" s="480"/>
      <c r="G7" s="481">
        <f>G13</f>
        <v>272</v>
      </c>
      <c r="H7" s="481">
        <f t="shared" ref="H7:R7" si="3">H13</f>
        <v>272</v>
      </c>
      <c r="I7" s="481">
        <f t="shared" si="3"/>
        <v>272</v>
      </c>
      <c r="J7" s="481">
        <f t="shared" si="3"/>
        <v>272</v>
      </c>
      <c r="K7" s="481">
        <f t="shared" si="3"/>
        <v>272</v>
      </c>
      <c r="L7" s="481">
        <f t="shared" si="3"/>
        <v>272</v>
      </c>
      <c r="M7" s="481">
        <f t="shared" si="3"/>
        <v>272</v>
      </c>
      <c r="N7" s="481">
        <f t="shared" si="3"/>
        <v>272</v>
      </c>
      <c r="O7" s="481">
        <f t="shared" si="3"/>
        <v>272</v>
      </c>
      <c r="P7" s="481">
        <f t="shared" si="3"/>
        <v>272</v>
      </c>
      <c r="Q7" s="481">
        <f t="shared" si="3"/>
        <v>272</v>
      </c>
      <c r="R7" s="481">
        <f t="shared" si="3"/>
        <v>272</v>
      </c>
    </row>
    <row r="8" spans="2:20" ht="21.1" customHeight="1" x14ac:dyDescent="0.2">
      <c r="B8" s="482" t="s">
        <v>378</v>
      </c>
      <c r="C8" s="429" t="s">
        <v>379</v>
      </c>
      <c r="D8" s="434"/>
      <c r="E8" s="479"/>
      <c r="F8" s="480"/>
      <c r="G8" s="483">
        <f>SUM(G9:G10)</f>
        <v>319660.90926166653</v>
      </c>
      <c r="H8" s="483">
        <f t="shared" ref="H8:R8" si="4">SUM(H9:H10)</f>
        <v>319660.90926166653</v>
      </c>
      <c r="I8" s="483">
        <f t="shared" si="4"/>
        <v>319660.90926166653</v>
      </c>
      <c r="J8" s="483">
        <f t="shared" si="4"/>
        <v>319660.90926166653</v>
      </c>
      <c r="K8" s="483">
        <f t="shared" si="4"/>
        <v>319660.90926166653</v>
      </c>
      <c r="L8" s="483">
        <f t="shared" si="4"/>
        <v>319660.90926166653</v>
      </c>
      <c r="M8" s="483">
        <f t="shared" si="4"/>
        <v>319660.90926166653</v>
      </c>
      <c r="N8" s="483">
        <f t="shared" si="4"/>
        <v>319660.90926166653</v>
      </c>
      <c r="O8" s="483">
        <f t="shared" si="4"/>
        <v>319660.90926166653</v>
      </c>
      <c r="P8" s="483">
        <f t="shared" si="4"/>
        <v>319660.90926166653</v>
      </c>
      <c r="Q8" s="483">
        <f t="shared" si="4"/>
        <v>319660.90926166653</v>
      </c>
      <c r="R8" s="483">
        <f t="shared" si="4"/>
        <v>319660.90926166653</v>
      </c>
    </row>
    <row r="9" spans="2:20" ht="20.25" customHeight="1" x14ac:dyDescent="0.2">
      <c r="B9" s="484" t="s">
        <v>380</v>
      </c>
      <c r="C9" s="485" t="s">
        <v>379</v>
      </c>
      <c r="D9" s="420"/>
      <c r="E9" s="486"/>
      <c r="F9" s="487"/>
      <c r="G9" s="488">
        <f>G20</f>
        <v>300620.90926166653</v>
      </c>
      <c r="H9" s="488">
        <f>H20</f>
        <v>300620.90926166653</v>
      </c>
      <c r="I9" s="488">
        <f t="shared" ref="I9:R9" si="5">I20</f>
        <v>300620.90926166653</v>
      </c>
      <c r="J9" s="488">
        <f t="shared" si="5"/>
        <v>300620.90926166653</v>
      </c>
      <c r="K9" s="488">
        <f t="shared" si="5"/>
        <v>300620.90926166653</v>
      </c>
      <c r="L9" s="488">
        <f t="shared" si="5"/>
        <v>300620.90926166653</v>
      </c>
      <c r="M9" s="488">
        <f t="shared" si="5"/>
        <v>300620.90926166653</v>
      </c>
      <c r="N9" s="488">
        <f t="shared" si="5"/>
        <v>300620.90926166653</v>
      </c>
      <c r="O9" s="488">
        <f t="shared" si="5"/>
        <v>300620.90926166653</v>
      </c>
      <c r="P9" s="488">
        <f t="shared" si="5"/>
        <v>300620.90926166653</v>
      </c>
      <c r="Q9" s="488">
        <f t="shared" si="5"/>
        <v>300620.90926166653</v>
      </c>
      <c r="R9" s="488">
        <f t="shared" si="5"/>
        <v>300620.90926166653</v>
      </c>
    </row>
    <row r="10" spans="2:20" ht="23.3" customHeight="1" thickBot="1" x14ac:dyDescent="0.25">
      <c r="B10" s="489" t="s">
        <v>381</v>
      </c>
      <c r="C10" s="490" t="s">
        <v>379</v>
      </c>
      <c r="D10" s="423"/>
      <c r="E10" s="491"/>
      <c r="F10" s="712">
        <v>35</v>
      </c>
      <c r="G10" s="493">
        <f>SUMPRODUCT(G14:G17,$F$14:$F$17)*$F10</f>
        <v>19040</v>
      </c>
      <c r="H10" s="493">
        <f t="shared" ref="H10:R10" si="6">SUMPRODUCT(H14:H17,$F$14:$F$17)*$F10</f>
        <v>19040</v>
      </c>
      <c r="I10" s="493">
        <f t="shared" si="6"/>
        <v>19040</v>
      </c>
      <c r="J10" s="493">
        <f t="shared" si="6"/>
        <v>19040</v>
      </c>
      <c r="K10" s="493">
        <f t="shared" si="6"/>
        <v>19040</v>
      </c>
      <c r="L10" s="493">
        <f t="shared" si="6"/>
        <v>19040</v>
      </c>
      <c r="M10" s="493">
        <f t="shared" si="6"/>
        <v>19040</v>
      </c>
      <c r="N10" s="493">
        <f t="shared" si="6"/>
        <v>19040</v>
      </c>
      <c r="O10" s="493">
        <f t="shared" si="6"/>
        <v>19040</v>
      </c>
      <c r="P10" s="493">
        <f t="shared" si="6"/>
        <v>19040</v>
      </c>
      <c r="Q10" s="493">
        <f t="shared" si="6"/>
        <v>19040</v>
      </c>
      <c r="R10" s="493">
        <f t="shared" si="6"/>
        <v>19040</v>
      </c>
    </row>
    <row r="11" spans="2:20" ht="13.6" thickBot="1" x14ac:dyDescent="0.25">
      <c r="B11" s="954"/>
      <c r="C11" s="955"/>
      <c r="D11" s="955"/>
      <c r="E11" s="955"/>
      <c r="F11" s="955"/>
      <c r="G11" s="955"/>
      <c r="H11" s="955"/>
      <c r="I11" s="955"/>
      <c r="J11" s="955"/>
      <c r="K11" s="955"/>
      <c r="L11" s="955"/>
      <c r="M11" s="955"/>
      <c r="N11" s="955"/>
      <c r="O11" s="955"/>
      <c r="P11" s="955"/>
      <c r="Q11" s="955"/>
      <c r="R11" s="955"/>
    </row>
    <row r="12" spans="2:20" ht="40.75" x14ac:dyDescent="0.2">
      <c r="B12" s="494" t="s">
        <v>382</v>
      </c>
      <c r="C12" s="495" t="s">
        <v>383</v>
      </c>
      <c r="D12" s="496" t="s">
        <v>384</v>
      </c>
      <c r="E12" s="497" t="s">
        <v>385</v>
      </c>
      <c r="F12" s="498" t="s">
        <v>386</v>
      </c>
      <c r="G12" s="499" t="s">
        <v>387</v>
      </c>
      <c r="H12" s="499" t="s">
        <v>387</v>
      </c>
      <c r="I12" s="499" t="s">
        <v>387</v>
      </c>
      <c r="J12" s="499" t="s">
        <v>387</v>
      </c>
      <c r="K12" s="499" t="s">
        <v>387</v>
      </c>
      <c r="L12" s="499" t="s">
        <v>387</v>
      </c>
      <c r="M12" s="499" t="s">
        <v>387</v>
      </c>
      <c r="N12" s="499" t="s">
        <v>387</v>
      </c>
      <c r="O12" s="499" t="s">
        <v>387</v>
      </c>
      <c r="P12" s="499" t="s">
        <v>387</v>
      </c>
      <c r="Q12" s="499" t="s">
        <v>387</v>
      </c>
      <c r="R12" s="499" t="s">
        <v>387</v>
      </c>
    </row>
    <row r="13" spans="2:20" ht="13.6" x14ac:dyDescent="0.2">
      <c r="B13" s="503" t="s">
        <v>393</v>
      </c>
      <c r="C13" s="504"/>
      <c r="D13" s="505"/>
      <c r="E13" s="506"/>
      <c r="F13" s="507"/>
      <c r="G13" s="508">
        <f>SUM(G14:G17)</f>
        <v>272</v>
      </c>
      <c r="H13" s="508">
        <f t="shared" ref="H13:R13" si="7">SUM(H14:H17)</f>
        <v>272</v>
      </c>
      <c r="I13" s="508">
        <f t="shared" si="7"/>
        <v>272</v>
      </c>
      <c r="J13" s="508">
        <f t="shared" si="7"/>
        <v>272</v>
      </c>
      <c r="K13" s="508">
        <f t="shared" si="7"/>
        <v>272</v>
      </c>
      <c r="L13" s="508">
        <f t="shared" si="7"/>
        <v>272</v>
      </c>
      <c r="M13" s="508">
        <f t="shared" si="7"/>
        <v>272</v>
      </c>
      <c r="N13" s="508">
        <f t="shared" si="7"/>
        <v>272</v>
      </c>
      <c r="O13" s="508">
        <f t="shared" si="7"/>
        <v>272</v>
      </c>
      <c r="P13" s="508">
        <f t="shared" si="7"/>
        <v>272</v>
      </c>
      <c r="Q13" s="508">
        <f t="shared" si="7"/>
        <v>272</v>
      </c>
      <c r="R13" s="508">
        <f t="shared" si="7"/>
        <v>272</v>
      </c>
    </row>
    <row r="14" spans="2:20" x14ac:dyDescent="0.2">
      <c r="B14" s="512" t="s">
        <v>394</v>
      </c>
      <c r="C14" s="713">
        <v>250</v>
      </c>
      <c r="D14" s="514">
        <v>6</v>
      </c>
      <c r="E14" s="714">
        <v>14</v>
      </c>
      <c r="F14" s="516">
        <v>2</v>
      </c>
      <c r="G14" s="514">
        <f>$E14*$D14</f>
        <v>84</v>
      </c>
      <c r="H14" s="514">
        <f>$E14*$D14</f>
        <v>84</v>
      </c>
      <c r="I14" s="514">
        <f>$E14*$D14</f>
        <v>84</v>
      </c>
      <c r="J14" s="514">
        <f t="shared" ref="H14:R17" si="8">$E14*$D14</f>
        <v>84</v>
      </c>
      <c r="K14" s="514">
        <f t="shared" si="8"/>
        <v>84</v>
      </c>
      <c r="L14" s="514">
        <f t="shared" si="8"/>
        <v>84</v>
      </c>
      <c r="M14" s="514">
        <f t="shared" si="8"/>
        <v>84</v>
      </c>
      <c r="N14" s="514">
        <f t="shared" si="8"/>
        <v>84</v>
      </c>
      <c r="O14" s="514">
        <f t="shared" si="8"/>
        <v>84</v>
      </c>
      <c r="P14" s="514">
        <f t="shared" si="8"/>
        <v>84</v>
      </c>
      <c r="Q14" s="514">
        <f t="shared" si="8"/>
        <v>84</v>
      </c>
      <c r="R14" s="514">
        <f t="shared" si="8"/>
        <v>84</v>
      </c>
      <c r="T14" s="456" t="s">
        <v>578</v>
      </c>
    </row>
    <row r="15" spans="2:20" x14ac:dyDescent="0.2">
      <c r="B15" s="512" t="s">
        <v>395</v>
      </c>
      <c r="C15" s="713">
        <v>500</v>
      </c>
      <c r="D15" s="514">
        <v>10</v>
      </c>
      <c r="E15" s="714">
        <v>7</v>
      </c>
      <c r="F15" s="516">
        <v>2</v>
      </c>
      <c r="G15" s="514">
        <f>$E15*$D15</f>
        <v>70</v>
      </c>
      <c r="H15" s="514">
        <f t="shared" si="8"/>
        <v>70</v>
      </c>
      <c r="I15" s="514">
        <f t="shared" si="8"/>
        <v>70</v>
      </c>
      <c r="J15" s="514">
        <f t="shared" si="8"/>
        <v>70</v>
      </c>
      <c r="K15" s="514">
        <f t="shared" si="8"/>
        <v>70</v>
      </c>
      <c r="L15" s="514">
        <f t="shared" si="8"/>
        <v>70</v>
      </c>
      <c r="M15" s="514">
        <f t="shared" si="8"/>
        <v>70</v>
      </c>
      <c r="N15" s="514">
        <f t="shared" si="8"/>
        <v>70</v>
      </c>
      <c r="O15" s="514">
        <f t="shared" si="8"/>
        <v>70</v>
      </c>
      <c r="P15" s="514">
        <f t="shared" si="8"/>
        <v>70</v>
      </c>
      <c r="Q15" s="514">
        <f t="shared" si="8"/>
        <v>70</v>
      </c>
      <c r="R15" s="514">
        <f t="shared" si="8"/>
        <v>70</v>
      </c>
      <c r="T15" s="456" t="s">
        <v>578</v>
      </c>
    </row>
    <row r="16" spans="2:20" x14ac:dyDescent="0.2">
      <c r="B16" s="512" t="s">
        <v>396</v>
      </c>
      <c r="C16" s="713">
        <v>1000</v>
      </c>
      <c r="D16" s="514">
        <v>16</v>
      </c>
      <c r="E16" s="714">
        <v>4</v>
      </c>
      <c r="F16" s="516">
        <v>2</v>
      </c>
      <c r="G16" s="514">
        <f>$E16*$D16</f>
        <v>64</v>
      </c>
      <c r="H16" s="514">
        <f t="shared" si="8"/>
        <v>64</v>
      </c>
      <c r="I16" s="514">
        <f t="shared" si="8"/>
        <v>64</v>
      </c>
      <c r="J16" s="514">
        <f t="shared" si="8"/>
        <v>64</v>
      </c>
      <c r="K16" s="514">
        <f t="shared" si="8"/>
        <v>64</v>
      </c>
      <c r="L16" s="514">
        <f t="shared" si="8"/>
        <v>64</v>
      </c>
      <c r="M16" s="514">
        <f t="shared" si="8"/>
        <v>64</v>
      </c>
      <c r="N16" s="514">
        <f t="shared" si="8"/>
        <v>64</v>
      </c>
      <c r="O16" s="514">
        <f t="shared" si="8"/>
        <v>64</v>
      </c>
      <c r="P16" s="514">
        <f t="shared" si="8"/>
        <v>64</v>
      </c>
      <c r="Q16" s="514">
        <f t="shared" si="8"/>
        <v>64</v>
      </c>
      <c r="R16" s="514">
        <f t="shared" si="8"/>
        <v>64</v>
      </c>
      <c r="T16" s="456" t="s">
        <v>578</v>
      </c>
    </row>
    <row r="17" spans="2:20" ht="13.6" thickBot="1" x14ac:dyDescent="0.25">
      <c r="B17" s="512" t="s">
        <v>397</v>
      </c>
      <c r="C17" s="713">
        <v>2000</v>
      </c>
      <c r="D17" s="514">
        <v>18</v>
      </c>
      <c r="E17" s="714">
        <v>3</v>
      </c>
      <c r="F17" s="516">
        <v>2</v>
      </c>
      <c r="G17" s="514">
        <f>$E17*$D17</f>
        <v>54</v>
      </c>
      <c r="H17" s="514">
        <f t="shared" si="8"/>
        <v>54</v>
      </c>
      <c r="I17" s="514">
        <f t="shared" si="8"/>
        <v>54</v>
      </c>
      <c r="J17" s="514">
        <f t="shared" si="8"/>
        <v>54</v>
      </c>
      <c r="K17" s="514">
        <f t="shared" si="8"/>
        <v>54</v>
      </c>
      <c r="L17" s="514">
        <f t="shared" si="8"/>
        <v>54</v>
      </c>
      <c r="M17" s="514">
        <f t="shared" si="8"/>
        <v>54</v>
      </c>
      <c r="N17" s="514">
        <f t="shared" si="8"/>
        <v>54</v>
      </c>
      <c r="O17" s="514">
        <f t="shared" si="8"/>
        <v>54</v>
      </c>
      <c r="P17" s="514">
        <f t="shared" si="8"/>
        <v>54</v>
      </c>
      <c r="Q17" s="514">
        <f t="shared" si="8"/>
        <v>54</v>
      </c>
      <c r="R17" s="514">
        <f>$E17*$D17</f>
        <v>54</v>
      </c>
      <c r="T17" s="456" t="s">
        <v>578</v>
      </c>
    </row>
    <row r="18" spans="2:20" ht="13.6" thickBot="1" x14ac:dyDescent="0.25">
      <c r="B18" s="954"/>
      <c r="C18" s="955"/>
      <c r="D18" s="955"/>
      <c r="E18" s="955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55"/>
      <c r="Q18" s="955"/>
      <c r="R18" s="955"/>
    </row>
    <row r="19" spans="2:20" ht="27.2" x14ac:dyDescent="0.2">
      <c r="B19" s="494" t="s">
        <v>378</v>
      </c>
      <c r="C19" s="715" t="s">
        <v>403</v>
      </c>
      <c r="D19" s="388" t="s">
        <v>404</v>
      </c>
      <c r="E19" s="556" t="s">
        <v>405</v>
      </c>
      <c r="F19" s="716" t="s">
        <v>385</v>
      </c>
      <c r="G19" s="555" t="s">
        <v>579</v>
      </c>
      <c r="H19" s="555" t="s">
        <v>579</v>
      </c>
      <c r="I19" s="555" t="s">
        <v>579</v>
      </c>
      <c r="J19" s="555" t="s">
        <v>579</v>
      </c>
      <c r="K19" s="555" t="s">
        <v>579</v>
      </c>
      <c r="L19" s="555" t="s">
        <v>579</v>
      </c>
      <c r="M19" s="555" t="s">
        <v>579</v>
      </c>
      <c r="N19" s="555" t="s">
        <v>579</v>
      </c>
      <c r="O19" s="555" t="s">
        <v>579</v>
      </c>
      <c r="P19" s="555" t="s">
        <v>579</v>
      </c>
      <c r="Q19" s="555" t="s">
        <v>579</v>
      </c>
      <c r="R19" s="555" t="s">
        <v>579</v>
      </c>
    </row>
    <row r="20" spans="2:20" ht="13.6" x14ac:dyDescent="0.25">
      <c r="B20" s="717" t="s">
        <v>354</v>
      </c>
      <c r="C20" s="718"/>
      <c r="D20" s="719"/>
      <c r="E20" s="720"/>
      <c r="F20" s="721"/>
      <c r="G20" s="722">
        <f>SUM(G21:G107)</f>
        <v>300620.90926166653</v>
      </c>
      <c r="H20" s="722">
        <f t="shared" ref="H20:R20" si="9">SUM(H21:H107)</f>
        <v>300620.90926166653</v>
      </c>
      <c r="I20" s="722">
        <f t="shared" si="9"/>
        <v>300620.90926166653</v>
      </c>
      <c r="J20" s="722">
        <f t="shared" si="9"/>
        <v>300620.90926166653</v>
      </c>
      <c r="K20" s="722">
        <f t="shared" si="9"/>
        <v>300620.90926166653</v>
      </c>
      <c r="L20" s="722">
        <f t="shared" si="9"/>
        <v>300620.90926166653</v>
      </c>
      <c r="M20" s="722">
        <f t="shared" si="9"/>
        <v>300620.90926166653</v>
      </c>
      <c r="N20" s="722">
        <f t="shared" si="9"/>
        <v>300620.90926166653</v>
      </c>
      <c r="O20" s="722">
        <f t="shared" si="9"/>
        <v>300620.90926166653</v>
      </c>
      <c r="P20" s="722">
        <f t="shared" si="9"/>
        <v>300620.90926166653</v>
      </c>
      <c r="Q20" s="722">
        <f t="shared" si="9"/>
        <v>300620.90926166653</v>
      </c>
      <c r="R20" s="722">
        <f t="shared" si="9"/>
        <v>300620.90926166653</v>
      </c>
    </row>
    <row r="21" spans="2:20" x14ac:dyDescent="0.2">
      <c r="B21" s="723" t="s">
        <v>394</v>
      </c>
      <c r="C21" s="470"/>
      <c r="D21" s="724"/>
      <c r="E21" s="569">
        <f>VLOOKUP($B21,$B$14:$C$17,2,FALSE)</f>
        <v>250</v>
      </c>
      <c r="F21" s="473">
        <f>VLOOKUP($B21,$B$14:$E$17,4,FALSE)</f>
        <v>14</v>
      </c>
      <c r="G21" s="474"/>
      <c r="H21" s="474"/>
      <c r="I21" s="474"/>
      <c r="J21" s="474"/>
      <c r="K21" s="474"/>
      <c r="L21" s="474"/>
      <c r="M21" s="474"/>
      <c r="N21" s="474"/>
      <c r="O21" s="474"/>
      <c r="P21" s="474"/>
      <c r="Q21" s="474"/>
      <c r="R21" s="474"/>
    </row>
    <row r="22" spans="2:20" x14ac:dyDescent="0.2">
      <c r="B22" s="725" t="s">
        <v>580</v>
      </c>
      <c r="C22" s="726">
        <v>750201012207</v>
      </c>
      <c r="D22" s="727">
        <v>159.86879999999999</v>
      </c>
      <c r="E22" s="728">
        <v>2</v>
      </c>
      <c r="F22" s="729"/>
      <c r="G22" s="534">
        <f>IF(G$14=0,0,G$14/$D$14*$E22*$D22)</f>
        <v>4476.3263999999999</v>
      </c>
      <c r="H22" s="534">
        <f>IF(H$14=0,0,H$14/$D$14*$E22*$D22)</f>
        <v>4476.3263999999999</v>
      </c>
      <c r="I22" s="534">
        <f>IF(I$14=0,0,I$14/$D$14*$E22*$D22)</f>
        <v>4476.3263999999999</v>
      </c>
      <c r="J22" s="534">
        <f>IF(J$14=0,0,J$14/$D$14*$E22*$D22)</f>
        <v>4476.3263999999999</v>
      </c>
      <c r="K22" s="534">
        <f t="shared" ref="H22:R30" si="10">IF(K$14=0,0,K$14/$D$14*$E22*$D22)</f>
        <v>4476.3263999999999</v>
      </c>
      <c r="L22" s="534">
        <f t="shared" si="10"/>
        <v>4476.3263999999999</v>
      </c>
      <c r="M22" s="534">
        <f t="shared" si="10"/>
        <v>4476.3263999999999</v>
      </c>
      <c r="N22" s="534">
        <f t="shared" si="10"/>
        <v>4476.3263999999999</v>
      </c>
      <c r="O22" s="534">
        <f t="shared" si="10"/>
        <v>4476.3263999999999</v>
      </c>
      <c r="P22" s="534">
        <f t="shared" si="10"/>
        <v>4476.3263999999999</v>
      </c>
      <c r="Q22" s="534">
        <f t="shared" si="10"/>
        <v>4476.3263999999999</v>
      </c>
      <c r="R22" s="534">
        <f>IF(R$14=0,0,R$14/$D$14*$E22*$D22)</f>
        <v>4476.3263999999999</v>
      </c>
    </row>
    <row r="23" spans="2:20" x14ac:dyDescent="0.2">
      <c r="B23" s="725" t="s">
        <v>581</v>
      </c>
      <c r="C23" s="726" t="s">
        <v>582</v>
      </c>
      <c r="D23" s="727">
        <v>127.8</v>
      </c>
      <c r="E23" s="728">
        <v>1</v>
      </c>
      <c r="F23" s="729"/>
      <c r="G23" s="534">
        <f>IF(G$14=0,0,G$14/$D$14*$E23*$D23)</f>
        <v>1789.2</v>
      </c>
      <c r="H23" s="534">
        <f t="shared" si="10"/>
        <v>1789.2</v>
      </c>
      <c r="I23" s="534">
        <f t="shared" si="10"/>
        <v>1789.2</v>
      </c>
      <c r="J23" s="534">
        <f t="shared" si="10"/>
        <v>1789.2</v>
      </c>
      <c r="K23" s="534">
        <f t="shared" si="10"/>
        <v>1789.2</v>
      </c>
      <c r="L23" s="534">
        <f t="shared" si="10"/>
        <v>1789.2</v>
      </c>
      <c r="M23" s="534">
        <f t="shared" si="10"/>
        <v>1789.2</v>
      </c>
      <c r="N23" s="534">
        <f t="shared" si="10"/>
        <v>1789.2</v>
      </c>
      <c r="O23" s="534">
        <f t="shared" si="10"/>
        <v>1789.2</v>
      </c>
      <c r="P23" s="534">
        <f t="shared" si="10"/>
        <v>1789.2</v>
      </c>
      <c r="Q23" s="534">
        <f t="shared" si="10"/>
        <v>1789.2</v>
      </c>
      <c r="R23" s="534">
        <f>IF(R$14=0,0,R$14/$D$14*$E23*$D23)</f>
        <v>1789.2</v>
      </c>
    </row>
    <row r="24" spans="2:20" x14ac:dyDescent="0.2">
      <c r="B24" s="725" t="s">
        <v>581</v>
      </c>
      <c r="C24" s="726" t="s">
        <v>583</v>
      </c>
      <c r="D24" s="727">
        <v>172.43999999999997</v>
      </c>
      <c r="E24" s="728">
        <v>1</v>
      </c>
      <c r="F24" s="729"/>
      <c r="G24" s="534">
        <f>IF(G$14=0,0,G$14/$D$14*$E24*$D24)</f>
        <v>2414.1599999999994</v>
      </c>
      <c r="H24" s="534">
        <f t="shared" si="10"/>
        <v>2414.1599999999994</v>
      </c>
      <c r="I24" s="534">
        <f t="shared" si="10"/>
        <v>2414.1599999999994</v>
      </c>
      <c r="J24" s="534">
        <f t="shared" si="10"/>
        <v>2414.1599999999994</v>
      </c>
      <c r="K24" s="534">
        <f t="shared" si="10"/>
        <v>2414.1599999999994</v>
      </c>
      <c r="L24" s="534">
        <f t="shared" si="10"/>
        <v>2414.1599999999994</v>
      </c>
      <c r="M24" s="534">
        <f t="shared" si="10"/>
        <v>2414.1599999999994</v>
      </c>
      <c r="N24" s="534">
        <f t="shared" si="10"/>
        <v>2414.1599999999994</v>
      </c>
      <c r="O24" s="534">
        <f t="shared" si="10"/>
        <v>2414.1599999999994</v>
      </c>
      <c r="P24" s="534">
        <f t="shared" si="10"/>
        <v>2414.1599999999994</v>
      </c>
      <c r="Q24" s="534">
        <f t="shared" si="10"/>
        <v>2414.1599999999994</v>
      </c>
      <c r="R24" s="534">
        <f t="shared" si="10"/>
        <v>2414.1599999999994</v>
      </c>
    </row>
    <row r="25" spans="2:20" x14ac:dyDescent="0.2">
      <c r="B25" s="725" t="s">
        <v>584</v>
      </c>
      <c r="C25" s="726">
        <v>750201018263</v>
      </c>
      <c r="D25" s="727">
        <v>83.52</v>
      </c>
      <c r="E25" s="728">
        <v>1</v>
      </c>
      <c r="F25" s="729"/>
      <c r="G25" s="534">
        <f t="shared" ref="G25:G29" si="11">IF(G$14=0,0,G$14/$D$14*$E25*$D25)</f>
        <v>1169.28</v>
      </c>
      <c r="H25" s="534">
        <f t="shared" si="10"/>
        <v>1169.28</v>
      </c>
      <c r="I25" s="534">
        <f t="shared" si="10"/>
        <v>1169.28</v>
      </c>
      <c r="J25" s="534">
        <f t="shared" si="10"/>
        <v>1169.28</v>
      </c>
      <c r="K25" s="534">
        <f t="shared" si="10"/>
        <v>1169.28</v>
      </c>
      <c r="L25" s="534">
        <f t="shared" si="10"/>
        <v>1169.28</v>
      </c>
      <c r="M25" s="534">
        <f t="shared" si="10"/>
        <v>1169.28</v>
      </c>
      <c r="N25" s="534">
        <f t="shared" si="10"/>
        <v>1169.28</v>
      </c>
      <c r="O25" s="534">
        <f t="shared" si="10"/>
        <v>1169.28</v>
      </c>
      <c r="P25" s="534">
        <f t="shared" si="10"/>
        <v>1169.28</v>
      </c>
      <c r="Q25" s="534">
        <f t="shared" si="10"/>
        <v>1169.28</v>
      </c>
      <c r="R25" s="534">
        <f t="shared" si="10"/>
        <v>1169.28</v>
      </c>
    </row>
    <row r="26" spans="2:20" x14ac:dyDescent="0.2">
      <c r="B26" s="725" t="s">
        <v>585</v>
      </c>
      <c r="C26" s="726">
        <v>730403000677</v>
      </c>
      <c r="D26" s="727">
        <v>380.16</v>
      </c>
      <c r="E26" s="728">
        <v>2</v>
      </c>
      <c r="F26" s="729"/>
      <c r="G26" s="534">
        <f t="shared" si="11"/>
        <v>10644.480000000001</v>
      </c>
      <c r="H26" s="534">
        <f t="shared" si="10"/>
        <v>10644.480000000001</v>
      </c>
      <c r="I26" s="534">
        <f t="shared" si="10"/>
        <v>10644.480000000001</v>
      </c>
      <c r="J26" s="534">
        <f t="shared" si="10"/>
        <v>10644.480000000001</v>
      </c>
      <c r="K26" s="534">
        <f t="shared" si="10"/>
        <v>10644.480000000001</v>
      </c>
      <c r="L26" s="534">
        <f t="shared" si="10"/>
        <v>10644.480000000001</v>
      </c>
      <c r="M26" s="534">
        <f t="shared" si="10"/>
        <v>10644.480000000001</v>
      </c>
      <c r="N26" s="534">
        <f t="shared" si="10"/>
        <v>10644.480000000001</v>
      </c>
      <c r="O26" s="534">
        <f t="shared" si="10"/>
        <v>10644.480000000001</v>
      </c>
      <c r="P26" s="534">
        <f t="shared" si="10"/>
        <v>10644.480000000001</v>
      </c>
      <c r="Q26" s="534">
        <f t="shared" si="10"/>
        <v>10644.480000000001</v>
      </c>
      <c r="R26" s="534">
        <f t="shared" si="10"/>
        <v>10644.480000000001</v>
      </c>
    </row>
    <row r="27" spans="2:20" x14ac:dyDescent="0.2">
      <c r="B27" s="725" t="s">
        <v>586</v>
      </c>
      <c r="C27" s="726">
        <v>730403000677</v>
      </c>
      <c r="D27" s="727">
        <v>380.16</v>
      </c>
      <c r="E27" s="728">
        <v>2</v>
      </c>
      <c r="F27" s="729"/>
      <c r="G27" s="534">
        <f t="shared" si="11"/>
        <v>10644.480000000001</v>
      </c>
      <c r="H27" s="534">
        <f t="shared" si="10"/>
        <v>10644.480000000001</v>
      </c>
      <c r="I27" s="534">
        <f t="shared" si="10"/>
        <v>10644.480000000001</v>
      </c>
      <c r="J27" s="534">
        <f t="shared" si="10"/>
        <v>10644.480000000001</v>
      </c>
      <c r="K27" s="534">
        <f t="shared" si="10"/>
        <v>10644.480000000001</v>
      </c>
      <c r="L27" s="534">
        <f t="shared" si="10"/>
        <v>10644.480000000001</v>
      </c>
      <c r="M27" s="534">
        <f t="shared" si="10"/>
        <v>10644.480000000001</v>
      </c>
      <c r="N27" s="534">
        <f t="shared" si="10"/>
        <v>10644.480000000001</v>
      </c>
      <c r="O27" s="534">
        <f t="shared" si="10"/>
        <v>10644.480000000001</v>
      </c>
      <c r="P27" s="534">
        <f t="shared" si="10"/>
        <v>10644.480000000001</v>
      </c>
      <c r="Q27" s="534">
        <f t="shared" si="10"/>
        <v>10644.480000000001</v>
      </c>
      <c r="R27" s="534">
        <f t="shared" si="10"/>
        <v>10644.480000000001</v>
      </c>
    </row>
    <row r="28" spans="2:20" x14ac:dyDescent="0.2">
      <c r="B28" s="725" t="s">
        <v>587</v>
      </c>
      <c r="C28" s="726" t="s">
        <v>588</v>
      </c>
      <c r="D28" s="727">
        <v>427.24799999999999</v>
      </c>
      <c r="E28" s="728">
        <v>1</v>
      </c>
      <c r="F28" s="729"/>
      <c r="G28" s="534">
        <f t="shared" si="11"/>
        <v>5981.4719999999998</v>
      </c>
      <c r="H28" s="534">
        <f t="shared" si="10"/>
        <v>5981.4719999999998</v>
      </c>
      <c r="I28" s="534">
        <f t="shared" si="10"/>
        <v>5981.4719999999998</v>
      </c>
      <c r="J28" s="534">
        <f t="shared" si="10"/>
        <v>5981.4719999999998</v>
      </c>
      <c r="K28" s="534">
        <f t="shared" si="10"/>
        <v>5981.4719999999998</v>
      </c>
      <c r="L28" s="534">
        <f t="shared" si="10"/>
        <v>5981.4719999999998</v>
      </c>
      <c r="M28" s="534">
        <f t="shared" si="10"/>
        <v>5981.4719999999998</v>
      </c>
      <c r="N28" s="534">
        <f t="shared" si="10"/>
        <v>5981.4719999999998</v>
      </c>
      <c r="O28" s="534">
        <f t="shared" si="10"/>
        <v>5981.4719999999998</v>
      </c>
      <c r="P28" s="534">
        <f t="shared" si="10"/>
        <v>5981.4719999999998</v>
      </c>
      <c r="Q28" s="534">
        <f t="shared" si="10"/>
        <v>5981.4719999999998</v>
      </c>
      <c r="R28" s="534">
        <f t="shared" si="10"/>
        <v>5981.4719999999998</v>
      </c>
    </row>
    <row r="29" spans="2:20" x14ac:dyDescent="0.2">
      <c r="B29" s="725" t="s">
        <v>589</v>
      </c>
      <c r="C29" s="726">
        <v>750201011177</v>
      </c>
      <c r="D29" s="727">
        <v>146.03399999999999</v>
      </c>
      <c r="E29" s="728">
        <v>2</v>
      </c>
      <c r="F29" s="729"/>
      <c r="G29" s="534">
        <f t="shared" si="11"/>
        <v>4088.9519999999998</v>
      </c>
      <c r="H29" s="534">
        <f t="shared" si="10"/>
        <v>4088.9519999999998</v>
      </c>
      <c r="I29" s="534">
        <f t="shared" si="10"/>
        <v>4088.9519999999998</v>
      </c>
      <c r="J29" s="534">
        <f t="shared" si="10"/>
        <v>4088.9519999999998</v>
      </c>
      <c r="K29" s="534">
        <f t="shared" si="10"/>
        <v>4088.9519999999998</v>
      </c>
      <c r="L29" s="534">
        <f t="shared" si="10"/>
        <v>4088.9519999999998</v>
      </c>
      <c r="M29" s="534">
        <f t="shared" si="10"/>
        <v>4088.9519999999998</v>
      </c>
      <c r="N29" s="534">
        <f t="shared" si="10"/>
        <v>4088.9519999999998</v>
      </c>
      <c r="O29" s="534">
        <f t="shared" si="10"/>
        <v>4088.9519999999998</v>
      </c>
      <c r="P29" s="534">
        <f t="shared" si="10"/>
        <v>4088.9519999999998</v>
      </c>
      <c r="Q29" s="534">
        <f t="shared" si="10"/>
        <v>4088.9519999999998</v>
      </c>
      <c r="R29" s="534">
        <f t="shared" si="10"/>
        <v>4088.9519999999998</v>
      </c>
    </row>
    <row r="30" spans="2:20" x14ac:dyDescent="0.2">
      <c r="B30" s="725" t="s">
        <v>590</v>
      </c>
      <c r="C30" s="730" t="s">
        <v>591</v>
      </c>
      <c r="D30" s="727">
        <v>6.5609999999999999</v>
      </c>
      <c r="E30" s="728">
        <v>75</v>
      </c>
      <c r="F30" s="729"/>
      <c r="G30" s="534">
        <f>IF(G$14=0,0,G$14/$D$14*$E30*$D30)</f>
        <v>6889.05</v>
      </c>
      <c r="H30" s="534">
        <f t="shared" si="10"/>
        <v>6889.05</v>
      </c>
      <c r="I30" s="534">
        <f t="shared" si="10"/>
        <v>6889.05</v>
      </c>
      <c r="J30" s="534">
        <f t="shared" si="10"/>
        <v>6889.05</v>
      </c>
      <c r="K30" s="534">
        <f t="shared" si="10"/>
        <v>6889.05</v>
      </c>
      <c r="L30" s="534">
        <f t="shared" si="10"/>
        <v>6889.05</v>
      </c>
      <c r="M30" s="534">
        <f t="shared" si="10"/>
        <v>6889.05</v>
      </c>
      <c r="N30" s="534">
        <f t="shared" si="10"/>
        <v>6889.05</v>
      </c>
      <c r="O30" s="534">
        <f t="shared" si="10"/>
        <v>6889.05</v>
      </c>
      <c r="P30" s="534">
        <f t="shared" si="10"/>
        <v>6889.05</v>
      </c>
      <c r="Q30" s="534">
        <f t="shared" si="10"/>
        <v>6889.05</v>
      </c>
      <c r="R30" s="534">
        <f t="shared" si="10"/>
        <v>6889.05</v>
      </c>
    </row>
    <row r="31" spans="2:20" x14ac:dyDescent="0.2">
      <c r="B31" s="723" t="s">
        <v>395</v>
      </c>
      <c r="C31" s="470"/>
      <c r="D31" s="724"/>
      <c r="E31" s="569">
        <f>VLOOKUP($B31,$B$14:$C$17,2,FALSE)</f>
        <v>500</v>
      </c>
      <c r="F31" s="473">
        <f>VLOOKUP($B31,$B$14:$E$17,4,FALSE)</f>
        <v>7</v>
      </c>
      <c r="G31" s="474"/>
      <c r="H31" s="474"/>
      <c r="I31" s="474"/>
      <c r="J31" s="474"/>
      <c r="K31" s="474"/>
      <c r="L31" s="474"/>
      <c r="M31" s="474"/>
      <c r="N31" s="474"/>
      <c r="O31" s="474"/>
      <c r="P31" s="474"/>
      <c r="Q31" s="474"/>
      <c r="R31" s="474"/>
    </row>
    <row r="32" spans="2:20" x14ac:dyDescent="0.2">
      <c r="B32" s="725" t="s">
        <v>580</v>
      </c>
      <c r="C32" s="726">
        <v>750201012207</v>
      </c>
      <c r="D32" s="727">
        <v>159.86879999999999</v>
      </c>
      <c r="E32" s="728">
        <v>2</v>
      </c>
      <c r="F32" s="729"/>
      <c r="G32" s="534">
        <f>IF(G$15=0,0,G$15/$D$15*$E32*$D32)</f>
        <v>2238.1632</v>
      </c>
      <c r="H32" s="534">
        <f>IF(H$15=0,0,H$15/$D$15*$E32*$D32)</f>
        <v>2238.1632</v>
      </c>
      <c r="I32" s="534">
        <f t="shared" ref="I32:R46" si="12">IF(I$15=0,0,I$15/$D$15*$E32*$D32)</f>
        <v>2238.1632</v>
      </c>
      <c r="J32" s="534">
        <f t="shared" si="12"/>
        <v>2238.1632</v>
      </c>
      <c r="K32" s="534">
        <f t="shared" si="12"/>
        <v>2238.1632</v>
      </c>
      <c r="L32" s="534">
        <f t="shared" si="12"/>
        <v>2238.1632</v>
      </c>
      <c r="M32" s="534">
        <f t="shared" si="12"/>
        <v>2238.1632</v>
      </c>
      <c r="N32" s="534">
        <f t="shared" si="12"/>
        <v>2238.1632</v>
      </c>
      <c r="O32" s="534">
        <f t="shared" si="12"/>
        <v>2238.1632</v>
      </c>
      <c r="P32" s="534">
        <f t="shared" si="12"/>
        <v>2238.1632</v>
      </c>
      <c r="Q32" s="534">
        <f t="shared" si="12"/>
        <v>2238.1632</v>
      </c>
      <c r="R32" s="534">
        <f t="shared" si="12"/>
        <v>2238.1632</v>
      </c>
    </row>
    <row r="33" spans="2:20" x14ac:dyDescent="0.2">
      <c r="B33" s="725" t="s">
        <v>581</v>
      </c>
      <c r="C33" s="726" t="s">
        <v>582</v>
      </c>
      <c r="D33" s="727">
        <v>127.8</v>
      </c>
      <c r="E33" s="728">
        <v>1</v>
      </c>
      <c r="F33" s="729"/>
      <c r="G33" s="534">
        <f>IF(G$15=0,0,G$15/$D$15*$E33*$D33)</f>
        <v>894.6</v>
      </c>
      <c r="H33" s="534">
        <f t="shared" ref="G33:H46" si="13">IF(H$15=0,0,H$15/$D$15*$E33*$D33)</f>
        <v>894.6</v>
      </c>
      <c r="I33" s="534">
        <f t="shared" si="12"/>
        <v>894.6</v>
      </c>
      <c r="J33" s="534">
        <f t="shared" si="12"/>
        <v>894.6</v>
      </c>
      <c r="K33" s="534">
        <f t="shared" si="12"/>
        <v>894.6</v>
      </c>
      <c r="L33" s="534">
        <f t="shared" si="12"/>
        <v>894.6</v>
      </c>
      <c r="M33" s="534">
        <f t="shared" si="12"/>
        <v>894.6</v>
      </c>
      <c r="N33" s="534">
        <f t="shared" si="12"/>
        <v>894.6</v>
      </c>
      <c r="O33" s="534">
        <f t="shared" si="12"/>
        <v>894.6</v>
      </c>
      <c r="P33" s="534">
        <f t="shared" si="12"/>
        <v>894.6</v>
      </c>
      <c r="Q33" s="534">
        <f t="shared" si="12"/>
        <v>894.6</v>
      </c>
      <c r="R33" s="534">
        <f t="shared" si="12"/>
        <v>894.6</v>
      </c>
    </row>
    <row r="34" spans="2:20" x14ac:dyDescent="0.2">
      <c r="B34" s="725" t="s">
        <v>581</v>
      </c>
      <c r="C34" s="726" t="s">
        <v>583</v>
      </c>
      <c r="D34" s="727">
        <v>172.43999999999997</v>
      </c>
      <c r="E34" s="728">
        <v>1</v>
      </c>
      <c r="F34" s="729"/>
      <c r="G34" s="534">
        <f t="shared" si="13"/>
        <v>1207.0799999999997</v>
      </c>
      <c r="H34" s="534">
        <f t="shared" si="13"/>
        <v>1207.0799999999997</v>
      </c>
      <c r="I34" s="534">
        <f t="shared" si="12"/>
        <v>1207.0799999999997</v>
      </c>
      <c r="J34" s="534">
        <f t="shared" si="12"/>
        <v>1207.0799999999997</v>
      </c>
      <c r="K34" s="534">
        <f t="shared" si="12"/>
        <v>1207.0799999999997</v>
      </c>
      <c r="L34" s="534">
        <f t="shared" si="12"/>
        <v>1207.0799999999997</v>
      </c>
      <c r="M34" s="534">
        <f t="shared" si="12"/>
        <v>1207.0799999999997</v>
      </c>
      <c r="N34" s="534">
        <f t="shared" si="12"/>
        <v>1207.0799999999997</v>
      </c>
      <c r="O34" s="534">
        <f t="shared" si="12"/>
        <v>1207.0799999999997</v>
      </c>
      <c r="P34" s="534">
        <f t="shared" si="12"/>
        <v>1207.0799999999997</v>
      </c>
      <c r="Q34" s="534">
        <f t="shared" si="12"/>
        <v>1207.0799999999997</v>
      </c>
      <c r="R34" s="534">
        <f t="shared" si="12"/>
        <v>1207.0799999999997</v>
      </c>
    </row>
    <row r="35" spans="2:20" x14ac:dyDescent="0.2">
      <c r="B35" s="725" t="s">
        <v>584</v>
      </c>
      <c r="C35" s="726">
        <v>750201018263</v>
      </c>
      <c r="D35" s="727">
        <v>83.52</v>
      </c>
      <c r="E35" s="728">
        <v>1</v>
      </c>
      <c r="F35" s="729"/>
      <c r="G35" s="534">
        <f t="shared" si="13"/>
        <v>584.64</v>
      </c>
      <c r="H35" s="534">
        <f t="shared" si="13"/>
        <v>584.64</v>
      </c>
      <c r="I35" s="534">
        <f t="shared" si="12"/>
        <v>584.64</v>
      </c>
      <c r="J35" s="534">
        <f t="shared" si="12"/>
        <v>584.64</v>
      </c>
      <c r="K35" s="534">
        <f t="shared" si="12"/>
        <v>584.64</v>
      </c>
      <c r="L35" s="534">
        <f t="shared" si="12"/>
        <v>584.64</v>
      </c>
      <c r="M35" s="534">
        <f t="shared" si="12"/>
        <v>584.64</v>
      </c>
      <c r="N35" s="534">
        <f t="shared" si="12"/>
        <v>584.64</v>
      </c>
      <c r="O35" s="534">
        <f t="shared" si="12"/>
        <v>584.64</v>
      </c>
      <c r="P35" s="534">
        <f t="shared" si="12"/>
        <v>584.64</v>
      </c>
      <c r="Q35" s="534">
        <f t="shared" si="12"/>
        <v>584.64</v>
      </c>
      <c r="R35" s="534">
        <f t="shared" si="12"/>
        <v>584.64</v>
      </c>
    </row>
    <row r="36" spans="2:20" x14ac:dyDescent="0.2">
      <c r="B36" s="725" t="s">
        <v>585</v>
      </c>
      <c r="C36" s="726">
        <v>730403000677</v>
      </c>
      <c r="D36" s="727">
        <v>380.16</v>
      </c>
      <c r="E36" s="728">
        <v>2</v>
      </c>
      <c r="F36" s="729"/>
      <c r="G36" s="534">
        <f t="shared" si="13"/>
        <v>5322.2400000000007</v>
      </c>
      <c r="H36" s="534">
        <f t="shared" si="13"/>
        <v>5322.2400000000007</v>
      </c>
      <c r="I36" s="534">
        <f t="shared" si="12"/>
        <v>5322.2400000000007</v>
      </c>
      <c r="J36" s="534">
        <f t="shared" si="12"/>
        <v>5322.2400000000007</v>
      </c>
      <c r="K36" s="534">
        <f t="shared" si="12"/>
        <v>5322.2400000000007</v>
      </c>
      <c r="L36" s="534">
        <f t="shared" si="12"/>
        <v>5322.2400000000007</v>
      </c>
      <c r="M36" s="534">
        <f t="shared" si="12"/>
        <v>5322.2400000000007</v>
      </c>
      <c r="N36" s="534">
        <f t="shared" si="12"/>
        <v>5322.2400000000007</v>
      </c>
      <c r="O36" s="534">
        <f t="shared" si="12"/>
        <v>5322.2400000000007</v>
      </c>
      <c r="P36" s="534">
        <f t="shared" si="12"/>
        <v>5322.2400000000007</v>
      </c>
      <c r="Q36" s="534">
        <f t="shared" si="12"/>
        <v>5322.2400000000007</v>
      </c>
      <c r="R36" s="534">
        <f t="shared" si="12"/>
        <v>5322.2400000000007</v>
      </c>
    </row>
    <row r="37" spans="2:20" x14ac:dyDescent="0.2">
      <c r="B37" s="725" t="s">
        <v>586</v>
      </c>
      <c r="C37" s="726">
        <v>730403000677</v>
      </c>
      <c r="D37" s="727">
        <v>380.16</v>
      </c>
      <c r="E37" s="728">
        <v>2</v>
      </c>
      <c r="F37" s="729"/>
      <c r="G37" s="534">
        <f t="shared" si="13"/>
        <v>5322.2400000000007</v>
      </c>
      <c r="H37" s="534">
        <f t="shared" si="13"/>
        <v>5322.2400000000007</v>
      </c>
      <c r="I37" s="534">
        <f t="shared" si="12"/>
        <v>5322.2400000000007</v>
      </c>
      <c r="J37" s="534">
        <f t="shared" si="12"/>
        <v>5322.2400000000007</v>
      </c>
      <c r="K37" s="534">
        <f t="shared" si="12"/>
        <v>5322.2400000000007</v>
      </c>
      <c r="L37" s="534">
        <f t="shared" si="12"/>
        <v>5322.2400000000007</v>
      </c>
      <c r="M37" s="534">
        <f t="shared" si="12"/>
        <v>5322.2400000000007</v>
      </c>
      <c r="N37" s="534">
        <f t="shared" si="12"/>
        <v>5322.2400000000007</v>
      </c>
      <c r="O37" s="534">
        <f t="shared" si="12"/>
        <v>5322.2400000000007</v>
      </c>
      <c r="P37" s="534">
        <f t="shared" si="12"/>
        <v>5322.2400000000007</v>
      </c>
      <c r="Q37" s="534">
        <f t="shared" si="12"/>
        <v>5322.2400000000007</v>
      </c>
      <c r="R37" s="534">
        <f t="shared" si="12"/>
        <v>5322.2400000000007</v>
      </c>
    </row>
    <row r="38" spans="2:20" x14ac:dyDescent="0.2">
      <c r="B38" s="725" t="s">
        <v>587</v>
      </c>
      <c r="C38" s="726" t="s">
        <v>588</v>
      </c>
      <c r="D38" s="727">
        <v>427.24799999999999</v>
      </c>
      <c r="E38" s="728">
        <v>1</v>
      </c>
      <c r="F38" s="473"/>
      <c r="G38" s="534">
        <f t="shared" si="13"/>
        <v>2990.7359999999999</v>
      </c>
      <c r="H38" s="534">
        <f t="shared" si="13"/>
        <v>2990.7359999999999</v>
      </c>
      <c r="I38" s="534">
        <f t="shared" si="12"/>
        <v>2990.7359999999999</v>
      </c>
      <c r="J38" s="534">
        <f t="shared" si="12"/>
        <v>2990.7359999999999</v>
      </c>
      <c r="K38" s="534">
        <f t="shared" si="12"/>
        <v>2990.7359999999999</v>
      </c>
      <c r="L38" s="534">
        <f t="shared" si="12"/>
        <v>2990.7359999999999</v>
      </c>
      <c r="M38" s="534">
        <f t="shared" si="12"/>
        <v>2990.7359999999999</v>
      </c>
      <c r="N38" s="534">
        <f t="shared" si="12"/>
        <v>2990.7359999999999</v>
      </c>
      <c r="O38" s="534">
        <f t="shared" si="12"/>
        <v>2990.7359999999999</v>
      </c>
      <c r="P38" s="534">
        <f t="shared" si="12"/>
        <v>2990.7359999999999</v>
      </c>
      <c r="Q38" s="534">
        <f t="shared" si="12"/>
        <v>2990.7359999999999</v>
      </c>
      <c r="R38" s="534">
        <f t="shared" si="12"/>
        <v>2990.7359999999999</v>
      </c>
    </row>
    <row r="39" spans="2:20" x14ac:dyDescent="0.2">
      <c r="B39" s="725" t="s">
        <v>589</v>
      </c>
      <c r="C39" s="726">
        <v>750201011177</v>
      </c>
      <c r="D39" s="727">
        <v>146.03399999999999</v>
      </c>
      <c r="E39" s="728">
        <v>2</v>
      </c>
      <c r="F39" s="729"/>
      <c r="G39" s="534">
        <f t="shared" si="13"/>
        <v>2044.4759999999999</v>
      </c>
      <c r="H39" s="534">
        <f t="shared" si="13"/>
        <v>2044.4759999999999</v>
      </c>
      <c r="I39" s="534">
        <f t="shared" si="12"/>
        <v>2044.4759999999999</v>
      </c>
      <c r="J39" s="534">
        <f t="shared" si="12"/>
        <v>2044.4759999999999</v>
      </c>
      <c r="K39" s="534">
        <f t="shared" si="12"/>
        <v>2044.4759999999999</v>
      </c>
      <c r="L39" s="534">
        <f t="shared" si="12"/>
        <v>2044.4759999999999</v>
      </c>
      <c r="M39" s="534">
        <f t="shared" si="12"/>
        <v>2044.4759999999999</v>
      </c>
      <c r="N39" s="534">
        <f t="shared" si="12"/>
        <v>2044.4759999999999</v>
      </c>
      <c r="O39" s="534">
        <f t="shared" si="12"/>
        <v>2044.4759999999999</v>
      </c>
      <c r="P39" s="534">
        <f t="shared" si="12"/>
        <v>2044.4759999999999</v>
      </c>
      <c r="Q39" s="534">
        <f t="shared" si="12"/>
        <v>2044.4759999999999</v>
      </c>
      <c r="R39" s="534">
        <f t="shared" si="12"/>
        <v>2044.4759999999999</v>
      </c>
    </row>
    <row r="40" spans="2:20" x14ac:dyDescent="0.2">
      <c r="B40" s="725" t="s">
        <v>592</v>
      </c>
      <c r="C40" s="726">
        <v>1202804003</v>
      </c>
      <c r="D40" s="727">
        <v>420.9</v>
      </c>
      <c r="E40" s="728">
        <v>3</v>
      </c>
      <c r="F40" s="729"/>
      <c r="G40" s="534">
        <f t="shared" si="13"/>
        <v>8838.9</v>
      </c>
      <c r="H40" s="534">
        <f t="shared" si="13"/>
        <v>8838.9</v>
      </c>
      <c r="I40" s="534">
        <f t="shared" si="12"/>
        <v>8838.9</v>
      </c>
      <c r="J40" s="534">
        <f t="shared" si="12"/>
        <v>8838.9</v>
      </c>
      <c r="K40" s="534">
        <f t="shared" si="12"/>
        <v>8838.9</v>
      </c>
      <c r="L40" s="534">
        <f t="shared" si="12"/>
        <v>8838.9</v>
      </c>
      <c r="M40" s="534">
        <f t="shared" si="12"/>
        <v>8838.9</v>
      </c>
      <c r="N40" s="534">
        <f t="shared" si="12"/>
        <v>8838.9</v>
      </c>
      <c r="O40" s="534">
        <f t="shared" si="12"/>
        <v>8838.9</v>
      </c>
      <c r="P40" s="534">
        <f t="shared" si="12"/>
        <v>8838.9</v>
      </c>
      <c r="Q40" s="534">
        <f t="shared" si="12"/>
        <v>8838.9</v>
      </c>
      <c r="R40" s="534">
        <f t="shared" si="12"/>
        <v>8838.9</v>
      </c>
    </row>
    <row r="41" spans="2:20" x14ac:dyDescent="0.2">
      <c r="B41" s="725" t="s">
        <v>593</v>
      </c>
      <c r="C41" s="726">
        <v>730403000676</v>
      </c>
      <c r="D41" s="727">
        <v>164.15999999999997</v>
      </c>
      <c r="E41" s="728">
        <v>2</v>
      </c>
      <c r="F41" s="729"/>
      <c r="G41" s="534">
        <f t="shared" si="13"/>
        <v>2298.2399999999998</v>
      </c>
      <c r="H41" s="534">
        <f t="shared" si="13"/>
        <v>2298.2399999999998</v>
      </c>
      <c r="I41" s="534">
        <f t="shared" si="12"/>
        <v>2298.2399999999998</v>
      </c>
      <c r="J41" s="534">
        <f t="shared" si="12"/>
        <v>2298.2399999999998</v>
      </c>
      <c r="K41" s="534">
        <f t="shared" si="12"/>
        <v>2298.2399999999998</v>
      </c>
      <c r="L41" s="534">
        <f t="shared" si="12"/>
        <v>2298.2399999999998</v>
      </c>
      <c r="M41" s="534">
        <f t="shared" si="12"/>
        <v>2298.2399999999998</v>
      </c>
      <c r="N41" s="534">
        <f t="shared" si="12"/>
        <v>2298.2399999999998</v>
      </c>
      <c r="O41" s="534">
        <f t="shared" si="12"/>
        <v>2298.2399999999998</v>
      </c>
      <c r="P41" s="534">
        <f t="shared" si="12"/>
        <v>2298.2399999999998</v>
      </c>
      <c r="Q41" s="534">
        <f t="shared" si="12"/>
        <v>2298.2399999999998</v>
      </c>
      <c r="R41" s="534">
        <f t="shared" si="12"/>
        <v>2298.2399999999998</v>
      </c>
    </row>
    <row r="42" spans="2:20" x14ac:dyDescent="0.2">
      <c r="B42" s="725" t="s">
        <v>594</v>
      </c>
      <c r="C42" s="726">
        <v>750201011176</v>
      </c>
      <c r="D42" s="727">
        <v>64.05</v>
      </c>
      <c r="E42" s="728">
        <v>2</v>
      </c>
      <c r="F42" s="729"/>
      <c r="G42" s="534">
        <f t="shared" si="13"/>
        <v>896.69999999999993</v>
      </c>
      <c r="H42" s="534">
        <f t="shared" si="13"/>
        <v>896.69999999999993</v>
      </c>
      <c r="I42" s="534">
        <f t="shared" si="12"/>
        <v>896.69999999999993</v>
      </c>
      <c r="J42" s="534">
        <f t="shared" si="12"/>
        <v>896.69999999999993</v>
      </c>
      <c r="K42" s="534">
        <f t="shared" si="12"/>
        <v>896.69999999999993</v>
      </c>
      <c r="L42" s="534">
        <f t="shared" si="12"/>
        <v>896.69999999999993</v>
      </c>
      <c r="M42" s="534">
        <f t="shared" si="12"/>
        <v>896.69999999999993</v>
      </c>
      <c r="N42" s="534">
        <f t="shared" si="12"/>
        <v>896.69999999999993</v>
      </c>
      <c r="O42" s="534">
        <f t="shared" si="12"/>
        <v>896.69999999999993</v>
      </c>
      <c r="P42" s="534">
        <f t="shared" si="12"/>
        <v>896.69999999999993</v>
      </c>
      <c r="Q42" s="534">
        <f t="shared" si="12"/>
        <v>896.69999999999993</v>
      </c>
      <c r="R42" s="534">
        <f t="shared" si="12"/>
        <v>896.69999999999993</v>
      </c>
    </row>
    <row r="43" spans="2:20" x14ac:dyDescent="0.2">
      <c r="B43" s="725" t="s">
        <v>595</v>
      </c>
      <c r="C43" s="726">
        <v>302030055771</v>
      </c>
      <c r="D43" s="727">
        <v>110.7684</v>
      </c>
      <c r="E43" s="728">
        <v>8</v>
      </c>
      <c r="F43" s="729"/>
      <c r="G43" s="534">
        <f t="shared" si="13"/>
        <v>6203.0303999999996</v>
      </c>
      <c r="H43" s="534">
        <f t="shared" si="13"/>
        <v>6203.0303999999996</v>
      </c>
      <c r="I43" s="534">
        <f t="shared" si="12"/>
        <v>6203.0303999999996</v>
      </c>
      <c r="J43" s="534">
        <f t="shared" si="12"/>
        <v>6203.0303999999996</v>
      </c>
      <c r="K43" s="534">
        <f t="shared" si="12"/>
        <v>6203.0303999999996</v>
      </c>
      <c r="L43" s="534">
        <f t="shared" si="12"/>
        <v>6203.0303999999996</v>
      </c>
      <c r="M43" s="534">
        <f t="shared" si="12"/>
        <v>6203.0303999999996</v>
      </c>
      <c r="N43" s="534">
        <f t="shared" si="12"/>
        <v>6203.0303999999996</v>
      </c>
      <c r="O43" s="534">
        <f t="shared" si="12"/>
        <v>6203.0303999999996</v>
      </c>
      <c r="P43" s="534">
        <f t="shared" si="12"/>
        <v>6203.0303999999996</v>
      </c>
      <c r="Q43" s="534">
        <f t="shared" si="12"/>
        <v>6203.0303999999996</v>
      </c>
      <c r="R43" s="534">
        <f t="shared" si="12"/>
        <v>6203.0303999999996</v>
      </c>
    </row>
    <row r="44" spans="2:20" x14ac:dyDescent="0.2">
      <c r="B44" s="725" t="s">
        <v>596</v>
      </c>
      <c r="C44" s="726">
        <v>302030055762</v>
      </c>
      <c r="D44" s="727">
        <v>102.4614</v>
      </c>
      <c r="E44" s="728">
        <v>4</v>
      </c>
      <c r="F44" s="729"/>
      <c r="G44" s="534">
        <f t="shared" si="13"/>
        <v>2868.9191999999998</v>
      </c>
      <c r="H44" s="534">
        <f t="shared" si="13"/>
        <v>2868.9191999999998</v>
      </c>
      <c r="I44" s="534">
        <f t="shared" si="12"/>
        <v>2868.9191999999998</v>
      </c>
      <c r="J44" s="534">
        <f t="shared" si="12"/>
        <v>2868.9191999999998</v>
      </c>
      <c r="K44" s="534">
        <f t="shared" si="12"/>
        <v>2868.9191999999998</v>
      </c>
      <c r="L44" s="534">
        <f t="shared" si="12"/>
        <v>2868.9191999999998</v>
      </c>
      <c r="M44" s="534">
        <f t="shared" si="12"/>
        <v>2868.9191999999998</v>
      </c>
      <c r="N44" s="534">
        <f t="shared" si="12"/>
        <v>2868.9191999999998</v>
      </c>
      <c r="O44" s="534">
        <f t="shared" si="12"/>
        <v>2868.9191999999998</v>
      </c>
      <c r="P44" s="534">
        <f t="shared" si="12"/>
        <v>2868.9191999999998</v>
      </c>
      <c r="Q44" s="534">
        <f t="shared" si="12"/>
        <v>2868.9191999999998</v>
      </c>
      <c r="R44" s="534">
        <f t="shared" si="12"/>
        <v>2868.9191999999998</v>
      </c>
    </row>
    <row r="45" spans="2:20" x14ac:dyDescent="0.2">
      <c r="B45" s="725" t="s">
        <v>597</v>
      </c>
      <c r="C45" s="726">
        <v>730403000276</v>
      </c>
      <c r="D45" s="727">
        <v>57.644999999999996</v>
      </c>
      <c r="E45" s="728">
        <v>1</v>
      </c>
      <c r="F45" s="729"/>
      <c r="G45" s="534">
        <f t="shared" si="13"/>
        <v>403.51499999999999</v>
      </c>
      <c r="H45" s="534">
        <f t="shared" si="13"/>
        <v>403.51499999999999</v>
      </c>
      <c r="I45" s="534">
        <f t="shared" si="12"/>
        <v>403.51499999999999</v>
      </c>
      <c r="J45" s="534">
        <f t="shared" si="12"/>
        <v>403.51499999999999</v>
      </c>
      <c r="K45" s="534">
        <f t="shared" si="12"/>
        <v>403.51499999999999</v>
      </c>
      <c r="L45" s="534">
        <f t="shared" si="12"/>
        <v>403.51499999999999</v>
      </c>
      <c r="M45" s="534">
        <f t="shared" si="12"/>
        <v>403.51499999999999</v>
      </c>
      <c r="N45" s="534">
        <f t="shared" si="12"/>
        <v>403.51499999999999</v>
      </c>
      <c r="O45" s="534">
        <f t="shared" si="12"/>
        <v>403.51499999999999</v>
      </c>
      <c r="P45" s="534">
        <f t="shared" si="12"/>
        <v>403.51499999999999</v>
      </c>
      <c r="Q45" s="534">
        <f t="shared" si="12"/>
        <v>403.51499999999999</v>
      </c>
      <c r="R45" s="534">
        <f t="shared" si="12"/>
        <v>403.51499999999999</v>
      </c>
      <c r="T45" s="731"/>
    </row>
    <row r="46" spans="2:20" x14ac:dyDescent="0.2">
      <c r="B46" s="725" t="s">
        <v>590</v>
      </c>
      <c r="C46" s="730" t="s">
        <v>591</v>
      </c>
      <c r="D46" s="727">
        <v>6.5609999999999999</v>
      </c>
      <c r="E46" s="728">
        <v>75</v>
      </c>
      <c r="F46" s="729"/>
      <c r="G46" s="534">
        <f>IF(G$15=0,0,G$15/$D$15*$E46*$D46)</f>
        <v>3444.5250000000001</v>
      </c>
      <c r="H46" s="534">
        <f t="shared" si="13"/>
        <v>3444.5250000000001</v>
      </c>
      <c r="I46" s="534">
        <f t="shared" si="12"/>
        <v>3444.5250000000001</v>
      </c>
      <c r="J46" s="534">
        <f>IF(J$15=0,0,J$15/$D$15*$E46*$D46)</f>
        <v>3444.5250000000001</v>
      </c>
      <c r="K46" s="534">
        <f t="shared" si="12"/>
        <v>3444.5250000000001</v>
      </c>
      <c r="L46" s="534">
        <f t="shared" si="12"/>
        <v>3444.5250000000001</v>
      </c>
      <c r="M46" s="534">
        <f t="shared" si="12"/>
        <v>3444.5250000000001</v>
      </c>
      <c r="N46" s="534">
        <f t="shared" si="12"/>
        <v>3444.5250000000001</v>
      </c>
      <c r="O46" s="534">
        <f t="shared" si="12"/>
        <v>3444.5250000000001</v>
      </c>
      <c r="P46" s="534">
        <f t="shared" si="12"/>
        <v>3444.5250000000001</v>
      </c>
      <c r="Q46" s="534">
        <f t="shared" si="12"/>
        <v>3444.5250000000001</v>
      </c>
      <c r="R46" s="534">
        <f t="shared" si="12"/>
        <v>3444.5250000000001</v>
      </c>
    </row>
    <row r="47" spans="2:20" x14ac:dyDescent="0.2">
      <c r="B47" s="723" t="s">
        <v>396</v>
      </c>
      <c r="C47" s="470"/>
      <c r="D47" s="724"/>
      <c r="E47" s="569">
        <f>VLOOKUP($B47,$B$14:$C$17,2,FALSE)</f>
        <v>1000</v>
      </c>
      <c r="F47" s="473">
        <f>VLOOKUP($B47,$B$14:$E$17,4,FALSE)</f>
        <v>4</v>
      </c>
      <c r="G47" s="474"/>
      <c r="H47" s="474"/>
      <c r="I47" s="474"/>
      <c r="J47" s="474"/>
      <c r="K47" s="474"/>
      <c r="L47" s="474"/>
      <c r="M47" s="474"/>
      <c r="N47" s="474"/>
      <c r="O47" s="474"/>
      <c r="P47" s="474"/>
      <c r="Q47" s="474"/>
      <c r="R47" s="474"/>
    </row>
    <row r="48" spans="2:20" x14ac:dyDescent="0.2">
      <c r="B48" s="725" t="s">
        <v>580</v>
      </c>
      <c r="C48" s="726">
        <v>750201012207</v>
      </c>
      <c r="D48" s="727">
        <v>159.86879999999999</v>
      </c>
      <c r="E48" s="728">
        <v>2</v>
      </c>
      <c r="F48" s="729"/>
      <c r="G48" s="534">
        <f>IF(G$16=0,0,G$16/$D$16*$E48*$D48)</f>
        <v>1278.9503999999999</v>
      </c>
      <c r="H48" s="534">
        <f t="shared" ref="H48:R70" si="14">IF(H$16=0,0,H$16/$D$16*$E48*$D48)</f>
        <v>1278.9503999999999</v>
      </c>
      <c r="I48" s="534">
        <f t="shared" si="14"/>
        <v>1278.9503999999999</v>
      </c>
      <c r="J48" s="534">
        <f t="shared" si="14"/>
        <v>1278.9503999999999</v>
      </c>
      <c r="K48" s="534">
        <f t="shared" si="14"/>
        <v>1278.9503999999999</v>
      </c>
      <c r="L48" s="534">
        <f t="shared" si="14"/>
        <v>1278.9503999999999</v>
      </c>
      <c r="M48" s="534">
        <f t="shared" si="14"/>
        <v>1278.9503999999999</v>
      </c>
      <c r="N48" s="534">
        <f t="shared" si="14"/>
        <v>1278.9503999999999</v>
      </c>
      <c r="O48" s="534">
        <f t="shared" si="14"/>
        <v>1278.9503999999999</v>
      </c>
      <c r="P48" s="534">
        <f t="shared" si="14"/>
        <v>1278.9503999999999</v>
      </c>
      <c r="Q48" s="534">
        <f>IF(Q$16=0,0,Q$16/$D$16*$E48*$D48)</f>
        <v>1278.9503999999999</v>
      </c>
      <c r="R48" s="534">
        <f>IF(R$16=0,0,R$16/$D$16*$E48*$D48)</f>
        <v>1278.9503999999999</v>
      </c>
    </row>
    <row r="49" spans="2:20" x14ac:dyDescent="0.2">
      <c r="B49" s="725" t="s">
        <v>581</v>
      </c>
      <c r="C49" s="726" t="s">
        <v>582</v>
      </c>
      <c r="D49" s="727">
        <v>127.8</v>
      </c>
      <c r="E49" s="728">
        <v>1</v>
      </c>
      <c r="F49" s="729"/>
      <c r="G49" s="534">
        <f t="shared" ref="G49:R75" si="15">IF(G$16=0,0,G$16/$D$16*$E49*$D49)</f>
        <v>511.2</v>
      </c>
      <c r="H49" s="534">
        <f t="shared" si="14"/>
        <v>511.2</v>
      </c>
      <c r="I49" s="534">
        <f t="shared" si="14"/>
        <v>511.2</v>
      </c>
      <c r="J49" s="534">
        <f t="shared" si="14"/>
        <v>511.2</v>
      </c>
      <c r="K49" s="534">
        <f t="shared" si="14"/>
        <v>511.2</v>
      </c>
      <c r="L49" s="534">
        <f t="shared" si="14"/>
        <v>511.2</v>
      </c>
      <c r="M49" s="534">
        <f t="shared" si="14"/>
        <v>511.2</v>
      </c>
      <c r="N49" s="534">
        <f t="shared" si="14"/>
        <v>511.2</v>
      </c>
      <c r="O49" s="534">
        <f t="shared" si="14"/>
        <v>511.2</v>
      </c>
      <c r="P49" s="534">
        <f t="shared" si="14"/>
        <v>511.2</v>
      </c>
      <c r="Q49" s="534">
        <f t="shared" si="14"/>
        <v>511.2</v>
      </c>
      <c r="R49" s="534">
        <f t="shared" si="14"/>
        <v>511.2</v>
      </c>
    </row>
    <row r="50" spans="2:20" x14ac:dyDescent="0.2">
      <c r="B50" s="725" t="s">
        <v>581</v>
      </c>
      <c r="C50" s="726" t="s">
        <v>583</v>
      </c>
      <c r="D50" s="727">
        <v>172.43999999999997</v>
      </c>
      <c r="E50" s="728">
        <v>1</v>
      </c>
      <c r="F50" s="729"/>
      <c r="G50" s="534">
        <f t="shared" si="15"/>
        <v>689.75999999999988</v>
      </c>
      <c r="H50" s="534">
        <f t="shared" si="14"/>
        <v>689.75999999999988</v>
      </c>
      <c r="I50" s="534">
        <f t="shared" si="14"/>
        <v>689.75999999999988</v>
      </c>
      <c r="J50" s="534">
        <f t="shared" si="14"/>
        <v>689.75999999999988</v>
      </c>
      <c r="K50" s="534">
        <f t="shared" si="14"/>
        <v>689.75999999999988</v>
      </c>
      <c r="L50" s="534">
        <f t="shared" si="14"/>
        <v>689.75999999999988</v>
      </c>
      <c r="M50" s="534">
        <f t="shared" si="14"/>
        <v>689.75999999999988</v>
      </c>
      <c r="N50" s="534">
        <f t="shared" si="14"/>
        <v>689.75999999999988</v>
      </c>
      <c r="O50" s="534">
        <f t="shared" si="14"/>
        <v>689.75999999999988</v>
      </c>
      <c r="P50" s="534">
        <f t="shared" si="14"/>
        <v>689.75999999999988</v>
      </c>
      <c r="Q50" s="534">
        <f t="shared" si="14"/>
        <v>689.75999999999988</v>
      </c>
      <c r="R50" s="534">
        <f t="shared" si="14"/>
        <v>689.75999999999988</v>
      </c>
    </row>
    <row r="51" spans="2:20" x14ac:dyDescent="0.2">
      <c r="B51" s="725" t="s">
        <v>584</v>
      </c>
      <c r="C51" s="726">
        <v>750201018263</v>
      </c>
      <c r="D51" s="727">
        <v>83.52</v>
      </c>
      <c r="E51" s="728">
        <v>1</v>
      </c>
      <c r="F51" s="729"/>
      <c r="G51" s="534">
        <f t="shared" si="15"/>
        <v>334.08</v>
      </c>
      <c r="H51" s="534">
        <f t="shared" si="14"/>
        <v>334.08</v>
      </c>
      <c r="I51" s="534">
        <f t="shared" si="14"/>
        <v>334.08</v>
      </c>
      <c r="J51" s="534">
        <f t="shared" si="14"/>
        <v>334.08</v>
      </c>
      <c r="K51" s="534">
        <f t="shared" si="14"/>
        <v>334.08</v>
      </c>
      <c r="L51" s="534">
        <f t="shared" si="14"/>
        <v>334.08</v>
      </c>
      <c r="M51" s="534">
        <f t="shared" si="14"/>
        <v>334.08</v>
      </c>
      <c r="N51" s="534">
        <f t="shared" si="14"/>
        <v>334.08</v>
      </c>
      <c r="O51" s="534">
        <f t="shared" si="14"/>
        <v>334.08</v>
      </c>
      <c r="P51" s="534">
        <f t="shared" si="14"/>
        <v>334.08</v>
      </c>
      <c r="Q51" s="534">
        <f t="shared" si="14"/>
        <v>334.08</v>
      </c>
      <c r="R51" s="534">
        <f t="shared" si="14"/>
        <v>334.08</v>
      </c>
    </row>
    <row r="52" spans="2:20" x14ac:dyDescent="0.2">
      <c r="B52" s="725" t="s">
        <v>585</v>
      </c>
      <c r="C52" s="726">
        <v>730403000677</v>
      </c>
      <c r="D52" s="727">
        <v>380.16</v>
      </c>
      <c r="E52" s="728">
        <v>2</v>
      </c>
      <c r="F52" s="729"/>
      <c r="G52" s="534">
        <f t="shared" si="15"/>
        <v>3041.28</v>
      </c>
      <c r="H52" s="534">
        <f t="shared" si="14"/>
        <v>3041.28</v>
      </c>
      <c r="I52" s="534">
        <f t="shared" si="14"/>
        <v>3041.28</v>
      </c>
      <c r="J52" s="534">
        <f t="shared" si="14"/>
        <v>3041.28</v>
      </c>
      <c r="K52" s="534">
        <f t="shared" si="14"/>
        <v>3041.28</v>
      </c>
      <c r="L52" s="534">
        <f t="shared" si="14"/>
        <v>3041.28</v>
      </c>
      <c r="M52" s="534">
        <f t="shared" si="14"/>
        <v>3041.28</v>
      </c>
      <c r="N52" s="534">
        <f t="shared" si="14"/>
        <v>3041.28</v>
      </c>
      <c r="O52" s="534">
        <f t="shared" si="14"/>
        <v>3041.28</v>
      </c>
      <c r="P52" s="534">
        <f t="shared" si="14"/>
        <v>3041.28</v>
      </c>
      <c r="Q52" s="534">
        <f t="shared" si="14"/>
        <v>3041.28</v>
      </c>
      <c r="R52" s="534">
        <f t="shared" si="14"/>
        <v>3041.28</v>
      </c>
    </row>
    <row r="53" spans="2:20" x14ac:dyDescent="0.2">
      <c r="B53" s="725" t="s">
        <v>586</v>
      </c>
      <c r="C53" s="726">
        <v>730403000677</v>
      </c>
      <c r="D53" s="727">
        <v>380.16</v>
      </c>
      <c r="E53" s="728">
        <v>2</v>
      </c>
      <c r="F53" s="729"/>
      <c r="G53" s="534">
        <f t="shared" si="15"/>
        <v>3041.28</v>
      </c>
      <c r="H53" s="534">
        <f t="shared" si="14"/>
        <v>3041.28</v>
      </c>
      <c r="I53" s="534">
        <f t="shared" si="14"/>
        <v>3041.28</v>
      </c>
      <c r="J53" s="534">
        <f t="shared" si="14"/>
        <v>3041.28</v>
      </c>
      <c r="K53" s="534">
        <f t="shared" si="14"/>
        <v>3041.28</v>
      </c>
      <c r="L53" s="534">
        <f t="shared" si="14"/>
        <v>3041.28</v>
      </c>
      <c r="M53" s="534">
        <f t="shared" si="14"/>
        <v>3041.28</v>
      </c>
      <c r="N53" s="534">
        <f t="shared" si="14"/>
        <v>3041.28</v>
      </c>
      <c r="O53" s="534">
        <f t="shared" si="14"/>
        <v>3041.28</v>
      </c>
      <c r="P53" s="534">
        <f t="shared" si="14"/>
        <v>3041.28</v>
      </c>
      <c r="Q53" s="534">
        <f t="shared" si="14"/>
        <v>3041.28</v>
      </c>
      <c r="R53" s="534">
        <f t="shared" si="14"/>
        <v>3041.28</v>
      </c>
    </row>
    <row r="54" spans="2:20" x14ac:dyDescent="0.2">
      <c r="B54" s="725" t="s">
        <v>587</v>
      </c>
      <c r="C54" s="726" t="s">
        <v>588</v>
      </c>
      <c r="D54" s="727">
        <v>427.24799999999999</v>
      </c>
      <c r="E54" s="728">
        <v>1</v>
      </c>
      <c r="F54" s="473"/>
      <c r="G54" s="534">
        <f t="shared" si="15"/>
        <v>1708.992</v>
      </c>
      <c r="H54" s="534">
        <f t="shared" si="14"/>
        <v>1708.992</v>
      </c>
      <c r="I54" s="534">
        <f t="shared" si="14"/>
        <v>1708.992</v>
      </c>
      <c r="J54" s="534">
        <f t="shared" si="14"/>
        <v>1708.992</v>
      </c>
      <c r="K54" s="534">
        <f t="shared" si="14"/>
        <v>1708.992</v>
      </c>
      <c r="L54" s="534">
        <f t="shared" si="14"/>
        <v>1708.992</v>
      </c>
      <c r="M54" s="534">
        <f t="shared" si="14"/>
        <v>1708.992</v>
      </c>
      <c r="N54" s="534">
        <f t="shared" si="14"/>
        <v>1708.992</v>
      </c>
      <c r="O54" s="534">
        <f t="shared" si="14"/>
        <v>1708.992</v>
      </c>
      <c r="P54" s="534">
        <f t="shared" si="14"/>
        <v>1708.992</v>
      </c>
      <c r="Q54" s="534">
        <f t="shared" si="14"/>
        <v>1708.992</v>
      </c>
      <c r="R54" s="534">
        <f t="shared" si="14"/>
        <v>1708.992</v>
      </c>
    </row>
    <row r="55" spans="2:20" x14ac:dyDescent="0.2">
      <c r="B55" s="725" t="s">
        <v>589</v>
      </c>
      <c r="C55" s="726">
        <v>750201011177</v>
      </c>
      <c r="D55" s="727">
        <v>146.03399999999999</v>
      </c>
      <c r="E55" s="728">
        <v>2</v>
      </c>
      <c r="F55" s="729"/>
      <c r="G55" s="534">
        <f t="shared" si="15"/>
        <v>1168.2719999999999</v>
      </c>
      <c r="H55" s="534">
        <f t="shared" si="14"/>
        <v>1168.2719999999999</v>
      </c>
      <c r="I55" s="534">
        <f t="shared" si="14"/>
        <v>1168.2719999999999</v>
      </c>
      <c r="J55" s="534">
        <f t="shared" si="14"/>
        <v>1168.2719999999999</v>
      </c>
      <c r="K55" s="534">
        <f t="shared" si="14"/>
        <v>1168.2719999999999</v>
      </c>
      <c r="L55" s="534">
        <f t="shared" si="14"/>
        <v>1168.2719999999999</v>
      </c>
      <c r="M55" s="534">
        <f t="shared" si="14"/>
        <v>1168.2719999999999</v>
      </c>
      <c r="N55" s="534">
        <f t="shared" si="14"/>
        <v>1168.2719999999999</v>
      </c>
      <c r="O55" s="534">
        <f t="shared" si="14"/>
        <v>1168.2719999999999</v>
      </c>
      <c r="P55" s="534">
        <f t="shared" si="14"/>
        <v>1168.2719999999999</v>
      </c>
      <c r="Q55" s="534">
        <f t="shared" si="14"/>
        <v>1168.2719999999999</v>
      </c>
      <c r="R55" s="534">
        <f t="shared" si="14"/>
        <v>1168.2719999999999</v>
      </c>
    </row>
    <row r="56" spans="2:20" x14ac:dyDescent="0.2">
      <c r="B56" s="725" t="s">
        <v>592</v>
      </c>
      <c r="C56" s="726">
        <v>1202804003</v>
      </c>
      <c r="D56" s="727">
        <v>420.9</v>
      </c>
      <c r="E56" s="728">
        <v>3</v>
      </c>
      <c r="F56" s="729"/>
      <c r="G56" s="534">
        <f t="shared" si="15"/>
        <v>5050.7999999999993</v>
      </c>
      <c r="H56" s="534">
        <f t="shared" si="14"/>
        <v>5050.7999999999993</v>
      </c>
      <c r="I56" s="534">
        <f t="shared" si="14"/>
        <v>5050.7999999999993</v>
      </c>
      <c r="J56" s="534">
        <f t="shared" si="14"/>
        <v>5050.7999999999993</v>
      </c>
      <c r="K56" s="534">
        <f t="shared" si="14"/>
        <v>5050.7999999999993</v>
      </c>
      <c r="L56" s="534">
        <f t="shared" si="14"/>
        <v>5050.7999999999993</v>
      </c>
      <c r="M56" s="534">
        <f t="shared" si="14"/>
        <v>5050.7999999999993</v>
      </c>
      <c r="N56" s="534">
        <f t="shared" si="14"/>
        <v>5050.7999999999993</v>
      </c>
      <c r="O56" s="534">
        <f t="shared" si="14"/>
        <v>5050.7999999999993</v>
      </c>
      <c r="P56" s="534">
        <f t="shared" si="14"/>
        <v>5050.7999999999993</v>
      </c>
      <c r="Q56" s="534">
        <f t="shared" si="14"/>
        <v>5050.7999999999993</v>
      </c>
      <c r="R56" s="534">
        <f t="shared" si="14"/>
        <v>5050.7999999999993</v>
      </c>
    </row>
    <row r="57" spans="2:20" x14ac:dyDescent="0.2">
      <c r="B57" s="725" t="s">
        <v>593</v>
      </c>
      <c r="C57" s="726">
        <v>730403000676</v>
      </c>
      <c r="D57" s="727">
        <v>164.15999999999997</v>
      </c>
      <c r="E57" s="728">
        <v>2</v>
      </c>
      <c r="F57" s="729"/>
      <c r="G57" s="534">
        <f t="shared" si="15"/>
        <v>1313.2799999999997</v>
      </c>
      <c r="H57" s="534">
        <f t="shared" si="14"/>
        <v>1313.2799999999997</v>
      </c>
      <c r="I57" s="534">
        <f t="shared" si="14"/>
        <v>1313.2799999999997</v>
      </c>
      <c r="J57" s="534">
        <f t="shared" si="14"/>
        <v>1313.2799999999997</v>
      </c>
      <c r="K57" s="534">
        <f t="shared" si="14"/>
        <v>1313.2799999999997</v>
      </c>
      <c r="L57" s="534">
        <f t="shared" si="14"/>
        <v>1313.2799999999997</v>
      </c>
      <c r="M57" s="534">
        <f t="shared" si="14"/>
        <v>1313.2799999999997</v>
      </c>
      <c r="N57" s="534">
        <f t="shared" si="14"/>
        <v>1313.2799999999997</v>
      </c>
      <c r="O57" s="534">
        <f t="shared" si="14"/>
        <v>1313.2799999999997</v>
      </c>
      <c r="P57" s="534">
        <f t="shared" si="14"/>
        <v>1313.2799999999997</v>
      </c>
      <c r="Q57" s="534">
        <f t="shared" si="14"/>
        <v>1313.2799999999997</v>
      </c>
      <c r="R57" s="534">
        <f t="shared" si="14"/>
        <v>1313.2799999999997</v>
      </c>
    </row>
    <row r="58" spans="2:20" x14ac:dyDescent="0.2">
      <c r="B58" s="725" t="s">
        <v>594</v>
      </c>
      <c r="C58" s="726">
        <v>750201011176</v>
      </c>
      <c r="D58" s="727">
        <v>64.05</v>
      </c>
      <c r="E58" s="728">
        <v>2</v>
      </c>
      <c r="F58" s="729"/>
      <c r="G58" s="534">
        <f t="shared" si="15"/>
        <v>512.4</v>
      </c>
      <c r="H58" s="534">
        <f t="shared" si="14"/>
        <v>512.4</v>
      </c>
      <c r="I58" s="534">
        <f t="shared" si="14"/>
        <v>512.4</v>
      </c>
      <c r="J58" s="534">
        <f t="shared" si="14"/>
        <v>512.4</v>
      </c>
      <c r="K58" s="534">
        <f t="shared" si="14"/>
        <v>512.4</v>
      </c>
      <c r="L58" s="534">
        <f t="shared" si="14"/>
        <v>512.4</v>
      </c>
      <c r="M58" s="534">
        <f t="shared" si="14"/>
        <v>512.4</v>
      </c>
      <c r="N58" s="534">
        <f t="shared" si="14"/>
        <v>512.4</v>
      </c>
      <c r="O58" s="534">
        <f t="shared" si="14"/>
        <v>512.4</v>
      </c>
      <c r="P58" s="534">
        <f t="shared" si="14"/>
        <v>512.4</v>
      </c>
      <c r="Q58" s="534">
        <f t="shared" si="14"/>
        <v>512.4</v>
      </c>
      <c r="R58" s="534">
        <f t="shared" si="14"/>
        <v>512.4</v>
      </c>
    </row>
    <row r="59" spans="2:20" x14ac:dyDescent="0.2">
      <c r="B59" s="725" t="s">
        <v>595</v>
      </c>
      <c r="C59" s="726">
        <v>302030055771</v>
      </c>
      <c r="D59" s="727">
        <v>110.7684</v>
      </c>
      <c r="E59" s="728">
        <v>8</v>
      </c>
      <c r="F59" s="729"/>
      <c r="G59" s="534">
        <f t="shared" si="15"/>
        <v>3544.5888</v>
      </c>
      <c r="H59" s="534">
        <f t="shared" si="14"/>
        <v>3544.5888</v>
      </c>
      <c r="I59" s="534">
        <f t="shared" si="14"/>
        <v>3544.5888</v>
      </c>
      <c r="J59" s="534">
        <f t="shared" si="14"/>
        <v>3544.5888</v>
      </c>
      <c r="K59" s="534">
        <f t="shared" si="14"/>
        <v>3544.5888</v>
      </c>
      <c r="L59" s="534">
        <f t="shared" si="14"/>
        <v>3544.5888</v>
      </c>
      <c r="M59" s="534">
        <f t="shared" si="14"/>
        <v>3544.5888</v>
      </c>
      <c r="N59" s="534">
        <f t="shared" si="14"/>
        <v>3544.5888</v>
      </c>
      <c r="O59" s="534">
        <f t="shared" si="14"/>
        <v>3544.5888</v>
      </c>
      <c r="P59" s="534">
        <f t="shared" si="14"/>
        <v>3544.5888</v>
      </c>
      <c r="Q59" s="534">
        <f t="shared" si="14"/>
        <v>3544.5888</v>
      </c>
      <c r="R59" s="534">
        <f t="shared" si="14"/>
        <v>3544.5888</v>
      </c>
    </row>
    <row r="60" spans="2:20" x14ac:dyDescent="0.2">
      <c r="B60" s="725" t="s">
        <v>596</v>
      </c>
      <c r="C60" s="726">
        <v>302030055762</v>
      </c>
      <c r="D60" s="727">
        <v>102.4614</v>
      </c>
      <c r="E60" s="728">
        <v>4</v>
      </c>
      <c r="F60" s="729"/>
      <c r="G60" s="534">
        <f t="shared" si="15"/>
        <v>1639.3824</v>
      </c>
      <c r="H60" s="534">
        <f t="shared" si="14"/>
        <v>1639.3824</v>
      </c>
      <c r="I60" s="534">
        <f t="shared" si="14"/>
        <v>1639.3824</v>
      </c>
      <c r="J60" s="534">
        <f t="shared" si="14"/>
        <v>1639.3824</v>
      </c>
      <c r="K60" s="534">
        <f t="shared" si="14"/>
        <v>1639.3824</v>
      </c>
      <c r="L60" s="534">
        <f t="shared" si="14"/>
        <v>1639.3824</v>
      </c>
      <c r="M60" s="534">
        <f t="shared" si="14"/>
        <v>1639.3824</v>
      </c>
      <c r="N60" s="534">
        <f t="shared" si="14"/>
        <v>1639.3824</v>
      </c>
      <c r="O60" s="534">
        <f t="shared" si="14"/>
        <v>1639.3824</v>
      </c>
      <c r="P60" s="534">
        <f t="shared" si="14"/>
        <v>1639.3824</v>
      </c>
      <c r="Q60" s="534">
        <f t="shared" si="14"/>
        <v>1639.3824</v>
      </c>
      <c r="R60" s="534">
        <f t="shared" si="14"/>
        <v>1639.3824</v>
      </c>
    </row>
    <row r="61" spans="2:20" x14ac:dyDescent="0.2">
      <c r="B61" s="725" t="s">
        <v>597</v>
      </c>
      <c r="C61" s="726">
        <v>730403000276</v>
      </c>
      <c r="D61" s="727">
        <v>57.644999999999996</v>
      </c>
      <c r="E61" s="728">
        <v>1</v>
      </c>
      <c r="F61" s="729"/>
      <c r="G61" s="534">
        <f t="shared" si="15"/>
        <v>230.57999999999998</v>
      </c>
      <c r="H61" s="534">
        <f t="shared" si="14"/>
        <v>230.57999999999998</v>
      </c>
      <c r="I61" s="534">
        <f t="shared" si="14"/>
        <v>230.57999999999998</v>
      </c>
      <c r="J61" s="534">
        <f t="shared" si="14"/>
        <v>230.57999999999998</v>
      </c>
      <c r="K61" s="534">
        <f t="shared" si="14"/>
        <v>230.57999999999998</v>
      </c>
      <c r="L61" s="534">
        <f t="shared" si="14"/>
        <v>230.57999999999998</v>
      </c>
      <c r="M61" s="534">
        <f t="shared" si="14"/>
        <v>230.57999999999998</v>
      </c>
      <c r="N61" s="534">
        <f t="shared" si="14"/>
        <v>230.57999999999998</v>
      </c>
      <c r="O61" s="534">
        <f t="shared" si="14"/>
        <v>230.57999999999998</v>
      </c>
      <c r="P61" s="534">
        <f t="shared" si="14"/>
        <v>230.57999999999998</v>
      </c>
      <c r="Q61" s="534">
        <f t="shared" si="14"/>
        <v>230.57999999999998</v>
      </c>
      <c r="R61" s="534">
        <f t="shared" si="14"/>
        <v>230.57999999999998</v>
      </c>
      <c r="T61" s="731"/>
    </row>
    <row r="62" spans="2:20" x14ac:dyDescent="0.2">
      <c r="B62" s="725" t="s">
        <v>598</v>
      </c>
      <c r="C62" s="726">
        <v>730403000068</v>
      </c>
      <c r="D62" s="727">
        <v>808.65364583333337</v>
      </c>
      <c r="E62" s="728">
        <v>2</v>
      </c>
      <c r="F62" s="729"/>
      <c r="G62" s="534">
        <f t="shared" si="15"/>
        <v>6469.229166666667</v>
      </c>
      <c r="H62" s="534">
        <f t="shared" si="14"/>
        <v>6469.229166666667</v>
      </c>
      <c r="I62" s="534">
        <f t="shared" si="14"/>
        <v>6469.229166666667</v>
      </c>
      <c r="J62" s="534">
        <f t="shared" si="14"/>
        <v>6469.229166666667</v>
      </c>
      <c r="K62" s="534">
        <f t="shared" si="14"/>
        <v>6469.229166666667</v>
      </c>
      <c r="L62" s="534">
        <f t="shared" si="14"/>
        <v>6469.229166666667</v>
      </c>
      <c r="M62" s="534">
        <f t="shared" si="14"/>
        <v>6469.229166666667</v>
      </c>
      <c r="N62" s="534">
        <f t="shared" si="14"/>
        <v>6469.229166666667</v>
      </c>
      <c r="O62" s="534">
        <f t="shared" si="14"/>
        <v>6469.229166666667</v>
      </c>
      <c r="P62" s="534">
        <f t="shared" si="14"/>
        <v>6469.229166666667</v>
      </c>
      <c r="Q62" s="534">
        <f t="shared" si="14"/>
        <v>6469.229166666667</v>
      </c>
      <c r="R62" s="534">
        <f t="shared" si="14"/>
        <v>6469.229166666667</v>
      </c>
      <c r="T62" s="731"/>
    </row>
    <row r="63" spans="2:20" x14ac:dyDescent="0.2">
      <c r="B63" s="725" t="s">
        <v>599</v>
      </c>
      <c r="C63" s="726">
        <v>750398000659</v>
      </c>
      <c r="D63" s="727">
        <v>46.655999999999992</v>
      </c>
      <c r="E63" s="728">
        <v>1</v>
      </c>
      <c r="F63" s="729"/>
      <c r="G63" s="534">
        <f t="shared" si="15"/>
        <v>186.62399999999997</v>
      </c>
      <c r="H63" s="534">
        <f t="shared" si="14"/>
        <v>186.62399999999997</v>
      </c>
      <c r="I63" s="534">
        <f t="shared" si="14"/>
        <v>186.62399999999997</v>
      </c>
      <c r="J63" s="534">
        <f t="shared" si="14"/>
        <v>186.62399999999997</v>
      </c>
      <c r="K63" s="534">
        <f t="shared" si="14"/>
        <v>186.62399999999997</v>
      </c>
      <c r="L63" s="534">
        <f t="shared" si="14"/>
        <v>186.62399999999997</v>
      </c>
      <c r="M63" s="534">
        <f t="shared" si="14"/>
        <v>186.62399999999997</v>
      </c>
      <c r="N63" s="534">
        <f t="shared" si="14"/>
        <v>186.62399999999997</v>
      </c>
      <c r="O63" s="534">
        <f t="shared" si="14"/>
        <v>186.62399999999997</v>
      </c>
      <c r="P63" s="534">
        <f t="shared" si="14"/>
        <v>186.62399999999997</v>
      </c>
      <c r="Q63" s="534">
        <f t="shared" si="14"/>
        <v>186.62399999999997</v>
      </c>
      <c r="R63" s="534">
        <f t="shared" si="14"/>
        <v>186.62399999999997</v>
      </c>
      <c r="T63" s="731"/>
    </row>
    <row r="64" spans="2:20" x14ac:dyDescent="0.2">
      <c r="B64" s="725" t="s">
        <v>600</v>
      </c>
      <c r="C64" s="726">
        <v>750201018267</v>
      </c>
      <c r="D64" s="727">
        <v>259.2</v>
      </c>
      <c r="E64" s="728">
        <v>1</v>
      </c>
      <c r="F64" s="729"/>
      <c r="G64" s="534">
        <f t="shared" si="15"/>
        <v>1036.8</v>
      </c>
      <c r="H64" s="534">
        <f t="shared" si="14"/>
        <v>1036.8</v>
      </c>
      <c r="I64" s="534">
        <f t="shared" si="14"/>
        <v>1036.8</v>
      </c>
      <c r="J64" s="534">
        <f t="shared" si="14"/>
        <v>1036.8</v>
      </c>
      <c r="K64" s="534">
        <f t="shared" si="14"/>
        <v>1036.8</v>
      </c>
      <c r="L64" s="534">
        <f t="shared" si="14"/>
        <v>1036.8</v>
      </c>
      <c r="M64" s="534">
        <f t="shared" si="14"/>
        <v>1036.8</v>
      </c>
      <c r="N64" s="534">
        <f t="shared" si="14"/>
        <v>1036.8</v>
      </c>
      <c r="O64" s="534">
        <f t="shared" si="14"/>
        <v>1036.8</v>
      </c>
      <c r="P64" s="534">
        <f t="shared" si="14"/>
        <v>1036.8</v>
      </c>
      <c r="Q64" s="534">
        <f t="shared" si="14"/>
        <v>1036.8</v>
      </c>
      <c r="R64" s="534">
        <f t="shared" si="14"/>
        <v>1036.8</v>
      </c>
      <c r="T64" s="731"/>
    </row>
    <row r="65" spans="2:20" x14ac:dyDescent="0.2">
      <c r="B65" s="725" t="s">
        <v>601</v>
      </c>
      <c r="C65" s="726" t="s">
        <v>602</v>
      </c>
      <c r="D65" s="727">
        <v>654.22500000000002</v>
      </c>
      <c r="E65" s="728">
        <v>1</v>
      </c>
      <c r="F65" s="729"/>
      <c r="G65" s="534">
        <f t="shared" si="15"/>
        <v>2616.9</v>
      </c>
      <c r="H65" s="534">
        <f t="shared" si="14"/>
        <v>2616.9</v>
      </c>
      <c r="I65" s="534">
        <f t="shared" si="14"/>
        <v>2616.9</v>
      </c>
      <c r="J65" s="534">
        <f t="shared" si="14"/>
        <v>2616.9</v>
      </c>
      <c r="K65" s="534">
        <f t="shared" si="14"/>
        <v>2616.9</v>
      </c>
      <c r="L65" s="534">
        <f t="shared" si="14"/>
        <v>2616.9</v>
      </c>
      <c r="M65" s="534">
        <f t="shared" si="14"/>
        <v>2616.9</v>
      </c>
      <c r="N65" s="534">
        <f t="shared" si="14"/>
        <v>2616.9</v>
      </c>
      <c r="O65" s="534">
        <f t="shared" si="14"/>
        <v>2616.9</v>
      </c>
      <c r="P65" s="534">
        <f t="shared" si="14"/>
        <v>2616.9</v>
      </c>
      <c r="Q65" s="534">
        <f t="shared" si="14"/>
        <v>2616.9</v>
      </c>
      <c r="R65" s="534">
        <f t="shared" si="14"/>
        <v>2616.9</v>
      </c>
      <c r="T65" s="731"/>
    </row>
    <row r="66" spans="2:20" x14ac:dyDescent="0.2">
      <c r="B66" s="725" t="s">
        <v>603</v>
      </c>
      <c r="C66" s="726">
        <v>730403010060</v>
      </c>
      <c r="D66" s="727">
        <v>251.625</v>
      </c>
      <c r="E66" s="728">
        <v>1</v>
      </c>
      <c r="F66" s="729"/>
      <c r="G66" s="534">
        <f t="shared" si="15"/>
        <v>1006.5</v>
      </c>
      <c r="H66" s="534">
        <f t="shared" si="14"/>
        <v>1006.5</v>
      </c>
      <c r="I66" s="534">
        <f t="shared" si="14"/>
        <v>1006.5</v>
      </c>
      <c r="J66" s="534">
        <f t="shared" si="14"/>
        <v>1006.5</v>
      </c>
      <c r="K66" s="534">
        <f t="shared" si="14"/>
        <v>1006.5</v>
      </c>
      <c r="L66" s="534">
        <f t="shared" si="14"/>
        <v>1006.5</v>
      </c>
      <c r="M66" s="534">
        <f t="shared" si="14"/>
        <v>1006.5</v>
      </c>
      <c r="N66" s="534">
        <f t="shared" si="14"/>
        <v>1006.5</v>
      </c>
      <c r="O66" s="534">
        <f t="shared" si="14"/>
        <v>1006.5</v>
      </c>
      <c r="P66" s="534">
        <f t="shared" si="14"/>
        <v>1006.5</v>
      </c>
      <c r="Q66" s="534">
        <f t="shared" si="14"/>
        <v>1006.5</v>
      </c>
      <c r="R66" s="534">
        <f t="shared" si="14"/>
        <v>1006.5</v>
      </c>
      <c r="T66" s="731"/>
    </row>
    <row r="67" spans="2:20" x14ac:dyDescent="0.2">
      <c r="B67" s="725" t="s">
        <v>604</v>
      </c>
      <c r="C67" s="726">
        <v>1604032083</v>
      </c>
      <c r="D67" s="727">
        <v>2815.4549999999999</v>
      </c>
      <c r="E67" s="728">
        <v>1</v>
      </c>
      <c r="F67" s="729"/>
      <c r="G67" s="534">
        <f t="shared" si="15"/>
        <v>11261.82</v>
      </c>
      <c r="H67" s="534">
        <f t="shared" si="14"/>
        <v>11261.82</v>
      </c>
      <c r="I67" s="534">
        <f t="shared" si="14"/>
        <v>11261.82</v>
      </c>
      <c r="J67" s="534">
        <f t="shared" si="14"/>
        <v>11261.82</v>
      </c>
      <c r="K67" s="534">
        <f t="shared" si="14"/>
        <v>11261.82</v>
      </c>
      <c r="L67" s="534">
        <f t="shared" si="14"/>
        <v>11261.82</v>
      </c>
      <c r="M67" s="534">
        <f t="shared" si="14"/>
        <v>11261.82</v>
      </c>
      <c r="N67" s="534">
        <f t="shared" si="14"/>
        <v>11261.82</v>
      </c>
      <c r="O67" s="534">
        <f t="shared" si="14"/>
        <v>11261.82</v>
      </c>
      <c r="P67" s="534">
        <f t="shared" si="14"/>
        <v>11261.82</v>
      </c>
      <c r="Q67" s="534">
        <f t="shared" si="14"/>
        <v>11261.82</v>
      </c>
      <c r="R67" s="534">
        <f t="shared" si="14"/>
        <v>11261.82</v>
      </c>
      <c r="T67" s="731"/>
    </row>
    <row r="68" spans="2:20" x14ac:dyDescent="0.2">
      <c r="B68" s="725" t="s">
        <v>605</v>
      </c>
      <c r="C68" s="726" t="s">
        <v>606</v>
      </c>
      <c r="D68" s="727">
        <v>86.16189</v>
      </c>
      <c r="E68" s="728">
        <v>54</v>
      </c>
      <c r="F68" s="729"/>
      <c r="G68" s="534">
        <f t="shared" si="15"/>
        <v>18610.968239999998</v>
      </c>
      <c r="H68" s="534">
        <f t="shared" si="14"/>
        <v>18610.968239999998</v>
      </c>
      <c r="I68" s="534">
        <f t="shared" si="14"/>
        <v>18610.968239999998</v>
      </c>
      <c r="J68" s="534">
        <f t="shared" si="14"/>
        <v>18610.968239999998</v>
      </c>
      <c r="K68" s="534">
        <f t="shared" si="14"/>
        <v>18610.968239999998</v>
      </c>
      <c r="L68" s="534">
        <f t="shared" si="14"/>
        <v>18610.968239999998</v>
      </c>
      <c r="M68" s="534">
        <f t="shared" si="14"/>
        <v>18610.968239999998</v>
      </c>
      <c r="N68" s="534">
        <f t="shared" si="14"/>
        <v>18610.968239999998</v>
      </c>
      <c r="O68" s="534">
        <f t="shared" si="14"/>
        <v>18610.968239999998</v>
      </c>
      <c r="P68" s="534">
        <f t="shared" si="14"/>
        <v>18610.968239999998</v>
      </c>
      <c r="Q68" s="534">
        <f t="shared" si="14"/>
        <v>18610.968239999998</v>
      </c>
      <c r="R68" s="534">
        <f t="shared" si="14"/>
        <v>18610.968239999998</v>
      </c>
      <c r="T68" s="731"/>
    </row>
    <row r="69" spans="2:20" x14ac:dyDescent="0.2">
      <c r="B69" s="725" t="s">
        <v>607</v>
      </c>
      <c r="C69" s="726" t="s">
        <v>608</v>
      </c>
      <c r="D69" s="727">
        <v>454.98599999999993</v>
      </c>
      <c r="E69" s="728">
        <v>1</v>
      </c>
      <c r="F69" s="729"/>
      <c r="G69" s="534">
        <f t="shared" si="15"/>
        <v>1819.9439999999997</v>
      </c>
      <c r="H69" s="534">
        <f t="shared" si="14"/>
        <v>1819.9439999999997</v>
      </c>
      <c r="I69" s="534">
        <f t="shared" si="14"/>
        <v>1819.9439999999997</v>
      </c>
      <c r="J69" s="534">
        <f t="shared" si="14"/>
        <v>1819.9439999999997</v>
      </c>
      <c r="K69" s="534">
        <f t="shared" si="14"/>
        <v>1819.9439999999997</v>
      </c>
      <c r="L69" s="534">
        <f t="shared" si="14"/>
        <v>1819.9439999999997</v>
      </c>
      <c r="M69" s="534">
        <f t="shared" si="14"/>
        <v>1819.9439999999997</v>
      </c>
      <c r="N69" s="534">
        <f t="shared" si="14"/>
        <v>1819.9439999999997</v>
      </c>
      <c r="O69" s="534">
        <f t="shared" si="14"/>
        <v>1819.9439999999997</v>
      </c>
      <c r="P69" s="534">
        <f t="shared" si="14"/>
        <v>1819.9439999999997</v>
      </c>
      <c r="Q69" s="534">
        <f t="shared" si="14"/>
        <v>1819.9439999999997</v>
      </c>
      <c r="R69" s="534">
        <f t="shared" si="14"/>
        <v>1819.9439999999997</v>
      </c>
      <c r="T69" s="731"/>
    </row>
    <row r="70" spans="2:20" x14ac:dyDescent="0.2">
      <c r="B70" s="725" t="s">
        <v>607</v>
      </c>
      <c r="C70" s="726" t="s">
        <v>609</v>
      </c>
      <c r="D70" s="727">
        <v>885.13199999999995</v>
      </c>
      <c r="E70" s="728">
        <v>1</v>
      </c>
      <c r="F70" s="729"/>
      <c r="G70" s="534">
        <f t="shared" si="15"/>
        <v>3540.5279999999998</v>
      </c>
      <c r="H70" s="534">
        <f t="shared" si="14"/>
        <v>3540.5279999999998</v>
      </c>
      <c r="I70" s="534">
        <f t="shared" si="14"/>
        <v>3540.5279999999998</v>
      </c>
      <c r="J70" s="534">
        <f t="shared" si="14"/>
        <v>3540.5279999999998</v>
      </c>
      <c r="K70" s="534">
        <f t="shared" si="14"/>
        <v>3540.5279999999998</v>
      </c>
      <c r="L70" s="534">
        <f t="shared" si="14"/>
        <v>3540.5279999999998</v>
      </c>
      <c r="M70" s="534">
        <f t="shared" si="14"/>
        <v>3540.5279999999998</v>
      </c>
      <c r="N70" s="534">
        <f t="shared" si="14"/>
        <v>3540.5279999999998</v>
      </c>
      <c r="O70" s="534">
        <f t="shared" si="14"/>
        <v>3540.5279999999998</v>
      </c>
      <c r="P70" s="534">
        <f t="shared" si="14"/>
        <v>3540.5279999999998</v>
      </c>
      <c r="Q70" s="534">
        <f t="shared" si="14"/>
        <v>3540.5279999999998</v>
      </c>
      <c r="R70" s="534">
        <f t="shared" si="14"/>
        <v>3540.5279999999998</v>
      </c>
      <c r="T70" s="731"/>
    </row>
    <row r="71" spans="2:20" x14ac:dyDescent="0.2">
      <c r="B71" s="725" t="s">
        <v>590</v>
      </c>
      <c r="C71" s="730" t="s">
        <v>591</v>
      </c>
      <c r="D71" s="727">
        <v>6.5609999999999999</v>
      </c>
      <c r="E71" s="728">
        <v>75</v>
      </c>
      <c r="F71" s="729"/>
      <c r="G71" s="534">
        <f t="shared" si="15"/>
        <v>1968.3</v>
      </c>
      <c r="H71" s="534">
        <f t="shared" si="15"/>
        <v>1968.3</v>
      </c>
      <c r="I71" s="534">
        <f t="shared" si="15"/>
        <v>1968.3</v>
      </c>
      <c r="J71" s="534">
        <f t="shared" si="15"/>
        <v>1968.3</v>
      </c>
      <c r="K71" s="534">
        <f t="shared" si="15"/>
        <v>1968.3</v>
      </c>
      <c r="L71" s="534">
        <f t="shared" si="15"/>
        <v>1968.3</v>
      </c>
      <c r="M71" s="534">
        <f t="shared" si="15"/>
        <v>1968.3</v>
      </c>
      <c r="N71" s="534">
        <f t="shared" si="15"/>
        <v>1968.3</v>
      </c>
      <c r="O71" s="534">
        <f t="shared" si="15"/>
        <v>1968.3</v>
      </c>
      <c r="P71" s="534">
        <f t="shared" si="15"/>
        <v>1968.3</v>
      </c>
      <c r="Q71" s="534">
        <f t="shared" si="15"/>
        <v>1968.3</v>
      </c>
      <c r="R71" s="534">
        <f t="shared" si="15"/>
        <v>1968.3</v>
      </c>
    </row>
    <row r="72" spans="2:20" x14ac:dyDescent="0.2">
      <c r="B72" s="725" t="s">
        <v>610</v>
      </c>
      <c r="C72" s="730" t="s">
        <v>611</v>
      </c>
      <c r="D72" s="727">
        <v>5.7977999999999996</v>
      </c>
      <c r="E72" s="728">
        <v>850</v>
      </c>
      <c r="F72" s="729"/>
      <c r="G72" s="534">
        <f t="shared" si="15"/>
        <v>19712.52</v>
      </c>
      <c r="H72" s="534">
        <f t="shared" si="15"/>
        <v>19712.52</v>
      </c>
      <c r="I72" s="534">
        <f t="shared" si="15"/>
        <v>19712.52</v>
      </c>
      <c r="J72" s="534">
        <f t="shared" si="15"/>
        <v>19712.52</v>
      </c>
      <c r="K72" s="534">
        <f t="shared" si="15"/>
        <v>19712.52</v>
      </c>
      <c r="L72" s="534">
        <f t="shared" si="15"/>
        <v>19712.52</v>
      </c>
      <c r="M72" s="534">
        <f t="shared" si="15"/>
        <v>19712.52</v>
      </c>
      <c r="N72" s="534">
        <f t="shared" si="15"/>
        <v>19712.52</v>
      </c>
      <c r="O72" s="534">
        <f t="shared" si="15"/>
        <v>19712.52</v>
      </c>
      <c r="P72" s="534">
        <f t="shared" si="15"/>
        <v>19712.52</v>
      </c>
      <c r="Q72" s="534">
        <f t="shared" si="15"/>
        <v>19712.52</v>
      </c>
      <c r="R72" s="534">
        <f t="shared" si="15"/>
        <v>19712.52</v>
      </c>
    </row>
    <row r="73" spans="2:20" x14ac:dyDescent="0.2">
      <c r="B73" s="725" t="s">
        <v>612</v>
      </c>
      <c r="C73" s="730" t="s">
        <v>613</v>
      </c>
      <c r="D73" s="727">
        <v>6.1037999999999988</v>
      </c>
      <c r="E73" s="728">
        <v>120</v>
      </c>
      <c r="F73" s="729"/>
      <c r="G73" s="534">
        <f t="shared" si="15"/>
        <v>2929.8239999999996</v>
      </c>
      <c r="H73" s="534">
        <f t="shared" si="15"/>
        <v>2929.8239999999996</v>
      </c>
      <c r="I73" s="534">
        <f t="shared" si="15"/>
        <v>2929.8239999999996</v>
      </c>
      <c r="J73" s="534">
        <f t="shared" si="15"/>
        <v>2929.8239999999996</v>
      </c>
      <c r="K73" s="534">
        <f t="shared" si="15"/>
        <v>2929.8239999999996</v>
      </c>
      <c r="L73" s="534">
        <f t="shared" si="15"/>
        <v>2929.8239999999996</v>
      </c>
      <c r="M73" s="534">
        <f t="shared" si="15"/>
        <v>2929.8239999999996</v>
      </c>
      <c r="N73" s="534">
        <f t="shared" si="15"/>
        <v>2929.8239999999996</v>
      </c>
      <c r="O73" s="534">
        <f t="shared" si="15"/>
        <v>2929.8239999999996</v>
      </c>
      <c r="P73" s="534">
        <f t="shared" si="15"/>
        <v>2929.8239999999996</v>
      </c>
      <c r="Q73" s="534">
        <f t="shared" si="15"/>
        <v>2929.8239999999996</v>
      </c>
      <c r="R73" s="534">
        <f t="shared" si="15"/>
        <v>2929.8239999999996</v>
      </c>
    </row>
    <row r="74" spans="2:20" x14ac:dyDescent="0.2">
      <c r="B74" s="725" t="s">
        <v>614</v>
      </c>
      <c r="C74" s="730" t="s">
        <v>615</v>
      </c>
      <c r="D74" s="727">
        <v>8.8506</v>
      </c>
      <c r="E74" s="728">
        <v>220</v>
      </c>
      <c r="F74" s="729"/>
      <c r="G74" s="534">
        <f t="shared" si="15"/>
        <v>7788.5280000000002</v>
      </c>
      <c r="H74" s="534">
        <f t="shared" si="15"/>
        <v>7788.5280000000002</v>
      </c>
      <c r="I74" s="534">
        <f t="shared" si="15"/>
        <v>7788.5280000000002</v>
      </c>
      <c r="J74" s="534">
        <f t="shared" si="15"/>
        <v>7788.5280000000002</v>
      </c>
      <c r="K74" s="534">
        <f t="shared" si="15"/>
        <v>7788.5280000000002</v>
      </c>
      <c r="L74" s="534">
        <f t="shared" si="15"/>
        <v>7788.5280000000002</v>
      </c>
      <c r="M74" s="534">
        <f t="shared" si="15"/>
        <v>7788.5280000000002</v>
      </c>
      <c r="N74" s="534">
        <f t="shared" si="15"/>
        <v>7788.5280000000002</v>
      </c>
      <c r="O74" s="534">
        <f t="shared" si="15"/>
        <v>7788.5280000000002</v>
      </c>
      <c r="P74" s="534">
        <f t="shared" si="15"/>
        <v>7788.5280000000002</v>
      </c>
      <c r="Q74" s="534">
        <f t="shared" si="15"/>
        <v>7788.5280000000002</v>
      </c>
      <c r="R74" s="534">
        <f t="shared" si="15"/>
        <v>7788.5280000000002</v>
      </c>
    </row>
    <row r="75" spans="2:20" x14ac:dyDescent="0.2">
      <c r="B75" s="725" t="s">
        <v>616</v>
      </c>
      <c r="C75" s="730" t="s">
        <v>617</v>
      </c>
      <c r="D75" s="727">
        <v>14.497200000000001</v>
      </c>
      <c r="E75" s="728">
        <v>80</v>
      </c>
      <c r="F75" s="729"/>
      <c r="G75" s="534">
        <f t="shared" si="15"/>
        <v>4639.1040000000003</v>
      </c>
      <c r="H75" s="534">
        <f t="shared" si="15"/>
        <v>4639.1040000000003</v>
      </c>
      <c r="I75" s="534">
        <f t="shared" si="15"/>
        <v>4639.1040000000003</v>
      </c>
      <c r="J75" s="534">
        <f t="shared" si="15"/>
        <v>4639.1040000000003</v>
      </c>
      <c r="K75" s="534">
        <f t="shared" si="15"/>
        <v>4639.1040000000003</v>
      </c>
      <c r="L75" s="534">
        <f t="shared" si="15"/>
        <v>4639.1040000000003</v>
      </c>
      <c r="M75" s="534">
        <f t="shared" si="15"/>
        <v>4639.1040000000003</v>
      </c>
      <c r="N75" s="534">
        <f t="shared" si="15"/>
        <v>4639.1040000000003</v>
      </c>
      <c r="O75" s="534">
        <f t="shared" si="15"/>
        <v>4639.1040000000003</v>
      </c>
      <c r="P75" s="534">
        <f t="shared" si="15"/>
        <v>4639.1040000000003</v>
      </c>
      <c r="Q75" s="534">
        <f t="shared" si="15"/>
        <v>4639.1040000000003</v>
      </c>
      <c r="R75" s="534">
        <f t="shared" si="15"/>
        <v>4639.1040000000003</v>
      </c>
    </row>
    <row r="76" spans="2:20" x14ac:dyDescent="0.2">
      <c r="B76" s="723" t="s">
        <v>397</v>
      </c>
      <c r="C76" s="470"/>
      <c r="D76" s="724"/>
      <c r="E76" s="569">
        <f>VLOOKUP($B76,$B$14:$C$17,2,FALSE)</f>
        <v>2000</v>
      </c>
      <c r="F76" s="473">
        <f>VLOOKUP($B76,$B$14:$E$17,4,FALSE)</f>
        <v>3</v>
      </c>
      <c r="G76" s="474"/>
      <c r="H76" s="474"/>
      <c r="I76" s="474"/>
      <c r="J76" s="474"/>
      <c r="K76" s="474"/>
      <c r="L76" s="474"/>
      <c r="M76" s="474"/>
      <c r="N76" s="474"/>
      <c r="O76" s="534"/>
      <c r="P76" s="474"/>
      <c r="Q76" s="474"/>
      <c r="R76" s="474"/>
    </row>
    <row r="77" spans="2:20" x14ac:dyDescent="0.2">
      <c r="B77" s="725" t="s">
        <v>580</v>
      </c>
      <c r="C77" s="726">
        <v>750201012207</v>
      </c>
      <c r="D77" s="727">
        <v>159.86879999999999</v>
      </c>
      <c r="E77" s="728">
        <v>2</v>
      </c>
      <c r="F77" s="729"/>
      <c r="G77" s="534">
        <f>IF(G$17=0,0,G$17/$D$17*$E77*$D77)</f>
        <v>959.21280000000002</v>
      </c>
      <c r="H77" s="534">
        <f t="shared" ref="H77:R92" si="16">IF(H$17=0,0,H$17/$D$17*$E77*$D77)</f>
        <v>959.21280000000002</v>
      </c>
      <c r="I77" s="534">
        <f t="shared" si="16"/>
        <v>959.21280000000002</v>
      </c>
      <c r="J77" s="534">
        <f t="shared" si="16"/>
        <v>959.21280000000002</v>
      </c>
      <c r="K77" s="534">
        <f t="shared" si="16"/>
        <v>959.21280000000002</v>
      </c>
      <c r="L77" s="534">
        <f t="shared" si="16"/>
        <v>959.21280000000002</v>
      </c>
      <c r="M77" s="534">
        <f t="shared" si="16"/>
        <v>959.21280000000002</v>
      </c>
      <c r="N77" s="534">
        <f t="shared" si="16"/>
        <v>959.21280000000002</v>
      </c>
      <c r="O77" s="534">
        <f t="shared" si="16"/>
        <v>959.21280000000002</v>
      </c>
      <c r="P77" s="534">
        <f t="shared" si="16"/>
        <v>959.21280000000002</v>
      </c>
      <c r="Q77" s="534">
        <f t="shared" si="16"/>
        <v>959.21280000000002</v>
      </c>
      <c r="R77" s="534">
        <f t="shared" si="16"/>
        <v>959.21280000000002</v>
      </c>
    </row>
    <row r="78" spans="2:20" x14ac:dyDescent="0.2">
      <c r="B78" s="725" t="s">
        <v>581</v>
      </c>
      <c r="C78" s="726" t="s">
        <v>582</v>
      </c>
      <c r="D78" s="727">
        <v>127.8</v>
      </c>
      <c r="E78" s="728">
        <v>1</v>
      </c>
      <c r="F78" s="729"/>
      <c r="G78" s="534">
        <f t="shared" ref="G78:R107" si="17">IF(G$17=0,0,G$17/$D$17*$E78*$D78)</f>
        <v>383.4</v>
      </c>
      <c r="H78" s="534">
        <f t="shared" si="16"/>
        <v>383.4</v>
      </c>
      <c r="I78" s="534">
        <f t="shared" si="16"/>
        <v>383.4</v>
      </c>
      <c r="J78" s="534">
        <f t="shared" si="16"/>
        <v>383.4</v>
      </c>
      <c r="K78" s="534">
        <f t="shared" si="16"/>
        <v>383.4</v>
      </c>
      <c r="L78" s="534">
        <f t="shared" si="16"/>
        <v>383.4</v>
      </c>
      <c r="M78" s="534">
        <f t="shared" si="16"/>
        <v>383.4</v>
      </c>
      <c r="N78" s="534">
        <f t="shared" si="16"/>
        <v>383.4</v>
      </c>
      <c r="O78" s="534">
        <f t="shared" si="16"/>
        <v>383.4</v>
      </c>
      <c r="P78" s="534">
        <f t="shared" si="16"/>
        <v>383.4</v>
      </c>
      <c r="Q78" s="534">
        <f t="shared" si="16"/>
        <v>383.4</v>
      </c>
      <c r="R78" s="534">
        <f t="shared" si="16"/>
        <v>383.4</v>
      </c>
    </row>
    <row r="79" spans="2:20" x14ac:dyDescent="0.2">
      <c r="B79" s="725" t="s">
        <v>581</v>
      </c>
      <c r="C79" s="726" t="s">
        <v>583</v>
      </c>
      <c r="D79" s="727">
        <v>172.43999999999997</v>
      </c>
      <c r="E79" s="728">
        <v>1</v>
      </c>
      <c r="F79" s="729"/>
      <c r="G79" s="534">
        <f t="shared" si="17"/>
        <v>517.31999999999994</v>
      </c>
      <c r="H79" s="534">
        <f t="shared" si="16"/>
        <v>517.31999999999994</v>
      </c>
      <c r="I79" s="534">
        <f t="shared" si="16"/>
        <v>517.31999999999994</v>
      </c>
      <c r="J79" s="534">
        <f t="shared" si="16"/>
        <v>517.31999999999994</v>
      </c>
      <c r="K79" s="534">
        <f t="shared" si="16"/>
        <v>517.31999999999994</v>
      </c>
      <c r="L79" s="534">
        <f t="shared" si="16"/>
        <v>517.31999999999994</v>
      </c>
      <c r="M79" s="534">
        <f t="shared" si="16"/>
        <v>517.31999999999994</v>
      </c>
      <c r="N79" s="534">
        <f t="shared" si="16"/>
        <v>517.31999999999994</v>
      </c>
      <c r="O79" s="534">
        <f t="shared" si="16"/>
        <v>517.31999999999994</v>
      </c>
      <c r="P79" s="534">
        <f t="shared" si="16"/>
        <v>517.31999999999994</v>
      </c>
      <c r="Q79" s="534">
        <f t="shared" si="16"/>
        <v>517.31999999999994</v>
      </c>
      <c r="R79" s="534">
        <f t="shared" si="16"/>
        <v>517.31999999999994</v>
      </c>
    </row>
    <row r="80" spans="2:20" x14ac:dyDescent="0.2">
      <c r="B80" s="725" t="s">
        <v>584</v>
      </c>
      <c r="C80" s="726">
        <v>750201018263</v>
      </c>
      <c r="D80" s="727">
        <v>83.52</v>
      </c>
      <c r="E80" s="728">
        <v>1</v>
      </c>
      <c r="F80" s="729"/>
      <c r="G80" s="534">
        <f t="shared" si="17"/>
        <v>250.56</v>
      </c>
      <c r="H80" s="534">
        <f t="shared" si="16"/>
        <v>250.56</v>
      </c>
      <c r="I80" s="534">
        <f t="shared" si="16"/>
        <v>250.56</v>
      </c>
      <c r="J80" s="534">
        <f t="shared" si="16"/>
        <v>250.56</v>
      </c>
      <c r="K80" s="534">
        <f t="shared" si="16"/>
        <v>250.56</v>
      </c>
      <c r="L80" s="534">
        <f t="shared" si="16"/>
        <v>250.56</v>
      </c>
      <c r="M80" s="534">
        <f t="shared" si="16"/>
        <v>250.56</v>
      </c>
      <c r="N80" s="534">
        <f t="shared" si="16"/>
        <v>250.56</v>
      </c>
      <c r="O80" s="534">
        <f t="shared" si="16"/>
        <v>250.56</v>
      </c>
      <c r="P80" s="534">
        <f t="shared" si="16"/>
        <v>250.56</v>
      </c>
      <c r="Q80" s="534">
        <f t="shared" si="16"/>
        <v>250.56</v>
      </c>
      <c r="R80" s="534">
        <f t="shared" si="16"/>
        <v>250.56</v>
      </c>
    </row>
    <row r="81" spans="2:18" x14ac:dyDescent="0.2">
      <c r="B81" s="725" t="s">
        <v>585</v>
      </c>
      <c r="C81" s="726">
        <v>730403000677</v>
      </c>
      <c r="D81" s="727">
        <v>380.16</v>
      </c>
      <c r="E81" s="728">
        <v>2</v>
      </c>
      <c r="F81" s="729"/>
      <c r="G81" s="534">
        <f t="shared" si="17"/>
        <v>2280.96</v>
      </c>
      <c r="H81" s="534">
        <f t="shared" si="16"/>
        <v>2280.96</v>
      </c>
      <c r="I81" s="534">
        <f t="shared" si="16"/>
        <v>2280.96</v>
      </c>
      <c r="J81" s="534">
        <f t="shared" si="16"/>
        <v>2280.96</v>
      </c>
      <c r="K81" s="534">
        <f t="shared" si="16"/>
        <v>2280.96</v>
      </c>
      <c r="L81" s="534">
        <f t="shared" si="16"/>
        <v>2280.96</v>
      </c>
      <c r="M81" s="534">
        <f t="shared" si="16"/>
        <v>2280.96</v>
      </c>
      <c r="N81" s="534">
        <f t="shared" si="16"/>
        <v>2280.96</v>
      </c>
      <c r="O81" s="534">
        <f t="shared" si="16"/>
        <v>2280.96</v>
      </c>
      <c r="P81" s="534">
        <f t="shared" si="16"/>
        <v>2280.96</v>
      </c>
      <c r="Q81" s="534">
        <f t="shared" si="16"/>
        <v>2280.96</v>
      </c>
      <c r="R81" s="534">
        <f t="shared" si="16"/>
        <v>2280.96</v>
      </c>
    </row>
    <row r="82" spans="2:18" x14ac:dyDescent="0.2">
      <c r="B82" s="725" t="s">
        <v>586</v>
      </c>
      <c r="C82" s="726">
        <v>730403000677</v>
      </c>
      <c r="D82" s="727">
        <v>380.16</v>
      </c>
      <c r="E82" s="728">
        <v>2</v>
      </c>
      <c r="F82" s="729"/>
      <c r="G82" s="534">
        <f t="shared" si="17"/>
        <v>2280.96</v>
      </c>
      <c r="H82" s="534">
        <f t="shared" si="16"/>
        <v>2280.96</v>
      </c>
      <c r="I82" s="534">
        <f t="shared" si="16"/>
        <v>2280.96</v>
      </c>
      <c r="J82" s="534">
        <f t="shared" si="16"/>
        <v>2280.96</v>
      </c>
      <c r="K82" s="534">
        <f t="shared" si="16"/>
        <v>2280.96</v>
      </c>
      <c r="L82" s="534">
        <f t="shared" si="16"/>
        <v>2280.96</v>
      </c>
      <c r="M82" s="534">
        <f t="shared" si="16"/>
        <v>2280.96</v>
      </c>
      <c r="N82" s="534">
        <f t="shared" si="16"/>
        <v>2280.96</v>
      </c>
      <c r="O82" s="534">
        <f t="shared" si="16"/>
        <v>2280.96</v>
      </c>
      <c r="P82" s="534">
        <f t="shared" si="16"/>
        <v>2280.96</v>
      </c>
      <c r="Q82" s="534">
        <f t="shared" si="16"/>
        <v>2280.96</v>
      </c>
      <c r="R82" s="534">
        <f t="shared" si="16"/>
        <v>2280.96</v>
      </c>
    </row>
    <row r="83" spans="2:18" x14ac:dyDescent="0.2">
      <c r="B83" s="725" t="s">
        <v>587</v>
      </c>
      <c r="C83" s="726" t="s">
        <v>588</v>
      </c>
      <c r="D83" s="727">
        <v>427.24799999999999</v>
      </c>
      <c r="E83" s="728">
        <v>1</v>
      </c>
      <c r="F83" s="729"/>
      <c r="G83" s="534">
        <f t="shared" si="17"/>
        <v>1281.7439999999999</v>
      </c>
      <c r="H83" s="534">
        <f t="shared" si="16"/>
        <v>1281.7439999999999</v>
      </c>
      <c r="I83" s="534">
        <f t="shared" si="16"/>
        <v>1281.7439999999999</v>
      </c>
      <c r="J83" s="534">
        <f t="shared" si="16"/>
        <v>1281.7439999999999</v>
      </c>
      <c r="K83" s="534">
        <f t="shared" si="16"/>
        <v>1281.7439999999999</v>
      </c>
      <c r="L83" s="534">
        <f t="shared" si="16"/>
        <v>1281.7439999999999</v>
      </c>
      <c r="M83" s="534">
        <f t="shared" si="16"/>
        <v>1281.7439999999999</v>
      </c>
      <c r="N83" s="534">
        <f t="shared" si="16"/>
        <v>1281.7439999999999</v>
      </c>
      <c r="O83" s="534">
        <f t="shared" si="16"/>
        <v>1281.7439999999999</v>
      </c>
      <c r="P83" s="534">
        <f t="shared" si="16"/>
        <v>1281.7439999999999</v>
      </c>
      <c r="Q83" s="534">
        <f t="shared" si="16"/>
        <v>1281.7439999999999</v>
      </c>
      <c r="R83" s="534">
        <f t="shared" si="16"/>
        <v>1281.7439999999999</v>
      </c>
    </row>
    <row r="84" spans="2:18" x14ac:dyDescent="0.2">
      <c r="B84" s="725" t="s">
        <v>589</v>
      </c>
      <c r="C84" s="726">
        <v>750201011177</v>
      </c>
      <c r="D84" s="727">
        <v>146.03399999999999</v>
      </c>
      <c r="E84" s="728">
        <v>2</v>
      </c>
      <c r="F84" s="729"/>
      <c r="G84" s="534">
        <f t="shared" si="17"/>
        <v>876.20399999999995</v>
      </c>
      <c r="H84" s="534">
        <f t="shared" si="16"/>
        <v>876.20399999999995</v>
      </c>
      <c r="I84" s="534">
        <f t="shared" si="16"/>
        <v>876.20399999999995</v>
      </c>
      <c r="J84" s="534">
        <f t="shared" si="16"/>
        <v>876.20399999999995</v>
      </c>
      <c r="K84" s="534">
        <f t="shared" si="16"/>
        <v>876.20399999999995</v>
      </c>
      <c r="L84" s="534">
        <f t="shared" si="16"/>
        <v>876.20399999999995</v>
      </c>
      <c r="M84" s="534">
        <f t="shared" si="16"/>
        <v>876.20399999999995</v>
      </c>
      <c r="N84" s="534">
        <f t="shared" si="16"/>
        <v>876.20399999999995</v>
      </c>
      <c r="O84" s="534">
        <f t="shared" si="16"/>
        <v>876.20399999999995</v>
      </c>
      <c r="P84" s="534">
        <f t="shared" si="16"/>
        <v>876.20399999999995</v>
      </c>
      <c r="Q84" s="534">
        <f t="shared" si="16"/>
        <v>876.20399999999995</v>
      </c>
      <c r="R84" s="534">
        <f t="shared" si="16"/>
        <v>876.20399999999995</v>
      </c>
    </row>
    <row r="85" spans="2:18" x14ac:dyDescent="0.2">
      <c r="B85" s="725" t="s">
        <v>592</v>
      </c>
      <c r="C85" s="726">
        <v>1202804003</v>
      </c>
      <c r="D85" s="727">
        <v>420.9</v>
      </c>
      <c r="E85" s="728">
        <v>3</v>
      </c>
      <c r="F85" s="729"/>
      <c r="G85" s="534">
        <f t="shared" si="17"/>
        <v>3788.1</v>
      </c>
      <c r="H85" s="534">
        <f t="shared" si="16"/>
        <v>3788.1</v>
      </c>
      <c r="I85" s="534">
        <f t="shared" si="16"/>
        <v>3788.1</v>
      </c>
      <c r="J85" s="534">
        <f t="shared" si="16"/>
        <v>3788.1</v>
      </c>
      <c r="K85" s="534">
        <f t="shared" si="16"/>
        <v>3788.1</v>
      </c>
      <c r="L85" s="534">
        <f t="shared" si="16"/>
        <v>3788.1</v>
      </c>
      <c r="M85" s="534">
        <f t="shared" si="16"/>
        <v>3788.1</v>
      </c>
      <c r="N85" s="534">
        <f t="shared" si="16"/>
        <v>3788.1</v>
      </c>
      <c r="O85" s="534">
        <f t="shared" si="16"/>
        <v>3788.1</v>
      </c>
      <c r="P85" s="534">
        <f t="shared" si="16"/>
        <v>3788.1</v>
      </c>
      <c r="Q85" s="534">
        <f t="shared" si="16"/>
        <v>3788.1</v>
      </c>
      <c r="R85" s="534">
        <f t="shared" si="16"/>
        <v>3788.1</v>
      </c>
    </row>
    <row r="86" spans="2:18" x14ac:dyDescent="0.2">
      <c r="B86" s="725" t="s">
        <v>593</v>
      </c>
      <c r="C86" s="726">
        <v>730403000676</v>
      </c>
      <c r="D86" s="727">
        <v>164.15999999999997</v>
      </c>
      <c r="E86" s="728">
        <v>2</v>
      </c>
      <c r="F86" s="729"/>
      <c r="G86" s="534">
        <f t="shared" si="17"/>
        <v>984.95999999999981</v>
      </c>
      <c r="H86" s="534">
        <f t="shared" si="16"/>
        <v>984.95999999999981</v>
      </c>
      <c r="I86" s="534">
        <f t="shared" si="16"/>
        <v>984.95999999999981</v>
      </c>
      <c r="J86" s="534">
        <f t="shared" si="16"/>
        <v>984.95999999999981</v>
      </c>
      <c r="K86" s="534">
        <f t="shared" si="16"/>
        <v>984.95999999999981</v>
      </c>
      <c r="L86" s="534">
        <f t="shared" si="16"/>
        <v>984.95999999999981</v>
      </c>
      <c r="M86" s="534">
        <f t="shared" si="16"/>
        <v>984.95999999999981</v>
      </c>
      <c r="N86" s="534">
        <f t="shared" si="16"/>
        <v>984.95999999999981</v>
      </c>
      <c r="O86" s="534">
        <f t="shared" si="16"/>
        <v>984.95999999999981</v>
      </c>
      <c r="P86" s="534">
        <f t="shared" si="16"/>
        <v>984.95999999999981</v>
      </c>
      <c r="Q86" s="534">
        <f t="shared" si="16"/>
        <v>984.95999999999981</v>
      </c>
      <c r="R86" s="534">
        <f t="shared" si="16"/>
        <v>984.95999999999981</v>
      </c>
    </row>
    <row r="87" spans="2:18" x14ac:dyDescent="0.2">
      <c r="B87" s="725" t="s">
        <v>594</v>
      </c>
      <c r="C87" s="726">
        <v>750201011176</v>
      </c>
      <c r="D87" s="727">
        <v>64.05</v>
      </c>
      <c r="E87" s="728">
        <v>2</v>
      </c>
      <c r="F87" s="729"/>
      <c r="G87" s="534">
        <f t="shared" si="17"/>
        <v>384.29999999999995</v>
      </c>
      <c r="H87" s="534">
        <f t="shared" si="16"/>
        <v>384.29999999999995</v>
      </c>
      <c r="I87" s="534">
        <f t="shared" si="16"/>
        <v>384.29999999999995</v>
      </c>
      <c r="J87" s="534">
        <f t="shared" si="16"/>
        <v>384.29999999999995</v>
      </c>
      <c r="K87" s="534">
        <f t="shared" si="16"/>
        <v>384.29999999999995</v>
      </c>
      <c r="L87" s="534">
        <f t="shared" si="16"/>
        <v>384.29999999999995</v>
      </c>
      <c r="M87" s="534">
        <f t="shared" si="16"/>
        <v>384.29999999999995</v>
      </c>
      <c r="N87" s="534">
        <f t="shared" si="16"/>
        <v>384.29999999999995</v>
      </c>
      <c r="O87" s="534">
        <f t="shared" si="16"/>
        <v>384.29999999999995</v>
      </c>
      <c r="P87" s="534">
        <f t="shared" si="16"/>
        <v>384.29999999999995</v>
      </c>
      <c r="Q87" s="534">
        <f t="shared" si="16"/>
        <v>384.29999999999995</v>
      </c>
      <c r="R87" s="534">
        <f t="shared" si="16"/>
        <v>384.29999999999995</v>
      </c>
    </row>
    <row r="88" spans="2:18" x14ac:dyDescent="0.2">
      <c r="B88" s="725" t="s">
        <v>595</v>
      </c>
      <c r="C88" s="726">
        <v>302030055771</v>
      </c>
      <c r="D88" s="727">
        <v>110.7684</v>
      </c>
      <c r="E88" s="728">
        <v>8</v>
      </c>
      <c r="F88" s="729"/>
      <c r="G88" s="534">
        <f t="shared" si="17"/>
        <v>2658.4416000000001</v>
      </c>
      <c r="H88" s="534">
        <f t="shared" si="16"/>
        <v>2658.4416000000001</v>
      </c>
      <c r="I88" s="534">
        <f t="shared" si="16"/>
        <v>2658.4416000000001</v>
      </c>
      <c r="J88" s="534">
        <f t="shared" si="16"/>
        <v>2658.4416000000001</v>
      </c>
      <c r="K88" s="534">
        <f t="shared" si="16"/>
        <v>2658.4416000000001</v>
      </c>
      <c r="L88" s="534">
        <f t="shared" si="16"/>
        <v>2658.4416000000001</v>
      </c>
      <c r="M88" s="534">
        <f t="shared" si="16"/>
        <v>2658.4416000000001</v>
      </c>
      <c r="N88" s="534">
        <f t="shared" si="16"/>
        <v>2658.4416000000001</v>
      </c>
      <c r="O88" s="534">
        <f t="shared" si="16"/>
        <v>2658.4416000000001</v>
      </c>
      <c r="P88" s="534">
        <f t="shared" si="16"/>
        <v>2658.4416000000001</v>
      </c>
      <c r="Q88" s="534">
        <f t="shared" si="16"/>
        <v>2658.4416000000001</v>
      </c>
      <c r="R88" s="534">
        <f t="shared" si="16"/>
        <v>2658.4416000000001</v>
      </c>
    </row>
    <row r="89" spans="2:18" x14ac:dyDescent="0.2">
      <c r="B89" s="725" t="s">
        <v>596</v>
      </c>
      <c r="C89" s="726">
        <v>302030055762</v>
      </c>
      <c r="D89" s="727">
        <v>102.4614</v>
      </c>
      <c r="E89" s="728">
        <v>4</v>
      </c>
      <c r="F89" s="729"/>
      <c r="G89" s="534">
        <f t="shared" si="17"/>
        <v>1229.5367999999999</v>
      </c>
      <c r="H89" s="534">
        <f t="shared" si="16"/>
        <v>1229.5367999999999</v>
      </c>
      <c r="I89" s="534">
        <f t="shared" si="16"/>
        <v>1229.5367999999999</v>
      </c>
      <c r="J89" s="534">
        <f t="shared" si="16"/>
        <v>1229.5367999999999</v>
      </c>
      <c r="K89" s="534">
        <f t="shared" si="16"/>
        <v>1229.5367999999999</v>
      </c>
      <c r="L89" s="534">
        <f t="shared" si="16"/>
        <v>1229.5367999999999</v>
      </c>
      <c r="M89" s="534">
        <f t="shared" si="16"/>
        <v>1229.5367999999999</v>
      </c>
      <c r="N89" s="534">
        <f t="shared" si="16"/>
        <v>1229.5367999999999</v>
      </c>
      <c r="O89" s="534">
        <f t="shared" si="16"/>
        <v>1229.5367999999999</v>
      </c>
      <c r="P89" s="534">
        <f t="shared" si="16"/>
        <v>1229.5367999999999</v>
      </c>
      <c r="Q89" s="534">
        <f t="shared" si="16"/>
        <v>1229.5367999999999</v>
      </c>
      <c r="R89" s="534">
        <f t="shared" si="16"/>
        <v>1229.5367999999999</v>
      </c>
    </row>
    <row r="90" spans="2:18" x14ac:dyDescent="0.2">
      <c r="B90" s="725" t="s">
        <v>597</v>
      </c>
      <c r="C90" s="726">
        <v>730403000276</v>
      </c>
      <c r="D90" s="727">
        <v>57.644999999999996</v>
      </c>
      <c r="E90" s="728">
        <v>1</v>
      </c>
      <c r="F90" s="729"/>
      <c r="G90" s="534">
        <f t="shared" si="17"/>
        <v>172.935</v>
      </c>
      <c r="H90" s="534">
        <f t="shared" si="16"/>
        <v>172.935</v>
      </c>
      <c r="I90" s="534">
        <f t="shared" si="16"/>
        <v>172.935</v>
      </c>
      <c r="J90" s="534">
        <f t="shared" si="16"/>
        <v>172.935</v>
      </c>
      <c r="K90" s="534">
        <f t="shared" si="16"/>
        <v>172.935</v>
      </c>
      <c r="L90" s="534">
        <f t="shared" si="16"/>
        <v>172.935</v>
      </c>
      <c r="M90" s="534">
        <f t="shared" si="16"/>
        <v>172.935</v>
      </c>
      <c r="N90" s="534">
        <f t="shared" si="16"/>
        <v>172.935</v>
      </c>
      <c r="O90" s="534">
        <f t="shared" si="16"/>
        <v>172.935</v>
      </c>
      <c r="P90" s="534">
        <f t="shared" si="16"/>
        <v>172.935</v>
      </c>
      <c r="Q90" s="534">
        <f t="shared" si="16"/>
        <v>172.935</v>
      </c>
      <c r="R90" s="534">
        <f t="shared" si="16"/>
        <v>172.935</v>
      </c>
    </row>
    <row r="91" spans="2:18" x14ac:dyDescent="0.2">
      <c r="B91" s="725" t="s">
        <v>598</v>
      </c>
      <c r="C91" s="726">
        <v>730403000068</v>
      </c>
      <c r="D91" s="727">
        <v>808.65364583333337</v>
      </c>
      <c r="E91" s="728">
        <v>2</v>
      </c>
      <c r="F91" s="729"/>
      <c r="G91" s="534">
        <f t="shared" si="17"/>
        <v>4851.921875</v>
      </c>
      <c r="H91" s="534">
        <f t="shared" si="16"/>
        <v>4851.921875</v>
      </c>
      <c r="I91" s="534">
        <f t="shared" si="16"/>
        <v>4851.921875</v>
      </c>
      <c r="J91" s="534">
        <f t="shared" si="16"/>
        <v>4851.921875</v>
      </c>
      <c r="K91" s="534">
        <f t="shared" si="16"/>
        <v>4851.921875</v>
      </c>
      <c r="L91" s="534">
        <f t="shared" si="16"/>
        <v>4851.921875</v>
      </c>
      <c r="M91" s="534">
        <f t="shared" si="16"/>
        <v>4851.921875</v>
      </c>
      <c r="N91" s="534">
        <f t="shared" si="16"/>
        <v>4851.921875</v>
      </c>
      <c r="O91" s="534">
        <f t="shared" si="16"/>
        <v>4851.921875</v>
      </c>
      <c r="P91" s="534">
        <f t="shared" si="16"/>
        <v>4851.921875</v>
      </c>
      <c r="Q91" s="534">
        <f t="shared" si="16"/>
        <v>4851.921875</v>
      </c>
      <c r="R91" s="534">
        <f t="shared" si="16"/>
        <v>4851.921875</v>
      </c>
    </row>
    <row r="92" spans="2:18" x14ac:dyDescent="0.2">
      <c r="B92" s="725" t="s">
        <v>599</v>
      </c>
      <c r="C92" s="726">
        <v>750398000659</v>
      </c>
      <c r="D92" s="727">
        <v>46.655999999999992</v>
      </c>
      <c r="E92" s="728">
        <v>1</v>
      </c>
      <c r="F92" s="729"/>
      <c r="G92" s="534">
        <f t="shared" si="17"/>
        <v>139.96799999999996</v>
      </c>
      <c r="H92" s="534">
        <f t="shared" si="16"/>
        <v>139.96799999999996</v>
      </c>
      <c r="I92" s="534">
        <f t="shared" si="16"/>
        <v>139.96799999999996</v>
      </c>
      <c r="J92" s="534">
        <f t="shared" si="16"/>
        <v>139.96799999999996</v>
      </c>
      <c r="K92" s="534">
        <f t="shared" si="16"/>
        <v>139.96799999999996</v>
      </c>
      <c r="L92" s="534">
        <f t="shared" si="16"/>
        <v>139.96799999999996</v>
      </c>
      <c r="M92" s="534">
        <f t="shared" si="16"/>
        <v>139.96799999999996</v>
      </c>
      <c r="N92" s="534">
        <f t="shared" si="16"/>
        <v>139.96799999999996</v>
      </c>
      <c r="O92" s="534">
        <f t="shared" si="16"/>
        <v>139.96799999999996</v>
      </c>
      <c r="P92" s="534">
        <f t="shared" si="16"/>
        <v>139.96799999999996</v>
      </c>
      <c r="Q92" s="534">
        <f t="shared" si="16"/>
        <v>139.96799999999996</v>
      </c>
      <c r="R92" s="534">
        <f t="shared" si="16"/>
        <v>139.96799999999996</v>
      </c>
    </row>
    <row r="93" spans="2:18" x14ac:dyDescent="0.2">
      <c r="B93" s="725" t="s">
        <v>600</v>
      </c>
      <c r="C93" s="726">
        <v>750201018267</v>
      </c>
      <c r="D93" s="727">
        <v>259.2</v>
      </c>
      <c r="E93" s="728">
        <v>1</v>
      </c>
      <c r="F93" s="729"/>
      <c r="G93" s="534">
        <f t="shared" si="17"/>
        <v>777.59999999999991</v>
      </c>
      <c r="H93" s="534">
        <f t="shared" si="17"/>
        <v>777.59999999999991</v>
      </c>
      <c r="I93" s="534">
        <f t="shared" si="17"/>
        <v>777.59999999999991</v>
      </c>
      <c r="J93" s="534">
        <f t="shared" si="17"/>
        <v>777.59999999999991</v>
      </c>
      <c r="K93" s="534">
        <f t="shared" si="17"/>
        <v>777.59999999999991</v>
      </c>
      <c r="L93" s="534">
        <f t="shared" si="17"/>
        <v>777.59999999999991</v>
      </c>
      <c r="M93" s="534">
        <f t="shared" si="17"/>
        <v>777.59999999999991</v>
      </c>
      <c r="N93" s="534">
        <f t="shared" si="17"/>
        <v>777.59999999999991</v>
      </c>
      <c r="O93" s="534">
        <f t="shared" si="17"/>
        <v>777.59999999999991</v>
      </c>
      <c r="P93" s="534">
        <f t="shared" si="17"/>
        <v>777.59999999999991</v>
      </c>
      <c r="Q93" s="534">
        <f t="shared" si="17"/>
        <v>777.59999999999991</v>
      </c>
      <c r="R93" s="534">
        <f t="shared" si="17"/>
        <v>777.59999999999991</v>
      </c>
    </row>
    <row r="94" spans="2:18" x14ac:dyDescent="0.2">
      <c r="B94" s="725" t="s">
        <v>601</v>
      </c>
      <c r="C94" s="726" t="s">
        <v>602</v>
      </c>
      <c r="D94" s="727">
        <v>654.22500000000002</v>
      </c>
      <c r="E94" s="728">
        <v>1</v>
      </c>
      <c r="F94" s="729"/>
      <c r="G94" s="534">
        <f t="shared" si="17"/>
        <v>1962.6750000000002</v>
      </c>
      <c r="H94" s="534">
        <f t="shared" si="17"/>
        <v>1962.6750000000002</v>
      </c>
      <c r="I94" s="534">
        <f t="shared" si="17"/>
        <v>1962.6750000000002</v>
      </c>
      <c r="J94" s="534">
        <f t="shared" si="17"/>
        <v>1962.6750000000002</v>
      </c>
      <c r="K94" s="534">
        <f t="shared" si="17"/>
        <v>1962.6750000000002</v>
      </c>
      <c r="L94" s="534">
        <f t="shared" si="17"/>
        <v>1962.6750000000002</v>
      </c>
      <c r="M94" s="534">
        <f t="shared" si="17"/>
        <v>1962.6750000000002</v>
      </c>
      <c r="N94" s="534">
        <f t="shared" si="17"/>
        <v>1962.6750000000002</v>
      </c>
      <c r="O94" s="534">
        <f t="shared" si="17"/>
        <v>1962.6750000000002</v>
      </c>
      <c r="P94" s="534">
        <f t="shared" si="17"/>
        <v>1962.6750000000002</v>
      </c>
      <c r="Q94" s="534">
        <f t="shared" si="17"/>
        <v>1962.6750000000002</v>
      </c>
      <c r="R94" s="534">
        <f t="shared" si="17"/>
        <v>1962.6750000000002</v>
      </c>
    </row>
    <row r="95" spans="2:18" x14ac:dyDescent="0.2">
      <c r="B95" s="725" t="s">
        <v>603</v>
      </c>
      <c r="C95" s="726">
        <v>730403010060</v>
      </c>
      <c r="D95" s="727">
        <v>251.625</v>
      </c>
      <c r="E95" s="728">
        <v>1</v>
      </c>
      <c r="F95" s="729"/>
      <c r="G95" s="534">
        <f t="shared" si="17"/>
        <v>754.875</v>
      </c>
      <c r="H95" s="534">
        <f t="shared" si="17"/>
        <v>754.875</v>
      </c>
      <c r="I95" s="534">
        <f t="shared" si="17"/>
        <v>754.875</v>
      </c>
      <c r="J95" s="534">
        <f t="shared" si="17"/>
        <v>754.875</v>
      </c>
      <c r="K95" s="534">
        <f t="shared" si="17"/>
        <v>754.875</v>
      </c>
      <c r="L95" s="534">
        <f t="shared" si="17"/>
        <v>754.875</v>
      </c>
      <c r="M95" s="534">
        <f t="shared" si="17"/>
        <v>754.875</v>
      </c>
      <c r="N95" s="534">
        <f t="shared" si="17"/>
        <v>754.875</v>
      </c>
      <c r="O95" s="534">
        <f t="shared" si="17"/>
        <v>754.875</v>
      </c>
      <c r="P95" s="534">
        <f t="shared" si="17"/>
        <v>754.875</v>
      </c>
      <c r="Q95" s="534">
        <f t="shared" si="17"/>
        <v>754.875</v>
      </c>
      <c r="R95" s="534">
        <f t="shared" si="17"/>
        <v>754.875</v>
      </c>
    </row>
    <row r="96" spans="2:18" x14ac:dyDescent="0.2">
      <c r="B96" s="725" t="s">
        <v>604</v>
      </c>
      <c r="C96" s="726">
        <v>1604032083</v>
      </c>
      <c r="D96" s="727">
        <v>2815.4549999999999</v>
      </c>
      <c r="E96" s="728">
        <v>1</v>
      </c>
      <c r="F96" s="729"/>
      <c r="G96" s="534">
        <f t="shared" si="17"/>
        <v>8446.3649999999998</v>
      </c>
      <c r="H96" s="534">
        <f t="shared" si="17"/>
        <v>8446.3649999999998</v>
      </c>
      <c r="I96" s="534">
        <f t="shared" si="17"/>
        <v>8446.3649999999998</v>
      </c>
      <c r="J96" s="534">
        <f t="shared" si="17"/>
        <v>8446.3649999999998</v>
      </c>
      <c r="K96" s="534">
        <f t="shared" si="17"/>
        <v>8446.3649999999998</v>
      </c>
      <c r="L96" s="534">
        <f t="shared" si="17"/>
        <v>8446.3649999999998</v>
      </c>
      <c r="M96" s="534">
        <f t="shared" si="17"/>
        <v>8446.3649999999998</v>
      </c>
      <c r="N96" s="534">
        <f t="shared" si="17"/>
        <v>8446.3649999999998</v>
      </c>
      <c r="O96" s="534">
        <f t="shared" si="17"/>
        <v>8446.3649999999998</v>
      </c>
      <c r="P96" s="534">
        <f t="shared" si="17"/>
        <v>8446.3649999999998</v>
      </c>
      <c r="Q96" s="534">
        <f t="shared" si="17"/>
        <v>8446.3649999999998</v>
      </c>
      <c r="R96" s="534">
        <f t="shared" si="17"/>
        <v>8446.3649999999998</v>
      </c>
    </row>
    <row r="97" spans="2:18" x14ac:dyDescent="0.2">
      <c r="B97" s="725" t="s">
        <v>605</v>
      </c>
      <c r="C97" s="726" t="s">
        <v>606</v>
      </c>
      <c r="D97" s="727">
        <v>86.16189</v>
      </c>
      <c r="E97" s="728">
        <v>54</v>
      </c>
      <c r="F97" s="729"/>
      <c r="G97" s="534">
        <f t="shared" si="17"/>
        <v>13958.22618</v>
      </c>
      <c r="H97" s="534">
        <f t="shared" si="17"/>
        <v>13958.22618</v>
      </c>
      <c r="I97" s="534">
        <f t="shared" si="17"/>
        <v>13958.22618</v>
      </c>
      <c r="J97" s="534">
        <f t="shared" si="17"/>
        <v>13958.22618</v>
      </c>
      <c r="K97" s="534">
        <f t="shared" si="17"/>
        <v>13958.22618</v>
      </c>
      <c r="L97" s="534">
        <f t="shared" si="17"/>
        <v>13958.22618</v>
      </c>
      <c r="M97" s="534">
        <f t="shared" si="17"/>
        <v>13958.22618</v>
      </c>
      <c r="N97" s="534">
        <f t="shared" si="17"/>
        <v>13958.22618</v>
      </c>
      <c r="O97" s="534">
        <f t="shared" si="17"/>
        <v>13958.22618</v>
      </c>
      <c r="P97" s="534">
        <f t="shared" si="17"/>
        <v>13958.22618</v>
      </c>
      <c r="Q97" s="534">
        <f t="shared" si="17"/>
        <v>13958.22618</v>
      </c>
      <c r="R97" s="534">
        <f t="shared" si="17"/>
        <v>13958.22618</v>
      </c>
    </row>
    <row r="98" spans="2:18" x14ac:dyDescent="0.2">
      <c r="B98" s="725" t="s">
        <v>607</v>
      </c>
      <c r="C98" s="726" t="s">
        <v>608</v>
      </c>
      <c r="D98" s="727">
        <v>454.98599999999993</v>
      </c>
      <c r="E98" s="728">
        <v>1</v>
      </c>
      <c r="F98" s="729"/>
      <c r="G98" s="534">
        <f t="shared" si="17"/>
        <v>1364.9579999999999</v>
      </c>
      <c r="H98" s="534">
        <f t="shared" si="17"/>
        <v>1364.9579999999999</v>
      </c>
      <c r="I98" s="534">
        <f t="shared" si="17"/>
        <v>1364.9579999999999</v>
      </c>
      <c r="J98" s="534">
        <f t="shared" si="17"/>
        <v>1364.9579999999999</v>
      </c>
      <c r="K98" s="534">
        <f t="shared" si="17"/>
        <v>1364.9579999999999</v>
      </c>
      <c r="L98" s="534">
        <f t="shared" si="17"/>
        <v>1364.9579999999999</v>
      </c>
      <c r="M98" s="534">
        <f t="shared" si="17"/>
        <v>1364.9579999999999</v>
      </c>
      <c r="N98" s="534">
        <f t="shared" si="17"/>
        <v>1364.9579999999999</v>
      </c>
      <c r="O98" s="534">
        <f t="shared" si="17"/>
        <v>1364.9579999999999</v>
      </c>
      <c r="P98" s="534">
        <f t="shared" si="17"/>
        <v>1364.9579999999999</v>
      </c>
      <c r="Q98" s="534">
        <f t="shared" si="17"/>
        <v>1364.9579999999999</v>
      </c>
      <c r="R98" s="534">
        <f t="shared" si="17"/>
        <v>1364.9579999999999</v>
      </c>
    </row>
    <row r="99" spans="2:18" x14ac:dyDescent="0.2">
      <c r="B99" s="725" t="s">
        <v>607</v>
      </c>
      <c r="C99" s="726" t="s">
        <v>609</v>
      </c>
      <c r="D99" s="727">
        <v>885.13199999999995</v>
      </c>
      <c r="E99" s="728">
        <v>1</v>
      </c>
      <c r="F99" s="729"/>
      <c r="G99" s="534">
        <f t="shared" si="17"/>
        <v>2655.3959999999997</v>
      </c>
      <c r="H99" s="534">
        <f t="shared" si="17"/>
        <v>2655.3959999999997</v>
      </c>
      <c r="I99" s="534">
        <f t="shared" si="17"/>
        <v>2655.3959999999997</v>
      </c>
      <c r="J99" s="534">
        <f t="shared" si="17"/>
        <v>2655.3959999999997</v>
      </c>
      <c r="K99" s="534">
        <f t="shared" si="17"/>
        <v>2655.3959999999997</v>
      </c>
      <c r="L99" s="534">
        <f t="shared" si="17"/>
        <v>2655.3959999999997</v>
      </c>
      <c r="M99" s="534">
        <f t="shared" si="17"/>
        <v>2655.3959999999997</v>
      </c>
      <c r="N99" s="534">
        <f t="shared" si="17"/>
        <v>2655.3959999999997</v>
      </c>
      <c r="O99" s="534">
        <f t="shared" si="17"/>
        <v>2655.3959999999997</v>
      </c>
      <c r="P99" s="534">
        <f t="shared" si="17"/>
        <v>2655.3959999999997</v>
      </c>
      <c r="Q99" s="534">
        <f t="shared" si="17"/>
        <v>2655.3959999999997</v>
      </c>
      <c r="R99" s="534">
        <f t="shared" si="17"/>
        <v>2655.3959999999997</v>
      </c>
    </row>
    <row r="100" spans="2:18" x14ac:dyDescent="0.2">
      <c r="B100" s="725" t="s">
        <v>618</v>
      </c>
      <c r="C100" s="726">
        <v>302490077658</v>
      </c>
      <c r="D100" s="727">
        <v>1273.8779999999999</v>
      </c>
      <c r="E100" s="728">
        <v>2</v>
      </c>
      <c r="F100" s="729"/>
      <c r="G100" s="534">
        <f t="shared" si="17"/>
        <v>7643.268</v>
      </c>
      <c r="H100" s="534">
        <f t="shared" si="17"/>
        <v>7643.268</v>
      </c>
      <c r="I100" s="534">
        <f t="shared" si="17"/>
        <v>7643.268</v>
      </c>
      <c r="J100" s="534">
        <f t="shared" si="17"/>
        <v>7643.268</v>
      </c>
      <c r="K100" s="534">
        <f t="shared" si="17"/>
        <v>7643.268</v>
      </c>
      <c r="L100" s="534">
        <f t="shared" si="17"/>
        <v>7643.268</v>
      </c>
      <c r="M100" s="534">
        <f t="shared" si="17"/>
        <v>7643.268</v>
      </c>
      <c r="N100" s="534">
        <f t="shared" si="17"/>
        <v>7643.268</v>
      </c>
      <c r="O100" s="534">
        <f t="shared" si="17"/>
        <v>7643.268</v>
      </c>
      <c r="P100" s="534">
        <f t="shared" si="17"/>
        <v>7643.268</v>
      </c>
      <c r="Q100" s="534">
        <f t="shared" si="17"/>
        <v>7643.268</v>
      </c>
      <c r="R100" s="534">
        <f t="shared" si="17"/>
        <v>7643.268</v>
      </c>
    </row>
    <row r="101" spans="2:18" x14ac:dyDescent="0.2">
      <c r="B101" s="725" t="s">
        <v>619</v>
      </c>
      <c r="C101" s="726">
        <v>307990002395</v>
      </c>
      <c r="D101" s="727">
        <v>819.81719999999984</v>
      </c>
      <c r="E101" s="728">
        <v>3</v>
      </c>
      <c r="F101" s="729"/>
      <c r="G101" s="534">
        <f t="shared" si="17"/>
        <v>7378.3547999999982</v>
      </c>
      <c r="H101" s="534">
        <f t="shared" si="17"/>
        <v>7378.3547999999982</v>
      </c>
      <c r="I101" s="534">
        <f t="shared" si="17"/>
        <v>7378.3547999999982</v>
      </c>
      <c r="J101" s="534">
        <f t="shared" si="17"/>
        <v>7378.3547999999982</v>
      </c>
      <c r="K101" s="534">
        <f t="shared" si="17"/>
        <v>7378.3547999999982</v>
      </c>
      <c r="L101" s="534">
        <f t="shared" si="17"/>
        <v>7378.3547999999982</v>
      </c>
      <c r="M101" s="534">
        <f t="shared" si="17"/>
        <v>7378.3547999999982</v>
      </c>
      <c r="N101" s="534">
        <f t="shared" si="17"/>
        <v>7378.3547999999982</v>
      </c>
      <c r="O101" s="534">
        <f t="shared" si="17"/>
        <v>7378.3547999999982</v>
      </c>
      <c r="P101" s="534">
        <f t="shared" si="17"/>
        <v>7378.3547999999982</v>
      </c>
      <c r="Q101" s="534">
        <f t="shared" si="17"/>
        <v>7378.3547999999982</v>
      </c>
      <c r="R101" s="534">
        <f t="shared" si="17"/>
        <v>7378.3547999999982</v>
      </c>
    </row>
    <row r="102" spans="2:18" x14ac:dyDescent="0.2">
      <c r="B102" s="725" t="s">
        <v>620</v>
      </c>
      <c r="C102" s="726">
        <v>750005000414</v>
      </c>
      <c r="D102" s="727">
        <v>1184.04</v>
      </c>
      <c r="E102" s="728">
        <v>1</v>
      </c>
      <c r="F102" s="729"/>
      <c r="G102" s="534">
        <f t="shared" si="17"/>
        <v>3552.12</v>
      </c>
      <c r="H102" s="534">
        <f t="shared" si="17"/>
        <v>3552.12</v>
      </c>
      <c r="I102" s="534">
        <f t="shared" si="17"/>
        <v>3552.12</v>
      </c>
      <c r="J102" s="534">
        <f t="shared" si="17"/>
        <v>3552.12</v>
      </c>
      <c r="K102" s="534">
        <f t="shared" si="17"/>
        <v>3552.12</v>
      </c>
      <c r="L102" s="534">
        <f t="shared" si="17"/>
        <v>3552.12</v>
      </c>
      <c r="M102" s="534">
        <f t="shared" si="17"/>
        <v>3552.12</v>
      </c>
      <c r="N102" s="534">
        <f t="shared" si="17"/>
        <v>3552.12</v>
      </c>
      <c r="O102" s="534">
        <f t="shared" si="17"/>
        <v>3552.12</v>
      </c>
      <c r="P102" s="534">
        <f t="shared" si="17"/>
        <v>3552.12</v>
      </c>
      <c r="Q102" s="534">
        <f t="shared" si="17"/>
        <v>3552.12</v>
      </c>
      <c r="R102" s="534">
        <f t="shared" si="17"/>
        <v>3552.12</v>
      </c>
    </row>
    <row r="103" spans="2:18" x14ac:dyDescent="0.2">
      <c r="B103" s="725" t="s">
        <v>590</v>
      </c>
      <c r="C103" s="730" t="s">
        <v>591</v>
      </c>
      <c r="D103" s="727">
        <v>6.5609999999999999</v>
      </c>
      <c r="E103" s="728">
        <v>75</v>
      </c>
      <c r="F103" s="729"/>
      <c r="G103" s="534">
        <f t="shared" si="17"/>
        <v>1476.2249999999999</v>
      </c>
      <c r="H103" s="534">
        <f t="shared" si="17"/>
        <v>1476.2249999999999</v>
      </c>
      <c r="I103" s="534">
        <f t="shared" si="17"/>
        <v>1476.2249999999999</v>
      </c>
      <c r="J103" s="534">
        <f t="shared" si="17"/>
        <v>1476.2249999999999</v>
      </c>
      <c r="K103" s="534">
        <f t="shared" si="17"/>
        <v>1476.2249999999999</v>
      </c>
      <c r="L103" s="534">
        <f t="shared" si="17"/>
        <v>1476.2249999999999</v>
      </c>
      <c r="M103" s="534">
        <f t="shared" si="17"/>
        <v>1476.2249999999999</v>
      </c>
      <c r="N103" s="534">
        <f t="shared" si="17"/>
        <v>1476.2249999999999</v>
      </c>
      <c r="O103" s="534">
        <f t="shared" si="17"/>
        <v>1476.2249999999999</v>
      </c>
      <c r="P103" s="534">
        <f t="shared" si="17"/>
        <v>1476.2249999999999</v>
      </c>
      <c r="Q103" s="534">
        <f t="shared" si="17"/>
        <v>1476.2249999999999</v>
      </c>
      <c r="R103" s="534">
        <f t="shared" si="17"/>
        <v>1476.2249999999999</v>
      </c>
    </row>
    <row r="104" spans="2:18" x14ac:dyDescent="0.2">
      <c r="B104" s="725" t="s">
        <v>610</v>
      </c>
      <c r="C104" s="730" t="s">
        <v>611</v>
      </c>
      <c r="D104" s="727">
        <v>5.7977999999999996</v>
      </c>
      <c r="E104" s="728">
        <v>850</v>
      </c>
      <c r="F104" s="729"/>
      <c r="G104" s="534">
        <f t="shared" si="17"/>
        <v>14784.39</v>
      </c>
      <c r="H104" s="534">
        <f t="shared" si="17"/>
        <v>14784.39</v>
      </c>
      <c r="I104" s="534">
        <f t="shared" si="17"/>
        <v>14784.39</v>
      </c>
      <c r="J104" s="534">
        <f t="shared" si="17"/>
        <v>14784.39</v>
      </c>
      <c r="K104" s="534">
        <f t="shared" si="17"/>
        <v>14784.39</v>
      </c>
      <c r="L104" s="534">
        <f t="shared" si="17"/>
        <v>14784.39</v>
      </c>
      <c r="M104" s="534">
        <f t="shared" si="17"/>
        <v>14784.39</v>
      </c>
      <c r="N104" s="534">
        <f t="shared" si="17"/>
        <v>14784.39</v>
      </c>
      <c r="O104" s="534">
        <f t="shared" si="17"/>
        <v>14784.39</v>
      </c>
      <c r="P104" s="534">
        <f t="shared" si="17"/>
        <v>14784.39</v>
      </c>
      <c r="Q104" s="534">
        <f t="shared" si="17"/>
        <v>14784.39</v>
      </c>
      <c r="R104" s="534">
        <f t="shared" si="17"/>
        <v>14784.39</v>
      </c>
    </row>
    <row r="105" spans="2:18" x14ac:dyDescent="0.2">
      <c r="B105" s="725" t="s">
        <v>612</v>
      </c>
      <c r="C105" s="730" t="s">
        <v>613</v>
      </c>
      <c r="D105" s="727">
        <v>6.1037999999999988</v>
      </c>
      <c r="E105" s="728">
        <v>120</v>
      </c>
      <c r="F105" s="729"/>
      <c r="G105" s="534">
        <f t="shared" si="17"/>
        <v>2197.3679999999995</v>
      </c>
      <c r="H105" s="534">
        <f t="shared" si="17"/>
        <v>2197.3679999999995</v>
      </c>
      <c r="I105" s="534">
        <f t="shared" si="17"/>
        <v>2197.3679999999995</v>
      </c>
      <c r="J105" s="534">
        <f t="shared" si="17"/>
        <v>2197.3679999999995</v>
      </c>
      <c r="K105" s="534">
        <f t="shared" si="17"/>
        <v>2197.3679999999995</v>
      </c>
      <c r="L105" s="534">
        <f t="shared" si="17"/>
        <v>2197.3679999999995</v>
      </c>
      <c r="M105" s="534">
        <f t="shared" si="17"/>
        <v>2197.3679999999995</v>
      </c>
      <c r="N105" s="534">
        <f t="shared" si="17"/>
        <v>2197.3679999999995</v>
      </c>
      <c r="O105" s="534">
        <f t="shared" si="17"/>
        <v>2197.3679999999995</v>
      </c>
      <c r="P105" s="534">
        <f t="shared" si="17"/>
        <v>2197.3679999999995</v>
      </c>
      <c r="Q105" s="534">
        <f t="shared" si="17"/>
        <v>2197.3679999999995</v>
      </c>
      <c r="R105" s="534">
        <f t="shared" si="17"/>
        <v>2197.3679999999995</v>
      </c>
    </row>
    <row r="106" spans="2:18" x14ac:dyDescent="0.2">
      <c r="B106" s="725" t="s">
        <v>614</v>
      </c>
      <c r="C106" s="730" t="s">
        <v>615</v>
      </c>
      <c r="D106" s="727">
        <v>8.8506</v>
      </c>
      <c r="E106" s="728">
        <v>220</v>
      </c>
      <c r="F106" s="729"/>
      <c r="G106" s="534">
        <f t="shared" si="17"/>
        <v>5841.3959999999997</v>
      </c>
      <c r="H106" s="534">
        <f t="shared" si="17"/>
        <v>5841.3959999999997</v>
      </c>
      <c r="I106" s="534">
        <f t="shared" si="17"/>
        <v>5841.3959999999997</v>
      </c>
      <c r="J106" s="534">
        <f t="shared" si="17"/>
        <v>5841.3959999999997</v>
      </c>
      <c r="K106" s="534">
        <f t="shared" si="17"/>
        <v>5841.3959999999997</v>
      </c>
      <c r="L106" s="534">
        <f t="shared" si="17"/>
        <v>5841.3959999999997</v>
      </c>
      <c r="M106" s="534">
        <f t="shared" si="17"/>
        <v>5841.3959999999997</v>
      </c>
      <c r="N106" s="534">
        <f t="shared" si="17"/>
        <v>5841.3959999999997</v>
      </c>
      <c r="O106" s="534">
        <f t="shared" si="17"/>
        <v>5841.3959999999997</v>
      </c>
      <c r="P106" s="534">
        <f t="shared" si="17"/>
        <v>5841.3959999999997</v>
      </c>
      <c r="Q106" s="534">
        <f t="shared" si="17"/>
        <v>5841.3959999999997</v>
      </c>
      <c r="R106" s="534">
        <f t="shared" si="17"/>
        <v>5841.3959999999997</v>
      </c>
    </row>
    <row r="107" spans="2:18" x14ac:dyDescent="0.2">
      <c r="B107" s="725" t="s">
        <v>616</v>
      </c>
      <c r="C107" s="730" t="s">
        <v>617</v>
      </c>
      <c r="D107" s="727">
        <v>14.497200000000001</v>
      </c>
      <c r="E107" s="728">
        <v>80</v>
      </c>
      <c r="F107" s="729"/>
      <c r="G107" s="534">
        <f t="shared" si="17"/>
        <v>3479.3280000000004</v>
      </c>
      <c r="H107" s="534">
        <f t="shared" si="17"/>
        <v>3479.3280000000004</v>
      </c>
      <c r="I107" s="534">
        <f t="shared" si="17"/>
        <v>3479.3280000000004</v>
      </c>
      <c r="J107" s="534">
        <f t="shared" si="17"/>
        <v>3479.3280000000004</v>
      </c>
      <c r="K107" s="534">
        <f t="shared" si="17"/>
        <v>3479.3280000000004</v>
      </c>
      <c r="L107" s="534">
        <f t="shared" si="17"/>
        <v>3479.3280000000004</v>
      </c>
      <c r="M107" s="534">
        <f t="shared" si="17"/>
        <v>3479.3280000000004</v>
      </c>
      <c r="N107" s="534">
        <f t="shared" si="17"/>
        <v>3479.3280000000004</v>
      </c>
      <c r="O107" s="534">
        <f t="shared" si="17"/>
        <v>3479.3280000000004</v>
      </c>
      <c r="P107" s="534">
        <f t="shared" si="17"/>
        <v>3479.3280000000004</v>
      </c>
      <c r="Q107" s="534">
        <f t="shared" si="17"/>
        <v>3479.3280000000004</v>
      </c>
      <c r="R107" s="534">
        <f t="shared" si="17"/>
        <v>3479.3280000000004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B7DC-A259-42AF-8A0B-5F3A652E0F2D}">
  <sheetPr>
    <tabColor theme="9" tint="0.79998168889431442"/>
  </sheetPr>
  <dimension ref="B2:Y64"/>
  <sheetViews>
    <sheetView showGridLines="0" zoomScale="85" zoomScaleNormal="85" zoomScaleSheetLayoutView="80" workbookViewId="0">
      <pane xSplit="2" ySplit="6" topLeftCell="C7" activePane="bottomRight" state="frozen"/>
      <selection activeCell="T45" sqref="T45"/>
      <selection pane="topRight" activeCell="T45" sqref="T45"/>
      <selection pane="bottomLeft" activeCell="T45" sqref="T45"/>
      <selection pane="bottomRight" activeCell="V44" sqref="V44"/>
    </sheetView>
  </sheetViews>
  <sheetFormatPr defaultColWidth="9.125" defaultRowHeight="12.9" x14ac:dyDescent="0.2"/>
  <cols>
    <col min="1" max="1" width="5.5" style="456" customWidth="1"/>
    <col min="2" max="2" width="34.625" style="456" customWidth="1"/>
    <col min="3" max="3" width="12.625" style="456" customWidth="1"/>
    <col min="4" max="4" width="14.125" style="456" customWidth="1"/>
    <col min="5" max="5" width="11.5" style="456" customWidth="1"/>
    <col min="6" max="6" width="9.5" style="456" bestFit="1" customWidth="1"/>
    <col min="7" max="7" width="10.5" style="456" bestFit="1" customWidth="1"/>
    <col min="8" max="8" width="10.5" style="456" customWidth="1"/>
    <col min="9" max="9" width="11.25" style="456" customWidth="1"/>
    <col min="10" max="10" width="10" style="456" customWidth="1"/>
    <col min="11" max="11" width="10.5" style="456" bestFit="1" customWidth="1"/>
    <col min="12" max="12" width="11.375" style="456" customWidth="1"/>
    <col min="13" max="13" width="10.5" style="456" bestFit="1" customWidth="1"/>
    <col min="14" max="14" width="10.75" style="456" customWidth="1"/>
    <col min="15" max="15" width="10.625" style="456" bestFit="1" customWidth="1"/>
    <col min="16" max="16" width="10.375" style="456" customWidth="1"/>
    <col min="17" max="17" width="10.5" style="456" bestFit="1" customWidth="1"/>
    <col min="18" max="18" width="3.375" style="456" customWidth="1"/>
    <col min="19" max="19" width="9.125" style="456"/>
    <col min="20" max="20" width="14.125" style="456" customWidth="1"/>
    <col min="21" max="16384" width="9.125" style="456"/>
  </cols>
  <sheetData>
    <row r="2" spans="2:17" x14ac:dyDescent="0.2">
      <c r="B2" s="378" t="s">
        <v>327</v>
      </c>
    </row>
    <row r="3" spans="2:17" ht="16.5" customHeight="1" thickBot="1" x14ac:dyDescent="0.25">
      <c r="B3" s="456" t="s">
        <v>442</v>
      </c>
      <c r="F3" s="552">
        <f>SWDRT270SM!E6</f>
        <v>0.89479459982242504</v>
      </c>
      <c r="G3" s="552">
        <f>SWDRT270SM!F6</f>
        <v>0.86538376775748349</v>
      </c>
      <c r="H3" s="552">
        <f>SWDRT270SM!G6</f>
        <v>0.84540659880771174</v>
      </c>
      <c r="I3" s="552">
        <f>SWDRT270SM!H6</f>
        <v>0.8748174308726534</v>
      </c>
      <c r="J3" s="552">
        <f>SWDRT270SM!I6</f>
        <v>0.86538376775748349</v>
      </c>
      <c r="K3" s="552">
        <f>SWDRT270SM!J6</f>
        <v>0.84318691336884821</v>
      </c>
      <c r="L3" s="552">
        <f>SWDRT270SM!K6</f>
        <v>0.86205423959918825</v>
      </c>
      <c r="M3" s="552">
        <f>SWDRT270SM!L6</f>
        <v>0.86538376775748349</v>
      </c>
      <c r="N3" s="552">
        <f>SWDRT270SM!M6</f>
        <v>0.8498459696854388</v>
      </c>
      <c r="O3" s="552">
        <f>SWDRT270SM!N6</f>
        <v>0.85428534056316585</v>
      </c>
      <c r="P3" s="552">
        <f>SWDRT270SM!O6</f>
        <v>0.85428534056316585</v>
      </c>
      <c r="Q3" s="552">
        <f>SWDRT270SM!P6</f>
        <v>0.85428534056316585</v>
      </c>
    </row>
    <row r="4" spans="2:17" s="550" customFormat="1" ht="22.95" customHeight="1" x14ac:dyDescent="0.25">
      <c r="B4" s="553" t="s">
        <v>373</v>
      </c>
      <c r="C4" s="554" t="s">
        <v>443</v>
      </c>
      <c r="D4" s="555"/>
      <c r="E4" s="555"/>
      <c r="F4" s="388">
        <v>1</v>
      </c>
      <c r="G4" s="388">
        <f>F4+1</f>
        <v>2</v>
      </c>
      <c r="H4" s="388">
        <f t="shared" ref="H4:O4" si="0">G4+1</f>
        <v>3</v>
      </c>
      <c r="I4" s="388">
        <f t="shared" si="0"/>
        <v>4</v>
      </c>
      <c r="J4" s="388">
        <f t="shared" si="0"/>
        <v>5</v>
      </c>
      <c r="K4" s="388">
        <f t="shared" si="0"/>
        <v>6</v>
      </c>
      <c r="L4" s="388">
        <f t="shared" si="0"/>
        <v>7</v>
      </c>
      <c r="M4" s="388">
        <f t="shared" si="0"/>
        <v>8</v>
      </c>
      <c r="N4" s="388">
        <f t="shared" si="0"/>
        <v>9</v>
      </c>
      <c r="O4" s="388">
        <f t="shared" si="0"/>
        <v>10</v>
      </c>
      <c r="P4" s="388">
        <f>O4+1</f>
        <v>11</v>
      </c>
      <c r="Q4" s="388">
        <f>P4+1</f>
        <v>12</v>
      </c>
    </row>
    <row r="5" spans="2:17" x14ac:dyDescent="0.2">
      <c r="B5" s="469" t="s">
        <v>374</v>
      </c>
      <c r="C5" s="557" t="s">
        <v>375</v>
      </c>
      <c r="D5" s="471"/>
      <c r="E5" s="559"/>
      <c r="F5" s="474">
        <v>0</v>
      </c>
      <c r="G5" s="474">
        <f>F6+1</f>
        <v>7001</v>
      </c>
      <c r="H5" s="474">
        <f t="shared" ref="H5:Q5" si="1">G6+1</f>
        <v>14001</v>
      </c>
      <c r="I5" s="474">
        <f t="shared" si="1"/>
        <v>21001</v>
      </c>
      <c r="J5" s="474">
        <f t="shared" si="1"/>
        <v>28001</v>
      </c>
      <c r="K5" s="474">
        <f t="shared" si="1"/>
        <v>35001</v>
      </c>
      <c r="L5" s="474">
        <f t="shared" si="1"/>
        <v>42001</v>
      </c>
      <c r="M5" s="474">
        <f t="shared" si="1"/>
        <v>49001</v>
      </c>
      <c r="N5" s="474">
        <f t="shared" si="1"/>
        <v>56001</v>
      </c>
      <c r="O5" s="474">
        <f t="shared" si="1"/>
        <v>63001</v>
      </c>
      <c r="P5" s="474">
        <f t="shared" si="1"/>
        <v>70001</v>
      </c>
      <c r="Q5" s="474">
        <f t="shared" si="1"/>
        <v>77001</v>
      </c>
    </row>
    <row r="6" spans="2:17" ht="13.6" thickBot="1" x14ac:dyDescent="0.25">
      <c r="B6" s="560" t="s">
        <v>376</v>
      </c>
      <c r="C6" s="561" t="s">
        <v>375</v>
      </c>
      <c r="D6" s="563"/>
      <c r="E6" s="562">
        <f>'SWDRT270SM ТО'!F6</f>
        <v>7000</v>
      </c>
      <c r="F6" s="564">
        <f>E6</f>
        <v>7000</v>
      </c>
      <c r="G6" s="564">
        <f>F6+$E6</f>
        <v>14000</v>
      </c>
      <c r="H6" s="564">
        <f>G6+$E6</f>
        <v>21000</v>
      </c>
      <c r="I6" s="564">
        <f t="shared" ref="I6:Q6" si="2">H6+$E6</f>
        <v>28000</v>
      </c>
      <c r="J6" s="564">
        <f t="shared" si="2"/>
        <v>35000</v>
      </c>
      <c r="K6" s="564">
        <f t="shared" si="2"/>
        <v>42000</v>
      </c>
      <c r="L6" s="564">
        <f t="shared" si="2"/>
        <v>49000</v>
      </c>
      <c r="M6" s="564">
        <f t="shared" si="2"/>
        <v>56000</v>
      </c>
      <c r="N6" s="564">
        <f t="shared" si="2"/>
        <v>63000</v>
      </c>
      <c r="O6" s="564">
        <f t="shared" si="2"/>
        <v>70000</v>
      </c>
      <c r="P6" s="564">
        <f t="shared" si="2"/>
        <v>77000</v>
      </c>
      <c r="Q6" s="564">
        <f t="shared" si="2"/>
        <v>84000</v>
      </c>
    </row>
    <row r="7" spans="2:17" ht="13.6" thickBot="1" x14ac:dyDescent="0.25">
      <c r="B7" s="566"/>
    </row>
    <row r="8" spans="2:17" ht="21.75" customHeight="1" x14ac:dyDescent="0.2">
      <c r="B8" s="567" t="s">
        <v>444</v>
      </c>
      <c r="C8" s="409" t="s">
        <v>337</v>
      </c>
      <c r="D8" s="409"/>
      <c r="E8" s="409"/>
      <c r="F8" s="528">
        <f>F16</f>
        <v>425.64499999999998</v>
      </c>
      <c r="G8" s="528">
        <f>G16</f>
        <v>690.64499999999998</v>
      </c>
      <c r="H8" s="528">
        <f t="shared" ref="H8:P8" si="3">H16</f>
        <v>870.64499999999998</v>
      </c>
      <c r="I8" s="528">
        <f t="shared" si="3"/>
        <v>605.64499999999998</v>
      </c>
      <c r="J8" s="528">
        <f t="shared" si="3"/>
        <v>690.64499999999998</v>
      </c>
      <c r="K8" s="528">
        <f t="shared" si="3"/>
        <v>890.64499999999998</v>
      </c>
      <c r="L8" s="528">
        <f t="shared" si="3"/>
        <v>720.64499999999998</v>
      </c>
      <c r="M8" s="528">
        <f t="shared" si="3"/>
        <v>690.64499999999998</v>
      </c>
      <c r="N8" s="528">
        <f t="shared" si="3"/>
        <v>830.64499999999998</v>
      </c>
      <c r="O8" s="528">
        <f t="shared" si="3"/>
        <v>790.64499999999998</v>
      </c>
      <c r="P8" s="528">
        <f t="shared" si="3"/>
        <v>790.64499999999998</v>
      </c>
      <c r="Q8" s="528">
        <f>Q16</f>
        <v>790.64499999999998</v>
      </c>
    </row>
    <row r="9" spans="2:17" ht="21.1" customHeight="1" x14ac:dyDescent="0.2">
      <c r="B9" s="392" t="s">
        <v>352</v>
      </c>
      <c r="C9" s="732" t="s">
        <v>621</v>
      </c>
      <c r="D9" s="398"/>
      <c r="E9" s="398"/>
      <c r="F9" s="483">
        <f>SUM(F10:F12)</f>
        <v>101217.9204</v>
      </c>
      <c r="G9" s="483">
        <f>SUM(G10:G12)</f>
        <v>395757.82209026546</v>
      </c>
      <c r="H9" s="483">
        <f t="shared" ref="H9:Q9" si="4">SUM(H10:H12)</f>
        <v>424352.58229026548</v>
      </c>
      <c r="I9" s="483">
        <f t="shared" si="4"/>
        <v>216412.82740000001</v>
      </c>
      <c r="J9" s="483">
        <f t="shared" si="4"/>
        <v>354760.8670902655</v>
      </c>
      <c r="K9" s="483">
        <f t="shared" si="4"/>
        <v>465349.53729026543</v>
      </c>
      <c r="L9" s="483">
        <f t="shared" si="4"/>
        <v>179685.87239999999</v>
      </c>
      <c r="M9" s="483">
        <f t="shared" si="4"/>
        <v>399805.92209026549</v>
      </c>
      <c r="N9" s="483">
        <f t="shared" si="4"/>
        <v>362205.8302902655</v>
      </c>
      <c r="O9" s="483">
        <f t="shared" si="4"/>
        <v>216412.82740000001</v>
      </c>
      <c r="P9" s="483">
        <f t="shared" si="4"/>
        <v>354760.8670902655</v>
      </c>
      <c r="Q9" s="733">
        <f t="shared" si="4"/>
        <v>101217.9204</v>
      </c>
    </row>
    <row r="10" spans="2:17" ht="23.3" customHeight="1" x14ac:dyDescent="0.2">
      <c r="B10" s="419" t="s">
        <v>355</v>
      </c>
      <c r="C10" s="434" t="s">
        <v>621</v>
      </c>
      <c r="D10" s="434"/>
      <c r="E10" s="434"/>
      <c r="F10" s="488">
        <f>F29</f>
        <v>53174</v>
      </c>
      <c r="G10" s="488">
        <f>G29</f>
        <v>53174</v>
      </c>
      <c r="H10" s="488">
        <f t="shared" ref="H10:Q10" si="5">H29</f>
        <v>53174</v>
      </c>
      <c r="I10" s="488">
        <f t="shared" si="5"/>
        <v>53174</v>
      </c>
      <c r="J10" s="488">
        <f t="shared" si="5"/>
        <v>53174</v>
      </c>
      <c r="K10" s="488">
        <f t="shared" si="5"/>
        <v>53174</v>
      </c>
      <c r="L10" s="488">
        <f t="shared" si="5"/>
        <v>53174</v>
      </c>
      <c r="M10" s="488">
        <f t="shared" si="5"/>
        <v>53174</v>
      </c>
      <c r="N10" s="488">
        <f t="shared" si="5"/>
        <v>53174</v>
      </c>
      <c r="O10" s="488">
        <f t="shared" si="5"/>
        <v>53174</v>
      </c>
      <c r="P10" s="488">
        <f t="shared" si="5"/>
        <v>53174</v>
      </c>
      <c r="Q10" s="570">
        <f t="shared" si="5"/>
        <v>53174</v>
      </c>
    </row>
    <row r="11" spans="2:17" ht="27.7" customHeight="1" x14ac:dyDescent="0.2">
      <c r="B11" s="419" t="s">
        <v>356</v>
      </c>
      <c r="C11" s="434" t="s">
        <v>621</v>
      </c>
      <c r="D11" s="434"/>
      <c r="E11" s="434"/>
      <c r="F11" s="488">
        <f>F33</f>
        <v>35958.770400000001</v>
      </c>
      <c r="G11" s="488">
        <f>G33</f>
        <v>301938.67209026543</v>
      </c>
      <c r="H11" s="488">
        <f t="shared" ref="H11:Q11" si="6">H33</f>
        <v>327733.43229026545</v>
      </c>
      <c r="I11" s="488">
        <f t="shared" si="6"/>
        <v>133082.4774</v>
      </c>
      <c r="J11" s="488">
        <f>J33</f>
        <v>264441.71709026548</v>
      </c>
      <c r="K11" s="488">
        <f t="shared" si="6"/>
        <v>365230.38729026541</v>
      </c>
      <c r="L11" s="488">
        <f>L33</f>
        <v>95585.522399999987</v>
      </c>
      <c r="M11" s="488">
        <f t="shared" si="6"/>
        <v>307316.77209026547</v>
      </c>
      <c r="N11" s="488">
        <f t="shared" si="6"/>
        <v>268106.68029026547</v>
      </c>
      <c r="O11" s="488">
        <f t="shared" si="6"/>
        <v>133082.4774</v>
      </c>
      <c r="P11" s="488">
        <f t="shared" si="6"/>
        <v>264441.71709026548</v>
      </c>
      <c r="Q11" s="570">
        <f t="shared" si="6"/>
        <v>35958.770400000001</v>
      </c>
    </row>
    <row r="12" spans="2:17" ht="23.3" customHeight="1" thickBot="1" x14ac:dyDescent="0.25">
      <c r="B12" s="422" t="s">
        <v>446</v>
      </c>
      <c r="C12" s="571" t="s">
        <v>621</v>
      </c>
      <c r="D12" s="571"/>
      <c r="E12" s="571"/>
      <c r="F12" s="493">
        <f>SUMPRODUCT(F$23:F$26,$D23:$D26)</f>
        <v>12085.15</v>
      </c>
      <c r="G12" s="493">
        <f>SUMPRODUCT(G$23:G$26,$D23:$D26)</f>
        <v>40645.15</v>
      </c>
      <c r="H12" s="493">
        <f t="shared" ref="H12:Q12" si="7">SUMPRODUCT(H$23:H$26,$D23:$D26)</f>
        <v>43445.15</v>
      </c>
      <c r="I12" s="493">
        <f t="shared" si="7"/>
        <v>30156.35</v>
      </c>
      <c r="J12" s="493">
        <f t="shared" si="7"/>
        <v>37145.15</v>
      </c>
      <c r="K12" s="493">
        <f t="shared" si="7"/>
        <v>46945.15</v>
      </c>
      <c r="L12" s="493">
        <f t="shared" si="7"/>
        <v>30926.35</v>
      </c>
      <c r="M12" s="493">
        <f t="shared" si="7"/>
        <v>39315.15</v>
      </c>
      <c r="N12" s="493">
        <f t="shared" si="7"/>
        <v>40925.15</v>
      </c>
      <c r="O12" s="493">
        <f t="shared" si="7"/>
        <v>30156.35</v>
      </c>
      <c r="P12" s="493">
        <f t="shared" si="7"/>
        <v>37145.15</v>
      </c>
      <c r="Q12" s="493">
        <f t="shared" si="7"/>
        <v>12085.15</v>
      </c>
    </row>
    <row r="13" spans="2:17" x14ac:dyDescent="0.2">
      <c r="B13" s="572"/>
      <c r="E13" s="573"/>
      <c r="F13" s="574"/>
      <c r="G13" s="574"/>
      <c r="H13" s="574"/>
      <c r="I13" s="574"/>
      <c r="J13" s="574"/>
      <c r="K13" s="574"/>
      <c r="L13" s="574"/>
      <c r="M13" s="574"/>
      <c r="N13" s="574"/>
      <c r="O13" s="574"/>
      <c r="P13" s="574"/>
      <c r="Q13" s="574"/>
    </row>
    <row r="14" spans="2:17" ht="14.3" thickBot="1" x14ac:dyDescent="0.3">
      <c r="B14" s="575" t="s">
        <v>447</v>
      </c>
      <c r="E14" s="573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</row>
    <row r="15" spans="2:17" ht="14.3" thickBot="1" x14ac:dyDescent="0.25">
      <c r="B15" s="458" t="s">
        <v>448</v>
      </c>
      <c r="C15" s="554" t="s">
        <v>443</v>
      </c>
      <c r="D15" s="734"/>
      <c r="E15" s="734"/>
      <c r="F15" s="735" t="s">
        <v>337</v>
      </c>
      <c r="G15" s="522" t="s">
        <v>337</v>
      </c>
      <c r="H15" s="522" t="s">
        <v>337</v>
      </c>
      <c r="I15" s="522" t="s">
        <v>337</v>
      </c>
      <c r="J15" s="522" t="s">
        <v>337</v>
      </c>
      <c r="K15" s="522" t="s">
        <v>337</v>
      </c>
      <c r="L15" s="522" t="s">
        <v>337</v>
      </c>
      <c r="M15" s="522" t="s">
        <v>337</v>
      </c>
      <c r="N15" s="522" t="s">
        <v>337</v>
      </c>
      <c r="O15" s="522" t="s">
        <v>337</v>
      </c>
      <c r="P15" s="522" t="s">
        <v>337</v>
      </c>
      <c r="Q15" s="736" t="s">
        <v>337</v>
      </c>
    </row>
    <row r="16" spans="2:17" ht="13.6" customHeight="1" thickBot="1" x14ac:dyDescent="0.3">
      <c r="B16" s="737" t="s">
        <v>449</v>
      </c>
      <c r="C16" s="738"/>
      <c r="D16" s="739"/>
      <c r="E16" s="739"/>
      <c r="F16" s="524">
        <f t="shared" ref="F16:P16" si="8">SUM(F17:F20)</f>
        <v>425.64499999999998</v>
      </c>
      <c r="G16" s="524">
        <f>SUM(G17:G20)</f>
        <v>690.64499999999998</v>
      </c>
      <c r="H16" s="524">
        <f t="shared" si="8"/>
        <v>870.64499999999998</v>
      </c>
      <c r="I16" s="524">
        <f t="shared" si="8"/>
        <v>605.64499999999998</v>
      </c>
      <c r="J16" s="524">
        <f t="shared" si="8"/>
        <v>690.64499999999998</v>
      </c>
      <c r="K16" s="524">
        <f t="shared" si="8"/>
        <v>890.64499999999998</v>
      </c>
      <c r="L16" s="524">
        <f t="shared" si="8"/>
        <v>720.64499999999998</v>
      </c>
      <c r="M16" s="524">
        <f t="shared" si="8"/>
        <v>690.64499999999998</v>
      </c>
      <c r="N16" s="524">
        <f t="shared" si="8"/>
        <v>830.64499999999998</v>
      </c>
      <c r="O16" s="524">
        <f t="shared" si="8"/>
        <v>790.64499999999998</v>
      </c>
      <c r="P16" s="524">
        <f t="shared" si="8"/>
        <v>790.64499999999998</v>
      </c>
      <c r="Q16" s="524">
        <f>SUM(Q17:Q20)</f>
        <v>790.64499999999998</v>
      </c>
    </row>
    <row r="17" spans="2:25" x14ac:dyDescent="0.2">
      <c r="B17" s="740" t="s">
        <v>622</v>
      </c>
      <c r="C17" s="741" t="s">
        <v>337</v>
      </c>
      <c r="D17" s="742"/>
      <c r="E17" s="481"/>
      <c r="F17" s="743">
        <v>12.824999999999999</v>
      </c>
      <c r="G17" s="743">
        <v>12.824999999999999</v>
      </c>
      <c r="H17" s="743">
        <v>12.824999999999999</v>
      </c>
      <c r="I17" s="743">
        <v>12.824999999999999</v>
      </c>
      <c r="J17" s="743">
        <v>12.824999999999999</v>
      </c>
      <c r="K17" s="743">
        <v>12.824999999999999</v>
      </c>
      <c r="L17" s="743">
        <v>12.824999999999999</v>
      </c>
      <c r="M17" s="743">
        <v>12.824999999999999</v>
      </c>
      <c r="N17" s="743">
        <v>12.824999999999999</v>
      </c>
      <c r="O17" s="743">
        <v>12.824999999999999</v>
      </c>
      <c r="P17" s="743">
        <v>12.824999999999999</v>
      </c>
      <c r="Q17" s="743">
        <v>12.824999999999999</v>
      </c>
      <c r="U17" s="744"/>
    </row>
    <row r="18" spans="2:25" x14ac:dyDescent="0.2">
      <c r="B18" s="740" t="s">
        <v>623</v>
      </c>
      <c r="C18" s="741" t="s">
        <v>337</v>
      </c>
      <c r="D18" s="745"/>
      <c r="E18" s="481"/>
      <c r="F18" s="746">
        <v>32.159999999999997</v>
      </c>
      <c r="G18" s="746">
        <v>32.159999999999997</v>
      </c>
      <c r="H18" s="746">
        <v>32.159999999999997</v>
      </c>
      <c r="I18" s="746">
        <v>32.159999999999997</v>
      </c>
      <c r="J18" s="746">
        <v>32.159999999999997</v>
      </c>
      <c r="K18" s="746">
        <v>32.159999999999997</v>
      </c>
      <c r="L18" s="746">
        <v>32.159999999999997</v>
      </c>
      <c r="M18" s="746">
        <v>32.159999999999997</v>
      </c>
      <c r="N18" s="746">
        <v>32.159999999999997</v>
      </c>
      <c r="O18" s="746">
        <v>32.159999999999997</v>
      </c>
      <c r="P18" s="746">
        <v>32.159999999999997</v>
      </c>
      <c r="Q18" s="746">
        <v>32.159999999999997</v>
      </c>
      <c r="U18" s="744"/>
    </row>
    <row r="19" spans="2:25" x14ac:dyDescent="0.2">
      <c r="B19" s="740" t="s">
        <v>624</v>
      </c>
      <c r="C19" s="741" t="s">
        <v>337</v>
      </c>
      <c r="D19" s="745"/>
      <c r="E19" s="481"/>
      <c r="F19" s="746">
        <v>25.659999999999997</v>
      </c>
      <c r="G19" s="746">
        <v>25.659999999999997</v>
      </c>
      <c r="H19" s="746">
        <v>25.659999999999997</v>
      </c>
      <c r="I19" s="746">
        <v>25.659999999999997</v>
      </c>
      <c r="J19" s="746">
        <v>25.659999999999997</v>
      </c>
      <c r="K19" s="746">
        <v>25.659999999999997</v>
      </c>
      <c r="L19" s="746">
        <v>25.659999999999997</v>
      </c>
      <c r="M19" s="746">
        <v>25.659999999999997</v>
      </c>
      <c r="N19" s="746">
        <v>25.659999999999997</v>
      </c>
      <c r="O19" s="746">
        <v>25.659999999999997</v>
      </c>
      <c r="P19" s="746">
        <v>25.659999999999997</v>
      </c>
      <c r="Q19" s="746">
        <v>25.659999999999997</v>
      </c>
      <c r="U19" s="744"/>
    </row>
    <row r="20" spans="2:25" ht="25.85" x14ac:dyDescent="0.2">
      <c r="B20" s="740" t="s">
        <v>356</v>
      </c>
      <c r="C20" s="741" t="s">
        <v>337</v>
      </c>
      <c r="D20" s="745"/>
      <c r="E20" s="481"/>
      <c r="F20" s="746">
        <v>355</v>
      </c>
      <c r="G20" s="746">
        <v>620</v>
      </c>
      <c r="H20" s="746">
        <v>800</v>
      </c>
      <c r="I20" s="746">
        <v>535</v>
      </c>
      <c r="J20" s="746">
        <v>620</v>
      </c>
      <c r="K20" s="746">
        <v>820</v>
      </c>
      <c r="L20" s="746">
        <v>650</v>
      </c>
      <c r="M20" s="746">
        <v>620</v>
      </c>
      <c r="N20" s="746">
        <v>760</v>
      </c>
      <c r="O20" s="746">
        <v>720</v>
      </c>
      <c r="P20" s="746">
        <v>720</v>
      </c>
      <c r="Q20" s="746">
        <v>720</v>
      </c>
      <c r="U20" s="744"/>
    </row>
    <row r="21" spans="2:25" ht="14.3" thickBot="1" x14ac:dyDescent="0.3">
      <c r="B21" s="575" t="s">
        <v>534</v>
      </c>
      <c r="D21" s="747">
        <f>'SWDRT270SM ТО'!F10</f>
        <v>35</v>
      </c>
      <c r="E21" s="573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</row>
    <row r="22" spans="2:25" ht="27.85" thickBot="1" x14ac:dyDescent="0.25">
      <c r="B22" s="458" t="s">
        <v>448</v>
      </c>
      <c r="C22" s="554" t="s">
        <v>443</v>
      </c>
      <c r="D22" s="578" t="s">
        <v>535</v>
      </c>
      <c r="E22" s="578"/>
      <c r="F22" s="577" t="s">
        <v>536</v>
      </c>
      <c r="G22" s="577" t="s">
        <v>536</v>
      </c>
      <c r="H22" s="577" t="s">
        <v>536</v>
      </c>
      <c r="I22" s="577" t="s">
        <v>536</v>
      </c>
      <c r="J22" s="577" t="s">
        <v>536</v>
      </c>
      <c r="K22" s="577" t="s">
        <v>536</v>
      </c>
      <c r="L22" s="577" t="s">
        <v>536</v>
      </c>
      <c r="M22" s="577" t="s">
        <v>536</v>
      </c>
      <c r="N22" s="577" t="s">
        <v>536</v>
      </c>
      <c r="O22" s="577" t="s">
        <v>536</v>
      </c>
      <c r="P22" s="577" t="s">
        <v>536</v>
      </c>
      <c r="Q22" s="748" t="s">
        <v>536</v>
      </c>
    </row>
    <row r="23" spans="2:25" x14ac:dyDescent="0.2">
      <c r="B23" s="749" t="str">
        <f>B17</f>
        <v>ремонт-1</v>
      </c>
      <c r="C23" s="741" t="s">
        <v>536</v>
      </c>
      <c r="D23" s="724">
        <f>$D$21</f>
        <v>35</v>
      </c>
      <c r="E23" s="481"/>
      <c r="F23" s="750">
        <v>25.65</v>
      </c>
      <c r="G23" s="750">
        <v>25.65</v>
      </c>
      <c r="H23" s="750">
        <v>25.65</v>
      </c>
      <c r="I23" s="750">
        <v>25.65</v>
      </c>
      <c r="J23" s="750">
        <v>25.65</v>
      </c>
      <c r="K23" s="750">
        <v>25.65</v>
      </c>
      <c r="L23" s="750">
        <v>25.65</v>
      </c>
      <c r="M23" s="750">
        <v>25.65</v>
      </c>
      <c r="N23" s="750">
        <v>25.65</v>
      </c>
      <c r="O23" s="750">
        <v>25.65</v>
      </c>
      <c r="P23" s="750">
        <v>25.65</v>
      </c>
      <c r="Q23" s="750">
        <v>25.65</v>
      </c>
      <c r="T23" s="751"/>
      <c r="W23" s="751"/>
      <c r="Y23" s="751"/>
    </row>
    <row r="24" spans="2:25" x14ac:dyDescent="0.2">
      <c r="B24" s="749" t="str">
        <f>B18</f>
        <v>ремонт-2</v>
      </c>
      <c r="C24" s="741" t="s">
        <v>536</v>
      </c>
      <c r="D24" s="724">
        <f>$D$21</f>
        <v>35</v>
      </c>
      <c r="E24" s="481"/>
      <c r="F24" s="750">
        <v>64.319999999999993</v>
      </c>
      <c r="G24" s="750">
        <v>64.319999999999993</v>
      </c>
      <c r="H24" s="750">
        <v>64.319999999999993</v>
      </c>
      <c r="I24" s="750">
        <v>64.319999999999993</v>
      </c>
      <c r="J24" s="750">
        <v>64.319999999999993</v>
      </c>
      <c r="K24" s="750">
        <v>64.319999999999993</v>
      </c>
      <c r="L24" s="750">
        <v>64.319999999999993</v>
      </c>
      <c r="M24" s="750">
        <v>64.319999999999993</v>
      </c>
      <c r="N24" s="750">
        <v>64.319999999999993</v>
      </c>
      <c r="O24" s="750">
        <v>64.319999999999993</v>
      </c>
      <c r="P24" s="750">
        <v>64.319999999999993</v>
      </c>
      <c r="Q24" s="750">
        <v>64.319999999999993</v>
      </c>
      <c r="T24" s="751"/>
      <c r="W24" s="751"/>
      <c r="Y24" s="751"/>
    </row>
    <row r="25" spans="2:25" x14ac:dyDescent="0.2">
      <c r="B25" s="749" t="str">
        <f>B19</f>
        <v>ремонт-3</v>
      </c>
      <c r="C25" s="741" t="s">
        <v>536</v>
      </c>
      <c r="D25" s="724">
        <f>$D$21</f>
        <v>35</v>
      </c>
      <c r="E25" s="481"/>
      <c r="F25" s="750">
        <v>51.319999999999993</v>
      </c>
      <c r="G25" s="750">
        <v>51.319999999999993</v>
      </c>
      <c r="H25" s="750">
        <v>51.319999999999993</v>
      </c>
      <c r="I25" s="750">
        <v>51.319999999999993</v>
      </c>
      <c r="J25" s="750">
        <v>51.319999999999993</v>
      </c>
      <c r="K25" s="750">
        <v>51.319999999999993</v>
      </c>
      <c r="L25" s="750">
        <v>51.319999999999993</v>
      </c>
      <c r="M25" s="750">
        <v>51.319999999999993</v>
      </c>
      <c r="N25" s="750">
        <v>51.319999999999993</v>
      </c>
      <c r="O25" s="750">
        <v>51.319999999999993</v>
      </c>
      <c r="P25" s="750">
        <v>51.319999999999993</v>
      </c>
      <c r="Q25" s="750">
        <v>51.319999999999993</v>
      </c>
      <c r="T25" s="751"/>
      <c r="W25" s="751"/>
      <c r="Y25" s="751"/>
    </row>
    <row r="26" spans="2:25" ht="25.85" x14ac:dyDescent="0.2">
      <c r="B26" s="749" t="s">
        <v>356</v>
      </c>
      <c r="C26" s="741" t="s">
        <v>337</v>
      </c>
      <c r="D26" s="724">
        <f>$D$21</f>
        <v>35</v>
      </c>
      <c r="E26" s="481"/>
      <c r="F26" s="750">
        <v>204</v>
      </c>
      <c r="G26" s="750">
        <v>1020</v>
      </c>
      <c r="H26" s="750">
        <v>1100</v>
      </c>
      <c r="I26" s="750">
        <v>720.31999999999994</v>
      </c>
      <c r="J26" s="750">
        <v>920</v>
      </c>
      <c r="K26" s="750">
        <v>1200</v>
      </c>
      <c r="L26" s="750">
        <v>742.31999999999994</v>
      </c>
      <c r="M26" s="750">
        <v>982</v>
      </c>
      <c r="N26" s="750">
        <v>1028</v>
      </c>
      <c r="O26" s="750">
        <v>720.31999999999994</v>
      </c>
      <c r="P26" s="750">
        <v>920</v>
      </c>
      <c r="Q26" s="750">
        <v>204</v>
      </c>
    </row>
    <row r="27" spans="2:25" ht="14.3" thickBot="1" x14ac:dyDescent="0.3">
      <c r="B27" s="575" t="s">
        <v>538</v>
      </c>
      <c r="F27" s="574"/>
    </row>
    <row r="28" spans="2:25" ht="41.45" thickBot="1" x14ac:dyDescent="0.25">
      <c r="B28" s="628" t="s">
        <v>539</v>
      </c>
      <c r="C28" s="629" t="s">
        <v>625</v>
      </c>
      <c r="D28" s="499" t="s">
        <v>541</v>
      </c>
      <c r="E28" s="499" t="s">
        <v>542</v>
      </c>
      <c r="F28" s="579" t="s">
        <v>579</v>
      </c>
      <c r="G28" s="579" t="s">
        <v>579</v>
      </c>
      <c r="H28" s="579" t="s">
        <v>579</v>
      </c>
      <c r="I28" s="579" t="s">
        <v>579</v>
      </c>
      <c r="J28" s="579" t="s">
        <v>579</v>
      </c>
      <c r="K28" s="579" t="s">
        <v>579</v>
      </c>
      <c r="L28" s="579" t="s">
        <v>579</v>
      </c>
      <c r="M28" s="579" t="s">
        <v>579</v>
      </c>
      <c r="N28" s="579" t="s">
        <v>579</v>
      </c>
      <c r="O28" s="579" t="s">
        <v>579</v>
      </c>
      <c r="P28" s="579" t="s">
        <v>579</v>
      </c>
      <c r="Q28" s="579" t="s">
        <v>579</v>
      </c>
    </row>
    <row r="29" spans="2:25" ht="28.55" customHeight="1" thickBot="1" x14ac:dyDescent="0.3">
      <c r="B29" s="649" t="s">
        <v>543</v>
      </c>
      <c r="C29" s="650"/>
      <c r="D29" s="462"/>
      <c r="E29" s="462"/>
      <c r="F29" s="523">
        <f>SUM(F30:F32)</f>
        <v>53174</v>
      </c>
      <c r="G29" s="523">
        <f>SUM(G30:G32)</f>
        <v>53174</v>
      </c>
      <c r="H29" s="523">
        <f t="shared" ref="H29:P29" si="9">SUM(H30:H32)</f>
        <v>53174</v>
      </c>
      <c r="I29" s="523">
        <f t="shared" si="9"/>
        <v>53174</v>
      </c>
      <c r="J29" s="523">
        <f t="shared" si="9"/>
        <v>53174</v>
      </c>
      <c r="K29" s="523">
        <f t="shared" si="9"/>
        <v>53174</v>
      </c>
      <c r="L29" s="523">
        <f t="shared" si="9"/>
        <v>53174</v>
      </c>
      <c r="M29" s="523">
        <f t="shared" si="9"/>
        <v>53174</v>
      </c>
      <c r="N29" s="523">
        <f t="shared" si="9"/>
        <v>53174</v>
      </c>
      <c r="O29" s="523">
        <f t="shared" si="9"/>
        <v>53174</v>
      </c>
      <c r="P29" s="523">
        <f t="shared" si="9"/>
        <v>53174</v>
      </c>
      <c r="Q29" s="523">
        <f>SUM(Q30:Q32)</f>
        <v>53174</v>
      </c>
    </row>
    <row r="30" spans="2:25" ht="28.55" customHeight="1" x14ac:dyDescent="0.2">
      <c r="B30" s="752" t="s">
        <v>626</v>
      </c>
      <c r="C30" s="753">
        <v>1872</v>
      </c>
      <c r="D30" s="754">
        <v>1000</v>
      </c>
      <c r="E30" s="400">
        <v>3</v>
      </c>
      <c r="F30" s="474">
        <f>$E$30*$C$30</f>
        <v>5616</v>
      </c>
      <c r="G30" s="474">
        <f t="shared" ref="G30:Q30" si="10">$E$30*$C$30</f>
        <v>5616</v>
      </c>
      <c r="H30" s="474">
        <f>$E$30*$C$30</f>
        <v>5616</v>
      </c>
      <c r="I30" s="474">
        <f t="shared" si="10"/>
        <v>5616</v>
      </c>
      <c r="J30" s="474">
        <f t="shared" si="10"/>
        <v>5616</v>
      </c>
      <c r="K30" s="474">
        <f t="shared" si="10"/>
        <v>5616</v>
      </c>
      <c r="L30" s="474">
        <f t="shared" si="10"/>
        <v>5616</v>
      </c>
      <c r="M30" s="474">
        <f t="shared" si="10"/>
        <v>5616</v>
      </c>
      <c r="N30" s="474">
        <f t="shared" si="10"/>
        <v>5616</v>
      </c>
      <c r="O30" s="474">
        <f t="shared" si="10"/>
        <v>5616</v>
      </c>
      <c r="P30" s="474">
        <f t="shared" si="10"/>
        <v>5616</v>
      </c>
      <c r="Q30" s="474">
        <f t="shared" si="10"/>
        <v>5616</v>
      </c>
    </row>
    <row r="31" spans="2:25" ht="25.85" x14ac:dyDescent="0.2">
      <c r="B31" s="752" t="s">
        <v>626</v>
      </c>
      <c r="C31" s="753">
        <v>4000</v>
      </c>
      <c r="D31" s="754">
        <v>2000</v>
      </c>
      <c r="E31" s="400">
        <v>2</v>
      </c>
      <c r="F31" s="474">
        <f>$E31*$C31</f>
        <v>8000</v>
      </c>
      <c r="G31" s="474">
        <f>$E31*$C31</f>
        <v>8000</v>
      </c>
      <c r="H31" s="474">
        <f>$E31*$C31</f>
        <v>8000</v>
      </c>
      <c r="I31" s="474">
        <f t="shared" ref="H31:Q32" si="11">$E31*$C31</f>
        <v>8000</v>
      </c>
      <c r="J31" s="474">
        <f t="shared" si="11"/>
        <v>8000</v>
      </c>
      <c r="K31" s="474">
        <f t="shared" si="11"/>
        <v>8000</v>
      </c>
      <c r="L31" s="474">
        <f t="shared" si="11"/>
        <v>8000</v>
      </c>
      <c r="M31" s="474">
        <f t="shared" si="11"/>
        <v>8000</v>
      </c>
      <c r="N31" s="474">
        <f t="shared" si="11"/>
        <v>8000</v>
      </c>
      <c r="O31" s="474">
        <f t="shared" si="11"/>
        <v>8000</v>
      </c>
      <c r="P31" s="474">
        <f t="shared" si="11"/>
        <v>8000</v>
      </c>
      <c r="Q31" s="474">
        <f>$E31*$C31</f>
        <v>8000</v>
      </c>
    </row>
    <row r="32" spans="2:25" ht="26.5" thickBot="1" x14ac:dyDescent="0.25">
      <c r="B32" s="752" t="s">
        <v>626</v>
      </c>
      <c r="C32" s="753">
        <v>19779</v>
      </c>
      <c r="D32" s="754">
        <v>3000</v>
      </c>
      <c r="E32" s="400">
        <v>2</v>
      </c>
      <c r="F32" s="474">
        <f>$E32*$C32</f>
        <v>39558</v>
      </c>
      <c r="G32" s="474">
        <f>$E32*$C32</f>
        <v>39558</v>
      </c>
      <c r="H32" s="474">
        <f t="shared" si="11"/>
        <v>39558</v>
      </c>
      <c r="I32" s="474">
        <f t="shared" si="11"/>
        <v>39558</v>
      </c>
      <c r="J32" s="474">
        <f t="shared" si="11"/>
        <v>39558</v>
      </c>
      <c r="K32" s="474">
        <f t="shared" si="11"/>
        <v>39558</v>
      </c>
      <c r="L32" s="474">
        <f t="shared" si="11"/>
        <v>39558</v>
      </c>
      <c r="M32" s="474">
        <f t="shared" si="11"/>
        <v>39558</v>
      </c>
      <c r="N32" s="474">
        <f t="shared" si="11"/>
        <v>39558</v>
      </c>
      <c r="O32" s="474">
        <f t="shared" si="11"/>
        <v>39558</v>
      </c>
      <c r="P32" s="474">
        <f t="shared" si="11"/>
        <v>39558</v>
      </c>
      <c r="Q32" s="474">
        <f t="shared" si="11"/>
        <v>39558</v>
      </c>
    </row>
    <row r="33" spans="2:19" ht="36" customHeight="1" thickBot="1" x14ac:dyDescent="0.3">
      <c r="B33" s="649" t="s">
        <v>356</v>
      </c>
      <c r="C33" s="650"/>
      <c r="D33" s="462"/>
      <c r="E33" s="462"/>
      <c r="F33" s="523">
        <f>SUM(F34:F64)</f>
        <v>35958.770400000001</v>
      </c>
      <c r="G33" s="523">
        <f>SUM(G34:G64)</f>
        <v>301938.67209026543</v>
      </c>
      <c r="H33" s="523">
        <f t="shared" ref="H33:Q33" si="12">SUM(H34:H64)</f>
        <v>327733.43229026545</v>
      </c>
      <c r="I33" s="523">
        <f>SUM(I34:I64)</f>
        <v>133082.4774</v>
      </c>
      <c r="J33" s="523">
        <f t="shared" si="12"/>
        <v>264441.71709026548</v>
      </c>
      <c r="K33" s="523">
        <f t="shared" si="12"/>
        <v>365230.38729026541</v>
      </c>
      <c r="L33" s="523">
        <f t="shared" si="12"/>
        <v>95585.522399999987</v>
      </c>
      <c r="M33" s="523">
        <f t="shared" si="12"/>
        <v>307316.77209026547</v>
      </c>
      <c r="N33" s="523">
        <f t="shared" si="12"/>
        <v>268106.68029026547</v>
      </c>
      <c r="O33" s="523">
        <f>SUM(O34:O64)</f>
        <v>133082.4774</v>
      </c>
      <c r="P33" s="523">
        <f>SUM(P34:P64)</f>
        <v>264441.71709026548</v>
      </c>
      <c r="Q33" s="524">
        <f t="shared" si="12"/>
        <v>35958.770400000001</v>
      </c>
    </row>
    <row r="34" spans="2:19" ht="13.6" x14ac:dyDescent="0.25">
      <c r="B34" s="755" t="s">
        <v>627</v>
      </c>
      <c r="C34" s="756"/>
      <c r="D34" s="757"/>
      <c r="E34" s="757"/>
      <c r="F34" s="757"/>
      <c r="G34" s="757"/>
      <c r="H34" s="757"/>
      <c r="I34" s="757"/>
      <c r="J34" s="757"/>
      <c r="K34" s="757"/>
      <c r="L34" s="757"/>
      <c r="M34" s="757"/>
      <c r="N34" s="757"/>
      <c r="O34" s="757"/>
      <c r="P34" s="757"/>
      <c r="Q34" s="758"/>
    </row>
    <row r="35" spans="2:19" x14ac:dyDescent="0.2">
      <c r="B35" s="759" t="s">
        <v>628</v>
      </c>
      <c r="C35" s="753">
        <v>168856.19469026546</v>
      </c>
      <c r="D35" s="760">
        <v>10000</v>
      </c>
      <c r="E35" s="514">
        <v>1</v>
      </c>
      <c r="F35" s="761"/>
      <c r="G35" s="761">
        <f>$E$35*$C$35</f>
        <v>168856.19469026546</v>
      </c>
      <c r="H35" s="761">
        <f>$E$35*$C$35</f>
        <v>168856.19469026546</v>
      </c>
      <c r="I35" s="761"/>
      <c r="J35" s="761">
        <f t="shared" ref="J35:P35" si="13">$E$35*$C$35</f>
        <v>168856.19469026546</v>
      </c>
      <c r="K35" s="761">
        <f t="shared" si="13"/>
        <v>168856.19469026546</v>
      </c>
      <c r="L35" s="761"/>
      <c r="M35" s="761">
        <f t="shared" si="13"/>
        <v>168856.19469026546</v>
      </c>
      <c r="N35" s="761">
        <f t="shared" si="13"/>
        <v>168856.19469026546</v>
      </c>
      <c r="O35" s="761"/>
      <c r="P35" s="761">
        <f t="shared" si="13"/>
        <v>168856.19469026546</v>
      </c>
      <c r="Q35" s="762"/>
      <c r="S35" s="751"/>
    </row>
    <row r="36" spans="2:19" ht="13.6" x14ac:dyDescent="0.25">
      <c r="B36" s="763" t="s">
        <v>629</v>
      </c>
      <c r="C36" s="764"/>
      <c r="D36" s="471"/>
      <c r="E36" s="559"/>
      <c r="F36" s="471"/>
      <c r="G36" s="471"/>
      <c r="H36" s="471"/>
      <c r="I36" s="471"/>
      <c r="J36" s="471"/>
      <c r="K36" s="471"/>
      <c r="L36" s="471"/>
      <c r="M36" s="471"/>
      <c r="N36" s="471"/>
      <c r="O36" s="471"/>
      <c r="P36" s="471"/>
      <c r="Q36" s="472"/>
      <c r="S36" s="751"/>
    </row>
    <row r="37" spans="2:19" x14ac:dyDescent="0.2">
      <c r="B37" s="765" t="s">
        <v>630</v>
      </c>
      <c r="C37" s="753">
        <v>12176.9745</v>
      </c>
      <c r="D37" s="766">
        <v>12000</v>
      </c>
      <c r="E37" s="767">
        <v>2</v>
      </c>
      <c r="F37" s="766"/>
      <c r="G37" s="761">
        <f>$E$37*$C$37</f>
        <v>24353.949000000001</v>
      </c>
      <c r="H37" s="766"/>
      <c r="I37" s="761">
        <f>E37*C37</f>
        <v>24353.949000000001</v>
      </c>
      <c r="J37" s="766"/>
      <c r="K37" s="761">
        <f>E37*C37</f>
        <v>24353.949000000001</v>
      </c>
      <c r="L37" s="766"/>
      <c r="M37" s="761">
        <f>E37*C37</f>
        <v>24353.949000000001</v>
      </c>
      <c r="N37" s="766"/>
      <c r="O37" s="761">
        <f>E37*C37</f>
        <v>24353.949000000001</v>
      </c>
      <c r="P37" s="766"/>
      <c r="Q37" s="762"/>
      <c r="S37" s="751"/>
    </row>
    <row r="38" spans="2:19" x14ac:dyDescent="0.2">
      <c r="B38" s="765" t="s">
        <v>631</v>
      </c>
      <c r="C38" s="753">
        <v>380.36550000000005</v>
      </c>
      <c r="D38" s="766">
        <v>12000</v>
      </c>
      <c r="E38" s="767">
        <v>2</v>
      </c>
      <c r="F38" s="766"/>
      <c r="G38" s="761">
        <f>$E$38*$C$38</f>
        <v>760.73100000000011</v>
      </c>
      <c r="H38" s="766"/>
      <c r="I38" s="761">
        <f t="shared" ref="I38:I43" si="14">E38*C38</f>
        <v>760.73100000000011</v>
      </c>
      <c r="J38" s="766"/>
      <c r="K38" s="761">
        <f t="shared" ref="K38:K43" si="15">E38*C38</f>
        <v>760.73100000000011</v>
      </c>
      <c r="L38" s="766"/>
      <c r="M38" s="761">
        <f t="shared" ref="M38:M43" si="16">E38*C38</f>
        <v>760.73100000000011</v>
      </c>
      <c r="N38" s="766"/>
      <c r="O38" s="761">
        <f t="shared" ref="O38:O43" si="17">E38*C38</f>
        <v>760.73100000000011</v>
      </c>
      <c r="P38" s="766"/>
      <c r="Q38" s="762"/>
      <c r="S38" s="751"/>
    </row>
    <row r="39" spans="2:19" x14ac:dyDescent="0.2">
      <c r="B39" s="765" t="s">
        <v>632</v>
      </c>
      <c r="C39" s="753">
        <v>1.4384999999999999</v>
      </c>
      <c r="D39" s="766">
        <v>12000</v>
      </c>
      <c r="E39" s="767">
        <v>80</v>
      </c>
      <c r="F39" s="766"/>
      <c r="G39" s="761">
        <f>$E$39*$C$39</f>
        <v>115.07999999999998</v>
      </c>
      <c r="H39" s="766"/>
      <c r="I39" s="761">
        <f t="shared" si="14"/>
        <v>115.07999999999998</v>
      </c>
      <c r="J39" s="766"/>
      <c r="K39" s="761">
        <f t="shared" si="15"/>
        <v>115.07999999999998</v>
      </c>
      <c r="L39" s="766"/>
      <c r="M39" s="761">
        <f t="shared" si="16"/>
        <v>115.07999999999998</v>
      </c>
      <c r="N39" s="766"/>
      <c r="O39" s="761">
        <f t="shared" si="17"/>
        <v>115.07999999999998</v>
      </c>
      <c r="P39" s="766"/>
      <c r="Q39" s="762"/>
      <c r="S39" s="751"/>
    </row>
    <row r="40" spans="2:19" x14ac:dyDescent="0.2">
      <c r="B40" s="765" t="s">
        <v>633</v>
      </c>
      <c r="C40" s="753">
        <v>4748.0204999999996</v>
      </c>
      <c r="D40" s="766">
        <v>12000</v>
      </c>
      <c r="E40" s="767">
        <v>2</v>
      </c>
      <c r="F40" s="766"/>
      <c r="G40" s="761">
        <f>$E$40*$C$40</f>
        <v>9496.0409999999993</v>
      </c>
      <c r="H40" s="766"/>
      <c r="I40" s="761">
        <f t="shared" si="14"/>
        <v>9496.0409999999993</v>
      </c>
      <c r="J40" s="766"/>
      <c r="K40" s="761">
        <f t="shared" si="15"/>
        <v>9496.0409999999993</v>
      </c>
      <c r="L40" s="766"/>
      <c r="M40" s="761">
        <f t="shared" si="16"/>
        <v>9496.0409999999993</v>
      </c>
      <c r="N40" s="766"/>
      <c r="O40" s="761">
        <f t="shared" si="17"/>
        <v>9496.0409999999993</v>
      </c>
      <c r="P40" s="766"/>
      <c r="Q40" s="762"/>
      <c r="S40" s="751"/>
    </row>
    <row r="41" spans="2:19" x14ac:dyDescent="0.2">
      <c r="B41" s="765" t="s">
        <v>634</v>
      </c>
      <c r="C41" s="753">
        <v>578.38499999999999</v>
      </c>
      <c r="D41" s="766">
        <v>12000</v>
      </c>
      <c r="E41" s="767">
        <v>2</v>
      </c>
      <c r="F41" s="766"/>
      <c r="G41" s="761">
        <f>$E$41*$C$41</f>
        <v>1156.77</v>
      </c>
      <c r="H41" s="766"/>
      <c r="I41" s="761">
        <f t="shared" si="14"/>
        <v>1156.77</v>
      </c>
      <c r="J41" s="766"/>
      <c r="K41" s="761">
        <f t="shared" si="15"/>
        <v>1156.77</v>
      </c>
      <c r="L41" s="766"/>
      <c r="M41" s="761">
        <f t="shared" si="16"/>
        <v>1156.77</v>
      </c>
      <c r="N41" s="766"/>
      <c r="O41" s="761">
        <f t="shared" si="17"/>
        <v>1156.77</v>
      </c>
      <c r="P41" s="766"/>
      <c r="Q41" s="762"/>
      <c r="S41" s="751"/>
    </row>
    <row r="42" spans="2:19" x14ac:dyDescent="0.2">
      <c r="B42" s="765" t="s">
        <v>635</v>
      </c>
      <c r="C42" s="753">
        <v>798.26400000000001</v>
      </c>
      <c r="D42" s="766">
        <v>12000</v>
      </c>
      <c r="E42" s="767">
        <v>2</v>
      </c>
      <c r="F42" s="766"/>
      <c r="G42" s="761">
        <f>$E$42*$C$42</f>
        <v>1596.528</v>
      </c>
      <c r="H42" s="766"/>
      <c r="I42" s="761">
        <f>E42*C42</f>
        <v>1596.528</v>
      </c>
      <c r="J42" s="766"/>
      <c r="K42" s="761">
        <f t="shared" si="15"/>
        <v>1596.528</v>
      </c>
      <c r="L42" s="766"/>
      <c r="M42" s="761">
        <f t="shared" si="16"/>
        <v>1596.528</v>
      </c>
      <c r="N42" s="766"/>
      <c r="O42" s="761">
        <f t="shared" si="17"/>
        <v>1596.528</v>
      </c>
      <c r="P42" s="766"/>
      <c r="Q42" s="762"/>
      <c r="S42" s="751"/>
    </row>
    <row r="43" spans="2:19" x14ac:dyDescent="0.2">
      <c r="B43" s="765" t="s">
        <v>636</v>
      </c>
      <c r="C43" s="753">
        <v>0.14399999999999999</v>
      </c>
      <c r="D43" s="766">
        <v>12000</v>
      </c>
      <c r="E43" s="767">
        <v>124</v>
      </c>
      <c r="F43" s="766"/>
      <c r="G43" s="761">
        <f>$E$43*$C$43</f>
        <v>17.855999999999998</v>
      </c>
      <c r="H43" s="766"/>
      <c r="I43" s="761">
        <f t="shared" si="14"/>
        <v>17.855999999999998</v>
      </c>
      <c r="J43" s="766"/>
      <c r="K43" s="761">
        <f t="shared" si="15"/>
        <v>17.855999999999998</v>
      </c>
      <c r="L43" s="766"/>
      <c r="M43" s="761">
        <f t="shared" si="16"/>
        <v>17.855999999999998</v>
      </c>
      <c r="N43" s="766"/>
      <c r="O43" s="761">
        <f t="shared" si="17"/>
        <v>17.855999999999998</v>
      </c>
      <c r="P43" s="766"/>
      <c r="Q43" s="762"/>
      <c r="S43" s="751"/>
    </row>
    <row r="44" spans="2:19" x14ac:dyDescent="0.2">
      <c r="B44" s="765" t="s">
        <v>637</v>
      </c>
      <c r="C44" s="753">
        <v>180.477</v>
      </c>
      <c r="D44" s="766">
        <v>6000</v>
      </c>
      <c r="E44" s="767">
        <v>28</v>
      </c>
      <c r="F44" s="761">
        <f>$E$44*$C$44</f>
        <v>5053.3559999999998</v>
      </c>
      <c r="G44" s="761">
        <f t="shared" ref="G44:Q44" si="18">$E$44*$C$44</f>
        <v>5053.3559999999998</v>
      </c>
      <c r="H44" s="761">
        <f t="shared" si="18"/>
        <v>5053.3559999999998</v>
      </c>
      <c r="I44" s="761">
        <f t="shared" si="18"/>
        <v>5053.3559999999998</v>
      </c>
      <c r="J44" s="761">
        <f t="shared" si="18"/>
        <v>5053.3559999999998</v>
      </c>
      <c r="K44" s="761">
        <f t="shared" si="18"/>
        <v>5053.3559999999998</v>
      </c>
      <c r="L44" s="761">
        <f t="shared" si="18"/>
        <v>5053.3559999999998</v>
      </c>
      <c r="M44" s="761">
        <f>$E$44*$C$44*2</f>
        <v>10106.712</v>
      </c>
      <c r="N44" s="761">
        <f t="shared" si="18"/>
        <v>5053.3559999999998</v>
      </c>
      <c r="O44" s="761">
        <f t="shared" si="18"/>
        <v>5053.3559999999998</v>
      </c>
      <c r="P44" s="761">
        <f t="shared" si="18"/>
        <v>5053.3559999999998</v>
      </c>
      <c r="Q44" s="761">
        <f t="shared" si="18"/>
        <v>5053.3559999999998</v>
      </c>
      <c r="S44" s="751"/>
    </row>
    <row r="45" spans="2:19" x14ac:dyDescent="0.2">
      <c r="B45" s="765" t="s">
        <v>632</v>
      </c>
      <c r="C45" s="753">
        <v>2.8994999999999997</v>
      </c>
      <c r="D45" s="766">
        <v>6000</v>
      </c>
      <c r="E45" s="767">
        <v>112</v>
      </c>
      <c r="F45" s="761">
        <f>$E$45*$C$45</f>
        <v>324.74399999999997</v>
      </c>
      <c r="G45" s="761">
        <f>$E$45*$C$45</f>
        <v>324.74399999999997</v>
      </c>
      <c r="H45" s="761">
        <f t="shared" ref="H45:Q45" si="19">$E$45*$C$45</f>
        <v>324.74399999999997</v>
      </c>
      <c r="I45" s="761">
        <f t="shared" si="19"/>
        <v>324.74399999999997</v>
      </c>
      <c r="J45" s="761">
        <f t="shared" si="19"/>
        <v>324.74399999999997</v>
      </c>
      <c r="K45" s="761">
        <f t="shared" si="19"/>
        <v>324.74399999999997</v>
      </c>
      <c r="L45" s="761">
        <f t="shared" si="19"/>
        <v>324.74399999999997</v>
      </c>
      <c r="M45" s="761">
        <f>$E$45*$C$45*2</f>
        <v>649.48799999999994</v>
      </c>
      <c r="N45" s="761">
        <f t="shared" si="19"/>
        <v>324.74399999999997</v>
      </c>
      <c r="O45" s="761">
        <f t="shared" si="19"/>
        <v>324.74399999999997</v>
      </c>
      <c r="P45" s="761">
        <f t="shared" si="19"/>
        <v>324.74399999999997</v>
      </c>
      <c r="Q45" s="761">
        <f t="shared" si="19"/>
        <v>324.74399999999997</v>
      </c>
      <c r="S45" s="751"/>
    </row>
    <row r="46" spans="2:19" ht="13.6" x14ac:dyDescent="0.25">
      <c r="B46" s="763" t="s">
        <v>638</v>
      </c>
      <c r="C46" s="764"/>
      <c r="D46" s="471"/>
      <c r="E46" s="559"/>
      <c r="F46" s="471"/>
      <c r="G46" s="471"/>
      <c r="H46" s="471"/>
      <c r="I46" s="471"/>
      <c r="J46" s="471"/>
      <c r="K46" s="471"/>
      <c r="L46" s="471"/>
      <c r="M46" s="471"/>
      <c r="N46" s="471"/>
      <c r="O46" s="471"/>
      <c r="P46" s="471"/>
      <c r="Q46" s="472"/>
      <c r="S46" s="751"/>
    </row>
    <row r="47" spans="2:19" x14ac:dyDescent="0.2">
      <c r="B47" s="759" t="s">
        <v>639</v>
      </c>
      <c r="C47" s="753">
        <v>14447.257499999998</v>
      </c>
      <c r="D47" s="760">
        <v>8000</v>
      </c>
      <c r="E47" s="514">
        <v>1</v>
      </c>
      <c r="F47" s="761"/>
      <c r="G47" s="761">
        <f>$E$47*$C$47</f>
        <v>14447.257499999998</v>
      </c>
      <c r="H47" s="761">
        <f t="shared" ref="H47:M47" si="20">$E$47*$C$47</f>
        <v>14447.257499999998</v>
      </c>
      <c r="I47" s="761">
        <f t="shared" si="20"/>
        <v>14447.257499999998</v>
      </c>
      <c r="J47" s="761">
        <f t="shared" si="20"/>
        <v>14447.257499999998</v>
      </c>
      <c r="K47" s="761">
        <f t="shared" si="20"/>
        <v>14447.257499999998</v>
      </c>
      <c r="L47" s="761">
        <f t="shared" si="20"/>
        <v>14447.257499999998</v>
      </c>
      <c r="M47" s="761">
        <f t="shared" si="20"/>
        <v>14447.257499999998</v>
      </c>
      <c r="N47" s="761"/>
      <c r="O47" s="761">
        <f t="shared" ref="O47:P47" si="21">$E$47*$C$47</f>
        <v>14447.257499999998</v>
      </c>
      <c r="P47" s="761">
        <f t="shared" si="21"/>
        <v>14447.257499999998</v>
      </c>
      <c r="Q47" s="761"/>
      <c r="S47" s="751"/>
    </row>
    <row r="48" spans="2:19" x14ac:dyDescent="0.2">
      <c r="B48" s="759" t="s">
        <v>640</v>
      </c>
      <c r="C48" s="753">
        <v>10577.629499999999</v>
      </c>
      <c r="D48" s="760">
        <v>8000</v>
      </c>
      <c r="E48" s="514">
        <v>1</v>
      </c>
      <c r="F48" s="761"/>
      <c r="G48" s="761">
        <f>$E$48*$C$48</f>
        <v>10577.629499999999</v>
      </c>
      <c r="H48" s="761">
        <f t="shared" ref="H48:M48" si="22">$E$48*$C$48</f>
        <v>10577.629499999999</v>
      </c>
      <c r="I48" s="761">
        <f t="shared" si="22"/>
        <v>10577.629499999999</v>
      </c>
      <c r="J48" s="761">
        <f t="shared" si="22"/>
        <v>10577.629499999999</v>
      </c>
      <c r="K48" s="761">
        <f t="shared" si="22"/>
        <v>10577.629499999999</v>
      </c>
      <c r="L48" s="761">
        <f t="shared" si="22"/>
        <v>10577.629499999999</v>
      </c>
      <c r="M48" s="761">
        <f t="shared" si="22"/>
        <v>10577.629499999999</v>
      </c>
      <c r="N48" s="761"/>
      <c r="O48" s="761">
        <f t="shared" ref="O48:P48" si="23">$E$48*$C$48</f>
        <v>10577.629499999999</v>
      </c>
      <c r="P48" s="761">
        <f t="shared" si="23"/>
        <v>10577.629499999999</v>
      </c>
      <c r="Q48" s="761"/>
      <c r="S48" s="751"/>
    </row>
    <row r="49" spans="2:19" x14ac:dyDescent="0.2">
      <c r="B49" s="759" t="s">
        <v>640</v>
      </c>
      <c r="C49" s="753">
        <v>10577.629499999999</v>
      </c>
      <c r="D49" s="760">
        <v>8000</v>
      </c>
      <c r="E49" s="514">
        <v>1</v>
      </c>
      <c r="F49" s="761"/>
      <c r="G49" s="761">
        <f>$E$49*$C$49</f>
        <v>10577.629499999999</v>
      </c>
      <c r="H49" s="761">
        <f t="shared" ref="H49:M49" si="24">$E$49*$C$49</f>
        <v>10577.629499999999</v>
      </c>
      <c r="I49" s="761">
        <f t="shared" si="24"/>
        <v>10577.629499999999</v>
      </c>
      <c r="J49" s="761">
        <f t="shared" si="24"/>
        <v>10577.629499999999</v>
      </c>
      <c r="K49" s="761">
        <f t="shared" si="24"/>
        <v>10577.629499999999</v>
      </c>
      <c r="L49" s="761">
        <f t="shared" si="24"/>
        <v>10577.629499999999</v>
      </c>
      <c r="M49" s="761">
        <f t="shared" si="24"/>
        <v>10577.629499999999</v>
      </c>
      <c r="N49" s="761"/>
      <c r="O49" s="761">
        <f t="shared" ref="O49:P49" si="25">$E$49*$C$49</f>
        <v>10577.629499999999</v>
      </c>
      <c r="P49" s="761">
        <f t="shared" si="25"/>
        <v>10577.629499999999</v>
      </c>
      <c r="Q49" s="761"/>
      <c r="S49" s="751"/>
    </row>
    <row r="50" spans="2:19" x14ac:dyDescent="0.2">
      <c r="B50" s="759" t="s">
        <v>640</v>
      </c>
      <c r="C50" s="753">
        <v>3590.0714999999996</v>
      </c>
      <c r="D50" s="760">
        <v>8000</v>
      </c>
      <c r="E50" s="514">
        <v>1</v>
      </c>
      <c r="F50" s="761"/>
      <c r="G50" s="761">
        <f>$E$50*$C$50</f>
        <v>3590.0714999999996</v>
      </c>
      <c r="H50" s="761">
        <f t="shared" ref="H50:M50" si="26">$E$50*$C$50</f>
        <v>3590.0714999999996</v>
      </c>
      <c r="I50" s="761">
        <f t="shared" si="26"/>
        <v>3590.0714999999996</v>
      </c>
      <c r="J50" s="761">
        <f t="shared" si="26"/>
        <v>3590.0714999999996</v>
      </c>
      <c r="K50" s="761">
        <f t="shared" si="26"/>
        <v>3590.0714999999996</v>
      </c>
      <c r="L50" s="761">
        <f t="shared" si="26"/>
        <v>3590.0714999999996</v>
      </c>
      <c r="M50" s="761">
        <f t="shared" si="26"/>
        <v>3590.0714999999996</v>
      </c>
      <c r="N50" s="761"/>
      <c r="O50" s="761">
        <f t="shared" ref="O50:P50" si="27">$E$50*$C$50</f>
        <v>3590.0714999999996</v>
      </c>
      <c r="P50" s="761">
        <f t="shared" si="27"/>
        <v>3590.0714999999996</v>
      </c>
      <c r="Q50" s="761"/>
      <c r="S50" s="751"/>
    </row>
    <row r="51" spans="2:19" x14ac:dyDescent="0.2">
      <c r="B51" s="759" t="s">
        <v>641</v>
      </c>
      <c r="C51" s="753">
        <v>798.40800000000002</v>
      </c>
      <c r="D51" s="760">
        <v>8000</v>
      </c>
      <c r="E51" s="514">
        <v>2</v>
      </c>
      <c r="F51" s="761"/>
      <c r="G51" s="761">
        <f>$E$51*$C$51</f>
        <v>1596.816</v>
      </c>
      <c r="H51" s="761">
        <f t="shared" ref="H51:P51" si="28">$E$51*$C$51</f>
        <v>1596.816</v>
      </c>
      <c r="I51" s="761">
        <f t="shared" si="28"/>
        <v>1596.816</v>
      </c>
      <c r="J51" s="761">
        <f t="shared" si="28"/>
        <v>1596.816</v>
      </c>
      <c r="K51" s="761">
        <f t="shared" si="28"/>
        <v>1596.816</v>
      </c>
      <c r="L51" s="761">
        <f t="shared" si="28"/>
        <v>1596.816</v>
      </c>
      <c r="M51" s="761">
        <f t="shared" si="28"/>
        <v>1596.816</v>
      </c>
      <c r="N51" s="761"/>
      <c r="O51" s="761">
        <f t="shared" si="28"/>
        <v>1596.816</v>
      </c>
      <c r="P51" s="761">
        <f t="shared" si="28"/>
        <v>1596.816</v>
      </c>
      <c r="Q51" s="762"/>
      <c r="S51" s="751"/>
    </row>
    <row r="52" spans="2:19" x14ac:dyDescent="0.2">
      <c r="B52" s="759" t="s">
        <v>641</v>
      </c>
      <c r="C52" s="753">
        <v>3278.7615000000001</v>
      </c>
      <c r="D52" s="760">
        <v>8000</v>
      </c>
      <c r="E52" s="514">
        <v>2</v>
      </c>
      <c r="F52" s="761"/>
      <c r="G52" s="761">
        <f>$E$52*$C$52</f>
        <v>6557.5230000000001</v>
      </c>
      <c r="H52" s="761">
        <f t="shared" ref="H52:P52" si="29">$E$52*$C$52</f>
        <v>6557.5230000000001</v>
      </c>
      <c r="I52" s="761">
        <f t="shared" si="29"/>
        <v>6557.5230000000001</v>
      </c>
      <c r="J52" s="761">
        <f t="shared" si="29"/>
        <v>6557.5230000000001</v>
      </c>
      <c r="K52" s="761">
        <f t="shared" si="29"/>
        <v>6557.5230000000001</v>
      </c>
      <c r="L52" s="761">
        <f t="shared" si="29"/>
        <v>6557.5230000000001</v>
      </c>
      <c r="M52" s="761">
        <f t="shared" si="29"/>
        <v>6557.5230000000001</v>
      </c>
      <c r="N52" s="761"/>
      <c r="O52" s="761">
        <f t="shared" si="29"/>
        <v>6557.5230000000001</v>
      </c>
      <c r="P52" s="761">
        <f t="shared" si="29"/>
        <v>6557.5230000000001</v>
      </c>
      <c r="Q52" s="762"/>
      <c r="S52" s="751"/>
    </row>
    <row r="53" spans="2:19" x14ac:dyDescent="0.2">
      <c r="B53" s="759" t="s">
        <v>642</v>
      </c>
      <c r="C53" s="753">
        <v>945.31949999999995</v>
      </c>
      <c r="D53" s="760">
        <v>8000</v>
      </c>
      <c r="E53" s="514">
        <v>1</v>
      </c>
      <c r="F53" s="761"/>
      <c r="G53" s="761">
        <f>$E$53*$C$53</f>
        <v>945.31949999999995</v>
      </c>
      <c r="H53" s="761">
        <f t="shared" ref="H53:P53" si="30">$E$53*$C$53</f>
        <v>945.31949999999995</v>
      </c>
      <c r="I53" s="761">
        <f t="shared" si="30"/>
        <v>945.31949999999995</v>
      </c>
      <c r="J53" s="761">
        <f t="shared" si="30"/>
        <v>945.31949999999995</v>
      </c>
      <c r="K53" s="761">
        <f t="shared" si="30"/>
        <v>945.31949999999995</v>
      </c>
      <c r="L53" s="761">
        <f t="shared" si="30"/>
        <v>945.31949999999995</v>
      </c>
      <c r="M53" s="761">
        <f t="shared" si="30"/>
        <v>945.31949999999995</v>
      </c>
      <c r="N53" s="761"/>
      <c r="O53" s="761">
        <f t="shared" si="30"/>
        <v>945.31949999999995</v>
      </c>
      <c r="P53" s="761">
        <f t="shared" si="30"/>
        <v>945.31949999999995</v>
      </c>
      <c r="Q53" s="762"/>
      <c r="S53" s="751"/>
    </row>
    <row r="54" spans="2:19" x14ac:dyDescent="0.2">
      <c r="B54" s="759" t="s">
        <v>643</v>
      </c>
      <c r="C54" s="753">
        <v>596.04449999999997</v>
      </c>
      <c r="D54" s="760">
        <v>8000</v>
      </c>
      <c r="E54" s="514">
        <v>1</v>
      </c>
      <c r="F54" s="761"/>
      <c r="G54" s="761">
        <f>$E$54*$C$54</f>
        <v>596.04449999999997</v>
      </c>
      <c r="H54" s="761">
        <f t="shared" ref="H54:P54" si="31">$E$54*$C$54</f>
        <v>596.04449999999997</v>
      </c>
      <c r="I54" s="761">
        <f t="shared" si="31"/>
        <v>596.04449999999997</v>
      </c>
      <c r="J54" s="761">
        <f t="shared" si="31"/>
        <v>596.04449999999997</v>
      </c>
      <c r="K54" s="761">
        <f t="shared" si="31"/>
        <v>596.04449999999997</v>
      </c>
      <c r="L54" s="761">
        <f t="shared" si="31"/>
        <v>596.04449999999997</v>
      </c>
      <c r="M54" s="761">
        <f t="shared" si="31"/>
        <v>596.04449999999997</v>
      </c>
      <c r="N54" s="761"/>
      <c r="O54" s="761">
        <f t="shared" si="31"/>
        <v>596.04449999999997</v>
      </c>
      <c r="P54" s="761">
        <f t="shared" si="31"/>
        <v>596.04449999999997</v>
      </c>
      <c r="Q54" s="762"/>
      <c r="S54" s="751"/>
    </row>
    <row r="55" spans="2:19" x14ac:dyDescent="0.2">
      <c r="B55" s="759" t="s">
        <v>644</v>
      </c>
      <c r="C55" s="768">
        <v>5369.2305000000006</v>
      </c>
      <c r="D55" s="760">
        <v>8000</v>
      </c>
      <c r="E55" s="514">
        <v>2</v>
      </c>
      <c r="F55" s="761"/>
      <c r="G55" s="761">
        <f>$E$55*$C$55</f>
        <v>10738.461000000001</v>
      </c>
      <c r="H55" s="761">
        <f t="shared" ref="H55:P55" si="32">$E$55*$C$55</f>
        <v>10738.461000000001</v>
      </c>
      <c r="I55" s="761">
        <f t="shared" si="32"/>
        <v>10738.461000000001</v>
      </c>
      <c r="J55" s="761">
        <f t="shared" si="32"/>
        <v>10738.461000000001</v>
      </c>
      <c r="K55" s="761">
        <f t="shared" si="32"/>
        <v>10738.461000000001</v>
      </c>
      <c r="L55" s="761">
        <f t="shared" si="32"/>
        <v>10738.461000000001</v>
      </c>
      <c r="M55" s="761">
        <f t="shared" si="32"/>
        <v>10738.461000000001</v>
      </c>
      <c r="N55" s="761"/>
      <c r="O55" s="761">
        <f t="shared" si="32"/>
        <v>10738.461000000001</v>
      </c>
      <c r="P55" s="761">
        <f t="shared" si="32"/>
        <v>10738.461000000001</v>
      </c>
      <c r="Q55" s="762"/>
      <c r="S55" s="751"/>
    </row>
    <row r="56" spans="2:19" ht="13.6" x14ac:dyDescent="0.25">
      <c r="B56" s="763" t="s">
        <v>645</v>
      </c>
      <c r="C56" s="764"/>
      <c r="D56" s="471"/>
      <c r="E56" s="559"/>
      <c r="F56" s="559"/>
      <c r="G56" s="559"/>
      <c r="H56" s="559"/>
      <c r="I56" s="559"/>
      <c r="J56" s="559"/>
      <c r="K56" s="559"/>
      <c r="L56" s="559"/>
      <c r="M56" s="559"/>
      <c r="N56" s="559"/>
      <c r="O56" s="559"/>
      <c r="P56" s="559"/>
      <c r="Q56" s="711"/>
      <c r="S56" s="751"/>
    </row>
    <row r="57" spans="2:19" x14ac:dyDescent="0.2">
      <c r="B57" s="759" t="s">
        <v>646</v>
      </c>
      <c r="C57" s="753">
        <v>14447.159999999998</v>
      </c>
      <c r="D57" s="760">
        <v>7000</v>
      </c>
      <c r="E57" s="514">
        <v>2</v>
      </c>
      <c r="F57" s="769">
        <f>$E$57*$C$57</f>
        <v>28894.319999999996</v>
      </c>
      <c r="G57" s="769">
        <f>$E$57*$C$57</f>
        <v>28894.319999999996</v>
      </c>
      <c r="H57" s="769">
        <f>$E$57*$C$57</f>
        <v>28894.319999999996</v>
      </c>
      <c r="I57" s="769">
        <f t="shared" ref="I57:Q57" si="33">$E$57*$C$57</f>
        <v>28894.319999999996</v>
      </c>
      <c r="J57" s="769">
        <f t="shared" si="33"/>
        <v>28894.319999999996</v>
      </c>
      <c r="K57" s="769">
        <f t="shared" si="33"/>
        <v>28894.319999999996</v>
      </c>
      <c r="L57" s="769">
        <f t="shared" si="33"/>
        <v>28894.319999999996</v>
      </c>
      <c r="M57" s="769">
        <f t="shared" si="33"/>
        <v>28894.319999999996</v>
      </c>
      <c r="N57" s="769">
        <f t="shared" si="33"/>
        <v>28894.319999999996</v>
      </c>
      <c r="O57" s="769">
        <f t="shared" si="33"/>
        <v>28894.319999999996</v>
      </c>
      <c r="P57" s="769">
        <f t="shared" si="33"/>
        <v>28894.319999999996</v>
      </c>
      <c r="Q57" s="769">
        <f t="shared" si="33"/>
        <v>28894.319999999996</v>
      </c>
      <c r="S57" s="751"/>
    </row>
    <row r="58" spans="2:19" x14ac:dyDescent="0.2">
      <c r="B58" s="759" t="s">
        <v>647</v>
      </c>
      <c r="C58" s="753">
        <v>3.1751999999999998</v>
      </c>
      <c r="D58" s="760">
        <v>7000</v>
      </c>
      <c r="E58" s="514">
        <v>2</v>
      </c>
      <c r="F58" s="769">
        <f>$E$58*$C$58</f>
        <v>6.3503999999999996</v>
      </c>
      <c r="G58" s="769">
        <f>$E$58*$C$58</f>
        <v>6.3503999999999996</v>
      </c>
      <c r="H58" s="769">
        <f>$E$58*$C$58</f>
        <v>6.3503999999999996</v>
      </c>
      <c r="I58" s="769">
        <f t="shared" ref="I58:Q58" si="34">$E$58*$C$58</f>
        <v>6.3503999999999996</v>
      </c>
      <c r="J58" s="769">
        <f t="shared" si="34"/>
        <v>6.3503999999999996</v>
      </c>
      <c r="K58" s="769">
        <f t="shared" si="34"/>
        <v>6.3503999999999996</v>
      </c>
      <c r="L58" s="769">
        <f t="shared" si="34"/>
        <v>6.3503999999999996</v>
      </c>
      <c r="M58" s="769">
        <f t="shared" si="34"/>
        <v>6.3503999999999996</v>
      </c>
      <c r="N58" s="769">
        <f t="shared" si="34"/>
        <v>6.3503999999999996</v>
      </c>
      <c r="O58" s="769">
        <f t="shared" si="34"/>
        <v>6.3503999999999996</v>
      </c>
      <c r="P58" s="769">
        <f t="shared" si="34"/>
        <v>6.3503999999999996</v>
      </c>
      <c r="Q58" s="769">
        <f t="shared" si="34"/>
        <v>6.3503999999999996</v>
      </c>
      <c r="S58" s="751"/>
    </row>
    <row r="59" spans="2:19" x14ac:dyDescent="0.2">
      <c r="B59" s="759" t="s">
        <v>648</v>
      </c>
      <c r="C59" s="753">
        <v>35</v>
      </c>
      <c r="D59" s="760">
        <v>7000</v>
      </c>
      <c r="E59" s="514">
        <v>24</v>
      </c>
      <c r="F59" s="769">
        <f>$E$59*$C$59</f>
        <v>840</v>
      </c>
      <c r="G59" s="769">
        <f>$E$59*$C$59</f>
        <v>840</v>
      </c>
      <c r="H59" s="769">
        <f t="shared" ref="H59:Q59" si="35">$E$59*$C$59</f>
        <v>840</v>
      </c>
      <c r="I59" s="769">
        <f t="shared" si="35"/>
        <v>840</v>
      </c>
      <c r="J59" s="769">
        <f t="shared" si="35"/>
        <v>840</v>
      </c>
      <c r="K59" s="769">
        <f t="shared" si="35"/>
        <v>840</v>
      </c>
      <c r="L59" s="769">
        <f t="shared" si="35"/>
        <v>840</v>
      </c>
      <c r="M59" s="769">
        <f t="shared" si="35"/>
        <v>840</v>
      </c>
      <c r="N59" s="769">
        <f t="shared" si="35"/>
        <v>840</v>
      </c>
      <c r="O59" s="769">
        <f t="shared" si="35"/>
        <v>840</v>
      </c>
      <c r="P59" s="769">
        <f t="shared" si="35"/>
        <v>840</v>
      </c>
      <c r="Q59" s="770">
        <f t="shared" si="35"/>
        <v>840</v>
      </c>
      <c r="S59" s="751"/>
    </row>
    <row r="60" spans="2:19" ht="13.6" x14ac:dyDescent="0.25">
      <c r="B60" s="763" t="s">
        <v>649</v>
      </c>
      <c r="C60" s="764"/>
      <c r="D60" s="471"/>
      <c r="E60" s="559"/>
      <c r="F60" s="471"/>
      <c r="G60" s="471"/>
      <c r="H60" s="471"/>
      <c r="I60" s="471"/>
      <c r="J60" s="471"/>
      <c r="K60" s="471"/>
      <c r="L60" s="471"/>
      <c r="M60" s="471"/>
      <c r="N60" s="471"/>
      <c r="O60" s="471"/>
      <c r="P60" s="471"/>
      <c r="Q60" s="472"/>
      <c r="S60" s="751"/>
    </row>
    <row r="61" spans="2:19" x14ac:dyDescent="0.2">
      <c r="B61" s="759" t="s">
        <v>650</v>
      </c>
      <c r="C61" s="753">
        <v>63291.715199999991</v>
      </c>
      <c r="D61" s="760">
        <v>20000</v>
      </c>
      <c r="E61" s="514">
        <v>1</v>
      </c>
      <c r="F61" s="769"/>
      <c r="G61" s="769"/>
      <c r="H61" s="769">
        <f>$E$61*$C$61</f>
        <v>63291.715199999991</v>
      </c>
      <c r="I61" s="769"/>
      <c r="J61" s="769"/>
      <c r="K61" s="769">
        <f t="shared" ref="K61:N61" si="36">$E$61*$C$61</f>
        <v>63291.715199999991</v>
      </c>
      <c r="L61" s="769"/>
      <c r="M61" s="769"/>
      <c r="N61" s="769">
        <f t="shared" si="36"/>
        <v>63291.715199999991</v>
      </c>
      <c r="O61" s="769"/>
      <c r="P61" s="769"/>
      <c r="Q61" s="770"/>
      <c r="S61" s="751"/>
    </row>
    <row r="62" spans="2:19" ht="13.6" x14ac:dyDescent="0.25">
      <c r="B62" s="771" t="s">
        <v>651</v>
      </c>
      <c r="C62" s="764"/>
      <c r="D62" s="471"/>
      <c r="E62" s="559"/>
      <c r="F62" s="471"/>
      <c r="G62" s="471"/>
      <c r="H62" s="471"/>
      <c r="I62" s="471"/>
      <c r="J62" s="471"/>
      <c r="K62" s="471"/>
      <c r="L62" s="471"/>
      <c r="M62" s="471"/>
      <c r="N62" s="471"/>
      <c r="O62" s="471"/>
      <c r="P62" s="471"/>
      <c r="Q62" s="472"/>
      <c r="S62" s="751"/>
    </row>
    <row r="63" spans="2:19" x14ac:dyDescent="0.2">
      <c r="B63" s="759" t="s">
        <v>652</v>
      </c>
      <c r="C63" s="753">
        <v>35</v>
      </c>
      <c r="D63" s="760">
        <v>7000</v>
      </c>
      <c r="E63" s="514">
        <v>24</v>
      </c>
      <c r="F63" s="769">
        <f>$E$63*$C$63</f>
        <v>840</v>
      </c>
      <c r="G63" s="769">
        <f>$E$63*$C$63</f>
        <v>840</v>
      </c>
      <c r="H63" s="769">
        <f t="shared" ref="H63:Q63" si="37">$E$63*$C$63</f>
        <v>840</v>
      </c>
      <c r="I63" s="769">
        <f t="shared" si="37"/>
        <v>840</v>
      </c>
      <c r="J63" s="769">
        <f t="shared" si="37"/>
        <v>840</v>
      </c>
      <c r="K63" s="769">
        <f t="shared" si="37"/>
        <v>840</v>
      </c>
      <c r="L63" s="769">
        <f t="shared" si="37"/>
        <v>840</v>
      </c>
      <c r="M63" s="769">
        <f t="shared" si="37"/>
        <v>840</v>
      </c>
      <c r="N63" s="769">
        <f t="shared" si="37"/>
        <v>840</v>
      </c>
      <c r="O63" s="769">
        <f t="shared" si="37"/>
        <v>840</v>
      </c>
      <c r="P63" s="769">
        <f t="shared" si="37"/>
        <v>840</v>
      </c>
      <c r="Q63" s="770">
        <f t="shared" si="37"/>
        <v>840</v>
      </c>
      <c r="S63" s="751"/>
    </row>
    <row r="64" spans="2:19" ht="13.6" thickBot="1" x14ac:dyDescent="0.25">
      <c r="B64" s="772"/>
      <c r="C64" s="773"/>
      <c r="D64" s="774"/>
      <c r="E64" s="520"/>
      <c r="F64" s="775"/>
      <c r="G64" s="775"/>
      <c r="H64" s="775"/>
      <c r="I64" s="775"/>
      <c r="J64" s="775"/>
      <c r="K64" s="775"/>
      <c r="L64" s="775"/>
      <c r="M64" s="775"/>
      <c r="N64" s="775"/>
      <c r="O64" s="775"/>
      <c r="P64" s="775"/>
      <c r="Q64" s="776"/>
      <c r="S64" s="751"/>
    </row>
  </sheetData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5" max="16383" man="1"/>
  </rowBreaks>
  <colBreaks count="1" manualBreakCount="1">
    <brk id="1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1BE3-7045-474F-B0D3-091CA3841809}">
  <sheetPr>
    <tabColor theme="5" tint="0.79998168889431442"/>
  </sheetPr>
  <dimension ref="A2:U83"/>
  <sheetViews>
    <sheetView showGridLines="0" zoomScale="85" zoomScaleNormal="85" zoomScaleSheetLayoutView="85" workbookViewId="0">
      <pane xSplit="4" ySplit="4" topLeftCell="E8" activePane="bottomRight" state="frozen"/>
      <selection activeCell="O28" sqref="O28"/>
      <selection pane="topRight" activeCell="O28" sqref="O28"/>
      <selection pane="bottomLeft" activeCell="O28" sqref="O28"/>
      <selection pane="bottomRight" activeCell="Q97" sqref="Q97"/>
    </sheetView>
  </sheetViews>
  <sheetFormatPr defaultColWidth="9.125" defaultRowHeight="12.9" x14ac:dyDescent="0.25"/>
  <cols>
    <col min="1" max="1" width="6" style="377" customWidth="1"/>
    <col min="2" max="2" width="42.625" style="416" customWidth="1"/>
    <col min="3" max="3" width="12.125" style="379" customWidth="1"/>
    <col min="4" max="4" width="11.5" style="379" customWidth="1"/>
    <col min="5" max="5" width="8.625" style="380" customWidth="1"/>
    <col min="6" max="16" width="8.375" style="380" customWidth="1"/>
    <col min="17" max="17" width="44" style="377" customWidth="1"/>
    <col min="18" max="18" width="14" style="377" bestFit="1" customWidth="1"/>
    <col min="19" max="16384" width="9.125" style="377"/>
  </cols>
  <sheetData>
    <row r="2" spans="1:18" ht="18" customHeight="1" x14ac:dyDescent="0.25">
      <c r="B2" s="378" t="s">
        <v>327</v>
      </c>
    </row>
    <row r="3" spans="1:18" s="381" customFormat="1" ht="27" customHeight="1" thickBot="1" x14ac:dyDescent="0.3">
      <c r="B3" s="382" t="s">
        <v>206</v>
      </c>
      <c r="C3" s="383" t="s">
        <v>248</v>
      </c>
      <c r="D3" s="687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385" t="s">
        <v>329</v>
      </c>
    </row>
    <row r="4" spans="1:18" s="391" customFormat="1" ht="25.85" x14ac:dyDescent="0.25">
      <c r="A4" s="386">
        <v>1</v>
      </c>
      <c r="B4" s="387" t="s">
        <v>330</v>
      </c>
      <c r="C4" s="388" t="s">
        <v>7</v>
      </c>
      <c r="D4" s="388">
        <v>0</v>
      </c>
      <c r="E4" s="388">
        <f>D4+1</f>
        <v>1</v>
      </c>
      <c r="F4" s="388">
        <f>E4+1</f>
        <v>2</v>
      </c>
      <c r="G4" s="388">
        <f t="shared" ref="G4:N4" si="0">F4+1</f>
        <v>3</v>
      </c>
      <c r="H4" s="388">
        <f t="shared" si="0"/>
        <v>4</v>
      </c>
      <c r="I4" s="388">
        <f t="shared" si="0"/>
        <v>5</v>
      </c>
      <c r="J4" s="388">
        <f t="shared" si="0"/>
        <v>6</v>
      </c>
      <c r="K4" s="388">
        <f t="shared" si="0"/>
        <v>7</v>
      </c>
      <c r="L4" s="388">
        <f t="shared" si="0"/>
        <v>8</v>
      </c>
      <c r="M4" s="388">
        <f t="shared" si="0"/>
        <v>9</v>
      </c>
      <c r="N4" s="388">
        <f t="shared" si="0"/>
        <v>10</v>
      </c>
      <c r="O4" s="388">
        <f>N4+1</f>
        <v>11</v>
      </c>
      <c r="P4" s="388">
        <f>O4+1</f>
        <v>12</v>
      </c>
      <c r="Q4" s="389" t="s">
        <v>551</v>
      </c>
      <c r="R4" s="390"/>
    </row>
    <row r="5" spans="1:18" s="391" customFormat="1" ht="13.6" x14ac:dyDescent="0.25">
      <c r="A5" s="386">
        <f>A4+1</f>
        <v>2</v>
      </c>
      <c r="B5" s="392" t="s">
        <v>331</v>
      </c>
      <c r="C5" s="393" t="s">
        <v>20</v>
      </c>
      <c r="D5" s="394" t="s">
        <v>662</v>
      </c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5"/>
      <c r="R5" s="390"/>
    </row>
    <row r="6" spans="1:18" ht="18" customHeight="1" x14ac:dyDescent="0.25">
      <c r="A6" s="386">
        <f t="shared" ref="A6:A69" si="1">A5+1</f>
        <v>3</v>
      </c>
      <c r="B6" s="392" t="s">
        <v>333</v>
      </c>
      <c r="C6" s="393" t="s">
        <v>334</v>
      </c>
      <c r="D6" s="393"/>
      <c r="E6" s="396">
        <f>(8760-E7-E8-E9)/8760</f>
        <v>0.89479459982242504</v>
      </c>
      <c r="F6" s="396">
        <f>(8760-F7-F8-F9)/8760</f>
        <v>0.86538376775748349</v>
      </c>
      <c r="G6" s="396">
        <f t="shared" ref="G6:P6" si="2">(8760-G7-G8-G9)/8760</f>
        <v>0.84540659880771174</v>
      </c>
      <c r="H6" s="396">
        <f t="shared" si="2"/>
        <v>0.8748174308726534</v>
      </c>
      <c r="I6" s="396">
        <f t="shared" si="2"/>
        <v>0.86538376775748349</v>
      </c>
      <c r="J6" s="396">
        <f t="shared" si="2"/>
        <v>0.84318691336884821</v>
      </c>
      <c r="K6" s="396">
        <f t="shared" si="2"/>
        <v>0.86205423959918825</v>
      </c>
      <c r="L6" s="396">
        <f t="shared" si="2"/>
        <v>0.86538376775748349</v>
      </c>
      <c r="M6" s="396">
        <f t="shared" si="2"/>
        <v>0.8498459696854388</v>
      </c>
      <c r="N6" s="396">
        <f t="shared" si="2"/>
        <v>0.85428534056316585</v>
      </c>
      <c r="O6" s="396">
        <f t="shared" si="2"/>
        <v>0.85428534056316585</v>
      </c>
      <c r="P6" s="396">
        <f t="shared" si="2"/>
        <v>0.85428534056316585</v>
      </c>
      <c r="Q6" s="395" t="s">
        <v>335</v>
      </c>
    </row>
    <row r="7" spans="1:18" ht="16.5" customHeight="1" x14ac:dyDescent="0.25">
      <c r="A7" s="386">
        <f t="shared" si="1"/>
        <v>4</v>
      </c>
      <c r="B7" s="397" t="s">
        <v>336</v>
      </c>
      <c r="C7" s="398" t="s">
        <v>337</v>
      </c>
      <c r="D7" s="398"/>
      <c r="E7" s="399">
        <f>'SWDRT250SM ТО'!G7</f>
        <v>272</v>
      </c>
      <c r="F7" s="399">
        <f>'SWDRT250SM ТО'!H7</f>
        <v>272</v>
      </c>
      <c r="G7" s="399">
        <f>'SWDRT250SM ТО'!I7</f>
        <v>272</v>
      </c>
      <c r="H7" s="399">
        <f>'SWDRT250SM ТО'!J7</f>
        <v>272</v>
      </c>
      <c r="I7" s="399">
        <f>'SWDRT250SM ТО'!K7</f>
        <v>272</v>
      </c>
      <c r="J7" s="399">
        <f>'SWDRT250SM ТО'!L7</f>
        <v>272</v>
      </c>
      <c r="K7" s="399">
        <f>'SWDRT250SM ТО'!M7</f>
        <v>272</v>
      </c>
      <c r="L7" s="399">
        <f>'SWDRT250SM ТО'!N7</f>
        <v>272</v>
      </c>
      <c r="M7" s="399">
        <f>'SWDRT250SM ТО'!O7</f>
        <v>272</v>
      </c>
      <c r="N7" s="399">
        <f>'SWDRT250SM ТО'!P7</f>
        <v>272</v>
      </c>
      <c r="O7" s="399">
        <f>'SWDRT250SM ТО'!Q7</f>
        <v>272</v>
      </c>
      <c r="P7" s="399">
        <f>'SWDRT250SM ТО'!R7</f>
        <v>272</v>
      </c>
      <c r="Q7" s="664"/>
      <c r="R7" s="790"/>
    </row>
    <row r="8" spans="1:18" ht="16.5" customHeight="1" x14ac:dyDescent="0.25">
      <c r="A8" s="386">
        <f t="shared" si="1"/>
        <v>5</v>
      </c>
      <c r="B8" s="397" t="s">
        <v>338</v>
      </c>
      <c r="C8" s="398" t="s">
        <v>337</v>
      </c>
      <c r="D8" s="398"/>
      <c r="E8" s="399">
        <f>'SWDRT250SM Рем'!F8</f>
        <v>425.64499999999998</v>
      </c>
      <c r="F8" s="399">
        <f>'SWDRT250SM Рем'!G8</f>
        <v>690.64499999999998</v>
      </c>
      <c r="G8" s="399">
        <f>'SWDRT250SM Рем'!H8</f>
        <v>870.64499999999998</v>
      </c>
      <c r="H8" s="399">
        <f>'SWDRT250SM Рем'!I8</f>
        <v>605.64499999999998</v>
      </c>
      <c r="I8" s="399">
        <f>'SWDRT250SM Рем'!J8</f>
        <v>690.64499999999998</v>
      </c>
      <c r="J8" s="399">
        <f>'SWDRT250SM Рем'!K8</f>
        <v>890.64499999999998</v>
      </c>
      <c r="K8" s="399">
        <f>'SWDRT250SM Рем'!L8</f>
        <v>720.64499999999998</v>
      </c>
      <c r="L8" s="399">
        <f>'SWDRT250SM Рем'!M8</f>
        <v>690.64499999999998</v>
      </c>
      <c r="M8" s="399">
        <f>'SWDRT250SM Рем'!N8</f>
        <v>830.64499999999998</v>
      </c>
      <c r="N8" s="399">
        <f>'SWDRT250SM Рем'!O8</f>
        <v>790.64499999999998</v>
      </c>
      <c r="O8" s="399">
        <f>'SWDRT250SM Рем'!P8</f>
        <v>790.64499999999998</v>
      </c>
      <c r="P8" s="399">
        <f>'SWDRT250SM Рем'!Q8</f>
        <v>790.64499999999998</v>
      </c>
      <c r="Q8" s="664"/>
      <c r="R8" s="790"/>
    </row>
    <row r="9" spans="1:18" ht="16.5" customHeight="1" x14ac:dyDescent="0.25">
      <c r="A9" s="386"/>
      <c r="B9" s="397" t="s">
        <v>339</v>
      </c>
      <c r="C9" s="398" t="s">
        <v>337</v>
      </c>
      <c r="D9" s="398"/>
      <c r="E9" s="399">
        <f>(8760-E7-E8)/12*20/60</f>
        <v>223.95430555555552</v>
      </c>
      <c r="F9" s="399">
        <f t="shared" ref="F9:P9" si="3">(8760-F7-F8)/12*20/60</f>
        <v>216.59319444444446</v>
      </c>
      <c r="G9" s="399">
        <f t="shared" si="3"/>
        <v>211.59319444444446</v>
      </c>
      <c r="H9" s="399">
        <f t="shared" si="3"/>
        <v>218.95430555555552</v>
      </c>
      <c r="I9" s="399">
        <f t="shared" si="3"/>
        <v>216.59319444444446</v>
      </c>
      <c r="J9" s="399">
        <f t="shared" si="3"/>
        <v>211.03763888888886</v>
      </c>
      <c r="K9" s="399">
        <f t="shared" si="3"/>
        <v>215.75986111111112</v>
      </c>
      <c r="L9" s="399">
        <f t="shared" si="3"/>
        <v>216.59319444444446</v>
      </c>
      <c r="M9" s="399">
        <f t="shared" si="3"/>
        <v>212.70430555555552</v>
      </c>
      <c r="N9" s="399">
        <f t="shared" si="3"/>
        <v>213.81541666666666</v>
      </c>
      <c r="O9" s="399">
        <f t="shared" si="3"/>
        <v>213.81541666666666</v>
      </c>
      <c r="P9" s="399">
        <f t="shared" si="3"/>
        <v>213.81541666666666</v>
      </c>
      <c r="Q9" s="664"/>
      <c r="R9" s="790"/>
    </row>
    <row r="10" spans="1:18" ht="13.6" x14ac:dyDescent="0.25">
      <c r="A10" s="386">
        <f>A8+1</f>
        <v>6</v>
      </c>
      <c r="B10" s="392" t="s">
        <v>340</v>
      </c>
      <c r="C10" s="398"/>
      <c r="D10" s="400" t="s">
        <v>341</v>
      </c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5"/>
      <c r="R10" s="790"/>
    </row>
    <row r="11" spans="1:18" ht="13.6" x14ac:dyDescent="0.25">
      <c r="A11" s="386">
        <f t="shared" si="1"/>
        <v>7</v>
      </c>
      <c r="B11" s="392" t="s">
        <v>225</v>
      </c>
      <c r="C11" s="398" t="s">
        <v>121</v>
      </c>
      <c r="D11" s="400" t="s">
        <v>553</v>
      </c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395"/>
      <c r="R11" s="790"/>
    </row>
    <row r="12" spans="1:18" ht="13.6" x14ac:dyDescent="0.25">
      <c r="A12" s="386">
        <f t="shared" si="1"/>
        <v>8</v>
      </c>
      <c r="B12" s="392" t="s">
        <v>123</v>
      </c>
      <c r="C12" s="398" t="s">
        <v>124</v>
      </c>
      <c r="D12" s="400">
        <v>10</v>
      </c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  <c r="P12" s="401"/>
      <c r="Q12" s="395"/>
      <c r="R12" s="790"/>
    </row>
    <row r="13" spans="1:18" ht="13.6" x14ac:dyDescent="0.25">
      <c r="A13" s="386">
        <f t="shared" si="1"/>
        <v>9</v>
      </c>
      <c r="B13" s="392" t="s">
        <v>125</v>
      </c>
      <c r="C13" s="398" t="s">
        <v>124</v>
      </c>
      <c r="D13" s="400">
        <v>15</v>
      </c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395"/>
      <c r="R13" s="790"/>
    </row>
    <row r="14" spans="1:18" ht="13.6" x14ac:dyDescent="0.25">
      <c r="A14" s="386">
        <f t="shared" si="1"/>
        <v>10</v>
      </c>
      <c r="B14" s="392" t="s">
        <v>344</v>
      </c>
      <c r="C14" s="398" t="s">
        <v>128</v>
      </c>
      <c r="D14" s="400">
        <v>60</v>
      </c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395"/>
      <c r="R14" s="790"/>
    </row>
    <row r="15" spans="1:18" ht="14.3" thickBot="1" x14ac:dyDescent="0.3">
      <c r="A15" s="386"/>
      <c r="B15" s="403" t="s">
        <v>345</v>
      </c>
      <c r="C15" s="404" t="s">
        <v>128</v>
      </c>
      <c r="D15" s="405">
        <v>30</v>
      </c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7"/>
      <c r="R15" s="790"/>
    </row>
    <row r="16" spans="1:18" ht="20.25" customHeight="1" thickBot="1" x14ac:dyDescent="0.3">
      <c r="A16" s="386"/>
      <c r="B16" s="408" t="s">
        <v>346</v>
      </c>
      <c r="C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R16" s="790"/>
    </row>
    <row r="17" spans="1:21" ht="103.25" x14ac:dyDescent="0.25">
      <c r="A17" s="386">
        <f>A14+1</f>
        <v>11</v>
      </c>
      <c r="B17" s="387" t="s">
        <v>347</v>
      </c>
      <c r="C17" s="409" t="s">
        <v>348</v>
      </c>
      <c r="D17" s="410" t="s">
        <v>554</v>
      </c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389"/>
      <c r="R17" s="790"/>
    </row>
    <row r="18" spans="1:21" ht="13.6" x14ac:dyDescent="0.25">
      <c r="A18" s="386">
        <f>A17+1</f>
        <v>12</v>
      </c>
      <c r="B18" s="412" t="s">
        <v>349</v>
      </c>
      <c r="C18" s="398" t="s">
        <v>133</v>
      </c>
      <c r="D18" s="400" t="s">
        <v>663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395"/>
      <c r="R18" s="790"/>
    </row>
    <row r="19" spans="1:21" ht="22.6" customHeight="1" thickBot="1" x14ac:dyDescent="0.3">
      <c r="A19" s="386">
        <f>A18+1</f>
        <v>13</v>
      </c>
      <c r="B19" s="403" t="s">
        <v>350</v>
      </c>
      <c r="C19" s="404" t="s">
        <v>135</v>
      </c>
      <c r="D19" s="414" t="s">
        <v>664</v>
      </c>
      <c r="E19" s="415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7"/>
      <c r="R19" s="790"/>
    </row>
    <row r="20" spans="1:21" ht="22.6" customHeight="1" thickBot="1" x14ac:dyDescent="0.3">
      <c r="A20" s="386"/>
      <c r="B20" s="408" t="s">
        <v>557</v>
      </c>
      <c r="C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R20" s="790"/>
    </row>
    <row r="21" spans="1:21" ht="13.6" x14ac:dyDescent="0.25">
      <c r="A21" s="386">
        <f>A19+1</f>
        <v>14</v>
      </c>
      <c r="B21" s="387" t="s">
        <v>118</v>
      </c>
      <c r="C21" s="409" t="s">
        <v>558</v>
      </c>
      <c r="D21" s="689" t="s">
        <v>665</v>
      </c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389"/>
      <c r="R21" s="790"/>
    </row>
    <row r="22" spans="1:21" ht="13.6" x14ac:dyDescent="0.25">
      <c r="A22" s="386">
        <f>A21+1</f>
        <v>15</v>
      </c>
      <c r="B22" s="392" t="s">
        <v>560</v>
      </c>
      <c r="C22" s="398" t="s">
        <v>561</v>
      </c>
      <c r="D22" s="691">
        <v>8</v>
      </c>
      <c r="E22" s="692"/>
      <c r="F22" s="692"/>
      <c r="G22" s="692"/>
      <c r="H22" s="692"/>
      <c r="I22" s="692"/>
      <c r="J22" s="692"/>
      <c r="K22" s="692"/>
      <c r="L22" s="692"/>
      <c r="M22" s="692"/>
      <c r="N22" s="692"/>
      <c r="O22" s="692"/>
      <c r="P22" s="692"/>
      <c r="Q22" s="693"/>
      <c r="R22" s="790"/>
    </row>
    <row r="23" spans="1:21" ht="13.6" x14ac:dyDescent="0.25">
      <c r="A23" s="386">
        <f t="shared" ref="A23:A26" si="4">A22+1</f>
        <v>16</v>
      </c>
      <c r="B23" s="392" t="s">
        <v>359</v>
      </c>
      <c r="C23" s="398"/>
      <c r="D23" s="430"/>
      <c r="E23" s="692"/>
      <c r="F23" s="692"/>
      <c r="G23" s="692"/>
      <c r="H23" s="692"/>
      <c r="I23" s="692"/>
      <c r="J23" s="692"/>
      <c r="K23" s="692"/>
      <c r="L23" s="692"/>
      <c r="M23" s="692"/>
      <c r="N23" s="692"/>
      <c r="O23" s="692"/>
      <c r="P23" s="692"/>
      <c r="Q23" s="693"/>
      <c r="R23" s="790"/>
    </row>
    <row r="24" spans="1:21" x14ac:dyDescent="0.25">
      <c r="A24" s="386">
        <f t="shared" si="4"/>
        <v>17</v>
      </c>
      <c r="B24" s="397" t="s">
        <v>562</v>
      </c>
      <c r="C24" s="694" t="s">
        <v>558</v>
      </c>
      <c r="D24" s="378"/>
      <c r="E24" s="695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3"/>
      <c r="R24" s="790"/>
    </row>
    <row r="25" spans="1:21" ht="38.75" x14ac:dyDescent="0.25">
      <c r="A25" s="386">
        <f t="shared" si="4"/>
        <v>18</v>
      </c>
      <c r="B25" s="397" t="s">
        <v>563</v>
      </c>
      <c r="C25" s="398" t="s">
        <v>564</v>
      </c>
      <c r="D25" s="696" t="s">
        <v>565</v>
      </c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395"/>
      <c r="R25" s="790"/>
    </row>
    <row r="26" spans="1:21" ht="39.4" thickBot="1" x14ac:dyDescent="0.3">
      <c r="A26" s="386">
        <f t="shared" si="4"/>
        <v>19</v>
      </c>
      <c r="B26" s="697" t="s">
        <v>566</v>
      </c>
      <c r="C26" s="404" t="s">
        <v>567</v>
      </c>
      <c r="D26" s="698" t="s">
        <v>565</v>
      </c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7"/>
      <c r="R26" s="790"/>
    </row>
    <row r="27" spans="1:21" ht="13.6" thickBot="1" x14ac:dyDescent="0.3">
      <c r="A27" s="386"/>
      <c r="R27" s="790"/>
    </row>
    <row r="28" spans="1:21" ht="23.3" customHeight="1" x14ac:dyDescent="0.25">
      <c r="A28" s="386">
        <f>A26+1</f>
        <v>20</v>
      </c>
      <c r="B28" s="387" t="s">
        <v>352</v>
      </c>
      <c r="C28" s="417" t="s">
        <v>353</v>
      </c>
      <c r="D28" s="417"/>
      <c r="E28" s="418">
        <f>SUM(E29:E33)</f>
        <v>420.87882966166654</v>
      </c>
      <c r="F28" s="418">
        <f t="shared" ref="F28:O28" si="5">SUM(F29:F33)</f>
        <v>715.41873135193191</v>
      </c>
      <c r="G28" s="418">
        <f t="shared" si="5"/>
        <v>744.01349155193202</v>
      </c>
      <c r="H28" s="418">
        <f t="shared" si="5"/>
        <v>536.07373666166654</v>
      </c>
      <c r="I28" s="418">
        <f t="shared" si="5"/>
        <v>674.42177635193207</v>
      </c>
      <c r="J28" s="418">
        <f t="shared" si="5"/>
        <v>785.01044655193186</v>
      </c>
      <c r="K28" s="418">
        <f t="shared" si="5"/>
        <v>499.34678166166657</v>
      </c>
      <c r="L28" s="418">
        <f t="shared" si="5"/>
        <v>719.466831351932</v>
      </c>
      <c r="M28" s="418">
        <f t="shared" si="5"/>
        <v>681.86673955193203</v>
      </c>
      <c r="N28" s="418">
        <f t="shared" si="5"/>
        <v>536.07373666166654</v>
      </c>
      <c r="O28" s="418">
        <f t="shared" si="5"/>
        <v>674.42177635193207</v>
      </c>
      <c r="P28" s="418">
        <f>SUM(P29:P33)</f>
        <v>420.87882966166654</v>
      </c>
      <c r="Q28" s="665"/>
      <c r="R28" s="790"/>
      <c r="S28" s="668">
        <f>SUM(E28:P28)</f>
        <v>7407.8717073718572</v>
      </c>
      <c r="T28" s="668">
        <f>S28/$P$4</f>
        <v>617.32264228098813</v>
      </c>
      <c r="U28" s="1215">
        <f>T28*'ФОТ, МТР, макро'!$AI$7</f>
        <v>49385.811382479049</v>
      </c>
    </row>
    <row r="29" spans="1:21" x14ac:dyDescent="0.25">
      <c r="A29" s="386">
        <f>A28+1</f>
        <v>21</v>
      </c>
      <c r="B29" s="419" t="s">
        <v>354</v>
      </c>
      <c r="C29" s="420"/>
      <c r="D29" s="420"/>
      <c r="E29" s="421">
        <f>'SWDRT250SM ТО'!G9/1000</f>
        <v>300.62090926166655</v>
      </c>
      <c r="F29" s="421">
        <f>'SWDRT250SM ТО'!H9/1000</f>
        <v>300.62090926166655</v>
      </c>
      <c r="G29" s="421">
        <f>'SWDRT250SM ТО'!I9/1000</f>
        <v>300.62090926166655</v>
      </c>
      <c r="H29" s="421">
        <f>'SWDRT250SM ТО'!J9/1000</f>
        <v>300.62090926166655</v>
      </c>
      <c r="I29" s="421">
        <f>'SWDRT250SM ТО'!K9/1000</f>
        <v>300.62090926166655</v>
      </c>
      <c r="J29" s="421">
        <f>'SWDRT250SM ТО'!L9/1000</f>
        <v>300.62090926166655</v>
      </c>
      <c r="K29" s="421">
        <f>'SWDRT250SM ТО'!M9/1000</f>
        <v>300.62090926166655</v>
      </c>
      <c r="L29" s="421">
        <f>'SWDRT250SM ТО'!N9/1000</f>
        <v>300.62090926166655</v>
      </c>
      <c r="M29" s="421">
        <f>'SWDRT250SM ТО'!O9/1000</f>
        <v>300.62090926166655</v>
      </c>
      <c r="N29" s="421">
        <f>'SWDRT250SM ТО'!P9/1000</f>
        <v>300.62090926166655</v>
      </c>
      <c r="O29" s="421">
        <f>'SWDRT250SM ТО'!Q9/1000</f>
        <v>300.62090926166655</v>
      </c>
      <c r="P29" s="421">
        <f>'SWDRT250SM ТО'!R9/1000</f>
        <v>300.62090926166655</v>
      </c>
      <c r="Q29" s="664"/>
      <c r="R29" s="790"/>
      <c r="S29" s="667">
        <f>SUM(E29:P29)</f>
        <v>3607.450911139998</v>
      </c>
      <c r="T29" s="667">
        <f>S29/$P$4</f>
        <v>300.6209092616665</v>
      </c>
    </row>
    <row r="30" spans="1:21" x14ac:dyDescent="0.25">
      <c r="A30" s="386">
        <f t="shared" ref="A30:A33" si="6">A29+1</f>
        <v>22</v>
      </c>
      <c r="B30" s="419" t="s">
        <v>355</v>
      </c>
      <c r="C30" s="420"/>
      <c r="D30" s="420"/>
      <c r="E30" s="421">
        <f>'SWDRT250SM Рем'!F29/1000</f>
        <v>53.173999999999999</v>
      </c>
      <c r="F30" s="421">
        <f>'SWDRT250SM Рем'!G29/1000</f>
        <v>53.173999999999999</v>
      </c>
      <c r="G30" s="421">
        <f>'SWDRT250SM Рем'!H29/1000</f>
        <v>53.173999999999999</v>
      </c>
      <c r="H30" s="421">
        <f>'SWDRT250SM Рем'!I29/1000</f>
        <v>53.173999999999999</v>
      </c>
      <c r="I30" s="421">
        <f>'SWDRT250SM Рем'!J29/1000</f>
        <v>53.173999999999999</v>
      </c>
      <c r="J30" s="421">
        <f>'SWDRT250SM Рем'!K29/1000</f>
        <v>53.173999999999999</v>
      </c>
      <c r="K30" s="421">
        <f>'SWDRT250SM Рем'!L29/1000</f>
        <v>53.173999999999999</v>
      </c>
      <c r="L30" s="421">
        <f>'SWDRT250SM Рем'!M29/1000</f>
        <v>53.173999999999999</v>
      </c>
      <c r="M30" s="421">
        <f>'SWDRT250SM Рем'!N29/1000</f>
        <v>53.173999999999999</v>
      </c>
      <c r="N30" s="421">
        <f>'SWDRT250SM Рем'!O29/1000</f>
        <v>53.173999999999999</v>
      </c>
      <c r="O30" s="421">
        <f>'SWDRT250SM Рем'!P29/1000</f>
        <v>53.173999999999999</v>
      </c>
      <c r="P30" s="421">
        <f>'SWDRT250SM Рем'!Q29/1000</f>
        <v>53.173999999999999</v>
      </c>
      <c r="Q30" s="664"/>
      <c r="R30" s="790"/>
      <c r="S30" s="667">
        <f t="shared" ref="S30:S33" si="7">SUM(E30:P30)</f>
        <v>638.08799999999985</v>
      </c>
      <c r="T30" s="667">
        <f t="shared" ref="T30:T33" si="8">S30/$P$4</f>
        <v>53.173999999999985</v>
      </c>
    </row>
    <row r="31" spans="1:21" ht="25.85" x14ac:dyDescent="0.25">
      <c r="A31" s="386">
        <f t="shared" si="6"/>
        <v>23</v>
      </c>
      <c r="B31" s="419" t="s">
        <v>356</v>
      </c>
      <c r="C31" s="420"/>
      <c r="D31" s="420"/>
      <c r="E31" s="421">
        <f>'SWDRT250SM Рем'!F33/1000</f>
        <v>35.958770399999999</v>
      </c>
      <c r="F31" s="421">
        <f>'SWDRT250SM Рем'!G33/1000</f>
        <v>301.93867209026541</v>
      </c>
      <c r="G31" s="421">
        <f>'SWDRT250SM Рем'!H33/1000</f>
        <v>327.73343229026545</v>
      </c>
      <c r="H31" s="421">
        <f>'SWDRT250SM Рем'!I33/1000</f>
        <v>133.08247740000002</v>
      </c>
      <c r="I31" s="421">
        <f>'SWDRT250SM Рем'!J33/1000</f>
        <v>264.44171709026546</v>
      </c>
      <c r="J31" s="421">
        <f>'SWDRT250SM Рем'!K33/1000</f>
        <v>365.23038729026541</v>
      </c>
      <c r="K31" s="421">
        <f>'SWDRT250SM Рем'!L33/1000</f>
        <v>95.585522399999988</v>
      </c>
      <c r="L31" s="421">
        <f>'SWDRT250SM Рем'!M33/1000</f>
        <v>307.31677209026549</v>
      </c>
      <c r="M31" s="421">
        <f>'SWDRT250SM Рем'!N33/1000</f>
        <v>268.1066802902655</v>
      </c>
      <c r="N31" s="421">
        <f>'SWDRT250SM Рем'!O33/1000</f>
        <v>133.08247740000002</v>
      </c>
      <c r="O31" s="421">
        <f>'SWDRT250SM Рем'!P33/1000</f>
        <v>264.44171709026546</v>
      </c>
      <c r="P31" s="421">
        <f>'SWDRT250SM Рем'!Q33/1000</f>
        <v>35.958770399999999</v>
      </c>
      <c r="Q31" s="664"/>
      <c r="R31" s="790"/>
      <c r="S31" s="667">
        <f t="shared" si="7"/>
        <v>2532.8773962318578</v>
      </c>
      <c r="T31" s="667">
        <f t="shared" si="8"/>
        <v>211.07311635265481</v>
      </c>
    </row>
    <row r="32" spans="1:21" x14ac:dyDescent="0.25">
      <c r="A32" s="386">
        <f t="shared" si="6"/>
        <v>24</v>
      </c>
      <c r="B32" s="419" t="s">
        <v>357</v>
      </c>
      <c r="C32" s="420"/>
      <c r="D32" s="420"/>
      <c r="E32" s="421">
        <f>'SWDRT250SM ТО'!G10/1000</f>
        <v>19.04</v>
      </c>
      <c r="F32" s="421">
        <f>'SWDRT250SM ТО'!H10/1000</f>
        <v>19.04</v>
      </c>
      <c r="G32" s="421">
        <f>'SWDRT250SM ТО'!I10/1000</f>
        <v>19.04</v>
      </c>
      <c r="H32" s="421">
        <f>'SWDRT250SM ТО'!J10/1000</f>
        <v>19.04</v>
      </c>
      <c r="I32" s="421">
        <f>'SWDRT250SM ТО'!K10/1000</f>
        <v>19.04</v>
      </c>
      <c r="J32" s="421">
        <f>'SWDRT250SM ТО'!L10/1000</f>
        <v>19.04</v>
      </c>
      <c r="K32" s="421">
        <f>'SWDRT250SM ТО'!M10/1000</f>
        <v>19.04</v>
      </c>
      <c r="L32" s="421">
        <f>'SWDRT250SM ТО'!N10/1000</f>
        <v>19.04</v>
      </c>
      <c r="M32" s="421">
        <f>'SWDRT250SM ТО'!O10/1000</f>
        <v>19.04</v>
      </c>
      <c r="N32" s="421">
        <f>'SWDRT250SM ТО'!P10/1000</f>
        <v>19.04</v>
      </c>
      <c r="O32" s="421">
        <f>'SWDRT250SM ТО'!Q10/1000</f>
        <v>19.04</v>
      </c>
      <c r="P32" s="421">
        <f>'SWDRT250SM ТО'!R10/1000</f>
        <v>19.04</v>
      </c>
      <c r="Q32" s="664"/>
      <c r="R32" s="790"/>
      <c r="S32" s="667">
        <f t="shared" si="7"/>
        <v>228.47999999999993</v>
      </c>
      <c r="T32" s="667">
        <f t="shared" si="8"/>
        <v>19.039999999999996</v>
      </c>
    </row>
    <row r="33" spans="1:20" ht="13.6" thickBot="1" x14ac:dyDescent="0.3">
      <c r="A33" s="386">
        <f t="shared" si="6"/>
        <v>25</v>
      </c>
      <c r="B33" s="422" t="s">
        <v>358</v>
      </c>
      <c r="C33" s="423"/>
      <c r="D33" s="423"/>
      <c r="E33" s="424">
        <f>'SWDRT250SM Рем'!F12/1000</f>
        <v>12.085150000000001</v>
      </c>
      <c r="F33" s="424">
        <f>'SWDRT250SM Рем'!G12/1000</f>
        <v>40.645150000000001</v>
      </c>
      <c r="G33" s="424">
        <f>'SWDRT250SM Рем'!H12/1000</f>
        <v>43.445149999999998</v>
      </c>
      <c r="H33" s="424">
        <f>'SWDRT250SM Рем'!I12/1000</f>
        <v>30.15635</v>
      </c>
      <c r="I33" s="424">
        <f>'SWDRT250SM Рем'!J12/1000</f>
        <v>37.145150000000001</v>
      </c>
      <c r="J33" s="424">
        <f>'SWDRT250SM Рем'!K12/1000</f>
        <v>46.945149999999998</v>
      </c>
      <c r="K33" s="424">
        <f>'SWDRT250SM Рем'!L12/1000</f>
        <v>30.926349999999999</v>
      </c>
      <c r="L33" s="424">
        <f>'SWDRT250SM Рем'!M12/1000</f>
        <v>39.315150000000003</v>
      </c>
      <c r="M33" s="424">
        <f>'SWDRT250SM Рем'!N12/1000</f>
        <v>40.925150000000002</v>
      </c>
      <c r="N33" s="424">
        <f>'SWDRT250SM Рем'!O12/1000</f>
        <v>30.15635</v>
      </c>
      <c r="O33" s="424">
        <f>'SWDRT250SM Рем'!P12/1000</f>
        <v>37.145150000000001</v>
      </c>
      <c r="P33" s="424">
        <f>'SWDRT250SM Рем'!Q12/1000</f>
        <v>12.085150000000001</v>
      </c>
      <c r="Q33" s="666"/>
      <c r="R33" s="790"/>
      <c r="S33" s="667">
        <f t="shared" si="7"/>
        <v>400.97539999999998</v>
      </c>
      <c r="T33" s="667">
        <f t="shared" si="8"/>
        <v>33.414616666666667</v>
      </c>
    </row>
    <row r="34" spans="1:20" ht="13.6" thickBot="1" x14ac:dyDescent="0.3">
      <c r="A34" s="386"/>
      <c r="B34" s="377"/>
      <c r="C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</row>
    <row r="35" spans="1:20" ht="19.55" customHeight="1" x14ac:dyDescent="0.25">
      <c r="A35" s="386">
        <f>A33+1</f>
        <v>26</v>
      </c>
      <c r="B35" s="425" t="s">
        <v>359</v>
      </c>
      <c r="C35" s="417"/>
      <c r="D35" s="417"/>
      <c r="E35" s="699">
        <f>SUM(E37:E76)</f>
        <v>0</v>
      </c>
      <c r="F35" s="699">
        <f t="shared" ref="F35:O35" si="9">SUM(F37:F76)</f>
        <v>0</v>
      </c>
      <c r="G35" s="699">
        <f t="shared" si="9"/>
        <v>0</v>
      </c>
      <c r="H35" s="699">
        <f t="shared" si="9"/>
        <v>0</v>
      </c>
      <c r="I35" s="699">
        <f t="shared" si="9"/>
        <v>0</v>
      </c>
      <c r="J35" s="699">
        <f t="shared" si="9"/>
        <v>0</v>
      </c>
      <c r="K35" s="699">
        <f t="shared" si="9"/>
        <v>0</v>
      </c>
      <c r="L35" s="699">
        <f t="shared" si="9"/>
        <v>0</v>
      </c>
      <c r="M35" s="699">
        <f t="shared" si="9"/>
        <v>0</v>
      </c>
      <c r="N35" s="699">
        <f t="shared" si="9"/>
        <v>0</v>
      </c>
      <c r="O35" s="699">
        <f t="shared" si="9"/>
        <v>0</v>
      </c>
      <c r="P35" s="699">
        <f>SUM(P37:P76)</f>
        <v>0</v>
      </c>
      <c r="Q35" s="389" t="s">
        <v>568</v>
      </c>
    </row>
    <row r="36" spans="1:20" ht="19.55" customHeight="1" x14ac:dyDescent="0.25">
      <c r="A36" s="386">
        <f>A35+1</f>
        <v>27</v>
      </c>
      <c r="B36" s="427" t="s">
        <v>346</v>
      </c>
      <c r="C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428"/>
    </row>
    <row r="37" spans="1:20" x14ac:dyDescent="0.25">
      <c r="A37" s="386">
        <f t="shared" ref="A37:A56" si="10">A36+1</f>
        <v>28</v>
      </c>
      <c r="B37" s="429" t="s">
        <v>569</v>
      </c>
      <c r="C37" s="692"/>
      <c r="D37" s="398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395"/>
    </row>
    <row r="38" spans="1:20" ht="16.5" customHeight="1" x14ac:dyDescent="0.25">
      <c r="A38" s="386">
        <f t="shared" si="10"/>
        <v>29</v>
      </c>
      <c r="B38" s="431" t="s">
        <v>48</v>
      </c>
      <c r="C38" s="378"/>
      <c r="D38" s="398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395"/>
    </row>
    <row r="39" spans="1:20" ht="13.6" customHeight="1" x14ac:dyDescent="0.25">
      <c r="A39" s="386">
        <f t="shared" si="10"/>
        <v>30</v>
      </c>
      <c r="B39" s="431" t="s">
        <v>362</v>
      </c>
      <c r="C39" s="378"/>
      <c r="D39" s="434"/>
      <c r="E39" s="435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395"/>
    </row>
    <row r="40" spans="1:20" x14ac:dyDescent="0.25">
      <c r="A40" s="386">
        <f t="shared" si="10"/>
        <v>31</v>
      </c>
      <c r="B40" s="429" t="s">
        <v>184</v>
      </c>
      <c r="C40" s="434"/>
      <c r="D40" s="434"/>
      <c r="E40" s="435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395"/>
    </row>
    <row r="41" spans="1:20" ht="13.6" customHeight="1" x14ac:dyDescent="0.25">
      <c r="A41" s="386">
        <f t="shared" si="10"/>
        <v>32</v>
      </c>
      <c r="B41" s="431" t="s">
        <v>48</v>
      </c>
      <c r="C41" s="378"/>
      <c r="D41" s="434"/>
      <c r="E41" s="401"/>
      <c r="F41" s="401"/>
      <c r="G41" s="401"/>
      <c r="H41" s="401"/>
      <c r="I41" s="401"/>
      <c r="J41" s="401"/>
      <c r="K41" s="401"/>
      <c r="L41" s="401"/>
      <c r="M41" s="401"/>
      <c r="N41" s="401"/>
      <c r="O41" s="401"/>
      <c r="P41" s="401"/>
      <c r="Q41" s="395"/>
    </row>
    <row r="42" spans="1:20" ht="13.6" customHeight="1" x14ac:dyDescent="0.25">
      <c r="A42" s="386">
        <f t="shared" si="10"/>
        <v>33</v>
      </c>
      <c r="B42" s="431" t="s">
        <v>362</v>
      </c>
      <c r="C42" s="378"/>
      <c r="D42" s="434"/>
      <c r="E42" s="435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395"/>
    </row>
    <row r="43" spans="1:20" x14ac:dyDescent="0.25">
      <c r="A43" s="386">
        <f t="shared" si="10"/>
        <v>34</v>
      </c>
      <c r="B43" s="429" t="s">
        <v>666</v>
      </c>
      <c r="C43" s="434"/>
      <c r="D43" s="70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395"/>
    </row>
    <row r="44" spans="1:20" x14ac:dyDescent="0.25">
      <c r="A44" s="386">
        <f t="shared" si="10"/>
        <v>35</v>
      </c>
      <c r="B44" s="431" t="s">
        <v>48</v>
      </c>
      <c r="C44" s="378"/>
      <c r="D44" s="700"/>
      <c r="E44" s="401"/>
      <c r="F44" s="401"/>
      <c r="G44" s="401"/>
      <c r="H44" s="401"/>
      <c r="I44" s="401"/>
      <c r="J44" s="401"/>
      <c r="K44" s="401"/>
      <c r="L44" s="401"/>
      <c r="M44" s="401"/>
      <c r="N44" s="401"/>
      <c r="O44" s="401"/>
      <c r="P44" s="401"/>
      <c r="Q44" s="395"/>
    </row>
    <row r="45" spans="1:20" x14ac:dyDescent="0.25">
      <c r="A45" s="386">
        <f t="shared" si="10"/>
        <v>36</v>
      </c>
      <c r="B45" s="431" t="s">
        <v>362</v>
      </c>
      <c r="C45" s="378"/>
      <c r="D45" s="700"/>
      <c r="E45" s="435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395"/>
    </row>
    <row r="46" spans="1:20" x14ac:dyDescent="0.25">
      <c r="A46" s="386">
        <f t="shared" si="10"/>
        <v>37</v>
      </c>
      <c r="B46" s="429" t="s">
        <v>667</v>
      </c>
      <c r="C46" s="434"/>
      <c r="D46" s="70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395"/>
    </row>
    <row r="47" spans="1:20" x14ac:dyDescent="0.25">
      <c r="A47" s="386">
        <f t="shared" si="10"/>
        <v>38</v>
      </c>
      <c r="B47" s="431" t="s">
        <v>48</v>
      </c>
      <c r="C47" s="378"/>
      <c r="D47" s="700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395"/>
    </row>
    <row r="48" spans="1:20" x14ac:dyDescent="0.25">
      <c r="A48" s="386">
        <f t="shared" si="10"/>
        <v>39</v>
      </c>
      <c r="B48" s="431" t="s">
        <v>362</v>
      </c>
      <c r="C48" s="378"/>
      <c r="D48" s="700"/>
      <c r="E48" s="435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395"/>
    </row>
    <row r="49" spans="1:17" x14ac:dyDescent="0.25">
      <c r="A49" s="386">
        <f t="shared" si="10"/>
        <v>40</v>
      </c>
      <c r="B49" s="429" t="s">
        <v>668</v>
      </c>
      <c r="C49" s="434"/>
      <c r="D49" s="70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395"/>
    </row>
    <row r="50" spans="1:17" x14ac:dyDescent="0.25">
      <c r="A50" s="386">
        <f t="shared" si="10"/>
        <v>41</v>
      </c>
      <c r="B50" s="431" t="s">
        <v>48</v>
      </c>
      <c r="C50" s="378"/>
      <c r="D50" s="700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395"/>
    </row>
    <row r="51" spans="1:17" x14ac:dyDescent="0.25">
      <c r="A51" s="386">
        <f t="shared" si="10"/>
        <v>42</v>
      </c>
      <c r="B51" s="431" t="s">
        <v>362</v>
      </c>
      <c r="C51" s="378"/>
      <c r="D51" s="700"/>
      <c r="E51" s="435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395"/>
    </row>
    <row r="52" spans="1:17" ht="19.55" customHeight="1" x14ac:dyDescent="0.25">
      <c r="A52" s="386">
        <f t="shared" si="10"/>
        <v>43</v>
      </c>
      <c r="B52" s="427" t="s">
        <v>557</v>
      </c>
      <c r="C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428"/>
    </row>
    <row r="53" spans="1:17" x14ac:dyDescent="0.25">
      <c r="A53" s="386">
        <f t="shared" si="10"/>
        <v>44</v>
      </c>
      <c r="B53" s="429" t="s">
        <v>571</v>
      </c>
      <c r="C53" s="692"/>
      <c r="D53" s="398"/>
      <c r="E53" s="401"/>
      <c r="F53" s="401"/>
      <c r="G53" s="401"/>
      <c r="H53" s="401"/>
      <c r="I53" s="401"/>
      <c r="J53" s="401"/>
      <c r="K53" s="401"/>
      <c r="L53" s="401"/>
      <c r="M53" s="401"/>
      <c r="N53" s="401"/>
      <c r="O53" s="401"/>
      <c r="P53" s="401"/>
      <c r="Q53" s="395"/>
    </row>
    <row r="54" spans="1:17" x14ac:dyDescent="0.25">
      <c r="A54" s="386">
        <f t="shared" si="10"/>
        <v>45</v>
      </c>
      <c r="B54" s="431" t="s">
        <v>48</v>
      </c>
      <c r="C54" s="378"/>
      <c r="D54" s="398"/>
      <c r="E54" s="401"/>
      <c r="F54" s="401"/>
      <c r="G54" s="401"/>
      <c r="H54" s="401"/>
      <c r="I54" s="401"/>
      <c r="J54" s="401"/>
      <c r="K54" s="401"/>
      <c r="L54" s="401"/>
      <c r="M54" s="401"/>
      <c r="N54" s="401"/>
      <c r="O54" s="401"/>
      <c r="P54" s="401"/>
      <c r="Q54" s="395"/>
    </row>
    <row r="55" spans="1:17" x14ac:dyDescent="0.25">
      <c r="A55" s="386">
        <f t="shared" si="10"/>
        <v>46</v>
      </c>
      <c r="B55" s="431" t="s">
        <v>362</v>
      </c>
      <c r="C55" s="378"/>
      <c r="D55" s="434"/>
      <c r="E55" s="435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395"/>
    </row>
    <row r="56" spans="1:17" x14ac:dyDescent="0.25">
      <c r="A56" s="386">
        <f t="shared" si="10"/>
        <v>47</v>
      </c>
      <c r="B56" s="429" t="s">
        <v>572</v>
      </c>
      <c r="C56" s="398"/>
      <c r="D56" s="434"/>
      <c r="E56" s="435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395"/>
    </row>
    <row r="57" spans="1:17" x14ac:dyDescent="0.25">
      <c r="A57" s="386">
        <f t="shared" si="1"/>
        <v>48</v>
      </c>
      <c r="B57" s="431" t="s">
        <v>48</v>
      </c>
      <c r="C57" s="378"/>
      <c r="D57" s="434"/>
      <c r="E57" s="435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395"/>
    </row>
    <row r="58" spans="1:17" x14ac:dyDescent="0.25">
      <c r="A58" s="386">
        <f t="shared" si="1"/>
        <v>49</v>
      </c>
      <c r="B58" s="431" t="s">
        <v>362</v>
      </c>
      <c r="C58" s="378"/>
      <c r="D58" s="434"/>
      <c r="E58" s="435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395"/>
    </row>
    <row r="59" spans="1:17" x14ac:dyDescent="0.25">
      <c r="A59" s="386">
        <f t="shared" si="1"/>
        <v>50</v>
      </c>
      <c r="B59" s="429" t="s">
        <v>573</v>
      </c>
      <c r="C59" s="398"/>
      <c r="D59" s="434"/>
      <c r="E59" s="435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395"/>
    </row>
    <row r="60" spans="1:17" x14ac:dyDescent="0.25">
      <c r="A60" s="386">
        <f t="shared" si="1"/>
        <v>51</v>
      </c>
      <c r="B60" s="431" t="s">
        <v>48</v>
      </c>
      <c r="C60" s="378"/>
      <c r="D60" s="434"/>
      <c r="E60" s="435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395"/>
    </row>
    <row r="61" spans="1:17" x14ac:dyDescent="0.25">
      <c r="A61" s="386">
        <f t="shared" si="1"/>
        <v>52</v>
      </c>
      <c r="B61" s="431" t="s">
        <v>362</v>
      </c>
      <c r="C61" s="378"/>
      <c r="D61" s="434"/>
      <c r="E61" s="435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395"/>
    </row>
    <row r="62" spans="1:17" x14ac:dyDescent="0.25">
      <c r="A62" s="386">
        <f t="shared" si="1"/>
        <v>53</v>
      </c>
      <c r="B62" s="429" t="s">
        <v>184</v>
      </c>
      <c r="C62" s="434"/>
      <c r="D62" s="434"/>
      <c r="E62" s="435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395"/>
    </row>
    <row r="63" spans="1:17" x14ac:dyDescent="0.25">
      <c r="A63" s="386">
        <f t="shared" si="1"/>
        <v>54</v>
      </c>
      <c r="B63" s="431" t="s">
        <v>48</v>
      </c>
      <c r="C63" s="378"/>
      <c r="D63" s="434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395"/>
    </row>
    <row r="64" spans="1:17" x14ac:dyDescent="0.25">
      <c r="A64" s="386">
        <f t="shared" si="1"/>
        <v>55</v>
      </c>
      <c r="B64" s="431" t="s">
        <v>362</v>
      </c>
      <c r="C64" s="378"/>
      <c r="D64" s="434"/>
      <c r="E64" s="435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395"/>
    </row>
    <row r="65" spans="1:19" x14ac:dyDescent="0.25">
      <c r="A65" s="386">
        <f t="shared" si="1"/>
        <v>56</v>
      </c>
      <c r="B65" s="429" t="s">
        <v>574</v>
      </c>
      <c r="C65" s="434"/>
      <c r="D65" s="70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395"/>
    </row>
    <row r="66" spans="1:19" x14ac:dyDescent="0.25">
      <c r="A66" s="386">
        <f t="shared" si="1"/>
        <v>57</v>
      </c>
      <c r="B66" s="431" t="s">
        <v>48</v>
      </c>
      <c r="C66" s="378"/>
      <c r="D66" s="700"/>
      <c r="E66" s="401"/>
      <c r="F66" s="401"/>
      <c r="G66" s="401"/>
      <c r="H66" s="401"/>
      <c r="I66" s="401"/>
      <c r="J66" s="401"/>
      <c r="K66" s="401"/>
      <c r="L66" s="401"/>
      <c r="M66" s="401"/>
      <c r="N66" s="401"/>
      <c r="O66" s="401"/>
      <c r="P66" s="401"/>
      <c r="Q66" s="395"/>
    </row>
    <row r="67" spans="1:19" x14ac:dyDescent="0.25">
      <c r="A67" s="386">
        <f t="shared" si="1"/>
        <v>58</v>
      </c>
      <c r="B67" s="431" t="s">
        <v>362</v>
      </c>
      <c r="C67" s="378"/>
      <c r="D67" s="700"/>
      <c r="E67" s="435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395"/>
    </row>
    <row r="68" spans="1:19" x14ac:dyDescent="0.25">
      <c r="A68" s="386">
        <f t="shared" si="1"/>
        <v>59</v>
      </c>
      <c r="B68" s="429" t="s">
        <v>570</v>
      </c>
      <c r="C68" s="434"/>
      <c r="D68" s="700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395"/>
    </row>
    <row r="69" spans="1:19" x14ac:dyDescent="0.25">
      <c r="A69" s="386">
        <f t="shared" si="1"/>
        <v>60</v>
      </c>
      <c r="B69" s="431" t="s">
        <v>48</v>
      </c>
      <c r="C69" s="378"/>
      <c r="D69" s="700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1"/>
      <c r="P69" s="401"/>
      <c r="Q69" s="395"/>
    </row>
    <row r="70" spans="1:19" x14ac:dyDescent="0.25">
      <c r="A70" s="386">
        <f t="shared" ref="A70:A80" si="11">A69+1</f>
        <v>61</v>
      </c>
      <c r="B70" s="431" t="s">
        <v>362</v>
      </c>
      <c r="C70" s="378"/>
      <c r="D70" s="700"/>
      <c r="E70" s="435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395"/>
    </row>
    <row r="71" spans="1:19" x14ac:dyDescent="0.25">
      <c r="A71" s="386">
        <f t="shared" si="11"/>
        <v>62</v>
      </c>
      <c r="B71" s="429" t="s">
        <v>570</v>
      </c>
      <c r="C71" s="434"/>
      <c r="D71" s="700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395"/>
    </row>
    <row r="72" spans="1:19" x14ac:dyDescent="0.25">
      <c r="A72" s="386">
        <f t="shared" si="11"/>
        <v>63</v>
      </c>
      <c r="B72" s="431" t="s">
        <v>48</v>
      </c>
      <c r="C72" s="378"/>
      <c r="D72" s="700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1"/>
      <c r="P72" s="401"/>
      <c r="Q72" s="395"/>
    </row>
    <row r="73" spans="1:19" x14ac:dyDescent="0.25">
      <c r="A73" s="386">
        <f t="shared" si="11"/>
        <v>64</v>
      </c>
      <c r="B73" s="431" t="s">
        <v>362</v>
      </c>
      <c r="C73" s="378"/>
      <c r="D73" s="700"/>
      <c r="E73" s="435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395"/>
    </row>
    <row r="74" spans="1:19" x14ac:dyDescent="0.25">
      <c r="A74" s="386">
        <f t="shared" si="11"/>
        <v>65</v>
      </c>
      <c r="B74" s="429" t="s">
        <v>570</v>
      </c>
      <c r="C74" s="434"/>
      <c r="D74" s="700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440"/>
      <c r="Q74" s="395"/>
    </row>
    <row r="75" spans="1:19" x14ac:dyDescent="0.25">
      <c r="A75" s="386">
        <f t="shared" si="11"/>
        <v>66</v>
      </c>
      <c r="B75" s="431" t="s">
        <v>48</v>
      </c>
      <c r="C75" s="378"/>
      <c r="D75" s="700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1"/>
      <c r="P75" s="401"/>
      <c r="Q75" s="395"/>
    </row>
    <row r="76" spans="1:19" ht="13.6" thickBot="1" x14ac:dyDescent="0.3">
      <c r="A76" s="386">
        <f>A75+1</f>
        <v>67</v>
      </c>
      <c r="B76" s="701" t="s">
        <v>362</v>
      </c>
      <c r="C76" s="702"/>
      <c r="D76" s="703"/>
      <c r="E76" s="704"/>
      <c r="F76" s="705"/>
      <c r="G76" s="705"/>
      <c r="H76" s="705"/>
      <c r="I76" s="705"/>
      <c r="J76" s="705"/>
      <c r="K76" s="705"/>
      <c r="L76" s="705"/>
      <c r="M76" s="705"/>
      <c r="N76" s="705"/>
      <c r="O76" s="705"/>
      <c r="P76" s="705"/>
      <c r="Q76" s="407"/>
    </row>
    <row r="77" spans="1:19" ht="13.6" thickBot="1" x14ac:dyDescent="0.3">
      <c r="A77" s="386"/>
      <c r="B77" s="441"/>
      <c r="C77" s="442"/>
      <c r="D77" s="706"/>
      <c r="E77" s="444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6"/>
    </row>
    <row r="78" spans="1:19" ht="13.6" x14ac:dyDescent="0.25">
      <c r="A78" s="386">
        <f>A76+1</f>
        <v>68</v>
      </c>
      <c r="B78" s="447" t="s">
        <v>367</v>
      </c>
      <c r="C78" s="448"/>
      <c r="D78" s="448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389"/>
    </row>
    <row r="79" spans="1:19" ht="23.95" customHeight="1" x14ac:dyDescent="0.25">
      <c r="A79" s="386">
        <f t="shared" si="11"/>
        <v>69</v>
      </c>
      <c r="B79" s="431" t="s">
        <v>48</v>
      </c>
      <c r="C79" s="450" t="s">
        <v>669</v>
      </c>
      <c r="D79" s="450" t="s">
        <v>670</v>
      </c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395" t="s">
        <v>577</v>
      </c>
      <c r="S79" s="678">
        <v>2.2000000000000002</v>
      </c>
    </row>
    <row r="80" spans="1:19" ht="18" customHeight="1" thickBot="1" x14ac:dyDescent="0.3">
      <c r="A80" s="386">
        <f t="shared" si="11"/>
        <v>70</v>
      </c>
      <c r="B80" s="403" t="s">
        <v>370</v>
      </c>
      <c r="C80" s="452" t="s">
        <v>371</v>
      </c>
      <c r="D80" s="450" t="s">
        <v>671</v>
      </c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5"/>
    </row>
    <row r="83" spans="5:17" ht="13.6" x14ac:dyDescent="0.25">
      <c r="E83" s="669">
        <f>E28/(365*24*E6)*1000</f>
        <v>53.694477492069176</v>
      </c>
      <c r="F83" s="669">
        <f t="shared" ref="F83:P83" si="12">F28/(365*24*F6)*1000</f>
        <v>94.372933710651338</v>
      </c>
      <c r="G83" s="669">
        <f t="shared" si="12"/>
        <v>100.46414009613406</v>
      </c>
      <c r="H83" s="669">
        <f t="shared" si="12"/>
        <v>69.952460798544877</v>
      </c>
      <c r="I83" s="669">
        <f t="shared" si="12"/>
        <v>88.964907967123125</v>
      </c>
      <c r="J83" s="669">
        <f t="shared" si="12"/>
        <v>106.27900321275177</v>
      </c>
      <c r="K83" s="669">
        <f t="shared" si="12"/>
        <v>66.124675976092959</v>
      </c>
      <c r="L83" s="669">
        <f t="shared" si="12"/>
        <v>94.906930174836958</v>
      </c>
      <c r="M83" s="669">
        <f t="shared" si="12"/>
        <v>91.591502078233674</v>
      </c>
      <c r="N83" s="669">
        <f t="shared" si="12"/>
        <v>71.63371432624767</v>
      </c>
      <c r="O83" s="669">
        <f t="shared" si="12"/>
        <v>90.120693402082566</v>
      </c>
      <c r="P83" s="669">
        <f t="shared" si="12"/>
        <v>56.240609804351145</v>
      </c>
      <c r="Q83" s="670">
        <f>SUMPRODUCT(E83:P83,E6:P6)/SUM(E6:P6)</f>
        <v>81.870287300153009</v>
      </c>
    </row>
  </sheetData>
  <dataValidations count="1">
    <dataValidation type="list" allowBlank="1" showInputMessage="1" showErrorMessage="1" sqref="C78" xr:uid="{F312924C-0032-45D1-B73E-F7BB9AD51CB4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01B9-8EB4-4909-AE28-702B94EB5A39}">
  <sheetPr>
    <tabColor theme="5" tint="0.79998168889431442"/>
  </sheetPr>
  <dimension ref="B2:T107"/>
  <sheetViews>
    <sheetView showGridLines="0" zoomScale="85" zoomScaleNormal="85" workbookViewId="0">
      <pane xSplit="5" ySplit="4" topLeftCell="F5" activePane="bottomRight" state="frozen"/>
      <selection activeCell="O28" sqref="O28"/>
      <selection pane="topRight" activeCell="O28" sqref="O28"/>
      <selection pane="bottomLeft" activeCell="O28" sqref="O28"/>
      <selection pane="bottomRight" activeCell="O28" sqref="O28"/>
    </sheetView>
  </sheetViews>
  <sheetFormatPr defaultColWidth="9.125" defaultRowHeight="12.9" x14ac:dyDescent="0.2"/>
  <cols>
    <col min="1" max="1" width="5.5" style="456" customWidth="1"/>
    <col min="2" max="2" width="58.75" style="456" customWidth="1"/>
    <col min="3" max="3" width="16.5" style="708" customWidth="1"/>
    <col min="4" max="4" width="14.625" style="456" customWidth="1"/>
    <col min="5" max="5" width="14" style="708" customWidth="1"/>
    <col min="6" max="6" width="9.375" style="456" bestFit="1" customWidth="1"/>
    <col min="7" max="18" width="11.125" style="456" customWidth="1"/>
    <col min="19" max="19" width="9.5" style="456" customWidth="1"/>
    <col min="20" max="16384" width="9.125" style="456"/>
  </cols>
  <sheetData>
    <row r="2" spans="2:20" x14ac:dyDescent="0.2">
      <c r="B2" s="378" t="s">
        <v>327</v>
      </c>
    </row>
    <row r="3" spans="2:20" ht="13.6" thickBot="1" x14ac:dyDescent="0.25"/>
    <row r="4" spans="2:20" ht="22.25" customHeight="1" thickBot="1" x14ac:dyDescent="0.3">
      <c r="B4" s="457" t="s">
        <v>373</v>
      </c>
      <c r="C4" s="458" t="s">
        <v>7</v>
      </c>
      <c r="D4" s="459"/>
      <c r="E4" s="709"/>
      <c r="F4" s="461"/>
      <c r="G4" s="462">
        <f>E4+1</f>
        <v>1</v>
      </c>
      <c r="H4" s="462">
        <f>G4+1</f>
        <v>2</v>
      </c>
      <c r="I4" s="462">
        <f t="shared" ref="I4:P4" si="0">H4+1</f>
        <v>3</v>
      </c>
      <c r="J4" s="462">
        <f t="shared" si="0"/>
        <v>4</v>
      </c>
      <c r="K4" s="462">
        <f t="shared" si="0"/>
        <v>5</v>
      </c>
      <c r="L4" s="462">
        <f t="shared" si="0"/>
        <v>6</v>
      </c>
      <c r="M4" s="462">
        <f t="shared" si="0"/>
        <v>7</v>
      </c>
      <c r="N4" s="462">
        <f t="shared" si="0"/>
        <v>8</v>
      </c>
      <c r="O4" s="462">
        <f t="shared" si="0"/>
        <v>9</v>
      </c>
      <c r="P4" s="462">
        <f t="shared" si="0"/>
        <v>10</v>
      </c>
      <c r="Q4" s="462">
        <f>P4+1</f>
        <v>11</v>
      </c>
      <c r="R4" s="462">
        <f>Q4+1</f>
        <v>12</v>
      </c>
    </row>
    <row r="5" spans="2:20" x14ac:dyDescent="0.2">
      <c r="B5" s="463" t="s">
        <v>374</v>
      </c>
      <c r="C5" s="464" t="s">
        <v>375</v>
      </c>
      <c r="D5" s="465"/>
      <c r="E5" s="710"/>
      <c r="F5" s="467"/>
      <c r="G5" s="468">
        <v>0</v>
      </c>
      <c r="H5" s="468">
        <f>G6+1</f>
        <v>7001</v>
      </c>
      <c r="I5" s="468">
        <f t="shared" ref="I5:R5" si="1">H6+1</f>
        <v>14001</v>
      </c>
      <c r="J5" s="468">
        <f t="shared" si="1"/>
        <v>21001</v>
      </c>
      <c r="K5" s="468">
        <f t="shared" si="1"/>
        <v>28001</v>
      </c>
      <c r="L5" s="468">
        <f t="shared" si="1"/>
        <v>35001</v>
      </c>
      <c r="M5" s="468">
        <f t="shared" si="1"/>
        <v>42001</v>
      </c>
      <c r="N5" s="468">
        <f t="shared" si="1"/>
        <v>49001</v>
      </c>
      <c r="O5" s="468">
        <f t="shared" si="1"/>
        <v>56001</v>
      </c>
      <c r="P5" s="468">
        <f t="shared" si="1"/>
        <v>63001</v>
      </c>
      <c r="Q5" s="468">
        <f t="shared" si="1"/>
        <v>70001</v>
      </c>
      <c r="R5" s="468">
        <f t="shared" si="1"/>
        <v>77001</v>
      </c>
    </row>
    <row r="6" spans="2:20" x14ac:dyDescent="0.2">
      <c r="B6" s="469" t="s">
        <v>376</v>
      </c>
      <c r="C6" s="470" t="s">
        <v>375</v>
      </c>
      <c r="D6" s="471"/>
      <c r="E6" s="711"/>
      <c r="F6" s="473">
        <v>7000</v>
      </c>
      <c r="G6" s="474">
        <f>F6</f>
        <v>7000</v>
      </c>
      <c r="H6" s="474">
        <f t="shared" ref="H6:R6" si="2">G6+$F6</f>
        <v>14000</v>
      </c>
      <c r="I6" s="474">
        <f t="shared" si="2"/>
        <v>21000</v>
      </c>
      <c r="J6" s="474">
        <f t="shared" si="2"/>
        <v>28000</v>
      </c>
      <c r="K6" s="474">
        <f t="shared" si="2"/>
        <v>35000</v>
      </c>
      <c r="L6" s="474">
        <f t="shared" si="2"/>
        <v>42000</v>
      </c>
      <c r="M6" s="474">
        <f t="shared" si="2"/>
        <v>49000</v>
      </c>
      <c r="N6" s="474">
        <f t="shared" si="2"/>
        <v>56000</v>
      </c>
      <c r="O6" s="474">
        <f t="shared" si="2"/>
        <v>63000</v>
      </c>
      <c r="P6" s="474">
        <f t="shared" si="2"/>
        <v>70000</v>
      </c>
      <c r="Q6" s="474">
        <f t="shared" si="2"/>
        <v>77000</v>
      </c>
      <c r="R6" s="474">
        <f t="shared" si="2"/>
        <v>84000</v>
      </c>
    </row>
    <row r="7" spans="2:20" ht="21.75" customHeight="1" x14ac:dyDescent="0.2">
      <c r="B7" s="477" t="s">
        <v>377</v>
      </c>
      <c r="C7" s="478" t="s">
        <v>337</v>
      </c>
      <c r="D7" s="398"/>
      <c r="E7" s="479"/>
      <c r="F7" s="480"/>
      <c r="G7" s="481">
        <f>G13</f>
        <v>272</v>
      </c>
      <c r="H7" s="481">
        <f t="shared" ref="H7:R7" si="3">H13</f>
        <v>272</v>
      </c>
      <c r="I7" s="481">
        <f t="shared" si="3"/>
        <v>272</v>
      </c>
      <c r="J7" s="481">
        <f t="shared" si="3"/>
        <v>272</v>
      </c>
      <c r="K7" s="481">
        <f t="shared" si="3"/>
        <v>272</v>
      </c>
      <c r="L7" s="481">
        <f t="shared" si="3"/>
        <v>272</v>
      </c>
      <c r="M7" s="481">
        <f t="shared" si="3"/>
        <v>272</v>
      </c>
      <c r="N7" s="481">
        <f t="shared" si="3"/>
        <v>272</v>
      </c>
      <c r="O7" s="481">
        <f t="shared" si="3"/>
        <v>272</v>
      </c>
      <c r="P7" s="481">
        <f t="shared" si="3"/>
        <v>272</v>
      </c>
      <c r="Q7" s="481">
        <f t="shared" si="3"/>
        <v>272</v>
      </c>
      <c r="R7" s="481">
        <f t="shared" si="3"/>
        <v>272</v>
      </c>
    </row>
    <row r="8" spans="2:20" ht="21.1" customHeight="1" x14ac:dyDescent="0.2">
      <c r="B8" s="482" t="s">
        <v>378</v>
      </c>
      <c r="C8" s="429" t="s">
        <v>379</v>
      </c>
      <c r="D8" s="434"/>
      <c r="E8" s="479"/>
      <c r="F8" s="480"/>
      <c r="G8" s="483">
        <f>SUM(G9:G10)</f>
        <v>319660.90926166653</v>
      </c>
      <c r="H8" s="483">
        <f t="shared" ref="H8:R8" si="4">SUM(H9:H10)</f>
        <v>319660.90926166653</v>
      </c>
      <c r="I8" s="483">
        <f t="shared" si="4"/>
        <v>319660.90926166653</v>
      </c>
      <c r="J8" s="483">
        <f t="shared" si="4"/>
        <v>319660.90926166653</v>
      </c>
      <c r="K8" s="483">
        <f t="shared" si="4"/>
        <v>319660.90926166653</v>
      </c>
      <c r="L8" s="483">
        <f t="shared" si="4"/>
        <v>319660.90926166653</v>
      </c>
      <c r="M8" s="483">
        <f t="shared" si="4"/>
        <v>319660.90926166653</v>
      </c>
      <c r="N8" s="483">
        <f t="shared" si="4"/>
        <v>319660.90926166653</v>
      </c>
      <c r="O8" s="483">
        <f t="shared" si="4"/>
        <v>319660.90926166653</v>
      </c>
      <c r="P8" s="483">
        <f t="shared" si="4"/>
        <v>319660.90926166653</v>
      </c>
      <c r="Q8" s="483">
        <f t="shared" si="4"/>
        <v>319660.90926166653</v>
      </c>
      <c r="R8" s="483">
        <f t="shared" si="4"/>
        <v>319660.90926166653</v>
      </c>
    </row>
    <row r="9" spans="2:20" ht="20.25" customHeight="1" x14ac:dyDescent="0.2">
      <c r="B9" s="484" t="s">
        <v>380</v>
      </c>
      <c r="C9" s="485" t="s">
        <v>379</v>
      </c>
      <c r="D9" s="420"/>
      <c r="E9" s="486"/>
      <c r="F9" s="487"/>
      <c r="G9" s="488">
        <f>G20</f>
        <v>300620.90926166653</v>
      </c>
      <c r="H9" s="488">
        <f>H20</f>
        <v>300620.90926166653</v>
      </c>
      <c r="I9" s="488">
        <f t="shared" ref="I9:R9" si="5">I20</f>
        <v>300620.90926166653</v>
      </c>
      <c r="J9" s="488">
        <f t="shared" si="5"/>
        <v>300620.90926166653</v>
      </c>
      <c r="K9" s="488">
        <f t="shared" si="5"/>
        <v>300620.90926166653</v>
      </c>
      <c r="L9" s="488">
        <f t="shared" si="5"/>
        <v>300620.90926166653</v>
      </c>
      <c r="M9" s="488">
        <f t="shared" si="5"/>
        <v>300620.90926166653</v>
      </c>
      <c r="N9" s="488">
        <f t="shared" si="5"/>
        <v>300620.90926166653</v>
      </c>
      <c r="O9" s="488">
        <f t="shared" si="5"/>
        <v>300620.90926166653</v>
      </c>
      <c r="P9" s="488">
        <f t="shared" si="5"/>
        <v>300620.90926166653</v>
      </c>
      <c r="Q9" s="488">
        <f t="shared" si="5"/>
        <v>300620.90926166653</v>
      </c>
      <c r="R9" s="488">
        <f t="shared" si="5"/>
        <v>300620.90926166653</v>
      </c>
    </row>
    <row r="10" spans="2:20" ht="23.3" customHeight="1" thickBot="1" x14ac:dyDescent="0.25">
      <c r="B10" s="489" t="s">
        <v>381</v>
      </c>
      <c r="C10" s="490" t="s">
        <v>379</v>
      </c>
      <c r="D10" s="423"/>
      <c r="E10" s="491"/>
      <c r="F10" s="712">
        <v>35</v>
      </c>
      <c r="G10" s="493">
        <f>SUMPRODUCT(G14:G17,$F$14:$F$17)*$F10</f>
        <v>19040</v>
      </c>
      <c r="H10" s="493">
        <f t="shared" ref="H10:R10" si="6">SUMPRODUCT(H14:H17,$F$14:$F$17)*$F10</f>
        <v>19040</v>
      </c>
      <c r="I10" s="493">
        <f t="shared" si="6"/>
        <v>19040</v>
      </c>
      <c r="J10" s="493">
        <f t="shared" si="6"/>
        <v>19040</v>
      </c>
      <c r="K10" s="493">
        <f t="shared" si="6"/>
        <v>19040</v>
      </c>
      <c r="L10" s="493">
        <f t="shared" si="6"/>
        <v>19040</v>
      </c>
      <c r="M10" s="493">
        <f t="shared" si="6"/>
        <v>19040</v>
      </c>
      <c r="N10" s="493">
        <f t="shared" si="6"/>
        <v>19040</v>
      </c>
      <c r="O10" s="493">
        <f t="shared" si="6"/>
        <v>19040</v>
      </c>
      <c r="P10" s="493">
        <f t="shared" si="6"/>
        <v>19040</v>
      </c>
      <c r="Q10" s="493">
        <f t="shared" si="6"/>
        <v>19040</v>
      </c>
      <c r="R10" s="493">
        <f t="shared" si="6"/>
        <v>19040</v>
      </c>
    </row>
    <row r="11" spans="2:20" ht="13.6" thickBot="1" x14ac:dyDescent="0.25">
      <c r="B11" s="954"/>
      <c r="C11" s="955"/>
      <c r="D11" s="955"/>
      <c r="E11" s="955"/>
      <c r="F11" s="955"/>
      <c r="G11" s="955"/>
      <c r="H11" s="955"/>
      <c r="I11" s="955"/>
      <c r="J11" s="955"/>
      <c r="K11" s="955"/>
      <c r="L11" s="955"/>
      <c r="M11" s="955"/>
      <c r="N11" s="955"/>
      <c r="O11" s="955"/>
      <c r="P11" s="955"/>
      <c r="Q11" s="955"/>
      <c r="R11" s="955"/>
    </row>
    <row r="12" spans="2:20" ht="40.75" x14ac:dyDescent="0.2">
      <c r="B12" s="494" t="s">
        <v>382</v>
      </c>
      <c r="C12" s="495" t="s">
        <v>383</v>
      </c>
      <c r="D12" s="496" t="s">
        <v>384</v>
      </c>
      <c r="E12" s="497" t="s">
        <v>385</v>
      </c>
      <c r="F12" s="498" t="s">
        <v>386</v>
      </c>
      <c r="G12" s="499" t="s">
        <v>387</v>
      </c>
      <c r="H12" s="499" t="s">
        <v>387</v>
      </c>
      <c r="I12" s="499" t="s">
        <v>387</v>
      </c>
      <c r="J12" s="499" t="s">
        <v>387</v>
      </c>
      <c r="K12" s="499" t="s">
        <v>387</v>
      </c>
      <c r="L12" s="499" t="s">
        <v>387</v>
      </c>
      <c r="M12" s="499" t="s">
        <v>387</v>
      </c>
      <c r="N12" s="499" t="s">
        <v>387</v>
      </c>
      <c r="O12" s="499" t="s">
        <v>387</v>
      </c>
      <c r="P12" s="499" t="s">
        <v>387</v>
      </c>
      <c r="Q12" s="499" t="s">
        <v>387</v>
      </c>
      <c r="R12" s="499" t="s">
        <v>387</v>
      </c>
    </row>
    <row r="13" spans="2:20" ht="13.6" x14ac:dyDescent="0.2">
      <c r="B13" s="503" t="s">
        <v>393</v>
      </c>
      <c r="C13" s="504"/>
      <c r="D13" s="505"/>
      <c r="E13" s="506"/>
      <c r="F13" s="507"/>
      <c r="G13" s="508">
        <f>SUM(G14:G17)</f>
        <v>272</v>
      </c>
      <c r="H13" s="508">
        <f t="shared" ref="H13:R13" si="7">SUM(H14:H17)</f>
        <v>272</v>
      </c>
      <c r="I13" s="508">
        <f t="shared" si="7"/>
        <v>272</v>
      </c>
      <c r="J13" s="508">
        <f t="shared" si="7"/>
        <v>272</v>
      </c>
      <c r="K13" s="508">
        <f t="shared" si="7"/>
        <v>272</v>
      </c>
      <c r="L13" s="508">
        <f t="shared" si="7"/>
        <v>272</v>
      </c>
      <c r="M13" s="508">
        <f t="shared" si="7"/>
        <v>272</v>
      </c>
      <c r="N13" s="508">
        <f t="shared" si="7"/>
        <v>272</v>
      </c>
      <c r="O13" s="508">
        <f t="shared" si="7"/>
        <v>272</v>
      </c>
      <c r="P13" s="508">
        <f t="shared" si="7"/>
        <v>272</v>
      </c>
      <c r="Q13" s="508">
        <f t="shared" si="7"/>
        <v>272</v>
      </c>
      <c r="R13" s="508">
        <f t="shared" si="7"/>
        <v>272</v>
      </c>
    </row>
    <row r="14" spans="2:20" x14ac:dyDescent="0.2">
      <c r="B14" s="512" t="s">
        <v>394</v>
      </c>
      <c r="C14" s="713">
        <v>250</v>
      </c>
      <c r="D14" s="514">
        <v>6</v>
      </c>
      <c r="E14" s="714">
        <v>14</v>
      </c>
      <c r="F14" s="516">
        <v>2</v>
      </c>
      <c r="G14" s="514">
        <f>$E14*$D14</f>
        <v>84</v>
      </c>
      <c r="H14" s="514">
        <f>$E14*$D14</f>
        <v>84</v>
      </c>
      <c r="I14" s="514">
        <f>$E14*$D14</f>
        <v>84</v>
      </c>
      <c r="J14" s="514">
        <f t="shared" ref="H14:R17" si="8">$E14*$D14</f>
        <v>84</v>
      </c>
      <c r="K14" s="514">
        <f t="shared" si="8"/>
        <v>84</v>
      </c>
      <c r="L14" s="514">
        <f t="shared" si="8"/>
        <v>84</v>
      </c>
      <c r="M14" s="514">
        <f t="shared" si="8"/>
        <v>84</v>
      </c>
      <c r="N14" s="514">
        <f t="shared" si="8"/>
        <v>84</v>
      </c>
      <c r="O14" s="514">
        <f t="shared" si="8"/>
        <v>84</v>
      </c>
      <c r="P14" s="514">
        <f t="shared" si="8"/>
        <v>84</v>
      </c>
      <c r="Q14" s="514">
        <f t="shared" si="8"/>
        <v>84</v>
      </c>
      <c r="R14" s="514">
        <f t="shared" si="8"/>
        <v>84</v>
      </c>
      <c r="S14" s="456">
        <v>3</v>
      </c>
      <c r="T14" s="456" t="s">
        <v>578</v>
      </c>
    </row>
    <row r="15" spans="2:20" x14ac:dyDescent="0.2">
      <c r="B15" s="512" t="s">
        <v>395</v>
      </c>
      <c r="C15" s="713">
        <v>500</v>
      </c>
      <c r="D15" s="514">
        <v>10</v>
      </c>
      <c r="E15" s="714">
        <v>7</v>
      </c>
      <c r="F15" s="516">
        <v>2</v>
      </c>
      <c r="G15" s="514">
        <f>$E15*$D15</f>
        <v>70</v>
      </c>
      <c r="H15" s="514">
        <f t="shared" si="8"/>
        <v>70</v>
      </c>
      <c r="I15" s="514">
        <f t="shared" si="8"/>
        <v>70</v>
      </c>
      <c r="J15" s="514">
        <f t="shared" si="8"/>
        <v>70</v>
      </c>
      <c r="K15" s="514">
        <f t="shared" si="8"/>
        <v>70</v>
      </c>
      <c r="L15" s="514">
        <f t="shared" si="8"/>
        <v>70</v>
      </c>
      <c r="M15" s="514">
        <f t="shared" si="8"/>
        <v>70</v>
      </c>
      <c r="N15" s="514">
        <f t="shared" si="8"/>
        <v>70</v>
      </c>
      <c r="O15" s="514">
        <f t="shared" si="8"/>
        <v>70</v>
      </c>
      <c r="P15" s="514">
        <f t="shared" si="8"/>
        <v>70</v>
      </c>
      <c r="Q15" s="514">
        <f t="shared" si="8"/>
        <v>70</v>
      </c>
      <c r="R15" s="514">
        <f t="shared" si="8"/>
        <v>70</v>
      </c>
      <c r="S15" s="456">
        <v>9</v>
      </c>
      <c r="T15" s="456" t="s">
        <v>578</v>
      </c>
    </row>
    <row r="16" spans="2:20" x14ac:dyDescent="0.2">
      <c r="B16" s="512" t="s">
        <v>396</v>
      </c>
      <c r="C16" s="713">
        <v>1000</v>
      </c>
      <c r="D16" s="514">
        <v>16</v>
      </c>
      <c r="E16" s="714">
        <v>4</v>
      </c>
      <c r="F16" s="516">
        <v>2</v>
      </c>
      <c r="G16" s="514">
        <f>$E16*$D16</f>
        <v>64</v>
      </c>
      <c r="H16" s="514">
        <f t="shared" si="8"/>
        <v>64</v>
      </c>
      <c r="I16" s="514">
        <f t="shared" si="8"/>
        <v>64</v>
      </c>
      <c r="J16" s="514">
        <f t="shared" si="8"/>
        <v>64</v>
      </c>
      <c r="K16" s="514">
        <f t="shared" si="8"/>
        <v>64</v>
      </c>
      <c r="L16" s="514">
        <f t="shared" si="8"/>
        <v>64</v>
      </c>
      <c r="M16" s="514">
        <f t="shared" si="8"/>
        <v>64</v>
      </c>
      <c r="N16" s="514">
        <f t="shared" si="8"/>
        <v>64</v>
      </c>
      <c r="O16" s="514">
        <f t="shared" si="8"/>
        <v>64</v>
      </c>
      <c r="P16" s="514">
        <f t="shared" si="8"/>
        <v>64</v>
      </c>
      <c r="Q16" s="514">
        <f t="shared" si="8"/>
        <v>64</v>
      </c>
      <c r="R16" s="514">
        <f t="shared" si="8"/>
        <v>64</v>
      </c>
      <c r="S16" s="456">
        <v>15</v>
      </c>
      <c r="T16" s="456" t="s">
        <v>578</v>
      </c>
    </row>
    <row r="17" spans="2:20" ht="13.6" thickBot="1" x14ac:dyDescent="0.25">
      <c r="B17" s="512" t="s">
        <v>397</v>
      </c>
      <c r="C17" s="713">
        <v>2000</v>
      </c>
      <c r="D17" s="514">
        <v>18</v>
      </c>
      <c r="E17" s="714">
        <v>3</v>
      </c>
      <c r="F17" s="516">
        <v>2</v>
      </c>
      <c r="G17" s="514">
        <f>$E17*$D17</f>
        <v>54</v>
      </c>
      <c r="H17" s="514">
        <f t="shared" si="8"/>
        <v>54</v>
      </c>
      <c r="I17" s="514">
        <f t="shared" si="8"/>
        <v>54</v>
      </c>
      <c r="J17" s="514">
        <f t="shared" si="8"/>
        <v>54</v>
      </c>
      <c r="K17" s="514">
        <f t="shared" si="8"/>
        <v>54</v>
      </c>
      <c r="L17" s="514">
        <f t="shared" si="8"/>
        <v>54</v>
      </c>
      <c r="M17" s="514">
        <f t="shared" si="8"/>
        <v>54</v>
      </c>
      <c r="N17" s="514">
        <f t="shared" si="8"/>
        <v>54</v>
      </c>
      <c r="O17" s="514">
        <f t="shared" si="8"/>
        <v>54</v>
      </c>
      <c r="P17" s="514">
        <f t="shared" si="8"/>
        <v>54</v>
      </c>
      <c r="Q17" s="514">
        <f t="shared" si="8"/>
        <v>54</v>
      </c>
      <c r="R17" s="514">
        <f>$E17*$D17</f>
        <v>54</v>
      </c>
      <c r="S17" s="456">
        <v>18</v>
      </c>
      <c r="T17" s="456" t="s">
        <v>578</v>
      </c>
    </row>
    <row r="18" spans="2:20" ht="13.6" thickBot="1" x14ac:dyDescent="0.25">
      <c r="B18" s="954"/>
      <c r="C18" s="955"/>
      <c r="D18" s="955"/>
      <c r="E18" s="955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55"/>
      <c r="Q18" s="955"/>
      <c r="R18" s="955"/>
    </row>
    <row r="19" spans="2:20" ht="27.2" x14ac:dyDescent="0.2">
      <c r="B19" s="494" t="s">
        <v>378</v>
      </c>
      <c r="C19" s="715" t="s">
        <v>403</v>
      </c>
      <c r="D19" s="388" t="s">
        <v>404</v>
      </c>
      <c r="E19" s="556" t="s">
        <v>405</v>
      </c>
      <c r="F19" s="716" t="s">
        <v>385</v>
      </c>
      <c r="G19" s="555" t="s">
        <v>579</v>
      </c>
      <c r="H19" s="555" t="s">
        <v>579</v>
      </c>
      <c r="I19" s="555" t="s">
        <v>579</v>
      </c>
      <c r="J19" s="555" t="s">
        <v>579</v>
      </c>
      <c r="K19" s="555" t="s">
        <v>579</v>
      </c>
      <c r="L19" s="555" t="s">
        <v>579</v>
      </c>
      <c r="M19" s="555" t="s">
        <v>579</v>
      </c>
      <c r="N19" s="555" t="s">
        <v>579</v>
      </c>
      <c r="O19" s="555" t="s">
        <v>579</v>
      </c>
      <c r="P19" s="555" t="s">
        <v>579</v>
      </c>
      <c r="Q19" s="555" t="s">
        <v>579</v>
      </c>
      <c r="R19" s="555" t="s">
        <v>579</v>
      </c>
    </row>
    <row r="20" spans="2:20" ht="13.6" x14ac:dyDescent="0.25">
      <c r="B20" s="717" t="s">
        <v>354</v>
      </c>
      <c r="C20" s="718"/>
      <c r="D20" s="719"/>
      <c r="E20" s="720"/>
      <c r="F20" s="721"/>
      <c r="G20" s="722">
        <f>SUM(G21:G107)</f>
        <v>300620.90926166653</v>
      </c>
      <c r="H20" s="722">
        <f t="shared" ref="H20:R20" si="9">SUM(H21:H107)</f>
        <v>300620.90926166653</v>
      </c>
      <c r="I20" s="722">
        <f t="shared" si="9"/>
        <v>300620.90926166653</v>
      </c>
      <c r="J20" s="722">
        <f t="shared" si="9"/>
        <v>300620.90926166653</v>
      </c>
      <c r="K20" s="722">
        <f t="shared" si="9"/>
        <v>300620.90926166653</v>
      </c>
      <c r="L20" s="722">
        <f t="shared" si="9"/>
        <v>300620.90926166653</v>
      </c>
      <c r="M20" s="722">
        <f t="shared" si="9"/>
        <v>300620.90926166653</v>
      </c>
      <c r="N20" s="722">
        <f t="shared" si="9"/>
        <v>300620.90926166653</v>
      </c>
      <c r="O20" s="722">
        <f t="shared" si="9"/>
        <v>300620.90926166653</v>
      </c>
      <c r="P20" s="722">
        <f t="shared" si="9"/>
        <v>300620.90926166653</v>
      </c>
      <c r="Q20" s="722">
        <f t="shared" si="9"/>
        <v>300620.90926166653</v>
      </c>
      <c r="R20" s="722">
        <f t="shared" si="9"/>
        <v>300620.90926166653</v>
      </c>
    </row>
    <row r="21" spans="2:20" x14ac:dyDescent="0.2">
      <c r="B21" s="723" t="s">
        <v>394</v>
      </c>
      <c r="C21" s="470"/>
      <c r="D21" s="724"/>
      <c r="E21" s="569">
        <f>VLOOKUP($B21,$B$14:$C$17,2,FALSE)</f>
        <v>250</v>
      </c>
      <c r="F21" s="473">
        <f>VLOOKUP($B21,$B$14:$E$17,4,FALSE)</f>
        <v>14</v>
      </c>
      <c r="G21" s="474"/>
      <c r="H21" s="474"/>
      <c r="I21" s="474"/>
      <c r="J21" s="474"/>
      <c r="K21" s="474"/>
      <c r="L21" s="474"/>
      <c r="M21" s="474"/>
      <c r="N21" s="474"/>
      <c r="O21" s="474"/>
      <c r="P21" s="474"/>
      <c r="Q21" s="474"/>
      <c r="R21" s="474"/>
    </row>
    <row r="22" spans="2:20" x14ac:dyDescent="0.2">
      <c r="B22" s="725" t="s">
        <v>580</v>
      </c>
      <c r="C22" s="726">
        <v>750201012207</v>
      </c>
      <c r="D22" s="727">
        <v>159.86879999999999</v>
      </c>
      <c r="E22" s="728">
        <v>2</v>
      </c>
      <c r="F22" s="729"/>
      <c r="G22" s="534">
        <f>IF(G$14=0,0,G$14/$D$14*$E22*$D22)</f>
        <v>4476.3263999999999</v>
      </c>
      <c r="H22" s="534">
        <f>IF(H$14=0,0,H$14/$D$14*$E22*$D22)</f>
        <v>4476.3263999999999</v>
      </c>
      <c r="I22" s="534">
        <f>IF(I$14=0,0,I$14/$D$14*$E22*$D22)</f>
        <v>4476.3263999999999</v>
      </c>
      <c r="J22" s="534">
        <f>IF(J$14=0,0,J$14/$D$14*$E22*$D22)</f>
        <v>4476.3263999999999</v>
      </c>
      <c r="K22" s="534">
        <f t="shared" ref="H22:R30" si="10">IF(K$14=0,0,K$14/$D$14*$E22*$D22)</f>
        <v>4476.3263999999999</v>
      </c>
      <c r="L22" s="534">
        <f t="shared" si="10"/>
        <v>4476.3263999999999</v>
      </c>
      <c r="M22" s="534">
        <f t="shared" si="10"/>
        <v>4476.3263999999999</v>
      </c>
      <c r="N22" s="534">
        <f t="shared" si="10"/>
        <v>4476.3263999999999</v>
      </c>
      <c r="O22" s="534">
        <f t="shared" si="10"/>
        <v>4476.3263999999999</v>
      </c>
      <c r="P22" s="534">
        <f t="shared" si="10"/>
        <v>4476.3263999999999</v>
      </c>
      <c r="Q22" s="534">
        <f t="shared" si="10"/>
        <v>4476.3263999999999</v>
      </c>
      <c r="R22" s="534">
        <f>IF(R$14=0,0,R$14/$D$14*$E22*$D22)</f>
        <v>4476.3263999999999</v>
      </c>
    </row>
    <row r="23" spans="2:20" x14ac:dyDescent="0.2">
      <c r="B23" s="725" t="s">
        <v>581</v>
      </c>
      <c r="C23" s="726" t="s">
        <v>582</v>
      </c>
      <c r="D23" s="727">
        <v>127.8</v>
      </c>
      <c r="E23" s="728">
        <v>1</v>
      </c>
      <c r="F23" s="729"/>
      <c r="G23" s="534">
        <f>IF(G$14=0,0,G$14/$D$14*$E23*$D23)</f>
        <v>1789.2</v>
      </c>
      <c r="H23" s="534">
        <f t="shared" si="10"/>
        <v>1789.2</v>
      </c>
      <c r="I23" s="534">
        <f t="shared" si="10"/>
        <v>1789.2</v>
      </c>
      <c r="J23" s="534">
        <f t="shared" si="10"/>
        <v>1789.2</v>
      </c>
      <c r="K23" s="534">
        <f t="shared" si="10"/>
        <v>1789.2</v>
      </c>
      <c r="L23" s="534">
        <f t="shared" si="10"/>
        <v>1789.2</v>
      </c>
      <c r="M23" s="534">
        <f t="shared" si="10"/>
        <v>1789.2</v>
      </c>
      <c r="N23" s="534">
        <f t="shared" si="10"/>
        <v>1789.2</v>
      </c>
      <c r="O23" s="534">
        <f t="shared" si="10"/>
        <v>1789.2</v>
      </c>
      <c r="P23" s="534">
        <f t="shared" si="10"/>
        <v>1789.2</v>
      </c>
      <c r="Q23" s="534">
        <f t="shared" si="10"/>
        <v>1789.2</v>
      </c>
      <c r="R23" s="534">
        <f>IF(R$14=0,0,R$14/$D$14*$E23*$D23)</f>
        <v>1789.2</v>
      </c>
    </row>
    <row r="24" spans="2:20" x14ac:dyDescent="0.2">
      <c r="B24" s="725" t="s">
        <v>581</v>
      </c>
      <c r="C24" s="726" t="s">
        <v>583</v>
      </c>
      <c r="D24" s="727">
        <v>172.43999999999997</v>
      </c>
      <c r="E24" s="728">
        <v>1</v>
      </c>
      <c r="F24" s="729"/>
      <c r="G24" s="534">
        <f>IF(G$14=0,0,G$14/$D$14*$E24*$D24)</f>
        <v>2414.1599999999994</v>
      </c>
      <c r="H24" s="534">
        <f t="shared" si="10"/>
        <v>2414.1599999999994</v>
      </c>
      <c r="I24" s="534">
        <f t="shared" si="10"/>
        <v>2414.1599999999994</v>
      </c>
      <c r="J24" s="534">
        <f t="shared" si="10"/>
        <v>2414.1599999999994</v>
      </c>
      <c r="K24" s="534">
        <f t="shared" si="10"/>
        <v>2414.1599999999994</v>
      </c>
      <c r="L24" s="534">
        <f t="shared" si="10"/>
        <v>2414.1599999999994</v>
      </c>
      <c r="M24" s="534">
        <f t="shared" si="10"/>
        <v>2414.1599999999994</v>
      </c>
      <c r="N24" s="534">
        <f t="shared" si="10"/>
        <v>2414.1599999999994</v>
      </c>
      <c r="O24" s="534">
        <f t="shared" si="10"/>
        <v>2414.1599999999994</v>
      </c>
      <c r="P24" s="534">
        <f t="shared" si="10"/>
        <v>2414.1599999999994</v>
      </c>
      <c r="Q24" s="534">
        <f t="shared" si="10"/>
        <v>2414.1599999999994</v>
      </c>
      <c r="R24" s="534">
        <f t="shared" si="10"/>
        <v>2414.1599999999994</v>
      </c>
    </row>
    <row r="25" spans="2:20" x14ac:dyDescent="0.2">
      <c r="B25" s="725" t="s">
        <v>584</v>
      </c>
      <c r="C25" s="726">
        <v>750201018263</v>
      </c>
      <c r="D25" s="727">
        <v>83.52</v>
      </c>
      <c r="E25" s="728">
        <v>1</v>
      </c>
      <c r="F25" s="729"/>
      <c r="G25" s="534">
        <f t="shared" ref="G25:G29" si="11">IF(G$14=0,0,G$14/$D$14*$E25*$D25)</f>
        <v>1169.28</v>
      </c>
      <c r="H25" s="534">
        <f t="shared" si="10"/>
        <v>1169.28</v>
      </c>
      <c r="I25" s="534">
        <f t="shared" si="10"/>
        <v>1169.28</v>
      </c>
      <c r="J25" s="534">
        <f t="shared" si="10"/>
        <v>1169.28</v>
      </c>
      <c r="K25" s="534">
        <f t="shared" si="10"/>
        <v>1169.28</v>
      </c>
      <c r="L25" s="534">
        <f t="shared" si="10"/>
        <v>1169.28</v>
      </c>
      <c r="M25" s="534">
        <f t="shared" si="10"/>
        <v>1169.28</v>
      </c>
      <c r="N25" s="534">
        <f t="shared" si="10"/>
        <v>1169.28</v>
      </c>
      <c r="O25" s="534">
        <f t="shared" si="10"/>
        <v>1169.28</v>
      </c>
      <c r="P25" s="534">
        <f t="shared" si="10"/>
        <v>1169.28</v>
      </c>
      <c r="Q25" s="534">
        <f t="shared" si="10"/>
        <v>1169.28</v>
      </c>
      <c r="R25" s="534">
        <f t="shared" si="10"/>
        <v>1169.28</v>
      </c>
    </row>
    <row r="26" spans="2:20" x14ac:dyDescent="0.2">
      <c r="B26" s="725" t="s">
        <v>585</v>
      </c>
      <c r="C26" s="726">
        <v>730403000677</v>
      </c>
      <c r="D26" s="727">
        <v>380.16</v>
      </c>
      <c r="E26" s="728">
        <v>2</v>
      </c>
      <c r="F26" s="729"/>
      <c r="G26" s="534">
        <f t="shared" si="11"/>
        <v>10644.480000000001</v>
      </c>
      <c r="H26" s="534">
        <f t="shared" si="10"/>
        <v>10644.480000000001</v>
      </c>
      <c r="I26" s="534">
        <f t="shared" si="10"/>
        <v>10644.480000000001</v>
      </c>
      <c r="J26" s="534">
        <f t="shared" si="10"/>
        <v>10644.480000000001</v>
      </c>
      <c r="K26" s="534">
        <f t="shared" si="10"/>
        <v>10644.480000000001</v>
      </c>
      <c r="L26" s="534">
        <f t="shared" si="10"/>
        <v>10644.480000000001</v>
      </c>
      <c r="M26" s="534">
        <f t="shared" si="10"/>
        <v>10644.480000000001</v>
      </c>
      <c r="N26" s="534">
        <f t="shared" si="10"/>
        <v>10644.480000000001</v>
      </c>
      <c r="O26" s="534">
        <f t="shared" si="10"/>
        <v>10644.480000000001</v>
      </c>
      <c r="P26" s="534">
        <f t="shared" si="10"/>
        <v>10644.480000000001</v>
      </c>
      <c r="Q26" s="534">
        <f t="shared" si="10"/>
        <v>10644.480000000001</v>
      </c>
      <c r="R26" s="534">
        <f t="shared" si="10"/>
        <v>10644.480000000001</v>
      </c>
    </row>
    <row r="27" spans="2:20" x14ac:dyDescent="0.2">
      <c r="B27" s="725" t="s">
        <v>586</v>
      </c>
      <c r="C27" s="726">
        <v>730403000677</v>
      </c>
      <c r="D27" s="727">
        <v>380.16</v>
      </c>
      <c r="E27" s="728">
        <v>2</v>
      </c>
      <c r="F27" s="729"/>
      <c r="G27" s="534">
        <f t="shared" si="11"/>
        <v>10644.480000000001</v>
      </c>
      <c r="H27" s="534">
        <f t="shared" si="10"/>
        <v>10644.480000000001</v>
      </c>
      <c r="I27" s="534">
        <f t="shared" si="10"/>
        <v>10644.480000000001</v>
      </c>
      <c r="J27" s="534">
        <f t="shared" si="10"/>
        <v>10644.480000000001</v>
      </c>
      <c r="K27" s="534">
        <f t="shared" si="10"/>
        <v>10644.480000000001</v>
      </c>
      <c r="L27" s="534">
        <f t="shared" si="10"/>
        <v>10644.480000000001</v>
      </c>
      <c r="M27" s="534">
        <f t="shared" si="10"/>
        <v>10644.480000000001</v>
      </c>
      <c r="N27" s="534">
        <f t="shared" si="10"/>
        <v>10644.480000000001</v>
      </c>
      <c r="O27" s="534">
        <f t="shared" si="10"/>
        <v>10644.480000000001</v>
      </c>
      <c r="P27" s="534">
        <f t="shared" si="10"/>
        <v>10644.480000000001</v>
      </c>
      <c r="Q27" s="534">
        <f t="shared" si="10"/>
        <v>10644.480000000001</v>
      </c>
      <c r="R27" s="534">
        <f t="shared" si="10"/>
        <v>10644.480000000001</v>
      </c>
    </row>
    <row r="28" spans="2:20" x14ac:dyDescent="0.2">
      <c r="B28" s="725" t="s">
        <v>587</v>
      </c>
      <c r="C28" s="726" t="s">
        <v>588</v>
      </c>
      <c r="D28" s="727">
        <v>427.24799999999999</v>
      </c>
      <c r="E28" s="728">
        <v>1</v>
      </c>
      <c r="F28" s="729"/>
      <c r="G28" s="534">
        <f t="shared" si="11"/>
        <v>5981.4719999999998</v>
      </c>
      <c r="H28" s="534">
        <f t="shared" si="10"/>
        <v>5981.4719999999998</v>
      </c>
      <c r="I28" s="534">
        <f t="shared" si="10"/>
        <v>5981.4719999999998</v>
      </c>
      <c r="J28" s="534">
        <f t="shared" si="10"/>
        <v>5981.4719999999998</v>
      </c>
      <c r="K28" s="534">
        <f t="shared" si="10"/>
        <v>5981.4719999999998</v>
      </c>
      <c r="L28" s="534">
        <f t="shared" si="10"/>
        <v>5981.4719999999998</v>
      </c>
      <c r="M28" s="534">
        <f t="shared" si="10"/>
        <v>5981.4719999999998</v>
      </c>
      <c r="N28" s="534">
        <f t="shared" si="10"/>
        <v>5981.4719999999998</v>
      </c>
      <c r="O28" s="534">
        <f t="shared" si="10"/>
        <v>5981.4719999999998</v>
      </c>
      <c r="P28" s="534">
        <f t="shared" si="10"/>
        <v>5981.4719999999998</v>
      </c>
      <c r="Q28" s="534">
        <f t="shared" si="10"/>
        <v>5981.4719999999998</v>
      </c>
      <c r="R28" s="534">
        <f t="shared" si="10"/>
        <v>5981.4719999999998</v>
      </c>
    </row>
    <row r="29" spans="2:20" x14ac:dyDescent="0.2">
      <c r="B29" s="725" t="s">
        <v>589</v>
      </c>
      <c r="C29" s="726">
        <v>750201011177</v>
      </c>
      <c r="D29" s="727">
        <v>146.03399999999999</v>
      </c>
      <c r="E29" s="728">
        <v>2</v>
      </c>
      <c r="F29" s="729"/>
      <c r="G29" s="534">
        <f t="shared" si="11"/>
        <v>4088.9519999999998</v>
      </c>
      <c r="H29" s="534">
        <f t="shared" si="10"/>
        <v>4088.9519999999998</v>
      </c>
      <c r="I29" s="534">
        <f t="shared" si="10"/>
        <v>4088.9519999999998</v>
      </c>
      <c r="J29" s="534">
        <f t="shared" si="10"/>
        <v>4088.9519999999998</v>
      </c>
      <c r="K29" s="534">
        <f t="shared" si="10"/>
        <v>4088.9519999999998</v>
      </c>
      <c r="L29" s="534">
        <f t="shared" si="10"/>
        <v>4088.9519999999998</v>
      </c>
      <c r="M29" s="534">
        <f t="shared" si="10"/>
        <v>4088.9519999999998</v>
      </c>
      <c r="N29" s="534">
        <f t="shared" si="10"/>
        <v>4088.9519999999998</v>
      </c>
      <c r="O29" s="534">
        <f t="shared" si="10"/>
        <v>4088.9519999999998</v>
      </c>
      <c r="P29" s="534">
        <f t="shared" si="10"/>
        <v>4088.9519999999998</v>
      </c>
      <c r="Q29" s="534">
        <f t="shared" si="10"/>
        <v>4088.9519999999998</v>
      </c>
      <c r="R29" s="534">
        <f t="shared" si="10"/>
        <v>4088.9519999999998</v>
      </c>
    </row>
    <row r="30" spans="2:20" x14ac:dyDescent="0.2">
      <c r="B30" s="725" t="s">
        <v>590</v>
      </c>
      <c r="C30" s="730" t="s">
        <v>591</v>
      </c>
      <c r="D30" s="727">
        <v>6.5609999999999999</v>
      </c>
      <c r="E30" s="728">
        <v>75</v>
      </c>
      <c r="F30" s="729"/>
      <c r="G30" s="534">
        <f>IF(G$14=0,0,G$14/$D$14*$E30*$D30)</f>
        <v>6889.05</v>
      </c>
      <c r="H30" s="534">
        <f t="shared" si="10"/>
        <v>6889.05</v>
      </c>
      <c r="I30" s="534">
        <f t="shared" si="10"/>
        <v>6889.05</v>
      </c>
      <c r="J30" s="534">
        <f t="shared" si="10"/>
        <v>6889.05</v>
      </c>
      <c r="K30" s="534">
        <f t="shared" si="10"/>
        <v>6889.05</v>
      </c>
      <c r="L30" s="534">
        <f t="shared" si="10"/>
        <v>6889.05</v>
      </c>
      <c r="M30" s="534">
        <f t="shared" si="10"/>
        <v>6889.05</v>
      </c>
      <c r="N30" s="534">
        <f t="shared" si="10"/>
        <v>6889.05</v>
      </c>
      <c r="O30" s="534">
        <f t="shared" si="10"/>
        <v>6889.05</v>
      </c>
      <c r="P30" s="534">
        <f t="shared" si="10"/>
        <v>6889.05</v>
      </c>
      <c r="Q30" s="534">
        <f t="shared" si="10"/>
        <v>6889.05</v>
      </c>
      <c r="R30" s="534">
        <f t="shared" si="10"/>
        <v>6889.05</v>
      </c>
    </row>
    <row r="31" spans="2:20" x14ac:dyDescent="0.2">
      <c r="B31" s="723" t="s">
        <v>395</v>
      </c>
      <c r="C31" s="470"/>
      <c r="D31" s="724"/>
      <c r="E31" s="569">
        <f>VLOOKUP($B31,$B$14:$C$17,2,FALSE)</f>
        <v>500</v>
      </c>
      <c r="F31" s="473">
        <f>VLOOKUP($B31,$B$14:$E$17,4,FALSE)</f>
        <v>7</v>
      </c>
      <c r="G31" s="474"/>
      <c r="H31" s="474"/>
      <c r="I31" s="474"/>
      <c r="J31" s="474"/>
      <c r="K31" s="474"/>
      <c r="L31" s="474"/>
      <c r="M31" s="474"/>
      <c r="N31" s="474"/>
      <c r="O31" s="474"/>
      <c r="P31" s="474"/>
      <c r="Q31" s="474"/>
      <c r="R31" s="474"/>
    </row>
    <row r="32" spans="2:20" x14ac:dyDescent="0.2">
      <c r="B32" s="725" t="s">
        <v>580</v>
      </c>
      <c r="C32" s="726">
        <v>750201012207</v>
      </c>
      <c r="D32" s="727">
        <v>159.86879999999999</v>
      </c>
      <c r="E32" s="728">
        <v>2</v>
      </c>
      <c r="F32" s="729"/>
      <c r="G32" s="534">
        <f>IF(G$15=0,0,G$15/$D$15*$E32*$D32)</f>
        <v>2238.1632</v>
      </c>
      <c r="H32" s="534">
        <f>IF(H$15=0,0,H$15/$D$15*$E32*$D32)</f>
        <v>2238.1632</v>
      </c>
      <c r="I32" s="534">
        <f t="shared" ref="I32:R46" si="12">IF(I$15=0,0,I$15/$D$15*$E32*$D32)</f>
        <v>2238.1632</v>
      </c>
      <c r="J32" s="534">
        <f t="shared" si="12"/>
        <v>2238.1632</v>
      </c>
      <c r="K32" s="534">
        <f t="shared" si="12"/>
        <v>2238.1632</v>
      </c>
      <c r="L32" s="534">
        <f t="shared" si="12"/>
        <v>2238.1632</v>
      </c>
      <c r="M32" s="534">
        <f t="shared" si="12"/>
        <v>2238.1632</v>
      </c>
      <c r="N32" s="534">
        <f t="shared" si="12"/>
        <v>2238.1632</v>
      </c>
      <c r="O32" s="534">
        <f t="shared" si="12"/>
        <v>2238.1632</v>
      </c>
      <c r="P32" s="534">
        <f t="shared" si="12"/>
        <v>2238.1632</v>
      </c>
      <c r="Q32" s="534">
        <f t="shared" si="12"/>
        <v>2238.1632</v>
      </c>
      <c r="R32" s="534">
        <f t="shared" si="12"/>
        <v>2238.1632</v>
      </c>
    </row>
    <row r="33" spans="2:20" x14ac:dyDescent="0.2">
      <c r="B33" s="725" t="s">
        <v>581</v>
      </c>
      <c r="C33" s="726" t="s">
        <v>582</v>
      </c>
      <c r="D33" s="727">
        <v>127.8</v>
      </c>
      <c r="E33" s="728">
        <v>1</v>
      </c>
      <c r="F33" s="729"/>
      <c r="G33" s="534">
        <f>IF(G$15=0,0,G$15/$D$15*$E33*$D33)</f>
        <v>894.6</v>
      </c>
      <c r="H33" s="534">
        <f t="shared" ref="G33:H46" si="13">IF(H$15=0,0,H$15/$D$15*$E33*$D33)</f>
        <v>894.6</v>
      </c>
      <c r="I33" s="534">
        <f t="shared" si="12"/>
        <v>894.6</v>
      </c>
      <c r="J33" s="534">
        <f t="shared" si="12"/>
        <v>894.6</v>
      </c>
      <c r="K33" s="534">
        <f t="shared" si="12"/>
        <v>894.6</v>
      </c>
      <c r="L33" s="534">
        <f t="shared" si="12"/>
        <v>894.6</v>
      </c>
      <c r="M33" s="534">
        <f t="shared" si="12"/>
        <v>894.6</v>
      </c>
      <c r="N33" s="534">
        <f t="shared" si="12"/>
        <v>894.6</v>
      </c>
      <c r="O33" s="534">
        <f t="shared" si="12"/>
        <v>894.6</v>
      </c>
      <c r="P33" s="534">
        <f t="shared" si="12"/>
        <v>894.6</v>
      </c>
      <c r="Q33" s="534">
        <f t="shared" si="12"/>
        <v>894.6</v>
      </c>
      <c r="R33" s="534">
        <f t="shared" si="12"/>
        <v>894.6</v>
      </c>
    </row>
    <row r="34" spans="2:20" x14ac:dyDescent="0.2">
      <c r="B34" s="725" t="s">
        <v>581</v>
      </c>
      <c r="C34" s="726" t="s">
        <v>583</v>
      </c>
      <c r="D34" s="727">
        <v>172.43999999999997</v>
      </c>
      <c r="E34" s="728">
        <v>1</v>
      </c>
      <c r="F34" s="729"/>
      <c r="G34" s="534">
        <f t="shared" si="13"/>
        <v>1207.0799999999997</v>
      </c>
      <c r="H34" s="534">
        <f t="shared" si="13"/>
        <v>1207.0799999999997</v>
      </c>
      <c r="I34" s="534">
        <f t="shared" si="12"/>
        <v>1207.0799999999997</v>
      </c>
      <c r="J34" s="534">
        <f t="shared" si="12"/>
        <v>1207.0799999999997</v>
      </c>
      <c r="K34" s="534">
        <f t="shared" si="12"/>
        <v>1207.0799999999997</v>
      </c>
      <c r="L34" s="534">
        <f t="shared" si="12"/>
        <v>1207.0799999999997</v>
      </c>
      <c r="M34" s="534">
        <f t="shared" si="12"/>
        <v>1207.0799999999997</v>
      </c>
      <c r="N34" s="534">
        <f t="shared" si="12"/>
        <v>1207.0799999999997</v>
      </c>
      <c r="O34" s="534">
        <f t="shared" si="12"/>
        <v>1207.0799999999997</v>
      </c>
      <c r="P34" s="534">
        <f t="shared" si="12"/>
        <v>1207.0799999999997</v>
      </c>
      <c r="Q34" s="534">
        <f t="shared" si="12"/>
        <v>1207.0799999999997</v>
      </c>
      <c r="R34" s="534">
        <f t="shared" si="12"/>
        <v>1207.0799999999997</v>
      </c>
    </row>
    <row r="35" spans="2:20" x14ac:dyDescent="0.2">
      <c r="B35" s="725" t="s">
        <v>584</v>
      </c>
      <c r="C35" s="726">
        <v>750201018263</v>
      </c>
      <c r="D35" s="727">
        <v>83.52</v>
      </c>
      <c r="E35" s="728">
        <v>1</v>
      </c>
      <c r="F35" s="729"/>
      <c r="G35" s="534">
        <f t="shared" si="13"/>
        <v>584.64</v>
      </c>
      <c r="H35" s="534">
        <f t="shared" si="13"/>
        <v>584.64</v>
      </c>
      <c r="I35" s="534">
        <f t="shared" si="12"/>
        <v>584.64</v>
      </c>
      <c r="J35" s="534">
        <f t="shared" si="12"/>
        <v>584.64</v>
      </c>
      <c r="K35" s="534">
        <f t="shared" si="12"/>
        <v>584.64</v>
      </c>
      <c r="L35" s="534">
        <f t="shared" si="12"/>
        <v>584.64</v>
      </c>
      <c r="M35" s="534">
        <f t="shared" si="12"/>
        <v>584.64</v>
      </c>
      <c r="N35" s="534">
        <f t="shared" si="12"/>
        <v>584.64</v>
      </c>
      <c r="O35" s="534">
        <f t="shared" si="12"/>
        <v>584.64</v>
      </c>
      <c r="P35" s="534">
        <f t="shared" si="12"/>
        <v>584.64</v>
      </c>
      <c r="Q35" s="534">
        <f t="shared" si="12"/>
        <v>584.64</v>
      </c>
      <c r="R35" s="534">
        <f t="shared" si="12"/>
        <v>584.64</v>
      </c>
    </row>
    <row r="36" spans="2:20" x14ac:dyDescent="0.2">
      <c r="B36" s="725" t="s">
        <v>585</v>
      </c>
      <c r="C36" s="726">
        <v>730403000677</v>
      </c>
      <c r="D36" s="727">
        <v>380.16</v>
      </c>
      <c r="E36" s="728">
        <v>2</v>
      </c>
      <c r="F36" s="729"/>
      <c r="G36" s="534">
        <f t="shared" si="13"/>
        <v>5322.2400000000007</v>
      </c>
      <c r="H36" s="534">
        <f t="shared" si="13"/>
        <v>5322.2400000000007</v>
      </c>
      <c r="I36" s="534">
        <f t="shared" si="12"/>
        <v>5322.2400000000007</v>
      </c>
      <c r="J36" s="534">
        <f t="shared" si="12"/>
        <v>5322.2400000000007</v>
      </c>
      <c r="K36" s="534">
        <f t="shared" si="12"/>
        <v>5322.2400000000007</v>
      </c>
      <c r="L36" s="534">
        <f t="shared" si="12"/>
        <v>5322.2400000000007</v>
      </c>
      <c r="M36" s="534">
        <f t="shared" si="12"/>
        <v>5322.2400000000007</v>
      </c>
      <c r="N36" s="534">
        <f t="shared" si="12"/>
        <v>5322.2400000000007</v>
      </c>
      <c r="O36" s="534">
        <f t="shared" si="12"/>
        <v>5322.2400000000007</v>
      </c>
      <c r="P36" s="534">
        <f t="shared" si="12"/>
        <v>5322.2400000000007</v>
      </c>
      <c r="Q36" s="534">
        <f t="shared" si="12"/>
        <v>5322.2400000000007</v>
      </c>
      <c r="R36" s="534">
        <f t="shared" si="12"/>
        <v>5322.2400000000007</v>
      </c>
    </row>
    <row r="37" spans="2:20" x14ac:dyDescent="0.2">
      <c r="B37" s="725" t="s">
        <v>586</v>
      </c>
      <c r="C37" s="726">
        <v>730403000677</v>
      </c>
      <c r="D37" s="727">
        <v>380.16</v>
      </c>
      <c r="E37" s="728">
        <v>2</v>
      </c>
      <c r="F37" s="729"/>
      <c r="G37" s="534">
        <f t="shared" si="13"/>
        <v>5322.2400000000007</v>
      </c>
      <c r="H37" s="534">
        <f t="shared" si="13"/>
        <v>5322.2400000000007</v>
      </c>
      <c r="I37" s="534">
        <f t="shared" si="12"/>
        <v>5322.2400000000007</v>
      </c>
      <c r="J37" s="534">
        <f t="shared" si="12"/>
        <v>5322.2400000000007</v>
      </c>
      <c r="K37" s="534">
        <f t="shared" si="12"/>
        <v>5322.2400000000007</v>
      </c>
      <c r="L37" s="534">
        <f t="shared" si="12"/>
        <v>5322.2400000000007</v>
      </c>
      <c r="M37" s="534">
        <f t="shared" si="12"/>
        <v>5322.2400000000007</v>
      </c>
      <c r="N37" s="534">
        <f t="shared" si="12"/>
        <v>5322.2400000000007</v>
      </c>
      <c r="O37" s="534">
        <f t="shared" si="12"/>
        <v>5322.2400000000007</v>
      </c>
      <c r="P37" s="534">
        <f t="shared" si="12"/>
        <v>5322.2400000000007</v>
      </c>
      <c r="Q37" s="534">
        <f t="shared" si="12"/>
        <v>5322.2400000000007</v>
      </c>
      <c r="R37" s="534">
        <f t="shared" si="12"/>
        <v>5322.2400000000007</v>
      </c>
    </row>
    <row r="38" spans="2:20" x14ac:dyDescent="0.2">
      <c r="B38" s="725" t="s">
        <v>587</v>
      </c>
      <c r="C38" s="726" t="s">
        <v>588</v>
      </c>
      <c r="D38" s="727">
        <v>427.24799999999999</v>
      </c>
      <c r="E38" s="728">
        <v>1</v>
      </c>
      <c r="F38" s="473"/>
      <c r="G38" s="534">
        <f t="shared" si="13"/>
        <v>2990.7359999999999</v>
      </c>
      <c r="H38" s="534">
        <f t="shared" si="13"/>
        <v>2990.7359999999999</v>
      </c>
      <c r="I38" s="534">
        <f t="shared" si="12"/>
        <v>2990.7359999999999</v>
      </c>
      <c r="J38" s="534">
        <f t="shared" si="12"/>
        <v>2990.7359999999999</v>
      </c>
      <c r="K38" s="534">
        <f t="shared" si="12"/>
        <v>2990.7359999999999</v>
      </c>
      <c r="L38" s="534">
        <f t="shared" si="12"/>
        <v>2990.7359999999999</v>
      </c>
      <c r="M38" s="534">
        <f t="shared" si="12"/>
        <v>2990.7359999999999</v>
      </c>
      <c r="N38" s="534">
        <f t="shared" si="12"/>
        <v>2990.7359999999999</v>
      </c>
      <c r="O38" s="534">
        <f t="shared" si="12"/>
        <v>2990.7359999999999</v>
      </c>
      <c r="P38" s="534">
        <f t="shared" si="12"/>
        <v>2990.7359999999999</v>
      </c>
      <c r="Q38" s="534">
        <f t="shared" si="12"/>
        <v>2990.7359999999999</v>
      </c>
      <c r="R38" s="534">
        <f t="shared" si="12"/>
        <v>2990.7359999999999</v>
      </c>
    </row>
    <row r="39" spans="2:20" x14ac:dyDescent="0.2">
      <c r="B39" s="725" t="s">
        <v>589</v>
      </c>
      <c r="C39" s="726">
        <v>750201011177</v>
      </c>
      <c r="D39" s="727">
        <v>146.03399999999999</v>
      </c>
      <c r="E39" s="728">
        <v>2</v>
      </c>
      <c r="F39" s="729"/>
      <c r="G39" s="534">
        <f t="shared" si="13"/>
        <v>2044.4759999999999</v>
      </c>
      <c r="H39" s="534">
        <f t="shared" si="13"/>
        <v>2044.4759999999999</v>
      </c>
      <c r="I39" s="534">
        <f t="shared" si="12"/>
        <v>2044.4759999999999</v>
      </c>
      <c r="J39" s="534">
        <f t="shared" si="12"/>
        <v>2044.4759999999999</v>
      </c>
      <c r="K39" s="534">
        <f t="shared" si="12"/>
        <v>2044.4759999999999</v>
      </c>
      <c r="L39" s="534">
        <f t="shared" si="12"/>
        <v>2044.4759999999999</v>
      </c>
      <c r="M39" s="534">
        <f t="shared" si="12"/>
        <v>2044.4759999999999</v>
      </c>
      <c r="N39" s="534">
        <f t="shared" si="12"/>
        <v>2044.4759999999999</v>
      </c>
      <c r="O39" s="534">
        <f t="shared" si="12"/>
        <v>2044.4759999999999</v>
      </c>
      <c r="P39" s="534">
        <f t="shared" si="12"/>
        <v>2044.4759999999999</v>
      </c>
      <c r="Q39" s="534">
        <f t="shared" si="12"/>
        <v>2044.4759999999999</v>
      </c>
      <c r="R39" s="534">
        <f t="shared" si="12"/>
        <v>2044.4759999999999</v>
      </c>
    </row>
    <row r="40" spans="2:20" x14ac:dyDescent="0.2">
      <c r="B40" s="725" t="s">
        <v>592</v>
      </c>
      <c r="C40" s="726">
        <v>1202804003</v>
      </c>
      <c r="D40" s="727">
        <v>420.9</v>
      </c>
      <c r="E40" s="728">
        <v>3</v>
      </c>
      <c r="F40" s="729"/>
      <c r="G40" s="534">
        <f t="shared" si="13"/>
        <v>8838.9</v>
      </c>
      <c r="H40" s="534">
        <f t="shared" si="13"/>
        <v>8838.9</v>
      </c>
      <c r="I40" s="534">
        <f t="shared" si="12"/>
        <v>8838.9</v>
      </c>
      <c r="J40" s="534">
        <f t="shared" si="12"/>
        <v>8838.9</v>
      </c>
      <c r="K40" s="534">
        <f t="shared" si="12"/>
        <v>8838.9</v>
      </c>
      <c r="L40" s="534">
        <f t="shared" si="12"/>
        <v>8838.9</v>
      </c>
      <c r="M40" s="534">
        <f t="shared" si="12"/>
        <v>8838.9</v>
      </c>
      <c r="N40" s="534">
        <f t="shared" si="12"/>
        <v>8838.9</v>
      </c>
      <c r="O40" s="534">
        <f t="shared" si="12"/>
        <v>8838.9</v>
      </c>
      <c r="P40" s="534">
        <f t="shared" si="12"/>
        <v>8838.9</v>
      </c>
      <c r="Q40" s="534">
        <f t="shared" si="12"/>
        <v>8838.9</v>
      </c>
      <c r="R40" s="534">
        <f t="shared" si="12"/>
        <v>8838.9</v>
      </c>
    </row>
    <row r="41" spans="2:20" x14ac:dyDescent="0.2">
      <c r="B41" s="725" t="s">
        <v>593</v>
      </c>
      <c r="C41" s="726">
        <v>730403000676</v>
      </c>
      <c r="D41" s="727">
        <v>164.15999999999997</v>
      </c>
      <c r="E41" s="728">
        <v>2</v>
      </c>
      <c r="F41" s="729"/>
      <c r="G41" s="534">
        <f t="shared" si="13"/>
        <v>2298.2399999999998</v>
      </c>
      <c r="H41" s="534">
        <f t="shared" si="13"/>
        <v>2298.2399999999998</v>
      </c>
      <c r="I41" s="534">
        <f t="shared" si="12"/>
        <v>2298.2399999999998</v>
      </c>
      <c r="J41" s="534">
        <f t="shared" si="12"/>
        <v>2298.2399999999998</v>
      </c>
      <c r="K41" s="534">
        <f t="shared" si="12"/>
        <v>2298.2399999999998</v>
      </c>
      <c r="L41" s="534">
        <f t="shared" si="12"/>
        <v>2298.2399999999998</v>
      </c>
      <c r="M41" s="534">
        <f t="shared" si="12"/>
        <v>2298.2399999999998</v>
      </c>
      <c r="N41" s="534">
        <f t="shared" si="12"/>
        <v>2298.2399999999998</v>
      </c>
      <c r="O41" s="534">
        <f t="shared" si="12"/>
        <v>2298.2399999999998</v>
      </c>
      <c r="P41" s="534">
        <f t="shared" si="12"/>
        <v>2298.2399999999998</v>
      </c>
      <c r="Q41" s="534">
        <f t="shared" si="12"/>
        <v>2298.2399999999998</v>
      </c>
      <c r="R41" s="534">
        <f t="shared" si="12"/>
        <v>2298.2399999999998</v>
      </c>
    </row>
    <row r="42" spans="2:20" x14ac:dyDescent="0.2">
      <c r="B42" s="725" t="s">
        <v>594</v>
      </c>
      <c r="C42" s="726">
        <v>750201011176</v>
      </c>
      <c r="D42" s="727">
        <v>64.05</v>
      </c>
      <c r="E42" s="728">
        <v>2</v>
      </c>
      <c r="F42" s="729"/>
      <c r="G42" s="534">
        <f t="shared" si="13"/>
        <v>896.69999999999993</v>
      </c>
      <c r="H42" s="534">
        <f t="shared" si="13"/>
        <v>896.69999999999993</v>
      </c>
      <c r="I42" s="534">
        <f t="shared" si="12"/>
        <v>896.69999999999993</v>
      </c>
      <c r="J42" s="534">
        <f t="shared" si="12"/>
        <v>896.69999999999993</v>
      </c>
      <c r="K42" s="534">
        <f t="shared" si="12"/>
        <v>896.69999999999993</v>
      </c>
      <c r="L42" s="534">
        <f t="shared" si="12"/>
        <v>896.69999999999993</v>
      </c>
      <c r="M42" s="534">
        <f t="shared" si="12"/>
        <v>896.69999999999993</v>
      </c>
      <c r="N42" s="534">
        <f t="shared" si="12"/>
        <v>896.69999999999993</v>
      </c>
      <c r="O42" s="534">
        <f t="shared" si="12"/>
        <v>896.69999999999993</v>
      </c>
      <c r="P42" s="534">
        <f t="shared" si="12"/>
        <v>896.69999999999993</v>
      </c>
      <c r="Q42" s="534">
        <f t="shared" si="12"/>
        <v>896.69999999999993</v>
      </c>
      <c r="R42" s="534">
        <f t="shared" si="12"/>
        <v>896.69999999999993</v>
      </c>
    </row>
    <row r="43" spans="2:20" x14ac:dyDescent="0.2">
      <c r="B43" s="725" t="s">
        <v>595</v>
      </c>
      <c r="C43" s="726">
        <v>302030055771</v>
      </c>
      <c r="D43" s="727">
        <v>110.7684</v>
      </c>
      <c r="E43" s="728">
        <v>8</v>
      </c>
      <c r="F43" s="729"/>
      <c r="G43" s="534">
        <f t="shared" si="13"/>
        <v>6203.0303999999996</v>
      </c>
      <c r="H43" s="534">
        <f t="shared" si="13"/>
        <v>6203.0303999999996</v>
      </c>
      <c r="I43" s="534">
        <f t="shared" si="12"/>
        <v>6203.0303999999996</v>
      </c>
      <c r="J43" s="534">
        <f t="shared" si="12"/>
        <v>6203.0303999999996</v>
      </c>
      <c r="K43" s="534">
        <f t="shared" si="12"/>
        <v>6203.0303999999996</v>
      </c>
      <c r="L43" s="534">
        <f t="shared" si="12"/>
        <v>6203.0303999999996</v>
      </c>
      <c r="M43" s="534">
        <f t="shared" si="12"/>
        <v>6203.0303999999996</v>
      </c>
      <c r="N43" s="534">
        <f t="shared" si="12"/>
        <v>6203.0303999999996</v>
      </c>
      <c r="O43" s="534">
        <f t="shared" si="12"/>
        <v>6203.0303999999996</v>
      </c>
      <c r="P43" s="534">
        <f t="shared" si="12"/>
        <v>6203.0303999999996</v>
      </c>
      <c r="Q43" s="534">
        <f t="shared" si="12"/>
        <v>6203.0303999999996</v>
      </c>
      <c r="R43" s="534">
        <f t="shared" si="12"/>
        <v>6203.0303999999996</v>
      </c>
    </row>
    <row r="44" spans="2:20" x14ac:dyDescent="0.2">
      <c r="B44" s="725" t="s">
        <v>596</v>
      </c>
      <c r="C44" s="726">
        <v>302030055762</v>
      </c>
      <c r="D44" s="727">
        <v>102.4614</v>
      </c>
      <c r="E44" s="728">
        <v>4</v>
      </c>
      <c r="F44" s="729"/>
      <c r="G44" s="534">
        <f t="shared" si="13"/>
        <v>2868.9191999999998</v>
      </c>
      <c r="H44" s="534">
        <f t="shared" si="13"/>
        <v>2868.9191999999998</v>
      </c>
      <c r="I44" s="534">
        <f t="shared" si="12"/>
        <v>2868.9191999999998</v>
      </c>
      <c r="J44" s="534">
        <f t="shared" si="12"/>
        <v>2868.9191999999998</v>
      </c>
      <c r="K44" s="534">
        <f t="shared" si="12"/>
        <v>2868.9191999999998</v>
      </c>
      <c r="L44" s="534">
        <f t="shared" si="12"/>
        <v>2868.9191999999998</v>
      </c>
      <c r="M44" s="534">
        <f t="shared" si="12"/>
        <v>2868.9191999999998</v>
      </c>
      <c r="N44" s="534">
        <f t="shared" si="12"/>
        <v>2868.9191999999998</v>
      </c>
      <c r="O44" s="534">
        <f t="shared" si="12"/>
        <v>2868.9191999999998</v>
      </c>
      <c r="P44" s="534">
        <f t="shared" si="12"/>
        <v>2868.9191999999998</v>
      </c>
      <c r="Q44" s="534">
        <f t="shared" si="12"/>
        <v>2868.9191999999998</v>
      </c>
      <c r="R44" s="534">
        <f t="shared" si="12"/>
        <v>2868.9191999999998</v>
      </c>
    </row>
    <row r="45" spans="2:20" x14ac:dyDescent="0.2">
      <c r="B45" s="725" t="s">
        <v>597</v>
      </c>
      <c r="C45" s="726">
        <v>730403000276</v>
      </c>
      <c r="D45" s="727">
        <v>57.644999999999996</v>
      </c>
      <c r="E45" s="728">
        <v>1</v>
      </c>
      <c r="F45" s="729"/>
      <c r="G45" s="534">
        <f t="shared" si="13"/>
        <v>403.51499999999999</v>
      </c>
      <c r="H45" s="534">
        <f t="shared" si="13"/>
        <v>403.51499999999999</v>
      </c>
      <c r="I45" s="534">
        <f t="shared" si="12"/>
        <v>403.51499999999999</v>
      </c>
      <c r="J45" s="534">
        <f t="shared" si="12"/>
        <v>403.51499999999999</v>
      </c>
      <c r="K45" s="534">
        <f t="shared" si="12"/>
        <v>403.51499999999999</v>
      </c>
      <c r="L45" s="534">
        <f t="shared" si="12"/>
        <v>403.51499999999999</v>
      </c>
      <c r="M45" s="534">
        <f t="shared" si="12"/>
        <v>403.51499999999999</v>
      </c>
      <c r="N45" s="534">
        <f t="shared" si="12"/>
        <v>403.51499999999999</v>
      </c>
      <c r="O45" s="534">
        <f t="shared" si="12"/>
        <v>403.51499999999999</v>
      </c>
      <c r="P45" s="534">
        <f t="shared" si="12"/>
        <v>403.51499999999999</v>
      </c>
      <c r="Q45" s="534">
        <f t="shared" si="12"/>
        <v>403.51499999999999</v>
      </c>
      <c r="R45" s="534">
        <f t="shared" si="12"/>
        <v>403.51499999999999</v>
      </c>
      <c r="T45" s="731"/>
    </row>
    <row r="46" spans="2:20" x14ac:dyDescent="0.2">
      <c r="B46" s="725" t="s">
        <v>590</v>
      </c>
      <c r="C46" s="730" t="s">
        <v>591</v>
      </c>
      <c r="D46" s="727">
        <v>6.5609999999999999</v>
      </c>
      <c r="E46" s="728">
        <v>75</v>
      </c>
      <c r="F46" s="729"/>
      <c r="G46" s="534">
        <f>IF(G$15=0,0,G$15/$D$15*$E46*$D46)</f>
        <v>3444.5250000000001</v>
      </c>
      <c r="H46" s="534">
        <f t="shared" si="13"/>
        <v>3444.5250000000001</v>
      </c>
      <c r="I46" s="534">
        <f t="shared" si="12"/>
        <v>3444.5250000000001</v>
      </c>
      <c r="J46" s="534">
        <f>IF(J$15=0,0,J$15/$D$15*$E46*$D46)</f>
        <v>3444.5250000000001</v>
      </c>
      <c r="K46" s="534">
        <f t="shared" si="12"/>
        <v>3444.5250000000001</v>
      </c>
      <c r="L46" s="534">
        <f t="shared" si="12"/>
        <v>3444.5250000000001</v>
      </c>
      <c r="M46" s="534">
        <f t="shared" si="12"/>
        <v>3444.5250000000001</v>
      </c>
      <c r="N46" s="534">
        <f t="shared" si="12"/>
        <v>3444.5250000000001</v>
      </c>
      <c r="O46" s="534">
        <f t="shared" si="12"/>
        <v>3444.5250000000001</v>
      </c>
      <c r="P46" s="534">
        <f t="shared" si="12"/>
        <v>3444.5250000000001</v>
      </c>
      <c r="Q46" s="534">
        <f t="shared" si="12"/>
        <v>3444.5250000000001</v>
      </c>
      <c r="R46" s="534">
        <f t="shared" si="12"/>
        <v>3444.5250000000001</v>
      </c>
    </row>
    <row r="47" spans="2:20" x14ac:dyDescent="0.2">
      <c r="B47" s="723" t="s">
        <v>396</v>
      </c>
      <c r="C47" s="470"/>
      <c r="D47" s="724"/>
      <c r="E47" s="569">
        <f>VLOOKUP($B47,$B$14:$C$17,2,FALSE)</f>
        <v>1000</v>
      </c>
      <c r="F47" s="473">
        <f>VLOOKUP($B47,$B$14:$E$17,4,FALSE)</f>
        <v>4</v>
      </c>
      <c r="G47" s="474"/>
      <c r="H47" s="474"/>
      <c r="I47" s="474"/>
      <c r="J47" s="474"/>
      <c r="K47" s="474"/>
      <c r="L47" s="474"/>
      <c r="M47" s="474"/>
      <c r="N47" s="474"/>
      <c r="O47" s="474"/>
      <c r="P47" s="474"/>
      <c r="Q47" s="474"/>
      <c r="R47" s="474"/>
    </row>
    <row r="48" spans="2:20" x14ac:dyDescent="0.2">
      <c r="B48" s="725" t="s">
        <v>580</v>
      </c>
      <c r="C48" s="726">
        <v>750201012207</v>
      </c>
      <c r="D48" s="727">
        <v>159.86879999999999</v>
      </c>
      <c r="E48" s="728">
        <v>2</v>
      </c>
      <c r="F48" s="729"/>
      <c r="G48" s="534">
        <f>IF(G$16=0,0,G$16/$D$16*$E48*$D48)</f>
        <v>1278.9503999999999</v>
      </c>
      <c r="H48" s="534">
        <f t="shared" ref="H48:R70" si="14">IF(H$16=0,0,H$16/$D$16*$E48*$D48)</f>
        <v>1278.9503999999999</v>
      </c>
      <c r="I48" s="534">
        <f t="shared" si="14"/>
        <v>1278.9503999999999</v>
      </c>
      <c r="J48" s="534">
        <f t="shared" si="14"/>
        <v>1278.9503999999999</v>
      </c>
      <c r="K48" s="534">
        <f t="shared" si="14"/>
        <v>1278.9503999999999</v>
      </c>
      <c r="L48" s="534">
        <f t="shared" si="14"/>
        <v>1278.9503999999999</v>
      </c>
      <c r="M48" s="534">
        <f t="shared" si="14"/>
        <v>1278.9503999999999</v>
      </c>
      <c r="N48" s="534">
        <f t="shared" si="14"/>
        <v>1278.9503999999999</v>
      </c>
      <c r="O48" s="534">
        <f t="shared" si="14"/>
        <v>1278.9503999999999</v>
      </c>
      <c r="P48" s="534">
        <f t="shared" si="14"/>
        <v>1278.9503999999999</v>
      </c>
      <c r="Q48" s="534">
        <f>IF(Q$16=0,0,Q$16/$D$16*$E48*$D48)</f>
        <v>1278.9503999999999</v>
      </c>
      <c r="R48" s="534">
        <f>IF(R$16=0,0,R$16/$D$16*$E48*$D48)</f>
        <v>1278.9503999999999</v>
      </c>
    </row>
    <row r="49" spans="2:20" x14ac:dyDescent="0.2">
      <c r="B49" s="725" t="s">
        <v>581</v>
      </c>
      <c r="C49" s="726" t="s">
        <v>582</v>
      </c>
      <c r="D49" s="727">
        <v>127.8</v>
      </c>
      <c r="E49" s="728">
        <v>1</v>
      </c>
      <c r="F49" s="729"/>
      <c r="G49" s="534">
        <f t="shared" ref="G49:R75" si="15">IF(G$16=0,0,G$16/$D$16*$E49*$D49)</f>
        <v>511.2</v>
      </c>
      <c r="H49" s="534">
        <f t="shared" si="14"/>
        <v>511.2</v>
      </c>
      <c r="I49" s="534">
        <f t="shared" si="14"/>
        <v>511.2</v>
      </c>
      <c r="J49" s="534">
        <f t="shared" si="14"/>
        <v>511.2</v>
      </c>
      <c r="K49" s="534">
        <f t="shared" si="14"/>
        <v>511.2</v>
      </c>
      <c r="L49" s="534">
        <f t="shared" si="14"/>
        <v>511.2</v>
      </c>
      <c r="M49" s="534">
        <f t="shared" si="14"/>
        <v>511.2</v>
      </c>
      <c r="N49" s="534">
        <f t="shared" si="14"/>
        <v>511.2</v>
      </c>
      <c r="O49" s="534">
        <f t="shared" si="14"/>
        <v>511.2</v>
      </c>
      <c r="P49" s="534">
        <f t="shared" si="14"/>
        <v>511.2</v>
      </c>
      <c r="Q49" s="534">
        <f t="shared" si="14"/>
        <v>511.2</v>
      </c>
      <c r="R49" s="534">
        <f t="shared" si="14"/>
        <v>511.2</v>
      </c>
    </row>
    <row r="50" spans="2:20" x14ac:dyDescent="0.2">
      <c r="B50" s="725" t="s">
        <v>581</v>
      </c>
      <c r="C50" s="726" t="s">
        <v>583</v>
      </c>
      <c r="D50" s="727">
        <v>172.43999999999997</v>
      </c>
      <c r="E50" s="728">
        <v>1</v>
      </c>
      <c r="F50" s="729"/>
      <c r="G50" s="534">
        <f t="shared" si="15"/>
        <v>689.75999999999988</v>
      </c>
      <c r="H50" s="534">
        <f t="shared" si="14"/>
        <v>689.75999999999988</v>
      </c>
      <c r="I50" s="534">
        <f t="shared" si="14"/>
        <v>689.75999999999988</v>
      </c>
      <c r="J50" s="534">
        <f t="shared" si="14"/>
        <v>689.75999999999988</v>
      </c>
      <c r="K50" s="534">
        <f t="shared" si="14"/>
        <v>689.75999999999988</v>
      </c>
      <c r="L50" s="534">
        <f t="shared" si="14"/>
        <v>689.75999999999988</v>
      </c>
      <c r="M50" s="534">
        <f t="shared" si="14"/>
        <v>689.75999999999988</v>
      </c>
      <c r="N50" s="534">
        <f t="shared" si="14"/>
        <v>689.75999999999988</v>
      </c>
      <c r="O50" s="534">
        <f t="shared" si="14"/>
        <v>689.75999999999988</v>
      </c>
      <c r="P50" s="534">
        <f t="shared" si="14"/>
        <v>689.75999999999988</v>
      </c>
      <c r="Q50" s="534">
        <f t="shared" si="14"/>
        <v>689.75999999999988</v>
      </c>
      <c r="R50" s="534">
        <f t="shared" si="14"/>
        <v>689.75999999999988</v>
      </c>
    </row>
    <row r="51" spans="2:20" x14ac:dyDescent="0.2">
      <c r="B51" s="725" t="s">
        <v>584</v>
      </c>
      <c r="C51" s="726">
        <v>750201018263</v>
      </c>
      <c r="D51" s="727">
        <v>83.52</v>
      </c>
      <c r="E51" s="728">
        <v>1</v>
      </c>
      <c r="F51" s="729"/>
      <c r="G51" s="534">
        <f t="shared" si="15"/>
        <v>334.08</v>
      </c>
      <c r="H51" s="534">
        <f t="shared" si="14"/>
        <v>334.08</v>
      </c>
      <c r="I51" s="534">
        <f t="shared" si="14"/>
        <v>334.08</v>
      </c>
      <c r="J51" s="534">
        <f t="shared" si="14"/>
        <v>334.08</v>
      </c>
      <c r="K51" s="534">
        <f t="shared" si="14"/>
        <v>334.08</v>
      </c>
      <c r="L51" s="534">
        <f t="shared" si="14"/>
        <v>334.08</v>
      </c>
      <c r="M51" s="534">
        <f t="shared" si="14"/>
        <v>334.08</v>
      </c>
      <c r="N51" s="534">
        <f t="shared" si="14"/>
        <v>334.08</v>
      </c>
      <c r="O51" s="534">
        <f t="shared" si="14"/>
        <v>334.08</v>
      </c>
      <c r="P51" s="534">
        <f t="shared" si="14"/>
        <v>334.08</v>
      </c>
      <c r="Q51" s="534">
        <f t="shared" si="14"/>
        <v>334.08</v>
      </c>
      <c r="R51" s="534">
        <f t="shared" si="14"/>
        <v>334.08</v>
      </c>
    </row>
    <row r="52" spans="2:20" x14ac:dyDescent="0.2">
      <c r="B52" s="725" t="s">
        <v>585</v>
      </c>
      <c r="C52" s="726">
        <v>730403000677</v>
      </c>
      <c r="D52" s="727">
        <v>380.16</v>
      </c>
      <c r="E52" s="728">
        <v>2</v>
      </c>
      <c r="F52" s="729"/>
      <c r="G52" s="534">
        <f t="shared" si="15"/>
        <v>3041.28</v>
      </c>
      <c r="H52" s="534">
        <f t="shared" si="14"/>
        <v>3041.28</v>
      </c>
      <c r="I52" s="534">
        <f t="shared" si="14"/>
        <v>3041.28</v>
      </c>
      <c r="J52" s="534">
        <f t="shared" si="14"/>
        <v>3041.28</v>
      </c>
      <c r="K52" s="534">
        <f t="shared" si="14"/>
        <v>3041.28</v>
      </c>
      <c r="L52" s="534">
        <f t="shared" si="14"/>
        <v>3041.28</v>
      </c>
      <c r="M52" s="534">
        <f t="shared" si="14"/>
        <v>3041.28</v>
      </c>
      <c r="N52" s="534">
        <f t="shared" si="14"/>
        <v>3041.28</v>
      </c>
      <c r="O52" s="534">
        <f t="shared" si="14"/>
        <v>3041.28</v>
      </c>
      <c r="P52" s="534">
        <f t="shared" si="14"/>
        <v>3041.28</v>
      </c>
      <c r="Q52" s="534">
        <f t="shared" si="14"/>
        <v>3041.28</v>
      </c>
      <c r="R52" s="534">
        <f t="shared" si="14"/>
        <v>3041.28</v>
      </c>
    </row>
    <row r="53" spans="2:20" x14ac:dyDescent="0.2">
      <c r="B53" s="725" t="s">
        <v>586</v>
      </c>
      <c r="C53" s="726">
        <v>730403000677</v>
      </c>
      <c r="D53" s="727">
        <v>380.16</v>
      </c>
      <c r="E53" s="728">
        <v>2</v>
      </c>
      <c r="F53" s="729"/>
      <c r="G53" s="534">
        <f t="shared" si="15"/>
        <v>3041.28</v>
      </c>
      <c r="H53" s="534">
        <f t="shared" si="14"/>
        <v>3041.28</v>
      </c>
      <c r="I53" s="534">
        <f t="shared" si="14"/>
        <v>3041.28</v>
      </c>
      <c r="J53" s="534">
        <f t="shared" si="14"/>
        <v>3041.28</v>
      </c>
      <c r="K53" s="534">
        <f t="shared" si="14"/>
        <v>3041.28</v>
      </c>
      <c r="L53" s="534">
        <f t="shared" si="14"/>
        <v>3041.28</v>
      </c>
      <c r="M53" s="534">
        <f t="shared" si="14"/>
        <v>3041.28</v>
      </c>
      <c r="N53" s="534">
        <f t="shared" si="14"/>
        <v>3041.28</v>
      </c>
      <c r="O53" s="534">
        <f t="shared" si="14"/>
        <v>3041.28</v>
      </c>
      <c r="P53" s="534">
        <f t="shared" si="14"/>
        <v>3041.28</v>
      </c>
      <c r="Q53" s="534">
        <f t="shared" si="14"/>
        <v>3041.28</v>
      </c>
      <c r="R53" s="534">
        <f t="shared" si="14"/>
        <v>3041.28</v>
      </c>
    </row>
    <row r="54" spans="2:20" x14ac:dyDescent="0.2">
      <c r="B54" s="725" t="s">
        <v>587</v>
      </c>
      <c r="C54" s="726" t="s">
        <v>588</v>
      </c>
      <c r="D54" s="727">
        <v>427.24799999999999</v>
      </c>
      <c r="E54" s="728">
        <v>1</v>
      </c>
      <c r="F54" s="473"/>
      <c r="G54" s="534">
        <f t="shared" si="15"/>
        <v>1708.992</v>
      </c>
      <c r="H54" s="534">
        <f t="shared" si="14"/>
        <v>1708.992</v>
      </c>
      <c r="I54" s="534">
        <f t="shared" si="14"/>
        <v>1708.992</v>
      </c>
      <c r="J54" s="534">
        <f t="shared" si="14"/>
        <v>1708.992</v>
      </c>
      <c r="K54" s="534">
        <f t="shared" si="14"/>
        <v>1708.992</v>
      </c>
      <c r="L54" s="534">
        <f t="shared" si="14"/>
        <v>1708.992</v>
      </c>
      <c r="M54" s="534">
        <f t="shared" si="14"/>
        <v>1708.992</v>
      </c>
      <c r="N54" s="534">
        <f t="shared" si="14"/>
        <v>1708.992</v>
      </c>
      <c r="O54" s="534">
        <f t="shared" si="14"/>
        <v>1708.992</v>
      </c>
      <c r="P54" s="534">
        <f t="shared" si="14"/>
        <v>1708.992</v>
      </c>
      <c r="Q54" s="534">
        <f t="shared" si="14"/>
        <v>1708.992</v>
      </c>
      <c r="R54" s="534">
        <f t="shared" si="14"/>
        <v>1708.992</v>
      </c>
    </row>
    <row r="55" spans="2:20" x14ac:dyDescent="0.2">
      <c r="B55" s="725" t="s">
        <v>589</v>
      </c>
      <c r="C55" s="726">
        <v>750201011177</v>
      </c>
      <c r="D55" s="727">
        <v>146.03399999999999</v>
      </c>
      <c r="E55" s="728">
        <v>2</v>
      </c>
      <c r="F55" s="729"/>
      <c r="G55" s="534">
        <f t="shared" si="15"/>
        <v>1168.2719999999999</v>
      </c>
      <c r="H55" s="534">
        <f t="shared" si="14"/>
        <v>1168.2719999999999</v>
      </c>
      <c r="I55" s="534">
        <f t="shared" si="14"/>
        <v>1168.2719999999999</v>
      </c>
      <c r="J55" s="534">
        <f t="shared" si="14"/>
        <v>1168.2719999999999</v>
      </c>
      <c r="K55" s="534">
        <f t="shared" si="14"/>
        <v>1168.2719999999999</v>
      </c>
      <c r="L55" s="534">
        <f t="shared" si="14"/>
        <v>1168.2719999999999</v>
      </c>
      <c r="M55" s="534">
        <f t="shared" si="14"/>
        <v>1168.2719999999999</v>
      </c>
      <c r="N55" s="534">
        <f t="shared" si="14"/>
        <v>1168.2719999999999</v>
      </c>
      <c r="O55" s="534">
        <f t="shared" si="14"/>
        <v>1168.2719999999999</v>
      </c>
      <c r="P55" s="534">
        <f t="shared" si="14"/>
        <v>1168.2719999999999</v>
      </c>
      <c r="Q55" s="534">
        <f t="shared" si="14"/>
        <v>1168.2719999999999</v>
      </c>
      <c r="R55" s="534">
        <f t="shared" si="14"/>
        <v>1168.2719999999999</v>
      </c>
    </row>
    <row r="56" spans="2:20" x14ac:dyDescent="0.2">
      <c r="B56" s="725" t="s">
        <v>592</v>
      </c>
      <c r="C56" s="726">
        <v>1202804003</v>
      </c>
      <c r="D56" s="727">
        <v>420.9</v>
      </c>
      <c r="E56" s="728">
        <v>3</v>
      </c>
      <c r="F56" s="729"/>
      <c r="G56" s="534">
        <f t="shared" si="15"/>
        <v>5050.7999999999993</v>
      </c>
      <c r="H56" s="534">
        <f t="shared" si="14"/>
        <v>5050.7999999999993</v>
      </c>
      <c r="I56" s="534">
        <f t="shared" si="14"/>
        <v>5050.7999999999993</v>
      </c>
      <c r="J56" s="534">
        <f t="shared" si="14"/>
        <v>5050.7999999999993</v>
      </c>
      <c r="K56" s="534">
        <f t="shared" si="14"/>
        <v>5050.7999999999993</v>
      </c>
      <c r="L56" s="534">
        <f t="shared" si="14"/>
        <v>5050.7999999999993</v>
      </c>
      <c r="M56" s="534">
        <f t="shared" si="14"/>
        <v>5050.7999999999993</v>
      </c>
      <c r="N56" s="534">
        <f t="shared" si="14"/>
        <v>5050.7999999999993</v>
      </c>
      <c r="O56" s="534">
        <f t="shared" si="14"/>
        <v>5050.7999999999993</v>
      </c>
      <c r="P56" s="534">
        <f t="shared" si="14"/>
        <v>5050.7999999999993</v>
      </c>
      <c r="Q56" s="534">
        <f t="shared" si="14"/>
        <v>5050.7999999999993</v>
      </c>
      <c r="R56" s="534">
        <f t="shared" si="14"/>
        <v>5050.7999999999993</v>
      </c>
    </row>
    <row r="57" spans="2:20" x14ac:dyDescent="0.2">
      <c r="B57" s="725" t="s">
        <v>593</v>
      </c>
      <c r="C57" s="726">
        <v>730403000676</v>
      </c>
      <c r="D57" s="727">
        <v>164.15999999999997</v>
      </c>
      <c r="E57" s="728">
        <v>2</v>
      </c>
      <c r="F57" s="729"/>
      <c r="G57" s="534">
        <f t="shared" si="15"/>
        <v>1313.2799999999997</v>
      </c>
      <c r="H57" s="534">
        <f t="shared" si="14"/>
        <v>1313.2799999999997</v>
      </c>
      <c r="I57" s="534">
        <f t="shared" si="14"/>
        <v>1313.2799999999997</v>
      </c>
      <c r="J57" s="534">
        <f t="shared" si="14"/>
        <v>1313.2799999999997</v>
      </c>
      <c r="K57" s="534">
        <f t="shared" si="14"/>
        <v>1313.2799999999997</v>
      </c>
      <c r="L57" s="534">
        <f t="shared" si="14"/>
        <v>1313.2799999999997</v>
      </c>
      <c r="M57" s="534">
        <f t="shared" si="14"/>
        <v>1313.2799999999997</v>
      </c>
      <c r="N57" s="534">
        <f t="shared" si="14"/>
        <v>1313.2799999999997</v>
      </c>
      <c r="O57" s="534">
        <f t="shared" si="14"/>
        <v>1313.2799999999997</v>
      </c>
      <c r="P57" s="534">
        <f t="shared" si="14"/>
        <v>1313.2799999999997</v>
      </c>
      <c r="Q57" s="534">
        <f t="shared" si="14"/>
        <v>1313.2799999999997</v>
      </c>
      <c r="R57" s="534">
        <f t="shared" si="14"/>
        <v>1313.2799999999997</v>
      </c>
    </row>
    <row r="58" spans="2:20" x14ac:dyDescent="0.2">
      <c r="B58" s="725" t="s">
        <v>594</v>
      </c>
      <c r="C58" s="726">
        <v>750201011176</v>
      </c>
      <c r="D58" s="727">
        <v>64.05</v>
      </c>
      <c r="E58" s="728">
        <v>2</v>
      </c>
      <c r="F58" s="729"/>
      <c r="G58" s="534">
        <f t="shared" si="15"/>
        <v>512.4</v>
      </c>
      <c r="H58" s="534">
        <f t="shared" si="14"/>
        <v>512.4</v>
      </c>
      <c r="I58" s="534">
        <f t="shared" si="14"/>
        <v>512.4</v>
      </c>
      <c r="J58" s="534">
        <f t="shared" si="14"/>
        <v>512.4</v>
      </c>
      <c r="K58" s="534">
        <f t="shared" si="14"/>
        <v>512.4</v>
      </c>
      <c r="L58" s="534">
        <f t="shared" si="14"/>
        <v>512.4</v>
      </c>
      <c r="M58" s="534">
        <f t="shared" si="14"/>
        <v>512.4</v>
      </c>
      <c r="N58" s="534">
        <f t="shared" si="14"/>
        <v>512.4</v>
      </c>
      <c r="O58" s="534">
        <f t="shared" si="14"/>
        <v>512.4</v>
      </c>
      <c r="P58" s="534">
        <f t="shared" si="14"/>
        <v>512.4</v>
      </c>
      <c r="Q58" s="534">
        <f t="shared" si="14"/>
        <v>512.4</v>
      </c>
      <c r="R58" s="534">
        <f t="shared" si="14"/>
        <v>512.4</v>
      </c>
    </row>
    <row r="59" spans="2:20" x14ac:dyDescent="0.2">
      <c r="B59" s="725" t="s">
        <v>595</v>
      </c>
      <c r="C59" s="726">
        <v>302030055771</v>
      </c>
      <c r="D59" s="727">
        <v>110.7684</v>
      </c>
      <c r="E59" s="728">
        <v>8</v>
      </c>
      <c r="F59" s="729"/>
      <c r="G59" s="534">
        <f t="shared" si="15"/>
        <v>3544.5888</v>
      </c>
      <c r="H59" s="534">
        <f t="shared" si="14"/>
        <v>3544.5888</v>
      </c>
      <c r="I59" s="534">
        <f t="shared" si="14"/>
        <v>3544.5888</v>
      </c>
      <c r="J59" s="534">
        <f t="shared" si="14"/>
        <v>3544.5888</v>
      </c>
      <c r="K59" s="534">
        <f t="shared" si="14"/>
        <v>3544.5888</v>
      </c>
      <c r="L59" s="534">
        <f t="shared" si="14"/>
        <v>3544.5888</v>
      </c>
      <c r="M59" s="534">
        <f t="shared" si="14"/>
        <v>3544.5888</v>
      </c>
      <c r="N59" s="534">
        <f t="shared" si="14"/>
        <v>3544.5888</v>
      </c>
      <c r="O59" s="534">
        <f t="shared" si="14"/>
        <v>3544.5888</v>
      </c>
      <c r="P59" s="534">
        <f t="shared" si="14"/>
        <v>3544.5888</v>
      </c>
      <c r="Q59" s="534">
        <f t="shared" si="14"/>
        <v>3544.5888</v>
      </c>
      <c r="R59" s="534">
        <f t="shared" si="14"/>
        <v>3544.5888</v>
      </c>
    </row>
    <row r="60" spans="2:20" x14ac:dyDescent="0.2">
      <c r="B60" s="725" t="s">
        <v>596</v>
      </c>
      <c r="C60" s="726">
        <v>302030055762</v>
      </c>
      <c r="D60" s="727">
        <v>102.4614</v>
      </c>
      <c r="E60" s="728">
        <v>4</v>
      </c>
      <c r="F60" s="729"/>
      <c r="G60" s="534">
        <f t="shared" si="15"/>
        <v>1639.3824</v>
      </c>
      <c r="H60" s="534">
        <f t="shared" si="14"/>
        <v>1639.3824</v>
      </c>
      <c r="I60" s="534">
        <f t="shared" si="14"/>
        <v>1639.3824</v>
      </c>
      <c r="J60" s="534">
        <f t="shared" si="14"/>
        <v>1639.3824</v>
      </c>
      <c r="K60" s="534">
        <f t="shared" si="14"/>
        <v>1639.3824</v>
      </c>
      <c r="L60" s="534">
        <f t="shared" si="14"/>
        <v>1639.3824</v>
      </c>
      <c r="M60" s="534">
        <f t="shared" si="14"/>
        <v>1639.3824</v>
      </c>
      <c r="N60" s="534">
        <f t="shared" si="14"/>
        <v>1639.3824</v>
      </c>
      <c r="O60" s="534">
        <f t="shared" si="14"/>
        <v>1639.3824</v>
      </c>
      <c r="P60" s="534">
        <f t="shared" si="14"/>
        <v>1639.3824</v>
      </c>
      <c r="Q60" s="534">
        <f t="shared" si="14"/>
        <v>1639.3824</v>
      </c>
      <c r="R60" s="534">
        <f t="shared" si="14"/>
        <v>1639.3824</v>
      </c>
    </row>
    <row r="61" spans="2:20" x14ac:dyDescent="0.2">
      <c r="B61" s="725" t="s">
        <v>597</v>
      </c>
      <c r="C61" s="726">
        <v>730403000276</v>
      </c>
      <c r="D61" s="727">
        <v>57.644999999999996</v>
      </c>
      <c r="E61" s="728">
        <v>1</v>
      </c>
      <c r="F61" s="729"/>
      <c r="G61" s="534">
        <f t="shared" si="15"/>
        <v>230.57999999999998</v>
      </c>
      <c r="H61" s="534">
        <f t="shared" si="14"/>
        <v>230.57999999999998</v>
      </c>
      <c r="I61" s="534">
        <f t="shared" si="14"/>
        <v>230.57999999999998</v>
      </c>
      <c r="J61" s="534">
        <f t="shared" si="14"/>
        <v>230.57999999999998</v>
      </c>
      <c r="K61" s="534">
        <f t="shared" si="14"/>
        <v>230.57999999999998</v>
      </c>
      <c r="L61" s="534">
        <f t="shared" si="14"/>
        <v>230.57999999999998</v>
      </c>
      <c r="M61" s="534">
        <f t="shared" si="14"/>
        <v>230.57999999999998</v>
      </c>
      <c r="N61" s="534">
        <f t="shared" si="14"/>
        <v>230.57999999999998</v>
      </c>
      <c r="O61" s="534">
        <f t="shared" si="14"/>
        <v>230.57999999999998</v>
      </c>
      <c r="P61" s="534">
        <f t="shared" si="14"/>
        <v>230.57999999999998</v>
      </c>
      <c r="Q61" s="534">
        <f t="shared" si="14"/>
        <v>230.57999999999998</v>
      </c>
      <c r="R61" s="534">
        <f t="shared" si="14"/>
        <v>230.57999999999998</v>
      </c>
      <c r="T61" s="731"/>
    </row>
    <row r="62" spans="2:20" x14ac:dyDescent="0.2">
      <c r="B62" s="725" t="s">
        <v>598</v>
      </c>
      <c r="C62" s="726">
        <v>730403000068</v>
      </c>
      <c r="D62" s="727">
        <v>808.65364583333337</v>
      </c>
      <c r="E62" s="728">
        <v>2</v>
      </c>
      <c r="F62" s="729"/>
      <c r="G62" s="534">
        <f t="shared" si="15"/>
        <v>6469.229166666667</v>
      </c>
      <c r="H62" s="534">
        <f t="shared" si="14"/>
        <v>6469.229166666667</v>
      </c>
      <c r="I62" s="534">
        <f t="shared" si="14"/>
        <v>6469.229166666667</v>
      </c>
      <c r="J62" s="534">
        <f t="shared" si="14"/>
        <v>6469.229166666667</v>
      </c>
      <c r="K62" s="534">
        <f t="shared" si="14"/>
        <v>6469.229166666667</v>
      </c>
      <c r="L62" s="534">
        <f t="shared" si="14"/>
        <v>6469.229166666667</v>
      </c>
      <c r="M62" s="534">
        <f t="shared" si="14"/>
        <v>6469.229166666667</v>
      </c>
      <c r="N62" s="534">
        <f t="shared" si="14"/>
        <v>6469.229166666667</v>
      </c>
      <c r="O62" s="534">
        <f t="shared" si="14"/>
        <v>6469.229166666667</v>
      </c>
      <c r="P62" s="534">
        <f t="shared" si="14"/>
        <v>6469.229166666667</v>
      </c>
      <c r="Q62" s="534">
        <f t="shared" si="14"/>
        <v>6469.229166666667</v>
      </c>
      <c r="R62" s="534">
        <f t="shared" si="14"/>
        <v>6469.229166666667</v>
      </c>
      <c r="T62" s="731"/>
    </row>
    <row r="63" spans="2:20" x14ac:dyDescent="0.2">
      <c r="B63" s="725" t="s">
        <v>599</v>
      </c>
      <c r="C63" s="726">
        <v>750398000659</v>
      </c>
      <c r="D63" s="727">
        <v>46.655999999999992</v>
      </c>
      <c r="E63" s="728">
        <v>1</v>
      </c>
      <c r="F63" s="729"/>
      <c r="G63" s="534">
        <f t="shared" si="15"/>
        <v>186.62399999999997</v>
      </c>
      <c r="H63" s="534">
        <f t="shared" si="14"/>
        <v>186.62399999999997</v>
      </c>
      <c r="I63" s="534">
        <f t="shared" si="14"/>
        <v>186.62399999999997</v>
      </c>
      <c r="J63" s="534">
        <f t="shared" si="14"/>
        <v>186.62399999999997</v>
      </c>
      <c r="K63" s="534">
        <f t="shared" si="14"/>
        <v>186.62399999999997</v>
      </c>
      <c r="L63" s="534">
        <f t="shared" si="14"/>
        <v>186.62399999999997</v>
      </c>
      <c r="M63" s="534">
        <f t="shared" si="14"/>
        <v>186.62399999999997</v>
      </c>
      <c r="N63" s="534">
        <f t="shared" si="14"/>
        <v>186.62399999999997</v>
      </c>
      <c r="O63" s="534">
        <f t="shared" si="14"/>
        <v>186.62399999999997</v>
      </c>
      <c r="P63" s="534">
        <f t="shared" si="14"/>
        <v>186.62399999999997</v>
      </c>
      <c r="Q63" s="534">
        <f t="shared" si="14"/>
        <v>186.62399999999997</v>
      </c>
      <c r="R63" s="534">
        <f t="shared" si="14"/>
        <v>186.62399999999997</v>
      </c>
      <c r="T63" s="731"/>
    </row>
    <row r="64" spans="2:20" x14ac:dyDescent="0.2">
      <c r="B64" s="725" t="s">
        <v>600</v>
      </c>
      <c r="C64" s="726">
        <v>750201018267</v>
      </c>
      <c r="D64" s="727">
        <v>259.2</v>
      </c>
      <c r="E64" s="728">
        <v>1</v>
      </c>
      <c r="F64" s="729"/>
      <c r="G64" s="534">
        <f t="shared" si="15"/>
        <v>1036.8</v>
      </c>
      <c r="H64" s="534">
        <f t="shared" si="14"/>
        <v>1036.8</v>
      </c>
      <c r="I64" s="534">
        <f t="shared" si="14"/>
        <v>1036.8</v>
      </c>
      <c r="J64" s="534">
        <f t="shared" si="14"/>
        <v>1036.8</v>
      </c>
      <c r="K64" s="534">
        <f t="shared" si="14"/>
        <v>1036.8</v>
      </c>
      <c r="L64" s="534">
        <f t="shared" si="14"/>
        <v>1036.8</v>
      </c>
      <c r="M64" s="534">
        <f t="shared" si="14"/>
        <v>1036.8</v>
      </c>
      <c r="N64" s="534">
        <f t="shared" si="14"/>
        <v>1036.8</v>
      </c>
      <c r="O64" s="534">
        <f t="shared" si="14"/>
        <v>1036.8</v>
      </c>
      <c r="P64" s="534">
        <f t="shared" si="14"/>
        <v>1036.8</v>
      </c>
      <c r="Q64" s="534">
        <f t="shared" si="14"/>
        <v>1036.8</v>
      </c>
      <c r="R64" s="534">
        <f t="shared" si="14"/>
        <v>1036.8</v>
      </c>
      <c r="T64" s="731"/>
    </row>
    <row r="65" spans="2:20" x14ac:dyDescent="0.2">
      <c r="B65" s="725" t="s">
        <v>601</v>
      </c>
      <c r="C65" s="726" t="s">
        <v>602</v>
      </c>
      <c r="D65" s="727">
        <v>654.22500000000002</v>
      </c>
      <c r="E65" s="728">
        <v>1</v>
      </c>
      <c r="F65" s="729"/>
      <c r="G65" s="534">
        <f t="shared" si="15"/>
        <v>2616.9</v>
      </c>
      <c r="H65" s="534">
        <f t="shared" si="14"/>
        <v>2616.9</v>
      </c>
      <c r="I65" s="534">
        <f t="shared" si="14"/>
        <v>2616.9</v>
      </c>
      <c r="J65" s="534">
        <f t="shared" si="14"/>
        <v>2616.9</v>
      </c>
      <c r="K65" s="534">
        <f t="shared" si="14"/>
        <v>2616.9</v>
      </c>
      <c r="L65" s="534">
        <f t="shared" si="14"/>
        <v>2616.9</v>
      </c>
      <c r="M65" s="534">
        <f t="shared" si="14"/>
        <v>2616.9</v>
      </c>
      <c r="N65" s="534">
        <f t="shared" si="14"/>
        <v>2616.9</v>
      </c>
      <c r="O65" s="534">
        <f t="shared" si="14"/>
        <v>2616.9</v>
      </c>
      <c r="P65" s="534">
        <f t="shared" si="14"/>
        <v>2616.9</v>
      </c>
      <c r="Q65" s="534">
        <f t="shared" si="14"/>
        <v>2616.9</v>
      </c>
      <c r="R65" s="534">
        <f t="shared" si="14"/>
        <v>2616.9</v>
      </c>
      <c r="T65" s="731"/>
    </row>
    <row r="66" spans="2:20" x14ac:dyDescent="0.2">
      <c r="B66" s="725" t="s">
        <v>603</v>
      </c>
      <c r="C66" s="726">
        <v>730403010060</v>
      </c>
      <c r="D66" s="727">
        <v>251.625</v>
      </c>
      <c r="E66" s="728">
        <v>1</v>
      </c>
      <c r="F66" s="729"/>
      <c r="G66" s="534">
        <f t="shared" si="15"/>
        <v>1006.5</v>
      </c>
      <c r="H66" s="534">
        <f t="shared" si="14"/>
        <v>1006.5</v>
      </c>
      <c r="I66" s="534">
        <f t="shared" si="14"/>
        <v>1006.5</v>
      </c>
      <c r="J66" s="534">
        <f t="shared" si="14"/>
        <v>1006.5</v>
      </c>
      <c r="K66" s="534">
        <f t="shared" si="14"/>
        <v>1006.5</v>
      </c>
      <c r="L66" s="534">
        <f t="shared" si="14"/>
        <v>1006.5</v>
      </c>
      <c r="M66" s="534">
        <f t="shared" si="14"/>
        <v>1006.5</v>
      </c>
      <c r="N66" s="534">
        <f t="shared" si="14"/>
        <v>1006.5</v>
      </c>
      <c r="O66" s="534">
        <f t="shared" si="14"/>
        <v>1006.5</v>
      </c>
      <c r="P66" s="534">
        <f t="shared" si="14"/>
        <v>1006.5</v>
      </c>
      <c r="Q66" s="534">
        <f t="shared" si="14"/>
        <v>1006.5</v>
      </c>
      <c r="R66" s="534">
        <f t="shared" si="14"/>
        <v>1006.5</v>
      </c>
      <c r="T66" s="731"/>
    </row>
    <row r="67" spans="2:20" x14ac:dyDescent="0.2">
      <c r="B67" s="725" t="s">
        <v>604</v>
      </c>
      <c r="C67" s="726">
        <v>1604032083</v>
      </c>
      <c r="D67" s="727">
        <v>2815.4549999999999</v>
      </c>
      <c r="E67" s="728">
        <v>1</v>
      </c>
      <c r="F67" s="729"/>
      <c r="G67" s="534">
        <f t="shared" si="15"/>
        <v>11261.82</v>
      </c>
      <c r="H67" s="534">
        <f t="shared" si="14"/>
        <v>11261.82</v>
      </c>
      <c r="I67" s="534">
        <f t="shared" si="14"/>
        <v>11261.82</v>
      </c>
      <c r="J67" s="534">
        <f t="shared" si="14"/>
        <v>11261.82</v>
      </c>
      <c r="K67" s="534">
        <f t="shared" si="14"/>
        <v>11261.82</v>
      </c>
      <c r="L67" s="534">
        <f t="shared" si="14"/>
        <v>11261.82</v>
      </c>
      <c r="M67" s="534">
        <f t="shared" si="14"/>
        <v>11261.82</v>
      </c>
      <c r="N67" s="534">
        <f t="shared" si="14"/>
        <v>11261.82</v>
      </c>
      <c r="O67" s="534">
        <f t="shared" si="14"/>
        <v>11261.82</v>
      </c>
      <c r="P67" s="534">
        <f t="shared" si="14"/>
        <v>11261.82</v>
      </c>
      <c r="Q67" s="534">
        <f t="shared" si="14"/>
        <v>11261.82</v>
      </c>
      <c r="R67" s="534">
        <f t="shared" si="14"/>
        <v>11261.82</v>
      </c>
      <c r="T67" s="731"/>
    </row>
    <row r="68" spans="2:20" x14ac:dyDescent="0.2">
      <c r="B68" s="725" t="s">
        <v>605</v>
      </c>
      <c r="C68" s="726" t="s">
        <v>606</v>
      </c>
      <c r="D68" s="727">
        <v>86.16189</v>
      </c>
      <c r="E68" s="728">
        <v>54</v>
      </c>
      <c r="F68" s="729"/>
      <c r="G68" s="534">
        <f t="shared" si="15"/>
        <v>18610.968239999998</v>
      </c>
      <c r="H68" s="534">
        <f t="shared" si="14"/>
        <v>18610.968239999998</v>
      </c>
      <c r="I68" s="534">
        <f t="shared" si="14"/>
        <v>18610.968239999998</v>
      </c>
      <c r="J68" s="534">
        <f t="shared" si="14"/>
        <v>18610.968239999998</v>
      </c>
      <c r="K68" s="534">
        <f t="shared" si="14"/>
        <v>18610.968239999998</v>
      </c>
      <c r="L68" s="534">
        <f t="shared" si="14"/>
        <v>18610.968239999998</v>
      </c>
      <c r="M68" s="534">
        <f t="shared" si="14"/>
        <v>18610.968239999998</v>
      </c>
      <c r="N68" s="534">
        <f t="shared" si="14"/>
        <v>18610.968239999998</v>
      </c>
      <c r="O68" s="534">
        <f t="shared" si="14"/>
        <v>18610.968239999998</v>
      </c>
      <c r="P68" s="534">
        <f t="shared" si="14"/>
        <v>18610.968239999998</v>
      </c>
      <c r="Q68" s="534">
        <f t="shared" si="14"/>
        <v>18610.968239999998</v>
      </c>
      <c r="R68" s="534">
        <f t="shared" si="14"/>
        <v>18610.968239999998</v>
      </c>
      <c r="T68" s="731"/>
    </row>
    <row r="69" spans="2:20" x14ac:dyDescent="0.2">
      <c r="B69" s="725" t="s">
        <v>607</v>
      </c>
      <c r="C69" s="726" t="s">
        <v>608</v>
      </c>
      <c r="D69" s="727">
        <v>454.98599999999993</v>
      </c>
      <c r="E69" s="728">
        <v>1</v>
      </c>
      <c r="F69" s="729"/>
      <c r="G69" s="534">
        <f t="shared" si="15"/>
        <v>1819.9439999999997</v>
      </c>
      <c r="H69" s="534">
        <f t="shared" si="14"/>
        <v>1819.9439999999997</v>
      </c>
      <c r="I69" s="534">
        <f t="shared" si="14"/>
        <v>1819.9439999999997</v>
      </c>
      <c r="J69" s="534">
        <f t="shared" si="14"/>
        <v>1819.9439999999997</v>
      </c>
      <c r="K69" s="534">
        <f t="shared" si="14"/>
        <v>1819.9439999999997</v>
      </c>
      <c r="L69" s="534">
        <f t="shared" si="14"/>
        <v>1819.9439999999997</v>
      </c>
      <c r="M69" s="534">
        <f t="shared" si="14"/>
        <v>1819.9439999999997</v>
      </c>
      <c r="N69" s="534">
        <f t="shared" si="14"/>
        <v>1819.9439999999997</v>
      </c>
      <c r="O69" s="534">
        <f t="shared" si="14"/>
        <v>1819.9439999999997</v>
      </c>
      <c r="P69" s="534">
        <f t="shared" si="14"/>
        <v>1819.9439999999997</v>
      </c>
      <c r="Q69" s="534">
        <f t="shared" si="14"/>
        <v>1819.9439999999997</v>
      </c>
      <c r="R69" s="534">
        <f t="shared" si="14"/>
        <v>1819.9439999999997</v>
      </c>
      <c r="T69" s="731"/>
    </row>
    <row r="70" spans="2:20" x14ac:dyDescent="0.2">
      <c r="B70" s="725" t="s">
        <v>607</v>
      </c>
      <c r="C70" s="726" t="s">
        <v>609</v>
      </c>
      <c r="D70" s="727">
        <v>885.13199999999995</v>
      </c>
      <c r="E70" s="728">
        <v>1</v>
      </c>
      <c r="F70" s="729"/>
      <c r="G70" s="534">
        <f t="shared" si="15"/>
        <v>3540.5279999999998</v>
      </c>
      <c r="H70" s="534">
        <f t="shared" si="14"/>
        <v>3540.5279999999998</v>
      </c>
      <c r="I70" s="534">
        <f t="shared" si="14"/>
        <v>3540.5279999999998</v>
      </c>
      <c r="J70" s="534">
        <f t="shared" si="14"/>
        <v>3540.5279999999998</v>
      </c>
      <c r="K70" s="534">
        <f t="shared" si="14"/>
        <v>3540.5279999999998</v>
      </c>
      <c r="L70" s="534">
        <f t="shared" si="14"/>
        <v>3540.5279999999998</v>
      </c>
      <c r="M70" s="534">
        <f t="shared" si="14"/>
        <v>3540.5279999999998</v>
      </c>
      <c r="N70" s="534">
        <f t="shared" si="14"/>
        <v>3540.5279999999998</v>
      </c>
      <c r="O70" s="534">
        <f t="shared" si="14"/>
        <v>3540.5279999999998</v>
      </c>
      <c r="P70" s="534">
        <f t="shared" si="14"/>
        <v>3540.5279999999998</v>
      </c>
      <c r="Q70" s="534">
        <f t="shared" si="14"/>
        <v>3540.5279999999998</v>
      </c>
      <c r="R70" s="534">
        <f t="shared" si="14"/>
        <v>3540.5279999999998</v>
      </c>
      <c r="T70" s="731"/>
    </row>
    <row r="71" spans="2:20" x14ac:dyDescent="0.2">
      <c r="B71" s="725" t="s">
        <v>590</v>
      </c>
      <c r="C71" s="730" t="s">
        <v>591</v>
      </c>
      <c r="D71" s="727">
        <v>6.5609999999999999</v>
      </c>
      <c r="E71" s="728">
        <v>75</v>
      </c>
      <c r="F71" s="729"/>
      <c r="G71" s="534">
        <f t="shared" si="15"/>
        <v>1968.3</v>
      </c>
      <c r="H71" s="534">
        <f t="shared" si="15"/>
        <v>1968.3</v>
      </c>
      <c r="I71" s="534">
        <f t="shared" si="15"/>
        <v>1968.3</v>
      </c>
      <c r="J71" s="534">
        <f t="shared" si="15"/>
        <v>1968.3</v>
      </c>
      <c r="K71" s="534">
        <f t="shared" si="15"/>
        <v>1968.3</v>
      </c>
      <c r="L71" s="534">
        <f t="shared" si="15"/>
        <v>1968.3</v>
      </c>
      <c r="M71" s="534">
        <f t="shared" si="15"/>
        <v>1968.3</v>
      </c>
      <c r="N71" s="534">
        <f t="shared" si="15"/>
        <v>1968.3</v>
      </c>
      <c r="O71" s="534">
        <f t="shared" si="15"/>
        <v>1968.3</v>
      </c>
      <c r="P71" s="534">
        <f t="shared" si="15"/>
        <v>1968.3</v>
      </c>
      <c r="Q71" s="534">
        <f t="shared" si="15"/>
        <v>1968.3</v>
      </c>
      <c r="R71" s="534">
        <f t="shared" si="15"/>
        <v>1968.3</v>
      </c>
    </row>
    <row r="72" spans="2:20" x14ac:dyDescent="0.2">
      <c r="B72" s="725" t="s">
        <v>610</v>
      </c>
      <c r="C72" s="730" t="s">
        <v>611</v>
      </c>
      <c r="D72" s="727">
        <v>5.7977999999999996</v>
      </c>
      <c r="E72" s="728">
        <v>850</v>
      </c>
      <c r="F72" s="729"/>
      <c r="G72" s="534">
        <f t="shared" si="15"/>
        <v>19712.52</v>
      </c>
      <c r="H72" s="534">
        <f t="shared" si="15"/>
        <v>19712.52</v>
      </c>
      <c r="I72" s="534">
        <f t="shared" si="15"/>
        <v>19712.52</v>
      </c>
      <c r="J72" s="534">
        <f t="shared" si="15"/>
        <v>19712.52</v>
      </c>
      <c r="K72" s="534">
        <f t="shared" si="15"/>
        <v>19712.52</v>
      </c>
      <c r="L72" s="534">
        <f t="shared" si="15"/>
        <v>19712.52</v>
      </c>
      <c r="M72" s="534">
        <f t="shared" si="15"/>
        <v>19712.52</v>
      </c>
      <c r="N72" s="534">
        <f t="shared" si="15"/>
        <v>19712.52</v>
      </c>
      <c r="O72" s="534">
        <f t="shared" si="15"/>
        <v>19712.52</v>
      </c>
      <c r="P72" s="534">
        <f t="shared" si="15"/>
        <v>19712.52</v>
      </c>
      <c r="Q72" s="534">
        <f t="shared" si="15"/>
        <v>19712.52</v>
      </c>
      <c r="R72" s="534">
        <f t="shared" si="15"/>
        <v>19712.52</v>
      </c>
    </row>
    <row r="73" spans="2:20" x14ac:dyDescent="0.2">
      <c r="B73" s="725" t="s">
        <v>612</v>
      </c>
      <c r="C73" s="730" t="s">
        <v>613</v>
      </c>
      <c r="D73" s="727">
        <v>6.1037999999999988</v>
      </c>
      <c r="E73" s="728">
        <v>120</v>
      </c>
      <c r="F73" s="729"/>
      <c r="G73" s="534">
        <f t="shared" si="15"/>
        <v>2929.8239999999996</v>
      </c>
      <c r="H73" s="534">
        <f t="shared" si="15"/>
        <v>2929.8239999999996</v>
      </c>
      <c r="I73" s="534">
        <f t="shared" si="15"/>
        <v>2929.8239999999996</v>
      </c>
      <c r="J73" s="534">
        <f t="shared" si="15"/>
        <v>2929.8239999999996</v>
      </c>
      <c r="K73" s="534">
        <f t="shared" si="15"/>
        <v>2929.8239999999996</v>
      </c>
      <c r="L73" s="534">
        <f t="shared" si="15"/>
        <v>2929.8239999999996</v>
      </c>
      <c r="M73" s="534">
        <f t="shared" si="15"/>
        <v>2929.8239999999996</v>
      </c>
      <c r="N73" s="534">
        <f t="shared" si="15"/>
        <v>2929.8239999999996</v>
      </c>
      <c r="O73" s="534">
        <f t="shared" si="15"/>
        <v>2929.8239999999996</v>
      </c>
      <c r="P73" s="534">
        <f t="shared" si="15"/>
        <v>2929.8239999999996</v>
      </c>
      <c r="Q73" s="534">
        <f t="shared" si="15"/>
        <v>2929.8239999999996</v>
      </c>
      <c r="R73" s="534">
        <f t="shared" si="15"/>
        <v>2929.8239999999996</v>
      </c>
    </row>
    <row r="74" spans="2:20" x14ac:dyDescent="0.2">
      <c r="B74" s="725" t="s">
        <v>614</v>
      </c>
      <c r="C74" s="730" t="s">
        <v>615</v>
      </c>
      <c r="D74" s="727">
        <v>8.8506</v>
      </c>
      <c r="E74" s="728">
        <v>220</v>
      </c>
      <c r="F74" s="729"/>
      <c r="G74" s="534">
        <f t="shared" si="15"/>
        <v>7788.5280000000002</v>
      </c>
      <c r="H74" s="534">
        <f t="shared" si="15"/>
        <v>7788.5280000000002</v>
      </c>
      <c r="I74" s="534">
        <f t="shared" si="15"/>
        <v>7788.5280000000002</v>
      </c>
      <c r="J74" s="534">
        <f t="shared" si="15"/>
        <v>7788.5280000000002</v>
      </c>
      <c r="K74" s="534">
        <f t="shared" si="15"/>
        <v>7788.5280000000002</v>
      </c>
      <c r="L74" s="534">
        <f t="shared" si="15"/>
        <v>7788.5280000000002</v>
      </c>
      <c r="M74" s="534">
        <f t="shared" si="15"/>
        <v>7788.5280000000002</v>
      </c>
      <c r="N74" s="534">
        <f t="shared" si="15"/>
        <v>7788.5280000000002</v>
      </c>
      <c r="O74" s="534">
        <f t="shared" si="15"/>
        <v>7788.5280000000002</v>
      </c>
      <c r="P74" s="534">
        <f t="shared" si="15"/>
        <v>7788.5280000000002</v>
      </c>
      <c r="Q74" s="534">
        <f t="shared" si="15"/>
        <v>7788.5280000000002</v>
      </c>
      <c r="R74" s="534">
        <f t="shared" si="15"/>
        <v>7788.5280000000002</v>
      </c>
    </row>
    <row r="75" spans="2:20" x14ac:dyDescent="0.2">
      <c r="B75" s="725" t="s">
        <v>616</v>
      </c>
      <c r="C75" s="730" t="s">
        <v>617</v>
      </c>
      <c r="D75" s="727">
        <v>14.497200000000001</v>
      </c>
      <c r="E75" s="728">
        <v>80</v>
      </c>
      <c r="F75" s="729"/>
      <c r="G75" s="534">
        <f t="shared" si="15"/>
        <v>4639.1040000000003</v>
      </c>
      <c r="H75" s="534">
        <f t="shared" si="15"/>
        <v>4639.1040000000003</v>
      </c>
      <c r="I75" s="534">
        <f t="shared" si="15"/>
        <v>4639.1040000000003</v>
      </c>
      <c r="J75" s="534">
        <f t="shared" si="15"/>
        <v>4639.1040000000003</v>
      </c>
      <c r="K75" s="534">
        <f t="shared" si="15"/>
        <v>4639.1040000000003</v>
      </c>
      <c r="L75" s="534">
        <f t="shared" si="15"/>
        <v>4639.1040000000003</v>
      </c>
      <c r="M75" s="534">
        <f t="shared" si="15"/>
        <v>4639.1040000000003</v>
      </c>
      <c r="N75" s="534">
        <f t="shared" si="15"/>
        <v>4639.1040000000003</v>
      </c>
      <c r="O75" s="534">
        <f t="shared" si="15"/>
        <v>4639.1040000000003</v>
      </c>
      <c r="P75" s="534">
        <f t="shared" si="15"/>
        <v>4639.1040000000003</v>
      </c>
      <c r="Q75" s="534">
        <f t="shared" si="15"/>
        <v>4639.1040000000003</v>
      </c>
      <c r="R75" s="534">
        <f t="shared" si="15"/>
        <v>4639.1040000000003</v>
      </c>
    </row>
    <row r="76" spans="2:20" x14ac:dyDescent="0.2">
      <c r="B76" s="723" t="s">
        <v>397</v>
      </c>
      <c r="C76" s="470"/>
      <c r="D76" s="724"/>
      <c r="E76" s="569">
        <f>VLOOKUP($B76,$B$14:$C$17,2,FALSE)</f>
        <v>2000</v>
      </c>
      <c r="F76" s="473">
        <f>VLOOKUP($B76,$B$14:$E$17,4,FALSE)</f>
        <v>3</v>
      </c>
      <c r="G76" s="474"/>
      <c r="H76" s="474"/>
      <c r="I76" s="474"/>
      <c r="J76" s="474"/>
      <c r="K76" s="474"/>
      <c r="L76" s="474"/>
      <c r="M76" s="474"/>
      <c r="N76" s="474"/>
      <c r="O76" s="534"/>
      <c r="P76" s="474"/>
      <c r="Q76" s="474"/>
      <c r="R76" s="474"/>
    </row>
    <row r="77" spans="2:20" x14ac:dyDescent="0.2">
      <c r="B77" s="725" t="s">
        <v>580</v>
      </c>
      <c r="C77" s="726">
        <v>750201012207</v>
      </c>
      <c r="D77" s="727">
        <v>159.86879999999999</v>
      </c>
      <c r="E77" s="728">
        <v>2</v>
      </c>
      <c r="F77" s="729"/>
      <c r="G77" s="534">
        <f>IF(G$17=0,0,G$17/$D$17*$E77*$D77)</f>
        <v>959.21280000000002</v>
      </c>
      <c r="H77" s="534">
        <f t="shared" ref="H77:R92" si="16">IF(H$17=0,0,H$17/$D$17*$E77*$D77)</f>
        <v>959.21280000000002</v>
      </c>
      <c r="I77" s="534">
        <f t="shared" si="16"/>
        <v>959.21280000000002</v>
      </c>
      <c r="J77" s="534">
        <f t="shared" si="16"/>
        <v>959.21280000000002</v>
      </c>
      <c r="K77" s="534">
        <f t="shared" si="16"/>
        <v>959.21280000000002</v>
      </c>
      <c r="L77" s="534">
        <f t="shared" si="16"/>
        <v>959.21280000000002</v>
      </c>
      <c r="M77" s="534">
        <f t="shared" si="16"/>
        <v>959.21280000000002</v>
      </c>
      <c r="N77" s="534">
        <f t="shared" si="16"/>
        <v>959.21280000000002</v>
      </c>
      <c r="O77" s="534">
        <f t="shared" si="16"/>
        <v>959.21280000000002</v>
      </c>
      <c r="P77" s="534">
        <f t="shared" si="16"/>
        <v>959.21280000000002</v>
      </c>
      <c r="Q77" s="534">
        <f t="shared" si="16"/>
        <v>959.21280000000002</v>
      </c>
      <c r="R77" s="534">
        <f t="shared" si="16"/>
        <v>959.21280000000002</v>
      </c>
    </row>
    <row r="78" spans="2:20" x14ac:dyDescent="0.2">
      <c r="B78" s="725" t="s">
        <v>581</v>
      </c>
      <c r="C78" s="726" t="s">
        <v>582</v>
      </c>
      <c r="D78" s="727">
        <v>127.8</v>
      </c>
      <c r="E78" s="728">
        <v>1</v>
      </c>
      <c r="F78" s="729"/>
      <c r="G78" s="534">
        <f t="shared" ref="G78:R107" si="17">IF(G$17=0,0,G$17/$D$17*$E78*$D78)</f>
        <v>383.4</v>
      </c>
      <c r="H78" s="534">
        <f t="shared" si="16"/>
        <v>383.4</v>
      </c>
      <c r="I78" s="534">
        <f t="shared" si="16"/>
        <v>383.4</v>
      </c>
      <c r="J78" s="534">
        <f t="shared" si="16"/>
        <v>383.4</v>
      </c>
      <c r="K78" s="534">
        <f t="shared" si="16"/>
        <v>383.4</v>
      </c>
      <c r="L78" s="534">
        <f t="shared" si="16"/>
        <v>383.4</v>
      </c>
      <c r="M78" s="534">
        <f t="shared" si="16"/>
        <v>383.4</v>
      </c>
      <c r="N78" s="534">
        <f t="shared" si="16"/>
        <v>383.4</v>
      </c>
      <c r="O78" s="534">
        <f t="shared" si="16"/>
        <v>383.4</v>
      </c>
      <c r="P78" s="534">
        <f t="shared" si="16"/>
        <v>383.4</v>
      </c>
      <c r="Q78" s="534">
        <f t="shared" si="16"/>
        <v>383.4</v>
      </c>
      <c r="R78" s="534">
        <f t="shared" si="16"/>
        <v>383.4</v>
      </c>
    </row>
    <row r="79" spans="2:20" x14ac:dyDescent="0.2">
      <c r="B79" s="725" t="s">
        <v>581</v>
      </c>
      <c r="C79" s="726" t="s">
        <v>583</v>
      </c>
      <c r="D79" s="727">
        <v>172.43999999999997</v>
      </c>
      <c r="E79" s="728">
        <v>1</v>
      </c>
      <c r="F79" s="729"/>
      <c r="G79" s="534">
        <f t="shared" si="17"/>
        <v>517.31999999999994</v>
      </c>
      <c r="H79" s="534">
        <f t="shared" si="16"/>
        <v>517.31999999999994</v>
      </c>
      <c r="I79" s="534">
        <f t="shared" si="16"/>
        <v>517.31999999999994</v>
      </c>
      <c r="J79" s="534">
        <f t="shared" si="16"/>
        <v>517.31999999999994</v>
      </c>
      <c r="K79" s="534">
        <f t="shared" si="16"/>
        <v>517.31999999999994</v>
      </c>
      <c r="L79" s="534">
        <f t="shared" si="16"/>
        <v>517.31999999999994</v>
      </c>
      <c r="M79" s="534">
        <f t="shared" si="16"/>
        <v>517.31999999999994</v>
      </c>
      <c r="N79" s="534">
        <f t="shared" si="16"/>
        <v>517.31999999999994</v>
      </c>
      <c r="O79" s="534">
        <f t="shared" si="16"/>
        <v>517.31999999999994</v>
      </c>
      <c r="P79" s="534">
        <f t="shared" si="16"/>
        <v>517.31999999999994</v>
      </c>
      <c r="Q79" s="534">
        <f t="shared" si="16"/>
        <v>517.31999999999994</v>
      </c>
      <c r="R79" s="534">
        <f t="shared" si="16"/>
        <v>517.31999999999994</v>
      </c>
    </row>
    <row r="80" spans="2:20" x14ac:dyDescent="0.2">
      <c r="B80" s="725" t="s">
        <v>584</v>
      </c>
      <c r="C80" s="726">
        <v>750201018263</v>
      </c>
      <c r="D80" s="727">
        <v>83.52</v>
      </c>
      <c r="E80" s="728">
        <v>1</v>
      </c>
      <c r="F80" s="729"/>
      <c r="G80" s="534">
        <f t="shared" si="17"/>
        <v>250.56</v>
      </c>
      <c r="H80" s="534">
        <f t="shared" si="16"/>
        <v>250.56</v>
      </c>
      <c r="I80" s="534">
        <f t="shared" si="16"/>
        <v>250.56</v>
      </c>
      <c r="J80" s="534">
        <f t="shared" si="16"/>
        <v>250.56</v>
      </c>
      <c r="K80" s="534">
        <f t="shared" si="16"/>
        <v>250.56</v>
      </c>
      <c r="L80" s="534">
        <f t="shared" si="16"/>
        <v>250.56</v>
      </c>
      <c r="M80" s="534">
        <f t="shared" si="16"/>
        <v>250.56</v>
      </c>
      <c r="N80" s="534">
        <f t="shared" si="16"/>
        <v>250.56</v>
      </c>
      <c r="O80" s="534">
        <f t="shared" si="16"/>
        <v>250.56</v>
      </c>
      <c r="P80" s="534">
        <f t="shared" si="16"/>
        <v>250.56</v>
      </c>
      <c r="Q80" s="534">
        <f t="shared" si="16"/>
        <v>250.56</v>
      </c>
      <c r="R80" s="534">
        <f t="shared" si="16"/>
        <v>250.56</v>
      </c>
    </row>
    <row r="81" spans="2:18" x14ac:dyDescent="0.2">
      <c r="B81" s="725" t="s">
        <v>585</v>
      </c>
      <c r="C81" s="726">
        <v>730403000677</v>
      </c>
      <c r="D81" s="727">
        <v>380.16</v>
      </c>
      <c r="E81" s="728">
        <v>2</v>
      </c>
      <c r="F81" s="729"/>
      <c r="G81" s="534">
        <f t="shared" si="17"/>
        <v>2280.96</v>
      </c>
      <c r="H81" s="534">
        <f t="shared" si="16"/>
        <v>2280.96</v>
      </c>
      <c r="I81" s="534">
        <f t="shared" si="16"/>
        <v>2280.96</v>
      </c>
      <c r="J81" s="534">
        <f t="shared" si="16"/>
        <v>2280.96</v>
      </c>
      <c r="K81" s="534">
        <f t="shared" si="16"/>
        <v>2280.96</v>
      </c>
      <c r="L81" s="534">
        <f t="shared" si="16"/>
        <v>2280.96</v>
      </c>
      <c r="M81" s="534">
        <f t="shared" si="16"/>
        <v>2280.96</v>
      </c>
      <c r="N81" s="534">
        <f t="shared" si="16"/>
        <v>2280.96</v>
      </c>
      <c r="O81" s="534">
        <f t="shared" si="16"/>
        <v>2280.96</v>
      </c>
      <c r="P81" s="534">
        <f t="shared" si="16"/>
        <v>2280.96</v>
      </c>
      <c r="Q81" s="534">
        <f t="shared" si="16"/>
        <v>2280.96</v>
      </c>
      <c r="R81" s="534">
        <f t="shared" si="16"/>
        <v>2280.96</v>
      </c>
    </row>
    <row r="82" spans="2:18" x14ac:dyDescent="0.2">
      <c r="B82" s="725" t="s">
        <v>586</v>
      </c>
      <c r="C82" s="726">
        <v>730403000677</v>
      </c>
      <c r="D82" s="727">
        <v>380.16</v>
      </c>
      <c r="E82" s="728">
        <v>2</v>
      </c>
      <c r="F82" s="729"/>
      <c r="G82" s="534">
        <f t="shared" si="17"/>
        <v>2280.96</v>
      </c>
      <c r="H82" s="534">
        <f t="shared" si="16"/>
        <v>2280.96</v>
      </c>
      <c r="I82" s="534">
        <f t="shared" si="16"/>
        <v>2280.96</v>
      </c>
      <c r="J82" s="534">
        <f t="shared" si="16"/>
        <v>2280.96</v>
      </c>
      <c r="K82" s="534">
        <f t="shared" si="16"/>
        <v>2280.96</v>
      </c>
      <c r="L82" s="534">
        <f t="shared" si="16"/>
        <v>2280.96</v>
      </c>
      <c r="M82" s="534">
        <f t="shared" si="16"/>
        <v>2280.96</v>
      </c>
      <c r="N82" s="534">
        <f t="shared" si="16"/>
        <v>2280.96</v>
      </c>
      <c r="O82" s="534">
        <f t="shared" si="16"/>
        <v>2280.96</v>
      </c>
      <c r="P82" s="534">
        <f t="shared" si="16"/>
        <v>2280.96</v>
      </c>
      <c r="Q82" s="534">
        <f t="shared" si="16"/>
        <v>2280.96</v>
      </c>
      <c r="R82" s="534">
        <f t="shared" si="16"/>
        <v>2280.96</v>
      </c>
    </row>
    <row r="83" spans="2:18" x14ac:dyDescent="0.2">
      <c r="B83" s="725" t="s">
        <v>587</v>
      </c>
      <c r="C83" s="726" t="s">
        <v>588</v>
      </c>
      <c r="D83" s="727">
        <v>427.24799999999999</v>
      </c>
      <c r="E83" s="728">
        <v>1</v>
      </c>
      <c r="F83" s="729"/>
      <c r="G83" s="534">
        <f t="shared" si="17"/>
        <v>1281.7439999999999</v>
      </c>
      <c r="H83" s="534">
        <f t="shared" si="16"/>
        <v>1281.7439999999999</v>
      </c>
      <c r="I83" s="534">
        <f t="shared" si="16"/>
        <v>1281.7439999999999</v>
      </c>
      <c r="J83" s="534">
        <f t="shared" si="16"/>
        <v>1281.7439999999999</v>
      </c>
      <c r="K83" s="534">
        <f t="shared" si="16"/>
        <v>1281.7439999999999</v>
      </c>
      <c r="L83" s="534">
        <f t="shared" si="16"/>
        <v>1281.7439999999999</v>
      </c>
      <c r="M83" s="534">
        <f t="shared" si="16"/>
        <v>1281.7439999999999</v>
      </c>
      <c r="N83" s="534">
        <f t="shared" si="16"/>
        <v>1281.7439999999999</v>
      </c>
      <c r="O83" s="534">
        <f t="shared" si="16"/>
        <v>1281.7439999999999</v>
      </c>
      <c r="P83" s="534">
        <f t="shared" si="16"/>
        <v>1281.7439999999999</v>
      </c>
      <c r="Q83" s="534">
        <f t="shared" si="16"/>
        <v>1281.7439999999999</v>
      </c>
      <c r="R83" s="534">
        <f t="shared" si="16"/>
        <v>1281.7439999999999</v>
      </c>
    </row>
    <row r="84" spans="2:18" x14ac:dyDescent="0.2">
      <c r="B84" s="725" t="s">
        <v>589</v>
      </c>
      <c r="C84" s="726">
        <v>750201011177</v>
      </c>
      <c r="D84" s="727">
        <v>146.03399999999999</v>
      </c>
      <c r="E84" s="728">
        <v>2</v>
      </c>
      <c r="F84" s="729"/>
      <c r="G84" s="534">
        <f t="shared" si="17"/>
        <v>876.20399999999995</v>
      </c>
      <c r="H84" s="534">
        <f t="shared" si="16"/>
        <v>876.20399999999995</v>
      </c>
      <c r="I84" s="534">
        <f t="shared" si="16"/>
        <v>876.20399999999995</v>
      </c>
      <c r="J84" s="534">
        <f t="shared" si="16"/>
        <v>876.20399999999995</v>
      </c>
      <c r="K84" s="534">
        <f t="shared" si="16"/>
        <v>876.20399999999995</v>
      </c>
      <c r="L84" s="534">
        <f t="shared" si="16"/>
        <v>876.20399999999995</v>
      </c>
      <c r="M84" s="534">
        <f t="shared" si="16"/>
        <v>876.20399999999995</v>
      </c>
      <c r="N84" s="534">
        <f t="shared" si="16"/>
        <v>876.20399999999995</v>
      </c>
      <c r="O84" s="534">
        <f t="shared" si="16"/>
        <v>876.20399999999995</v>
      </c>
      <c r="P84" s="534">
        <f t="shared" si="16"/>
        <v>876.20399999999995</v>
      </c>
      <c r="Q84" s="534">
        <f t="shared" si="16"/>
        <v>876.20399999999995</v>
      </c>
      <c r="R84" s="534">
        <f t="shared" si="16"/>
        <v>876.20399999999995</v>
      </c>
    </row>
    <row r="85" spans="2:18" x14ac:dyDescent="0.2">
      <c r="B85" s="725" t="s">
        <v>592</v>
      </c>
      <c r="C85" s="726">
        <v>1202804003</v>
      </c>
      <c r="D85" s="727">
        <v>420.9</v>
      </c>
      <c r="E85" s="728">
        <v>3</v>
      </c>
      <c r="F85" s="729"/>
      <c r="G85" s="534">
        <f t="shared" si="17"/>
        <v>3788.1</v>
      </c>
      <c r="H85" s="534">
        <f t="shared" si="16"/>
        <v>3788.1</v>
      </c>
      <c r="I85" s="534">
        <f t="shared" si="16"/>
        <v>3788.1</v>
      </c>
      <c r="J85" s="534">
        <f t="shared" si="16"/>
        <v>3788.1</v>
      </c>
      <c r="K85" s="534">
        <f t="shared" si="16"/>
        <v>3788.1</v>
      </c>
      <c r="L85" s="534">
        <f t="shared" si="16"/>
        <v>3788.1</v>
      </c>
      <c r="M85" s="534">
        <f t="shared" si="16"/>
        <v>3788.1</v>
      </c>
      <c r="N85" s="534">
        <f t="shared" si="16"/>
        <v>3788.1</v>
      </c>
      <c r="O85" s="534">
        <f t="shared" si="16"/>
        <v>3788.1</v>
      </c>
      <c r="P85" s="534">
        <f t="shared" si="16"/>
        <v>3788.1</v>
      </c>
      <c r="Q85" s="534">
        <f t="shared" si="16"/>
        <v>3788.1</v>
      </c>
      <c r="R85" s="534">
        <f t="shared" si="16"/>
        <v>3788.1</v>
      </c>
    </row>
    <row r="86" spans="2:18" x14ac:dyDescent="0.2">
      <c r="B86" s="725" t="s">
        <v>593</v>
      </c>
      <c r="C86" s="726">
        <v>730403000676</v>
      </c>
      <c r="D86" s="727">
        <v>164.15999999999997</v>
      </c>
      <c r="E86" s="728">
        <v>2</v>
      </c>
      <c r="F86" s="729"/>
      <c r="G86" s="534">
        <f t="shared" si="17"/>
        <v>984.95999999999981</v>
      </c>
      <c r="H86" s="534">
        <f t="shared" si="16"/>
        <v>984.95999999999981</v>
      </c>
      <c r="I86" s="534">
        <f t="shared" si="16"/>
        <v>984.95999999999981</v>
      </c>
      <c r="J86" s="534">
        <f t="shared" si="16"/>
        <v>984.95999999999981</v>
      </c>
      <c r="K86" s="534">
        <f t="shared" si="16"/>
        <v>984.95999999999981</v>
      </c>
      <c r="L86" s="534">
        <f t="shared" si="16"/>
        <v>984.95999999999981</v>
      </c>
      <c r="M86" s="534">
        <f t="shared" si="16"/>
        <v>984.95999999999981</v>
      </c>
      <c r="N86" s="534">
        <f t="shared" si="16"/>
        <v>984.95999999999981</v>
      </c>
      <c r="O86" s="534">
        <f t="shared" si="16"/>
        <v>984.95999999999981</v>
      </c>
      <c r="P86" s="534">
        <f t="shared" si="16"/>
        <v>984.95999999999981</v>
      </c>
      <c r="Q86" s="534">
        <f t="shared" si="16"/>
        <v>984.95999999999981</v>
      </c>
      <c r="R86" s="534">
        <f t="shared" si="16"/>
        <v>984.95999999999981</v>
      </c>
    </row>
    <row r="87" spans="2:18" x14ac:dyDescent="0.2">
      <c r="B87" s="725" t="s">
        <v>594</v>
      </c>
      <c r="C87" s="726">
        <v>750201011176</v>
      </c>
      <c r="D87" s="727">
        <v>64.05</v>
      </c>
      <c r="E87" s="728">
        <v>2</v>
      </c>
      <c r="F87" s="729"/>
      <c r="G87" s="534">
        <f t="shared" si="17"/>
        <v>384.29999999999995</v>
      </c>
      <c r="H87" s="534">
        <f t="shared" si="16"/>
        <v>384.29999999999995</v>
      </c>
      <c r="I87" s="534">
        <f t="shared" si="16"/>
        <v>384.29999999999995</v>
      </c>
      <c r="J87" s="534">
        <f t="shared" si="16"/>
        <v>384.29999999999995</v>
      </c>
      <c r="K87" s="534">
        <f t="shared" si="16"/>
        <v>384.29999999999995</v>
      </c>
      <c r="L87" s="534">
        <f t="shared" si="16"/>
        <v>384.29999999999995</v>
      </c>
      <c r="M87" s="534">
        <f t="shared" si="16"/>
        <v>384.29999999999995</v>
      </c>
      <c r="N87" s="534">
        <f t="shared" si="16"/>
        <v>384.29999999999995</v>
      </c>
      <c r="O87" s="534">
        <f t="shared" si="16"/>
        <v>384.29999999999995</v>
      </c>
      <c r="P87" s="534">
        <f t="shared" si="16"/>
        <v>384.29999999999995</v>
      </c>
      <c r="Q87" s="534">
        <f t="shared" si="16"/>
        <v>384.29999999999995</v>
      </c>
      <c r="R87" s="534">
        <f t="shared" si="16"/>
        <v>384.29999999999995</v>
      </c>
    </row>
    <row r="88" spans="2:18" x14ac:dyDescent="0.2">
      <c r="B88" s="725" t="s">
        <v>595</v>
      </c>
      <c r="C88" s="726">
        <v>302030055771</v>
      </c>
      <c r="D88" s="727">
        <v>110.7684</v>
      </c>
      <c r="E88" s="728">
        <v>8</v>
      </c>
      <c r="F88" s="729"/>
      <c r="G88" s="534">
        <f t="shared" si="17"/>
        <v>2658.4416000000001</v>
      </c>
      <c r="H88" s="534">
        <f t="shared" si="16"/>
        <v>2658.4416000000001</v>
      </c>
      <c r="I88" s="534">
        <f t="shared" si="16"/>
        <v>2658.4416000000001</v>
      </c>
      <c r="J88" s="534">
        <f t="shared" si="16"/>
        <v>2658.4416000000001</v>
      </c>
      <c r="K88" s="534">
        <f t="shared" si="16"/>
        <v>2658.4416000000001</v>
      </c>
      <c r="L88" s="534">
        <f t="shared" si="16"/>
        <v>2658.4416000000001</v>
      </c>
      <c r="M88" s="534">
        <f t="shared" si="16"/>
        <v>2658.4416000000001</v>
      </c>
      <c r="N88" s="534">
        <f t="shared" si="16"/>
        <v>2658.4416000000001</v>
      </c>
      <c r="O88" s="534">
        <f t="shared" si="16"/>
        <v>2658.4416000000001</v>
      </c>
      <c r="P88" s="534">
        <f t="shared" si="16"/>
        <v>2658.4416000000001</v>
      </c>
      <c r="Q88" s="534">
        <f t="shared" si="16"/>
        <v>2658.4416000000001</v>
      </c>
      <c r="R88" s="534">
        <f t="shared" si="16"/>
        <v>2658.4416000000001</v>
      </c>
    </row>
    <row r="89" spans="2:18" x14ac:dyDescent="0.2">
      <c r="B89" s="725" t="s">
        <v>596</v>
      </c>
      <c r="C89" s="726">
        <v>302030055762</v>
      </c>
      <c r="D89" s="727">
        <v>102.4614</v>
      </c>
      <c r="E89" s="728">
        <v>4</v>
      </c>
      <c r="F89" s="729"/>
      <c r="G89" s="534">
        <f t="shared" si="17"/>
        <v>1229.5367999999999</v>
      </c>
      <c r="H89" s="534">
        <f t="shared" si="16"/>
        <v>1229.5367999999999</v>
      </c>
      <c r="I89" s="534">
        <f t="shared" si="16"/>
        <v>1229.5367999999999</v>
      </c>
      <c r="J89" s="534">
        <f t="shared" si="16"/>
        <v>1229.5367999999999</v>
      </c>
      <c r="K89" s="534">
        <f t="shared" si="16"/>
        <v>1229.5367999999999</v>
      </c>
      <c r="L89" s="534">
        <f t="shared" si="16"/>
        <v>1229.5367999999999</v>
      </c>
      <c r="M89" s="534">
        <f t="shared" si="16"/>
        <v>1229.5367999999999</v>
      </c>
      <c r="N89" s="534">
        <f t="shared" si="16"/>
        <v>1229.5367999999999</v>
      </c>
      <c r="O89" s="534">
        <f t="shared" si="16"/>
        <v>1229.5367999999999</v>
      </c>
      <c r="P89" s="534">
        <f t="shared" si="16"/>
        <v>1229.5367999999999</v>
      </c>
      <c r="Q89" s="534">
        <f t="shared" si="16"/>
        <v>1229.5367999999999</v>
      </c>
      <c r="R89" s="534">
        <f t="shared" si="16"/>
        <v>1229.5367999999999</v>
      </c>
    </row>
    <row r="90" spans="2:18" x14ac:dyDescent="0.2">
      <c r="B90" s="725" t="s">
        <v>597</v>
      </c>
      <c r="C90" s="726">
        <v>730403000276</v>
      </c>
      <c r="D90" s="727">
        <v>57.644999999999996</v>
      </c>
      <c r="E90" s="728">
        <v>1</v>
      </c>
      <c r="F90" s="729"/>
      <c r="G90" s="534">
        <f t="shared" si="17"/>
        <v>172.935</v>
      </c>
      <c r="H90" s="534">
        <f t="shared" si="16"/>
        <v>172.935</v>
      </c>
      <c r="I90" s="534">
        <f t="shared" si="16"/>
        <v>172.935</v>
      </c>
      <c r="J90" s="534">
        <f t="shared" si="16"/>
        <v>172.935</v>
      </c>
      <c r="K90" s="534">
        <f t="shared" si="16"/>
        <v>172.935</v>
      </c>
      <c r="L90" s="534">
        <f t="shared" si="16"/>
        <v>172.935</v>
      </c>
      <c r="M90" s="534">
        <f t="shared" si="16"/>
        <v>172.935</v>
      </c>
      <c r="N90" s="534">
        <f t="shared" si="16"/>
        <v>172.935</v>
      </c>
      <c r="O90" s="534">
        <f t="shared" si="16"/>
        <v>172.935</v>
      </c>
      <c r="P90" s="534">
        <f t="shared" si="16"/>
        <v>172.935</v>
      </c>
      <c r="Q90" s="534">
        <f t="shared" si="16"/>
        <v>172.935</v>
      </c>
      <c r="R90" s="534">
        <f t="shared" si="16"/>
        <v>172.935</v>
      </c>
    </row>
    <row r="91" spans="2:18" x14ac:dyDescent="0.2">
      <c r="B91" s="725" t="s">
        <v>598</v>
      </c>
      <c r="C91" s="726">
        <v>730403000068</v>
      </c>
      <c r="D91" s="727">
        <v>808.65364583333337</v>
      </c>
      <c r="E91" s="728">
        <v>2</v>
      </c>
      <c r="F91" s="729"/>
      <c r="G91" s="534">
        <f t="shared" si="17"/>
        <v>4851.921875</v>
      </c>
      <c r="H91" s="534">
        <f t="shared" si="16"/>
        <v>4851.921875</v>
      </c>
      <c r="I91" s="534">
        <f t="shared" si="16"/>
        <v>4851.921875</v>
      </c>
      <c r="J91" s="534">
        <f t="shared" si="16"/>
        <v>4851.921875</v>
      </c>
      <c r="K91" s="534">
        <f t="shared" si="16"/>
        <v>4851.921875</v>
      </c>
      <c r="L91" s="534">
        <f t="shared" si="16"/>
        <v>4851.921875</v>
      </c>
      <c r="M91" s="534">
        <f t="shared" si="16"/>
        <v>4851.921875</v>
      </c>
      <c r="N91" s="534">
        <f t="shared" si="16"/>
        <v>4851.921875</v>
      </c>
      <c r="O91" s="534">
        <f t="shared" si="16"/>
        <v>4851.921875</v>
      </c>
      <c r="P91" s="534">
        <f t="shared" si="16"/>
        <v>4851.921875</v>
      </c>
      <c r="Q91" s="534">
        <f t="shared" si="16"/>
        <v>4851.921875</v>
      </c>
      <c r="R91" s="534">
        <f t="shared" si="16"/>
        <v>4851.921875</v>
      </c>
    </row>
    <row r="92" spans="2:18" x14ac:dyDescent="0.2">
      <c r="B92" s="725" t="s">
        <v>599</v>
      </c>
      <c r="C92" s="726">
        <v>750398000659</v>
      </c>
      <c r="D92" s="727">
        <v>46.655999999999992</v>
      </c>
      <c r="E92" s="728">
        <v>1</v>
      </c>
      <c r="F92" s="729"/>
      <c r="G92" s="534">
        <f t="shared" si="17"/>
        <v>139.96799999999996</v>
      </c>
      <c r="H92" s="534">
        <f t="shared" si="16"/>
        <v>139.96799999999996</v>
      </c>
      <c r="I92" s="534">
        <f t="shared" si="16"/>
        <v>139.96799999999996</v>
      </c>
      <c r="J92" s="534">
        <f t="shared" si="16"/>
        <v>139.96799999999996</v>
      </c>
      <c r="K92" s="534">
        <f t="shared" si="16"/>
        <v>139.96799999999996</v>
      </c>
      <c r="L92" s="534">
        <f t="shared" si="16"/>
        <v>139.96799999999996</v>
      </c>
      <c r="M92" s="534">
        <f t="shared" si="16"/>
        <v>139.96799999999996</v>
      </c>
      <c r="N92" s="534">
        <f t="shared" si="16"/>
        <v>139.96799999999996</v>
      </c>
      <c r="O92" s="534">
        <f t="shared" si="16"/>
        <v>139.96799999999996</v>
      </c>
      <c r="P92" s="534">
        <f t="shared" si="16"/>
        <v>139.96799999999996</v>
      </c>
      <c r="Q92" s="534">
        <f t="shared" si="16"/>
        <v>139.96799999999996</v>
      </c>
      <c r="R92" s="534">
        <f t="shared" si="16"/>
        <v>139.96799999999996</v>
      </c>
    </row>
    <row r="93" spans="2:18" x14ac:dyDescent="0.2">
      <c r="B93" s="725" t="s">
        <v>600</v>
      </c>
      <c r="C93" s="726">
        <v>750201018267</v>
      </c>
      <c r="D93" s="727">
        <v>259.2</v>
      </c>
      <c r="E93" s="728">
        <v>1</v>
      </c>
      <c r="F93" s="729"/>
      <c r="G93" s="534">
        <f t="shared" si="17"/>
        <v>777.59999999999991</v>
      </c>
      <c r="H93" s="534">
        <f t="shared" si="17"/>
        <v>777.59999999999991</v>
      </c>
      <c r="I93" s="534">
        <f t="shared" si="17"/>
        <v>777.59999999999991</v>
      </c>
      <c r="J93" s="534">
        <f t="shared" si="17"/>
        <v>777.59999999999991</v>
      </c>
      <c r="K93" s="534">
        <f t="shared" si="17"/>
        <v>777.59999999999991</v>
      </c>
      <c r="L93" s="534">
        <f t="shared" si="17"/>
        <v>777.59999999999991</v>
      </c>
      <c r="M93" s="534">
        <f t="shared" si="17"/>
        <v>777.59999999999991</v>
      </c>
      <c r="N93" s="534">
        <f t="shared" si="17"/>
        <v>777.59999999999991</v>
      </c>
      <c r="O93" s="534">
        <f t="shared" si="17"/>
        <v>777.59999999999991</v>
      </c>
      <c r="P93" s="534">
        <f t="shared" si="17"/>
        <v>777.59999999999991</v>
      </c>
      <c r="Q93" s="534">
        <f t="shared" si="17"/>
        <v>777.59999999999991</v>
      </c>
      <c r="R93" s="534">
        <f t="shared" si="17"/>
        <v>777.59999999999991</v>
      </c>
    </row>
    <row r="94" spans="2:18" x14ac:dyDescent="0.2">
      <c r="B94" s="725" t="s">
        <v>601</v>
      </c>
      <c r="C94" s="726" t="s">
        <v>602</v>
      </c>
      <c r="D94" s="727">
        <v>654.22500000000002</v>
      </c>
      <c r="E94" s="728">
        <v>1</v>
      </c>
      <c r="F94" s="729"/>
      <c r="G94" s="534">
        <f t="shared" si="17"/>
        <v>1962.6750000000002</v>
      </c>
      <c r="H94" s="534">
        <f t="shared" si="17"/>
        <v>1962.6750000000002</v>
      </c>
      <c r="I94" s="534">
        <f t="shared" si="17"/>
        <v>1962.6750000000002</v>
      </c>
      <c r="J94" s="534">
        <f t="shared" si="17"/>
        <v>1962.6750000000002</v>
      </c>
      <c r="K94" s="534">
        <f t="shared" si="17"/>
        <v>1962.6750000000002</v>
      </c>
      <c r="L94" s="534">
        <f t="shared" si="17"/>
        <v>1962.6750000000002</v>
      </c>
      <c r="M94" s="534">
        <f t="shared" si="17"/>
        <v>1962.6750000000002</v>
      </c>
      <c r="N94" s="534">
        <f t="shared" si="17"/>
        <v>1962.6750000000002</v>
      </c>
      <c r="O94" s="534">
        <f t="shared" si="17"/>
        <v>1962.6750000000002</v>
      </c>
      <c r="P94" s="534">
        <f t="shared" si="17"/>
        <v>1962.6750000000002</v>
      </c>
      <c r="Q94" s="534">
        <f t="shared" si="17"/>
        <v>1962.6750000000002</v>
      </c>
      <c r="R94" s="534">
        <f t="shared" si="17"/>
        <v>1962.6750000000002</v>
      </c>
    </row>
    <row r="95" spans="2:18" x14ac:dyDescent="0.2">
      <c r="B95" s="725" t="s">
        <v>603</v>
      </c>
      <c r="C95" s="726">
        <v>730403010060</v>
      </c>
      <c r="D95" s="727">
        <v>251.625</v>
      </c>
      <c r="E95" s="728">
        <v>1</v>
      </c>
      <c r="F95" s="729"/>
      <c r="G95" s="534">
        <f t="shared" si="17"/>
        <v>754.875</v>
      </c>
      <c r="H95" s="534">
        <f t="shared" si="17"/>
        <v>754.875</v>
      </c>
      <c r="I95" s="534">
        <f t="shared" si="17"/>
        <v>754.875</v>
      </c>
      <c r="J95" s="534">
        <f t="shared" si="17"/>
        <v>754.875</v>
      </c>
      <c r="K95" s="534">
        <f t="shared" si="17"/>
        <v>754.875</v>
      </c>
      <c r="L95" s="534">
        <f t="shared" si="17"/>
        <v>754.875</v>
      </c>
      <c r="M95" s="534">
        <f t="shared" si="17"/>
        <v>754.875</v>
      </c>
      <c r="N95" s="534">
        <f t="shared" si="17"/>
        <v>754.875</v>
      </c>
      <c r="O95" s="534">
        <f t="shared" si="17"/>
        <v>754.875</v>
      </c>
      <c r="P95" s="534">
        <f t="shared" si="17"/>
        <v>754.875</v>
      </c>
      <c r="Q95" s="534">
        <f t="shared" si="17"/>
        <v>754.875</v>
      </c>
      <c r="R95" s="534">
        <f t="shared" si="17"/>
        <v>754.875</v>
      </c>
    </row>
    <row r="96" spans="2:18" x14ac:dyDescent="0.2">
      <c r="B96" s="725" t="s">
        <v>604</v>
      </c>
      <c r="C96" s="726">
        <v>1604032083</v>
      </c>
      <c r="D96" s="727">
        <v>2815.4549999999999</v>
      </c>
      <c r="E96" s="728">
        <v>1</v>
      </c>
      <c r="F96" s="729"/>
      <c r="G96" s="534">
        <f t="shared" si="17"/>
        <v>8446.3649999999998</v>
      </c>
      <c r="H96" s="534">
        <f t="shared" si="17"/>
        <v>8446.3649999999998</v>
      </c>
      <c r="I96" s="534">
        <f t="shared" si="17"/>
        <v>8446.3649999999998</v>
      </c>
      <c r="J96" s="534">
        <f t="shared" si="17"/>
        <v>8446.3649999999998</v>
      </c>
      <c r="K96" s="534">
        <f t="shared" si="17"/>
        <v>8446.3649999999998</v>
      </c>
      <c r="L96" s="534">
        <f t="shared" si="17"/>
        <v>8446.3649999999998</v>
      </c>
      <c r="M96" s="534">
        <f t="shared" si="17"/>
        <v>8446.3649999999998</v>
      </c>
      <c r="N96" s="534">
        <f t="shared" si="17"/>
        <v>8446.3649999999998</v>
      </c>
      <c r="O96" s="534">
        <f t="shared" si="17"/>
        <v>8446.3649999999998</v>
      </c>
      <c r="P96" s="534">
        <f t="shared" si="17"/>
        <v>8446.3649999999998</v>
      </c>
      <c r="Q96" s="534">
        <f t="shared" si="17"/>
        <v>8446.3649999999998</v>
      </c>
      <c r="R96" s="534">
        <f t="shared" si="17"/>
        <v>8446.3649999999998</v>
      </c>
    </row>
    <row r="97" spans="2:18" x14ac:dyDescent="0.2">
      <c r="B97" s="725" t="s">
        <v>605</v>
      </c>
      <c r="C97" s="726" t="s">
        <v>606</v>
      </c>
      <c r="D97" s="727">
        <v>86.16189</v>
      </c>
      <c r="E97" s="728">
        <v>54</v>
      </c>
      <c r="F97" s="729"/>
      <c r="G97" s="534">
        <f t="shared" si="17"/>
        <v>13958.22618</v>
      </c>
      <c r="H97" s="534">
        <f t="shared" si="17"/>
        <v>13958.22618</v>
      </c>
      <c r="I97" s="534">
        <f t="shared" si="17"/>
        <v>13958.22618</v>
      </c>
      <c r="J97" s="534">
        <f t="shared" si="17"/>
        <v>13958.22618</v>
      </c>
      <c r="K97" s="534">
        <f t="shared" si="17"/>
        <v>13958.22618</v>
      </c>
      <c r="L97" s="534">
        <f t="shared" si="17"/>
        <v>13958.22618</v>
      </c>
      <c r="M97" s="534">
        <f t="shared" si="17"/>
        <v>13958.22618</v>
      </c>
      <c r="N97" s="534">
        <f t="shared" si="17"/>
        <v>13958.22618</v>
      </c>
      <c r="O97" s="534">
        <f t="shared" si="17"/>
        <v>13958.22618</v>
      </c>
      <c r="P97" s="534">
        <f t="shared" si="17"/>
        <v>13958.22618</v>
      </c>
      <c r="Q97" s="534">
        <f t="shared" si="17"/>
        <v>13958.22618</v>
      </c>
      <c r="R97" s="534">
        <f t="shared" si="17"/>
        <v>13958.22618</v>
      </c>
    </row>
    <row r="98" spans="2:18" x14ac:dyDescent="0.2">
      <c r="B98" s="725" t="s">
        <v>607</v>
      </c>
      <c r="C98" s="726" t="s">
        <v>608</v>
      </c>
      <c r="D98" s="727">
        <v>454.98599999999993</v>
      </c>
      <c r="E98" s="728">
        <v>1</v>
      </c>
      <c r="F98" s="729"/>
      <c r="G98" s="534">
        <f t="shared" si="17"/>
        <v>1364.9579999999999</v>
      </c>
      <c r="H98" s="534">
        <f t="shared" si="17"/>
        <v>1364.9579999999999</v>
      </c>
      <c r="I98" s="534">
        <f t="shared" si="17"/>
        <v>1364.9579999999999</v>
      </c>
      <c r="J98" s="534">
        <f t="shared" si="17"/>
        <v>1364.9579999999999</v>
      </c>
      <c r="K98" s="534">
        <f t="shared" si="17"/>
        <v>1364.9579999999999</v>
      </c>
      <c r="L98" s="534">
        <f t="shared" si="17"/>
        <v>1364.9579999999999</v>
      </c>
      <c r="M98" s="534">
        <f t="shared" si="17"/>
        <v>1364.9579999999999</v>
      </c>
      <c r="N98" s="534">
        <f t="shared" si="17"/>
        <v>1364.9579999999999</v>
      </c>
      <c r="O98" s="534">
        <f t="shared" si="17"/>
        <v>1364.9579999999999</v>
      </c>
      <c r="P98" s="534">
        <f t="shared" si="17"/>
        <v>1364.9579999999999</v>
      </c>
      <c r="Q98" s="534">
        <f t="shared" si="17"/>
        <v>1364.9579999999999</v>
      </c>
      <c r="R98" s="534">
        <f t="shared" si="17"/>
        <v>1364.9579999999999</v>
      </c>
    </row>
    <row r="99" spans="2:18" x14ac:dyDescent="0.2">
      <c r="B99" s="725" t="s">
        <v>607</v>
      </c>
      <c r="C99" s="726" t="s">
        <v>609</v>
      </c>
      <c r="D99" s="727">
        <v>885.13199999999995</v>
      </c>
      <c r="E99" s="728">
        <v>1</v>
      </c>
      <c r="F99" s="729"/>
      <c r="G99" s="534">
        <f t="shared" si="17"/>
        <v>2655.3959999999997</v>
      </c>
      <c r="H99" s="534">
        <f t="shared" si="17"/>
        <v>2655.3959999999997</v>
      </c>
      <c r="I99" s="534">
        <f t="shared" si="17"/>
        <v>2655.3959999999997</v>
      </c>
      <c r="J99" s="534">
        <f t="shared" si="17"/>
        <v>2655.3959999999997</v>
      </c>
      <c r="K99" s="534">
        <f t="shared" si="17"/>
        <v>2655.3959999999997</v>
      </c>
      <c r="L99" s="534">
        <f t="shared" si="17"/>
        <v>2655.3959999999997</v>
      </c>
      <c r="M99" s="534">
        <f t="shared" si="17"/>
        <v>2655.3959999999997</v>
      </c>
      <c r="N99" s="534">
        <f t="shared" si="17"/>
        <v>2655.3959999999997</v>
      </c>
      <c r="O99" s="534">
        <f t="shared" si="17"/>
        <v>2655.3959999999997</v>
      </c>
      <c r="P99" s="534">
        <f t="shared" si="17"/>
        <v>2655.3959999999997</v>
      </c>
      <c r="Q99" s="534">
        <f t="shared" si="17"/>
        <v>2655.3959999999997</v>
      </c>
      <c r="R99" s="534">
        <f t="shared" si="17"/>
        <v>2655.3959999999997</v>
      </c>
    </row>
    <row r="100" spans="2:18" x14ac:dyDescent="0.2">
      <c r="B100" s="725" t="s">
        <v>618</v>
      </c>
      <c r="C100" s="726">
        <v>302490077658</v>
      </c>
      <c r="D100" s="727">
        <v>1273.8779999999999</v>
      </c>
      <c r="E100" s="728">
        <v>2</v>
      </c>
      <c r="F100" s="729"/>
      <c r="G100" s="534">
        <f t="shared" si="17"/>
        <v>7643.268</v>
      </c>
      <c r="H100" s="534">
        <f t="shared" si="17"/>
        <v>7643.268</v>
      </c>
      <c r="I100" s="534">
        <f t="shared" si="17"/>
        <v>7643.268</v>
      </c>
      <c r="J100" s="534">
        <f t="shared" si="17"/>
        <v>7643.268</v>
      </c>
      <c r="K100" s="534">
        <f t="shared" si="17"/>
        <v>7643.268</v>
      </c>
      <c r="L100" s="534">
        <f t="shared" si="17"/>
        <v>7643.268</v>
      </c>
      <c r="M100" s="534">
        <f t="shared" si="17"/>
        <v>7643.268</v>
      </c>
      <c r="N100" s="534">
        <f t="shared" si="17"/>
        <v>7643.268</v>
      </c>
      <c r="O100" s="534">
        <f t="shared" si="17"/>
        <v>7643.268</v>
      </c>
      <c r="P100" s="534">
        <f t="shared" si="17"/>
        <v>7643.268</v>
      </c>
      <c r="Q100" s="534">
        <f t="shared" si="17"/>
        <v>7643.268</v>
      </c>
      <c r="R100" s="534">
        <f t="shared" si="17"/>
        <v>7643.268</v>
      </c>
    </row>
    <row r="101" spans="2:18" x14ac:dyDescent="0.2">
      <c r="B101" s="725" t="s">
        <v>619</v>
      </c>
      <c r="C101" s="726">
        <v>307990002395</v>
      </c>
      <c r="D101" s="727">
        <v>819.81719999999984</v>
      </c>
      <c r="E101" s="728">
        <v>3</v>
      </c>
      <c r="F101" s="729"/>
      <c r="G101" s="534">
        <f t="shared" si="17"/>
        <v>7378.3547999999982</v>
      </c>
      <c r="H101" s="534">
        <f t="shared" si="17"/>
        <v>7378.3547999999982</v>
      </c>
      <c r="I101" s="534">
        <f t="shared" si="17"/>
        <v>7378.3547999999982</v>
      </c>
      <c r="J101" s="534">
        <f t="shared" si="17"/>
        <v>7378.3547999999982</v>
      </c>
      <c r="K101" s="534">
        <f t="shared" si="17"/>
        <v>7378.3547999999982</v>
      </c>
      <c r="L101" s="534">
        <f t="shared" si="17"/>
        <v>7378.3547999999982</v>
      </c>
      <c r="M101" s="534">
        <f t="shared" si="17"/>
        <v>7378.3547999999982</v>
      </c>
      <c r="N101" s="534">
        <f t="shared" si="17"/>
        <v>7378.3547999999982</v>
      </c>
      <c r="O101" s="534">
        <f t="shared" si="17"/>
        <v>7378.3547999999982</v>
      </c>
      <c r="P101" s="534">
        <f t="shared" si="17"/>
        <v>7378.3547999999982</v>
      </c>
      <c r="Q101" s="534">
        <f t="shared" si="17"/>
        <v>7378.3547999999982</v>
      </c>
      <c r="R101" s="534">
        <f t="shared" si="17"/>
        <v>7378.3547999999982</v>
      </c>
    </row>
    <row r="102" spans="2:18" x14ac:dyDescent="0.2">
      <c r="B102" s="725" t="s">
        <v>620</v>
      </c>
      <c r="C102" s="726">
        <v>750005000414</v>
      </c>
      <c r="D102" s="727">
        <v>1184.04</v>
      </c>
      <c r="E102" s="728">
        <v>1</v>
      </c>
      <c r="F102" s="729"/>
      <c r="G102" s="534">
        <f t="shared" si="17"/>
        <v>3552.12</v>
      </c>
      <c r="H102" s="534">
        <f t="shared" si="17"/>
        <v>3552.12</v>
      </c>
      <c r="I102" s="534">
        <f t="shared" si="17"/>
        <v>3552.12</v>
      </c>
      <c r="J102" s="534">
        <f t="shared" si="17"/>
        <v>3552.12</v>
      </c>
      <c r="K102" s="534">
        <f t="shared" si="17"/>
        <v>3552.12</v>
      </c>
      <c r="L102" s="534">
        <f t="shared" si="17"/>
        <v>3552.12</v>
      </c>
      <c r="M102" s="534">
        <f t="shared" si="17"/>
        <v>3552.12</v>
      </c>
      <c r="N102" s="534">
        <f t="shared" si="17"/>
        <v>3552.12</v>
      </c>
      <c r="O102" s="534">
        <f t="shared" si="17"/>
        <v>3552.12</v>
      </c>
      <c r="P102" s="534">
        <f t="shared" si="17"/>
        <v>3552.12</v>
      </c>
      <c r="Q102" s="534">
        <f t="shared" si="17"/>
        <v>3552.12</v>
      </c>
      <c r="R102" s="534">
        <f t="shared" si="17"/>
        <v>3552.12</v>
      </c>
    </row>
    <row r="103" spans="2:18" x14ac:dyDescent="0.2">
      <c r="B103" s="725" t="s">
        <v>590</v>
      </c>
      <c r="C103" s="730" t="s">
        <v>591</v>
      </c>
      <c r="D103" s="727">
        <v>6.5609999999999999</v>
      </c>
      <c r="E103" s="728">
        <v>75</v>
      </c>
      <c r="F103" s="729"/>
      <c r="G103" s="534">
        <f t="shared" si="17"/>
        <v>1476.2249999999999</v>
      </c>
      <c r="H103" s="534">
        <f t="shared" si="17"/>
        <v>1476.2249999999999</v>
      </c>
      <c r="I103" s="534">
        <f t="shared" si="17"/>
        <v>1476.2249999999999</v>
      </c>
      <c r="J103" s="534">
        <f t="shared" si="17"/>
        <v>1476.2249999999999</v>
      </c>
      <c r="K103" s="534">
        <f t="shared" si="17"/>
        <v>1476.2249999999999</v>
      </c>
      <c r="L103" s="534">
        <f t="shared" si="17"/>
        <v>1476.2249999999999</v>
      </c>
      <c r="M103" s="534">
        <f t="shared" si="17"/>
        <v>1476.2249999999999</v>
      </c>
      <c r="N103" s="534">
        <f t="shared" si="17"/>
        <v>1476.2249999999999</v>
      </c>
      <c r="O103" s="534">
        <f t="shared" si="17"/>
        <v>1476.2249999999999</v>
      </c>
      <c r="P103" s="534">
        <f t="shared" si="17"/>
        <v>1476.2249999999999</v>
      </c>
      <c r="Q103" s="534">
        <f t="shared" si="17"/>
        <v>1476.2249999999999</v>
      </c>
      <c r="R103" s="534">
        <f t="shared" si="17"/>
        <v>1476.2249999999999</v>
      </c>
    </row>
    <row r="104" spans="2:18" x14ac:dyDescent="0.2">
      <c r="B104" s="725" t="s">
        <v>610</v>
      </c>
      <c r="C104" s="730" t="s">
        <v>611</v>
      </c>
      <c r="D104" s="727">
        <v>5.7977999999999996</v>
      </c>
      <c r="E104" s="728">
        <v>850</v>
      </c>
      <c r="F104" s="729"/>
      <c r="G104" s="534">
        <f t="shared" si="17"/>
        <v>14784.39</v>
      </c>
      <c r="H104" s="534">
        <f t="shared" si="17"/>
        <v>14784.39</v>
      </c>
      <c r="I104" s="534">
        <f t="shared" si="17"/>
        <v>14784.39</v>
      </c>
      <c r="J104" s="534">
        <f t="shared" si="17"/>
        <v>14784.39</v>
      </c>
      <c r="K104" s="534">
        <f t="shared" si="17"/>
        <v>14784.39</v>
      </c>
      <c r="L104" s="534">
        <f t="shared" si="17"/>
        <v>14784.39</v>
      </c>
      <c r="M104" s="534">
        <f t="shared" si="17"/>
        <v>14784.39</v>
      </c>
      <c r="N104" s="534">
        <f t="shared" si="17"/>
        <v>14784.39</v>
      </c>
      <c r="O104" s="534">
        <f t="shared" si="17"/>
        <v>14784.39</v>
      </c>
      <c r="P104" s="534">
        <f t="shared" si="17"/>
        <v>14784.39</v>
      </c>
      <c r="Q104" s="534">
        <f t="shared" si="17"/>
        <v>14784.39</v>
      </c>
      <c r="R104" s="534">
        <f t="shared" si="17"/>
        <v>14784.39</v>
      </c>
    </row>
    <row r="105" spans="2:18" x14ac:dyDescent="0.2">
      <c r="B105" s="725" t="s">
        <v>612</v>
      </c>
      <c r="C105" s="730" t="s">
        <v>613</v>
      </c>
      <c r="D105" s="727">
        <v>6.1037999999999988</v>
      </c>
      <c r="E105" s="728">
        <v>120</v>
      </c>
      <c r="F105" s="729"/>
      <c r="G105" s="534">
        <f t="shared" si="17"/>
        <v>2197.3679999999995</v>
      </c>
      <c r="H105" s="534">
        <f t="shared" si="17"/>
        <v>2197.3679999999995</v>
      </c>
      <c r="I105" s="534">
        <f t="shared" si="17"/>
        <v>2197.3679999999995</v>
      </c>
      <c r="J105" s="534">
        <f t="shared" si="17"/>
        <v>2197.3679999999995</v>
      </c>
      <c r="K105" s="534">
        <f t="shared" si="17"/>
        <v>2197.3679999999995</v>
      </c>
      <c r="L105" s="534">
        <f t="shared" si="17"/>
        <v>2197.3679999999995</v>
      </c>
      <c r="M105" s="534">
        <f t="shared" si="17"/>
        <v>2197.3679999999995</v>
      </c>
      <c r="N105" s="534">
        <f t="shared" si="17"/>
        <v>2197.3679999999995</v>
      </c>
      <c r="O105" s="534">
        <f t="shared" si="17"/>
        <v>2197.3679999999995</v>
      </c>
      <c r="P105" s="534">
        <f t="shared" si="17"/>
        <v>2197.3679999999995</v>
      </c>
      <c r="Q105" s="534">
        <f t="shared" si="17"/>
        <v>2197.3679999999995</v>
      </c>
      <c r="R105" s="534">
        <f t="shared" si="17"/>
        <v>2197.3679999999995</v>
      </c>
    </row>
    <row r="106" spans="2:18" x14ac:dyDescent="0.2">
      <c r="B106" s="725" t="s">
        <v>614</v>
      </c>
      <c r="C106" s="730" t="s">
        <v>615</v>
      </c>
      <c r="D106" s="727">
        <v>8.8506</v>
      </c>
      <c r="E106" s="728">
        <v>220</v>
      </c>
      <c r="F106" s="729"/>
      <c r="G106" s="534">
        <f t="shared" si="17"/>
        <v>5841.3959999999997</v>
      </c>
      <c r="H106" s="534">
        <f t="shared" si="17"/>
        <v>5841.3959999999997</v>
      </c>
      <c r="I106" s="534">
        <f t="shared" si="17"/>
        <v>5841.3959999999997</v>
      </c>
      <c r="J106" s="534">
        <f t="shared" si="17"/>
        <v>5841.3959999999997</v>
      </c>
      <c r="K106" s="534">
        <f t="shared" si="17"/>
        <v>5841.3959999999997</v>
      </c>
      <c r="L106" s="534">
        <f t="shared" si="17"/>
        <v>5841.3959999999997</v>
      </c>
      <c r="M106" s="534">
        <f t="shared" si="17"/>
        <v>5841.3959999999997</v>
      </c>
      <c r="N106" s="534">
        <f t="shared" si="17"/>
        <v>5841.3959999999997</v>
      </c>
      <c r="O106" s="534">
        <f t="shared" si="17"/>
        <v>5841.3959999999997</v>
      </c>
      <c r="P106" s="534">
        <f t="shared" si="17"/>
        <v>5841.3959999999997</v>
      </c>
      <c r="Q106" s="534">
        <f t="shared" si="17"/>
        <v>5841.3959999999997</v>
      </c>
      <c r="R106" s="534">
        <f t="shared" si="17"/>
        <v>5841.3959999999997</v>
      </c>
    </row>
    <row r="107" spans="2:18" x14ac:dyDescent="0.2">
      <c r="B107" s="725" t="s">
        <v>616</v>
      </c>
      <c r="C107" s="730" t="s">
        <v>617</v>
      </c>
      <c r="D107" s="727">
        <v>14.497200000000001</v>
      </c>
      <c r="E107" s="728">
        <v>80</v>
      </c>
      <c r="F107" s="729"/>
      <c r="G107" s="534">
        <f t="shared" si="17"/>
        <v>3479.3280000000004</v>
      </c>
      <c r="H107" s="534">
        <f t="shared" si="17"/>
        <v>3479.3280000000004</v>
      </c>
      <c r="I107" s="534">
        <f t="shared" si="17"/>
        <v>3479.3280000000004</v>
      </c>
      <c r="J107" s="534">
        <f t="shared" si="17"/>
        <v>3479.3280000000004</v>
      </c>
      <c r="K107" s="534">
        <f t="shared" si="17"/>
        <v>3479.3280000000004</v>
      </c>
      <c r="L107" s="534">
        <f t="shared" si="17"/>
        <v>3479.3280000000004</v>
      </c>
      <c r="M107" s="534">
        <f t="shared" si="17"/>
        <v>3479.3280000000004</v>
      </c>
      <c r="N107" s="534">
        <f t="shared" si="17"/>
        <v>3479.3280000000004</v>
      </c>
      <c r="O107" s="534">
        <f t="shared" si="17"/>
        <v>3479.3280000000004</v>
      </c>
      <c r="P107" s="534">
        <f t="shared" si="17"/>
        <v>3479.3280000000004</v>
      </c>
      <c r="Q107" s="534">
        <f t="shared" si="17"/>
        <v>3479.3280000000004</v>
      </c>
      <c r="R107" s="534">
        <f t="shared" si="17"/>
        <v>3479.3280000000004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779F-B901-49E2-9575-0ED93B4968AC}">
  <sheetPr>
    <tabColor theme="5" tint="0.79998168889431442"/>
  </sheetPr>
  <dimension ref="B2:AH64"/>
  <sheetViews>
    <sheetView showGridLines="0" zoomScale="85" zoomScaleNormal="85" zoomScaleSheetLayoutView="80" workbookViewId="0">
      <pane xSplit="2" ySplit="6" topLeftCell="C7" activePane="bottomRight" state="frozen"/>
      <selection activeCell="O28" sqref="O28"/>
      <selection pane="topRight" activeCell="O28" sqref="O28"/>
      <selection pane="bottomLeft" activeCell="O28" sqref="O28"/>
      <selection pane="bottomRight" activeCell="O28" sqref="O28"/>
    </sheetView>
  </sheetViews>
  <sheetFormatPr defaultColWidth="9.125" defaultRowHeight="12.9" x14ac:dyDescent="0.2"/>
  <cols>
    <col min="1" max="1" width="5.5" style="456" customWidth="1"/>
    <col min="2" max="2" width="34.625" style="456" customWidth="1"/>
    <col min="3" max="3" width="12.625" style="456" customWidth="1"/>
    <col min="4" max="4" width="14.125" style="456" customWidth="1"/>
    <col min="5" max="5" width="11.5" style="456" customWidth="1"/>
    <col min="6" max="6" width="9.5" style="456" bestFit="1" customWidth="1"/>
    <col min="7" max="7" width="10.5" style="456" bestFit="1" customWidth="1"/>
    <col min="8" max="8" width="10.5" style="456" customWidth="1"/>
    <col min="9" max="9" width="11.25" style="456" customWidth="1"/>
    <col min="10" max="10" width="10.75" style="456" customWidth="1"/>
    <col min="11" max="11" width="10.5" style="456" bestFit="1" customWidth="1"/>
    <col min="12" max="12" width="11.375" style="456" customWidth="1"/>
    <col min="13" max="13" width="10.5" style="456" bestFit="1" customWidth="1"/>
    <col min="14" max="14" width="10.75" style="456" customWidth="1"/>
    <col min="15" max="15" width="10.625" style="456" bestFit="1" customWidth="1"/>
    <col min="16" max="16" width="11.125" style="456" customWidth="1"/>
    <col min="17" max="17" width="10.5" style="456" bestFit="1" customWidth="1"/>
    <col min="18" max="18" width="3.375" style="456" customWidth="1"/>
    <col min="19" max="21" width="6.125" style="456" customWidth="1"/>
    <col min="22" max="30" width="7.25" style="456" customWidth="1"/>
    <col min="31" max="34" width="6.125" style="456" customWidth="1"/>
    <col min="35" max="16384" width="9.125" style="456"/>
  </cols>
  <sheetData>
    <row r="2" spans="2:17" x14ac:dyDescent="0.2">
      <c r="B2" s="378" t="s">
        <v>327</v>
      </c>
    </row>
    <row r="3" spans="2:17" ht="16.5" customHeight="1" thickBot="1" x14ac:dyDescent="0.25">
      <c r="B3" s="456" t="s">
        <v>442</v>
      </c>
      <c r="F3" s="552">
        <f>SWDRT250SM!E6</f>
        <v>0.89479459982242504</v>
      </c>
      <c r="G3" s="552">
        <f>SWDRT250SM!F6</f>
        <v>0.86538376775748349</v>
      </c>
      <c r="H3" s="552">
        <f>SWDRT250SM!G6</f>
        <v>0.84540659880771174</v>
      </c>
      <c r="I3" s="552">
        <f>SWDRT250SM!H6</f>
        <v>0.8748174308726534</v>
      </c>
      <c r="J3" s="552">
        <f>SWDRT250SM!I6</f>
        <v>0.86538376775748349</v>
      </c>
      <c r="K3" s="552">
        <f>SWDRT250SM!J6</f>
        <v>0.84318691336884821</v>
      </c>
      <c r="L3" s="552">
        <f>SWDRT250SM!K6</f>
        <v>0.86205423959918825</v>
      </c>
      <c r="M3" s="552">
        <f>SWDRT250SM!L6</f>
        <v>0.86538376775748349</v>
      </c>
      <c r="N3" s="552">
        <f>SWDRT250SM!M6</f>
        <v>0.8498459696854388</v>
      </c>
      <c r="O3" s="552">
        <f>SWDRT250SM!N6</f>
        <v>0.85428534056316585</v>
      </c>
      <c r="P3" s="552">
        <f>SWDRT250SM!O6</f>
        <v>0.85428534056316585</v>
      </c>
      <c r="Q3" s="552">
        <f>SWDRT250SM!P6</f>
        <v>0.85428534056316585</v>
      </c>
    </row>
    <row r="4" spans="2:17" s="550" customFormat="1" ht="22.95" customHeight="1" x14ac:dyDescent="0.25">
      <c r="B4" s="553" t="s">
        <v>373</v>
      </c>
      <c r="C4" s="554" t="s">
        <v>443</v>
      </c>
      <c r="D4" s="555"/>
      <c r="E4" s="555"/>
      <c r="F4" s="388">
        <v>1</v>
      </c>
      <c r="G4" s="388">
        <f>F4+1</f>
        <v>2</v>
      </c>
      <c r="H4" s="388">
        <f t="shared" ref="H4:O4" si="0">G4+1</f>
        <v>3</v>
      </c>
      <c r="I4" s="388">
        <f t="shared" si="0"/>
        <v>4</v>
      </c>
      <c r="J4" s="388">
        <f t="shared" si="0"/>
        <v>5</v>
      </c>
      <c r="K4" s="388">
        <f t="shared" si="0"/>
        <v>6</v>
      </c>
      <c r="L4" s="388">
        <f t="shared" si="0"/>
        <v>7</v>
      </c>
      <c r="M4" s="388">
        <f t="shared" si="0"/>
        <v>8</v>
      </c>
      <c r="N4" s="388">
        <f t="shared" si="0"/>
        <v>9</v>
      </c>
      <c r="O4" s="388">
        <f t="shared" si="0"/>
        <v>10</v>
      </c>
      <c r="P4" s="388">
        <f>O4+1</f>
        <v>11</v>
      </c>
      <c r="Q4" s="388">
        <f>P4+1</f>
        <v>12</v>
      </c>
    </row>
    <row r="5" spans="2:17" x14ac:dyDescent="0.2">
      <c r="B5" s="469" t="s">
        <v>374</v>
      </c>
      <c r="C5" s="557" t="s">
        <v>375</v>
      </c>
      <c r="D5" s="471"/>
      <c r="E5" s="559"/>
      <c r="F5" s="474">
        <v>0</v>
      </c>
      <c r="G5" s="474">
        <f>F6+1</f>
        <v>7001</v>
      </c>
      <c r="H5" s="474">
        <f t="shared" ref="H5:Q5" si="1">G6+1</f>
        <v>14001</v>
      </c>
      <c r="I5" s="474">
        <f t="shared" si="1"/>
        <v>21001</v>
      </c>
      <c r="J5" s="474">
        <f t="shared" si="1"/>
        <v>28001</v>
      </c>
      <c r="K5" s="474">
        <f t="shared" si="1"/>
        <v>35001</v>
      </c>
      <c r="L5" s="474">
        <f t="shared" si="1"/>
        <v>42001</v>
      </c>
      <c r="M5" s="474">
        <f t="shared" si="1"/>
        <v>49001</v>
      </c>
      <c r="N5" s="474">
        <f t="shared" si="1"/>
        <v>56001</v>
      </c>
      <c r="O5" s="474">
        <f t="shared" si="1"/>
        <v>63001</v>
      </c>
      <c r="P5" s="474">
        <f t="shared" si="1"/>
        <v>70001</v>
      </c>
      <c r="Q5" s="474">
        <f t="shared" si="1"/>
        <v>77001</v>
      </c>
    </row>
    <row r="6" spans="2:17" ht="13.6" thickBot="1" x14ac:dyDescent="0.25">
      <c r="B6" s="560" t="s">
        <v>376</v>
      </c>
      <c r="C6" s="561" t="s">
        <v>375</v>
      </c>
      <c r="D6" s="563"/>
      <c r="E6" s="562">
        <f>'SWDRT250SM ТО'!F6</f>
        <v>7000</v>
      </c>
      <c r="F6" s="564">
        <f>E6</f>
        <v>7000</v>
      </c>
      <c r="G6" s="564">
        <f>F6+$E6</f>
        <v>14000</v>
      </c>
      <c r="H6" s="564">
        <f>G6+$E6</f>
        <v>21000</v>
      </c>
      <c r="I6" s="564">
        <f t="shared" ref="I6:Q6" si="2">H6+$E6</f>
        <v>28000</v>
      </c>
      <c r="J6" s="564">
        <f t="shared" si="2"/>
        <v>35000</v>
      </c>
      <c r="K6" s="564">
        <f t="shared" si="2"/>
        <v>42000</v>
      </c>
      <c r="L6" s="564">
        <f t="shared" si="2"/>
        <v>49000</v>
      </c>
      <c r="M6" s="564">
        <f t="shared" si="2"/>
        <v>56000</v>
      </c>
      <c r="N6" s="564">
        <f t="shared" si="2"/>
        <v>63000</v>
      </c>
      <c r="O6" s="564">
        <f t="shared" si="2"/>
        <v>70000</v>
      </c>
      <c r="P6" s="564">
        <f t="shared" si="2"/>
        <v>77000</v>
      </c>
      <c r="Q6" s="564">
        <f t="shared" si="2"/>
        <v>84000</v>
      </c>
    </row>
    <row r="7" spans="2:17" ht="13.6" thickBot="1" x14ac:dyDescent="0.25">
      <c r="B7" s="566"/>
    </row>
    <row r="8" spans="2:17" ht="21.75" customHeight="1" x14ac:dyDescent="0.2">
      <c r="B8" s="567" t="s">
        <v>444</v>
      </c>
      <c r="C8" s="409" t="s">
        <v>337</v>
      </c>
      <c r="D8" s="409"/>
      <c r="E8" s="409"/>
      <c r="F8" s="528">
        <f>F16</f>
        <v>425.64499999999998</v>
      </c>
      <c r="G8" s="528">
        <f>G16</f>
        <v>690.64499999999998</v>
      </c>
      <c r="H8" s="528">
        <f t="shared" ref="H8:P8" si="3">H16</f>
        <v>870.64499999999998</v>
      </c>
      <c r="I8" s="528">
        <f t="shared" si="3"/>
        <v>605.64499999999998</v>
      </c>
      <c r="J8" s="528">
        <f t="shared" si="3"/>
        <v>690.64499999999998</v>
      </c>
      <c r="K8" s="528">
        <f t="shared" si="3"/>
        <v>890.64499999999998</v>
      </c>
      <c r="L8" s="528">
        <f t="shared" si="3"/>
        <v>720.64499999999998</v>
      </c>
      <c r="M8" s="528">
        <f t="shared" si="3"/>
        <v>690.64499999999998</v>
      </c>
      <c r="N8" s="528">
        <f t="shared" si="3"/>
        <v>830.64499999999998</v>
      </c>
      <c r="O8" s="528">
        <f t="shared" si="3"/>
        <v>790.64499999999998</v>
      </c>
      <c r="P8" s="528">
        <f t="shared" si="3"/>
        <v>790.64499999999998</v>
      </c>
      <c r="Q8" s="528">
        <f>Q16</f>
        <v>790.64499999999998</v>
      </c>
    </row>
    <row r="9" spans="2:17" ht="21.1" customHeight="1" x14ac:dyDescent="0.2">
      <c r="B9" s="392" t="s">
        <v>352</v>
      </c>
      <c r="C9" s="732" t="s">
        <v>621</v>
      </c>
      <c r="D9" s="398"/>
      <c r="E9" s="398"/>
      <c r="F9" s="483">
        <f>SUM(F10:F12)</f>
        <v>101217.9204</v>
      </c>
      <c r="G9" s="483">
        <f>SUM(G10:G12)</f>
        <v>395757.82209026546</v>
      </c>
      <c r="H9" s="483">
        <f t="shared" ref="H9:Q9" si="4">SUM(H10:H12)</f>
        <v>424352.58229026548</v>
      </c>
      <c r="I9" s="483">
        <f t="shared" si="4"/>
        <v>216412.82740000001</v>
      </c>
      <c r="J9" s="483">
        <f t="shared" si="4"/>
        <v>354760.8670902655</v>
      </c>
      <c r="K9" s="483">
        <f t="shared" si="4"/>
        <v>465349.53729026543</v>
      </c>
      <c r="L9" s="483">
        <f t="shared" si="4"/>
        <v>179685.87239999999</v>
      </c>
      <c r="M9" s="483">
        <f t="shared" si="4"/>
        <v>399805.92209026549</v>
      </c>
      <c r="N9" s="483">
        <f t="shared" si="4"/>
        <v>362205.8302902655</v>
      </c>
      <c r="O9" s="483">
        <f t="shared" si="4"/>
        <v>216412.82740000001</v>
      </c>
      <c r="P9" s="483">
        <f t="shared" si="4"/>
        <v>354760.8670902655</v>
      </c>
      <c r="Q9" s="733">
        <f t="shared" si="4"/>
        <v>101217.9204</v>
      </c>
    </row>
    <row r="10" spans="2:17" ht="23.3" customHeight="1" x14ac:dyDescent="0.2">
      <c r="B10" s="419" t="s">
        <v>355</v>
      </c>
      <c r="C10" s="434" t="s">
        <v>621</v>
      </c>
      <c r="D10" s="434"/>
      <c r="E10" s="434"/>
      <c r="F10" s="488">
        <f>F29</f>
        <v>53174</v>
      </c>
      <c r="G10" s="488">
        <f>G29</f>
        <v>53174</v>
      </c>
      <c r="H10" s="488">
        <f t="shared" ref="H10:Q10" si="5">H29</f>
        <v>53174</v>
      </c>
      <c r="I10" s="488">
        <f t="shared" si="5"/>
        <v>53174</v>
      </c>
      <c r="J10" s="488">
        <f t="shared" si="5"/>
        <v>53174</v>
      </c>
      <c r="K10" s="488">
        <f t="shared" si="5"/>
        <v>53174</v>
      </c>
      <c r="L10" s="488">
        <f t="shared" si="5"/>
        <v>53174</v>
      </c>
      <c r="M10" s="488">
        <f t="shared" si="5"/>
        <v>53174</v>
      </c>
      <c r="N10" s="488">
        <f t="shared" si="5"/>
        <v>53174</v>
      </c>
      <c r="O10" s="488">
        <f t="shared" si="5"/>
        <v>53174</v>
      </c>
      <c r="P10" s="488">
        <f t="shared" si="5"/>
        <v>53174</v>
      </c>
      <c r="Q10" s="570">
        <f t="shared" si="5"/>
        <v>53174</v>
      </c>
    </row>
    <row r="11" spans="2:17" ht="27.7" customHeight="1" x14ac:dyDescent="0.2">
      <c r="B11" s="419" t="s">
        <v>356</v>
      </c>
      <c r="C11" s="434" t="s">
        <v>621</v>
      </c>
      <c r="D11" s="434"/>
      <c r="E11" s="434"/>
      <c r="F11" s="488">
        <f>F33</f>
        <v>35958.770400000001</v>
      </c>
      <c r="G11" s="488">
        <f>G33</f>
        <v>301938.67209026543</v>
      </c>
      <c r="H11" s="488">
        <f t="shared" ref="H11:Q11" si="6">H33</f>
        <v>327733.43229026545</v>
      </c>
      <c r="I11" s="488">
        <f t="shared" si="6"/>
        <v>133082.4774</v>
      </c>
      <c r="J11" s="488">
        <f>J33</f>
        <v>264441.71709026548</v>
      </c>
      <c r="K11" s="488">
        <f t="shared" si="6"/>
        <v>365230.38729026541</v>
      </c>
      <c r="L11" s="488">
        <f>L33</f>
        <v>95585.522399999987</v>
      </c>
      <c r="M11" s="488">
        <f t="shared" si="6"/>
        <v>307316.77209026547</v>
      </c>
      <c r="N11" s="488">
        <f t="shared" si="6"/>
        <v>268106.68029026547</v>
      </c>
      <c r="O11" s="488">
        <f t="shared" si="6"/>
        <v>133082.4774</v>
      </c>
      <c r="P11" s="488">
        <f t="shared" si="6"/>
        <v>264441.71709026548</v>
      </c>
      <c r="Q11" s="570">
        <f t="shared" si="6"/>
        <v>35958.770400000001</v>
      </c>
    </row>
    <row r="12" spans="2:17" ht="23.3" customHeight="1" thickBot="1" x14ac:dyDescent="0.25">
      <c r="B12" s="422" t="s">
        <v>446</v>
      </c>
      <c r="C12" s="571" t="s">
        <v>621</v>
      </c>
      <c r="D12" s="571"/>
      <c r="E12" s="571"/>
      <c r="F12" s="493">
        <f>SUMPRODUCT(F$23:F$26,$D23:$D26)</f>
        <v>12085.15</v>
      </c>
      <c r="G12" s="493">
        <f>SUMPRODUCT(G$23:G$26,$D23:$D26)</f>
        <v>40645.15</v>
      </c>
      <c r="H12" s="493">
        <f t="shared" ref="H12:Q12" si="7">SUMPRODUCT(H$23:H$26,$D23:$D26)</f>
        <v>43445.15</v>
      </c>
      <c r="I12" s="493">
        <f t="shared" si="7"/>
        <v>30156.35</v>
      </c>
      <c r="J12" s="493">
        <f t="shared" si="7"/>
        <v>37145.15</v>
      </c>
      <c r="K12" s="493">
        <f t="shared" si="7"/>
        <v>46945.15</v>
      </c>
      <c r="L12" s="493">
        <f t="shared" si="7"/>
        <v>30926.35</v>
      </c>
      <c r="M12" s="493">
        <f t="shared" si="7"/>
        <v>39315.15</v>
      </c>
      <c r="N12" s="493">
        <f t="shared" si="7"/>
        <v>40925.15</v>
      </c>
      <c r="O12" s="493">
        <f t="shared" si="7"/>
        <v>30156.35</v>
      </c>
      <c r="P12" s="493">
        <f t="shared" si="7"/>
        <v>37145.15</v>
      </c>
      <c r="Q12" s="493">
        <f t="shared" si="7"/>
        <v>12085.15</v>
      </c>
    </row>
    <row r="13" spans="2:17" x14ac:dyDescent="0.2">
      <c r="B13" s="572"/>
      <c r="E13" s="573"/>
      <c r="F13" s="574"/>
      <c r="G13" s="574"/>
      <c r="H13" s="574"/>
      <c r="I13" s="574"/>
      <c r="J13" s="574"/>
      <c r="K13" s="574"/>
      <c r="L13" s="574"/>
      <c r="M13" s="574"/>
      <c r="N13" s="574"/>
      <c r="O13" s="574"/>
      <c r="P13" s="574"/>
      <c r="Q13" s="574"/>
    </row>
    <row r="14" spans="2:17" ht="14.3" thickBot="1" x14ac:dyDescent="0.3">
      <c r="B14" s="575" t="s">
        <v>447</v>
      </c>
      <c r="E14" s="573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</row>
    <row r="15" spans="2:17" ht="14.3" thickBot="1" x14ac:dyDescent="0.25">
      <c r="B15" s="458" t="s">
        <v>448</v>
      </c>
      <c r="C15" s="554" t="s">
        <v>443</v>
      </c>
      <c r="D15" s="734"/>
      <c r="E15" s="734"/>
      <c r="F15" s="735" t="s">
        <v>337</v>
      </c>
      <c r="G15" s="522" t="s">
        <v>337</v>
      </c>
      <c r="H15" s="522" t="s">
        <v>337</v>
      </c>
      <c r="I15" s="522" t="s">
        <v>337</v>
      </c>
      <c r="J15" s="522" t="s">
        <v>337</v>
      </c>
      <c r="K15" s="522" t="s">
        <v>337</v>
      </c>
      <c r="L15" s="522" t="s">
        <v>337</v>
      </c>
      <c r="M15" s="522" t="s">
        <v>337</v>
      </c>
      <c r="N15" s="522" t="s">
        <v>337</v>
      </c>
      <c r="O15" s="522" t="s">
        <v>337</v>
      </c>
      <c r="P15" s="522" t="s">
        <v>337</v>
      </c>
      <c r="Q15" s="736" t="s">
        <v>337</v>
      </c>
    </row>
    <row r="16" spans="2:17" ht="13.6" customHeight="1" thickBot="1" x14ac:dyDescent="0.3">
      <c r="B16" s="737" t="s">
        <v>449</v>
      </c>
      <c r="C16" s="738"/>
      <c r="D16" s="739"/>
      <c r="E16" s="739"/>
      <c r="F16" s="524">
        <f>SUM(F17:F20)</f>
        <v>425.64499999999998</v>
      </c>
      <c r="G16" s="524">
        <f>SUM(G17:G20)</f>
        <v>690.64499999999998</v>
      </c>
      <c r="H16" s="524">
        <f t="shared" ref="H16:P16" si="8">SUM(H17:H20)</f>
        <v>870.64499999999998</v>
      </c>
      <c r="I16" s="524">
        <f t="shared" si="8"/>
        <v>605.64499999999998</v>
      </c>
      <c r="J16" s="524">
        <f t="shared" si="8"/>
        <v>690.64499999999998</v>
      </c>
      <c r="K16" s="524">
        <f t="shared" si="8"/>
        <v>890.64499999999998</v>
      </c>
      <c r="L16" s="524">
        <f t="shared" si="8"/>
        <v>720.64499999999998</v>
      </c>
      <c r="M16" s="524">
        <f t="shared" si="8"/>
        <v>690.64499999999998</v>
      </c>
      <c r="N16" s="524">
        <f t="shared" si="8"/>
        <v>830.64499999999998</v>
      </c>
      <c r="O16" s="524">
        <f t="shared" si="8"/>
        <v>790.64499999999998</v>
      </c>
      <c r="P16" s="524">
        <f t="shared" si="8"/>
        <v>790.64499999999998</v>
      </c>
      <c r="Q16" s="524">
        <f>SUM(Q17:Q20)</f>
        <v>790.64499999999998</v>
      </c>
    </row>
    <row r="17" spans="2:34" x14ac:dyDescent="0.2">
      <c r="B17" s="740" t="s">
        <v>622</v>
      </c>
      <c r="C17" s="741" t="s">
        <v>337</v>
      </c>
      <c r="D17" s="742"/>
      <c r="E17" s="481"/>
      <c r="F17" s="743">
        <v>12.824999999999999</v>
      </c>
      <c r="G17" s="743">
        <v>12.824999999999999</v>
      </c>
      <c r="H17" s="743">
        <v>12.824999999999999</v>
      </c>
      <c r="I17" s="743">
        <v>12.824999999999999</v>
      </c>
      <c r="J17" s="743">
        <v>12.824999999999999</v>
      </c>
      <c r="K17" s="743">
        <v>12.824999999999999</v>
      </c>
      <c r="L17" s="743">
        <v>12.824999999999999</v>
      </c>
      <c r="M17" s="743">
        <v>12.824999999999999</v>
      </c>
      <c r="N17" s="743">
        <v>12.824999999999999</v>
      </c>
      <c r="O17" s="743">
        <v>12.824999999999999</v>
      </c>
      <c r="P17" s="743">
        <v>12.824999999999999</v>
      </c>
      <c r="Q17" s="743">
        <v>12.824999999999999</v>
      </c>
      <c r="T17" s="744"/>
    </row>
    <row r="18" spans="2:34" x14ac:dyDescent="0.2">
      <c r="B18" s="740" t="s">
        <v>623</v>
      </c>
      <c r="C18" s="741" t="s">
        <v>337</v>
      </c>
      <c r="D18" s="745"/>
      <c r="E18" s="481"/>
      <c r="F18" s="746">
        <v>32.159999999999997</v>
      </c>
      <c r="G18" s="746">
        <v>32.159999999999997</v>
      </c>
      <c r="H18" s="746">
        <v>32.159999999999997</v>
      </c>
      <c r="I18" s="746">
        <v>32.159999999999997</v>
      </c>
      <c r="J18" s="746">
        <v>32.159999999999997</v>
      </c>
      <c r="K18" s="746">
        <v>32.159999999999997</v>
      </c>
      <c r="L18" s="746">
        <v>32.159999999999997</v>
      </c>
      <c r="M18" s="746">
        <v>32.159999999999997</v>
      </c>
      <c r="N18" s="746">
        <v>32.159999999999997</v>
      </c>
      <c r="O18" s="746">
        <v>32.159999999999997</v>
      </c>
      <c r="P18" s="746">
        <v>32.159999999999997</v>
      </c>
      <c r="Q18" s="746">
        <v>32.159999999999997</v>
      </c>
      <c r="T18" s="744"/>
    </row>
    <row r="19" spans="2:34" x14ac:dyDescent="0.2">
      <c r="B19" s="740" t="s">
        <v>624</v>
      </c>
      <c r="C19" s="741" t="s">
        <v>337</v>
      </c>
      <c r="D19" s="745"/>
      <c r="E19" s="481"/>
      <c r="F19" s="746">
        <v>25.659999999999997</v>
      </c>
      <c r="G19" s="746">
        <v>25.659999999999997</v>
      </c>
      <c r="H19" s="746">
        <v>25.659999999999997</v>
      </c>
      <c r="I19" s="746">
        <v>25.659999999999997</v>
      </c>
      <c r="J19" s="746">
        <v>25.659999999999997</v>
      </c>
      <c r="K19" s="746">
        <v>25.659999999999997</v>
      </c>
      <c r="L19" s="746">
        <v>25.659999999999997</v>
      </c>
      <c r="M19" s="746">
        <v>25.659999999999997</v>
      </c>
      <c r="N19" s="746">
        <v>25.659999999999997</v>
      </c>
      <c r="O19" s="746">
        <v>25.659999999999997</v>
      </c>
      <c r="P19" s="746">
        <v>25.659999999999997</v>
      </c>
      <c r="Q19" s="746">
        <v>25.659999999999997</v>
      </c>
      <c r="T19" s="744"/>
    </row>
    <row r="20" spans="2:34" ht="25.85" x14ac:dyDescent="0.2">
      <c r="B20" s="740" t="s">
        <v>356</v>
      </c>
      <c r="C20" s="741" t="s">
        <v>337</v>
      </c>
      <c r="D20" s="745"/>
      <c r="E20" s="481"/>
      <c r="F20" s="746">
        <v>355</v>
      </c>
      <c r="G20" s="746">
        <v>620</v>
      </c>
      <c r="H20" s="746">
        <v>800</v>
      </c>
      <c r="I20" s="746">
        <v>535</v>
      </c>
      <c r="J20" s="746">
        <v>620</v>
      </c>
      <c r="K20" s="746">
        <v>820</v>
      </c>
      <c r="L20" s="746">
        <v>650</v>
      </c>
      <c r="M20" s="746">
        <v>620</v>
      </c>
      <c r="N20" s="746">
        <v>760</v>
      </c>
      <c r="O20" s="746">
        <v>720</v>
      </c>
      <c r="P20" s="746">
        <v>720</v>
      </c>
      <c r="Q20" s="746">
        <v>720</v>
      </c>
      <c r="T20" s="744"/>
    </row>
    <row r="21" spans="2:34" ht="14.3" thickBot="1" x14ac:dyDescent="0.3">
      <c r="B21" s="575" t="s">
        <v>534</v>
      </c>
      <c r="D21" s="747">
        <f>'SWDRT250SM ТО'!F10</f>
        <v>35</v>
      </c>
      <c r="E21" s="573"/>
      <c r="F21" s="574"/>
      <c r="G21" s="574"/>
      <c r="H21" s="574"/>
      <c r="I21" s="574"/>
      <c r="J21" s="574"/>
      <c r="K21" s="574"/>
      <c r="L21" s="574"/>
      <c r="M21" s="574"/>
      <c r="N21" s="574"/>
      <c r="O21" s="574"/>
      <c r="P21" s="574"/>
      <c r="Q21" s="574"/>
    </row>
    <row r="22" spans="2:34" ht="27.85" thickBot="1" x14ac:dyDescent="0.25">
      <c r="B22" s="458" t="s">
        <v>448</v>
      </c>
      <c r="C22" s="554" t="s">
        <v>443</v>
      </c>
      <c r="D22" s="578" t="s">
        <v>535</v>
      </c>
      <c r="E22" s="578"/>
      <c r="F22" s="577" t="s">
        <v>536</v>
      </c>
      <c r="G22" s="577" t="s">
        <v>536</v>
      </c>
      <c r="H22" s="577" t="s">
        <v>536</v>
      </c>
      <c r="I22" s="577" t="s">
        <v>536</v>
      </c>
      <c r="J22" s="577" t="s">
        <v>536</v>
      </c>
      <c r="K22" s="577" t="s">
        <v>536</v>
      </c>
      <c r="L22" s="577" t="s">
        <v>536</v>
      </c>
      <c r="M22" s="577" t="s">
        <v>536</v>
      </c>
      <c r="N22" s="577" t="s">
        <v>536</v>
      </c>
      <c r="O22" s="577" t="s">
        <v>536</v>
      </c>
      <c r="P22" s="577" t="s">
        <v>536</v>
      </c>
      <c r="Q22" s="748" t="s">
        <v>536</v>
      </c>
    </row>
    <row r="23" spans="2:34" x14ac:dyDescent="0.2">
      <c r="B23" s="749" t="str">
        <f>B17</f>
        <v>ремонт-1</v>
      </c>
      <c r="C23" s="741" t="s">
        <v>536</v>
      </c>
      <c r="D23" s="724">
        <f>$D$21</f>
        <v>35</v>
      </c>
      <c r="E23" s="481"/>
      <c r="F23" s="750">
        <v>25.65</v>
      </c>
      <c r="G23" s="750">
        <v>25.65</v>
      </c>
      <c r="H23" s="750">
        <v>25.65</v>
      </c>
      <c r="I23" s="750">
        <v>25.65</v>
      </c>
      <c r="J23" s="750">
        <v>25.65</v>
      </c>
      <c r="K23" s="750">
        <v>25.65</v>
      </c>
      <c r="L23" s="750">
        <v>25.65</v>
      </c>
      <c r="M23" s="750">
        <v>25.65</v>
      </c>
      <c r="N23" s="750">
        <v>25.65</v>
      </c>
      <c r="O23" s="750">
        <v>25.65</v>
      </c>
      <c r="P23" s="750">
        <v>25.65</v>
      </c>
      <c r="Q23" s="750">
        <v>25.65</v>
      </c>
      <c r="S23" s="751"/>
      <c r="V23" s="751"/>
      <c r="X23" s="751"/>
    </row>
    <row r="24" spans="2:34" x14ac:dyDescent="0.2">
      <c r="B24" s="749" t="str">
        <f>B18</f>
        <v>ремонт-2</v>
      </c>
      <c r="C24" s="741" t="s">
        <v>536</v>
      </c>
      <c r="D24" s="724">
        <f>$D$21</f>
        <v>35</v>
      </c>
      <c r="E24" s="481"/>
      <c r="F24" s="750">
        <v>64.319999999999993</v>
      </c>
      <c r="G24" s="750">
        <v>64.319999999999993</v>
      </c>
      <c r="H24" s="750">
        <v>64.319999999999993</v>
      </c>
      <c r="I24" s="750">
        <v>64.319999999999993</v>
      </c>
      <c r="J24" s="750">
        <v>64.319999999999993</v>
      </c>
      <c r="K24" s="750">
        <v>64.319999999999993</v>
      </c>
      <c r="L24" s="750">
        <v>64.319999999999993</v>
      </c>
      <c r="M24" s="750">
        <v>64.319999999999993</v>
      </c>
      <c r="N24" s="750">
        <v>64.319999999999993</v>
      </c>
      <c r="O24" s="750">
        <v>64.319999999999993</v>
      </c>
      <c r="P24" s="750">
        <v>64.319999999999993</v>
      </c>
      <c r="Q24" s="750">
        <v>64.319999999999993</v>
      </c>
      <c r="S24" s="751"/>
      <c r="V24" s="751"/>
      <c r="X24" s="751"/>
    </row>
    <row r="25" spans="2:34" x14ac:dyDescent="0.2">
      <c r="B25" s="749" t="str">
        <f>B19</f>
        <v>ремонт-3</v>
      </c>
      <c r="C25" s="741" t="s">
        <v>536</v>
      </c>
      <c r="D25" s="724">
        <f>$D$21</f>
        <v>35</v>
      </c>
      <c r="E25" s="481"/>
      <c r="F25" s="750">
        <v>51.319999999999993</v>
      </c>
      <c r="G25" s="750">
        <v>51.319999999999993</v>
      </c>
      <c r="H25" s="750">
        <v>51.319999999999993</v>
      </c>
      <c r="I25" s="750">
        <v>51.319999999999993</v>
      </c>
      <c r="J25" s="750">
        <v>51.319999999999993</v>
      </c>
      <c r="K25" s="750">
        <v>51.319999999999993</v>
      </c>
      <c r="L25" s="750">
        <v>51.319999999999993</v>
      </c>
      <c r="M25" s="750">
        <v>51.319999999999993</v>
      </c>
      <c r="N25" s="750">
        <v>51.319999999999993</v>
      </c>
      <c r="O25" s="750">
        <v>51.319999999999993</v>
      </c>
      <c r="P25" s="750">
        <v>51.319999999999993</v>
      </c>
      <c r="Q25" s="750">
        <v>51.319999999999993</v>
      </c>
      <c r="S25" s="751"/>
      <c r="T25" s="751"/>
      <c r="U25" s="751"/>
      <c r="V25" s="791"/>
      <c r="W25" s="791"/>
      <c r="X25" s="791"/>
      <c r="Y25" s="791"/>
      <c r="Z25" s="791"/>
      <c r="AA25" s="791"/>
      <c r="AB25" s="791"/>
      <c r="AC25" s="791"/>
      <c r="AD25" s="791"/>
      <c r="AE25" s="791"/>
      <c r="AF25" s="791"/>
      <c r="AG25" s="791"/>
    </row>
    <row r="26" spans="2:34" ht="25.85" x14ac:dyDescent="0.2">
      <c r="B26" s="749" t="s">
        <v>356</v>
      </c>
      <c r="C26" s="741" t="s">
        <v>337</v>
      </c>
      <c r="D26" s="724">
        <f>$D$21</f>
        <v>35</v>
      </c>
      <c r="E26" s="481"/>
      <c r="F26" s="750">
        <v>204</v>
      </c>
      <c r="G26" s="750">
        <v>1020</v>
      </c>
      <c r="H26" s="750">
        <v>1100</v>
      </c>
      <c r="I26" s="750">
        <v>720.31999999999994</v>
      </c>
      <c r="J26" s="750">
        <v>920</v>
      </c>
      <c r="K26" s="750">
        <v>1200</v>
      </c>
      <c r="L26" s="750">
        <v>742.31999999999994</v>
      </c>
      <c r="M26" s="750">
        <v>982</v>
      </c>
      <c r="N26" s="750">
        <v>1028</v>
      </c>
      <c r="O26" s="750">
        <v>720.31999999999994</v>
      </c>
      <c r="P26" s="750">
        <v>920</v>
      </c>
      <c r="Q26" s="750">
        <v>204</v>
      </c>
      <c r="T26" s="792"/>
    </row>
    <row r="27" spans="2:34" ht="14.3" thickBot="1" x14ac:dyDescent="0.3">
      <c r="B27" s="575" t="s">
        <v>538</v>
      </c>
      <c r="F27" s="574"/>
      <c r="G27" s="791"/>
      <c r="H27" s="791"/>
      <c r="I27" s="791"/>
      <c r="J27" s="791"/>
      <c r="K27" s="791"/>
      <c r="L27" s="791"/>
      <c r="M27" s="791"/>
      <c r="N27" s="791"/>
      <c r="O27" s="791"/>
      <c r="P27" s="791"/>
    </row>
    <row r="28" spans="2:34" ht="41.45" thickBot="1" x14ac:dyDescent="0.25">
      <c r="B28" s="628" t="s">
        <v>539</v>
      </c>
      <c r="C28" s="629" t="s">
        <v>625</v>
      </c>
      <c r="D28" s="499" t="s">
        <v>541</v>
      </c>
      <c r="E28" s="499" t="s">
        <v>542</v>
      </c>
      <c r="F28" s="579" t="s">
        <v>579</v>
      </c>
      <c r="G28" s="579" t="s">
        <v>579</v>
      </c>
      <c r="H28" s="579" t="s">
        <v>579</v>
      </c>
      <c r="I28" s="579" t="s">
        <v>579</v>
      </c>
      <c r="J28" s="579" t="s">
        <v>579</v>
      </c>
      <c r="K28" s="579" t="s">
        <v>579</v>
      </c>
      <c r="L28" s="579" t="s">
        <v>579</v>
      </c>
      <c r="M28" s="579" t="s">
        <v>579</v>
      </c>
      <c r="N28" s="579" t="s">
        <v>579</v>
      </c>
      <c r="O28" s="579" t="s">
        <v>579</v>
      </c>
      <c r="P28" s="579" t="s">
        <v>579</v>
      </c>
      <c r="Q28" s="579" t="s">
        <v>579</v>
      </c>
      <c r="T28" s="793"/>
      <c r="U28" s="793"/>
    </row>
    <row r="29" spans="2:34" ht="28.55" customHeight="1" thickBot="1" x14ac:dyDescent="0.3">
      <c r="B29" s="649" t="s">
        <v>543</v>
      </c>
      <c r="C29" s="650"/>
      <c r="D29" s="462"/>
      <c r="E29" s="462"/>
      <c r="F29" s="523">
        <f>SUM(F30:F32)</f>
        <v>53174</v>
      </c>
      <c r="G29" s="523">
        <f>SUM(G30:G32)</f>
        <v>53174</v>
      </c>
      <c r="H29" s="523">
        <f t="shared" ref="H29:P29" si="9">SUM(H30:H32)</f>
        <v>53174</v>
      </c>
      <c r="I29" s="523">
        <f t="shared" si="9"/>
        <v>53174</v>
      </c>
      <c r="J29" s="523">
        <f t="shared" si="9"/>
        <v>53174</v>
      </c>
      <c r="K29" s="523">
        <f t="shared" si="9"/>
        <v>53174</v>
      </c>
      <c r="L29" s="523">
        <f t="shared" si="9"/>
        <v>53174</v>
      </c>
      <c r="M29" s="523">
        <f t="shared" si="9"/>
        <v>53174</v>
      </c>
      <c r="N29" s="523">
        <f t="shared" si="9"/>
        <v>53174</v>
      </c>
      <c r="O29" s="523">
        <f t="shared" si="9"/>
        <v>53174</v>
      </c>
      <c r="P29" s="523">
        <f t="shared" si="9"/>
        <v>53174</v>
      </c>
      <c r="Q29" s="523">
        <f>SUM(Q30:Q32)</f>
        <v>53174</v>
      </c>
    </row>
    <row r="30" spans="2:34" ht="28.55" customHeight="1" x14ac:dyDescent="0.2">
      <c r="B30" s="752" t="s">
        <v>626</v>
      </c>
      <c r="C30" s="753">
        <v>1872</v>
      </c>
      <c r="D30" s="754">
        <v>1000</v>
      </c>
      <c r="E30" s="400">
        <v>3</v>
      </c>
      <c r="F30" s="474">
        <f>$E$30*$C$30</f>
        <v>5616</v>
      </c>
      <c r="G30" s="474">
        <f t="shared" ref="G30:Q30" si="10">$E$30*$C$30</f>
        <v>5616</v>
      </c>
      <c r="H30" s="474">
        <f>$E$30*$C$30</f>
        <v>5616</v>
      </c>
      <c r="I30" s="474">
        <f t="shared" si="10"/>
        <v>5616</v>
      </c>
      <c r="J30" s="474">
        <f t="shared" si="10"/>
        <v>5616</v>
      </c>
      <c r="K30" s="474">
        <f t="shared" si="10"/>
        <v>5616</v>
      </c>
      <c r="L30" s="474">
        <f t="shared" si="10"/>
        <v>5616</v>
      </c>
      <c r="M30" s="474">
        <f t="shared" si="10"/>
        <v>5616</v>
      </c>
      <c r="N30" s="474">
        <f t="shared" si="10"/>
        <v>5616</v>
      </c>
      <c r="O30" s="474">
        <f t="shared" si="10"/>
        <v>5616</v>
      </c>
      <c r="P30" s="474">
        <f t="shared" si="10"/>
        <v>5616</v>
      </c>
      <c r="Q30" s="474">
        <f t="shared" si="10"/>
        <v>5616</v>
      </c>
      <c r="T30" s="794"/>
      <c r="U30" s="794"/>
      <c r="V30" s="794"/>
      <c r="W30" s="794"/>
      <c r="X30" s="794"/>
      <c r="Y30" s="794"/>
      <c r="Z30" s="794"/>
      <c r="AA30" s="794"/>
      <c r="AB30" s="794"/>
      <c r="AC30" s="794"/>
      <c r="AD30" s="794"/>
      <c r="AE30" s="794"/>
      <c r="AF30" s="794"/>
      <c r="AG30" s="794"/>
      <c r="AH30" s="794"/>
    </row>
    <row r="31" spans="2:34" ht="25.85" x14ac:dyDescent="0.2">
      <c r="B31" s="752" t="s">
        <v>626</v>
      </c>
      <c r="C31" s="753">
        <v>4000</v>
      </c>
      <c r="D31" s="754">
        <v>2000</v>
      </c>
      <c r="E31" s="400">
        <v>2</v>
      </c>
      <c r="F31" s="474">
        <f>$E31*$C31</f>
        <v>8000</v>
      </c>
      <c r="G31" s="474">
        <f>$E31*$C31</f>
        <v>8000</v>
      </c>
      <c r="H31" s="474">
        <f>$E31*$C31</f>
        <v>8000</v>
      </c>
      <c r="I31" s="474">
        <f t="shared" ref="H31:Q32" si="11">$E31*$C31</f>
        <v>8000</v>
      </c>
      <c r="J31" s="474">
        <f t="shared" si="11"/>
        <v>8000</v>
      </c>
      <c r="K31" s="474">
        <f t="shared" si="11"/>
        <v>8000</v>
      </c>
      <c r="L31" s="474">
        <f t="shared" si="11"/>
        <v>8000</v>
      </c>
      <c r="M31" s="474">
        <f t="shared" si="11"/>
        <v>8000</v>
      </c>
      <c r="N31" s="474">
        <f t="shared" si="11"/>
        <v>8000</v>
      </c>
      <c r="O31" s="474">
        <f t="shared" si="11"/>
        <v>8000</v>
      </c>
      <c r="P31" s="474">
        <f t="shared" si="11"/>
        <v>8000</v>
      </c>
      <c r="Q31" s="474">
        <f>$E31*$C31</f>
        <v>8000</v>
      </c>
    </row>
    <row r="32" spans="2:34" ht="26.5" thickBot="1" x14ac:dyDescent="0.25">
      <c r="B32" s="752" t="s">
        <v>626</v>
      </c>
      <c r="C32" s="753">
        <v>19779</v>
      </c>
      <c r="D32" s="754">
        <v>3000</v>
      </c>
      <c r="E32" s="400">
        <v>2</v>
      </c>
      <c r="F32" s="474">
        <f>$E32*$C32</f>
        <v>39558</v>
      </c>
      <c r="G32" s="474">
        <f>$E32*$C32</f>
        <v>39558</v>
      </c>
      <c r="H32" s="474">
        <f t="shared" si="11"/>
        <v>39558</v>
      </c>
      <c r="I32" s="474">
        <f t="shared" si="11"/>
        <v>39558</v>
      </c>
      <c r="J32" s="474">
        <f t="shared" si="11"/>
        <v>39558</v>
      </c>
      <c r="K32" s="474">
        <f t="shared" si="11"/>
        <v>39558</v>
      </c>
      <c r="L32" s="474">
        <f t="shared" si="11"/>
        <v>39558</v>
      </c>
      <c r="M32" s="474">
        <f t="shared" si="11"/>
        <v>39558</v>
      </c>
      <c r="N32" s="474">
        <f t="shared" si="11"/>
        <v>39558</v>
      </c>
      <c r="O32" s="474">
        <f t="shared" si="11"/>
        <v>39558</v>
      </c>
      <c r="P32" s="474">
        <f t="shared" si="11"/>
        <v>39558</v>
      </c>
      <c r="Q32" s="474">
        <f t="shared" si="11"/>
        <v>39558</v>
      </c>
    </row>
    <row r="33" spans="2:17" ht="36" customHeight="1" thickBot="1" x14ac:dyDescent="0.3">
      <c r="B33" s="649" t="s">
        <v>356</v>
      </c>
      <c r="C33" s="650"/>
      <c r="D33" s="462"/>
      <c r="E33" s="462"/>
      <c r="F33" s="523">
        <f>SUM(F34:F64)</f>
        <v>35958.770400000001</v>
      </c>
      <c r="G33" s="523">
        <f>SUM(G34:G64)</f>
        <v>301938.67209026543</v>
      </c>
      <c r="H33" s="523">
        <f t="shared" ref="H33:Q33" si="12">SUM(H34:H64)</f>
        <v>327733.43229026545</v>
      </c>
      <c r="I33" s="523">
        <f>SUM(I34:I64)</f>
        <v>133082.4774</v>
      </c>
      <c r="J33" s="523">
        <f t="shared" si="12"/>
        <v>264441.71709026548</v>
      </c>
      <c r="K33" s="523">
        <f t="shared" si="12"/>
        <v>365230.38729026541</v>
      </c>
      <c r="L33" s="523">
        <f t="shared" si="12"/>
        <v>95585.522399999987</v>
      </c>
      <c r="M33" s="523">
        <f t="shared" si="12"/>
        <v>307316.77209026547</v>
      </c>
      <c r="N33" s="523">
        <f t="shared" si="12"/>
        <v>268106.68029026547</v>
      </c>
      <c r="O33" s="523">
        <f>SUM(O34:O64)</f>
        <v>133082.4774</v>
      </c>
      <c r="P33" s="523">
        <f>SUM(P34:P64)</f>
        <v>264441.71709026548</v>
      </c>
      <c r="Q33" s="524">
        <f t="shared" si="12"/>
        <v>35958.770400000001</v>
      </c>
    </row>
    <row r="34" spans="2:17" ht="13.6" x14ac:dyDescent="0.25">
      <c r="B34" s="755" t="s">
        <v>627</v>
      </c>
      <c r="C34" s="756"/>
      <c r="D34" s="757"/>
      <c r="E34" s="757"/>
      <c r="F34" s="757"/>
      <c r="G34" s="757"/>
      <c r="H34" s="757"/>
      <c r="I34" s="757"/>
      <c r="J34" s="757"/>
      <c r="K34" s="757"/>
      <c r="L34" s="757"/>
      <c r="M34" s="757"/>
      <c r="N34" s="757"/>
      <c r="O34" s="757"/>
      <c r="P34" s="757"/>
      <c r="Q34" s="758"/>
    </row>
    <row r="35" spans="2:17" x14ac:dyDescent="0.2">
      <c r="B35" s="759" t="s">
        <v>628</v>
      </c>
      <c r="C35" s="753">
        <v>168856.19469026546</v>
      </c>
      <c r="D35" s="760">
        <v>10000</v>
      </c>
      <c r="E35" s="514">
        <v>1</v>
      </c>
      <c r="F35" s="761"/>
      <c r="G35" s="761">
        <f>$E$35*$C$35</f>
        <v>168856.19469026546</v>
      </c>
      <c r="H35" s="761">
        <f>$E$35*$C$35</f>
        <v>168856.19469026546</v>
      </c>
      <c r="I35" s="761"/>
      <c r="J35" s="761">
        <f t="shared" ref="J35:P35" si="13">$E$35*$C$35</f>
        <v>168856.19469026546</v>
      </c>
      <c r="K35" s="761">
        <f t="shared" si="13"/>
        <v>168856.19469026546</v>
      </c>
      <c r="L35" s="761"/>
      <c r="M35" s="761">
        <f t="shared" si="13"/>
        <v>168856.19469026546</v>
      </c>
      <c r="N35" s="761">
        <f t="shared" si="13"/>
        <v>168856.19469026546</v>
      </c>
      <c r="O35" s="761"/>
      <c r="P35" s="761">
        <f t="shared" si="13"/>
        <v>168856.19469026546</v>
      </c>
      <c r="Q35" s="762"/>
    </row>
    <row r="36" spans="2:17" ht="13.6" x14ac:dyDescent="0.25">
      <c r="B36" s="763" t="s">
        <v>629</v>
      </c>
      <c r="C36" s="764"/>
      <c r="D36" s="471"/>
      <c r="E36" s="559"/>
      <c r="F36" s="471"/>
      <c r="G36" s="471"/>
      <c r="H36" s="471"/>
      <c r="I36" s="471"/>
      <c r="J36" s="471"/>
      <c r="K36" s="471"/>
      <c r="L36" s="471"/>
      <c r="M36" s="471"/>
      <c r="N36" s="471"/>
      <c r="O36" s="471"/>
      <c r="P36" s="471"/>
      <c r="Q36" s="472"/>
    </row>
    <row r="37" spans="2:17" x14ac:dyDescent="0.2">
      <c r="B37" s="765" t="s">
        <v>630</v>
      </c>
      <c r="C37" s="753">
        <v>12176.9745</v>
      </c>
      <c r="D37" s="766">
        <v>12000</v>
      </c>
      <c r="E37" s="767">
        <v>2</v>
      </c>
      <c r="F37" s="766"/>
      <c r="G37" s="761">
        <f>$E$37*$C$37</f>
        <v>24353.949000000001</v>
      </c>
      <c r="H37" s="766"/>
      <c r="I37" s="761">
        <f>E37*C37</f>
        <v>24353.949000000001</v>
      </c>
      <c r="J37" s="766"/>
      <c r="K37" s="761">
        <f>E37*C37</f>
        <v>24353.949000000001</v>
      </c>
      <c r="L37" s="766"/>
      <c r="M37" s="761">
        <f>E37*C37</f>
        <v>24353.949000000001</v>
      </c>
      <c r="N37" s="766"/>
      <c r="O37" s="761">
        <f>E37*C37</f>
        <v>24353.949000000001</v>
      </c>
      <c r="P37" s="766"/>
      <c r="Q37" s="762"/>
    </row>
    <row r="38" spans="2:17" x14ac:dyDescent="0.2">
      <c r="B38" s="765" t="s">
        <v>631</v>
      </c>
      <c r="C38" s="753">
        <v>380.36550000000005</v>
      </c>
      <c r="D38" s="766">
        <v>12000</v>
      </c>
      <c r="E38" s="767">
        <v>2</v>
      </c>
      <c r="F38" s="766"/>
      <c r="G38" s="761">
        <f>$E$38*$C$38</f>
        <v>760.73100000000011</v>
      </c>
      <c r="H38" s="766"/>
      <c r="I38" s="761">
        <f t="shared" ref="I38:I43" si="14">E38*C38</f>
        <v>760.73100000000011</v>
      </c>
      <c r="J38" s="766"/>
      <c r="K38" s="761">
        <f t="shared" ref="K38:K43" si="15">E38*C38</f>
        <v>760.73100000000011</v>
      </c>
      <c r="L38" s="766"/>
      <c r="M38" s="761">
        <f t="shared" ref="M38:M43" si="16">E38*C38</f>
        <v>760.73100000000011</v>
      </c>
      <c r="N38" s="766"/>
      <c r="O38" s="761">
        <f t="shared" ref="O38:O43" si="17">E38*C38</f>
        <v>760.73100000000011</v>
      </c>
      <c r="P38" s="766"/>
      <c r="Q38" s="762"/>
    </row>
    <row r="39" spans="2:17" x14ac:dyDescent="0.2">
      <c r="B39" s="765" t="s">
        <v>632</v>
      </c>
      <c r="C39" s="753">
        <v>1.4384999999999999</v>
      </c>
      <c r="D39" s="766">
        <v>12000</v>
      </c>
      <c r="E39" s="767">
        <v>80</v>
      </c>
      <c r="F39" s="766"/>
      <c r="G39" s="761">
        <f>$E$39*$C$39</f>
        <v>115.07999999999998</v>
      </c>
      <c r="H39" s="766"/>
      <c r="I39" s="761">
        <f t="shared" si="14"/>
        <v>115.07999999999998</v>
      </c>
      <c r="J39" s="766"/>
      <c r="K39" s="761">
        <f t="shared" si="15"/>
        <v>115.07999999999998</v>
      </c>
      <c r="L39" s="766"/>
      <c r="M39" s="761">
        <f t="shared" si="16"/>
        <v>115.07999999999998</v>
      </c>
      <c r="N39" s="766"/>
      <c r="O39" s="761">
        <f t="shared" si="17"/>
        <v>115.07999999999998</v>
      </c>
      <c r="P39" s="766"/>
      <c r="Q39" s="762"/>
    </row>
    <row r="40" spans="2:17" x14ac:dyDescent="0.2">
      <c r="B40" s="765" t="s">
        <v>633</v>
      </c>
      <c r="C40" s="753">
        <v>4748.0204999999996</v>
      </c>
      <c r="D40" s="766">
        <v>12000</v>
      </c>
      <c r="E40" s="767">
        <v>2</v>
      </c>
      <c r="F40" s="766"/>
      <c r="G40" s="761">
        <f>$E$40*$C$40</f>
        <v>9496.0409999999993</v>
      </c>
      <c r="H40" s="766"/>
      <c r="I40" s="761">
        <f t="shared" si="14"/>
        <v>9496.0409999999993</v>
      </c>
      <c r="J40" s="766"/>
      <c r="K40" s="761">
        <f t="shared" si="15"/>
        <v>9496.0409999999993</v>
      </c>
      <c r="L40" s="766"/>
      <c r="M40" s="761">
        <f t="shared" si="16"/>
        <v>9496.0409999999993</v>
      </c>
      <c r="N40" s="766"/>
      <c r="O40" s="761">
        <f t="shared" si="17"/>
        <v>9496.0409999999993</v>
      </c>
      <c r="P40" s="766"/>
      <c r="Q40" s="762"/>
    </row>
    <row r="41" spans="2:17" x14ac:dyDescent="0.2">
      <c r="B41" s="765" t="s">
        <v>634</v>
      </c>
      <c r="C41" s="753">
        <v>578.38499999999999</v>
      </c>
      <c r="D41" s="766">
        <v>12000</v>
      </c>
      <c r="E41" s="767">
        <v>2</v>
      </c>
      <c r="F41" s="766"/>
      <c r="G41" s="761">
        <f>$E$41*$C$41</f>
        <v>1156.77</v>
      </c>
      <c r="H41" s="766"/>
      <c r="I41" s="761">
        <f t="shared" si="14"/>
        <v>1156.77</v>
      </c>
      <c r="J41" s="766"/>
      <c r="K41" s="761">
        <f t="shared" si="15"/>
        <v>1156.77</v>
      </c>
      <c r="L41" s="766"/>
      <c r="M41" s="761">
        <f t="shared" si="16"/>
        <v>1156.77</v>
      </c>
      <c r="N41" s="766"/>
      <c r="O41" s="761">
        <f t="shared" si="17"/>
        <v>1156.77</v>
      </c>
      <c r="P41" s="766"/>
      <c r="Q41" s="762"/>
    </row>
    <row r="42" spans="2:17" x14ac:dyDescent="0.2">
      <c r="B42" s="765" t="s">
        <v>635</v>
      </c>
      <c r="C42" s="753">
        <v>798.26400000000001</v>
      </c>
      <c r="D42" s="766">
        <v>12000</v>
      </c>
      <c r="E42" s="767">
        <v>2</v>
      </c>
      <c r="F42" s="766"/>
      <c r="G42" s="761">
        <f>$E$42*$C$42</f>
        <v>1596.528</v>
      </c>
      <c r="H42" s="766"/>
      <c r="I42" s="761">
        <f>E42*C42</f>
        <v>1596.528</v>
      </c>
      <c r="J42" s="766"/>
      <c r="K42" s="761">
        <f t="shared" si="15"/>
        <v>1596.528</v>
      </c>
      <c r="L42" s="766"/>
      <c r="M42" s="761">
        <f t="shared" si="16"/>
        <v>1596.528</v>
      </c>
      <c r="N42" s="766"/>
      <c r="O42" s="761">
        <f t="shared" si="17"/>
        <v>1596.528</v>
      </c>
      <c r="P42" s="766"/>
      <c r="Q42" s="762"/>
    </row>
    <row r="43" spans="2:17" x14ac:dyDescent="0.2">
      <c r="B43" s="765" t="s">
        <v>636</v>
      </c>
      <c r="C43" s="753">
        <v>0.14399999999999999</v>
      </c>
      <c r="D43" s="766">
        <v>12000</v>
      </c>
      <c r="E43" s="767">
        <v>124</v>
      </c>
      <c r="F43" s="766"/>
      <c r="G43" s="761">
        <f>$E$43*$C$43</f>
        <v>17.855999999999998</v>
      </c>
      <c r="H43" s="766"/>
      <c r="I43" s="761">
        <f t="shared" si="14"/>
        <v>17.855999999999998</v>
      </c>
      <c r="J43" s="766"/>
      <c r="K43" s="761">
        <f t="shared" si="15"/>
        <v>17.855999999999998</v>
      </c>
      <c r="L43" s="766"/>
      <c r="M43" s="761">
        <f t="shared" si="16"/>
        <v>17.855999999999998</v>
      </c>
      <c r="N43" s="766"/>
      <c r="O43" s="761">
        <f t="shared" si="17"/>
        <v>17.855999999999998</v>
      </c>
      <c r="P43" s="766"/>
      <c r="Q43" s="762"/>
    </row>
    <row r="44" spans="2:17" x14ac:dyDescent="0.2">
      <c r="B44" s="765" t="s">
        <v>637</v>
      </c>
      <c r="C44" s="753">
        <v>180.477</v>
      </c>
      <c r="D44" s="766">
        <v>6000</v>
      </c>
      <c r="E44" s="767">
        <v>28</v>
      </c>
      <c r="F44" s="761">
        <f>$E$44*$C$44</f>
        <v>5053.3559999999998</v>
      </c>
      <c r="G44" s="761">
        <f t="shared" ref="G44:Q44" si="18">$E$44*$C$44</f>
        <v>5053.3559999999998</v>
      </c>
      <c r="H44" s="761">
        <f t="shared" si="18"/>
        <v>5053.3559999999998</v>
      </c>
      <c r="I44" s="761">
        <f t="shared" si="18"/>
        <v>5053.3559999999998</v>
      </c>
      <c r="J44" s="761">
        <f t="shared" si="18"/>
        <v>5053.3559999999998</v>
      </c>
      <c r="K44" s="761">
        <f t="shared" si="18"/>
        <v>5053.3559999999998</v>
      </c>
      <c r="L44" s="761">
        <f t="shared" si="18"/>
        <v>5053.3559999999998</v>
      </c>
      <c r="M44" s="761">
        <f>$E$44*$C$44*2</f>
        <v>10106.712</v>
      </c>
      <c r="N44" s="761">
        <f t="shared" si="18"/>
        <v>5053.3559999999998</v>
      </c>
      <c r="O44" s="761">
        <f t="shared" si="18"/>
        <v>5053.3559999999998</v>
      </c>
      <c r="P44" s="761">
        <f t="shared" si="18"/>
        <v>5053.3559999999998</v>
      </c>
      <c r="Q44" s="761">
        <f t="shared" si="18"/>
        <v>5053.3559999999998</v>
      </c>
    </row>
    <row r="45" spans="2:17" x14ac:dyDescent="0.2">
      <c r="B45" s="765" t="s">
        <v>632</v>
      </c>
      <c r="C45" s="753">
        <v>2.8994999999999997</v>
      </c>
      <c r="D45" s="766">
        <v>6000</v>
      </c>
      <c r="E45" s="767">
        <v>112</v>
      </c>
      <c r="F45" s="761">
        <f>$E$45*$C$45</f>
        <v>324.74399999999997</v>
      </c>
      <c r="G45" s="761">
        <f>$E$45*$C$45</f>
        <v>324.74399999999997</v>
      </c>
      <c r="H45" s="761">
        <f t="shared" ref="H45:Q45" si="19">$E$45*$C$45</f>
        <v>324.74399999999997</v>
      </c>
      <c r="I45" s="761">
        <f t="shared" si="19"/>
        <v>324.74399999999997</v>
      </c>
      <c r="J45" s="761">
        <f t="shared" si="19"/>
        <v>324.74399999999997</v>
      </c>
      <c r="K45" s="761">
        <f t="shared" si="19"/>
        <v>324.74399999999997</v>
      </c>
      <c r="L45" s="761">
        <f t="shared" si="19"/>
        <v>324.74399999999997</v>
      </c>
      <c r="M45" s="761">
        <f>$E$45*$C$45*2</f>
        <v>649.48799999999994</v>
      </c>
      <c r="N45" s="761">
        <f t="shared" si="19"/>
        <v>324.74399999999997</v>
      </c>
      <c r="O45" s="761">
        <f t="shared" si="19"/>
        <v>324.74399999999997</v>
      </c>
      <c r="P45" s="761">
        <f t="shared" si="19"/>
        <v>324.74399999999997</v>
      </c>
      <c r="Q45" s="761">
        <f t="shared" si="19"/>
        <v>324.74399999999997</v>
      </c>
    </row>
    <row r="46" spans="2:17" ht="13.6" x14ac:dyDescent="0.25">
      <c r="B46" s="763" t="s">
        <v>638</v>
      </c>
      <c r="C46" s="764"/>
      <c r="D46" s="471"/>
      <c r="E46" s="559"/>
      <c r="F46" s="471"/>
      <c r="G46" s="471"/>
      <c r="H46" s="471"/>
      <c r="I46" s="471"/>
      <c r="J46" s="471"/>
      <c r="K46" s="471"/>
      <c r="L46" s="471"/>
      <c r="M46" s="471"/>
      <c r="N46" s="471"/>
      <c r="O46" s="471"/>
      <c r="P46" s="471"/>
      <c r="Q46" s="472"/>
    </row>
    <row r="47" spans="2:17" x14ac:dyDescent="0.2">
      <c r="B47" s="759" t="s">
        <v>639</v>
      </c>
      <c r="C47" s="753">
        <v>14447.257499999998</v>
      </c>
      <c r="D47" s="760">
        <v>8000</v>
      </c>
      <c r="E47" s="514">
        <v>1</v>
      </c>
      <c r="F47" s="761"/>
      <c r="G47" s="761">
        <f>$E$47*$C$47</f>
        <v>14447.257499999998</v>
      </c>
      <c r="H47" s="761">
        <f t="shared" ref="H47:M47" si="20">$E$47*$C$47</f>
        <v>14447.257499999998</v>
      </c>
      <c r="I47" s="761">
        <f t="shared" si="20"/>
        <v>14447.257499999998</v>
      </c>
      <c r="J47" s="761">
        <f t="shared" si="20"/>
        <v>14447.257499999998</v>
      </c>
      <c r="K47" s="761">
        <f t="shared" si="20"/>
        <v>14447.257499999998</v>
      </c>
      <c r="L47" s="761">
        <f t="shared" si="20"/>
        <v>14447.257499999998</v>
      </c>
      <c r="M47" s="761">
        <f t="shared" si="20"/>
        <v>14447.257499999998</v>
      </c>
      <c r="N47" s="761"/>
      <c r="O47" s="761">
        <f t="shared" ref="O47:P47" si="21">$E$47*$C$47</f>
        <v>14447.257499999998</v>
      </c>
      <c r="P47" s="761">
        <f t="shared" si="21"/>
        <v>14447.257499999998</v>
      </c>
      <c r="Q47" s="761"/>
    </row>
    <row r="48" spans="2:17" x14ac:dyDescent="0.2">
      <c r="B48" s="759" t="s">
        <v>640</v>
      </c>
      <c r="C48" s="753">
        <v>10577.629499999999</v>
      </c>
      <c r="D48" s="760">
        <v>8000</v>
      </c>
      <c r="E48" s="514">
        <v>1</v>
      </c>
      <c r="F48" s="761"/>
      <c r="G48" s="761">
        <f>$E$48*$C$48</f>
        <v>10577.629499999999</v>
      </c>
      <c r="H48" s="761">
        <f t="shared" ref="H48:M48" si="22">$E$48*$C$48</f>
        <v>10577.629499999999</v>
      </c>
      <c r="I48" s="761">
        <f t="shared" si="22"/>
        <v>10577.629499999999</v>
      </c>
      <c r="J48" s="761">
        <f t="shared" si="22"/>
        <v>10577.629499999999</v>
      </c>
      <c r="K48" s="761">
        <f t="shared" si="22"/>
        <v>10577.629499999999</v>
      </c>
      <c r="L48" s="761">
        <f t="shared" si="22"/>
        <v>10577.629499999999</v>
      </c>
      <c r="M48" s="761">
        <f t="shared" si="22"/>
        <v>10577.629499999999</v>
      </c>
      <c r="N48" s="761"/>
      <c r="O48" s="761">
        <f t="shared" ref="O48:P48" si="23">$E$48*$C$48</f>
        <v>10577.629499999999</v>
      </c>
      <c r="P48" s="761">
        <f t="shared" si="23"/>
        <v>10577.629499999999</v>
      </c>
      <c r="Q48" s="761"/>
    </row>
    <row r="49" spans="2:17" x14ac:dyDescent="0.2">
      <c r="B49" s="759" t="s">
        <v>640</v>
      </c>
      <c r="C49" s="753">
        <v>10577.629499999999</v>
      </c>
      <c r="D49" s="760">
        <v>8000</v>
      </c>
      <c r="E49" s="514">
        <v>1</v>
      </c>
      <c r="F49" s="761"/>
      <c r="G49" s="761">
        <f>$E$49*$C$49</f>
        <v>10577.629499999999</v>
      </c>
      <c r="H49" s="761">
        <f t="shared" ref="H49:M49" si="24">$E$49*$C$49</f>
        <v>10577.629499999999</v>
      </c>
      <c r="I49" s="761">
        <f t="shared" si="24"/>
        <v>10577.629499999999</v>
      </c>
      <c r="J49" s="761">
        <f t="shared" si="24"/>
        <v>10577.629499999999</v>
      </c>
      <c r="K49" s="761">
        <f t="shared" si="24"/>
        <v>10577.629499999999</v>
      </c>
      <c r="L49" s="761">
        <f t="shared" si="24"/>
        <v>10577.629499999999</v>
      </c>
      <c r="M49" s="761">
        <f t="shared" si="24"/>
        <v>10577.629499999999</v>
      </c>
      <c r="N49" s="761"/>
      <c r="O49" s="761">
        <f t="shared" ref="O49:P49" si="25">$E$49*$C$49</f>
        <v>10577.629499999999</v>
      </c>
      <c r="P49" s="761">
        <f t="shared" si="25"/>
        <v>10577.629499999999</v>
      </c>
      <c r="Q49" s="761"/>
    </row>
    <row r="50" spans="2:17" x14ac:dyDescent="0.2">
      <c r="B50" s="759" t="s">
        <v>640</v>
      </c>
      <c r="C50" s="753">
        <v>3590.0714999999996</v>
      </c>
      <c r="D50" s="760">
        <v>8000</v>
      </c>
      <c r="E50" s="514">
        <v>1</v>
      </c>
      <c r="F50" s="761"/>
      <c r="G50" s="761">
        <f>$E$50*$C$50</f>
        <v>3590.0714999999996</v>
      </c>
      <c r="H50" s="761">
        <f t="shared" ref="H50:M50" si="26">$E$50*$C$50</f>
        <v>3590.0714999999996</v>
      </c>
      <c r="I50" s="761">
        <f t="shared" si="26"/>
        <v>3590.0714999999996</v>
      </c>
      <c r="J50" s="761">
        <f t="shared" si="26"/>
        <v>3590.0714999999996</v>
      </c>
      <c r="K50" s="761">
        <f t="shared" si="26"/>
        <v>3590.0714999999996</v>
      </c>
      <c r="L50" s="761">
        <f t="shared" si="26"/>
        <v>3590.0714999999996</v>
      </c>
      <c r="M50" s="761">
        <f t="shared" si="26"/>
        <v>3590.0714999999996</v>
      </c>
      <c r="N50" s="761"/>
      <c r="O50" s="761">
        <f t="shared" ref="O50:P50" si="27">$E$50*$C$50</f>
        <v>3590.0714999999996</v>
      </c>
      <c r="P50" s="761">
        <f t="shared" si="27"/>
        <v>3590.0714999999996</v>
      </c>
      <c r="Q50" s="761"/>
    </row>
    <row r="51" spans="2:17" x14ac:dyDescent="0.2">
      <c r="B51" s="759" t="s">
        <v>641</v>
      </c>
      <c r="C51" s="753">
        <v>798.40800000000002</v>
      </c>
      <c r="D51" s="760">
        <v>8000</v>
      </c>
      <c r="E51" s="514">
        <v>2</v>
      </c>
      <c r="F51" s="761"/>
      <c r="G51" s="761">
        <f>$E$51*$C$51</f>
        <v>1596.816</v>
      </c>
      <c r="H51" s="761">
        <f t="shared" ref="H51:P51" si="28">$E$51*$C$51</f>
        <v>1596.816</v>
      </c>
      <c r="I51" s="761">
        <f t="shared" si="28"/>
        <v>1596.816</v>
      </c>
      <c r="J51" s="761">
        <f t="shared" si="28"/>
        <v>1596.816</v>
      </c>
      <c r="K51" s="761">
        <f t="shared" si="28"/>
        <v>1596.816</v>
      </c>
      <c r="L51" s="761">
        <f t="shared" si="28"/>
        <v>1596.816</v>
      </c>
      <c r="M51" s="761">
        <f t="shared" si="28"/>
        <v>1596.816</v>
      </c>
      <c r="N51" s="761"/>
      <c r="O51" s="761">
        <f t="shared" si="28"/>
        <v>1596.816</v>
      </c>
      <c r="P51" s="761">
        <f t="shared" si="28"/>
        <v>1596.816</v>
      </c>
      <c r="Q51" s="762"/>
    </row>
    <row r="52" spans="2:17" x14ac:dyDescent="0.2">
      <c r="B52" s="759" t="s">
        <v>641</v>
      </c>
      <c r="C52" s="753">
        <v>3278.7615000000001</v>
      </c>
      <c r="D52" s="760">
        <v>8000</v>
      </c>
      <c r="E52" s="514">
        <v>2</v>
      </c>
      <c r="F52" s="761"/>
      <c r="G52" s="761">
        <f>$E$52*$C$52</f>
        <v>6557.5230000000001</v>
      </c>
      <c r="H52" s="761">
        <f t="shared" ref="H52:P52" si="29">$E$52*$C$52</f>
        <v>6557.5230000000001</v>
      </c>
      <c r="I52" s="761">
        <f t="shared" si="29"/>
        <v>6557.5230000000001</v>
      </c>
      <c r="J52" s="761">
        <f t="shared" si="29"/>
        <v>6557.5230000000001</v>
      </c>
      <c r="K52" s="761">
        <f t="shared" si="29"/>
        <v>6557.5230000000001</v>
      </c>
      <c r="L52" s="761">
        <f t="shared" si="29"/>
        <v>6557.5230000000001</v>
      </c>
      <c r="M52" s="761">
        <f t="shared" si="29"/>
        <v>6557.5230000000001</v>
      </c>
      <c r="N52" s="761"/>
      <c r="O52" s="761">
        <f t="shared" si="29"/>
        <v>6557.5230000000001</v>
      </c>
      <c r="P52" s="761">
        <f t="shared" si="29"/>
        <v>6557.5230000000001</v>
      </c>
      <c r="Q52" s="762"/>
    </row>
    <row r="53" spans="2:17" x14ac:dyDescent="0.2">
      <c r="B53" s="759" t="s">
        <v>642</v>
      </c>
      <c r="C53" s="753">
        <v>945.31949999999995</v>
      </c>
      <c r="D53" s="760">
        <v>8000</v>
      </c>
      <c r="E53" s="514">
        <v>1</v>
      </c>
      <c r="F53" s="761"/>
      <c r="G53" s="761">
        <f>$E$53*$C$53</f>
        <v>945.31949999999995</v>
      </c>
      <c r="H53" s="761">
        <f t="shared" ref="H53:P53" si="30">$E$53*$C$53</f>
        <v>945.31949999999995</v>
      </c>
      <c r="I53" s="761">
        <f t="shared" si="30"/>
        <v>945.31949999999995</v>
      </c>
      <c r="J53" s="761">
        <f t="shared" si="30"/>
        <v>945.31949999999995</v>
      </c>
      <c r="K53" s="761">
        <f t="shared" si="30"/>
        <v>945.31949999999995</v>
      </c>
      <c r="L53" s="761">
        <f t="shared" si="30"/>
        <v>945.31949999999995</v>
      </c>
      <c r="M53" s="761">
        <f t="shared" si="30"/>
        <v>945.31949999999995</v>
      </c>
      <c r="N53" s="761"/>
      <c r="O53" s="761">
        <f t="shared" si="30"/>
        <v>945.31949999999995</v>
      </c>
      <c r="P53" s="761">
        <f t="shared" si="30"/>
        <v>945.31949999999995</v>
      </c>
      <c r="Q53" s="762"/>
    </row>
    <row r="54" spans="2:17" x14ac:dyDescent="0.2">
      <c r="B54" s="759" t="s">
        <v>643</v>
      </c>
      <c r="C54" s="753">
        <v>596.04449999999997</v>
      </c>
      <c r="D54" s="760">
        <v>8000</v>
      </c>
      <c r="E54" s="514">
        <v>1</v>
      </c>
      <c r="F54" s="761"/>
      <c r="G54" s="761">
        <f>$E$54*$C$54</f>
        <v>596.04449999999997</v>
      </c>
      <c r="H54" s="761">
        <f t="shared" ref="H54:P54" si="31">$E$54*$C$54</f>
        <v>596.04449999999997</v>
      </c>
      <c r="I54" s="761">
        <f t="shared" si="31"/>
        <v>596.04449999999997</v>
      </c>
      <c r="J54" s="761">
        <f t="shared" si="31"/>
        <v>596.04449999999997</v>
      </c>
      <c r="K54" s="761">
        <f t="shared" si="31"/>
        <v>596.04449999999997</v>
      </c>
      <c r="L54" s="761">
        <f t="shared" si="31"/>
        <v>596.04449999999997</v>
      </c>
      <c r="M54" s="761">
        <f t="shared" si="31"/>
        <v>596.04449999999997</v>
      </c>
      <c r="N54" s="761"/>
      <c r="O54" s="761">
        <f t="shared" si="31"/>
        <v>596.04449999999997</v>
      </c>
      <c r="P54" s="761">
        <f t="shared" si="31"/>
        <v>596.04449999999997</v>
      </c>
      <c r="Q54" s="762"/>
    </row>
    <row r="55" spans="2:17" x14ac:dyDescent="0.2">
      <c r="B55" s="759" t="s">
        <v>644</v>
      </c>
      <c r="C55" s="768">
        <v>5369.2305000000006</v>
      </c>
      <c r="D55" s="760">
        <v>8000</v>
      </c>
      <c r="E55" s="514">
        <v>2</v>
      </c>
      <c r="F55" s="761"/>
      <c r="G55" s="761">
        <f>$E$55*$C$55</f>
        <v>10738.461000000001</v>
      </c>
      <c r="H55" s="761">
        <f t="shared" ref="H55:P55" si="32">$E$55*$C$55</f>
        <v>10738.461000000001</v>
      </c>
      <c r="I55" s="761">
        <f t="shared" si="32"/>
        <v>10738.461000000001</v>
      </c>
      <c r="J55" s="761">
        <f t="shared" si="32"/>
        <v>10738.461000000001</v>
      </c>
      <c r="K55" s="761">
        <f t="shared" si="32"/>
        <v>10738.461000000001</v>
      </c>
      <c r="L55" s="761">
        <f t="shared" si="32"/>
        <v>10738.461000000001</v>
      </c>
      <c r="M55" s="761">
        <f t="shared" si="32"/>
        <v>10738.461000000001</v>
      </c>
      <c r="N55" s="761"/>
      <c r="O55" s="761">
        <f t="shared" si="32"/>
        <v>10738.461000000001</v>
      </c>
      <c r="P55" s="761">
        <f t="shared" si="32"/>
        <v>10738.461000000001</v>
      </c>
      <c r="Q55" s="762"/>
    </row>
    <row r="56" spans="2:17" ht="13.6" x14ac:dyDescent="0.25">
      <c r="B56" s="763" t="s">
        <v>645</v>
      </c>
      <c r="C56" s="764"/>
      <c r="D56" s="471"/>
      <c r="E56" s="559"/>
      <c r="F56" s="559"/>
      <c r="G56" s="559"/>
      <c r="H56" s="559"/>
      <c r="I56" s="559"/>
      <c r="J56" s="559"/>
      <c r="K56" s="559"/>
      <c r="L56" s="559"/>
      <c r="M56" s="559"/>
      <c r="N56" s="559"/>
      <c r="O56" s="559"/>
      <c r="P56" s="559"/>
      <c r="Q56" s="711"/>
    </row>
    <row r="57" spans="2:17" x14ac:dyDescent="0.2">
      <c r="B57" s="759" t="s">
        <v>646</v>
      </c>
      <c r="C57" s="753">
        <v>14447.159999999998</v>
      </c>
      <c r="D57" s="760">
        <v>7000</v>
      </c>
      <c r="E57" s="514">
        <v>2</v>
      </c>
      <c r="F57" s="769">
        <f>$E$57*$C$57</f>
        <v>28894.319999999996</v>
      </c>
      <c r="G57" s="769">
        <f>$E$57*$C$57</f>
        <v>28894.319999999996</v>
      </c>
      <c r="H57" s="769">
        <f>$E$57*$C$57</f>
        <v>28894.319999999996</v>
      </c>
      <c r="I57" s="769">
        <f t="shared" ref="I57:Q57" si="33">$E$57*$C$57</f>
        <v>28894.319999999996</v>
      </c>
      <c r="J57" s="769">
        <f t="shared" si="33"/>
        <v>28894.319999999996</v>
      </c>
      <c r="K57" s="769">
        <f t="shared" si="33"/>
        <v>28894.319999999996</v>
      </c>
      <c r="L57" s="769">
        <f t="shared" si="33"/>
        <v>28894.319999999996</v>
      </c>
      <c r="M57" s="769">
        <f t="shared" si="33"/>
        <v>28894.319999999996</v>
      </c>
      <c r="N57" s="769">
        <f t="shared" si="33"/>
        <v>28894.319999999996</v>
      </c>
      <c r="O57" s="769">
        <f t="shared" si="33"/>
        <v>28894.319999999996</v>
      </c>
      <c r="P57" s="769">
        <f t="shared" si="33"/>
        <v>28894.319999999996</v>
      </c>
      <c r="Q57" s="769">
        <f t="shared" si="33"/>
        <v>28894.319999999996</v>
      </c>
    </row>
    <row r="58" spans="2:17" x14ac:dyDescent="0.2">
      <c r="B58" s="759" t="s">
        <v>647</v>
      </c>
      <c r="C58" s="753">
        <v>3.1751999999999998</v>
      </c>
      <c r="D58" s="760">
        <v>7000</v>
      </c>
      <c r="E58" s="514">
        <v>2</v>
      </c>
      <c r="F58" s="769">
        <f>$E$58*$C$58</f>
        <v>6.3503999999999996</v>
      </c>
      <c r="G58" s="769">
        <f>$E$58*$C$58</f>
        <v>6.3503999999999996</v>
      </c>
      <c r="H58" s="769">
        <f>$E$58*$C$58</f>
        <v>6.3503999999999996</v>
      </c>
      <c r="I58" s="769">
        <f t="shared" ref="I58:Q58" si="34">$E$58*$C$58</f>
        <v>6.3503999999999996</v>
      </c>
      <c r="J58" s="769">
        <f t="shared" si="34"/>
        <v>6.3503999999999996</v>
      </c>
      <c r="K58" s="769">
        <f t="shared" si="34"/>
        <v>6.3503999999999996</v>
      </c>
      <c r="L58" s="769">
        <f t="shared" si="34"/>
        <v>6.3503999999999996</v>
      </c>
      <c r="M58" s="769">
        <f t="shared" si="34"/>
        <v>6.3503999999999996</v>
      </c>
      <c r="N58" s="769">
        <f t="shared" si="34"/>
        <v>6.3503999999999996</v>
      </c>
      <c r="O58" s="769">
        <f t="shared" si="34"/>
        <v>6.3503999999999996</v>
      </c>
      <c r="P58" s="769">
        <f t="shared" si="34"/>
        <v>6.3503999999999996</v>
      </c>
      <c r="Q58" s="769">
        <f t="shared" si="34"/>
        <v>6.3503999999999996</v>
      </c>
    </row>
    <row r="59" spans="2:17" x14ac:dyDescent="0.2">
      <c r="B59" s="759" t="s">
        <v>648</v>
      </c>
      <c r="C59" s="753">
        <v>35</v>
      </c>
      <c r="D59" s="760">
        <v>7000</v>
      </c>
      <c r="E59" s="514">
        <v>24</v>
      </c>
      <c r="F59" s="769">
        <f>$E$59*$C$59</f>
        <v>840</v>
      </c>
      <c r="G59" s="769">
        <f>$E$59*$C$59</f>
        <v>840</v>
      </c>
      <c r="H59" s="769">
        <f t="shared" ref="H59:Q59" si="35">$E$59*$C$59</f>
        <v>840</v>
      </c>
      <c r="I59" s="769">
        <f t="shared" si="35"/>
        <v>840</v>
      </c>
      <c r="J59" s="769">
        <f t="shared" si="35"/>
        <v>840</v>
      </c>
      <c r="K59" s="769">
        <f t="shared" si="35"/>
        <v>840</v>
      </c>
      <c r="L59" s="769">
        <f t="shared" si="35"/>
        <v>840</v>
      </c>
      <c r="M59" s="769">
        <f t="shared" si="35"/>
        <v>840</v>
      </c>
      <c r="N59" s="769">
        <f t="shared" si="35"/>
        <v>840</v>
      </c>
      <c r="O59" s="769">
        <f t="shared" si="35"/>
        <v>840</v>
      </c>
      <c r="P59" s="769">
        <f t="shared" si="35"/>
        <v>840</v>
      </c>
      <c r="Q59" s="770">
        <f t="shared" si="35"/>
        <v>840</v>
      </c>
    </row>
    <row r="60" spans="2:17" ht="13.6" x14ac:dyDescent="0.25">
      <c r="B60" s="763" t="s">
        <v>649</v>
      </c>
      <c r="C60" s="764"/>
      <c r="D60" s="471"/>
      <c r="E60" s="559"/>
      <c r="F60" s="471"/>
      <c r="G60" s="471"/>
      <c r="H60" s="471"/>
      <c r="I60" s="471"/>
      <c r="J60" s="471"/>
      <c r="K60" s="471"/>
      <c r="L60" s="471"/>
      <c r="M60" s="471"/>
      <c r="N60" s="471"/>
      <c r="O60" s="471"/>
      <c r="P60" s="471"/>
      <c r="Q60" s="472"/>
    </row>
    <row r="61" spans="2:17" x14ac:dyDescent="0.2">
      <c r="B61" s="759" t="s">
        <v>650</v>
      </c>
      <c r="C61" s="753">
        <v>63291.715199999991</v>
      </c>
      <c r="D61" s="760">
        <v>20000</v>
      </c>
      <c r="E61" s="514">
        <v>1</v>
      </c>
      <c r="F61" s="769"/>
      <c r="G61" s="769"/>
      <c r="H61" s="769">
        <f t="shared" ref="H61:N61" si="36">$E$61*$C$61</f>
        <v>63291.715199999991</v>
      </c>
      <c r="I61" s="769"/>
      <c r="J61" s="769"/>
      <c r="K61" s="769">
        <f t="shared" si="36"/>
        <v>63291.715199999991</v>
      </c>
      <c r="L61" s="769"/>
      <c r="M61" s="769"/>
      <c r="N61" s="769">
        <f t="shared" si="36"/>
        <v>63291.715199999991</v>
      </c>
      <c r="O61" s="769"/>
      <c r="P61" s="769"/>
      <c r="Q61" s="770"/>
    </row>
    <row r="62" spans="2:17" ht="13.6" x14ac:dyDescent="0.25">
      <c r="B62" s="771" t="s">
        <v>651</v>
      </c>
      <c r="C62" s="764"/>
      <c r="D62" s="471"/>
      <c r="E62" s="559"/>
      <c r="F62" s="471"/>
      <c r="G62" s="471"/>
      <c r="H62" s="471"/>
      <c r="I62" s="471"/>
      <c r="J62" s="471"/>
      <c r="K62" s="471"/>
      <c r="L62" s="471"/>
      <c r="M62" s="471"/>
      <c r="N62" s="471"/>
      <c r="O62" s="471"/>
      <c r="P62" s="471"/>
      <c r="Q62" s="472"/>
    </row>
    <row r="63" spans="2:17" x14ac:dyDescent="0.2">
      <c r="B63" s="759" t="s">
        <v>652</v>
      </c>
      <c r="C63" s="753">
        <v>35</v>
      </c>
      <c r="D63" s="760">
        <v>7000</v>
      </c>
      <c r="E63" s="514">
        <v>24</v>
      </c>
      <c r="F63" s="769">
        <f>$E$63*$C$63</f>
        <v>840</v>
      </c>
      <c r="G63" s="769">
        <f>$E$63*$C$63</f>
        <v>840</v>
      </c>
      <c r="H63" s="769">
        <f t="shared" ref="H63:Q63" si="37">$E$63*$C$63</f>
        <v>840</v>
      </c>
      <c r="I63" s="769">
        <f t="shared" si="37"/>
        <v>840</v>
      </c>
      <c r="J63" s="769">
        <f t="shared" si="37"/>
        <v>840</v>
      </c>
      <c r="K63" s="769">
        <f t="shared" si="37"/>
        <v>840</v>
      </c>
      <c r="L63" s="769">
        <f t="shared" si="37"/>
        <v>840</v>
      </c>
      <c r="M63" s="769">
        <f t="shared" si="37"/>
        <v>840</v>
      </c>
      <c r="N63" s="769">
        <f t="shared" si="37"/>
        <v>840</v>
      </c>
      <c r="O63" s="769">
        <f t="shared" si="37"/>
        <v>840</v>
      </c>
      <c r="P63" s="769">
        <f t="shared" si="37"/>
        <v>840</v>
      </c>
      <c r="Q63" s="770">
        <f t="shared" si="37"/>
        <v>840</v>
      </c>
    </row>
    <row r="64" spans="2:17" ht="13.6" thickBot="1" x14ac:dyDescent="0.25">
      <c r="B64" s="772"/>
      <c r="C64" s="773"/>
      <c r="D64" s="774"/>
      <c r="E64" s="520"/>
      <c r="F64" s="775"/>
      <c r="G64" s="775"/>
      <c r="H64" s="775"/>
      <c r="I64" s="775"/>
      <c r="J64" s="775"/>
      <c r="K64" s="775"/>
      <c r="L64" s="775"/>
      <c r="M64" s="775"/>
      <c r="N64" s="775"/>
      <c r="O64" s="775"/>
      <c r="P64" s="775"/>
      <c r="Q64" s="776"/>
    </row>
  </sheetData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5" max="16383" man="1"/>
  </rowBreaks>
  <colBreaks count="1" manualBreakCount="1">
    <brk id="17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E8D0-8600-41CE-827F-E2003FC10697}">
  <sheetPr>
    <tabColor theme="9" tint="0.59999389629810485"/>
  </sheetPr>
  <dimension ref="A2:U83"/>
  <sheetViews>
    <sheetView showGridLines="0" zoomScale="85" zoomScaleNormal="85" zoomScaleSheetLayoutView="85" zoomScalePageLayoutView="85" workbookViewId="0">
      <pane xSplit="4" ySplit="4" topLeftCell="E5" activePane="bottomRight" state="frozen"/>
      <selection activeCell="U28" sqref="U28"/>
      <selection pane="topRight" activeCell="U28" sqref="U28"/>
      <selection pane="bottomLeft" activeCell="U28" sqref="U28"/>
      <selection pane="bottomRight" activeCell="S28" sqref="S28:U33"/>
    </sheetView>
  </sheetViews>
  <sheetFormatPr defaultColWidth="9.125" defaultRowHeight="12.9" x14ac:dyDescent="0.25"/>
  <cols>
    <col min="1" max="1" width="6" style="962" customWidth="1"/>
    <col min="2" max="2" width="42.75" style="1005" customWidth="1"/>
    <col min="3" max="3" width="12.125" style="964" customWidth="1"/>
    <col min="4" max="4" width="11.625" style="964" customWidth="1"/>
    <col min="5" max="5" width="8.75" style="965" customWidth="1"/>
    <col min="6" max="16" width="8.25" style="965" customWidth="1"/>
    <col min="17" max="17" width="54" style="962" customWidth="1"/>
    <col min="18" max="18" width="14" style="962" customWidth="1"/>
    <col min="19" max="16384" width="9.125" style="962"/>
  </cols>
  <sheetData>
    <row r="2" spans="1:18" ht="18" customHeight="1" x14ac:dyDescent="0.25">
      <c r="B2" s="963" t="s">
        <v>327</v>
      </c>
    </row>
    <row r="3" spans="1:18" s="966" customFormat="1" ht="27" customHeight="1" thickBot="1" x14ac:dyDescent="0.3">
      <c r="B3" s="967" t="s">
        <v>206</v>
      </c>
      <c r="C3" s="968" t="s">
        <v>758</v>
      </c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70" t="s">
        <v>759</v>
      </c>
    </row>
    <row r="4" spans="1:18" s="976" customFormat="1" ht="25.5" customHeight="1" x14ac:dyDescent="0.25">
      <c r="A4" s="971">
        <v>1</v>
      </c>
      <c r="B4" s="972" t="s">
        <v>330</v>
      </c>
      <c r="C4" s="973" t="s">
        <v>7</v>
      </c>
      <c r="D4" s="973">
        <v>0</v>
      </c>
      <c r="E4" s="973">
        <f t="shared" ref="E4:P4" si="0">D4+1</f>
        <v>1</v>
      </c>
      <c r="F4" s="973">
        <f t="shared" si="0"/>
        <v>2</v>
      </c>
      <c r="G4" s="973">
        <f t="shared" si="0"/>
        <v>3</v>
      </c>
      <c r="H4" s="973">
        <f t="shared" si="0"/>
        <v>4</v>
      </c>
      <c r="I4" s="973">
        <f t="shared" si="0"/>
        <v>5</v>
      </c>
      <c r="J4" s="973">
        <f t="shared" si="0"/>
        <v>6</v>
      </c>
      <c r="K4" s="973">
        <f t="shared" si="0"/>
        <v>7</v>
      </c>
      <c r="L4" s="973">
        <f t="shared" si="0"/>
        <v>8</v>
      </c>
      <c r="M4" s="973">
        <f t="shared" si="0"/>
        <v>9</v>
      </c>
      <c r="N4" s="973">
        <f t="shared" si="0"/>
        <v>10</v>
      </c>
      <c r="O4" s="973">
        <f t="shared" si="0"/>
        <v>11</v>
      </c>
      <c r="P4" s="973">
        <f t="shared" si="0"/>
        <v>12</v>
      </c>
      <c r="Q4" s="974" t="s">
        <v>760</v>
      </c>
      <c r="R4" s="975"/>
    </row>
    <row r="5" spans="1:18" s="976" customFormat="1" ht="12.75" customHeight="1" x14ac:dyDescent="0.25">
      <c r="A5" s="971">
        <f>A4+1</f>
        <v>2</v>
      </c>
      <c r="B5" s="977" t="s">
        <v>331</v>
      </c>
      <c r="C5" s="978" t="s">
        <v>20</v>
      </c>
      <c r="D5" s="979">
        <v>250</v>
      </c>
      <c r="E5" s="978"/>
      <c r="F5" s="978"/>
      <c r="G5" s="978"/>
      <c r="H5" s="978"/>
      <c r="I5" s="978"/>
      <c r="J5" s="978"/>
      <c r="K5" s="978"/>
      <c r="L5" s="978"/>
      <c r="M5" s="978"/>
      <c r="N5" s="978"/>
      <c r="O5" s="978"/>
      <c r="P5" s="978"/>
      <c r="Q5" s="980" t="s">
        <v>761</v>
      </c>
      <c r="R5" s="975"/>
    </row>
    <row r="6" spans="1:18" ht="18" customHeight="1" x14ac:dyDescent="0.25">
      <c r="A6" s="971">
        <f>A5+1</f>
        <v>3</v>
      </c>
      <c r="B6" s="977" t="s">
        <v>333</v>
      </c>
      <c r="C6" s="978" t="s">
        <v>334</v>
      </c>
      <c r="D6" s="978"/>
      <c r="E6" s="981">
        <f t="shared" ref="E6:P6" si="1">(8760-E7-E8-E9)/8760</f>
        <v>0.93093607305936077</v>
      </c>
      <c r="F6" s="981">
        <f t="shared" si="1"/>
        <v>0.91717402333840692</v>
      </c>
      <c r="G6" s="981">
        <f t="shared" si="1"/>
        <v>0.93093607305936077</v>
      </c>
      <c r="H6" s="981">
        <f t="shared" si="1"/>
        <v>0.91717402333840692</v>
      </c>
      <c r="I6" s="981">
        <f t="shared" si="1"/>
        <v>0.88654236428209032</v>
      </c>
      <c r="J6" s="981">
        <f t="shared" si="1"/>
        <v>0.91717402333840692</v>
      </c>
      <c r="K6" s="981">
        <f t="shared" si="1"/>
        <v>0.8505834601725013</v>
      </c>
      <c r="L6" s="981">
        <f t="shared" si="1"/>
        <v>0.91983764586504313</v>
      </c>
      <c r="M6" s="981">
        <f t="shared" si="1"/>
        <v>0.92827245053272456</v>
      </c>
      <c r="N6" s="981">
        <f t="shared" si="1"/>
        <v>0.85324708269913752</v>
      </c>
      <c r="O6" s="981">
        <f t="shared" si="1"/>
        <v>0.92827245053272456</v>
      </c>
      <c r="P6" s="981">
        <f t="shared" si="1"/>
        <v>0.91717402333840692</v>
      </c>
      <c r="Q6" s="980" t="s">
        <v>335</v>
      </c>
    </row>
    <row r="7" spans="1:18" ht="16.5" customHeight="1" x14ac:dyDescent="0.25">
      <c r="A7" s="971">
        <f>A6+1</f>
        <v>4</v>
      </c>
      <c r="B7" s="982" t="s">
        <v>336</v>
      </c>
      <c r="C7" s="983" t="s">
        <v>337</v>
      </c>
      <c r="D7" s="983"/>
      <c r="E7" s="1205">
        <f>'DR-75 ТО'!G7</f>
        <v>172</v>
      </c>
      <c r="F7" s="1205">
        <f>'DR-75 ТО'!H7</f>
        <v>196</v>
      </c>
      <c r="G7" s="1205">
        <f>'DR-75 ТО'!I7</f>
        <v>172</v>
      </c>
      <c r="H7" s="1205">
        <f>'DR-75 ТО'!J7</f>
        <v>196</v>
      </c>
      <c r="I7" s="1205">
        <f>'DR-75 ТО'!K7</f>
        <v>172</v>
      </c>
      <c r="J7" s="1205">
        <f>'DR-75 ТО'!L7</f>
        <v>196</v>
      </c>
      <c r="K7" s="1205">
        <f>'DR-75 ТО'!M7</f>
        <v>196</v>
      </c>
      <c r="L7" s="1205">
        <f>'DR-75 ТО'!N7</f>
        <v>172</v>
      </c>
      <c r="M7" s="1205">
        <f>'DR-75 ТО'!O7</f>
        <v>196</v>
      </c>
      <c r="N7" s="1205">
        <f>'DR-75 ТО'!P7</f>
        <v>172</v>
      </c>
      <c r="O7" s="1205">
        <f>'DR-75 ТО'!Q7</f>
        <v>196</v>
      </c>
      <c r="P7" s="1205">
        <f>'DR-75 ТО'!R7</f>
        <v>196</v>
      </c>
      <c r="Q7" s="1206"/>
    </row>
    <row r="8" spans="1:18" ht="16.5" customHeight="1" x14ac:dyDescent="0.25">
      <c r="A8" s="971">
        <f>A7+1</f>
        <v>5</v>
      </c>
      <c r="B8" s="982" t="s">
        <v>338</v>
      </c>
      <c r="C8" s="983" t="s">
        <v>337</v>
      </c>
      <c r="D8" s="983"/>
      <c r="E8" s="1205">
        <f>'DR-75 Рем'!F8</f>
        <v>200</v>
      </c>
      <c r="F8" s="1205">
        <f>'DR-75 Рем'!G8</f>
        <v>300</v>
      </c>
      <c r="G8" s="1205">
        <f>'DR-75 Рем'!H8</f>
        <v>200</v>
      </c>
      <c r="H8" s="1205">
        <f>'DR-75 Рем'!I8</f>
        <v>300</v>
      </c>
      <c r="I8" s="1205">
        <f>'DR-75 Рем'!J8</f>
        <v>600</v>
      </c>
      <c r="J8" s="1205">
        <f>'DR-75 Рем'!K8</f>
        <v>300</v>
      </c>
      <c r="K8" s="1205">
        <f>'DR-75 Рем'!L8</f>
        <v>900</v>
      </c>
      <c r="L8" s="1205">
        <f>'DR-75 Рем'!M8</f>
        <v>300</v>
      </c>
      <c r="M8" s="1205">
        <f>'DR-75 Рем'!N8</f>
        <v>200</v>
      </c>
      <c r="N8" s="1205">
        <f>'DR-75 Рем'!O8</f>
        <v>900</v>
      </c>
      <c r="O8" s="1205">
        <f>'DR-75 Рем'!P8</f>
        <v>200</v>
      </c>
      <c r="P8" s="1205">
        <f>'DR-75 Рем'!Q8</f>
        <v>300</v>
      </c>
      <c r="Q8" s="1206"/>
    </row>
    <row r="9" spans="1:18" ht="16.5" customHeight="1" x14ac:dyDescent="0.25">
      <c r="A9" s="971"/>
      <c r="B9" s="982" t="s">
        <v>339</v>
      </c>
      <c r="C9" s="983" t="s">
        <v>337</v>
      </c>
      <c r="D9" s="983"/>
      <c r="E9" s="984">
        <f t="shared" ref="E9:P9" si="2">(8760-E7-E8)/12*20/60</f>
        <v>233</v>
      </c>
      <c r="F9" s="984">
        <f t="shared" si="2"/>
        <v>229.55555555555554</v>
      </c>
      <c r="G9" s="984">
        <f t="shared" si="2"/>
        <v>233</v>
      </c>
      <c r="H9" s="984">
        <f t="shared" si="2"/>
        <v>229.55555555555554</v>
      </c>
      <c r="I9" s="984">
        <f t="shared" si="2"/>
        <v>221.88888888888886</v>
      </c>
      <c r="J9" s="984">
        <f t="shared" si="2"/>
        <v>229.55555555555554</v>
      </c>
      <c r="K9" s="984">
        <f t="shared" si="2"/>
        <v>212.88888888888886</v>
      </c>
      <c r="L9" s="984">
        <f t="shared" si="2"/>
        <v>230.2222222222222</v>
      </c>
      <c r="M9" s="984">
        <f t="shared" si="2"/>
        <v>232.33333333333334</v>
      </c>
      <c r="N9" s="984">
        <f t="shared" si="2"/>
        <v>213.55555555555554</v>
      </c>
      <c r="O9" s="984">
        <f t="shared" si="2"/>
        <v>232.33333333333334</v>
      </c>
      <c r="P9" s="984">
        <f t="shared" si="2"/>
        <v>229.55555555555554</v>
      </c>
      <c r="Q9" s="1206"/>
    </row>
    <row r="10" spans="1:18" ht="45.7" customHeight="1" x14ac:dyDescent="0.25">
      <c r="A10" s="971">
        <f>A8+1</f>
        <v>6</v>
      </c>
      <c r="B10" s="977" t="s">
        <v>340</v>
      </c>
      <c r="C10" s="983"/>
      <c r="D10" s="985" t="s">
        <v>276</v>
      </c>
      <c r="E10" s="984"/>
      <c r="F10" s="984"/>
      <c r="G10" s="984"/>
      <c r="H10" s="984"/>
      <c r="I10" s="984"/>
      <c r="J10" s="984"/>
      <c r="K10" s="984"/>
      <c r="L10" s="984"/>
      <c r="M10" s="984"/>
      <c r="N10" s="984"/>
      <c r="O10" s="984"/>
      <c r="P10" s="984"/>
      <c r="Q10" s="1206" t="s">
        <v>762</v>
      </c>
    </row>
    <row r="11" spans="1:18" ht="12.75" customHeight="1" x14ac:dyDescent="0.25">
      <c r="A11" s="971">
        <f>A10+1</f>
        <v>7</v>
      </c>
      <c r="B11" s="977" t="s">
        <v>225</v>
      </c>
      <c r="C11" s="983" t="s">
        <v>121</v>
      </c>
      <c r="D11" s="985">
        <v>563</v>
      </c>
      <c r="E11" s="984"/>
      <c r="F11" s="984"/>
      <c r="G11" s="984"/>
      <c r="H11" s="984"/>
      <c r="I11" s="984"/>
      <c r="J11" s="984"/>
      <c r="K11" s="984"/>
      <c r="L11" s="984"/>
      <c r="M11" s="984"/>
      <c r="N11" s="984"/>
      <c r="O11" s="984"/>
      <c r="P11" s="984"/>
      <c r="Q11" s="1206" t="s">
        <v>762</v>
      </c>
    </row>
    <row r="12" spans="1:18" ht="12.75" customHeight="1" x14ac:dyDescent="0.25">
      <c r="A12" s="971">
        <f>A11+1</f>
        <v>8</v>
      </c>
      <c r="B12" s="977" t="s">
        <v>123</v>
      </c>
      <c r="C12" s="983" t="s">
        <v>124</v>
      </c>
      <c r="D12" s="985">
        <v>10.7</v>
      </c>
      <c r="E12" s="986"/>
      <c r="F12" s="986"/>
      <c r="G12" s="986"/>
      <c r="H12" s="986"/>
      <c r="I12" s="986"/>
      <c r="J12" s="986"/>
      <c r="K12" s="986"/>
      <c r="L12" s="986"/>
      <c r="M12" s="986"/>
      <c r="N12" s="986"/>
      <c r="O12" s="986"/>
      <c r="P12" s="986"/>
      <c r="Q12" s="1206" t="s">
        <v>762</v>
      </c>
    </row>
    <row r="13" spans="1:18" ht="12.75" customHeight="1" x14ac:dyDescent="0.25">
      <c r="A13" s="971">
        <f>A12+1</f>
        <v>9</v>
      </c>
      <c r="B13" s="977" t="s">
        <v>125</v>
      </c>
      <c r="C13" s="983" t="s">
        <v>124</v>
      </c>
      <c r="D13" s="985">
        <v>9.3000000000000007</v>
      </c>
      <c r="E13" s="986"/>
      <c r="F13" s="986"/>
      <c r="G13" s="986"/>
      <c r="H13" s="986"/>
      <c r="I13" s="986"/>
      <c r="J13" s="986"/>
      <c r="K13" s="986"/>
      <c r="L13" s="986"/>
      <c r="M13" s="986"/>
      <c r="N13" s="986"/>
      <c r="O13" s="986"/>
      <c r="P13" s="986"/>
      <c r="Q13" s="1206" t="s">
        <v>762</v>
      </c>
    </row>
    <row r="14" spans="1:18" ht="12.75" customHeight="1" x14ac:dyDescent="0.25">
      <c r="A14" s="971">
        <f>A13+1</f>
        <v>10</v>
      </c>
      <c r="B14" s="977" t="s">
        <v>344</v>
      </c>
      <c r="C14" s="983" t="s">
        <v>128</v>
      </c>
      <c r="D14" s="985">
        <v>51.5</v>
      </c>
      <c r="E14" s="986"/>
      <c r="F14" s="986"/>
      <c r="G14" s="986"/>
      <c r="H14" s="986"/>
      <c r="I14" s="986"/>
      <c r="J14" s="986"/>
      <c r="K14" s="986"/>
      <c r="L14" s="986"/>
      <c r="M14" s="986"/>
      <c r="N14" s="986"/>
      <c r="O14" s="986"/>
      <c r="P14" s="986"/>
      <c r="Q14" s="1206" t="s">
        <v>762</v>
      </c>
    </row>
    <row r="15" spans="1:18" ht="13.6" customHeight="1" thickBot="1" x14ac:dyDescent="0.3">
      <c r="A15" s="971"/>
      <c r="B15" s="987" t="s">
        <v>345</v>
      </c>
      <c r="C15" s="988" t="s">
        <v>128</v>
      </c>
      <c r="D15" s="989">
        <v>26.9</v>
      </c>
      <c r="E15" s="990"/>
      <c r="F15" s="990"/>
      <c r="G15" s="990"/>
      <c r="H15" s="990"/>
      <c r="I15" s="990"/>
      <c r="J15" s="990"/>
      <c r="K15" s="990"/>
      <c r="L15" s="990"/>
      <c r="M15" s="990"/>
      <c r="N15" s="990"/>
      <c r="O15" s="990"/>
      <c r="P15" s="990"/>
      <c r="Q15" s="1209" t="s">
        <v>762</v>
      </c>
    </row>
    <row r="16" spans="1:18" ht="20.25" customHeight="1" thickBot="1" x14ac:dyDescent="0.3">
      <c r="A16" s="971"/>
      <c r="B16" s="992" t="s">
        <v>346</v>
      </c>
      <c r="C16" s="962"/>
      <c r="D16" s="962"/>
      <c r="E16" s="962"/>
      <c r="F16" s="962"/>
      <c r="G16" s="962"/>
      <c r="H16" s="962"/>
      <c r="I16" s="962"/>
      <c r="J16" s="962"/>
      <c r="K16" s="962"/>
      <c r="L16" s="962"/>
      <c r="M16" s="962"/>
      <c r="N16" s="962"/>
      <c r="O16" s="962"/>
      <c r="P16" s="962"/>
      <c r="Q16" s="1210"/>
    </row>
    <row r="17" spans="1:21" ht="12.75" customHeight="1" x14ac:dyDescent="0.25">
      <c r="A17" s="971">
        <f>A14+1</f>
        <v>11</v>
      </c>
      <c r="B17" s="972" t="s">
        <v>347</v>
      </c>
      <c r="C17" s="993" t="s">
        <v>348</v>
      </c>
      <c r="D17" s="994" t="s">
        <v>763</v>
      </c>
      <c r="E17" s="995"/>
      <c r="F17" s="995"/>
      <c r="G17" s="995"/>
      <c r="H17" s="995"/>
      <c r="I17" s="995"/>
      <c r="J17" s="995"/>
      <c r="K17" s="995"/>
      <c r="L17" s="995"/>
      <c r="M17" s="995"/>
      <c r="N17" s="995"/>
      <c r="O17" s="995"/>
      <c r="P17" s="995"/>
      <c r="Q17" s="1211"/>
    </row>
    <row r="18" spans="1:21" ht="12.75" customHeight="1" x14ac:dyDescent="0.25">
      <c r="A18" s="971">
        <f>A17+1</f>
        <v>12</v>
      </c>
      <c r="B18" s="996" t="s">
        <v>349</v>
      </c>
      <c r="C18" s="983" t="s">
        <v>133</v>
      </c>
      <c r="D18" s="985">
        <v>14600</v>
      </c>
      <c r="E18" s="986"/>
      <c r="F18" s="986"/>
      <c r="G18" s="986"/>
      <c r="H18" s="986"/>
      <c r="I18" s="986"/>
      <c r="J18" s="986"/>
      <c r="K18" s="986"/>
      <c r="L18" s="986"/>
      <c r="M18" s="986"/>
      <c r="N18" s="986"/>
      <c r="O18" s="986"/>
      <c r="P18" s="986"/>
      <c r="Q18" s="1206" t="s">
        <v>762</v>
      </c>
    </row>
    <row r="19" spans="1:21" ht="22.6" customHeight="1" thickBot="1" x14ac:dyDescent="0.3">
      <c r="A19" s="971">
        <f>A18+1</f>
        <v>13</v>
      </c>
      <c r="B19" s="987" t="s">
        <v>350</v>
      </c>
      <c r="C19" s="988" t="s">
        <v>135</v>
      </c>
      <c r="D19" s="997">
        <v>200</v>
      </c>
      <c r="E19" s="998"/>
      <c r="F19" s="990"/>
      <c r="G19" s="990"/>
      <c r="H19" s="990"/>
      <c r="I19" s="990"/>
      <c r="J19" s="990"/>
      <c r="K19" s="990"/>
      <c r="L19" s="990"/>
      <c r="M19" s="990"/>
      <c r="N19" s="990"/>
      <c r="O19" s="990"/>
      <c r="P19" s="990"/>
      <c r="Q19" s="1209" t="s">
        <v>762</v>
      </c>
    </row>
    <row r="20" spans="1:21" ht="22.6" customHeight="1" thickBot="1" x14ac:dyDescent="0.3">
      <c r="A20" s="971"/>
      <c r="B20" s="992" t="s">
        <v>557</v>
      </c>
      <c r="C20" s="962"/>
      <c r="D20" s="962"/>
      <c r="E20" s="962"/>
      <c r="F20" s="962"/>
      <c r="G20" s="962"/>
      <c r="H20" s="962"/>
      <c r="I20" s="962"/>
      <c r="J20" s="962"/>
      <c r="K20" s="962"/>
      <c r="L20" s="962"/>
      <c r="M20" s="962"/>
      <c r="N20" s="962"/>
      <c r="O20" s="962"/>
      <c r="P20" s="962"/>
      <c r="Q20" s="1210"/>
    </row>
    <row r="21" spans="1:21" ht="12.75" customHeight="1" x14ac:dyDescent="0.25">
      <c r="A21" s="971">
        <f>A19+1</f>
        <v>14</v>
      </c>
      <c r="B21" s="972" t="s">
        <v>118</v>
      </c>
      <c r="C21" s="993" t="s">
        <v>558</v>
      </c>
      <c r="D21" s="999">
        <v>53.8</v>
      </c>
      <c r="E21" s="1000"/>
      <c r="F21" s="1000"/>
      <c r="G21" s="1000"/>
      <c r="H21" s="1000"/>
      <c r="I21" s="1000"/>
      <c r="J21" s="1000"/>
      <c r="K21" s="1000"/>
      <c r="L21" s="1000"/>
      <c r="M21" s="1000"/>
      <c r="N21" s="1000"/>
      <c r="O21" s="1000"/>
      <c r="P21" s="1000"/>
      <c r="Q21" s="1211" t="s">
        <v>762</v>
      </c>
    </row>
    <row r="22" spans="1:21" ht="12.75" customHeight="1" x14ac:dyDescent="0.25">
      <c r="A22" s="971">
        <f>A21+1</f>
        <v>15</v>
      </c>
      <c r="B22" s="977" t="s">
        <v>560</v>
      </c>
      <c r="C22" s="983" t="s">
        <v>561</v>
      </c>
      <c r="D22" s="1001">
        <v>7.6</v>
      </c>
      <c r="E22" s="1002"/>
      <c r="F22" s="1002"/>
      <c r="G22" s="1002"/>
      <c r="H22" s="1002"/>
      <c r="I22" s="1002"/>
      <c r="J22" s="1002"/>
      <c r="K22" s="1002"/>
      <c r="L22" s="1002"/>
      <c r="M22" s="1002"/>
      <c r="N22" s="1002"/>
      <c r="O22" s="1002"/>
      <c r="P22" s="1002"/>
      <c r="Q22" s="1212" t="s">
        <v>762</v>
      </c>
    </row>
    <row r="23" spans="1:21" ht="12.75" customHeight="1" x14ac:dyDescent="0.25">
      <c r="A23" s="971">
        <f>A22+1</f>
        <v>16</v>
      </c>
      <c r="B23" s="977" t="s">
        <v>359</v>
      </c>
      <c r="C23" s="983"/>
      <c r="D23" s="1003"/>
      <c r="E23" s="1002"/>
      <c r="F23" s="1002"/>
      <c r="G23" s="1002"/>
      <c r="H23" s="1002"/>
      <c r="I23" s="1002"/>
      <c r="J23" s="1002"/>
      <c r="K23" s="1002"/>
      <c r="L23" s="1002"/>
      <c r="M23" s="1002"/>
      <c r="N23" s="1002"/>
      <c r="O23" s="1002"/>
      <c r="P23" s="1002"/>
      <c r="Q23" s="1212"/>
    </row>
    <row r="24" spans="1:21" ht="12.75" customHeight="1" x14ac:dyDescent="0.25">
      <c r="A24" s="971">
        <f>A23+1</f>
        <v>17</v>
      </c>
      <c r="B24" s="982" t="s">
        <v>562</v>
      </c>
      <c r="C24" s="983" t="s">
        <v>558</v>
      </c>
      <c r="D24" s="1001" t="s">
        <v>764</v>
      </c>
      <c r="E24" s="1002"/>
      <c r="F24" s="1002"/>
      <c r="G24" s="1002"/>
      <c r="H24" s="1002"/>
      <c r="I24" s="1002"/>
      <c r="J24" s="1002"/>
      <c r="K24" s="1002"/>
      <c r="L24" s="1002"/>
      <c r="M24" s="1002"/>
      <c r="N24" s="1002"/>
      <c r="O24" s="1002"/>
      <c r="P24" s="1002"/>
      <c r="Q24" s="1212" t="s">
        <v>765</v>
      </c>
    </row>
    <row r="25" spans="1:21" ht="12.75" customHeight="1" x14ac:dyDescent="0.25">
      <c r="A25" s="971">
        <f>A24+1</f>
        <v>18</v>
      </c>
      <c r="B25" s="982" t="s">
        <v>563</v>
      </c>
      <c r="C25" s="983" t="s">
        <v>564</v>
      </c>
      <c r="D25" s="985" t="s">
        <v>764</v>
      </c>
      <c r="E25" s="986"/>
      <c r="F25" s="986"/>
      <c r="G25" s="986"/>
      <c r="H25" s="986"/>
      <c r="I25" s="986"/>
      <c r="J25" s="986"/>
      <c r="K25" s="986"/>
      <c r="L25" s="986"/>
      <c r="M25" s="986"/>
      <c r="N25" s="986"/>
      <c r="O25" s="986"/>
      <c r="P25" s="986"/>
      <c r="Q25" s="1206" t="s">
        <v>765</v>
      </c>
    </row>
    <row r="26" spans="1:21" ht="13.6" customHeight="1" thickBot="1" x14ac:dyDescent="0.3">
      <c r="A26" s="971">
        <f>A25+1</f>
        <v>19</v>
      </c>
      <c r="B26" s="1004" t="s">
        <v>566</v>
      </c>
      <c r="C26" s="988" t="s">
        <v>567</v>
      </c>
      <c r="D26" s="989" t="s">
        <v>764</v>
      </c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1209" t="s">
        <v>765</v>
      </c>
    </row>
    <row r="27" spans="1:21" ht="13.6" customHeight="1" thickBot="1" x14ac:dyDescent="0.3">
      <c r="A27" s="971"/>
      <c r="Q27" s="1210"/>
    </row>
    <row r="28" spans="1:21" ht="23.3" customHeight="1" x14ac:dyDescent="0.25">
      <c r="A28" s="971">
        <f>A26+1</f>
        <v>20</v>
      </c>
      <c r="B28" s="972" t="s">
        <v>352</v>
      </c>
      <c r="C28" s="1006" t="s">
        <v>353</v>
      </c>
      <c r="D28" s="1006"/>
      <c r="E28" s="1007">
        <f t="shared" ref="E28:P28" si="3">SUM(E29:E33)</f>
        <v>180.85999999999999</v>
      </c>
      <c r="F28" s="1007">
        <f t="shared" si="3"/>
        <v>333.80000000000007</v>
      </c>
      <c r="G28" s="1007">
        <f t="shared" si="3"/>
        <v>421.46000000000004</v>
      </c>
      <c r="H28" s="1007">
        <f t="shared" si="3"/>
        <v>358.80000000000007</v>
      </c>
      <c r="I28" s="1007">
        <f t="shared" si="3"/>
        <v>292.36</v>
      </c>
      <c r="J28" s="1007">
        <f t="shared" si="3"/>
        <v>465.30000000000007</v>
      </c>
      <c r="K28" s="1007">
        <f t="shared" si="3"/>
        <v>340.30000000000007</v>
      </c>
      <c r="L28" s="1007">
        <f t="shared" si="3"/>
        <v>408.96000000000004</v>
      </c>
      <c r="M28" s="1007">
        <f t="shared" si="3"/>
        <v>379.70000000000005</v>
      </c>
      <c r="N28" s="1007">
        <f t="shared" si="3"/>
        <v>398.46000000000004</v>
      </c>
      <c r="O28" s="1007">
        <f t="shared" si="3"/>
        <v>318.80000000000007</v>
      </c>
      <c r="P28" s="1007">
        <f t="shared" si="3"/>
        <v>390.80000000000007</v>
      </c>
      <c r="Q28" s="1211"/>
      <c r="S28" s="668">
        <f>SUM(E28:P28)</f>
        <v>4289.6000000000013</v>
      </c>
      <c r="T28" s="668">
        <f>S28/$P$4</f>
        <v>357.46666666666675</v>
      </c>
      <c r="U28" s="1215">
        <f>T28*'ФОТ, МТР, макро'!$AI$7</f>
        <v>28597.333333333339</v>
      </c>
    </row>
    <row r="29" spans="1:21" ht="12.75" customHeight="1" x14ac:dyDescent="0.25">
      <c r="A29" s="971">
        <f>A28+1</f>
        <v>21</v>
      </c>
      <c r="B29" s="1008" t="s">
        <v>354</v>
      </c>
      <c r="C29" s="1009"/>
      <c r="D29" s="1009"/>
      <c r="E29" s="1207">
        <f>'DR-75 ТО'!G9/1000</f>
        <v>70.12</v>
      </c>
      <c r="F29" s="1207">
        <f>'DR-75 ТО'!H9/1000</f>
        <v>72.78</v>
      </c>
      <c r="G29" s="1207">
        <f>'DR-75 ТО'!I9/1000</f>
        <v>70.12</v>
      </c>
      <c r="H29" s="1207">
        <f>'DR-75 ТО'!J9/1000</f>
        <v>72.78</v>
      </c>
      <c r="I29" s="1207">
        <f>'DR-75 ТО'!K9/1000</f>
        <v>70.12</v>
      </c>
      <c r="J29" s="1207">
        <f>'DR-75 ТО'!L9/1000</f>
        <v>72.78</v>
      </c>
      <c r="K29" s="1207">
        <f>'DR-75 ТО'!M9/1000</f>
        <v>72.78</v>
      </c>
      <c r="L29" s="1207">
        <f>'DR-75 ТО'!N9/1000</f>
        <v>70.12</v>
      </c>
      <c r="M29" s="1207">
        <f>'DR-75 ТО'!O9/1000</f>
        <v>72.78</v>
      </c>
      <c r="N29" s="1207">
        <f>'DR-75 ТО'!P9/1000</f>
        <v>70.12</v>
      </c>
      <c r="O29" s="1207">
        <f>'DR-75 ТО'!Q9/1000</f>
        <v>72.78</v>
      </c>
      <c r="P29" s="1207">
        <f>'DR-75 ТО'!R9/1000</f>
        <v>72.78</v>
      </c>
      <c r="Q29" s="1206"/>
      <c r="S29" s="667">
        <f t="shared" ref="S29:S33" si="4">SUM(E29:P29)</f>
        <v>860.06</v>
      </c>
      <c r="T29" s="667">
        <f t="shared" ref="T29:T33" si="5">S29/$P$4</f>
        <v>71.671666666666667</v>
      </c>
      <c r="U29" s="377"/>
    </row>
    <row r="30" spans="1:21" ht="12.75" customHeight="1" x14ac:dyDescent="0.25">
      <c r="A30" s="971">
        <f>A29+1</f>
        <v>22</v>
      </c>
      <c r="B30" s="1008" t="s">
        <v>355</v>
      </c>
      <c r="C30" s="1009"/>
      <c r="D30" s="1009"/>
      <c r="E30" s="1010">
        <f>'DR-75 Рем'!F33/1000</f>
        <v>8.5</v>
      </c>
      <c r="F30" s="1010">
        <f>'DR-75 Рем'!G33/1000</f>
        <v>8.5</v>
      </c>
      <c r="G30" s="1010">
        <f>'DR-75 Рем'!H33/1000</f>
        <v>8.5</v>
      </c>
      <c r="H30" s="1010">
        <f>'DR-75 Рем'!I33/1000</f>
        <v>8.5</v>
      </c>
      <c r="I30" s="1010">
        <f>'DR-75 Рем'!J33/1000</f>
        <v>8.5</v>
      </c>
      <c r="J30" s="1010">
        <f>'DR-75 Рем'!K33/1000</f>
        <v>8.5</v>
      </c>
      <c r="K30" s="1010">
        <f>'DR-75 Рем'!L33/1000</f>
        <v>8.5</v>
      </c>
      <c r="L30" s="1010">
        <f>'DR-75 Рем'!M33/1000</f>
        <v>8.5</v>
      </c>
      <c r="M30" s="1010">
        <f>'DR-75 Рем'!N33/1000</f>
        <v>8.5</v>
      </c>
      <c r="N30" s="1010">
        <f>'DR-75 Рем'!O33/1000</f>
        <v>8.5</v>
      </c>
      <c r="O30" s="1010">
        <f>'DR-75 Рем'!P33/1000</f>
        <v>8.5</v>
      </c>
      <c r="P30" s="1010">
        <f>'DR-75 Рем'!Q33/1000</f>
        <v>8.5</v>
      </c>
      <c r="Q30" s="1206"/>
      <c r="S30" s="667">
        <f t="shared" si="4"/>
        <v>102</v>
      </c>
      <c r="T30" s="667">
        <f t="shared" si="5"/>
        <v>8.5</v>
      </c>
      <c r="U30" s="377"/>
    </row>
    <row r="31" spans="1:21" ht="25.5" customHeight="1" x14ac:dyDescent="0.25">
      <c r="A31" s="971">
        <f>A30+1</f>
        <v>23</v>
      </c>
      <c r="B31" s="1008" t="s">
        <v>356</v>
      </c>
      <c r="C31" s="1009"/>
      <c r="D31" s="1009"/>
      <c r="E31" s="1010">
        <f>'DR-75 Рем'!F39/1000</f>
        <v>76.2</v>
      </c>
      <c r="F31" s="1010">
        <f>'DR-75 Рем'!G39/1000</f>
        <v>217.8</v>
      </c>
      <c r="G31" s="1010">
        <f>'DR-75 Рем'!H39/1000</f>
        <v>316.8</v>
      </c>
      <c r="H31" s="1010">
        <f>'DR-75 Рем'!I39/1000</f>
        <v>242.8</v>
      </c>
      <c r="I31" s="1010">
        <f>'DR-75 Рем'!J39/1000</f>
        <v>145.69999999999999</v>
      </c>
      <c r="J31" s="1010">
        <f>'DR-75 Рем'!K39/1000</f>
        <v>349.3</v>
      </c>
      <c r="K31" s="1010">
        <f>'DR-75 Рем'!L39/1000</f>
        <v>182.3</v>
      </c>
      <c r="L31" s="1010">
        <f>'DR-75 Рем'!M39/1000</f>
        <v>297.3</v>
      </c>
      <c r="M31" s="1010">
        <f>'DR-75 Рем'!N39/1000</f>
        <v>270.7</v>
      </c>
      <c r="N31" s="1010">
        <f>'DR-75 Рем'!O39/1000</f>
        <v>244.8</v>
      </c>
      <c r="O31" s="1010">
        <f>'DR-75 Рем'!P39/1000</f>
        <v>209.8</v>
      </c>
      <c r="P31" s="1010">
        <f>'DR-75 Рем'!Q39/1000</f>
        <v>274.8</v>
      </c>
      <c r="Q31" s="1206"/>
      <c r="S31" s="667">
        <f t="shared" si="4"/>
        <v>2828.3</v>
      </c>
      <c r="T31" s="667">
        <f t="shared" si="5"/>
        <v>235.69166666666669</v>
      </c>
      <c r="U31" s="377"/>
    </row>
    <row r="32" spans="1:21" ht="12.75" customHeight="1" x14ac:dyDescent="0.25">
      <c r="A32" s="971">
        <f>A31+1</f>
        <v>24</v>
      </c>
      <c r="B32" s="1008" t="s">
        <v>357</v>
      </c>
      <c r="C32" s="1009"/>
      <c r="D32" s="1009"/>
      <c r="E32" s="1207">
        <f>'DR-75 ТО'!G10/1000</f>
        <v>12.04</v>
      </c>
      <c r="F32" s="1207">
        <f>'DR-75 ТО'!H10/1000</f>
        <v>13.72</v>
      </c>
      <c r="G32" s="1207">
        <f>'DR-75 ТО'!I10/1000</f>
        <v>12.04</v>
      </c>
      <c r="H32" s="1207">
        <f>'DR-75 ТО'!J10/1000</f>
        <v>13.72</v>
      </c>
      <c r="I32" s="1207">
        <f>'DR-75 ТО'!K10/1000</f>
        <v>12.04</v>
      </c>
      <c r="J32" s="1207">
        <f>'DR-75 ТО'!L10/1000</f>
        <v>13.72</v>
      </c>
      <c r="K32" s="1207">
        <f>'DR-75 ТО'!M10/1000</f>
        <v>13.72</v>
      </c>
      <c r="L32" s="1207">
        <f>'DR-75 ТО'!N10/1000</f>
        <v>12.04</v>
      </c>
      <c r="M32" s="1207">
        <f>'DR-75 ТО'!O10/1000</f>
        <v>13.72</v>
      </c>
      <c r="N32" s="1207">
        <f>'DR-75 ТО'!P10/1000</f>
        <v>12.04</v>
      </c>
      <c r="O32" s="1207">
        <f>'DR-75 ТО'!Q10/1000</f>
        <v>13.72</v>
      </c>
      <c r="P32" s="1207">
        <f>'DR-75 ТО'!R10/1000</f>
        <v>13.72</v>
      </c>
      <c r="Q32" s="1206"/>
      <c r="S32" s="667">
        <f t="shared" si="4"/>
        <v>156.23999999999998</v>
      </c>
      <c r="T32" s="667">
        <f t="shared" si="5"/>
        <v>13.019999999999998</v>
      </c>
      <c r="U32" s="377"/>
    </row>
    <row r="33" spans="1:21" ht="13.6" customHeight="1" thickBot="1" x14ac:dyDescent="0.3">
      <c r="A33" s="971">
        <f>A32+1</f>
        <v>25</v>
      </c>
      <c r="B33" s="1011" t="s">
        <v>358</v>
      </c>
      <c r="C33" s="1012"/>
      <c r="D33" s="1012"/>
      <c r="E33" s="1208">
        <f>'DR-75 Рем'!F12/1000</f>
        <v>14</v>
      </c>
      <c r="F33" s="1208">
        <f>'DR-75 Рем'!G12/1000</f>
        <v>21</v>
      </c>
      <c r="G33" s="1208">
        <f>'DR-75 Рем'!H12/1000</f>
        <v>14</v>
      </c>
      <c r="H33" s="1208">
        <f>'DR-75 Рем'!I12/1000</f>
        <v>21</v>
      </c>
      <c r="I33" s="1208">
        <f>'DR-75 Рем'!J12/1000</f>
        <v>56</v>
      </c>
      <c r="J33" s="1208">
        <f>'DR-75 Рем'!K12/1000</f>
        <v>21</v>
      </c>
      <c r="K33" s="1208">
        <f>'DR-75 Рем'!L12/1000</f>
        <v>63</v>
      </c>
      <c r="L33" s="1208">
        <f>'DR-75 Рем'!M12/1000</f>
        <v>21</v>
      </c>
      <c r="M33" s="1208">
        <f>'DR-75 Рем'!N12/1000</f>
        <v>14</v>
      </c>
      <c r="N33" s="1208">
        <f>'DR-75 Рем'!O12/1000</f>
        <v>63</v>
      </c>
      <c r="O33" s="1208">
        <f>'DR-75 Рем'!P12/1000</f>
        <v>14</v>
      </c>
      <c r="P33" s="1208">
        <f>'DR-75 Рем'!Q12/1000</f>
        <v>21</v>
      </c>
      <c r="Q33" s="1209"/>
      <c r="S33" s="667">
        <f t="shared" si="4"/>
        <v>343</v>
      </c>
      <c r="T33" s="667">
        <f t="shared" si="5"/>
        <v>28.583333333333332</v>
      </c>
      <c r="U33" s="377"/>
    </row>
    <row r="34" spans="1:21" ht="13.6" customHeight="1" thickBot="1" x14ac:dyDescent="0.3">
      <c r="A34" s="971"/>
      <c r="B34" s="962"/>
      <c r="C34" s="962"/>
      <c r="D34" s="962"/>
      <c r="E34" s="962"/>
      <c r="F34" s="962"/>
      <c r="G34" s="962"/>
      <c r="H34" s="962"/>
      <c r="I34" s="962"/>
      <c r="J34" s="962"/>
      <c r="K34" s="962"/>
      <c r="L34" s="962"/>
      <c r="M34" s="962"/>
      <c r="N34" s="962"/>
      <c r="O34" s="962"/>
      <c r="P34" s="962"/>
    </row>
    <row r="35" spans="1:21" ht="19.55" customHeight="1" x14ac:dyDescent="0.25">
      <c r="A35" s="971">
        <f>A33+1</f>
        <v>26</v>
      </c>
      <c r="B35" s="1013" t="s">
        <v>359</v>
      </c>
      <c r="C35" s="1006"/>
      <c r="D35" s="1006"/>
      <c r="E35" s="1014"/>
      <c r="F35" s="1014"/>
      <c r="G35" s="1014"/>
      <c r="H35" s="1014"/>
      <c r="I35" s="1014"/>
      <c r="J35" s="1014"/>
      <c r="K35" s="1014"/>
      <c r="L35" s="1014"/>
      <c r="M35" s="1014"/>
      <c r="N35" s="1014"/>
      <c r="O35" s="1014"/>
      <c r="P35" s="1014"/>
      <c r="Q35" s="974"/>
    </row>
    <row r="36" spans="1:21" ht="19.55" customHeight="1" x14ac:dyDescent="0.25">
      <c r="A36" s="971">
        <f t="shared" ref="A36:A76" si="6">A35+1</f>
        <v>27</v>
      </c>
      <c r="B36" s="1015" t="s">
        <v>346</v>
      </c>
      <c r="C36" s="962"/>
      <c r="D36" s="962"/>
      <c r="E36" s="962"/>
      <c r="F36" s="962"/>
      <c r="G36" s="962"/>
      <c r="H36" s="962"/>
      <c r="I36" s="962"/>
      <c r="J36" s="962"/>
      <c r="K36" s="962"/>
      <c r="L36" s="962"/>
      <c r="M36" s="962"/>
      <c r="N36" s="962"/>
      <c r="O36" s="962"/>
      <c r="P36" s="962"/>
      <c r="Q36" s="1016"/>
    </row>
    <row r="37" spans="1:21" ht="12.75" customHeight="1" x14ac:dyDescent="0.25">
      <c r="A37" s="971">
        <f t="shared" si="6"/>
        <v>28</v>
      </c>
      <c r="B37" s="1017" t="s">
        <v>766</v>
      </c>
      <c r="C37" s="1002"/>
      <c r="D37" s="983"/>
      <c r="E37" s="986"/>
      <c r="F37" s="986"/>
      <c r="G37" s="986"/>
      <c r="H37" s="986"/>
      <c r="I37" s="986"/>
      <c r="J37" s="986"/>
      <c r="K37" s="986"/>
      <c r="L37" s="986"/>
      <c r="M37" s="986"/>
      <c r="N37" s="986"/>
      <c r="O37" s="986"/>
      <c r="P37" s="986"/>
      <c r="Q37" s="980"/>
    </row>
    <row r="38" spans="1:21" ht="16.5" customHeight="1" x14ac:dyDescent="0.25">
      <c r="A38" s="971">
        <f t="shared" si="6"/>
        <v>29</v>
      </c>
      <c r="B38" s="1018" t="s">
        <v>48</v>
      </c>
      <c r="C38" s="1019">
        <f>C39/1500</f>
        <v>1.0666666666666667</v>
      </c>
      <c r="D38" s="983"/>
      <c r="E38" s="986"/>
      <c r="F38" s="986"/>
      <c r="G38" s="986"/>
      <c r="H38" s="986"/>
      <c r="I38" s="986"/>
      <c r="J38" s="986"/>
      <c r="K38" s="986"/>
      <c r="L38" s="986"/>
      <c r="M38" s="986"/>
      <c r="N38" s="986"/>
      <c r="O38" s="986"/>
      <c r="P38" s="986"/>
      <c r="Q38" s="980"/>
    </row>
    <row r="39" spans="1:21" ht="13.6" customHeight="1" x14ac:dyDescent="0.25">
      <c r="A39" s="971">
        <f t="shared" si="6"/>
        <v>30</v>
      </c>
      <c r="B39" s="1018" t="s">
        <v>362</v>
      </c>
      <c r="C39" s="985">
        <v>1600</v>
      </c>
      <c r="D39" s="1020"/>
      <c r="E39" s="1021"/>
      <c r="F39" s="1021"/>
      <c r="G39" s="1021"/>
      <c r="H39" s="1021"/>
      <c r="I39" s="1021"/>
      <c r="J39" s="1021"/>
      <c r="K39" s="1021"/>
      <c r="L39" s="1021"/>
      <c r="M39" s="1021"/>
      <c r="N39" s="1021"/>
      <c r="O39" s="1021"/>
      <c r="P39" s="1021"/>
      <c r="Q39" s="980"/>
    </row>
    <row r="40" spans="1:21" ht="12.75" customHeight="1" x14ac:dyDescent="0.25">
      <c r="A40" s="971">
        <f t="shared" si="6"/>
        <v>31</v>
      </c>
      <c r="B40" s="1017" t="s">
        <v>767</v>
      </c>
      <c r="C40" s="1020"/>
      <c r="D40" s="1020"/>
      <c r="E40" s="1021"/>
      <c r="F40" s="1021"/>
      <c r="G40" s="1021"/>
      <c r="H40" s="1021"/>
      <c r="I40" s="1021"/>
      <c r="J40" s="1021"/>
      <c r="K40" s="1021"/>
      <c r="L40" s="1021"/>
      <c r="M40" s="1021"/>
      <c r="N40" s="1021"/>
      <c r="O40" s="1021"/>
      <c r="P40" s="1021"/>
      <c r="Q40" s="980"/>
    </row>
    <row r="41" spans="1:21" ht="13.6" customHeight="1" x14ac:dyDescent="0.25">
      <c r="A41" s="971">
        <f t="shared" si="6"/>
        <v>32</v>
      </c>
      <c r="B41" s="1018" t="s">
        <v>48</v>
      </c>
      <c r="C41" s="1022">
        <f>C42/4000</f>
        <v>1</v>
      </c>
      <c r="D41" s="1020"/>
      <c r="E41" s="986"/>
      <c r="F41" s="986"/>
      <c r="G41" s="986"/>
      <c r="H41" s="986"/>
      <c r="I41" s="986"/>
      <c r="J41" s="986"/>
      <c r="K41" s="986"/>
      <c r="L41" s="986"/>
      <c r="M41" s="986"/>
      <c r="N41" s="986"/>
      <c r="O41" s="986"/>
      <c r="P41" s="986"/>
      <c r="Q41" s="980"/>
    </row>
    <row r="42" spans="1:21" ht="13.6" customHeight="1" x14ac:dyDescent="0.25">
      <c r="A42" s="971">
        <f t="shared" si="6"/>
        <v>33</v>
      </c>
      <c r="B42" s="1018" t="s">
        <v>362</v>
      </c>
      <c r="C42" s="1022">
        <v>4000</v>
      </c>
      <c r="D42" s="1020"/>
      <c r="E42" s="1021"/>
      <c r="F42" s="1021"/>
      <c r="G42" s="1021"/>
      <c r="H42" s="1021"/>
      <c r="I42" s="1021"/>
      <c r="J42" s="1021"/>
      <c r="K42" s="1021"/>
      <c r="L42" s="1021"/>
      <c r="M42" s="1021"/>
      <c r="N42" s="1021"/>
      <c r="O42" s="1021"/>
      <c r="P42" s="1021"/>
      <c r="Q42" s="980"/>
    </row>
    <row r="43" spans="1:21" ht="12.75" customHeight="1" x14ac:dyDescent="0.25">
      <c r="A43" s="971">
        <f t="shared" si="6"/>
        <v>34</v>
      </c>
      <c r="B43" s="1017" t="s">
        <v>768</v>
      </c>
      <c r="C43" s="1020"/>
      <c r="D43" s="1023"/>
      <c r="E43" s="1024"/>
      <c r="F43" s="1024"/>
      <c r="G43" s="1024"/>
      <c r="H43" s="1024"/>
      <c r="I43" s="1024"/>
      <c r="J43" s="1024"/>
      <c r="K43" s="1024"/>
      <c r="L43" s="1024"/>
      <c r="M43" s="1024"/>
      <c r="N43" s="1024"/>
      <c r="O43" s="1024"/>
      <c r="P43" s="1024"/>
      <c r="Q43" s="980"/>
    </row>
    <row r="44" spans="1:21" ht="12.75" customHeight="1" x14ac:dyDescent="0.25">
      <c r="A44" s="971">
        <f t="shared" si="6"/>
        <v>35</v>
      </c>
      <c r="B44" s="1018" t="s">
        <v>48</v>
      </c>
      <c r="C44" s="1025">
        <f>C45/6000</f>
        <v>0.2</v>
      </c>
      <c r="D44" s="1023"/>
      <c r="E44" s="986"/>
      <c r="F44" s="986"/>
      <c r="G44" s="986"/>
      <c r="H44" s="986"/>
      <c r="I44" s="986"/>
      <c r="J44" s="986"/>
      <c r="K44" s="986"/>
      <c r="L44" s="986"/>
      <c r="M44" s="986"/>
      <c r="N44" s="986"/>
      <c r="O44" s="986"/>
      <c r="P44" s="986"/>
      <c r="Q44" s="980"/>
    </row>
    <row r="45" spans="1:21" ht="12.75" customHeight="1" x14ac:dyDescent="0.25">
      <c r="A45" s="971">
        <f t="shared" si="6"/>
        <v>36</v>
      </c>
      <c r="B45" s="1018" t="s">
        <v>362</v>
      </c>
      <c r="C45" s="1022">
        <v>1200</v>
      </c>
      <c r="D45" s="1023"/>
      <c r="E45" s="1021"/>
      <c r="F45" s="1021"/>
      <c r="G45" s="1021"/>
      <c r="H45" s="1021"/>
      <c r="I45" s="1021"/>
      <c r="J45" s="1021"/>
      <c r="K45" s="1021"/>
      <c r="L45" s="1021"/>
      <c r="M45" s="1021"/>
      <c r="N45" s="1021"/>
      <c r="O45" s="1021"/>
      <c r="P45" s="1021"/>
      <c r="Q45" s="980"/>
    </row>
    <row r="46" spans="1:21" ht="12.75" customHeight="1" x14ac:dyDescent="0.25">
      <c r="A46" s="971">
        <f t="shared" si="6"/>
        <v>37</v>
      </c>
      <c r="B46" s="1017" t="s">
        <v>769</v>
      </c>
      <c r="C46" s="1020"/>
      <c r="D46" s="1023"/>
      <c r="E46" s="1024"/>
      <c r="F46" s="1024"/>
      <c r="G46" s="1024"/>
      <c r="H46" s="1024"/>
      <c r="I46" s="1024"/>
      <c r="J46" s="1024"/>
      <c r="K46" s="1024"/>
      <c r="L46" s="1024"/>
      <c r="M46" s="1024"/>
      <c r="N46" s="1024"/>
      <c r="O46" s="1024"/>
      <c r="P46" s="1024"/>
      <c r="Q46" s="980"/>
    </row>
    <row r="47" spans="1:21" ht="12.75" customHeight="1" x14ac:dyDescent="0.25">
      <c r="A47" s="971">
        <f t="shared" si="6"/>
        <v>38</v>
      </c>
      <c r="B47" s="1018" t="s">
        <v>48</v>
      </c>
      <c r="C47" s="1025">
        <f>C48/12000</f>
        <v>6.6666666666666666E-2</v>
      </c>
      <c r="D47" s="1023"/>
      <c r="E47" s="986"/>
      <c r="F47" s="986"/>
      <c r="G47" s="986"/>
      <c r="H47" s="986"/>
      <c r="I47" s="986"/>
      <c r="J47" s="986"/>
      <c r="K47" s="986"/>
      <c r="L47" s="986"/>
      <c r="M47" s="986"/>
      <c r="N47" s="986"/>
      <c r="O47" s="986"/>
      <c r="P47" s="986"/>
      <c r="Q47" s="980"/>
    </row>
    <row r="48" spans="1:21" ht="12.75" customHeight="1" x14ac:dyDescent="0.25">
      <c r="A48" s="971">
        <f t="shared" si="6"/>
        <v>39</v>
      </c>
      <c r="B48" s="1018" t="s">
        <v>362</v>
      </c>
      <c r="C48" s="1022">
        <v>800</v>
      </c>
      <c r="D48" s="1023"/>
      <c r="E48" s="1021"/>
      <c r="F48" s="1021"/>
      <c r="G48" s="1021"/>
      <c r="H48" s="1021"/>
      <c r="I48" s="1021"/>
      <c r="J48" s="1021"/>
      <c r="K48" s="1021"/>
      <c r="L48" s="1021"/>
      <c r="M48" s="1021"/>
      <c r="N48" s="1021"/>
      <c r="O48" s="1021"/>
      <c r="P48" s="1021"/>
      <c r="Q48" s="980"/>
    </row>
    <row r="49" spans="1:17" ht="12.75" customHeight="1" x14ac:dyDescent="0.25">
      <c r="A49" s="971">
        <f t="shared" si="6"/>
        <v>40</v>
      </c>
      <c r="B49" s="1017" t="s">
        <v>770</v>
      </c>
      <c r="C49" s="1020"/>
      <c r="D49" s="1023"/>
      <c r="E49" s="1024"/>
      <c r="F49" s="1024"/>
      <c r="G49" s="1024"/>
      <c r="H49" s="1024"/>
      <c r="I49" s="1024"/>
      <c r="J49" s="1024"/>
      <c r="K49" s="1024"/>
      <c r="L49" s="1024"/>
      <c r="M49" s="1024"/>
      <c r="N49" s="1024"/>
      <c r="O49" s="1024"/>
      <c r="P49" s="1024"/>
      <c r="Q49" s="980"/>
    </row>
    <row r="50" spans="1:17" ht="12.75" customHeight="1" x14ac:dyDescent="0.25">
      <c r="A50" s="971">
        <f t="shared" si="6"/>
        <v>41</v>
      </c>
      <c r="B50" s="1018" t="s">
        <v>48</v>
      </c>
      <c r="C50" s="1022"/>
      <c r="D50" s="1023"/>
      <c r="E50" s="986"/>
      <c r="F50" s="986"/>
      <c r="G50" s="986"/>
      <c r="H50" s="986"/>
      <c r="I50" s="986"/>
      <c r="J50" s="986"/>
      <c r="K50" s="986"/>
      <c r="L50" s="986"/>
      <c r="M50" s="986"/>
      <c r="N50" s="986"/>
      <c r="O50" s="986"/>
      <c r="P50" s="986"/>
      <c r="Q50" s="980"/>
    </row>
    <row r="51" spans="1:17" ht="12.75" customHeight="1" x14ac:dyDescent="0.25">
      <c r="A51" s="971">
        <f t="shared" si="6"/>
        <v>42</v>
      </c>
      <c r="B51" s="1018" t="s">
        <v>362</v>
      </c>
      <c r="C51" s="1022"/>
      <c r="D51" s="1023"/>
      <c r="E51" s="1021"/>
      <c r="F51" s="1021"/>
      <c r="G51" s="1021"/>
      <c r="H51" s="1021"/>
      <c r="I51" s="1021"/>
      <c r="J51" s="1021"/>
      <c r="K51" s="1021"/>
      <c r="L51" s="1021"/>
      <c r="M51" s="1021"/>
      <c r="N51" s="1021"/>
      <c r="O51" s="1021"/>
      <c r="P51" s="1021"/>
      <c r="Q51" s="980"/>
    </row>
    <row r="52" spans="1:17" ht="19.55" customHeight="1" x14ac:dyDescent="0.25">
      <c r="A52" s="971">
        <f t="shared" si="6"/>
        <v>43</v>
      </c>
      <c r="B52" s="1015" t="s">
        <v>557</v>
      </c>
      <c r="C52" s="962"/>
      <c r="D52" s="962"/>
      <c r="E52" s="962"/>
      <c r="F52" s="962"/>
      <c r="G52" s="962"/>
      <c r="H52" s="962"/>
      <c r="I52" s="962"/>
      <c r="J52" s="962"/>
      <c r="K52" s="962"/>
      <c r="L52" s="962"/>
      <c r="M52" s="962"/>
      <c r="N52" s="962"/>
      <c r="O52" s="962"/>
      <c r="P52" s="962"/>
      <c r="Q52" s="1016"/>
    </row>
    <row r="53" spans="1:17" ht="12.75" customHeight="1" x14ac:dyDescent="0.25">
      <c r="A53" s="971">
        <f t="shared" si="6"/>
        <v>44</v>
      </c>
      <c r="B53" s="1017" t="s">
        <v>571</v>
      </c>
      <c r="C53" s="1002"/>
      <c r="D53" s="983"/>
      <c r="E53" s="986"/>
      <c r="F53" s="986"/>
      <c r="G53" s="986"/>
      <c r="H53" s="986"/>
      <c r="I53" s="986"/>
      <c r="J53" s="986"/>
      <c r="K53" s="986"/>
      <c r="L53" s="986"/>
      <c r="M53" s="986"/>
      <c r="N53" s="986"/>
      <c r="O53" s="986"/>
      <c r="P53" s="986"/>
      <c r="Q53" s="980"/>
    </row>
    <row r="54" spans="1:17" ht="12.75" customHeight="1" x14ac:dyDescent="0.25">
      <c r="A54" s="971">
        <f t="shared" si="6"/>
        <v>45</v>
      </c>
      <c r="B54" s="1018" t="s">
        <v>48</v>
      </c>
      <c r="C54" s="1022" t="s">
        <v>764</v>
      </c>
      <c r="D54" s="983"/>
      <c r="E54" s="986"/>
      <c r="F54" s="986"/>
      <c r="G54" s="986"/>
      <c r="H54" s="986"/>
      <c r="I54" s="986"/>
      <c r="J54" s="986"/>
      <c r="K54" s="986"/>
      <c r="L54" s="986"/>
      <c r="M54" s="986"/>
      <c r="N54" s="986"/>
      <c r="O54" s="986"/>
      <c r="P54" s="986"/>
      <c r="Q54" s="980"/>
    </row>
    <row r="55" spans="1:17" ht="12.75" customHeight="1" x14ac:dyDescent="0.25">
      <c r="A55" s="971">
        <f t="shared" si="6"/>
        <v>46</v>
      </c>
      <c r="B55" s="1018" t="s">
        <v>362</v>
      </c>
      <c r="C55" s="1022" t="s">
        <v>764</v>
      </c>
      <c r="D55" s="1020"/>
      <c r="E55" s="1021"/>
      <c r="F55" s="1021"/>
      <c r="G55" s="1021"/>
      <c r="H55" s="1021"/>
      <c r="I55" s="1021"/>
      <c r="J55" s="1021"/>
      <c r="K55" s="1021"/>
      <c r="L55" s="1021"/>
      <c r="M55" s="1021"/>
      <c r="N55" s="1021"/>
      <c r="O55" s="1021"/>
      <c r="P55" s="1021"/>
      <c r="Q55" s="980"/>
    </row>
    <row r="56" spans="1:17" ht="12.75" customHeight="1" x14ac:dyDescent="0.25">
      <c r="A56" s="971">
        <f t="shared" si="6"/>
        <v>47</v>
      </c>
      <c r="B56" s="1017" t="s">
        <v>572</v>
      </c>
      <c r="C56" s="983"/>
      <c r="D56" s="1020"/>
      <c r="E56" s="1021"/>
      <c r="F56" s="1021"/>
      <c r="G56" s="1021"/>
      <c r="H56" s="1021"/>
      <c r="I56" s="1021"/>
      <c r="J56" s="1021"/>
      <c r="K56" s="1021"/>
      <c r="L56" s="1021"/>
      <c r="M56" s="1021"/>
      <c r="N56" s="1021"/>
      <c r="O56" s="1021"/>
      <c r="P56" s="1021"/>
      <c r="Q56" s="980"/>
    </row>
    <row r="57" spans="1:17" ht="12.75" customHeight="1" x14ac:dyDescent="0.25">
      <c r="A57" s="971">
        <f t="shared" si="6"/>
        <v>48</v>
      </c>
      <c r="B57" s="1018" t="s">
        <v>48</v>
      </c>
      <c r="C57" s="1022" t="s">
        <v>764</v>
      </c>
      <c r="D57" s="1020"/>
      <c r="E57" s="1021"/>
      <c r="F57" s="1021"/>
      <c r="G57" s="1021"/>
      <c r="H57" s="1021"/>
      <c r="I57" s="1021"/>
      <c r="J57" s="1021"/>
      <c r="K57" s="1021"/>
      <c r="L57" s="1021"/>
      <c r="M57" s="1021"/>
      <c r="N57" s="1021"/>
      <c r="O57" s="1021"/>
      <c r="P57" s="1021"/>
      <c r="Q57" s="980"/>
    </row>
    <row r="58" spans="1:17" ht="12.75" customHeight="1" x14ac:dyDescent="0.25">
      <c r="A58" s="971">
        <f t="shared" si="6"/>
        <v>49</v>
      </c>
      <c r="B58" s="1018" t="s">
        <v>362</v>
      </c>
      <c r="C58" s="1022" t="s">
        <v>764</v>
      </c>
      <c r="D58" s="1020"/>
      <c r="E58" s="1021"/>
      <c r="F58" s="1021"/>
      <c r="G58" s="1021"/>
      <c r="H58" s="1021"/>
      <c r="I58" s="1021"/>
      <c r="J58" s="1021"/>
      <c r="K58" s="1021"/>
      <c r="L58" s="1021"/>
      <c r="M58" s="1021"/>
      <c r="N58" s="1021"/>
      <c r="O58" s="1021"/>
      <c r="P58" s="1021"/>
      <c r="Q58" s="980"/>
    </row>
    <row r="59" spans="1:17" ht="12.75" customHeight="1" x14ac:dyDescent="0.25">
      <c r="A59" s="971">
        <f t="shared" si="6"/>
        <v>50</v>
      </c>
      <c r="B59" s="1017" t="s">
        <v>573</v>
      </c>
      <c r="C59" s="983"/>
      <c r="D59" s="1020"/>
      <c r="E59" s="1021"/>
      <c r="F59" s="1021"/>
      <c r="G59" s="1021"/>
      <c r="H59" s="1021"/>
      <c r="I59" s="1021"/>
      <c r="J59" s="1021"/>
      <c r="K59" s="1021"/>
      <c r="L59" s="1021"/>
      <c r="M59" s="1021"/>
      <c r="N59" s="1021"/>
      <c r="O59" s="1021"/>
      <c r="P59" s="1021"/>
      <c r="Q59" s="980"/>
    </row>
    <row r="60" spans="1:17" ht="12.75" customHeight="1" x14ac:dyDescent="0.25">
      <c r="A60" s="971">
        <f t="shared" si="6"/>
        <v>51</v>
      </c>
      <c r="B60" s="1018" t="s">
        <v>48</v>
      </c>
      <c r="C60" s="1022" t="s">
        <v>764</v>
      </c>
      <c r="D60" s="1020"/>
      <c r="E60" s="1021"/>
      <c r="F60" s="1021"/>
      <c r="G60" s="1021"/>
      <c r="H60" s="1021"/>
      <c r="I60" s="1021"/>
      <c r="J60" s="1021"/>
      <c r="K60" s="1021"/>
      <c r="L60" s="1021"/>
      <c r="M60" s="1021"/>
      <c r="N60" s="1021"/>
      <c r="O60" s="1021"/>
      <c r="P60" s="1021"/>
      <c r="Q60" s="980"/>
    </row>
    <row r="61" spans="1:17" ht="12.75" customHeight="1" x14ac:dyDescent="0.25">
      <c r="A61" s="971">
        <f t="shared" si="6"/>
        <v>52</v>
      </c>
      <c r="B61" s="1018" t="s">
        <v>362</v>
      </c>
      <c r="C61" s="1022" t="s">
        <v>764</v>
      </c>
      <c r="D61" s="1020"/>
      <c r="E61" s="1021"/>
      <c r="F61" s="1021"/>
      <c r="G61" s="1021"/>
      <c r="H61" s="1021"/>
      <c r="I61" s="1021"/>
      <c r="J61" s="1021"/>
      <c r="K61" s="1021"/>
      <c r="L61" s="1021"/>
      <c r="M61" s="1021"/>
      <c r="N61" s="1021"/>
      <c r="O61" s="1021"/>
      <c r="P61" s="1021"/>
      <c r="Q61" s="980"/>
    </row>
    <row r="62" spans="1:17" ht="12.75" customHeight="1" x14ac:dyDescent="0.25">
      <c r="A62" s="971">
        <f t="shared" si="6"/>
        <v>53</v>
      </c>
      <c r="B62" s="1017" t="s">
        <v>184</v>
      </c>
      <c r="C62" s="1020"/>
      <c r="D62" s="1020"/>
      <c r="E62" s="1021"/>
      <c r="F62" s="1021"/>
      <c r="G62" s="1021"/>
      <c r="H62" s="1021"/>
      <c r="I62" s="1021"/>
      <c r="J62" s="1021"/>
      <c r="K62" s="1021"/>
      <c r="L62" s="1021"/>
      <c r="M62" s="1021"/>
      <c r="N62" s="1021"/>
      <c r="O62" s="1021"/>
      <c r="P62" s="1021"/>
      <c r="Q62" s="980"/>
    </row>
    <row r="63" spans="1:17" ht="12.75" customHeight="1" x14ac:dyDescent="0.25">
      <c r="A63" s="971">
        <f t="shared" si="6"/>
        <v>54</v>
      </c>
      <c r="B63" s="1018" t="s">
        <v>48</v>
      </c>
      <c r="C63" s="1022" t="s">
        <v>764</v>
      </c>
      <c r="D63" s="1020"/>
      <c r="E63" s="986"/>
      <c r="F63" s="986"/>
      <c r="G63" s="986"/>
      <c r="H63" s="986"/>
      <c r="I63" s="986"/>
      <c r="J63" s="986"/>
      <c r="K63" s="986"/>
      <c r="L63" s="986"/>
      <c r="M63" s="986"/>
      <c r="N63" s="986"/>
      <c r="O63" s="986"/>
      <c r="P63" s="986"/>
      <c r="Q63" s="980"/>
    </row>
    <row r="64" spans="1:17" ht="12.75" customHeight="1" x14ac:dyDescent="0.25">
      <c r="A64" s="971">
        <f t="shared" si="6"/>
        <v>55</v>
      </c>
      <c r="B64" s="1018" t="s">
        <v>362</v>
      </c>
      <c r="C64" s="1022" t="s">
        <v>764</v>
      </c>
      <c r="D64" s="1020"/>
      <c r="E64" s="1021"/>
      <c r="F64" s="1021"/>
      <c r="G64" s="1021"/>
      <c r="H64" s="1021"/>
      <c r="I64" s="1021"/>
      <c r="J64" s="1021"/>
      <c r="K64" s="1021"/>
      <c r="L64" s="1021"/>
      <c r="M64" s="1021"/>
      <c r="N64" s="1021"/>
      <c r="O64" s="1021"/>
      <c r="P64" s="1021"/>
      <c r="Q64" s="980"/>
    </row>
    <row r="65" spans="1:17" ht="12.75" customHeight="1" x14ac:dyDescent="0.25">
      <c r="A65" s="971">
        <f t="shared" si="6"/>
        <v>56</v>
      </c>
      <c r="B65" s="1017" t="s">
        <v>574</v>
      </c>
      <c r="C65" s="1020"/>
      <c r="D65" s="1023"/>
      <c r="E65" s="1024"/>
      <c r="F65" s="1024"/>
      <c r="G65" s="1024"/>
      <c r="H65" s="1024"/>
      <c r="I65" s="1024"/>
      <c r="J65" s="1024"/>
      <c r="K65" s="1024"/>
      <c r="L65" s="1024"/>
      <c r="M65" s="1024"/>
      <c r="N65" s="1024"/>
      <c r="O65" s="1024"/>
      <c r="P65" s="1024"/>
      <c r="Q65" s="980"/>
    </row>
    <row r="66" spans="1:17" ht="12.75" customHeight="1" x14ac:dyDescent="0.25">
      <c r="A66" s="971">
        <f t="shared" si="6"/>
        <v>57</v>
      </c>
      <c r="B66" s="1018" t="s">
        <v>48</v>
      </c>
      <c r="C66" s="1022" t="s">
        <v>764</v>
      </c>
      <c r="D66" s="1023"/>
      <c r="E66" s="986"/>
      <c r="F66" s="986"/>
      <c r="G66" s="986"/>
      <c r="H66" s="986"/>
      <c r="I66" s="986"/>
      <c r="J66" s="986"/>
      <c r="K66" s="986"/>
      <c r="L66" s="986"/>
      <c r="M66" s="986"/>
      <c r="N66" s="986"/>
      <c r="O66" s="986"/>
      <c r="P66" s="986"/>
      <c r="Q66" s="980"/>
    </row>
    <row r="67" spans="1:17" ht="12.75" customHeight="1" x14ac:dyDescent="0.25">
      <c r="A67" s="971">
        <f t="shared" si="6"/>
        <v>58</v>
      </c>
      <c r="B67" s="1018" t="s">
        <v>362</v>
      </c>
      <c r="C67" s="1022" t="s">
        <v>764</v>
      </c>
      <c r="D67" s="1023"/>
      <c r="E67" s="1021"/>
      <c r="F67" s="1021"/>
      <c r="G67" s="1021"/>
      <c r="H67" s="1021"/>
      <c r="I67" s="1021"/>
      <c r="J67" s="1021"/>
      <c r="K67" s="1021"/>
      <c r="L67" s="1021"/>
      <c r="M67" s="1021"/>
      <c r="N67" s="1021"/>
      <c r="O67" s="1021"/>
      <c r="P67" s="1021"/>
      <c r="Q67" s="980"/>
    </row>
    <row r="68" spans="1:17" ht="12.75" customHeight="1" x14ac:dyDescent="0.25">
      <c r="A68" s="971">
        <f t="shared" si="6"/>
        <v>59</v>
      </c>
      <c r="B68" s="1017" t="s">
        <v>570</v>
      </c>
      <c r="C68" s="1020"/>
      <c r="D68" s="1023"/>
      <c r="E68" s="1024"/>
      <c r="F68" s="1024"/>
      <c r="G68" s="1024"/>
      <c r="H68" s="1024"/>
      <c r="I68" s="1024"/>
      <c r="J68" s="1024"/>
      <c r="K68" s="1024"/>
      <c r="L68" s="1024"/>
      <c r="M68" s="1024"/>
      <c r="N68" s="1024"/>
      <c r="O68" s="1024"/>
      <c r="P68" s="1024"/>
      <c r="Q68" s="980"/>
    </row>
    <row r="69" spans="1:17" ht="12.75" customHeight="1" x14ac:dyDescent="0.25">
      <c r="A69" s="971">
        <f t="shared" si="6"/>
        <v>60</v>
      </c>
      <c r="B69" s="1018" t="s">
        <v>48</v>
      </c>
      <c r="C69" s="1022" t="s">
        <v>764</v>
      </c>
      <c r="D69" s="1023"/>
      <c r="E69" s="986"/>
      <c r="F69" s="986"/>
      <c r="G69" s="986"/>
      <c r="H69" s="986"/>
      <c r="I69" s="986"/>
      <c r="J69" s="986"/>
      <c r="K69" s="986"/>
      <c r="L69" s="986"/>
      <c r="M69" s="986"/>
      <c r="N69" s="986"/>
      <c r="O69" s="986"/>
      <c r="P69" s="986"/>
      <c r="Q69" s="980"/>
    </row>
    <row r="70" spans="1:17" ht="12.75" customHeight="1" x14ac:dyDescent="0.25">
      <c r="A70" s="971">
        <f t="shared" si="6"/>
        <v>61</v>
      </c>
      <c r="B70" s="1018" t="s">
        <v>362</v>
      </c>
      <c r="C70" s="1022" t="s">
        <v>764</v>
      </c>
      <c r="D70" s="1023"/>
      <c r="E70" s="1021"/>
      <c r="F70" s="1021"/>
      <c r="G70" s="1021"/>
      <c r="H70" s="1021"/>
      <c r="I70" s="1021"/>
      <c r="J70" s="1021"/>
      <c r="K70" s="1021"/>
      <c r="L70" s="1021"/>
      <c r="M70" s="1021"/>
      <c r="N70" s="1021"/>
      <c r="O70" s="1021"/>
      <c r="P70" s="1021"/>
      <c r="Q70" s="980"/>
    </row>
    <row r="71" spans="1:17" ht="12.75" customHeight="1" x14ac:dyDescent="0.25">
      <c r="A71" s="971">
        <f t="shared" si="6"/>
        <v>62</v>
      </c>
      <c r="B71" s="1017" t="s">
        <v>570</v>
      </c>
      <c r="C71" s="1020"/>
      <c r="D71" s="1023"/>
      <c r="E71" s="1024"/>
      <c r="F71" s="1024"/>
      <c r="G71" s="1024"/>
      <c r="H71" s="1024"/>
      <c r="I71" s="1024"/>
      <c r="J71" s="1024"/>
      <c r="K71" s="1024"/>
      <c r="L71" s="1024"/>
      <c r="M71" s="1024"/>
      <c r="N71" s="1024"/>
      <c r="O71" s="1024"/>
      <c r="P71" s="1024"/>
      <c r="Q71" s="980"/>
    </row>
    <row r="72" spans="1:17" ht="12.75" customHeight="1" x14ac:dyDescent="0.25">
      <c r="A72" s="971">
        <f t="shared" si="6"/>
        <v>63</v>
      </c>
      <c r="B72" s="1018" t="s">
        <v>48</v>
      </c>
      <c r="C72" s="1022" t="s">
        <v>764</v>
      </c>
      <c r="D72" s="1023"/>
      <c r="E72" s="986"/>
      <c r="F72" s="986"/>
      <c r="G72" s="986"/>
      <c r="H72" s="986"/>
      <c r="I72" s="986"/>
      <c r="J72" s="986"/>
      <c r="K72" s="986"/>
      <c r="L72" s="986"/>
      <c r="M72" s="986"/>
      <c r="N72" s="986"/>
      <c r="O72" s="986"/>
      <c r="P72" s="986"/>
      <c r="Q72" s="980"/>
    </row>
    <row r="73" spans="1:17" ht="12.75" customHeight="1" x14ac:dyDescent="0.25">
      <c r="A73" s="971">
        <f t="shared" si="6"/>
        <v>64</v>
      </c>
      <c r="B73" s="1018" t="s">
        <v>362</v>
      </c>
      <c r="C73" s="1022" t="s">
        <v>764</v>
      </c>
      <c r="D73" s="1023"/>
      <c r="E73" s="1021"/>
      <c r="F73" s="1021"/>
      <c r="G73" s="1021"/>
      <c r="H73" s="1021"/>
      <c r="I73" s="1021"/>
      <c r="J73" s="1021"/>
      <c r="K73" s="1021"/>
      <c r="L73" s="1021"/>
      <c r="M73" s="1021"/>
      <c r="N73" s="1021"/>
      <c r="O73" s="1021"/>
      <c r="P73" s="1021"/>
      <c r="Q73" s="980"/>
    </row>
    <row r="74" spans="1:17" ht="12.75" customHeight="1" x14ac:dyDescent="0.25">
      <c r="A74" s="971">
        <f t="shared" si="6"/>
        <v>65</v>
      </c>
      <c r="B74" s="1017" t="s">
        <v>570</v>
      </c>
      <c r="C74" s="1020"/>
      <c r="D74" s="1023"/>
      <c r="E74" s="1024"/>
      <c r="F74" s="1024"/>
      <c r="G74" s="1024"/>
      <c r="H74" s="1024"/>
      <c r="I74" s="1024"/>
      <c r="J74" s="1024"/>
      <c r="K74" s="1024"/>
      <c r="L74" s="1024"/>
      <c r="M74" s="1024"/>
      <c r="N74" s="1024"/>
      <c r="O74" s="1024"/>
      <c r="P74" s="1024"/>
      <c r="Q74" s="980"/>
    </row>
    <row r="75" spans="1:17" ht="12.75" customHeight="1" x14ac:dyDescent="0.25">
      <c r="A75" s="971">
        <f t="shared" si="6"/>
        <v>66</v>
      </c>
      <c r="B75" s="1018" t="s">
        <v>48</v>
      </c>
      <c r="C75" s="1022" t="s">
        <v>764</v>
      </c>
      <c r="D75" s="1023"/>
      <c r="E75" s="986"/>
      <c r="F75" s="986"/>
      <c r="G75" s="986"/>
      <c r="H75" s="986"/>
      <c r="I75" s="986"/>
      <c r="J75" s="986"/>
      <c r="K75" s="986"/>
      <c r="L75" s="986"/>
      <c r="M75" s="986"/>
      <c r="N75" s="986"/>
      <c r="O75" s="986"/>
      <c r="P75" s="986"/>
      <c r="Q75" s="980"/>
    </row>
    <row r="76" spans="1:17" ht="13.6" customHeight="1" thickBot="1" x14ac:dyDescent="0.3">
      <c r="A76" s="971">
        <f t="shared" si="6"/>
        <v>67</v>
      </c>
      <c r="B76" s="1026" t="s">
        <v>362</v>
      </c>
      <c r="C76" s="1022" t="s">
        <v>764</v>
      </c>
      <c r="D76" s="1027"/>
      <c r="E76" s="1028"/>
      <c r="F76" s="1028"/>
      <c r="G76" s="1028"/>
      <c r="H76" s="1028"/>
      <c r="I76" s="1028"/>
      <c r="J76" s="1028"/>
      <c r="K76" s="1028"/>
      <c r="L76" s="1028"/>
      <c r="M76" s="1028"/>
      <c r="N76" s="1028"/>
      <c r="O76" s="1028"/>
      <c r="P76" s="1028"/>
      <c r="Q76" s="991"/>
    </row>
    <row r="77" spans="1:17" ht="13.6" customHeight="1" thickBot="1" x14ac:dyDescent="0.3">
      <c r="A77" s="971"/>
      <c r="B77" s="1029"/>
      <c r="C77" s="1030"/>
      <c r="D77" s="1031"/>
      <c r="E77" s="1032"/>
      <c r="F77" s="1032"/>
      <c r="G77" s="1032"/>
      <c r="H77" s="1032"/>
      <c r="I77" s="1032"/>
      <c r="J77" s="1032"/>
      <c r="K77" s="1032"/>
      <c r="L77" s="1032"/>
      <c r="M77" s="1032"/>
      <c r="N77" s="1032"/>
      <c r="O77" s="1032"/>
      <c r="P77" s="1032"/>
      <c r="Q77" s="1033"/>
    </row>
    <row r="78" spans="1:17" ht="12.75" customHeight="1" x14ac:dyDescent="0.25">
      <c r="A78" s="971">
        <f>A76+1</f>
        <v>68</v>
      </c>
      <c r="B78" s="1034" t="s">
        <v>367</v>
      </c>
      <c r="C78" s="1035"/>
      <c r="D78" s="1035"/>
      <c r="E78" s="1036"/>
      <c r="F78" s="1036"/>
      <c r="G78" s="1036"/>
      <c r="H78" s="1036"/>
      <c r="I78" s="1036"/>
      <c r="J78" s="1036"/>
      <c r="K78" s="1036"/>
      <c r="L78" s="1036"/>
      <c r="M78" s="1036"/>
      <c r="N78" s="1036"/>
      <c r="O78" s="1036"/>
      <c r="P78" s="1036"/>
      <c r="Q78" s="974"/>
    </row>
    <row r="79" spans="1:17" ht="23.95" customHeight="1" x14ac:dyDescent="0.25">
      <c r="A79" s="971">
        <f>A78+1</f>
        <v>69</v>
      </c>
      <c r="B79" s="1018" t="s">
        <v>48</v>
      </c>
      <c r="C79" s="1037" t="s">
        <v>277</v>
      </c>
      <c r="D79" s="1038">
        <v>78</v>
      </c>
      <c r="E79" s="1024"/>
      <c r="F79" s="1024"/>
      <c r="G79" s="1024"/>
      <c r="H79" s="1024"/>
      <c r="I79" s="1024"/>
      <c r="J79" s="1024"/>
      <c r="K79" s="1024"/>
      <c r="L79" s="1024"/>
      <c r="M79" s="1024"/>
      <c r="N79" s="1024"/>
      <c r="O79" s="1024"/>
      <c r="P79" s="1024"/>
      <c r="Q79" s="980"/>
    </row>
    <row r="80" spans="1:17" ht="18" customHeight="1" thickBot="1" x14ac:dyDescent="0.3">
      <c r="A80" s="971">
        <f>A79+1</f>
        <v>70</v>
      </c>
      <c r="B80" s="987" t="s">
        <v>370</v>
      </c>
      <c r="C80" s="1039" t="s">
        <v>371</v>
      </c>
      <c r="D80" s="1040">
        <v>7</v>
      </c>
      <c r="E80" s="1041"/>
      <c r="F80" s="1041"/>
      <c r="G80" s="1041"/>
      <c r="H80" s="1041"/>
      <c r="I80" s="1041"/>
      <c r="J80" s="1041"/>
      <c r="K80" s="1041"/>
      <c r="L80" s="1041"/>
      <c r="M80" s="1041"/>
      <c r="N80" s="1041"/>
      <c r="O80" s="1041"/>
      <c r="P80" s="1041"/>
      <c r="Q80" s="1042"/>
    </row>
    <row r="83" spans="5:17" ht="13.6" x14ac:dyDescent="0.25">
      <c r="E83" s="669">
        <f>E28/(365*24*E6)*1000</f>
        <v>22.177805027590434</v>
      </c>
      <c r="F83" s="669">
        <f t="shared" ref="F83:P83" si="7">F28/(365*24*F6)*1000</f>
        <v>41.54612086848293</v>
      </c>
      <c r="G83" s="669">
        <f t="shared" si="7"/>
        <v>51.681177191906812</v>
      </c>
      <c r="H83" s="669">
        <f t="shared" si="7"/>
        <v>44.657723689669481</v>
      </c>
      <c r="I83" s="669">
        <f t="shared" si="7"/>
        <v>37.645611274053941</v>
      </c>
      <c r="J83" s="669">
        <f t="shared" si="7"/>
        <v>57.913151707924222</v>
      </c>
      <c r="K83" s="669">
        <f t="shared" si="7"/>
        <v>45.671040858932308</v>
      </c>
      <c r="L83" s="669">
        <f t="shared" si="7"/>
        <v>50.753447324875907</v>
      </c>
      <c r="M83" s="669">
        <f t="shared" si="7"/>
        <v>46.69399467103915</v>
      </c>
      <c r="N83" s="669">
        <f t="shared" si="7"/>
        <v>53.309647688419808</v>
      </c>
      <c r="O83" s="669">
        <f t="shared" si="7"/>
        <v>39.204755072760818</v>
      </c>
      <c r="P83" s="669">
        <f t="shared" si="7"/>
        <v>48.640575300788285</v>
      </c>
      <c r="Q83" s="670">
        <f>SUMPRODUCT(E83:P83,E6:P6)/SUM(E6:P6)</f>
        <v>44.935837373202446</v>
      </c>
    </row>
  </sheetData>
  <dataValidations count="1">
    <dataValidation type="list" allowBlank="1" showInputMessage="1" showErrorMessage="1" sqref="C78" xr:uid="{B8384D48-44EC-4A02-96E3-9B2278BD75F2}">
      <formula1>"л/час,гр/тнкм"</formula1>
      <formula2>0</formula2>
    </dataValidation>
  </dataValidations>
  <printOptions horizontalCentered="1"/>
  <pageMargins left="0.35416666666666702" right="0.31527777777777799" top="0.31527777777777799" bottom="0.39374999999999999" header="0.511811023622047" footer="0.15763888888888899"/>
  <pageSetup paperSize="9" scale="64" orientation="landscape" horizontalDpi="300" verticalDpi="300" r:id="rId1"/>
  <headerFooter>
    <oddFooter>&amp;R&amp;"Arial Cyr,Regular"&amp;12 &amp;A,  стр.&amp;P из &amp;N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8BFD-6095-40BE-96A0-0E9E0AC05224}">
  <sheetPr>
    <tabColor theme="9" tint="0.59999389629810485"/>
  </sheetPr>
  <dimension ref="B2:T64"/>
  <sheetViews>
    <sheetView showGridLines="0" zoomScale="85" zoomScaleNormal="85" zoomScaleSheetLayoutView="85" workbookViewId="0">
      <pane xSplit="5" ySplit="4" topLeftCell="F5" activePane="bottomRight" state="frozen"/>
      <selection activeCell="U28" sqref="U28"/>
      <selection pane="topRight" activeCell="U28" sqref="U28"/>
      <selection pane="bottomLeft" activeCell="U28" sqref="U28"/>
      <selection pane="bottomRight" activeCell="U28" sqref="U28"/>
    </sheetView>
  </sheetViews>
  <sheetFormatPr defaultColWidth="9.125" defaultRowHeight="12.9" x14ac:dyDescent="0.2"/>
  <cols>
    <col min="1" max="1" width="5.625" style="1043" customWidth="1"/>
    <col min="2" max="2" width="34.75" style="1043" customWidth="1"/>
    <col min="3" max="3" width="13.875" style="1043" customWidth="1"/>
    <col min="4" max="4" width="14.75" style="1043" customWidth="1"/>
    <col min="5" max="5" width="14" style="1043" customWidth="1"/>
    <col min="6" max="6" width="9.25" style="1043" customWidth="1"/>
    <col min="7" max="18" width="11.125" style="1043" customWidth="1"/>
    <col min="19" max="19" width="5.625" style="1043" customWidth="1"/>
    <col min="20" max="16384" width="9.125" style="1043"/>
  </cols>
  <sheetData>
    <row r="2" spans="2:20" ht="12.75" customHeight="1" x14ac:dyDescent="0.2">
      <c r="B2" s="963" t="s">
        <v>327</v>
      </c>
    </row>
    <row r="3" spans="2:20" ht="13.6" customHeight="1" thickBot="1" x14ac:dyDescent="0.25"/>
    <row r="4" spans="2:20" ht="21.75" customHeight="1" thickBot="1" x14ac:dyDescent="0.3">
      <c r="B4" s="1044" t="s">
        <v>373</v>
      </c>
      <c r="C4" s="1045" t="s">
        <v>7</v>
      </c>
      <c r="D4" s="1046"/>
      <c r="E4" s="1047"/>
      <c r="F4" s="1048"/>
      <c r="G4" s="1049">
        <f>E4+1</f>
        <v>1</v>
      </c>
      <c r="H4" s="1049">
        <f t="shared" ref="H4:R4" si="0">G4+1</f>
        <v>2</v>
      </c>
      <c r="I4" s="1049">
        <f t="shared" si="0"/>
        <v>3</v>
      </c>
      <c r="J4" s="1049">
        <f t="shared" si="0"/>
        <v>4</v>
      </c>
      <c r="K4" s="1049">
        <f t="shared" si="0"/>
        <v>5</v>
      </c>
      <c r="L4" s="1049">
        <f t="shared" si="0"/>
        <v>6</v>
      </c>
      <c r="M4" s="1049">
        <f t="shared" si="0"/>
        <v>7</v>
      </c>
      <c r="N4" s="1049">
        <f t="shared" si="0"/>
        <v>8</v>
      </c>
      <c r="O4" s="1049">
        <f t="shared" si="0"/>
        <v>9</v>
      </c>
      <c r="P4" s="1049">
        <f t="shared" si="0"/>
        <v>10</v>
      </c>
      <c r="Q4" s="1049">
        <f t="shared" si="0"/>
        <v>11</v>
      </c>
      <c r="R4" s="1049">
        <f t="shared" si="0"/>
        <v>12</v>
      </c>
    </row>
    <row r="5" spans="2:20" ht="12.75" customHeight="1" x14ac:dyDescent="0.2">
      <c r="B5" s="1050" t="s">
        <v>374</v>
      </c>
      <c r="C5" s="1051" t="s">
        <v>375</v>
      </c>
      <c r="D5" s="1052"/>
      <c r="E5" s="1053"/>
      <c r="F5" s="1054"/>
      <c r="G5" s="1055">
        <v>0</v>
      </c>
      <c r="H5" s="1055">
        <f t="shared" ref="H5:R5" si="1">G6+1</f>
        <v>7001</v>
      </c>
      <c r="I5" s="1055">
        <f t="shared" si="1"/>
        <v>14001</v>
      </c>
      <c r="J5" s="1055">
        <f t="shared" si="1"/>
        <v>21001</v>
      </c>
      <c r="K5" s="1055">
        <f t="shared" si="1"/>
        <v>28001</v>
      </c>
      <c r="L5" s="1055">
        <f t="shared" si="1"/>
        <v>35001</v>
      </c>
      <c r="M5" s="1055">
        <f t="shared" si="1"/>
        <v>42001</v>
      </c>
      <c r="N5" s="1055">
        <f t="shared" si="1"/>
        <v>49001</v>
      </c>
      <c r="O5" s="1055">
        <f t="shared" si="1"/>
        <v>56001</v>
      </c>
      <c r="P5" s="1055">
        <f t="shared" si="1"/>
        <v>63001</v>
      </c>
      <c r="Q5" s="1055">
        <f t="shared" si="1"/>
        <v>70001</v>
      </c>
      <c r="R5" s="1055">
        <f t="shared" si="1"/>
        <v>77001</v>
      </c>
    </row>
    <row r="6" spans="2:20" ht="12.75" customHeight="1" x14ac:dyDescent="0.2">
      <c r="B6" s="1056" t="s">
        <v>376</v>
      </c>
      <c r="C6" s="1057" t="s">
        <v>375</v>
      </c>
      <c r="D6" s="1058"/>
      <c r="E6" s="1059"/>
      <c r="F6" s="1060">
        <v>7000</v>
      </c>
      <c r="G6" s="1061">
        <f>F6</f>
        <v>7000</v>
      </c>
      <c r="H6" s="1061">
        <f t="shared" ref="H6:R6" si="2">G6+$F6</f>
        <v>14000</v>
      </c>
      <c r="I6" s="1061">
        <f t="shared" si="2"/>
        <v>21000</v>
      </c>
      <c r="J6" s="1061">
        <f t="shared" si="2"/>
        <v>28000</v>
      </c>
      <c r="K6" s="1061">
        <f t="shared" si="2"/>
        <v>35000</v>
      </c>
      <c r="L6" s="1061">
        <f t="shared" si="2"/>
        <v>42000</v>
      </c>
      <c r="M6" s="1061">
        <f t="shared" si="2"/>
        <v>49000</v>
      </c>
      <c r="N6" s="1061">
        <f t="shared" si="2"/>
        <v>56000</v>
      </c>
      <c r="O6" s="1061">
        <f t="shared" si="2"/>
        <v>63000</v>
      </c>
      <c r="P6" s="1061">
        <f t="shared" si="2"/>
        <v>70000</v>
      </c>
      <c r="Q6" s="1061">
        <f t="shared" si="2"/>
        <v>77000</v>
      </c>
      <c r="R6" s="1061">
        <f t="shared" si="2"/>
        <v>84000</v>
      </c>
    </row>
    <row r="7" spans="2:20" ht="21.75" customHeight="1" x14ac:dyDescent="0.2">
      <c r="B7" s="1062" t="s">
        <v>377</v>
      </c>
      <c r="C7" s="1063" t="s">
        <v>337</v>
      </c>
      <c r="D7" s="983"/>
      <c r="E7" s="1064"/>
      <c r="F7" s="1065"/>
      <c r="G7" s="1066">
        <f t="shared" ref="G7:R7" si="3">G13</f>
        <v>172</v>
      </c>
      <c r="H7" s="1066">
        <f t="shared" si="3"/>
        <v>196</v>
      </c>
      <c r="I7" s="1066">
        <f t="shared" si="3"/>
        <v>172</v>
      </c>
      <c r="J7" s="1066">
        <f t="shared" si="3"/>
        <v>196</v>
      </c>
      <c r="K7" s="1066">
        <f t="shared" si="3"/>
        <v>172</v>
      </c>
      <c r="L7" s="1066">
        <f t="shared" si="3"/>
        <v>196</v>
      </c>
      <c r="M7" s="1066">
        <f t="shared" si="3"/>
        <v>196</v>
      </c>
      <c r="N7" s="1066">
        <f t="shared" si="3"/>
        <v>172</v>
      </c>
      <c r="O7" s="1066">
        <f t="shared" si="3"/>
        <v>196</v>
      </c>
      <c r="P7" s="1066">
        <f t="shared" si="3"/>
        <v>172</v>
      </c>
      <c r="Q7" s="1066">
        <f t="shared" si="3"/>
        <v>196</v>
      </c>
      <c r="R7" s="1066">
        <f t="shared" si="3"/>
        <v>196</v>
      </c>
    </row>
    <row r="8" spans="2:20" ht="21.1" customHeight="1" x14ac:dyDescent="0.2">
      <c r="B8" s="1067" t="s">
        <v>378</v>
      </c>
      <c r="C8" s="1017" t="s">
        <v>379</v>
      </c>
      <c r="D8" s="1020"/>
      <c r="E8" s="1064"/>
      <c r="F8" s="1065"/>
      <c r="G8" s="1068">
        <f t="shared" ref="G8:R8" si="4">SUM(G9:G10)</f>
        <v>82160</v>
      </c>
      <c r="H8" s="1068">
        <f t="shared" si="4"/>
        <v>86500</v>
      </c>
      <c r="I8" s="1068">
        <f t="shared" si="4"/>
        <v>82160</v>
      </c>
      <c r="J8" s="1068">
        <f t="shared" si="4"/>
        <v>86500</v>
      </c>
      <c r="K8" s="1068">
        <f t="shared" si="4"/>
        <v>82160</v>
      </c>
      <c r="L8" s="1068">
        <f t="shared" si="4"/>
        <v>86500</v>
      </c>
      <c r="M8" s="1068">
        <f t="shared" si="4"/>
        <v>86500</v>
      </c>
      <c r="N8" s="1068">
        <f t="shared" si="4"/>
        <v>82160</v>
      </c>
      <c r="O8" s="1068">
        <f t="shared" si="4"/>
        <v>86500</v>
      </c>
      <c r="P8" s="1068">
        <f t="shared" si="4"/>
        <v>82160</v>
      </c>
      <c r="Q8" s="1068">
        <f t="shared" si="4"/>
        <v>86500</v>
      </c>
      <c r="R8" s="1068">
        <f t="shared" si="4"/>
        <v>86500</v>
      </c>
    </row>
    <row r="9" spans="2:20" ht="20.25" customHeight="1" x14ac:dyDescent="0.2">
      <c r="B9" s="1069" t="s">
        <v>380</v>
      </c>
      <c r="C9" s="1070" t="s">
        <v>379</v>
      </c>
      <c r="D9" s="1009"/>
      <c r="E9" s="1071"/>
      <c r="F9" s="1072"/>
      <c r="G9" s="1073">
        <f t="shared" ref="G9:R9" si="5">G22</f>
        <v>70120</v>
      </c>
      <c r="H9" s="1073">
        <f t="shared" si="5"/>
        <v>72780</v>
      </c>
      <c r="I9" s="1073">
        <f t="shared" si="5"/>
        <v>70120</v>
      </c>
      <c r="J9" s="1073">
        <f t="shared" si="5"/>
        <v>72780</v>
      </c>
      <c r="K9" s="1073">
        <f t="shared" si="5"/>
        <v>70120</v>
      </c>
      <c r="L9" s="1073">
        <f t="shared" si="5"/>
        <v>72780</v>
      </c>
      <c r="M9" s="1073">
        <f t="shared" si="5"/>
        <v>72780</v>
      </c>
      <c r="N9" s="1073">
        <f t="shared" si="5"/>
        <v>70120</v>
      </c>
      <c r="O9" s="1073">
        <f t="shared" si="5"/>
        <v>72780</v>
      </c>
      <c r="P9" s="1073">
        <f t="shared" si="5"/>
        <v>70120</v>
      </c>
      <c r="Q9" s="1073">
        <f t="shared" si="5"/>
        <v>72780</v>
      </c>
      <c r="R9" s="1073">
        <f t="shared" si="5"/>
        <v>72780</v>
      </c>
    </row>
    <row r="10" spans="2:20" ht="23.3" customHeight="1" thickBot="1" x14ac:dyDescent="0.25">
      <c r="B10" s="1074" t="s">
        <v>381</v>
      </c>
      <c r="C10" s="1075" t="s">
        <v>379</v>
      </c>
      <c r="D10" s="1012"/>
      <c r="E10" s="1076"/>
      <c r="F10" s="1077">
        <v>35</v>
      </c>
      <c r="G10" s="1078">
        <f t="shared" ref="G10:R10" si="6">SUMPRODUCT(G14:G19,$F$14:$F$19)*$F10</f>
        <v>12040</v>
      </c>
      <c r="H10" s="1078">
        <f t="shared" si="6"/>
        <v>13720</v>
      </c>
      <c r="I10" s="1078">
        <f t="shared" si="6"/>
        <v>12040</v>
      </c>
      <c r="J10" s="1078">
        <f t="shared" si="6"/>
        <v>13720</v>
      </c>
      <c r="K10" s="1078">
        <f t="shared" si="6"/>
        <v>12040</v>
      </c>
      <c r="L10" s="1078">
        <f t="shared" si="6"/>
        <v>13720</v>
      </c>
      <c r="M10" s="1078">
        <f t="shared" si="6"/>
        <v>13720</v>
      </c>
      <c r="N10" s="1078">
        <f t="shared" si="6"/>
        <v>12040</v>
      </c>
      <c r="O10" s="1078">
        <f t="shared" si="6"/>
        <v>13720</v>
      </c>
      <c r="P10" s="1078">
        <f t="shared" si="6"/>
        <v>12040</v>
      </c>
      <c r="Q10" s="1078">
        <f t="shared" si="6"/>
        <v>13720</v>
      </c>
      <c r="R10" s="1078">
        <f t="shared" si="6"/>
        <v>13720</v>
      </c>
    </row>
    <row r="11" spans="2:20" ht="13.6" customHeight="1" thickBot="1" x14ac:dyDescent="0.25"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</row>
    <row r="12" spans="2:20" ht="38.25" customHeight="1" x14ac:dyDescent="0.2">
      <c r="B12" s="1080" t="s">
        <v>382</v>
      </c>
      <c r="C12" s="1081" t="s">
        <v>383</v>
      </c>
      <c r="D12" s="1082" t="s">
        <v>384</v>
      </c>
      <c r="E12" s="1083" t="s">
        <v>385</v>
      </c>
      <c r="F12" s="1084" t="s">
        <v>386</v>
      </c>
      <c r="G12" s="1085" t="s">
        <v>387</v>
      </c>
      <c r="H12" s="1085" t="s">
        <v>387</v>
      </c>
      <c r="I12" s="1085" t="s">
        <v>387</v>
      </c>
      <c r="J12" s="1085" t="s">
        <v>387</v>
      </c>
      <c r="K12" s="1085" t="s">
        <v>387</v>
      </c>
      <c r="L12" s="1085" t="s">
        <v>387</v>
      </c>
      <c r="M12" s="1085" t="s">
        <v>387</v>
      </c>
      <c r="N12" s="1085" t="s">
        <v>387</v>
      </c>
      <c r="O12" s="1085" t="s">
        <v>387</v>
      </c>
      <c r="P12" s="1085" t="s">
        <v>387</v>
      </c>
      <c r="Q12" s="1085" t="s">
        <v>387</v>
      </c>
      <c r="R12" s="1085" t="s">
        <v>387</v>
      </c>
    </row>
    <row r="13" spans="2:20" ht="12.75" customHeight="1" x14ac:dyDescent="0.2">
      <c r="B13" s="1086" t="s">
        <v>393</v>
      </c>
      <c r="C13" s="1087"/>
      <c r="D13" s="1088"/>
      <c r="E13" s="1089"/>
      <c r="F13" s="1090"/>
      <c r="G13" s="1091">
        <f t="shared" ref="G13:R13" si="7">SUM(G14:G19)</f>
        <v>172</v>
      </c>
      <c r="H13" s="1091">
        <f t="shared" si="7"/>
        <v>196</v>
      </c>
      <c r="I13" s="1091">
        <f t="shared" si="7"/>
        <v>172</v>
      </c>
      <c r="J13" s="1091">
        <f t="shared" si="7"/>
        <v>196</v>
      </c>
      <c r="K13" s="1091">
        <f t="shared" si="7"/>
        <v>172</v>
      </c>
      <c r="L13" s="1091">
        <f t="shared" si="7"/>
        <v>196</v>
      </c>
      <c r="M13" s="1091">
        <f t="shared" si="7"/>
        <v>196</v>
      </c>
      <c r="N13" s="1091">
        <f t="shared" si="7"/>
        <v>172</v>
      </c>
      <c r="O13" s="1091">
        <f t="shared" si="7"/>
        <v>196</v>
      </c>
      <c r="P13" s="1091">
        <f t="shared" si="7"/>
        <v>172</v>
      </c>
      <c r="Q13" s="1091">
        <f t="shared" si="7"/>
        <v>196</v>
      </c>
      <c r="R13" s="1091">
        <f t="shared" si="7"/>
        <v>196</v>
      </c>
    </row>
    <row r="14" spans="2:20" ht="12.75" customHeight="1" x14ac:dyDescent="0.2">
      <c r="B14" s="1092" t="s">
        <v>394</v>
      </c>
      <c r="C14" s="1093">
        <v>500</v>
      </c>
      <c r="D14" s="1094">
        <v>4</v>
      </c>
      <c r="E14" s="1095">
        <f>$F$6/C14</f>
        <v>14</v>
      </c>
      <c r="F14" s="1096">
        <v>2</v>
      </c>
      <c r="G14" s="1094">
        <f t="shared" ref="G14:R18" si="8">$E14*$D14</f>
        <v>56</v>
      </c>
      <c r="H14" s="1094">
        <f t="shared" si="8"/>
        <v>56</v>
      </c>
      <c r="I14" s="1094">
        <f t="shared" si="8"/>
        <v>56</v>
      </c>
      <c r="J14" s="1094">
        <f t="shared" si="8"/>
        <v>56</v>
      </c>
      <c r="K14" s="1094">
        <f t="shared" si="8"/>
        <v>56</v>
      </c>
      <c r="L14" s="1094">
        <f t="shared" si="8"/>
        <v>56</v>
      </c>
      <c r="M14" s="1094">
        <f t="shared" si="8"/>
        <v>56</v>
      </c>
      <c r="N14" s="1094">
        <f t="shared" si="8"/>
        <v>56</v>
      </c>
      <c r="O14" s="1094">
        <f t="shared" si="8"/>
        <v>56</v>
      </c>
      <c r="P14" s="1094">
        <f t="shared" si="8"/>
        <v>56</v>
      </c>
      <c r="Q14" s="1094">
        <f t="shared" si="8"/>
        <v>56</v>
      </c>
      <c r="R14" s="1094">
        <f t="shared" si="8"/>
        <v>56</v>
      </c>
      <c r="T14" s="1043" t="s">
        <v>578</v>
      </c>
    </row>
    <row r="15" spans="2:20" ht="12.75" customHeight="1" x14ac:dyDescent="0.2">
      <c r="B15" s="1092" t="s">
        <v>395</v>
      </c>
      <c r="C15" s="1093">
        <v>1000</v>
      </c>
      <c r="D15" s="1094">
        <v>8</v>
      </c>
      <c r="E15" s="1095">
        <f>$F$6/C15</f>
        <v>7</v>
      </c>
      <c r="F15" s="1096">
        <v>2</v>
      </c>
      <c r="G15" s="1094">
        <f t="shared" si="8"/>
        <v>56</v>
      </c>
      <c r="H15" s="1094">
        <f t="shared" si="8"/>
        <v>56</v>
      </c>
      <c r="I15" s="1094">
        <f t="shared" si="8"/>
        <v>56</v>
      </c>
      <c r="J15" s="1094">
        <f t="shared" si="8"/>
        <v>56</v>
      </c>
      <c r="K15" s="1094">
        <f t="shared" si="8"/>
        <v>56</v>
      </c>
      <c r="L15" s="1094">
        <f t="shared" si="8"/>
        <v>56</v>
      </c>
      <c r="M15" s="1094">
        <f t="shared" si="8"/>
        <v>56</v>
      </c>
      <c r="N15" s="1094">
        <f t="shared" si="8"/>
        <v>56</v>
      </c>
      <c r="O15" s="1094">
        <f t="shared" si="8"/>
        <v>56</v>
      </c>
      <c r="P15" s="1094">
        <f t="shared" si="8"/>
        <v>56</v>
      </c>
      <c r="Q15" s="1094">
        <f t="shared" si="8"/>
        <v>56</v>
      </c>
      <c r="R15" s="1094">
        <f t="shared" si="8"/>
        <v>56</v>
      </c>
      <c r="T15" s="1043" t="s">
        <v>578</v>
      </c>
    </row>
    <row r="16" spans="2:20" ht="12.75" customHeight="1" x14ac:dyDescent="0.2">
      <c r="B16" s="1092" t="s">
        <v>396</v>
      </c>
      <c r="C16" s="1093">
        <v>2000</v>
      </c>
      <c r="D16" s="1094">
        <v>12</v>
      </c>
      <c r="E16" s="1095">
        <v>3</v>
      </c>
      <c r="F16" s="1096">
        <v>2</v>
      </c>
      <c r="G16" s="1094">
        <f t="shared" si="8"/>
        <v>36</v>
      </c>
      <c r="H16" s="1094">
        <f t="shared" si="8"/>
        <v>36</v>
      </c>
      <c r="I16" s="1094">
        <f t="shared" si="8"/>
        <v>36</v>
      </c>
      <c r="J16" s="1094">
        <f t="shared" si="8"/>
        <v>36</v>
      </c>
      <c r="K16" s="1094">
        <f t="shared" si="8"/>
        <v>36</v>
      </c>
      <c r="L16" s="1094">
        <f t="shared" si="8"/>
        <v>36</v>
      </c>
      <c r="M16" s="1094">
        <f t="shared" si="8"/>
        <v>36</v>
      </c>
      <c r="N16" s="1094">
        <f t="shared" si="8"/>
        <v>36</v>
      </c>
      <c r="O16" s="1094">
        <f t="shared" si="8"/>
        <v>36</v>
      </c>
      <c r="P16" s="1094">
        <f t="shared" si="8"/>
        <v>36</v>
      </c>
      <c r="Q16" s="1094">
        <f t="shared" si="8"/>
        <v>36</v>
      </c>
      <c r="R16" s="1094">
        <f t="shared" si="8"/>
        <v>36</v>
      </c>
      <c r="T16" s="1043" t="s">
        <v>578</v>
      </c>
    </row>
    <row r="17" spans="2:20" ht="12.75" customHeight="1" x14ac:dyDescent="0.2">
      <c r="B17" s="1092" t="s">
        <v>397</v>
      </c>
      <c r="C17" s="1093">
        <v>4000</v>
      </c>
      <c r="D17" s="1094">
        <v>12</v>
      </c>
      <c r="E17" s="1095">
        <v>1</v>
      </c>
      <c r="F17" s="1096">
        <v>2</v>
      </c>
      <c r="G17" s="1094">
        <f t="shared" si="8"/>
        <v>12</v>
      </c>
      <c r="H17" s="1094">
        <f t="shared" si="8"/>
        <v>12</v>
      </c>
      <c r="I17" s="1094">
        <f t="shared" si="8"/>
        <v>12</v>
      </c>
      <c r="J17" s="1094">
        <f t="shared" si="8"/>
        <v>12</v>
      </c>
      <c r="K17" s="1094">
        <f t="shared" si="8"/>
        <v>12</v>
      </c>
      <c r="L17" s="1094">
        <f t="shared" si="8"/>
        <v>12</v>
      </c>
      <c r="M17" s="1094">
        <f t="shared" si="8"/>
        <v>12</v>
      </c>
      <c r="N17" s="1094">
        <f t="shared" si="8"/>
        <v>12</v>
      </c>
      <c r="O17" s="1094">
        <f t="shared" si="8"/>
        <v>12</v>
      </c>
      <c r="P17" s="1094">
        <f t="shared" si="8"/>
        <v>12</v>
      </c>
      <c r="Q17" s="1094">
        <f t="shared" si="8"/>
        <v>12</v>
      </c>
      <c r="R17" s="1094">
        <f t="shared" si="8"/>
        <v>12</v>
      </c>
      <c r="T17" s="1043" t="s">
        <v>578</v>
      </c>
    </row>
    <row r="18" spans="2:20" ht="12.75" customHeight="1" x14ac:dyDescent="0.2">
      <c r="B18" s="1092" t="s">
        <v>399</v>
      </c>
      <c r="C18" s="1093">
        <v>6000</v>
      </c>
      <c r="D18" s="1094">
        <v>12</v>
      </c>
      <c r="E18" s="1095">
        <v>1</v>
      </c>
      <c r="F18" s="1096">
        <v>2</v>
      </c>
      <c r="G18" s="1094">
        <f t="shared" si="8"/>
        <v>12</v>
      </c>
      <c r="H18" s="1094">
        <f t="shared" si="8"/>
        <v>12</v>
      </c>
      <c r="I18" s="1094">
        <f t="shared" si="8"/>
        <v>12</v>
      </c>
      <c r="J18" s="1094">
        <f t="shared" si="8"/>
        <v>12</v>
      </c>
      <c r="K18" s="1094">
        <f t="shared" si="8"/>
        <v>12</v>
      </c>
      <c r="L18" s="1094">
        <f t="shared" si="8"/>
        <v>12</v>
      </c>
      <c r="M18" s="1094">
        <f t="shared" si="8"/>
        <v>12</v>
      </c>
      <c r="N18" s="1094">
        <f t="shared" si="8"/>
        <v>12</v>
      </c>
      <c r="O18" s="1094">
        <f t="shared" si="8"/>
        <v>12</v>
      </c>
      <c r="P18" s="1094">
        <f t="shared" si="8"/>
        <v>12</v>
      </c>
      <c r="Q18" s="1094">
        <f t="shared" si="8"/>
        <v>12</v>
      </c>
      <c r="R18" s="1094">
        <f t="shared" si="8"/>
        <v>12</v>
      </c>
      <c r="T18" s="1043" t="s">
        <v>578</v>
      </c>
    </row>
    <row r="19" spans="2:20" ht="13.6" customHeight="1" thickBot="1" x14ac:dyDescent="0.25">
      <c r="B19" s="1097" t="s">
        <v>401</v>
      </c>
      <c r="C19" s="1098">
        <v>12000</v>
      </c>
      <c r="D19" s="1099">
        <v>24</v>
      </c>
      <c r="E19" s="1100">
        <v>0</v>
      </c>
      <c r="F19" s="1101">
        <v>2</v>
      </c>
      <c r="G19" s="1099">
        <v>0</v>
      </c>
      <c r="H19" s="1099">
        <f>$D19</f>
        <v>24</v>
      </c>
      <c r="I19" s="1099">
        <v>0</v>
      </c>
      <c r="J19" s="1099">
        <f>$D19</f>
        <v>24</v>
      </c>
      <c r="K19" s="1099">
        <v>0</v>
      </c>
      <c r="L19" s="1099">
        <f>$D19</f>
        <v>24</v>
      </c>
      <c r="M19" s="1099">
        <f>$D19</f>
        <v>24</v>
      </c>
      <c r="N19" s="1099">
        <v>0</v>
      </c>
      <c r="O19" s="1099">
        <f>$D19</f>
        <v>24</v>
      </c>
      <c r="P19" s="1099">
        <v>0</v>
      </c>
      <c r="Q19" s="1099">
        <f>$D19</f>
        <v>24</v>
      </c>
      <c r="R19" s="1099">
        <f>$D19</f>
        <v>24</v>
      </c>
      <c r="T19" s="1043" t="s">
        <v>578</v>
      </c>
    </row>
    <row r="20" spans="2:20" ht="13.6" customHeight="1" thickBot="1" x14ac:dyDescent="0.25"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</row>
    <row r="21" spans="2:20" ht="25.5" customHeight="1" x14ac:dyDescent="0.2">
      <c r="B21" s="1080" t="s">
        <v>378</v>
      </c>
      <c r="C21" s="1102" t="s">
        <v>403</v>
      </c>
      <c r="D21" s="973" t="s">
        <v>404</v>
      </c>
      <c r="E21" s="1103" t="s">
        <v>405</v>
      </c>
      <c r="F21" s="1104" t="s">
        <v>385</v>
      </c>
      <c r="G21" s="1105" t="s">
        <v>579</v>
      </c>
      <c r="H21" s="1105" t="s">
        <v>579</v>
      </c>
      <c r="I21" s="1105" t="s">
        <v>579</v>
      </c>
      <c r="J21" s="1105" t="s">
        <v>579</v>
      </c>
      <c r="K21" s="1105" t="s">
        <v>579</v>
      </c>
      <c r="L21" s="1105" t="s">
        <v>579</v>
      </c>
      <c r="M21" s="1105" t="s">
        <v>579</v>
      </c>
      <c r="N21" s="1105" t="s">
        <v>579</v>
      </c>
      <c r="O21" s="1105" t="s">
        <v>579</v>
      </c>
      <c r="P21" s="1105" t="s">
        <v>579</v>
      </c>
      <c r="Q21" s="1105" t="s">
        <v>579</v>
      </c>
      <c r="R21" s="1105" t="s">
        <v>579</v>
      </c>
    </row>
    <row r="22" spans="2:20" ht="12.75" customHeight="1" x14ac:dyDescent="0.25">
      <c r="B22" s="1106" t="s">
        <v>354</v>
      </c>
      <c r="C22" s="1107"/>
      <c r="D22" s="1108"/>
      <c r="E22" s="1109"/>
      <c r="F22" s="1110"/>
      <c r="G22" s="1111">
        <f>SUM(G23:G64)</f>
        <v>70120</v>
      </c>
      <c r="H22" s="1111">
        <f t="shared" ref="H22:R22" si="9">SUM(H23:H64)</f>
        <v>72780</v>
      </c>
      <c r="I22" s="1111">
        <f t="shared" si="9"/>
        <v>70120</v>
      </c>
      <c r="J22" s="1111">
        <f t="shared" si="9"/>
        <v>72780</v>
      </c>
      <c r="K22" s="1111">
        <f t="shared" si="9"/>
        <v>70120</v>
      </c>
      <c r="L22" s="1111">
        <f t="shared" si="9"/>
        <v>72780</v>
      </c>
      <c r="M22" s="1111">
        <f t="shared" si="9"/>
        <v>72780</v>
      </c>
      <c r="N22" s="1111">
        <f t="shared" si="9"/>
        <v>70120</v>
      </c>
      <c r="O22" s="1111">
        <f t="shared" si="9"/>
        <v>72780</v>
      </c>
      <c r="P22" s="1111">
        <f t="shared" si="9"/>
        <v>70120</v>
      </c>
      <c r="Q22" s="1111">
        <f t="shared" si="9"/>
        <v>72780</v>
      </c>
      <c r="R22" s="1111">
        <f t="shared" si="9"/>
        <v>72780</v>
      </c>
    </row>
    <row r="23" spans="2:20" ht="12.75" customHeight="1" x14ac:dyDescent="0.2">
      <c r="B23" s="1112" t="s">
        <v>394</v>
      </c>
      <c r="C23" s="1113"/>
      <c r="D23" s="1114"/>
      <c r="E23" s="1115">
        <f>VLOOKUP($B23,$B$14:$C$19,2,FALSE())</f>
        <v>500</v>
      </c>
      <c r="F23" s="1060">
        <f>VLOOKUP($B23,$B$14:$E$19,4,FALSE())</f>
        <v>14</v>
      </c>
      <c r="G23" s="1061"/>
      <c r="H23" s="1061"/>
      <c r="I23" s="1061"/>
      <c r="J23" s="1061"/>
      <c r="K23" s="1061"/>
      <c r="L23" s="1061"/>
      <c r="M23" s="1061"/>
      <c r="N23" s="1061"/>
      <c r="O23" s="1061"/>
      <c r="P23" s="1061"/>
      <c r="Q23" s="1061"/>
      <c r="R23" s="1061"/>
    </row>
    <row r="24" spans="2:20" ht="12.75" customHeight="1" x14ac:dyDescent="0.2">
      <c r="B24" s="1116" t="s">
        <v>771</v>
      </c>
      <c r="C24" s="1117" t="s">
        <v>772</v>
      </c>
      <c r="D24" s="1118">
        <v>140</v>
      </c>
      <c r="E24" s="1119">
        <v>2</v>
      </c>
      <c r="F24" s="1072"/>
      <c r="G24" s="1120">
        <f t="shared" ref="G24:R29" si="10">IF(G$14=0,0,G$14/$D$14*$E24*$D24)</f>
        <v>3920</v>
      </c>
      <c r="H24" s="1120">
        <f t="shared" si="10"/>
        <v>3920</v>
      </c>
      <c r="I24" s="1120">
        <f t="shared" si="10"/>
        <v>3920</v>
      </c>
      <c r="J24" s="1120">
        <f t="shared" si="10"/>
        <v>3920</v>
      </c>
      <c r="K24" s="1120">
        <f t="shared" si="10"/>
        <v>3920</v>
      </c>
      <c r="L24" s="1120">
        <f t="shared" si="10"/>
        <v>3920</v>
      </c>
      <c r="M24" s="1120">
        <f t="shared" si="10"/>
        <v>3920</v>
      </c>
      <c r="N24" s="1120">
        <f t="shared" si="10"/>
        <v>3920</v>
      </c>
      <c r="O24" s="1120">
        <f t="shared" si="10"/>
        <v>3920</v>
      </c>
      <c r="P24" s="1120">
        <f t="shared" si="10"/>
        <v>3920</v>
      </c>
      <c r="Q24" s="1120">
        <f t="shared" si="10"/>
        <v>3920</v>
      </c>
      <c r="R24" s="1120">
        <f t="shared" si="10"/>
        <v>3920</v>
      </c>
    </row>
    <row r="25" spans="2:20" ht="12.75" customHeight="1" x14ac:dyDescent="0.2">
      <c r="B25" s="1116" t="s">
        <v>771</v>
      </c>
      <c r="C25" s="1117" t="s">
        <v>773</v>
      </c>
      <c r="D25" s="1118">
        <v>70</v>
      </c>
      <c r="E25" s="1119">
        <v>2</v>
      </c>
      <c r="F25" s="1072"/>
      <c r="G25" s="1120">
        <f t="shared" si="10"/>
        <v>1960</v>
      </c>
      <c r="H25" s="1120">
        <f t="shared" si="10"/>
        <v>1960</v>
      </c>
      <c r="I25" s="1120">
        <f t="shared" si="10"/>
        <v>1960</v>
      </c>
      <c r="J25" s="1120">
        <f t="shared" si="10"/>
        <v>1960</v>
      </c>
      <c r="K25" s="1120">
        <f t="shared" si="10"/>
        <v>1960</v>
      </c>
      <c r="L25" s="1120">
        <f t="shared" si="10"/>
        <v>1960</v>
      </c>
      <c r="M25" s="1120">
        <f t="shared" si="10"/>
        <v>1960</v>
      </c>
      <c r="N25" s="1120">
        <f t="shared" si="10"/>
        <v>1960</v>
      </c>
      <c r="O25" s="1120">
        <f t="shared" si="10"/>
        <v>1960</v>
      </c>
      <c r="P25" s="1120">
        <f t="shared" si="10"/>
        <v>1960</v>
      </c>
      <c r="Q25" s="1120">
        <f t="shared" si="10"/>
        <v>1960</v>
      </c>
      <c r="R25" s="1120">
        <f t="shared" si="10"/>
        <v>1960</v>
      </c>
    </row>
    <row r="26" spans="2:20" ht="12.75" customHeight="1" x14ac:dyDescent="0.2">
      <c r="B26" s="1116" t="s">
        <v>774</v>
      </c>
      <c r="C26" s="1117" t="s">
        <v>775</v>
      </c>
      <c r="D26" s="1118">
        <v>6</v>
      </c>
      <c r="E26" s="1119">
        <v>80</v>
      </c>
      <c r="F26" s="1072"/>
      <c r="G26" s="1120">
        <f t="shared" si="10"/>
        <v>6720</v>
      </c>
      <c r="H26" s="1120">
        <f t="shared" si="10"/>
        <v>6720</v>
      </c>
      <c r="I26" s="1120">
        <f t="shared" si="10"/>
        <v>6720</v>
      </c>
      <c r="J26" s="1120">
        <f t="shared" si="10"/>
        <v>6720</v>
      </c>
      <c r="K26" s="1120">
        <f t="shared" si="10"/>
        <v>6720</v>
      </c>
      <c r="L26" s="1120">
        <f t="shared" si="10"/>
        <v>6720</v>
      </c>
      <c r="M26" s="1120">
        <f t="shared" si="10"/>
        <v>6720</v>
      </c>
      <c r="N26" s="1120">
        <f t="shared" si="10"/>
        <v>6720</v>
      </c>
      <c r="O26" s="1120">
        <f t="shared" si="10"/>
        <v>6720</v>
      </c>
      <c r="P26" s="1120">
        <f t="shared" si="10"/>
        <v>6720</v>
      </c>
      <c r="Q26" s="1120">
        <f t="shared" si="10"/>
        <v>6720</v>
      </c>
      <c r="R26" s="1120">
        <f t="shared" si="10"/>
        <v>6720</v>
      </c>
    </row>
    <row r="27" spans="2:20" ht="12.75" customHeight="1" x14ac:dyDescent="0.2">
      <c r="B27" s="1116" t="s">
        <v>774</v>
      </c>
      <c r="C27" s="1117" t="s">
        <v>776</v>
      </c>
      <c r="D27" s="1118">
        <v>6</v>
      </c>
      <c r="E27" s="1119">
        <v>80</v>
      </c>
      <c r="F27" s="1072"/>
      <c r="G27" s="1120">
        <f t="shared" si="10"/>
        <v>6720</v>
      </c>
      <c r="H27" s="1120">
        <f t="shared" si="10"/>
        <v>6720</v>
      </c>
      <c r="I27" s="1120">
        <f t="shared" si="10"/>
        <v>6720</v>
      </c>
      <c r="J27" s="1120">
        <f t="shared" si="10"/>
        <v>6720</v>
      </c>
      <c r="K27" s="1120">
        <f t="shared" si="10"/>
        <v>6720</v>
      </c>
      <c r="L27" s="1120">
        <f t="shared" si="10"/>
        <v>6720</v>
      </c>
      <c r="M27" s="1120">
        <f t="shared" si="10"/>
        <v>6720</v>
      </c>
      <c r="N27" s="1120">
        <f t="shared" si="10"/>
        <v>6720</v>
      </c>
      <c r="O27" s="1120">
        <f t="shared" si="10"/>
        <v>6720</v>
      </c>
      <c r="P27" s="1120">
        <f t="shared" si="10"/>
        <v>6720</v>
      </c>
      <c r="Q27" s="1120">
        <f t="shared" si="10"/>
        <v>6720</v>
      </c>
      <c r="R27" s="1120">
        <f t="shared" si="10"/>
        <v>6720</v>
      </c>
    </row>
    <row r="28" spans="2:20" ht="12.75" customHeight="1" x14ac:dyDescent="0.2">
      <c r="B28" s="1116" t="s">
        <v>777</v>
      </c>
      <c r="C28" s="1117" t="s">
        <v>778</v>
      </c>
      <c r="D28" s="1118">
        <v>8</v>
      </c>
      <c r="E28" s="1119">
        <v>80</v>
      </c>
      <c r="F28" s="1072"/>
      <c r="G28" s="1120">
        <f t="shared" si="10"/>
        <v>8960</v>
      </c>
      <c r="H28" s="1120">
        <f t="shared" si="10"/>
        <v>8960</v>
      </c>
      <c r="I28" s="1120">
        <f t="shared" si="10"/>
        <v>8960</v>
      </c>
      <c r="J28" s="1120">
        <f t="shared" si="10"/>
        <v>8960</v>
      </c>
      <c r="K28" s="1120">
        <f t="shared" si="10"/>
        <v>8960</v>
      </c>
      <c r="L28" s="1120">
        <f t="shared" si="10"/>
        <v>8960</v>
      </c>
      <c r="M28" s="1120">
        <f t="shared" si="10"/>
        <v>8960</v>
      </c>
      <c r="N28" s="1120">
        <f t="shared" si="10"/>
        <v>8960</v>
      </c>
      <c r="O28" s="1120">
        <f t="shared" si="10"/>
        <v>8960</v>
      </c>
      <c r="P28" s="1120">
        <f t="shared" si="10"/>
        <v>8960</v>
      </c>
      <c r="Q28" s="1120">
        <f t="shared" si="10"/>
        <v>8960</v>
      </c>
      <c r="R28" s="1120">
        <f t="shared" si="10"/>
        <v>8960</v>
      </c>
    </row>
    <row r="29" spans="2:20" ht="12.75" customHeight="1" x14ac:dyDescent="0.2">
      <c r="B29" s="1116" t="s">
        <v>777</v>
      </c>
      <c r="C29" s="1117" t="s">
        <v>779</v>
      </c>
      <c r="D29" s="1118">
        <v>8</v>
      </c>
      <c r="E29" s="1119">
        <v>80</v>
      </c>
      <c r="F29" s="1072"/>
      <c r="G29" s="1120">
        <f t="shared" si="10"/>
        <v>8960</v>
      </c>
      <c r="H29" s="1120">
        <f t="shared" si="10"/>
        <v>8960</v>
      </c>
      <c r="I29" s="1120">
        <f t="shared" si="10"/>
        <v>8960</v>
      </c>
      <c r="J29" s="1120">
        <f t="shared" si="10"/>
        <v>8960</v>
      </c>
      <c r="K29" s="1120">
        <f t="shared" si="10"/>
        <v>8960</v>
      </c>
      <c r="L29" s="1120">
        <f t="shared" si="10"/>
        <v>8960</v>
      </c>
      <c r="M29" s="1120">
        <f t="shared" si="10"/>
        <v>8960</v>
      </c>
      <c r="N29" s="1120">
        <f t="shared" si="10"/>
        <v>8960</v>
      </c>
      <c r="O29" s="1120">
        <f t="shared" si="10"/>
        <v>8960</v>
      </c>
      <c r="P29" s="1120">
        <f t="shared" si="10"/>
        <v>8960</v>
      </c>
      <c r="Q29" s="1120">
        <f t="shared" si="10"/>
        <v>8960</v>
      </c>
      <c r="R29" s="1120">
        <f t="shared" si="10"/>
        <v>8960</v>
      </c>
    </row>
    <row r="30" spans="2:20" ht="12.75" customHeight="1" x14ac:dyDescent="0.2">
      <c r="B30" s="1112" t="s">
        <v>395</v>
      </c>
      <c r="C30" s="1113"/>
      <c r="D30" s="1114"/>
      <c r="E30" s="1115">
        <f>VLOOKUP($B30,$B$14:$C$19,2,FALSE())</f>
        <v>1000</v>
      </c>
      <c r="F30" s="1060">
        <f>VLOOKUP($B30,$B$14:$E$19,4,FALSE())</f>
        <v>7</v>
      </c>
      <c r="G30" s="1061"/>
      <c r="H30" s="1061"/>
      <c r="I30" s="1061"/>
      <c r="J30" s="1061"/>
      <c r="K30" s="1061"/>
      <c r="L30" s="1061"/>
      <c r="M30" s="1061"/>
      <c r="N30" s="1061"/>
      <c r="O30" s="1061"/>
      <c r="P30" s="1061"/>
      <c r="Q30" s="1061"/>
      <c r="R30" s="1061"/>
    </row>
    <row r="31" spans="2:20" ht="12.75" customHeight="1" x14ac:dyDescent="0.2">
      <c r="B31" s="1116" t="s">
        <v>771</v>
      </c>
      <c r="C31" s="1121" t="s">
        <v>772</v>
      </c>
      <c r="D31" s="1118">
        <v>140</v>
      </c>
      <c r="E31" s="1119">
        <v>2</v>
      </c>
      <c r="F31" s="1072"/>
      <c r="G31" s="1120">
        <f t="shared" ref="G31:R36" si="11">IF(G$15=0,0,G$15/$D$15*$E31*$D31)</f>
        <v>1960</v>
      </c>
      <c r="H31" s="1120">
        <f t="shared" si="11"/>
        <v>1960</v>
      </c>
      <c r="I31" s="1120">
        <f t="shared" si="11"/>
        <v>1960</v>
      </c>
      <c r="J31" s="1120">
        <f t="shared" si="11"/>
        <v>1960</v>
      </c>
      <c r="K31" s="1120">
        <f t="shared" si="11"/>
        <v>1960</v>
      </c>
      <c r="L31" s="1120">
        <f t="shared" si="11"/>
        <v>1960</v>
      </c>
      <c r="M31" s="1120">
        <f t="shared" si="11"/>
        <v>1960</v>
      </c>
      <c r="N31" s="1120">
        <f t="shared" si="11"/>
        <v>1960</v>
      </c>
      <c r="O31" s="1120">
        <f t="shared" si="11"/>
        <v>1960</v>
      </c>
      <c r="P31" s="1120">
        <f t="shared" si="11"/>
        <v>1960</v>
      </c>
      <c r="Q31" s="1120">
        <f t="shared" si="11"/>
        <v>1960</v>
      </c>
      <c r="R31" s="1120">
        <f t="shared" si="11"/>
        <v>1960</v>
      </c>
    </row>
    <row r="32" spans="2:20" ht="12.75" customHeight="1" x14ac:dyDescent="0.2">
      <c r="B32" s="1116" t="s">
        <v>771</v>
      </c>
      <c r="C32" s="1121" t="s">
        <v>773</v>
      </c>
      <c r="D32" s="1118">
        <v>70</v>
      </c>
      <c r="E32" s="1119">
        <v>2</v>
      </c>
      <c r="F32" s="1072"/>
      <c r="G32" s="1120">
        <f t="shared" si="11"/>
        <v>980</v>
      </c>
      <c r="H32" s="1120">
        <f t="shared" si="11"/>
        <v>980</v>
      </c>
      <c r="I32" s="1120">
        <f t="shared" si="11"/>
        <v>980</v>
      </c>
      <c r="J32" s="1120">
        <f t="shared" si="11"/>
        <v>980</v>
      </c>
      <c r="K32" s="1120">
        <f t="shared" si="11"/>
        <v>980</v>
      </c>
      <c r="L32" s="1120">
        <f t="shared" si="11"/>
        <v>980</v>
      </c>
      <c r="M32" s="1120">
        <f t="shared" si="11"/>
        <v>980</v>
      </c>
      <c r="N32" s="1120">
        <f t="shared" si="11"/>
        <v>980</v>
      </c>
      <c r="O32" s="1120">
        <f t="shared" si="11"/>
        <v>980</v>
      </c>
      <c r="P32" s="1120">
        <f t="shared" si="11"/>
        <v>980</v>
      </c>
      <c r="Q32" s="1120">
        <f t="shared" si="11"/>
        <v>980</v>
      </c>
      <c r="R32" s="1120">
        <f t="shared" si="11"/>
        <v>980</v>
      </c>
    </row>
    <row r="33" spans="2:18" ht="12.75" customHeight="1" x14ac:dyDescent="0.2">
      <c r="B33" s="1116" t="s">
        <v>774</v>
      </c>
      <c r="C33" s="1121" t="s">
        <v>775</v>
      </c>
      <c r="D33" s="1118">
        <v>6</v>
      </c>
      <c r="E33" s="1119">
        <v>80</v>
      </c>
      <c r="F33" s="1072"/>
      <c r="G33" s="1120">
        <f t="shared" si="11"/>
        <v>3360</v>
      </c>
      <c r="H33" s="1120">
        <f t="shared" si="11"/>
        <v>3360</v>
      </c>
      <c r="I33" s="1120">
        <f t="shared" si="11"/>
        <v>3360</v>
      </c>
      <c r="J33" s="1120">
        <f t="shared" si="11"/>
        <v>3360</v>
      </c>
      <c r="K33" s="1120">
        <f t="shared" si="11"/>
        <v>3360</v>
      </c>
      <c r="L33" s="1120">
        <f t="shared" si="11"/>
        <v>3360</v>
      </c>
      <c r="M33" s="1120">
        <f t="shared" si="11"/>
        <v>3360</v>
      </c>
      <c r="N33" s="1120">
        <f t="shared" si="11"/>
        <v>3360</v>
      </c>
      <c r="O33" s="1120">
        <f t="shared" si="11"/>
        <v>3360</v>
      </c>
      <c r="P33" s="1120">
        <f t="shared" si="11"/>
        <v>3360</v>
      </c>
      <c r="Q33" s="1120">
        <f t="shared" si="11"/>
        <v>3360</v>
      </c>
      <c r="R33" s="1120">
        <f t="shared" si="11"/>
        <v>3360</v>
      </c>
    </row>
    <row r="34" spans="2:18" ht="12.75" customHeight="1" x14ac:dyDescent="0.2">
      <c r="B34" s="1116" t="s">
        <v>774</v>
      </c>
      <c r="C34" s="1122" t="s">
        <v>776</v>
      </c>
      <c r="D34" s="1118">
        <v>6</v>
      </c>
      <c r="E34" s="1119">
        <v>80</v>
      </c>
      <c r="F34" s="1072"/>
      <c r="G34" s="1120">
        <f t="shared" si="11"/>
        <v>3360</v>
      </c>
      <c r="H34" s="1120">
        <f t="shared" si="11"/>
        <v>3360</v>
      </c>
      <c r="I34" s="1120">
        <f t="shared" si="11"/>
        <v>3360</v>
      </c>
      <c r="J34" s="1120">
        <f t="shared" si="11"/>
        <v>3360</v>
      </c>
      <c r="K34" s="1120">
        <f t="shared" si="11"/>
        <v>3360</v>
      </c>
      <c r="L34" s="1120">
        <f t="shared" si="11"/>
        <v>3360</v>
      </c>
      <c r="M34" s="1120">
        <f t="shared" si="11"/>
        <v>3360</v>
      </c>
      <c r="N34" s="1120">
        <f t="shared" si="11"/>
        <v>3360</v>
      </c>
      <c r="O34" s="1120">
        <f t="shared" si="11"/>
        <v>3360</v>
      </c>
      <c r="P34" s="1120">
        <f t="shared" si="11"/>
        <v>3360</v>
      </c>
      <c r="Q34" s="1120">
        <f t="shared" si="11"/>
        <v>3360</v>
      </c>
      <c r="R34" s="1120">
        <f t="shared" si="11"/>
        <v>3360</v>
      </c>
    </row>
    <row r="35" spans="2:18" ht="12.75" customHeight="1" x14ac:dyDescent="0.2">
      <c r="B35" s="1116" t="s">
        <v>777</v>
      </c>
      <c r="C35" s="1122" t="s">
        <v>778</v>
      </c>
      <c r="D35" s="1118">
        <v>8</v>
      </c>
      <c r="E35" s="1119">
        <v>80</v>
      </c>
      <c r="F35" s="1072"/>
      <c r="G35" s="1120">
        <f t="shared" si="11"/>
        <v>4480</v>
      </c>
      <c r="H35" s="1120">
        <f t="shared" si="11"/>
        <v>4480</v>
      </c>
      <c r="I35" s="1120">
        <f t="shared" si="11"/>
        <v>4480</v>
      </c>
      <c r="J35" s="1120">
        <f t="shared" si="11"/>
        <v>4480</v>
      </c>
      <c r="K35" s="1120">
        <f t="shared" si="11"/>
        <v>4480</v>
      </c>
      <c r="L35" s="1120">
        <f t="shared" si="11"/>
        <v>4480</v>
      </c>
      <c r="M35" s="1120">
        <f t="shared" si="11"/>
        <v>4480</v>
      </c>
      <c r="N35" s="1120">
        <f t="shared" si="11"/>
        <v>4480</v>
      </c>
      <c r="O35" s="1120">
        <f t="shared" si="11"/>
        <v>4480</v>
      </c>
      <c r="P35" s="1120">
        <f t="shared" si="11"/>
        <v>4480</v>
      </c>
      <c r="Q35" s="1120">
        <f t="shared" si="11"/>
        <v>4480</v>
      </c>
      <c r="R35" s="1120">
        <f t="shared" si="11"/>
        <v>4480</v>
      </c>
    </row>
    <row r="36" spans="2:18" ht="12.75" customHeight="1" x14ac:dyDescent="0.2">
      <c r="B36" s="1116" t="s">
        <v>777</v>
      </c>
      <c r="C36" s="1122" t="s">
        <v>779</v>
      </c>
      <c r="D36" s="1118">
        <v>8</v>
      </c>
      <c r="E36" s="1119">
        <v>80</v>
      </c>
      <c r="F36" s="1072"/>
      <c r="G36" s="1120">
        <f t="shared" si="11"/>
        <v>4480</v>
      </c>
      <c r="H36" s="1120">
        <f t="shared" si="11"/>
        <v>4480</v>
      </c>
      <c r="I36" s="1120">
        <f t="shared" si="11"/>
        <v>4480</v>
      </c>
      <c r="J36" s="1120">
        <f t="shared" si="11"/>
        <v>4480</v>
      </c>
      <c r="K36" s="1120">
        <f t="shared" si="11"/>
        <v>4480</v>
      </c>
      <c r="L36" s="1120">
        <f t="shared" si="11"/>
        <v>4480</v>
      </c>
      <c r="M36" s="1120">
        <f t="shared" si="11"/>
        <v>4480</v>
      </c>
      <c r="N36" s="1120">
        <f t="shared" si="11"/>
        <v>4480</v>
      </c>
      <c r="O36" s="1120">
        <f t="shared" si="11"/>
        <v>4480</v>
      </c>
      <c r="P36" s="1120">
        <f t="shared" si="11"/>
        <v>4480</v>
      </c>
      <c r="Q36" s="1120">
        <f t="shared" si="11"/>
        <v>4480</v>
      </c>
      <c r="R36" s="1120">
        <f t="shared" si="11"/>
        <v>4480</v>
      </c>
    </row>
    <row r="37" spans="2:18" ht="12.75" customHeight="1" x14ac:dyDescent="0.2">
      <c r="B37" s="1112" t="s">
        <v>396</v>
      </c>
      <c r="C37" s="1113"/>
      <c r="D37" s="1114"/>
      <c r="E37" s="1115">
        <f>VLOOKUP($B37,$B$14:$C$19,2,FALSE())</f>
        <v>2000</v>
      </c>
      <c r="F37" s="1060">
        <f>VLOOKUP($B37,$B$14:$E$19,4,FALSE())</f>
        <v>3</v>
      </c>
      <c r="G37" s="1061"/>
      <c r="H37" s="1061"/>
      <c r="I37" s="1061"/>
      <c r="J37" s="1061"/>
      <c r="K37" s="1061"/>
      <c r="L37" s="1061"/>
      <c r="M37" s="1061"/>
      <c r="N37" s="1061"/>
      <c r="O37" s="1061"/>
      <c r="P37" s="1061"/>
      <c r="Q37" s="1061"/>
      <c r="R37" s="1061"/>
    </row>
    <row r="38" spans="2:18" ht="12.75" customHeight="1" x14ac:dyDescent="0.2">
      <c r="B38" s="1116" t="s">
        <v>771</v>
      </c>
      <c r="C38" s="1121" t="s">
        <v>772</v>
      </c>
      <c r="D38" s="1118">
        <v>140</v>
      </c>
      <c r="E38" s="1119">
        <v>2</v>
      </c>
      <c r="F38" s="1072"/>
      <c r="G38" s="1120">
        <f t="shared" ref="G38:R43" si="12">IF(G$16=0,0,G$16/$D$16*$E38*$D38)</f>
        <v>840</v>
      </c>
      <c r="H38" s="1120">
        <f t="shared" si="12"/>
        <v>840</v>
      </c>
      <c r="I38" s="1120">
        <f t="shared" si="12"/>
        <v>840</v>
      </c>
      <c r="J38" s="1120">
        <f t="shared" si="12"/>
        <v>840</v>
      </c>
      <c r="K38" s="1120">
        <f t="shared" si="12"/>
        <v>840</v>
      </c>
      <c r="L38" s="1120">
        <f t="shared" si="12"/>
        <v>840</v>
      </c>
      <c r="M38" s="1120">
        <f t="shared" si="12"/>
        <v>840</v>
      </c>
      <c r="N38" s="1120">
        <f t="shared" si="12"/>
        <v>840</v>
      </c>
      <c r="O38" s="1120">
        <f t="shared" si="12"/>
        <v>840</v>
      </c>
      <c r="P38" s="1120">
        <f t="shared" si="12"/>
        <v>840</v>
      </c>
      <c r="Q38" s="1120">
        <f t="shared" si="12"/>
        <v>840</v>
      </c>
      <c r="R38" s="1120">
        <f t="shared" si="12"/>
        <v>840</v>
      </c>
    </row>
    <row r="39" spans="2:18" ht="12.75" customHeight="1" x14ac:dyDescent="0.2">
      <c r="B39" s="1116" t="s">
        <v>771</v>
      </c>
      <c r="C39" s="1121" t="s">
        <v>773</v>
      </c>
      <c r="D39" s="1118">
        <v>70</v>
      </c>
      <c r="E39" s="1119">
        <v>2</v>
      </c>
      <c r="F39" s="1072"/>
      <c r="G39" s="1120">
        <f t="shared" si="12"/>
        <v>420</v>
      </c>
      <c r="H39" s="1120">
        <f t="shared" si="12"/>
        <v>420</v>
      </c>
      <c r="I39" s="1120">
        <f t="shared" si="12"/>
        <v>420</v>
      </c>
      <c r="J39" s="1120">
        <f t="shared" si="12"/>
        <v>420</v>
      </c>
      <c r="K39" s="1120">
        <f t="shared" si="12"/>
        <v>420</v>
      </c>
      <c r="L39" s="1120">
        <f t="shared" si="12"/>
        <v>420</v>
      </c>
      <c r="M39" s="1120">
        <f t="shared" si="12"/>
        <v>420</v>
      </c>
      <c r="N39" s="1120">
        <f t="shared" si="12"/>
        <v>420</v>
      </c>
      <c r="O39" s="1120">
        <f t="shared" si="12"/>
        <v>420</v>
      </c>
      <c r="P39" s="1120">
        <f t="shared" si="12"/>
        <v>420</v>
      </c>
      <c r="Q39" s="1120">
        <f t="shared" si="12"/>
        <v>420</v>
      </c>
      <c r="R39" s="1120">
        <f t="shared" si="12"/>
        <v>420</v>
      </c>
    </row>
    <row r="40" spans="2:18" ht="12.75" customHeight="1" x14ac:dyDescent="0.2">
      <c r="B40" s="1116" t="s">
        <v>774</v>
      </c>
      <c r="C40" s="1121" t="s">
        <v>775</v>
      </c>
      <c r="D40" s="1118">
        <v>7</v>
      </c>
      <c r="E40" s="1119">
        <v>80</v>
      </c>
      <c r="F40" s="1072"/>
      <c r="G40" s="1120">
        <f t="shared" si="12"/>
        <v>1680</v>
      </c>
      <c r="H40" s="1120">
        <f t="shared" si="12"/>
        <v>1680</v>
      </c>
      <c r="I40" s="1120">
        <f t="shared" si="12"/>
        <v>1680</v>
      </c>
      <c r="J40" s="1120">
        <f t="shared" si="12"/>
        <v>1680</v>
      </c>
      <c r="K40" s="1120">
        <f t="shared" si="12"/>
        <v>1680</v>
      </c>
      <c r="L40" s="1120">
        <f t="shared" si="12"/>
        <v>1680</v>
      </c>
      <c r="M40" s="1120">
        <f t="shared" si="12"/>
        <v>1680</v>
      </c>
      <c r="N40" s="1120">
        <f t="shared" si="12"/>
        <v>1680</v>
      </c>
      <c r="O40" s="1120">
        <f t="shared" si="12"/>
        <v>1680</v>
      </c>
      <c r="P40" s="1120">
        <f t="shared" si="12"/>
        <v>1680</v>
      </c>
      <c r="Q40" s="1120">
        <f t="shared" si="12"/>
        <v>1680</v>
      </c>
      <c r="R40" s="1120">
        <f t="shared" si="12"/>
        <v>1680</v>
      </c>
    </row>
    <row r="41" spans="2:18" ht="12.75" customHeight="1" x14ac:dyDescent="0.2">
      <c r="B41" s="1116" t="s">
        <v>774</v>
      </c>
      <c r="C41" s="1122" t="s">
        <v>776</v>
      </c>
      <c r="D41" s="1118">
        <v>7</v>
      </c>
      <c r="E41" s="1119">
        <v>80</v>
      </c>
      <c r="F41" s="1072"/>
      <c r="G41" s="1120">
        <f t="shared" si="12"/>
        <v>1680</v>
      </c>
      <c r="H41" s="1120">
        <f t="shared" si="12"/>
        <v>1680</v>
      </c>
      <c r="I41" s="1120">
        <f t="shared" si="12"/>
        <v>1680</v>
      </c>
      <c r="J41" s="1120">
        <f t="shared" si="12"/>
        <v>1680</v>
      </c>
      <c r="K41" s="1120">
        <f t="shared" si="12"/>
        <v>1680</v>
      </c>
      <c r="L41" s="1120">
        <f t="shared" si="12"/>
        <v>1680</v>
      </c>
      <c r="M41" s="1120">
        <f t="shared" si="12"/>
        <v>1680</v>
      </c>
      <c r="N41" s="1120">
        <f t="shared" si="12"/>
        <v>1680</v>
      </c>
      <c r="O41" s="1120">
        <f t="shared" si="12"/>
        <v>1680</v>
      </c>
      <c r="P41" s="1120">
        <f t="shared" si="12"/>
        <v>1680</v>
      </c>
      <c r="Q41" s="1120">
        <f t="shared" si="12"/>
        <v>1680</v>
      </c>
      <c r="R41" s="1120">
        <f t="shared" si="12"/>
        <v>1680</v>
      </c>
    </row>
    <row r="42" spans="2:18" ht="12.75" customHeight="1" x14ac:dyDescent="0.2">
      <c r="B42" s="1116" t="s">
        <v>777</v>
      </c>
      <c r="C42" s="1122" t="s">
        <v>778</v>
      </c>
      <c r="D42" s="1118">
        <v>9</v>
      </c>
      <c r="E42" s="1119">
        <v>80</v>
      </c>
      <c r="F42" s="1072"/>
      <c r="G42" s="1120">
        <f t="shared" si="12"/>
        <v>2160</v>
      </c>
      <c r="H42" s="1120">
        <f t="shared" si="12"/>
        <v>2160</v>
      </c>
      <c r="I42" s="1120">
        <f t="shared" si="12"/>
        <v>2160</v>
      </c>
      <c r="J42" s="1120">
        <f t="shared" si="12"/>
        <v>2160</v>
      </c>
      <c r="K42" s="1120">
        <f t="shared" si="12"/>
        <v>2160</v>
      </c>
      <c r="L42" s="1120">
        <f t="shared" si="12"/>
        <v>2160</v>
      </c>
      <c r="M42" s="1120">
        <f t="shared" si="12"/>
        <v>2160</v>
      </c>
      <c r="N42" s="1120">
        <f t="shared" si="12"/>
        <v>2160</v>
      </c>
      <c r="O42" s="1120">
        <f t="shared" si="12"/>
        <v>2160</v>
      </c>
      <c r="P42" s="1120">
        <f t="shared" si="12"/>
        <v>2160</v>
      </c>
      <c r="Q42" s="1120">
        <f t="shared" si="12"/>
        <v>2160</v>
      </c>
      <c r="R42" s="1120">
        <f t="shared" si="12"/>
        <v>2160</v>
      </c>
    </row>
    <row r="43" spans="2:18" ht="12.75" customHeight="1" x14ac:dyDescent="0.2">
      <c r="B43" s="1116" t="s">
        <v>777</v>
      </c>
      <c r="C43" s="1122" t="s">
        <v>779</v>
      </c>
      <c r="D43" s="1118">
        <v>9</v>
      </c>
      <c r="E43" s="1119">
        <v>80</v>
      </c>
      <c r="F43" s="1072"/>
      <c r="G43" s="1120">
        <f t="shared" si="12"/>
        <v>2160</v>
      </c>
      <c r="H43" s="1120">
        <f t="shared" si="12"/>
        <v>2160</v>
      </c>
      <c r="I43" s="1120">
        <f t="shared" si="12"/>
        <v>2160</v>
      </c>
      <c r="J43" s="1120">
        <f t="shared" si="12"/>
        <v>2160</v>
      </c>
      <c r="K43" s="1120">
        <f t="shared" si="12"/>
        <v>2160</v>
      </c>
      <c r="L43" s="1120">
        <f t="shared" si="12"/>
        <v>2160</v>
      </c>
      <c r="M43" s="1120">
        <f t="shared" si="12"/>
        <v>2160</v>
      </c>
      <c r="N43" s="1120">
        <f t="shared" si="12"/>
        <v>2160</v>
      </c>
      <c r="O43" s="1120">
        <f t="shared" si="12"/>
        <v>2160</v>
      </c>
      <c r="P43" s="1120">
        <f t="shared" si="12"/>
        <v>2160</v>
      </c>
      <c r="Q43" s="1120">
        <f t="shared" si="12"/>
        <v>2160</v>
      </c>
      <c r="R43" s="1120">
        <f t="shared" si="12"/>
        <v>2160</v>
      </c>
    </row>
    <row r="44" spans="2:18" ht="12.75" customHeight="1" x14ac:dyDescent="0.2">
      <c r="B44" s="1112" t="s">
        <v>397</v>
      </c>
      <c r="C44" s="1113"/>
      <c r="D44" s="1114"/>
      <c r="E44" s="1115">
        <f>VLOOKUP($B44,$B$14:$C$19,2,FALSE())</f>
        <v>4000</v>
      </c>
      <c r="F44" s="1060">
        <f>VLOOKUP($B44,$B$14:$E$19,4,FALSE())</f>
        <v>1</v>
      </c>
      <c r="G44" s="1061"/>
      <c r="H44" s="1061"/>
      <c r="I44" s="1061"/>
      <c r="J44" s="1061"/>
      <c r="K44" s="1061"/>
      <c r="L44" s="1061"/>
      <c r="M44" s="1061"/>
      <c r="N44" s="1061"/>
      <c r="O44" s="1061"/>
      <c r="P44" s="1061"/>
      <c r="Q44" s="1061"/>
      <c r="R44" s="1061"/>
    </row>
    <row r="45" spans="2:18" ht="12.75" customHeight="1" x14ac:dyDescent="0.2">
      <c r="B45" s="1116" t="s">
        <v>771</v>
      </c>
      <c r="C45" s="1121" t="s">
        <v>772</v>
      </c>
      <c r="D45" s="1118">
        <v>140</v>
      </c>
      <c r="E45" s="1119">
        <v>2</v>
      </c>
      <c r="F45" s="1072"/>
      <c r="G45" s="1120">
        <f t="shared" ref="G45:R50" si="13">IF(G$17=0,0,G$17/$D$17*$E45*$D45)</f>
        <v>280</v>
      </c>
      <c r="H45" s="1120">
        <f t="shared" si="13"/>
        <v>280</v>
      </c>
      <c r="I45" s="1120">
        <f t="shared" si="13"/>
        <v>280</v>
      </c>
      <c r="J45" s="1120">
        <f t="shared" si="13"/>
        <v>280</v>
      </c>
      <c r="K45" s="1120">
        <f t="shared" si="13"/>
        <v>280</v>
      </c>
      <c r="L45" s="1120">
        <f t="shared" si="13"/>
        <v>280</v>
      </c>
      <c r="M45" s="1120">
        <f t="shared" si="13"/>
        <v>280</v>
      </c>
      <c r="N45" s="1120">
        <f t="shared" si="13"/>
        <v>280</v>
      </c>
      <c r="O45" s="1120">
        <f t="shared" si="13"/>
        <v>280</v>
      </c>
      <c r="P45" s="1120">
        <f t="shared" si="13"/>
        <v>280</v>
      </c>
      <c r="Q45" s="1120">
        <f t="shared" si="13"/>
        <v>280</v>
      </c>
      <c r="R45" s="1120">
        <f t="shared" si="13"/>
        <v>280</v>
      </c>
    </row>
    <row r="46" spans="2:18" ht="12.75" customHeight="1" x14ac:dyDescent="0.2">
      <c r="B46" s="1116" t="s">
        <v>771</v>
      </c>
      <c r="C46" s="1121" t="s">
        <v>773</v>
      </c>
      <c r="D46" s="1118">
        <v>70</v>
      </c>
      <c r="E46" s="1119">
        <v>2</v>
      </c>
      <c r="F46" s="1072"/>
      <c r="G46" s="1120">
        <f t="shared" si="13"/>
        <v>140</v>
      </c>
      <c r="H46" s="1120">
        <f t="shared" si="13"/>
        <v>140</v>
      </c>
      <c r="I46" s="1120">
        <f t="shared" si="13"/>
        <v>140</v>
      </c>
      <c r="J46" s="1120">
        <f t="shared" si="13"/>
        <v>140</v>
      </c>
      <c r="K46" s="1120">
        <f t="shared" si="13"/>
        <v>140</v>
      </c>
      <c r="L46" s="1120">
        <f t="shared" si="13"/>
        <v>140</v>
      </c>
      <c r="M46" s="1120">
        <f t="shared" si="13"/>
        <v>140</v>
      </c>
      <c r="N46" s="1120">
        <f t="shared" si="13"/>
        <v>140</v>
      </c>
      <c r="O46" s="1120">
        <f t="shared" si="13"/>
        <v>140</v>
      </c>
      <c r="P46" s="1120">
        <f t="shared" si="13"/>
        <v>140</v>
      </c>
      <c r="Q46" s="1120">
        <f t="shared" si="13"/>
        <v>140</v>
      </c>
      <c r="R46" s="1120">
        <f t="shared" si="13"/>
        <v>140</v>
      </c>
    </row>
    <row r="47" spans="2:18" ht="12.75" customHeight="1" x14ac:dyDescent="0.2">
      <c r="B47" s="1116" t="s">
        <v>774</v>
      </c>
      <c r="C47" s="1121" t="s">
        <v>775</v>
      </c>
      <c r="D47" s="1118">
        <v>6</v>
      </c>
      <c r="E47" s="1119">
        <v>80</v>
      </c>
      <c r="F47" s="1072"/>
      <c r="G47" s="1120">
        <f t="shared" si="13"/>
        <v>480</v>
      </c>
      <c r="H47" s="1120">
        <f t="shared" si="13"/>
        <v>480</v>
      </c>
      <c r="I47" s="1120">
        <f t="shared" si="13"/>
        <v>480</v>
      </c>
      <c r="J47" s="1120">
        <f t="shared" si="13"/>
        <v>480</v>
      </c>
      <c r="K47" s="1120">
        <f t="shared" si="13"/>
        <v>480</v>
      </c>
      <c r="L47" s="1120">
        <f t="shared" si="13"/>
        <v>480</v>
      </c>
      <c r="M47" s="1120">
        <f t="shared" si="13"/>
        <v>480</v>
      </c>
      <c r="N47" s="1120">
        <f t="shared" si="13"/>
        <v>480</v>
      </c>
      <c r="O47" s="1120">
        <f t="shared" si="13"/>
        <v>480</v>
      </c>
      <c r="P47" s="1120">
        <f t="shared" si="13"/>
        <v>480</v>
      </c>
      <c r="Q47" s="1120">
        <f t="shared" si="13"/>
        <v>480</v>
      </c>
      <c r="R47" s="1120">
        <f t="shared" si="13"/>
        <v>480</v>
      </c>
    </row>
    <row r="48" spans="2:18" ht="12.75" customHeight="1" x14ac:dyDescent="0.2">
      <c r="B48" s="1116" t="s">
        <v>774</v>
      </c>
      <c r="C48" s="1122" t="s">
        <v>776</v>
      </c>
      <c r="D48" s="1118">
        <v>6</v>
      </c>
      <c r="E48" s="1119">
        <v>80</v>
      </c>
      <c r="F48" s="1072"/>
      <c r="G48" s="1120">
        <f t="shared" si="13"/>
        <v>480</v>
      </c>
      <c r="H48" s="1120">
        <f t="shared" si="13"/>
        <v>480</v>
      </c>
      <c r="I48" s="1120">
        <f t="shared" si="13"/>
        <v>480</v>
      </c>
      <c r="J48" s="1120">
        <f t="shared" si="13"/>
        <v>480</v>
      </c>
      <c r="K48" s="1120">
        <f t="shared" si="13"/>
        <v>480</v>
      </c>
      <c r="L48" s="1120">
        <f t="shared" si="13"/>
        <v>480</v>
      </c>
      <c r="M48" s="1120">
        <f t="shared" si="13"/>
        <v>480</v>
      </c>
      <c r="N48" s="1120">
        <f t="shared" si="13"/>
        <v>480</v>
      </c>
      <c r="O48" s="1120">
        <f t="shared" si="13"/>
        <v>480</v>
      </c>
      <c r="P48" s="1120">
        <f t="shared" si="13"/>
        <v>480</v>
      </c>
      <c r="Q48" s="1120">
        <f t="shared" si="13"/>
        <v>480</v>
      </c>
      <c r="R48" s="1120">
        <f t="shared" si="13"/>
        <v>480</v>
      </c>
    </row>
    <row r="49" spans="2:18" ht="12.75" customHeight="1" x14ac:dyDescent="0.2">
      <c r="B49" s="1116" t="s">
        <v>777</v>
      </c>
      <c r="C49" s="1122" t="s">
        <v>778</v>
      </c>
      <c r="D49" s="1118">
        <v>8</v>
      </c>
      <c r="E49" s="1119">
        <v>80</v>
      </c>
      <c r="F49" s="1072"/>
      <c r="G49" s="1120">
        <f t="shared" si="13"/>
        <v>640</v>
      </c>
      <c r="H49" s="1120">
        <f t="shared" si="13"/>
        <v>640</v>
      </c>
      <c r="I49" s="1120">
        <f t="shared" si="13"/>
        <v>640</v>
      </c>
      <c r="J49" s="1120">
        <f t="shared" si="13"/>
        <v>640</v>
      </c>
      <c r="K49" s="1120">
        <f t="shared" si="13"/>
        <v>640</v>
      </c>
      <c r="L49" s="1120">
        <f t="shared" si="13"/>
        <v>640</v>
      </c>
      <c r="M49" s="1120">
        <f t="shared" si="13"/>
        <v>640</v>
      </c>
      <c r="N49" s="1120">
        <f t="shared" si="13"/>
        <v>640</v>
      </c>
      <c r="O49" s="1120">
        <f t="shared" si="13"/>
        <v>640</v>
      </c>
      <c r="P49" s="1120">
        <f t="shared" si="13"/>
        <v>640</v>
      </c>
      <c r="Q49" s="1120">
        <f t="shared" si="13"/>
        <v>640</v>
      </c>
      <c r="R49" s="1120">
        <f t="shared" si="13"/>
        <v>640</v>
      </c>
    </row>
    <row r="50" spans="2:18" ht="12.75" customHeight="1" x14ac:dyDescent="0.2">
      <c r="B50" s="1116" t="s">
        <v>777</v>
      </c>
      <c r="C50" s="1122" t="s">
        <v>779</v>
      </c>
      <c r="D50" s="1118">
        <v>8</v>
      </c>
      <c r="E50" s="1119">
        <v>80</v>
      </c>
      <c r="F50" s="1072"/>
      <c r="G50" s="1120">
        <f t="shared" si="13"/>
        <v>640</v>
      </c>
      <c r="H50" s="1120">
        <f t="shared" si="13"/>
        <v>640</v>
      </c>
      <c r="I50" s="1120">
        <f t="shared" si="13"/>
        <v>640</v>
      </c>
      <c r="J50" s="1120">
        <f t="shared" si="13"/>
        <v>640</v>
      </c>
      <c r="K50" s="1120">
        <f t="shared" si="13"/>
        <v>640</v>
      </c>
      <c r="L50" s="1120">
        <f t="shared" si="13"/>
        <v>640</v>
      </c>
      <c r="M50" s="1120">
        <f t="shared" si="13"/>
        <v>640</v>
      </c>
      <c r="N50" s="1120">
        <f t="shared" si="13"/>
        <v>640</v>
      </c>
      <c r="O50" s="1120">
        <f t="shared" si="13"/>
        <v>640</v>
      </c>
      <c r="P50" s="1120">
        <f t="shared" si="13"/>
        <v>640</v>
      </c>
      <c r="Q50" s="1120">
        <f t="shared" si="13"/>
        <v>640</v>
      </c>
      <c r="R50" s="1120">
        <f t="shared" si="13"/>
        <v>640</v>
      </c>
    </row>
    <row r="51" spans="2:18" ht="12.75" customHeight="1" x14ac:dyDescent="0.2">
      <c r="B51" s="1112" t="s">
        <v>399</v>
      </c>
      <c r="C51" s="1113"/>
      <c r="D51" s="1114"/>
      <c r="E51" s="1115">
        <f>VLOOKUP($B51,$B$14:$C$19,2,FALSE())</f>
        <v>6000</v>
      </c>
      <c r="F51" s="1060">
        <f>VLOOKUP($B51,$B$14:$E$19,4,FALSE())</f>
        <v>1</v>
      </c>
      <c r="G51" s="1061"/>
      <c r="H51" s="1061"/>
      <c r="I51" s="1061"/>
      <c r="J51" s="1061"/>
      <c r="K51" s="1061"/>
      <c r="L51" s="1061"/>
      <c r="M51" s="1061"/>
      <c r="N51" s="1061"/>
      <c r="O51" s="1061"/>
      <c r="P51" s="1061"/>
      <c r="Q51" s="1061"/>
      <c r="R51" s="1061"/>
    </row>
    <row r="52" spans="2:18" ht="12.75" customHeight="1" x14ac:dyDescent="0.2">
      <c r="B52" s="1116" t="s">
        <v>771</v>
      </c>
      <c r="C52" s="1121" t="s">
        <v>772</v>
      </c>
      <c r="D52" s="1118">
        <v>140</v>
      </c>
      <c r="E52" s="1119">
        <v>2</v>
      </c>
      <c r="F52" s="1072"/>
      <c r="G52" s="1120">
        <f t="shared" ref="G52:R57" si="14">IF(G$18=0,0,G$18/$D$18*$E52*$D52)</f>
        <v>280</v>
      </c>
      <c r="H52" s="1120">
        <f t="shared" si="14"/>
        <v>280</v>
      </c>
      <c r="I52" s="1120">
        <f t="shared" si="14"/>
        <v>280</v>
      </c>
      <c r="J52" s="1120">
        <f t="shared" si="14"/>
        <v>280</v>
      </c>
      <c r="K52" s="1120">
        <f t="shared" si="14"/>
        <v>280</v>
      </c>
      <c r="L52" s="1120">
        <f t="shared" si="14"/>
        <v>280</v>
      </c>
      <c r="M52" s="1120">
        <f t="shared" si="14"/>
        <v>280</v>
      </c>
      <c r="N52" s="1120">
        <f t="shared" si="14"/>
        <v>280</v>
      </c>
      <c r="O52" s="1120">
        <f t="shared" si="14"/>
        <v>280</v>
      </c>
      <c r="P52" s="1120">
        <f t="shared" si="14"/>
        <v>280</v>
      </c>
      <c r="Q52" s="1120">
        <f t="shared" si="14"/>
        <v>280</v>
      </c>
      <c r="R52" s="1120">
        <f t="shared" si="14"/>
        <v>280</v>
      </c>
    </row>
    <row r="53" spans="2:18" ht="12.75" customHeight="1" x14ac:dyDescent="0.2">
      <c r="B53" s="1116" t="s">
        <v>771</v>
      </c>
      <c r="C53" s="1121" t="s">
        <v>773</v>
      </c>
      <c r="D53" s="1118">
        <v>70</v>
      </c>
      <c r="E53" s="1119">
        <v>2</v>
      </c>
      <c r="F53" s="1072"/>
      <c r="G53" s="1120">
        <f t="shared" si="14"/>
        <v>140</v>
      </c>
      <c r="H53" s="1120">
        <f t="shared" si="14"/>
        <v>140</v>
      </c>
      <c r="I53" s="1120">
        <f t="shared" si="14"/>
        <v>140</v>
      </c>
      <c r="J53" s="1120">
        <f t="shared" si="14"/>
        <v>140</v>
      </c>
      <c r="K53" s="1120">
        <f t="shared" si="14"/>
        <v>140</v>
      </c>
      <c r="L53" s="1120">
        <f t="shared" si="14"/>
        <v>140</v>
      </c>
      <c r="M53" s="1120">
        <f t="shared" si="14"/>
        <v>140</v>
      </c>
      <c r="N53" s="1120">
        <f t="shared" si="14"/>
        <v>140</v>
      </c>
      <c r="O53" s="1120">
        <f t="shared" si="14"/>
        <v>140</v>
      </c>
      <c r="P53" s="1120">
        <f t="shared" si="14"/>
        <v>140</v>
      </c>
      <c r="Q53" s="1120">
        <f t="shared" si="14"/>
        <v>140</v>
      </c>
      <c r="R53" s="1120">
        <f t="shared" si="14"/>
        <v>140</v>
      </c>
    </row>
    <row r="54" spans="2:18" ht="12.75" customHeight="1" x14ac:dyDescent="0.2">
      <c r="B54" s="1116" t="s">
        <v>774</v>
      </c>
      <c r="C54" s="1121" t="s">
        <v>775</v>
      </c>
      <c r="D54" s="1118">
        <v>6</v>
      </c>
      <c r="E54" s="1119">
        <v>80</v>
      </c>
      <c r="F54" s="1072"/>
      <c r="G54" s="1120">
        <f t="shared" si="14"/>
        <v>480</v>
      </c>
      <c r="H54" s="1120">
        <f t="shared" si="14"/>
        <v>480</v>
      </c>
      <c r="I54" s="1120">
        <f t="shared" si="14"/>
        <v>480</v>
      </c>
      <c r="J54" s="1120">
        <f t="shared" si="14"/>
        <v>480</v>
      </c>
      <c r="K54" s="1120">
        <f t="shared" si="14"/>
        <v>480</v>
      </c>
      <c r="L54" s="1120">
        <f t="shared" si="14"/>
        <v>480</v>
      </c>
      <c r="M54" s="1120">
        <f t="shared" si="14"/>
        <v>480</v>
      </c>
      <c r="N54" s="1120">
        <f t="shared" si="14"/>
        <v>480</v>
      </c>
      <c r="O54" s="1120">
        <f t="shared" si="14"/>
        <v>480</v>
      </c>
      <c r="P54" s="1120">
        <f t="shared" si="14"/>
        <v>480</v>
      </c>
      <c r="Q54" s="1120">
        <f t="shared" si="14"/>
        <v>480</v>
      </c>
      <c r="R54" s="1120">
        <f t="shared" si="14"/>
        <v>480</v>
      </c>
    </row>
    <row r="55" spans="2:18" ht="12.75" customHeight="1" x14ac:dyDescent="0.2">
      <c r="B55" s="1116" t="s">
        <v>774</v>
      </c>
      <c r="C55" s="1122" t="s">
        <v>776</v>
      </c>
      <c r="D55" s="1118">
        <v>6</v>
      </c>
      <c r="E55" s="1119">
        <v>80</v>
      </c>
      <c r="F55" s="1072"/>
      <c r="G55" s="1120">
        <f t="shared" si="14"/>
        <v>480</v>
      </c>
      <c r="H55" s="1120">
        <f t="shared" si="14"/>
        <v>480</v>
      </c>
      <c r="I55" s="1120">
        <f t="shared" si="14"/>
        <v>480</v>
      </c>
      <c r="J55" s="1120">
        <f t="shared" si="14"/>
        <v>480</v>
      </c>
      <c r="K55" s="1120">
        <f t="shared" si="14"/>
        <v>480</v>
      </c>
      <c r="L55" s="1120">
        <f t="shared" si="14"/>
        <v>480</v>
      </c>
      <c r="M55" s="1120">
        <f t="shared" si="14"/>
        <v>480</v>
      </c>
      <c r="N55" s="1120">
        <f t="shared" si="14"/>
        <v>480</v>
      </c>
      <c r="O55" s="1120">
        <f t="shared" si="14"/>
        <v>480</v>
      </c>
      <c r="P55" s="1120">
        <f t="shared" si="14"/>
        <v>480</v>
      </c>
      <c r="Q55" s="1120">
        <f t="shared" si="14"/>
        <v>480</v>
      </c>
      <c r="R55" s="1120">
        <f t="shared" si="14"/>
        <v>480</v>
      </c>
    </row>
    <row r="56" spans="2:18" ht="12.75" customHeight="1" x14ac:dyDescent="0.2">
      <c r="B56" s="1116" t="s">
        <v>777</v>
      </c>
      <c r="C56" s="1122" t="s">
        <v>778</v>
      </c>
      <c r="D56" s="1118">
        <v>8</v>
      </c>
      <c r="E56" s="1119">
        <v>80</v>
      </c>
      <c r="F56" s="1072"/>
      <c r="G56" s="1120">
        <f t="shared" si="14"/>
        <v>640</v>
      </c>
      <c r="H56" s="1120">
        <f t="shared" si="14"/>
        <v>640</v>
      </c>
      <c r="I56" s="1120">
        <f t="shared" si="14"/>
        <v>640</v>
      </c>
      <c r="J56" s="1120">
        <f t="shared" si="14"/>
        <v>640</v>
      </c>
      <c r="K56" s="1120">
        <f t="shared" si="14"/>
        <v>640</v>
      </c>
      <c r="L56" s="1120">
        <f t="shared" si="14"/>
        <v>640</v>
      </c>
      <c r="M56" s="1120">
        <f t="shared" si="14"/>
        <v>640</v>
      </c>
      <c r="N56" s="1120">
        <f t="shared" si="14"/>
        <v>640</v>
      </c>
      <c r="O56" s="1120">
        <f t="shared" si="14"/>
        <v>640</v>
      </c>
      <c r="P56" s="1120">
        <f t="shared" si="14"/>
        <v>640</v>
      </c>
      <c r="Q56" s="1120">
        <f t="shared" si="14"/>
        <v>640</v>
      </c>
      <c r="R56" s="1120">
        <f t="shared" si="14"/>
        <v>640</v>
      </c>
    </row>
    <row r="57" spans="2:18" ht="12.75" customHeight="1" x14ac:dyDescent="0.2">
      <c r="B57" s="1116" t="s">
        <v>777</v>
      </c>
      <c r="C57" s="1122" t="s">
        <v>779</v>
      </c>
      <c r="D57" s="1118">
        <v>8</v>
      </c>
      <c r="E57" s="1119">
        <v>80</v>
      </c>
      <c r="F57" s="1072"/>
      <c r="G57" s="1120">
        <f t="shared" si="14"/>
        <v>640</v>
      </c>
      <c r="H57" s="1120">
        <f t="shared" si="14"/>
        <v>640</v>
      </c>
      <c r="I57" s="1120">
        <f t="shared" si="14"/>
        <v>640</v>
      </c>
      <c r="J57" s="1120">
        <f t="shared" si="14"/>
        <v>640</v>
      </c>
      <c r="K57" s="1120">
        <f t="shared" si="14"/>
        <v>640</v>
      </c>
      <c r="L57" s="1120">
        <f t="shared" si="14"/>
        <v>640</v>
      </c>
      <c r="M57" s="1120">
        <f t="shared" si="14"/>
        <v>640</v>
      </c>
      <c r="N57" s="1120">
        <f t="shared" si="14"/>
        <v>640</v>
      </c>
      <c r="O57" s="1120">
        <f t="shared" si="14"/>
        <v>640</v>
      </c>
      <c r="P57" s="1120">
        <f t="shared" si="14"/>
        <v>640</v>
      </c>
      <c r="Q57" s="1120">
        <f t="shared" si="14"/>
        <v>640</v>
      </c>
      <c r="R57" s="1120">
        <f t="shared" si="14"/>
        <v>640</v>
      </c>
    </row>
    <row r="58" spans="2:18" ht="12.75" customHeight="1" x14ac:dyDescent="0.2">
      <c r="B58" s="1112" t="s">
        <v>401</v>
      </c>
      <c r="C58" s="1113"/>
      <c r="D58" s="1114"/>
      <c r="E58" s="1115">
        <f>VLOOKUP($B58,$B$14:$C$19,2,FALSE())</f>
        <v>12000</v>
      </c>
      <c r="F58" s="1072"/>
      <c r="G58" s="1061"/>
      <c r="H58" s="1061"/>
      <c r="I58" s="1058"/>
      <c r="J58" s="1061"/>
      <c r="K58" s="1058"/>
      <c r="L58" s="1061"/>
      <c r="M58" s="1058"/>
      <c r="N58" s="1061"/>
      <c r="O58" s="1058"/>
      <c r="P58" s="1061"/>
      <c r="Q58" s="1058"/>
      <c r="R58" s="1061"/>
    </row>
    <row r="59" spans="2:18" ht="12.75" customHeight="1" x14ac:dyDescent="0.2">
      <c r="B59" s="1116" t="s">
        <v>771</v>
      </c>
      <c r="C59" s="1121" t="s">
        <v>772</v>
      </c>
      <c r="D59" s="1118">
        <v>140</v>
      </c>
      <c r="E59" s="1119">
        <v>2</v>
      </c>
      <c r="F59" s="1123"/>
      <c r="G59" s="1120">
        <f t="shared" ref="G59:R64" si="15">IF(G$19=0,0,G$19/$D$19*$E59*$D59)</f>
        <v>0</v>
      </c>
      <c r="H59" s="1120">
        <f t="shared" si="15"/>
        <v>280</v>
      </c>
      <c r="I59" s="1120">
        <f t="shared" si="15"/>
        <v>0</v>
      </c>
      <c r="J59" s="1120">
        <f t="shared" si="15"/>
        <v>280</v>
      </c>
      <c r="K59" s="1120">
        <f t="shared" si="15"/>
        <v>0</v>
      </c>
      <c r="L59" s="1120">
        <f t="shared" si="15"/>
        <v>280</v>
      </c>
      <c r="M59" s="1120">
        <f t="shared" si="15"/>
        <v>280</v>
      </c>
      <c r="N59" s="1120">
        <f t="shared" si="15"/>
        <v>0</v>
      </c>
      <c r="O59" s="1120">
        <f t="shared" si="15"/>
        <v>280</v>
      </c>
      <c r="P59" s="1120">
        <f t="shared" si="15"/>
        <v>0</v>
      </c>
      <c r="Q59" s="1120">
        <f t="shared" si="15"/>
        <v>280</v>
      </c>
      <c r="R59" s="1120">
        <f t="shared" si="15"/>
        <v>280</v>
      </c>
    </row>
    <row r="60" spans="2:18" ht="12.75" customHeight="1" x14ac:dyDescent="0.2">
      <c r="B60" s="1116" t="s">
        <v>771</v>
      </c>
      <c r="C60" s="1121" t="s">
        <v>773</v>
      </c>
      <c r="D60" s="1118">
        <v>70</v>
      </c>
      <c r="E60" s="1119">
        <v>2</v>
      </c>
      <c r="F60" s="1123"/>
      <c r="G60" s="1120">
        <f t="shared" si="15"/>
        <v>0</v>
      </c>
      <c r="H60" s="1120">
        <f t="shared" si="15"/>
        <v>140</v>
      </c>
      <c r="I60" s="1120">
        <f t="shared" si="15"/>
        <v>0</v>
      </c>
      <c r="J60" s="1120">
        <f t="shared" si="15"/>
        <v>140</v>
      </c>
      <c r="K60" s="1120">
        <f t="shared" si="15"/>
        <v>0</v>
      </c>
      <c r="L60" s="1120">
        <f t="shared" si="15"/>
        <v>140</v>
      </c>
      <c r="M60" s="1120">
        <f t="shared" si="15"/>
        <v>140</v>
      </c>
      <c r="N60" s="1120">
        <f t="shared" si="15"/>
        <v>0</v>
      </c>
      <c r="O60" s="1120">
        <f t="shared" si="15"/>
        <v>140</v>
      </c>
      <c r="P60" s="1120">
        <f t="shared" si="15"/>
        <v>0</v>
      </c>
      <c r="Q60" s="1120">
        <f t="shared" si="15"/>
        <v>140</v>
      </c>
      <c r="R60" s="1120">
        <f t="shared" si="15"/>
        <v>140</v>
      </c>
    </row>
    <row r="61" spans="2:18" ht="12.75" customHeight="1" x14ac:dyDescent="0.2">
      <c r="B61" s="1116" t="s">
        <v>774</v>
      </c>
      <c r="C61" s="1121" t="s">
        <v>775</v>
      </c>
      <c r="D61" s="1118">
        <v>6</v>
      </c>
      <c r="E61" s="1119">
        <v>80</v>
      </c>
      <c r="F61" s="1123"/>
      <c r="G61" s="1120">
        <f t="shared" si="15"/>
        <v>0</v>
      </c>
      <c r="H61" s="1120">
        <f t="shared" si="15"/>
        <v>480</v>
      </c>
      <c r="I61" s="1120">
        <f t="shared" si="15"/>
        <v>0</v>
      </c>
      <c r="J61" s="1120">
        <f t="shared" si="15"/>
        <v>480</v>
      </c>
      <c r="K61" s="1120">
        <f t="shared" si="15"/>
        <v>0</v>
      </c>
      <c r="L61" s="1120">
        <f t="shared" si="15"/>
        <v>480</v>
      </c>
      <c r="M61" s="1120">
        <f t="shared" si="15"/>
        <v>480</v>
      </c>
      <c r="N61" s="1120">
        <f t="shared" si="15"/>
        <v>0</v>
      </c>
      <c r="O61" s="1120">
        <f t="shared" si="15"/>
        <v>480</v>
      </c>
      <c r="P61" s="1120">
        <f t="shared" si="15"/>
        <v>0</v>
      </c>
      <c r="Q61" s="1120">
        <f t="shared" si="15"/>
        <v>480</v>
      </c>
      <c r="R61" s="1120">
        <f t="shared" si="15"/>
        <v>480</v>
      </c>
    </row>
    <row r="62" spans="2:18" ht="12.75" customHeight="1" x14ac:dyDescent="0.2">
      <c r="B62" s="1116" t="s">
        <v>774</v>
      </c>
      <c r="C62" s="1122" t="s">
        <v>776</v>
      </c>
      <c r="D62" s="1118">
        <v>6</v>
      </c>
      <c r="E62" s="1119">
        <v>80</v>
      </c>
      <c r="F62" s="1123"/>
      <c r="G62" s="1120">
        <f t="shared" si="15"/>
        <v>0</v>
      </c>
      <c r="H62" s="1120">
        <f t="shared" si="15"/>
        <v>480</v>
      </c>
      <c r="I62" s="1120">
        <f t="shared" si="15"/>
        <v>0</v>
      </c>
      <c r="J62" s="1120">
        <f t="shared" si="15"/>
        <v>480</v>
      </c>
      <c r="K62" s="1120">
        <f t="shared" si="15"/>
        <v>0</v>
      </c>
      <c r="L62" s="1120">
        <f t="shared" si="15"/>
        <v>480</v>
      </c>
      <c r="M62" s="1120">
        <f t="shared" si="15"/>
        <v>480</v>
      </c>
      <c r="N62" s="1120">
        <f t="shared" si="15"/>
        <v>0</v>
      </c>
      <c r="O62" s="1120">
        <f t="shared" si="15"/>
        <v>480</v>
      </c>
      <c r="P62" s="1120">
        <f t="shared" si="15"/>
        <v>0</v>
      </c>
      <c r="Q62" s="1120">
        <f t="shared" si="15"/>
        <v>480</v>
      </c>
      <c r="R62" s="1120">
        <f t="shared" si="15"/>
        <v>480</v>
      </c>
    </row>
    <row r="63" spans="2:18" ht="12.75" customHeight="1" x14ac:dyDescent="0.2">
      <c r="B63" s="1116" t="s">
        <v>777</v>
      </c>
      <c r="C63" s="1122" t="s">
        <v>778</v>
      </c>
      <c r="D63" s="1118">
        <v>8</v>
      </c>
      <c r="E63" s="1119">
        <v>80</v>
      </c>
      <c r="F63" s="1123"/>
      <c r="G63" s="1120">
        <f t="shared" si="15"/>
        <v>0</v>
      </c>
      <c r="H63" s="1120">
        <f t="shared" si="15"/>
        <v>640</v>
      </c>
      <c r="I63" s="1120">
        <f t="shared" si="15"/>
        <v>0</v>
      </c>
      <c r="J63" s="1120">
        <f t="shared" si="15"/>
        <v>640</v>
      </c>
      <c r="K63" s="1120">
        <f t="shared" si="15"/>
        <v>0</v>
      </c>
      <c r="L63" s="1120">
        <f t="shared" si="15"/>
        <v>640</v>
      </c>
      <c r="M63" s="1120">
        <f t="shared" si="15"/>
        <v>640</v>
      </c>
      <c r="N63" s="1120">
        <f t="shared" si="15"/>
        <v>0</v>
      </c>
      <c r="O63" s="1120">
        <f t="shared" si="15"/>
        <v>640</v>
      </c>
      <c r="P63" s="1120">
        <f t="shared" si="15"/>
        <v>0</v>
      </c>
      <c r="Q63" s="1120">
        <f t="shared" si="15"/>
        <v>640</v>
      </c>
      <c r="R63" s="1120">
        <f t="shared" si="15"/>
        <v>640</v>
      </c>
    </row>
    <row r="64" spans="2:18" ht="13.6" customHeight="1" thickBot="1" x14ac:dyDescent="0.25">
      <c r="B64" s="1124" t="s">
        <v>777</v>
      </c>
      <c r="C64" s="1122" t="s">
        <v>779</v>
      </c>
      <c r="D64" s="1118">
        <v>8</v>
      </c>
      <c r="E64" s="1119">
        <v>80</v>
      </c>
      <c r="F64" s="1125"/>
      <c r="G64" s="1126">
        <f t="shared" si="15"/>
        <v>0</v>
      </c>
      <c r="H64" s="1126">
        <f t="shared" si="15"/>
        <v>640</v>
      </c>
      <c r="I64" s="1126">
        <f t="shared" si="15"/>
        <v>0</v>
      </c>
      <c r="J64" s="1126">
        <f t="shared" si="15"/>
        <v>640</v>
      </c>
      <c r="K64" s="1126">
        <f t="shared" si="15"/>
        <v>0</v>
      </c>
      <c r="L64" s="1126">
        <f t="shared" si="15"/>
        <v>640</v>
      </c>
      <c r="M64" s="1126">
        <f t="shared" si="15"/>
        <v>640</v>
      </c>
      <c r="N64" s="1126">
        <f t="shared" si="15"/>
        <v>0</v>
      </c>
      <c r="O64" s="1126">
        <f t="shared" si="15"/>
        <v>640</v>
      </c>
      <c r="P64" s="1126">
        <f t="shared" si="15"/>
        <v>0</v>
      </c>
      <c r="Q64" s="1126">
        <f t="shared" si="15"/>
        <v>640</v>
      </c>
      <c r="R64" s="1126">
        <f t="shared" si="15"/>
        <v>640</v>
      </c>
    </row>
  </sheetData>
  <mergeCells count="2">
    <mergeCell ref="B11:R11"/>
    <mergeCell ref="B20:R20"/>
  </mergeCells>
  <printOptions horizontalCentered="1"/>
  <pageMargins left="0.31527777777777799" right="0.31527777777777799" top="0.35416666666666702" bottom="0.55138888888888904" header="0.511811023622047" footer="0.511811023622047"/>
  <pageSetup paperSize="9" scale="64" orientation="landscape" horizontalDpi="300" verticalDpi="300" r:id="rId1"/>
  <rowBreaks count="1" manualBreakCount="1">
    <brk id="50" max="16383" man="1"/>
  </rowBreaks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A2DE-8C87-4722-9387-C235CF52B679}">
  <sheetPr>
    <tabColor theme="9" tint="0.59999389629810485"/>
  </sheetPr>
  <dimension ref="B2:Q77"/>
  <sheetViews>
    <sheetView showGridLines="0" zoomScale="85" zoomScaleNormal="85" zoomScaleSheetLayoutView="80" zoomScalePageLayoutView="80" workbookViewId="0">
      <pane xSplit="2" ySplit="6" topLeftCell="C7" activePane="bottomRight" state="frozen"/>
      <selection activeCell="U28" sqref="U28"/>
      <selection pane="topRight" activeCell="U28" sqref="U28"/>
      <selection pane="bottomLeft" activeCell="U28" sqref="U28"/>
      <selection pane="bottomRight" activeCell="U28" sqref="U28"/>
    </sheetView>
  </sheetViews>
  <sheetFormatPr defaultColWidth="9.125" defaultRowHeight="12.9" x14ac:dyDescent="0.2"/>
  <cols>
    <col min="1" max="1" width="5.375" style="1043" customWidth="1"/>
    <col min="2" max="2" width="81.375" style="1043" customWidth="1"/>
    <col min="3" max="3" width="12.75" style="1043" customWidth="1"/>
    <col min="4" max="4" width="14.125" style="1043" customWidth="1"/>
    <col min="5" max="5" width="11.375" style="1043" customWidth="1"/>
    <col min="6" max="11" width="9.25" style="1043" customWidth="1"/>
    <col min="12" max="12" width="11.25" style="1043" customWidth="1"/>
    <col min="13" max="14" width="9.25" style="1043" customWidth="1"/>
    <col min="15" max="15" width="10.75" style="1043" customWidth="1"/>
    <col min="16" max="17" width="9.25" style="1043" customWidth="1"/>
    <col min="18" max="18" width="3.25" style="1043" customWidth="1"/>
    <col min="19" max="16384" width="9.125" style="1043"/>
  </cols>
  <sheetData>
    <row r="2" spans="2:17" ht="12.75" customHeight="1" x14ac:dyDescent="0.2">
      <c r="B2" s="963" t="s">
        <v>327</v>
      </c>
    </row>
    <row r="3" spans="2:17" ht="16.5" customHeight="1" thickBot="1" x14ac:dyDescent="0.25">
      <c r="B3" s="1043" t="s">
        <v>442</v>
      </c>
      <c r="F3" s="1127">
        <f>'DR-75'!E6</f>
        <v>0.93093607305936077</v>
      </c>
      <c r="G3" s="1127">
        <f>'DR-75'!F6</f>
        <v>0.91717402333840692</v>
      </c>
      <c r="H3" s="1127">
        <f>'DR-75'!G6</f>
        <v>0.93093607305936077</v>
      </c>
      <c r="I3" s="1127">
        <f>'DR-75'!H6</f>
        <v>0.91717402333840692</v>
      </c>
      <c r="J3" s="1127">
        <f>'DR-75'!I6</f>
        <v>0.88654236428209032</v>
      </c>
      <c r="K3" s="1127">
        <f>'DR-75'!J6</f>
        <v>0.91717402333840692</v>
      </c>
      <c r="L3" s="1127">
        <f>'DR-75'!K6</f>
        <v>0.8505834601725013</v>
      </c>
      <c r="M3" s="1127">
        <f>'DR-75'!L6</f>
        <v>0.91983764586504313</v>
      </c>
      <c r="N3" s="1127">
        <f>'DR-75'!M6</f>
        <v>0.92827245053272456</v>
      </c>
      <c r="O3" s="1127">
        <f>'DR-75'!N6</f>
        <v>0.85324708269913752</v>
      </c>
      <c r="P3" s="1127">
        <f>'DR-75'!O6</f>
        <v>0.92827245053272456</v>
      </c>
      <c r="Q3" s="1127">
        <f>'DR-75'!P6</f>
        <v>0.91717402333840692</v>
      </c>
    </row>
    <row r="4" spans="2:17" s="1130" customFormat="1" ht="22.6" customHeight="1" x14ac:dyDescent="0.25">
      <c r="B4" s="1128" t="s">
        <v>373</v>
      </c>
      <c r="C4" s="1129" t="s">
        <v>443</v>
      </c>
      <c r="D4" s="1105"/>
      <c r="E4" s="1105"/>
      <c r="F4" s="973">
        <v>1</v>
      </c>
      <c r="G4" s="973">
        <f t="shared" ref="G4:Q4" si="0">F4+1</f>
        <v>2</v>
      </c>
      <c r="H4" s="973">
        <f t="shared" si="0"/>
        <v>3</v>
      </c>
      <c r="I4" s="973">
        <f t="shared" si="0"/>
        <v>4</v>
      </c>
      <c r="J4" s="973">
        <f t="shared" si="0"/>
        <v>5</v>
      </c>
      <c r="K4" s="973">
        <f t="shared" si="0"/>
        <v>6</v>
      </c>
      <c r="L4" s="973">
        <f t="shared" si="0"/>
        <v>7</v>
      </c>
      <c r="M4" s="973">
        <f t="shared" si="0"/>
        <v>8</v>
      </c>
      <c r="N4" s="973">
        <f t="shared" si="0"/>
        <v>9</v>
      </c>
      <c r="O4" s="973">
        <f t="shared" si="0"/>
        <v>10</v>
      </c>
      <c r="P4" s="973">
        <f t="shared" si="0"/>
        <v>11</v>
      </c>
      <c r="Q4" s="973">
        <f t="shared" si="0"/>
        <v>12</v>
      </c>
    </row>
    <row r="5" spans="2:17" ht="12.75" customHeight="1" x14ac:dyDescent="0.2">
      <c r="B5" s="1056" t="s">
        <v>374</v>
      </c>
      <c r="C5" s="1131" t="s">
        <v>375</v>
      </c>
      <c r="D5" s="1058"/>
      <c r="E5" s="1132"/>
      <c r="F5" s="1061">
        <v>0</v>
      </c>
      <c r="G5" s="1061">
        <f t="shared" ref="G5:Q5" si="1">F6+1</f>
        <v>7001</v>
      </c>
      <c r="H5" s="1061">
        <f t="shared" si="1"/>
        <v>14001</v>
      </c>
      <c r="I5" s="1061">
        <f t="shared" si="1"/>
        <v>21001</v>
      </c>
      <c r="J5" s="1061">
        <f t="shared" si="1"/>
        <v>28001</v>
      </c>
      <c r="K5" s="1061">
        <f t="shared" si="1"/>
        <v>35001</v>
      </c>
      <c r="L5" s="1061">
        <f t="shared" si="1"/>
        <v>42001</v>
      </c>
      <c r="M5" s="1061">
        <f t="shared" si="1"/>
        <v>49001</v>
      </c>
      <c r="N5" s="1061">
        <f t="shared" si="1"/>
        <v>56001</v>
      </c>
      <c r="O5" s="1061">
        <f t="shared" si="1"/>
        <v>63001</v>
      </c>
      <c r="P5" s="1061">
        <f t="shared" si="1"/>
        <v>70001</v>
      </c>
      <c r="Q5" s="1061">
        <f t="shared" si="1"/>
        <v>77001</v>
      </c>
    </row>
    <row r="6" spans="2:17" ht="13.6" customHeight="1" thickBot="1" x14ac:dyDescent="0.25">
      <c r="B6" s="1133" t="s">
        <v>376</v>
      </c>
      <c r="C6" s="1134" t="s">
        <v>375</v>
      </c>
      <c r="D6" s="1135"/>
      <c r="E6" s="1136">
        <f>'DR-75 ТО'!F6</f>
        <v>7000</v>
      </c>
      <c r="F6" s="1137">
        <f>E6</f>
        <v>7000</v>
      </c>
      <c r="G6" s="1137">
        <f t="shared" ref="G6:Q6" si="2">F6+$E6</f>
        <v>14000</v>
      </c>
      <c r="H6" s="1137">
        <f t="shared" si="2"/>
        <v>21000</v>
      </c>
      <c r="I6" s="1137">
        <f t="shared" si="2"/>
        <v>28000</v>
      </c>
      <c r="J6" s="1137">
        <f t="shared" si="2"/>
        <v>35000</v>
      </c>
      <c r="K6" s="1137">
        <f t="shared" si="2"/>
        <v>42000</v>
      </c>
      <c r="L6" s="1137">
        <f t="shared" si="2"/>
        <v>49000</v>
      </c>
      <c r="M6" s="1137">
        <f t="shared" si="2"/>
        <v>56000</v>
      </c>
      <c r="N6" s="1137">
        <f t="shared" si="2"/>
        <v>63000</v>
      </c>
      <c r="O6" s="1137">
        <f t="shared" si="2"/>
        <v>70000</v>
      </c>
      <c r="P6" s="1137">
        <f t="shared" si="2"/>
        <v>77000</v>
      </c>
      <c r="Q6" s="1137">
        <f t="shared" si="2"/>
        <v>84000</v>
      </c>
    </row>
    <row r="7" spans="2:17" ht="13.6" customHeight="1" thickBot="1" x14ac:dyDescent="0.25">
      <c r="B7" s="1138"/>
    </row>
    <row r="8" spans="2:17" ht="21.75" customHeight="1" x14ac:dyDescent="0.2">
      <c r="B8" s="1139" t="s">
        <v>444</v>
      </c>
      <c r="C8" s="993" t="s">
        <v>337</v>
      </c>
      <c r="D8" s="993"/>
      <c r="E8" s="993"/>
      <c r="F8" s="1140">
        <f t="shared" ref="F8:Q8" si="3">F16</f>
        <v>200</v>
      </c>
      <c r="G8" s="1140">
        <f t="shared" si="3"/>
        <v>300</v>
      </c>
      <c r="H8" s="1140">
        <f t="shared" si="3"/>
        <v>200</v>
      </c>
      <c r="I8" s="1140">
        <f t="shared" si="3"/>
        <v>300</v>
      </c>
      <c r="J8" s="1140">
        <f t="shared" si="3"/>
        <v>600</v>
      </c>
      <c r="K8" s="1140">
        <f t="shared" si="3"/>
        <v>300</v>
      </c>
      <c r="L8" s="1140">
        <f t="shared" si="3"/>
        <v>900</v>
      </c>
      <c r="M8" s="1140">
        <f t="shared" si="3"/>
        <v>300</v>
      </c>
      <c r="N8" s="1140">
        <f t="shared" si="3"/>
        <v>200</v>
      </c>
      <c r="O8" s="1140">
        <f t="shared" si="3"/>
        <v>900</v>
      </c>
      <c r="P8" s="1140">
        <f t="shared" si="3"/>
        <v>200</v>
      </c>
      <c r="Q8" s="1140">
        <f t="shared" si="3"/>
        <v>300</v>
      </c>
    </row>
    <row r="9" spans="2:17" ht="21.1" customHeight="1" x14ac:dyDescent="0.2">
      <c r="B9" s="977" t="s">
        <v>352</v>
      </c>
      <c r="C9" s="1141" t="s">
        <v>621</v>
      </c>
      <c r="D9" s="983"/>
      <c r="E9" s="983"/>
      <c r="F9" s="1068">
        <f t="shared" ref="F9:Q9" si="4">SUM(F10:F12)</f>
        <v>98700</v>
      </c>
      <c r="G9" s="1068">
        <f t="shared" si="4"/>
        <v>247300</v>
      </c>
      <c r="H9" s="1068">
        <f t="shared" si="4"/>
        <v>339300</v>
      </c>
      <c r="I9" s="1068">
        <f t="shared" si="4"/>
        <v>272300</v>
      </c>
      <c r="J9" s="1068">
        <f t="shared" si="4"/>
        <v>210200</v>
      </c>
      <c r="K9" s="1068">
        <f t="shared" si="4"/>
        <v>378800</v>
      </c>
      <c r="L9" s="1068">
        <f t="shared" si="4"/>
        <v>253800</v>
      </c>
      <c r="M9" s="1068">
        <f t="shared" si="4"/>
        <v>326800</v>
      </c>
      <c r="N9" s="1068">
        <f t="shared" si="4"/>
        <v>293200</v>
      </c>
      <c r="O9" s="1068">
        <f t="shared" si="4"/>
        <v>316300</v>
      </c>
      <c r="P9" s="1068">
        <f t="shared" si="4"/>
        <v>232300</v>
      </c>
      <c r="Q9" s="1142">
        <f t="shared" si="4"/>
        <v>304300</v>
      </c>
    </row>
    <row r="10" spans="2:17" ht="23.3" customHeight="1" x14ac:dyDescent="0.2">
      <c r="B10" s="1008" t="s">
        <v>355</v>
      </c>
      <c r="C10" s="1020" t="s">
        <v>621</v>
      </c>
      <c r="D10" s="1020"/>
      <c r="E10" s="1020"/>
      <c r="F10" s="1073">
        <f t="shared" ref="F10:Q10" si="5">F33</f>
        <v>8500</v>
      </c>
      <c r="G10" s="1073">
        <f t="shared" si="5"/>
        <v>8500</v>
      </c>
      <c r="H10" s="1073">
        <f t="shared" si="5"/>
        <v>8500</v>
      </c>
      <c r="I10" s="1073">
        <f t="shared" si="5"/>
        <v>8500</v>
      </c>
      <c r="J10" s="1073">
        <f t="shared" si="5"/>
        <v>8500</v>
      </c>
      <c r="K10" s="1073">
        <f t="shared" si="5"/>
        <v>8500</v>
      </c>
      <c r="L10" s="1073">
        <f t="shared" si="5"/>
        <v>8500</v>
      </c>
      <c r="M10" s="1073">
        <f t="shared" si="5"/>
        <v>8500</v>
      </c>
      <c r="N10" s="1073">
        <f t="shared" si="5"/>
        <v>8500</v>
      </c>
      <c r="O10" s="1073">
        <f t="shared" si="5"/>
        <v>8500</v>
      </c>
      <c r="P10" s="1073">
        <f t="shared" si="5"/>
        <v>8500</v>
      </c>
      <c r="Q10" s="1143">
        <f t="shared" si="5"/>
        <v>8500</v>
      </c>
    </row>
    <row r="11" spans="2:17" ht="27.7" customHeight="1" x14ac:dyDescent="0.2">
      <c r="B11" s="1008" t="s">
        <v>356</v>
      </c>
      <c r="C11" s="1020" t="s">
        <v>621</v>
      </c>
      <c r="D11" s="1020"/>
      <c r="E11" s="1020"/>
      <c r="F11" s="1073">
        <f t="shared" ref="F11:Q11" si="6">F39</f>
        <v>76200</v>
      </c>
      <c r="G11" s="1073">
        <f t="shared" si="6"/>
        <v>217800</v>
      </c>
      <c r="H11" s="1073">
        <f t="shared" si="6"/>
        <v>316800</v>
      </c>
      <c r="I11" s="1073">
        <f t="shared" si="6"/>
        <v>242800</v>
      </c>
      <c r="J11" s="1073">
        <f t="shared" si="6"/>
        <v>145700</v>
      </c>
      <c r="K11" s="1073">
        <f t="shared" si="6"/>
        <v>349300</v>
      </c>
      <c r="L11" s="1073">
        <f t="shared" si="6"/>
        <v>182300</v>
      </c>
      <c r="M11" s="1073">
        <f t="shared" si="6"/>
        <v>297300</v>
      </c>
      <c r="N11" s="1073">
        <f t="shared" si="6"/>
        <v>270700</v>
      </c>
      <c r="O11" s="1073">
        <f t="shared" si="6"/>
        <v>244800</v>
      </c>
      <c r="P11" s="1073">
        <f t="shared" si="6"/>
        <v>209800</v>
      </c>
      <c r="Q11" s="1143">
        <f t="shared" si="6"/>
        <v>274800</v>
      </c>
    </row>
    <row r="12" spans="2:17" ht="23.3" customHeight="1" thickBot="1" x14ac:dyDescent="0.25">
      <c r="B12" s="1011" t="s">
        <v>446</v>
      </c>
      <c r="C12" s="1144" t="s">
        <v>621</v>
      </c>
      <c r="D12" s="1144"/>
      <c r="E12" s="1144"/>
      <c r="F12" s="1078">
        <f t="shared" ref="F12:Q12" si="7">SUMPRODUCT(F$25:F$29,$D25:$D29)</f>
        <v>14000</v>
      </c>
      <c r="G12" s="1078">
        <f t="shared" si="7"/>
        <v>21000</v>
      </c>
      <c r="H12" s="1078">
        <f t="shared" si="7"/>
        <v>14000</v>
      </c>
      <c r="I12" s="1078">
        <f t="shared" si="7"/>
        <v>21000</v>
      </c>
      <c r="J12" s="1078">
        <f t="shared" si="7"/>
        <v>56000</v>
      </c>
      <c r="K12" s="1078">
        <f t="shared" si="7"/>
        <v>21000</v>
      </c>
      <c r="L12" s="1078">
        <f t="shared" si="7"/>
        <v>63000</v>
      </c>
      <c r="M12" s="1078">
        <f t="shared" si="7"/>
        <v>21000</v>
      </c>
      <c r="N12" s="1078">
        <f t="shared" si="7"/>
        <v>14000</v>
      </c>
      <c r="O12" s="1078">
        <f t="shared" si="7"/>
        <v>63000</v>
      </c>
      <c r="P12" s="1078">
        <f t="shared" si="7"/>
        <v>14000</v>
      </c>
      <c r="Q12" s="1078">
        <f t="shared" si="7"/>
        <v>21000</v>
      </c>
    </row>
    <row r="13" spans="2:17" ht="12.75" customHeight="1" x14ac:dyDescent="0.2">
      <c r="B13" s="1145"/>
      <c r="E13" s="1146"/>
      <c r="F13" s="1147"/>
      <c r="G13" s="1147"/>
      <c r="H13" s="1147"/>
      <c r="I13" s="1147"/>
      <c r="J13" s="1147"/>
      <c r="K13" s="1147"/>
      <c r="L13" s="1147"/>
      <c r="M13" s="1147"/>
      <c r="N13" s="1147"/>
      <c r="O13" s="1147"/>
      <c r="P13" s="1147"/>
      <c r="Q13" s="1147"/>
    </row>
    <row r="14" spans="2:17" ht="13.6" customHeight="1" thickBot="1" x14ac:dyDescent="0.3">
      <c r="B14" s="1148" t="s">
        <v>447</v>
      </c>
      <c r="E14" s="1146"/>
      <c r="F14" s="1147"/>
      <c r="G14" s="1147"/>
      <c r="H14" s="1147"/>
      <c r="I14" s="1147"/>
      <c r="J14" s="1147"/>
      <c r="K14" s="1147"/>
      <c r="L14" s="1147"/>
      <c r="M14" s="1147"/>
      <c r="N14" s="1147"/>
      <c r="O14" s="1147"/>
      <c r="P14" s="1147"/>
      <c r="Q14" s="1147"/>
    </row>
    <row r="15" spans="2:17" ht="13.6" customHeight="1" thickBot="1" x14ac:dyDescent="0.25">
      <c r="B15" s="1045" t="s">
        <v>448</v>
      </c>
      <c r="C15" s="1129" t="s">
        <v>443</v>
      </c>
      <c r="D15" s="1149"/>
      <c r="E15" s="1149"/>
      <c r="F15" s="1150" t="s">
        <v>337</v>
      </c>
      <c r="G15" s="1151" t="s">
        <v>337</v>
      </c>
      <c r="H15" s="1151" t="s">
        <v>337</v>
      </c>
      <c r="I15" s="1151" t="s">
        <v>337</v>
      </c>
      <c r="J15" s="1151" t="s">
        <v>337</v>
      </c>
      <c r="K15" s="1151" t="s">
        <v>337</v>
      </c>
      <c r="L15" s="1151" t="s">
        <v>337</v>
      </c>
      <c r="M15" s="1151" t="s">
        <v>337</v>
      </c>
      <c r="N15" s="1151" t="s">
        <v>337</v>
      </c>
      <c r="O15" s="1151" t="s">
        <v>337</v>
      </c>
      <c r="P15" s="1151" t="s">
        <v>337</v>
      </c>
      <c r="Q15" s="1152" t="s">
        <v>337</v>
      </c>
    </row>
    <row r="16" spans="2:17" ht="13.6" customHeight="1" thickBot="1" x14ac:dyDescent="0.3">
      <c r="B16" s="1153" t="s">
        <v>449</v>
      </c>
      <c r="C16" s="1154"/>
      <c r="D16" s="1155"/>
      <c r="E16" s="1155"/>
      <c r="F16" s="1156">
        <f t="shared" ref="F16:Q16" si="8">SUM(F17:F21)</f>
        <v>200</v>
      </c>
      <c r="G16" s="1157">
        <f t="shared" si="8"/>
        <v>300</v>
      </c>
      <c r="H16" s="1157">
        <f t="shared" si="8"/>
        <v>200</v>
      </c>
      <c r="I16" s="1157">
        <f t="shared" si="8"/>
        <v>300</v>
      </c>
      <c r="J16" s="1157">
        <f t="shared" si="8"/>
        <v>600</v>
      </c>
      <c r="K16" s="1157">
        <f t="shared" si="8"/>
        <v>300</v>
      </c>
      <c r="L16" s="1157">
        <f t="shared" si="8"/>
        <v>900</v>
      </c>
      <c r="M16" s="1157">
        <f t="shared" si="8"/>
        <v>300</v>
      </c>
      <c r="N16" s="1157">
        <f t="shared" si="8"/>
        <v>200</v>
      </c>
      <c r="O16" s="1157">
        <f t="shared" si="8"/>
        <v>900</v>
      </c>
      <c r="P16" s="1157">
        <f t="shared" si="8"/>
        <v>200</v>
      </c>
      <c r="Q16" s="1158">
        <f t="shared" si="8"/>
        <v>300</v>
      </c>
    </row>
    <row r="17" spans="2:17" ht="12.75" customHeight="1" x14ac:dyDescent="0.2">
      <c r="B17" s="1159" t="s">
        <v>622</v>
      </c>
      <c r="C17" s="1160" t="s">
        <v>337</v>
      </c>
      <c r="D17" s="1161"/>
      <c r="E17" s="1066"/>
      <c r="F17" s="1162">
        <v>200</v>
      </c>
      <c r="G17" s="1162">
        <v>200</v>
      </c>
      <c r="H17" s="1162">
        <v>200</v>
      </c>
      <c r="I17" s="1162">
        <v>200</v>
      </c>
      <c r="J17" s="1162">
        <v>200</v>
      </c>
      <c r="K17" s="1162">
        <v>200</v>
      </c>
      <c r="L17" s="1162">
        <v>200</v>
      </c>
      <c r="M17" s="1162">
        <v>200</v>
      </c>
      <c r="N17" s="1162">
        <v>200</v>
      </c>
      <c r="O17" s="1162">
        <v>200</v>
      </c>
      <c r="P17" s="1162">
        <v>200</v>
      </c>
      <c r="Q17" s="1163">
        <v>200</v>
      </c>
    </row>
    <row r="18" spans="2:17" ht="12.75" customHeight="1" x14ac:dyDescent="0.2">
      <c r="B18" s="1159" t="s">
        <v>623</v>
      </c>
      <c r="C18" s="1160" t="s">
        <v>337</v>
      </c>
      <c r="D18" s="1164"/>
      <c r="E18" s="1066"/>
      <c r="F18" s="1165">
        <v>0</v>
      </c>
      <c r="G18" s="1166">
        <v>0</v>
      </c>
      <c r="H18" s="1166">
        <v>0</v>
      </c>
      <c r="I18" s="1166">
        <v>0</v>
      </c>
      <c r="J18" s="1162">
        <v>200</v>
      </c>
      <c r="K18" s="1166">
        <v>0</v>
      </c>
      <c r="L18" s="1166">
        <v>400</v>
      </c>
      <c r="M18" s="1166">
        <v>0</v>
      </c>
      <c r="N18" s="1166">
        <v>0</v>
      </c>
      <c r="O18" s="1166">
        <v>400</v>
      </c>
      <c r="P18" s="1166">
        <v>0</v>
      </c>
      <c r="Q18" s="1167">
        <v>0</v>
      </c>
    </row>
    <row r="19" spans="2:17" ht="12.75" customHeight="1" x14ac:dyDescent="0.2">
      <c r="B19" s="1159" t="s">
        <v>624</v>
      </c>
      <c r="C19" s="1160" t="s">
        <v>337</v>
      </c>
      <c r="D19" s="1164"/>
      <c r="E19" s="1066"/>
      <c r="F19" s="1165">
        <v>0</v>
      </c>
      <c r="G19" s="1166">
        <v>100</v>
      </c>
      <c r="H19" s="1166">
        <v>0</v>
      </c>
      <c r="I19" s="1166">
        <v>100</v>
      </c>
      <c r="J19" s="1166">
        <v>0</v>
      </c>
      <c r="K19" s="1166">
        <v>100</v>
      </c>
      <c r="L19" s="1166">
        <v>0</v>
      </c>
      <c r="M19" s="1166">
        <v>100</v>
      </c>
      <c r="N19" s="1166">
        <v>0</v>
      </c>
      <c r="O19" s="1166">
        <v>0</v>
      </c>
      <c r="P19" s="1166">
        <v>0</v>
      </c>
      <c r="Q19" s="1167">
        <v>100</v>
      </c>
    </row>
    <row r="20" spans="2:17" ht="12.75" customHeight="1" x14ac:dyDescent="0.2">
      <c r="B20" s="1159" t="s">
        <v>780</v>
      </c>
      <c r="C20" s="1160" t="s">
        <v>337</v>
      </c>
      <c r="D20" s="1164"/>
      <c r="E20" s="1066"/>
      <c r="F20" s="1165">
        <v>0</v>
      </c>
      <c r="G20" s="1166">
        <v>0</v>
      </c>
      <c r="H20" s="1166">
        <v>0</v>
      </c>
      <c r="I20" s="1166">
        <v>0</v>
      </c>
      <c r="J20" s="1166">
        <v>100</v>
      </c>
      <c r="K20" s="1166">
        <v>0</v>
      </c>
      <c r="L20" s="1166">
        <v>200</v>
      </c>
      <c r="M20" s="1166">
        <v>0</v>
      </c>
      <c r="N20" s="1166">
        <v>0</v>
      </c>
      <c r="O20" s="1166">
        <v>200</v>
      </c>
      <c r="P20" s="1166">
        <v>0</v>
      </c>
      <c r="Q20" s="1167">
        <v>0</v>
      </c>
    </row>
    <row r="21" spans="2:17" ht="13.6" customHeight="1" thickBot="1" x14ac:dyDescent="0.25">
      <c r="B21" s="1168" t="s">
        <v>781</v>
      </c>
      <c r="C21" s="1169" t="s">
        <v>337</v>
      </c>
      <c r="D21" s="1170"/>
      <c r="E21" s="1136"/>
      <c r="F21" s="1171">
        <v>0</v>
      </c>
      <c r="G21" s="1171">
        <v>0</v>
      </c>
      <c r="H21" s="1171">
        <v>0</v>
      </c>
      <c r="I21" s="1171">
        <v>0</v>
      </c>
      <c r="J21" s="1171">
        <v>100</v>
      </c>
      <c r="K21" s="1171">
        <v>0</v>
      </c>
      <c r="L21" s="1171">
        <v>100</v>
      </c>
      <c r="M21" s="1171">
        <v>0</v>
      </c>
      <c r="N21" s="1171">
        <v>0</v>
      </c>
      <c r="O21" s="1171">
        <v>100</v>
      </c>
      <c r="P21" s="1171">
        <v>0</v>
      </c>
      <c r="Q21" s="1172">
        <v>0</v>
      </c>
    </row>
    <row r="22" spans="2:17" ht="12.75" customHeight="1" x14ac:dyDescent="0.2">
      <c r="B22" s="1145"/>
      <c r="E22" s="1146"/>
      <c r="F22" s="1147"/>
      <c r="G22" s="1147"/>
      <c r="H22" s="1147"/>
      <c r="I22" s="1147"/>
      <c r="J22" s="1147"/>
      <c r="K22" s="1147"/>
      <c r="L22" s="1147"/>
      <c r="M22" s="1147"/>
      <c r="N22" s="1147"/>
      <c r="O22" s="1147"/>
      <c r="P22" s="1147"/>
      <c r="Q22" s="1147"/>
    </row>
    <row r="23" spans="2:17" ht="13.6" customHeight="1" thickBot="1" x14ac:dyDescent="0.3">
      <c r="B23" s="1148" t="s">
        <v>534</v>
      </c>
      <c r="D23" s="1173">
        <f>'DR-75 ТО'!F10</f>
        <v>35</v>
      </c>
      <c r="E23" s="1146"/>
      <c r="F23" s="1147"/>
      <c r="G23" s="1147"/>
      <c r="H23" s="1147"/>
      <c r="I23" s="1147"/>
      <c r="J23" s="1147"/>
      <c r="K23" s="1147"/>
      <c r="L23" s="1147"/>
      <c r="M23" s="1147"/>
      <c r="N23" s="1147"/>
      <c r="O23" s="1147"/>
      <c r="P23" s="1147"/>
      <c r="Q23" s="1147"/>
    </row>
    <row r="24" spans="2:17" ht="26.35" customHeight="1" thickBot="1" x14ac:dyDescent="0.25">
      <c r="B24" s="1045" t="s">
        <v>448</v>
      </c>
      <c r="C24" s="1129" t="s">
        <v>443</v>
      </c>
      <c r="D24" s="1174" t="s">
        <v>535</v>
      </c>
      <c r="E24" s="1174"/>
      <c r="F24" s="1175" t="s">
        <v>536</v>
      </c>
      <c r="G24" s="1175" t="s">
        <v>536</v>
      </c>
      <c r="H24" s="1175" t="s">
        <v>536</v>
      </c>
      <c r="I24" s="1175" t="s">
        <v>536</v>
      </c>
      <c r="J24" s="1175" t="s">
        <v>536</v>
      </c>
      <c r="K24" s="1175" t="s">
        <v>536</v>
      </c>
      <c r="L24" s="1175" t="s">
        <v>536</v>
      </c>
      <c r="M24" s="1175" t="s">
        <v>536</v>
      </c>
      <c r="N24" s="1175" t="s">
        <v>536</v>
      </c>
      <c r="O24" s="1175" t="s">
        <v>536</v>
      </c>
      <c r="P24" s="1175" t="s">
        <v>536</v>
      </c>
      <c r="Q24" s="1176" t="s">
        <v>536</v>
      </c>
    </row>
    <row r="25" spans="2:17" ht="12.75" customHeight="1" x14ac:dyDescent="0.2">
      <c r="B25" s="1177" t="str">
        <f>B17</f>
        <v>ремонт-1</v>
      </c>
      <c r="C25" s="1160" t="s">
        <v>536</v>
      </c>
      <c r="D25" s="1114">
        <f>$D$23</f>
        <v>35</v>
      </c>
      <c r="E25" s="1066"/>
      <c r="F25" s="1178">
        <v>400</v>
      </c>
      <c r="G25" s="1178">
        <v>400</v>
      </c>
      <c r="H25" s="1178">
        <v>400</v>
      </c>
      <c r="I25" s="1178">
        <v>400</v>
      </c>
      <c r="J25" s="1178">
        <v>400</v>
      </c>
      <c r="K25" s="1178">
        <v>400</v>
      </c>
      <c r="L25" s="1178">
        <v>400</v>
      </c>
      <c r="M25" s="1178">
        <v>400</v>
      </c>
      <c r="N25" s="1178">
        <v>400</v>
      </c>
      <c r="O25" s="1178">
        <v>400</v>
      </c>
      <c r="P25" s="1178">
        <v>400</v>
      </c>
      <c r="Q25" s="1179">
        <v>400</v>
      </c>
    </row>
    <row r="26" spans="2:17" ht="12.75" customHeight="1" x14ac:dyDescent="0.2">
      <c r="B26" s="1177" t="str">
        <f>B18</f>
        <v>ремонт-2</v>
      </c>
      <c r="C26" s="1160" t="s">
        <v>536</v>
      </c>
      <c r="D26" s="1114">
        <f>$D$23</f>
        <v>35</v>
      </c>
      <c r="E26" s="1066"/>
      <c r="F26" s="1178">
        <v>0</v>
      </c>
      <c r="G26" s="1178">
        <v>0</v>
      </c>
      <c r="H26" s="1178">
        <v>0</v>
      </c>
      <c r="I26" s="1178">
        <v>0</v>
      </c>
      <c r="J26" s="1178">
        <v>600</v>
      </c>
      <c r="K26" s="1178">
        <v>0</v>
      </c>
      <c r="L26" s="1178">
        <v>800</v>
      </c>
      <c r="M26" s="1178">
        <v>0</v>
      </c>
      <c r="N26" s="1178">
        <v>0</v>
      </c>
      <c r="O26" s="1178">
        <v>800</v>
      </c>
      <c r="P26" s="1178">
        <v>0</v>
      </c>
      <c r="Q26" s="1179">
        <v>0</v>
      </c>
    </row>
    <row r="27" spans="2:17" ht="12.75" customHeight="1" x14ac:dyDescent="0.2">
      <c r="B27" s="1177" t="str">
        <f>B19</f>
        <v>ремонт-3</v>
      </c>
      <c r="C27" s="1160" t="s">
        <v>536</v>
      </c>
      <c r="D27" s="1114">
        <f>$D$23</f>
        <v>35</v>
      </c>
      <c r="E27" s="1066"/>
      <c r="F27" s="1178">
        <v>0</v>
      </c>
      <c r="G27" s="1178">
        <v>200</v>
      </c>
      <c r="H27" s="1178">
        <v>0</v>
      </c>
      <c r="I27" s="1178">
        <v>200</v>
      </c>
      <c r="J27" s="1178">
        <v>0</v>
      </c>
      <c r="K27" s="1178">
        <v>200</v>
      </c>
      <c r="L27" s="1178">
        <v>0</v>
      </c>
      <c r="M27" s="1178">
        <v>200</v>
      </c>
      <c r="N27" s="1178">
        <v>0</v>
      </c>
      <c r="O27" s="1178">
        <v>0</v>
      </c>
      <c r="P27" s="1178">
        <v>0</v>
      </c>
      <c r="Q27" s="1179">
        <v>200</v>
      </c>
    </row>
    <row r="28" spans="2:17" ht="12.75" customHeight="1" x14ac:dyDescent="0.2">
      <c r="B28" s="1177" t="str">
        <f>B20</f>
        <v>ремонт-4</v>
      </c>
      <c r="C28" s="1160" t="s">
        <v>536</v>
      </c>
      <c r="D28" s="1114">
        <f>$D$23</f>
        <v>35</v>
      </c>
      <c r="E28" s="1066"/>
      <c r="F28" s="1178">
        <v>0</v>
      </c>
      <c r="G28" s="1178">
        <v>0</v>
      </c>
      <c r="H28" s="1178">
        <v>0</v>
      </c>
      <c r="I28" s="1178">
        <v>0</v>
      </c>
      <c r="J28" s="1178">
        <v>400</v>
      </c>
      <c r="K28" s="1178">
        <v>0</v>
      </c>
      <c r="L28" s="1178">
        <v>400</v>
      </c>
      <c r="M28" s="1178">
        <v>0</v>
      </c>
      <c r="N28" s="1178">
        <v>0</v>
      </c>
      <c r="O28" s="1178">
        <v>400</v>
      </c>
      <c r="P28" s="1178">
        <v>0</v>
      </c>
      <c r="Q28" s="1179">
        <v>0</v>
      </c>
    </row>
    <row r="29" spans="2:17" ht="13.6" customHeight="1" thickBot="1" x14ac:dyDescent="0.25">
      <c r="B29" s="1180" t="str">
        <f>B21</f>
        <v>ремонт-5</v>
      </c>
      <c r="C29" s="1169" t="s">
        <v>536</v>
      </c>
      <c r="D29" s="1170">
        <f>$D$23</f>
        <v>35</v>
      </c>
      <c r="E29" s="1136"/>
      <c r="F29" s="1181">
        <v>0</v>
      </c>
      <c r="G29" s="1181">
        <v>0</v>
      </c>
      <c r="H29" s="1181">
        <v>0</v>
      </c>
      <c r="I29" s="1181">
        <v>0</v>
      </c>
      <c r="J29" s="1181">
        <v>200</v>
      </c>
      <c r="K29" s="1181">
        <v>0</v>
      </c>
      <c r="L29" s="1181">
        <v>200</v>
      </c>
      <c r="M29" s="1181">
        <v>0</v>
      </c>
      <c r="N29" s="1181">
        <v>0</v>
      </c>
      <c r="O29" s="1181">
        <v>200</v>
      </c>
      <c r="P29" s="1181">
        <v>0</v>
      </c>
      <c r="Q29" s="1182">
        <v>0</v>
      </c>
    </row>
    <row r="30" spans="2:17" ht="12.75" customHeight="1" x14ac:dyDescent="0.2">
      <c r="B30" s="1145"/>
      <c r="E30" s="1146"/>
      <c r="F30" s="1147"/>
      <c r="G30" s="1147"/>
      <c r="H30" s="1147"/>
      <c r="I30" s="1147"/>
      <c r="J30" s="1147"/>
      <c r="K30" s="1147"/>
      <c r="L30" s="1147"/>
      <c r="M30" s="1147"/>
      <c r="N30" s="1147"/>
      <c r="O30" s="1147"/>
      <c r="P30" s="1147"/>
      <c r="Q30" s="1147"/>
    </row>
    <row r="31" spans="2:17" ht="13.6" customHeight="1" thickBot="1" x14ac:dyDescent="0.3">
      <c r="B31" s="1148" t="s">
        <v>538</v>
      </c>
      <c r="F31" s="1147"/>
    </row>
    <row r="32" spans="2:17" ht="39.1" customHeight="1" thickBot="1" x14ac:dyDescent="0.25">
      <c r="B32" s="1183" t="s">
        <v>539</v>
      </c>
      <c r="C32" s="1184" t="s">
        <v>625</v>
      </c>
      <c r="D32" s="1085" t="s">
        <v>541</v>
      </c>
      <c r="E32" s="1085" t="s">
        <v>542</v>
      </c>
      <c r="F32" s="1185" t="s">
        <v>579</v>
      </c>
      <c r="G32" s="1185" t="s">
        <v>579</v>
      </c>
      <c r="H32" s="1185" t="s">
        <v>579</v>
      </c>
      <c r="I32" s="1185" t="s">
        <v>579</v>
      </c>
      <c r="J32" s="1185" t="s">
        <v>579</v>
      </c>
      <c r="K32" s="1185" t="s">
        <v>579</v>
      </c>
      <c r="L32" s="1185" t="s">
        <v>579</v>
      </c>
      <c r="M32" s="1185" t="s">
        <v>579</v>
      </c>
      <c r="N32" s="1185" t="s">
        <v>579</v>
      </c>
      <c r="O32" s="1185" t="s">
        <v>579</v>
      </c>
      <c r="P32" s="1185" t="s">
        <v>579</v>
      </c>
      <c r="Q32" s="1185" t="s">
        <v>579</v>
      </c>
    </row>
    <row r="33" spans="2:17" ht="28.55" customHeight="1" thickBot="1" x14ac:dyDescent="0.3">
      <c r="B33" s="1186" t="s">
        <v>543</v>
      </c>
      <c r="C33" s="1187"/>
      <c r="D33" s="1049"/>
      <c r="E33" s="1049"/>
      <c r="F33" s="1157">
        <f t="shared" ref="F33:Q33" si="9">SUM(F34:F38)</f>
        <v>8500</v>
      </c>
      <c r="G33" s="1157">
        <f t="shared" si="9"/>
        <v>8500</v>
      </c>
      <c r="H33" s="1157">
        <f t="shared" si="9"/>
        <v>8500</v>
      </c>
      <c r="I33" s="1157">
        <f t="shared" si="9"/>
        <v>8500</v>
      </c>
      <c r="J33" s="1157">
        <f t="shared" si="9"/>
        <v>8500</v>
      </c>
      <c r="K33" s="1157">
        <f t="shared" si="9"/>
        <v>8500</v>
      </c>
      <c r="L33" s="1157">
        <f t="shared" si="9"/>
        <v>8500</v>
      </c>
      <c r="M33" s="1157">
        <f t="shared" si="9"/>
        <v>8500</v>
      </c>
      <c r="N33" s="1157">
        <f t="shared" si="9"/>
        <v>8500</v>
      </c>
      <c r="O33" s="1157">
        <f t="shared" si="9"/>
        <v>8500</v>
      </c>
      <c r="P33" s="1157">
        <f t="shared" si="9"/>
        <v>8500</v>
      </c>
      <c r="Q33" s="1157">
        <f t="shared" si="9"/>
        <v>8500</v>
      </c>
    </row>
    <row r="34" spans="2:17" ht="12.75" customHeight="1" x14ac:dyDescent="0.2">
      <c r="B34" s="1188" t="s">
        <v>738</v>
      </c>
      <c r="C34" s="1189">
        <v>500</v>
      </c>
      <c r="D34" s="1190">
        <v>500</v>
      </c>
      <c r="E34" s="1191">
        <v>5</v>
      </c>
      <c r="F34" s="1055">
        <f t="shared" ref="F34:Q38" si="10">$E34*$C34</f>
        <v>2500</v>
      </c>
      <c r="G34" s="1055">
        <f t="shared" si="10"/>
        <v>2500</v>
      </c>
      <c r="H34" s="1055">
        <f t="shared" si="10"/>
        <v>2500</v>
      </c>
      <c r="I34" s="1055">
        <f t="shared" si="10"/>
        <v>2500</v>
      </c>
      <c r="J34" s="1055">
        <f t="shared" si="10"/>
        <v>2500</v>
      </c>
      <c r="K34" s="1055">
        <f t="shared" si="10"/>
        <v>2500</v>
      </c>
      <c r="L34" s="1055">
        <f t="shared" si="10"/>
        <v>2500</v>
      </c>
      <c r="M34" s="1055">
        <f t="shared" si="10"/>
        <v>2500</v>
      </c>
      <c r="N34" s="1055">
        <f t="shared" si="10"/>
        <v>2500</v>
      </c>
      <c r="O34" s="1055">
        <f t="shared" si="10"/>
        <v>2500</v>
      </c>
      <c r="P34" s="1055">
        <f t="shared" si="10"/>
        <v>2500</v>
      </c>
      <c r="Q34" s="1055">
        <f t="shared" si="10"/>
        <v>2500</v>
      </c>
    </row>
    <row r="35" spans="2:17" ht="25.5" customHeight="1" x14ac:dyDescent="0.2">
      <c r="B35" s="1192" t="s">
        <v>626</v>
      </c>
      <c r="C35" s="1193">
        <v>500</v>
      </c>
      <c r="D35" s="1194">
        <v>1000</v>
      </c>
      <c r="E35" s="985">
        <v>4</v>
      </c>
      <c r="F35" s="1061">
        <f t="shared" si="10"/>
        <v>2000</v>
      </c>
      <c r="G35" s="1061">
        <f t="shared" si="10"/>
        <v>2000</v>
      </c>
      <c r="H35" s="1061">
        <f t="shared" si="10"/>
        <v>2000</v>
      </c>
      <c r="I35" s="1061">
        <f t="shared" si="10"/>
        <v>2000</v>
      </c>
      <c r="J35" s="1061">
        <f t="shared" si="10"/>
        <v>2000</v>
      </c>
      <c r="K35" s="1061">
        <f t="shared" si="10"/>
        <v>2000</v>
      </c>
      <c r="L35" s="1061">
        <f t="shared" si="10"/>
        <v>2000</v>
      </c>
      <c r="M35" s="1061">
        <f t="shared" si="10"/>
        <v>2000</v>
      </c>
      <c r="N35" s="1061">
        <f t="shared" si="10"/>
        <v>2000</v>
      </c>
      <c r="O35" s="1061">
        <f t="shared" si="10"/>
        <v>2000</v>
      </c>
      <c r="P35" s="1061">
        <f t="shared" si="10"/>
        <v>2000</v>
      </c>
      <c r="Q35" s="1061">
        <f t="shared" si="10"/>
        <v>2000</v>
      </c>
    </row>
    <row r="36" spans="2:17" ht="12.75" customHeight="1" x14ac:dyDescent="0.2">
      <c r="B36" s="1112" t="s">
        <v>782</v>
      </c>
      <c r="C36" s="1193">
        <v>500</v>
      </c>
      <c r="D36" s="1194">
        <v>2000</v>
      </c>
      <c r="E36" s="985">
        <v>3</v>
      </c>
      <c r="F36" s="1061">
        <f t="shared" si="10"/>
        <v>1500</v>
      </c>
      <c r="G36" s="1061">
        <f t="shared" si="10"/>
        <v>1500</v>
      </c>
      <c r="H36" s="1061">
        <f t="shared" si="10"/>
        <v>1500</v>
      </c>
      <c r="I36" s="1061">
        <f t="shared" si="10"/>
        <v>1500</v>
      </c>
      <c r="J36" s="1061">
        <f t="shared" si="10"/>
        <v>1500</v>
      </c>
      <c r="K36" s="1061">
        <f t="shared" si="10"/>
        <v>1500</v>
      </c>
      <c r="L36" s="1061">
        <f t="shared" si="10"/>
        <v>1500</v>
      </c>
      <c r="M36" s="1061">
        <f t="shared" si="10"/>
        <v>1500</v>
      </c>
      <c r="N36" s="1061">
        <f t="shared" si="10"/>
        <v>1500</v>
      </c>
      <c r="O36" s="1061">
        <f t="shared" si="10"/>
        <v>1500</v>
      </c>
      <c r="P36" s="1061">
        <f t="shared" si="10"/>
        <v>1500</v>
      </c>
      <c r="Q36" s="1061">
        <f t="shared" si="10"/>
        <v>1500</v>
      </c>
    </row>
    <row r="37" spans="2:17" ht="12.75" customHeight="1" x14ac:dyDescent="0.2">
      <c r="B37" s="1112" t="s">
        <v>783</v>
      </c>
      <c r="C37" s="1193">
        <v>500</v>
      </c>
      <c r="D37" s="1194">
        <v>4000</v>
      </c>
      <c r="E37" s="985">
        <v>3</v>
      </c>
      <c r="F37" s="1061">
        <f t="shared" si="10"/>
        <v>1500</v>
      </c>
      <c r="G37" s="1061">
        <f t="shared" si="10"/>
        <v>1500</v>
      </c>
      <c r="H37" s="1061">
        <f t="shared" si="10"/>
        <v>1500</v>
      </c>
      <c r="I37" s="1061">
        <f t="shared" si="10"/>
        <v>1500</v>
      </c>
      <c r="J37" s="1061">
        <f t="shared" si="10"/>
        <v>1500</v>
      </c>
      <c r="K37" s="1061">
        <f t="shared" si="10"/>
        <v>1500</v>
      </c>
      <c r="L37" s="1061">
        <f t="shared" si="10"/>
        <v>1500</v>
      </c>
      <c r="M37" s="1061">
        <f t="shared" si="10"/>
        <v>1500</v>
      </c>
      <c r="N37" s="1061">
        <f t="shared" si="10"/>
        <v>1500</v>
      </c>
      <c r="O37" s="1061">
        <f t="shared" si="10"/>
        <v>1500</v>
      </c>
      <c r="P37" s="1061">
        <f t="shared" si="10"/>
        <v>1500</v>
      </c>
      <c r="Q37" s="1061">
        <f t="shared" si="10"/>
        <v>1500</v>
      </c>
    </row>
    <row r="38" spans="2:17" ht="13.6" customHeight="1" thickBot="1" x14ac:dyDescent="0.25">
      <c r="B38" s="1195" t="s">
        <v>784</v>
      </c>
      <c r="C38" s="1196">
        <v>500</v>
      </c>
      <c r="D38" s="1197">
        <v>6000</v>
      </c>
      <c r="E38" s="1198">
        <v>2</v>
      </c>
      <c r="F38" s="1199">
        <f t="shared" si="10"/>
        <v>1000</v>
      </c>
      <c r="G38" s="1199">
        <f t="shared" si="10"/>
        <v>1000</v>
      </c>
      <c r="H38" s="1199">
        <f t="shared" si="10"/>
        <v>1000</v>
      </c>
      <c r="I38" s="1199">
        <f t="shared" si="10"/>
        <v>1000</v>
      </c>
      <c r="J38" s="1199">
        <f t="shared" si="10"/>
        <v>1000</v>
      </c>
      <c r="K38" s="1199">
        <f t="shared" si="10"/>
        <v>1000</v>
      </c>
      <c r="L38" s="1199">
        <f t="shared" si="10"/>
        <v>1000</v>
      </c>
      <c r="M38" s="1199">
        <f t="shared" si="10"/>
        <v>1000</v>
      </c>
      <c r="N38" s="1199">
        <f t="shared" si="10"/>
        <v>1000</v>
      </c>
      <c r="O38" s="1199">
        <f t="shared" si="10"/>
        <v>1000</v>
      </c>
      <c r="P38" s="1199">
        <f t="shared" si="10"/>
        <v>1000</v>
      </c>
      <c r="Q38" s="1199">
        <f t="shared" si="10"/>
        <v>1000</v>
      </c>
    </row>
    <row r="39" spans="2:17" ht="36" customHeight="1" thickBot="1" x14ac:dyDescent="0.3">
      <c r="B39" s="1186" t="s">
        <v>356</v>
      </c>
      <c r="C39" s="1187"/>
      <c r="D39" s="1049"/>
      <c r="E39" s="1049"/>
      <c r="F39" s="1157">
        <f t="shared" ref="F39:Q39" si="11">SUM(F40:F77)</f>
        <v>76200</v>
      </c>
      <c r="G39" s="1157">
        <f t="shared" si="11"/>
        <v>217800</v>
      </c>
      <c r="H39" s="1157">
        <f t="shared" si="11"/>
        <v>316800</v>
      </c>
      <c r="I39" s="1157">
        <f t="shared" si="11"/>
        <v>242800</v>
      </c>
      <c r="J39" s="1157">
        <f t="shared" si="11"/>
        <v>145700</v>
      </c>
      <c r="K39" s="1157">
        <f t="shared" si="11"/>
        <v>349300</v>
      </c>
      <c r="L39" s="1157">
        <f t="shared" si="11"/>
        <v>182300</v>
      </c>
      <c r="M39" s="1157">
        <f t="shared" si="11"/>
        <v>297300</v>
      </c>
      <c r="N39" s="1157">
        <f t="shared" si="11"/>
        <v>270700</v>
      </c>
      <c r="O39" s="1157">
        <f t="shared" si="11"/>
        <v>244800</v>
      </c>
      <c r="P39" s="1157">
        <f t="shared" si="11"/>
        <v>209800</v>
      </c>
      <c r="Q39" s="1157">
        <f t="shared" si="11"/>
        <v>274800</v>
      </c>
    </row>
    <row r="40" spans="2:17" ht="12.75" customHeight="1" x14ac:dyDescent="0.25">
      <c r="B40" s="1200" t="s">
        <v>627</v>
      </c>
      <c r="C40" s="1201"/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  <c r="O40" s="1052"/>
      <c r="P40" s="1052"/>
      <c r="Q40" s="1052"/>
    </row>
    <row r="41" spans="2:17" ht="12.75" customHeight="1" x14ac:dyDescent="0.2">
      <c r="B41" s="1056" t="s">
        <v>785</v>
      </c>
      <c r="C41" s="1193">
        <v>2500</v>
      </c>
      <c r="D41" s="1202">
        <v>6000</v>
      </c>
      <c r="E41" s="1094">
        <v>1</v>
      </c>
      <c r="F41" s="1178">
        <f t="shared" ref="F41:Q41" si="12">$C41*$E41</f>
        <v>2500</v>
      </c>
      <c r="G41" s="1178">
        <f t="shared" si="12"/>
        <v>2500</v>
      </c>
      <c r="H41" s="1178">
        <f t="shared" si="12"/>
        <v>2500</v>
      </c>
      <c r="I41" s="1178">
        <f t="shared" si="12"/>
        <v>2500</v>
      </c>
      <c r="J41" s="1178">
        <f t="shared" si="12"/>
        <v>2500</v>
      </c>
      <c r="K41" s="1178">
        <f t="shared" si="12"/>
        <v>2500</v>
      </c>
      <c r="L41" s="1178">
        <f t="shared" si="12"/>
        <v>2500</v>
      </c>
      <c r="M41" s="1178">
        <f t="shared" si="12"/>
        <v>2500</v>
      </c>
      <c r="N41" s="1178">
        <f t="shared" si="12"/>
        <v>2500</v>
      </c>
      <c r="O41" s="1178">
        <f t="shared" si="12"/>
        <v>2500</v>
      </c>
      <c r="P41" s="1178">
        <f t="shared" si="12"/>
        <v>2500</v>
      </c>
      <c r="Q41" s="1178">
        <f t="shared" si="12"/>
        <v>2500</v>
      </c>
    </row>
    <row r="42" spans="2:17" ht="12.75" customHeight="1" x14ac:dyDescent="0.2">
      <c r="B42" s="1056" t="s">
        <v>786</v>
      </c>
      <c r="C42" s="1193">
        <v>5000</v>
      </c>
      <c r="D42" s="1202">
        <v>12000</v>
      </c>
      <c r="E42" s="1094">
        <v>1</v>
      </c>
      <c r="F42" s="1178">
        <v>0</v>
      </c>
      <c r="G42" s="1178">
        <f>$C42*$E42</f>
        <v>5000</v>
      </c>
      <c r="H42" s="1178">
        <v>0</v>
      </c>
      <c r="I42" s="1178">
        <f>$C42*$E42</f>
        <v>5000</v>
      </c>
      <c r="J42" s="1178">
        <v>0</v>
      </c>
      <c r="K42" s="1178">
        <f>$C42*$E42</f>
        <v>5000</v>
      </c>
      <c r="L42" s="1178">
        <v>0</v>
      </c>
      <c r="M42" s="1178">
        <f>$C42*$E42</f>
        <v>5000</v>
      </c>
      <c r="N42" s="1178">
        <v>0</v>
      </c>
      <c r="O42" s="1178">
        <f>$C42*$E42</f>
        <v>5000</v>
      </c>
      <c r="P42" s="1178">
        <v>0</v>
      </c>
      <c r="Q42" s="1178">
        <f>$C42*$E42</f>
        <v>5000</v>
      </c>
    </row>
    <row r="43" spans="2:17" ht="12.75" customHeight="1" x14ac:dyDescent="0.2">
      <c r="B43" s="1056" t="s">
        <v>787</v>
      </c>
      <c r="C43" s="1193">
        <v>12000</v>
      </c>
      <c r="D43" s="1202">
        <v>10000</v>
      </c>
      <c r="E43" s="1094">
        <v>1</v>
      </c>
      <c r="F43" s="1178">
        <v>0</v>
      </c>
      <c r="G43" s="1178">
        <f>$C43*$E43</f>
        <v>12000</v>
      </c>
      <c r="H43" s="1178">
        <v>0</v>
      </c>
      <c r="I43" s="1178">
        <f>$C43*$E43</f>
        <v>12000</v>
      </c>
      <c r="J43" s="1178">
        <f>$C43*$E43</f>
        <v>12000</v>
      </c>
      <c r="K43" s="1178">
        <v>0</v>
      </c>
      <c r="L43" s="1178">
        <f>$C43*$E43</f>
        <v>12000</v>
      </c>
      <c r="M43" s="1178">
        <v>0</v>
      </c>
      <c r="N43" s="1178">
        <f>$C43*$E43</f>
        <v>12000</v>
      </c>
      <c r="O43" s="1178">
        <f>$C43*$E43</f>
        <v>12000</v>
      </c>
      <c r="P43" s="1178">
        <v>0</v>
      </c>
      <c r="Q43" s="1178">
        <f>$C43*$E43</f>
        <v>12000</v>
      </c>
    </row>
    <row r="44" spans="2:17" ht="12.75" customHeight="1" x14ac:dyDescent="0.2">
      <c r="B44" s="1056" t="s">
        <v>788</v>
      </c>
      <c r="C44" s="1193">
        <v>7500</v>
      </c>
      <c r="D44" s="1202">
        <v>12000</v>
      </c>
      <c r="E44" s="1094">
        <v>1</v>
      </c>
      <c r="F44" s="1178">
        <v>0</v>
      </c>
      <c r="G44" s="1178">
        <f>$C44*$E44</f>
        <v>7500</v>
      </c>
      <c r="H44" s="1178">
        <v>0</v>
      </c>
      <c r="I44" s="1178">
        <f>$C44*$E44</f>
        <v>7500</v>
      </c>
      <c r="J44" s="1178">
        <v>0</v>
      </c>
      <c r="K44" s="1178">
        <f>$C44*$E44</f>
        <v>7500</v>
      </c>
      <c r="L44" s="1178">
        <v>0</v>
      </c>
      <c r="M44" s="1178">
        <f>$C44*$E44</f>
        <v>7500</v>
      </c>
      <c r="N44" s="1178">
        <v>0</v>
      </c>
      <c r="O44" s="1178">
        <f>$C44*$E44</f>
        <v>7500</v>
      </c>
      <c r="P44" s="1178">
        <v>0</v>
      </c>
      <c r="Q44" s="1178">
        <f>$C44*$E44</f>
        <v>7500</v>
      </c>
    </row>
    <row r="45" spans="2:17" ht="12.75" customHeight="1" x14ac:dyDescent="0.2">
      <c r="B45" s="1056" t="s">
        <v>789</v>
      </c>
      <c r="C45" s="1193">
        <v>48000</v>
      </c>
      <c r="D45" s="1202">
        <v>18000</v>
      </c>
      <c r="E45" s="1094">
        <v>1</v>
      </c>
      <c r="F45" s="1178">
        <v>0</v>
      </c>
      <c r="G45" s="1178">
        <v>0</v>
      </c>
      <c r="H45" s="1178">
        <f>$C45*$E45</f>
        <v>48000</v>
      </c>
      <c r="I45" s="1178">
        <v>0</v>
      </c>
      <c r="J45" s="1178">
        <v>0</v>
      </c>
      <c r="K45" s="1178">
        <f>C45*1.5</f>
        <v>72000</v>
      </c>
      <c r="L45" s="1178">
        <v>0</v>
      </c>
      <c r="M45" s="1178">
        <v>0</v>
      </c>
      <c r="N45" s="1178">
        <v>0</v>
      </c>
      <c r="O45" s="1178">
        <v>0</v>
      </c>
      <c r="P45" s="1178">
        <v>0</v>
      </c>
      <c r="Q45" s="1178">
        <v>0</v>
      </c>
    </row>
    <row r="46" spans="2:17" ht="12.75" customHeight="1" x14ac:dyDescent="0.2">
      <c r="B46" s="1056" t="s">
        <v>790</v>
      </c>
      <c r="C46" s="1193">
        <v>120000</v>
      </c>
      <c r="D46" s="1202">
        <v>54000</v>
      </c>
      <c r="E46" s="1094">
        <v>1</v>
      </c>
      <c r="F46" s="1178">
        <v>0</v>
      </c>
      <c r="G46" s="1178">
        <v>0</v>
      </c>
      <c r="H46" s="1178">
        <v>0</v>
      </c>
      <c r="I46" s="1178">
        <v>0</v>
      </c>
      <c r="J46" s="1178">
        <v>0</v>
      </c>
      <c r="K46" s="1178">
        <v>0</v>
      </c>
      <c r="L46" s="1178">
        <v>0</v>
      </c>
      <c r="M46" s="1178">
        <v>0</v>
      </c>
      <c r="N46" s="1178">
        <f>$C46*$E46</f>
        <v>120000</v>
      </c>
      <c r="O46" s="1178">
        <v>0</v>
      </c>
      <c r="P46" s="1178">
        <v>0</v>
      </c>
      <c r="Q46" s="1178">
        <v>0</v>
      </c>
    </row>
    <row r="47" spans="2:17" ht="12.75" customHeight="1" x14ac:dyDescent="0.25">
      <c r="B47" s="1203" t="s">
        <v>629</v>
      </c>
      <c r="C47" s="1123"/>
      <c r="D47" s="1058"/>
      <c r="E47" s="1132"/>
      <c r="F47" s="1058"/>
      <c r="G47" s="1058"/>
      <c r="H47" s="1058"/>
      <c r="I47" s="1058"/>
      <c r="J47" s="1058"/>
      <c r="K47" s="1058"/>
      <c r="L47" s="1058"/>
      <c r="M47" s="1058"/>
      <c r="N47" s="1058"/>
      <c r="O47" s="1058"/>
      <c r="P47" s="1058"/>
      <c r="Q47" s="1058"/>
    </row>
    <row r="48" spans="2:17" ht="12.75" customHeight="1" x14ac:dyDescent="0.2">
      <c r="B48" s="1056" t="s">
        <v>791</v>
      </c>
      <c r="C48" s="1193">
        <v>6000</v>
      </c>
      <c r="D48" s="1202">
        <v>8000</v>
      </c>
      <c r="E48" s="1094">
        <v>2</v>
      </c>
      <c r="F48" s="1178">
        <v>0</v>
      </c>
      <c r="G48" s="1178">
        <f>$C48*$E48</f>
        <v>12000</v>
      </c>
      <c r="H48" s="1178">
        <f>$C48*$E48</f>
        <v>12000</v>
      </c>
      <c r="I48" s="1178">
        <f>$C48*$E48</f>
        <v>12000</v>
      </c>
      <c r="J48" s="1178">
        <v>0</v>
      </c>
      <c r="K48" s="1178">
        <f>$C48*$E48</f>
        <v>12000</v>
      </c>
      <c r="L48" s="1178">
        <f>$C48*$E48</f>
        <v>12000</v>
      </c>
      <c r="M48" s="1178">
        <f>$C48*$E48</f>
        <v>12000</v>
      </c>
      <c r="N48" s="1178">
        <v>0</v>
      </c>
      <c r="O48" s="1178">
        <f>$C48*$E48</f>
        <v>12000</v>
      </c>
      <c r="P48" s="1178">
        <f>$C48*$E48</f>
        <v>12000</v>
      </c>
      <c r="Q48" s="1178">
        <f>$C48*$E48</f>
        <v>12000</v>
      </c>
    </row>
    <row r="49" spans="2:17" ht="12.75" customHeight="1" x14ac:dyDescent="0.2">
      <c r="B49" s="1056" t="s">
        <v>792</v>
      </c>
      <c r="C49" s="1193">
        <v>15000</v>
      </c>
      <c r="D49" s="1202">
        <v>16000</v>
      </c>
      <c r="E49" s="1094">
        <v>2</v>
      </c>
      <c r="F49" s="1178">
        <v>0</v>
      </c>
      <c r="G49" s="1178">
        <v>0</v>
      </c>
      <c r="H49" s="1178">
        <f>$C49*$E49</f>
        <v>30000</v>
      </c>
      <c r="I49" s="1178">
        <v>0</v>
      </c>
      <c r="J49" s="1178">
        <v>0</v>
      </c>
      <c r="K49" s="1178">
        <f>$C49*$E49</f>
        <v>30000</v>
      </c>
      <c r="L49" s="1178">
        <v>0</v>
      </c>
      <c r="M49" s="1178">
        <f>$C49*$E49</f>
        <v>30000</v>
      </c>
      <c r="N49" s="1178">
        <v>0</v>
      </c>
      <c r="O49" s="1178">
        <v>0</v>
      </c>
      <c r="P49" s="1178">
        <f>$C49*$E49</f>
        <v>30000</v>
      </c>
      <c r="Q49" s="1178">
        <v>0</v>
      </c>
    </row>
    <row r="50" spans="2:17" ht="12.75" customHeight="1" x14ac:dyDescent="0.2">
      <c r="B50" s="1056" t="s">
        <v>793</v>
      </c>
      <c r="C50" s="1193">
        <v>8000</v>
      </c>
      <c r="D50" s="1202">
        <v>15000</v>
      </c>
      <c r="E50" s="1094">
        <v>2</v>
      </c>
      <c r="F50" s="1178">
        <v>0</v>
      </c>
      <c r="G50" s="1178">
        <v>0</v>
      </c>
      <c r="H50" s="1178">
        <f>$C50*$E50</f>
        <v>16000</v>
      </c>
      <c r="I50" s="1178">
        <v>0</v>
      </c>
      <c r="J50" s="1178">
        <f>$C50*$E50</f>
        <v>16000</v>
      </c>
      <c r="K50" s="1178">
        <v>0</v>
      </c>
      <c r="L50" s="1178">
        <v>0</v>
      </c>
      <c r="M50" s="1178">
        <f>$C50*$E50</f>
        <v>16000</v>
      </c>
      <c r="N50" s="1178">
        <v>0</v>
      </c>
      <c r="O50" s="1178">
        <f>$C50*$E50</f>
        <v>16000</v>
      </c>
      <c r="P50" s="1178">
        <v>0</v>
      </c>
      <c r="Q50" s="1178">
        <v>0</v>
      </c>
    </row>
    <row r="51" spans="2:17" ht="12.75" customHeight="1" x14ac:dyDescent="0.2">
      <c r="B51" s="1056" t="s">
        <v>794</v>
      </c>
      <c r="C51" s="1193">
        <v>32000</v>
      </c>
      <c r="D51" s="1202">
        <v>5000</v>
      </c>
      <c r="E51" s="1094">
        <v>2</v>
      </c>
      <c r="F51" s="1178">
        <f>$C51*$E51</f>
        <v>64000</v>
      </c>
      <c r="G51" s="1178">
        <f>$C51*$E51</f>
        <v>64000</v>
      </c>
      <c r="H51" s="1178">
        <f>$C51*$E51</f>
        <v>64000</v>
      </c>
      <c r="I51" s="1178">
        <f>$C51*$E51</f>
        <v>64000</v>
      </c>
      <c r="J51" s="1178">
        <f>$C51*$E51</f>
        <v>64000</v>
      </c>
      <c r="K51" s="1178">
        <f>$C51*$E51</f>
        <v>64000</v>
      </c>
      <c r="L51" s="1178">
        <f>$C51*$E51</f>
        <v>64000</v>
      </c>
      <c r="M51" s="1178">
        <f>$C51*$E51</f>
        <v>64000</v>
      </c>
      <c r="N51" s="1178">
        <f>$C51*$E51</f>
        <v>64000</v>
      </c>
      <c r="O51" s="1178">
        <f>$C51*$E51</f>
        <v>64000</v>
      </c>
      <c r="P51" s="1178">
        <f>$C51*$E51</f>
        <v>64000</v>
      </c>
      <c r="Q51" s="1178">
        <f>$C51*$E51</f>
        <v>64000</v>
      </c>
    </row>
    <row r="52" spans="2:17" ht="12.75" customHeight="1" x14ac:dyDescent="0.2">
      <c r="B52" s="1056" t="s">
        <v>795</v>
      </c>
      <c r="C52" s="1193">
        <v>8000</v>
      </c>
      <c r="D52" s="1202">
        <v>10000</v>
      </c>
      <c r="E52" s="1094">
        <v>2</v>
      </c>
      <c r="F52" s="1178">
        <v>0</v>
      </c>
      <c r="G52" s="1178">
        <f>$C52*$E52</f>
        <v>16000</v>
      </c>
      <c r="H52" s="1178">
        <v>0</v>
      </c>
      <c r="I52" s="1178">
        <f>$C52*$E52</f>
        <v>16000</v>
      </c>
      <c r="J52" s="1178">
        <f>$C52*$E52</f>
        <v>16000</v>
      </c>
      <c r="K52" s="1178">
        <v>0</v>
      </c>
      <c r="L52" s="1178">
        <f>$C52*$E52</f>
        <v>16000</v>
      </c>
      <c r="M52" s="1178">
        <v>0</v>
      </c>
      <c r="N52" s="1178">
        <f>$C52*$E52</f>
        <v>16000</v>
      </c>
      <c r="O52" s="1178">
        <f>$C52*$E52</f>
        <v>16000</v>
      </c>
      <c r="P52" s="1178">
        <v>0</v>
      </c>
      <c r="Q52" s="1178">
        <f>$C52*$E52</f>
        <v>16000</v>
      </c>
    </row>
    <row r="53" spans="2:17" ht="12.75" customHeight="1" x14ac:dyDescent="0.2">
      <c r="B53" s="1056" t="s">
        <v>796</v>
      </c>
      <c r="C53" s="1193">
        <v>35000</v>
      </c>
      <c r="D53" s="1202">
        <v>8000</v>
      </c>
      <c r="E53" s="1094">
        <v>1</v>
      </c>
      <c r="F53" s="1178">
        <v>0</v>
      </c>
      <c r="G53" s="1178">
        <f>$C53*$E53</f>
        <v>35000</v>
      </c>
      <c r="H53" s="1178">
        <f>$C53*$E53</f>
        <v>35000</v>
      </c>
      <c r="I53" s="1178">
        <f>$C53*$E53</f>
        <v>35000</v>
      </c>
      <c r="J53" s="1178">
        <v>0</v>
      </c>
      <c r="K53" s="1178">
        <f>$C53*$E53</f>
        <v>35000</v>
      </c>
      <c r="L53" s="1178">
        <f>$C53*$E53</f>
        <v>35000</v>
      </c>
      <c r="M53" s="1178">
        <f>$C53*$E53</f>
        <v>35000</v>
      </c>
      <c r="N53" s="1178">
        <v>0</v>
      </c>
      <c r="O53" s="1178">
        <f>$C53*$E53</f>
        <v>35000</v>
      </c>
      <c r="P53" s="1178">
        <f>$C53*$E53</f>
        <v>35000</v>
      </c>
      <c r="Q53" s="1178">
        <f>$C53*$E53</f>
        <v>35000</v>
      </c>
    </row>
    <row r="54" spans="2:17" ht="12.75" customHeight="1" x14ac:dyDescent="0.25">
      <c r="B54" s="1203" t="s">
        <v>638</v>
      </c>
      <c r="C54" s="1123"/>
      <c r="D54" s="1058"/>
      <c r="E54" s="1132"/>
      <c r="F54" s="1058"/>
      <c r="G54" s="1058"/>
      <c r="H54" s="1058"/>
      <c r="I54" s="1058"/>
      <c r="J54" s="1058"/>
      <c r="K54" s="1058"/>
      <c r="L54" s="1058"/>
      <c r="M54" s="1058"/>
      <c r="N54" s="1058"/>
      <c r="O54" s="1058"/>
      <c r="P54" s="1058"/>
      <c r="Q54" s="1058"/>
    </row>
    <row r="55" spans="2:17" ht="12.75" customHeight="1" x14ac:dyDescent="0.2">
      <c r="B55" s="1056" t="s">
        <v>797</v>
      </c>
      <c r="C55" s="1193">
        <v>6000</v>
      </c>
      <c r="D55" s="1202">
        <v>8000</v>
      </c>
      <c r="E55" s="1094">
        <v>2</v>
      </c>
      <c r="F55" s="1178">
        <v>0</v>
      </c>
      <c r="G55" s="1178">
        <f>$C55*$E55</f>
        <v>12000</v>
      </c>
      <c r="H55" s="1178">
        <f>$C55*$E55</f>
        <v>12000</v>
      </c>
      <c r="I55" s="1178">
        <f>$C55*$E55</f>
        <v>12000</v>
      </c>
      <c r="J55" s="1178">
        <v>0</v>
      </c>
      <c r="K55" s="1178">
        <f>$C55*$E55</f>
        <v>12000</v>
      </c>
      <c r="L55" s="1178">
        <f>$C55*$E55</f>
        <v>12000</v>
      </c>
      <c r="M55" s="1178">
        <f>$C55*$E55</f>
        <v>12000</v>
      </c>
      <c r="N55" s="1178">
        <v>0</v>
      </c>
      <c r="O55" s="1178">
        <f>$C55*$E55</f>
        <v>12000</v>
      </c>
      <c r="P55" s="1178">
        <f>$C55*$E55</f>
        <v>12000</v>
      </c>
      <c r="Q55" s="1178">
        <f>$C55*$E55</f>
        <v>12000</v>
      </c>
    </row>
    <row r="56" spans="2:17" ht="12.75" customHeight="1" x14ac:dyDescent="0.2">
      <c r="B56" s="1056" t="s">
        <v>798</v>
      </c>
      <c r="C56" s="1193">
        <v>18000</v>
      </c>
      <c r="D56" s="1202">
        <v>16000</v>
      </c>
      <c r="E56" s="1094">
        <v>2</v>
      </c>
      <c r="F56" s="1178">
        <v>0</v>
      </c>
      <c r="G56" s="1178">
        <v>0</v>
      </c>
      <c r="H56" s="1178">
        <f>$C56*$E56</f>
        <v>36000</v>
      </c>
      <c r="I56" s="1178">
        <v>0</v>
      </c>
      <c r="J56" s="1178">
        <v>0</v>
      </c>
      <c r="K56" s="1178">
        <f>$C56*$E56</f>
        <v>36000</v>
      </c>
      <c r="L56" s="1178">
        <v>0</v>
      </c>
      <c r="M56" s="1178">
        <f>$C56*$E56</f>
        <v>36000</v>
      </c>
      <c r="N56" s="1178">
        <v>0</v>
      </c>
      <c r="O56" s="1178">
        <v>0</v>
      </c>
      <c r="P56" s="1178">
        <f>$C56*$E56</f>
        <v>36000</v>
      </c>
      <c r="Q56" s="1178">
        <v>0</v>
      </c>
    </row>
    <row r="57" spans="2:17" ht="12.75" customHeight="1" x14ac:dyDescent="0.2">
      <c r="B57" s="1056" t="s">
        <v>799</v>
      </c>
      <c r="C57" s="1193">
        <v>4500</v>
      </c>
      <c r="D57" s="1202">
        <v>12000</v>
      </c>
      <c r="E57" s="1094">
        <v>1</v>
      </c>
      <c r="F57" s="1178">
        <v>0</v>
      </c>
      <c r="G57" s="1178">
        <f>$C57*$E57</f>
        <v>4500</v>
      </c>
      <c r="H57" s="1178">
        <v>0</v>
      </c>
      <c r="I57" s="1178">
        <f>$C57*$E57</f>
        <v>4500</v>
      </c>
      <c r="J57" s="1178">
        <v>0</v>
      </c>
      <c r="K57" s="1178">
        <f>$C57*$E57</f>
        <v>4500</v>
      </c>
      <c r="L57" s="1178">
        <v>0</v>
      </c>
      <c r="M57" s="1178">
        <f>$C57*$E57</f>
        <v>4500</v>
      </c>
      <c r="N57" s="1178">
        <v>0</v>
      </c>
      <c r="O57" s="1178">
        <f>$C57*$E57</f>
        <v>4500</v>
      </c>
      <c r="P57" s="1178">
        <v>0</v>
      </c>
      <c r="Q57" s="1178">
        <f>$C57*$E57</f>
        <v>4500</v>
      </c>
    </row>
    <row r="58" spans="2:17" ht="12.75" customHeight="1" x14ac:dyDescent="0.2">
      <c r="B58" s="1056" t="s">
        <v>800</v>
      </c>
      <c r="C58" s="1193">
        <v>5000</v>
      </c>
      <c r="D58" s="1202">
        <v>15000</v>
      </c>
      <c r="E58" s="1094">
        <v>1</v>
      </c>
      <c r="F58" s="1178">
        <v>0</v>
      </c>
      <c r="G58" s="1178">
        <v>0</v>
      </c>
      <c r="H58" s="1178">
        <f>$C58*$E58</f>
        <v>5000</v>
      </c>
      <c r="I58" s="1178">
        <v>0</v>
      </c>
      <c r="J58" s="1178">
        <f>$C58*$E58</f>
        <v>5000</v>
      </c>
      <c r="K58" s="1178">
        <v>0</v>
      </c>
      <c r="L58" s="1178">
        <v>0</v>
      </c>
      <c r="M58" s="1178">
        <f>$C58*$E58</f>
        <v>5000</v>
      </c>
      <c r="N58" s="1178">
        <v>0</v>
      </c>
      <c r="O58" s="1178">
        <f>$C58*$E58</f>
        <v>5000</v>
      </c>
      <c r="P58" s="1178">
        <v>0</v>
      </c>
      <c r="Q58" s="1178">
        <v>0</v>
      </c>
    </row>
    <row r="59" spans="2:17" ht="12.75" customHeight="1" x14ac:dyDescent="0.2">
      <c r="B59" s="1056" t="s">
        <v>801</v>
      </c>
      <c r="C59" s="1193">
        <v>2500</v>
      </c>
      <c r="D59" s="1202">
        <v>6000</v>
      </c>
      <c r="E59" s="1094">
        <v>1</v>
      </c>
      <c r="F59" s="1178">
        <f>$C59*$E59</f>
        <v>2500</v>
      </c>
      <c r="G59" s="1178">
        <f>$C59*$E59</f>
        <v>2500</v>
      </c>
      <c r="H59" s="1178">
        <f>$C59*$E59</f>
        <v>2500</v>
      </c>
      <c r="I59" s="1178">
        <f>$C59*$E59</f>
        <v>2500</v>
      </c>
      <c r="J59" s="1178">
        <f>$C59*$E59</f>
        <v>2500</v>
      </c>
      <c r="K59" s="1178">
        <f>$C59*$E59</f>
        <v>2500</v>
      </c>
      <c r="L59" s="1178">
        <f>$C59*$E59</f>
        <v>2500</v>
      </c>
      <c r="M59" s="1178">
        <f>$C59*$E59</f>
        <v>2500</v>
      </c>
      <c r="N59" s="1178">
        <f>$C59*$E59</f>
        <v>2500</v>
      </c>
      <c r="O59" s="1178">
        <f>$C59*$E59</f>
        <v>2500</v>
      </c>
      <c r="P59" s="1178">
        <f>$C59*$E59</f>
        <v>2500</v>
      </c>
      <c r="Q59" s="1178">
        <f>$C59*$E59</f>
        <v>2500</v>
      </c>
    </row>
    <row r="60" spans="2:17" ht="12.75" customHeight="1" x14ac:dyDescent="0.25">
      <c r="B60" s="1203" t="s">
        <v>645</v>
      </c>
      <c r="C60" s="1123"/>
      <c r="D60" s="1058"/>
      <c r="E60" s="1132"/>
      <c r="F60" s="1058"/>
      <c r="G60" s="1058"/>
      <c r="H60" s="1058"/>
      <c r="I60" s="1058"/>
      <c r="J60" s="1058"/>
      <c r="K60" s="1058"/>
      <c r="L60" s="1058"/>
      <c r="M60" s="1058"/>
      <c r="N60" s="1058"/>
      <c r="O60" s="1058"/>
      <c r="P60" s="1058"/>
      <c r="Q60" s="1058"/>
    </row>
    <row r="61" spans="2:17" ht="12.75" customHeight="1" x14ac:dyDescent="0.2">
      <c r="B61" s="1056" t="s">
        <v>802</v>
      </c>
      <c r="C61" s="1193">
        <v>5000</v>
      </c>
      <c r="D61" s="1202">
        <v>10000</v>
      </c>
      <c r="E61" s="1094">
        <v>2</v>
      </c>
      <c r="F61" s="1178">
        <v>0</v>
      </c>
      <c r="G61" s="1178">
        <f>$C61*$E61</f>
        <v>10000</v>
      </c>
      <c r="H61" s="1178">
        <v>0</v>
      </c>
      <c r="I61" s="1178">
        <f>$C61*$E61</f>
        <v>10000</v>
      </c>
      <c r="J61" s="1178">
        <f>$C61*$E61</f>
        <v>10000</v>
      </c>
      <c r="K61" s="1178">
        <v>0</v>
      </c>
      <c r="L61" s="1178">
        <f>$C61*$E61</f>
        <v>10000</v>
      </c>
      <c r="M61" s="1178">
        <v>0</v>
      </c>
      <c r="N61" s="1178">
        <f>$C61*$E61</f>
        <v>10000</v>
      </c>
      <c r="O61" s="1178">
        <f>$C61*$E61</f>
        <v>10000</v>
      </c>
      <c r="P61" s="1178">
        <v>0</v>
      </c>
      <c r="Q61" s="1178">
        <f>$C61*$E61</f>
        <v>10000</v>
      </c>
    </row>
    <row r="62" spans="2:17" ht="12.75" customHeight="1" x14ac:dyDescent="0.2">
      <c r="B62" s="1056" t="s">
        <v>803</v>
      </c>
      <c r="C62" s="1193">
        <v>9000</v>
      </c>
      <c r="D62" s="1202">
        <v>18000</v>
      </c>
      <c r="E62" s="1094">
        <v>2</v>
      </c>
      <c r="F62" s="1178">
        <v>0</v>
      </c>
      <c r="G62" s="1178">
        <v>0</v>
      </c>
      <c r="H62" s="1178">
        <f>$C62*$E62</f>
        <v>18000</v>
      </c>
      <c r="I62" s="1178">
        <v>0</v>
      </c>
      <c r="J62" s="1178">
        <v>0</v>
      </c>
      <c r="K62" s="1178">
        <f>$C62*$E62</f>
        <v>18000</v>
      </c>
      <c r="L62" s="1178">
        <v>0</v>
      </c>
      <c r="M62" s="1178">
        <v>0</v>
      </c>
      <c r="N62" s="1178">
        <f>$C62*$E62</f>
        <v>18000</v>
      </c>
      <c r="O62" s="1178">
        <v>0</v>
      </c>
      <c r="P62" s="1178">
        <v>0</v>
      </c>
      <c r="Q62" s="1178">
        <f>$C62*$E62</f>
        <v>18000</v>
      </c>
    </row>
    <row r="63" spans="2:17" ht="12.75" customHeight="1" x14ac:dyDescent="0.2">
      <c r="B63" s="1056" t="s">
        <v>804</v>
      </c>
      <c r="C63" s="1193">
        <v>14000</v>
      </c>
      <c r="D63" s="1202">
        <v>18000</v>
      </c>
      <c r="E63" s="1094">
        <v>1</v>
      </c>
      <c r="F63" s="1178">
        <v>0</v>
      </c>
      <c r="G63" s="1178">
        <v>0</v>
      </c>
      <c r="H63" s="1178">
        <f>$C63*$E63</f>
        <v>14000</v>
      </c>
      <c r="I63" s="1178">
        <v>0</v>
      </c>
      <c r="J63" s="1178">
        <v>0</v>
      </c>
      <c r="K63" s="1178">
        <f>$C63*$E63</f>
        <v>14000</v>
      </c>
      <c r="L63" s="1178">
        <v>0</v>
      </c>
      <c r="M63" s="1178">
        <v>0</v>
      </c>
      <c r="N63" s="1178">
        <f>$C63*$E63</f>
        <v>14000</v>
      </c>
      <c r="O63" s="1178">
        <v>0</v>
      </c>
      <c r="P63" s="1178">
        <v>0</v>
      </c>
      <c r="Q63" s="1178">
        <f>$C63*$E63</f>
        <v>14000</v>
      </c>
    </row>
    <row r="64" spans="2:17" ht="12.75" customHeight="1" x14ac:dyDescent="0.2">
      <c r="B64" s="1056" t="s">
        <v>805</v>
      </c>
      <c r="C64" s="1193">
        <v>2800</v>
      </c>
      <c r="D64" s="1202">
        <v>8000</v>
      </c>
      <c r="E64" s="1094">
        <v>1</v>
      </c>
      <c r="F64" s="1178">
        <v>0</v>
      </c>
      <c r="G64" s="1178">
        <f>$C64*$E64</f>
        <v>2800</v>
      </c>
      <c r="H64" s="1178">
        <f>$C64*$E64</f>
        <v>2800</v>
      </c>
      <c r="I64" s="1178">
        <f>$C64*$E64</f>
        <v>2800</v>
      </c>
      <c r="J64" s="1178">
        <v>0</v>
      </c>
      <c r="K64" s="1178">
        <f>$C64*$E64</f>
        <v>2800</v>
      </c>
      <c r="L64" s="1178">
        <f>$C64*$E64</f>
        <v>2800</v>
      </c>
      <c r="M64" s="1178">
        <f>$C64*$E64</f>
        <v>2800</v>
      </c>
      <c r="N64" s="1178">
        <v>0</v>
      </c>
      <c r="O64" s="1178">
        <f>$C64*$E64</f>
        <v>2800</v>
      </c>
      <c r="P64" s="1178">
        <f>$C64*$E64</f>
        <v>2800</v>
      </c>
      <c r="Q64" s="1178">
        <f>$C64*$E64</f>
        <v>2800</v>
      </c>
    </row>
    <row r="65" spans="2:17" ht="12.75" customHeight="1" x14ac:dyDescent="0.2">
      <c r="B65" s="1056" t="s">
        <v>806</v>
      </c>
      <c r="C65" s="1193">
        <v>6000</v>
      </c>
      <c r="D65" s="1202">
        <v>15000</v>
      </c>
      <c r="E65" s="1094">
        <v>1</v>
      </c>
      <c r="F65" s="1178">
        <v>0</v>
      </c>
      <c r="G65" s="1178">
        <v>0</v>
      </c>
      <c r="H65" s="1178">
        <f>$C65*$E65</f>
        <v>6000</v>
      </c>
      <c r="I65" s="1178">
        <v>0</v>
      </c>
      <c r="J65" s="1178">
        <f>$C65*$E65</f>
        <v>6000</v>
      </c>
      <c r="K65" s="1178">
        <v>0</v>
      </c>
      <c r="L65" s="1178">
        <v>0</v>
      </c>
      <c r="M65" s="1178">
        <f>$C65*$E65</f>
        <v>6000</v>
      </c>
      <c r="N65" s="1178">
        <v>0</v>
      </c>
      <c r="O65" s="1178">
        <f>$C65*$E65</f>
        <v>6000</v>
      </c>
      <c r="P65" s="1178">
        <v>0</v>
      </c>
      <c r="Q65" s="1178">
        <v>0</v>
      </c>
    </row>
    <row r="66" spans="2:17" ht="12.75" customHeight="1" x14ac:dyDescent="0.25">
      <c r="B66" s="1203" t="s">
        <v>649</v>
      </c>
      <c r="C66" s="1123"/>
      <c r="D66" s="1058"/>
      <c r="E66" s="1132"/>
      <c r="F66" s="1058"/>
      <c r="G66" s="1058"/>
      <c r="H66" s="1058"/>
      <c r="I66" s="1058"/>
      <c r="J66" s="1058"/>
      <c r="K66" s="1058"/>
      <c r="L66" s="1058"/>
      <c r="M66" s="1058"/>
      <c r="N66" s="1058"/>
      <c r="O66" s="1058"/>
      <c r="P66" s="1058"/>
      <c r="Q66" s="1058"/>
    </row>
    <row r="67" spans="2:17" ht="12.75" customHeight="1" x14ac:dyDescent="0.2">
      <c r="B67" s="1056" t="s">
        <v>807</v>
      </c>
      <c r="C67" s="1193">
        <v>12000</v>
      </c>
      <c r="D67" s="1202">
        <v>12000</v>
      </c>
      <c r="E67" s="1094">
        <v>1</v>
      </c>
      <c r="F67" s="1178">
        <v>0</v>
      </c>
      <c r="G67" s="1178">
        <f>$C67*$E67</f>
        <v>12000</v>
      </c>
      <c r="H67" s="1178">
        <v>0</v>
      </c>
      <c r="I67" s="1178">
        <f>$C67*$E67</f>
        <v>12000</v>
      </c>
      <c r="J67" s="1178">
        <v>0</v>
      </c>
      <c r="K67" s="1178">
        <f>$C67*$E67</f>
        <v>12000</v>
      </c>
      <c r="L67" s="1178">
        <v>0</v>
      </c>
      <c r="M67" s="1178">
        <f>$C67*$E67</f>
        <v>12000</v>
      </c>
      <c r="N67" s="1178">
        <v>0</v>
      </c>
      <c r="O67" s="1178">
        <f>$C67*$E67</f>
        <v>12000</v>
      </c>
      <c r="P67" s="1178">
        <v>0</v>
      </c>
      <c r="Q67" s="1178">
        <f>$C67*$E67</f>
        <v>12000</v>
      </c>
    </row>
    <row r="68" spans="2:17" ht="12.75" customHeight="1" x14ac:dyDescent="0.2">
      <c r="B68" s="1056" t="s">
        <v>808</v>
      </c>
      <c r="C68" s="1193">
        <v>25000</v>
      </c>
      <c r="D68" s="1202">
        <v>24000</v>
      </c>
      <c r="E68" s="1094">
        <v>1</v>
      </c>
      <c r="F68" s="1178">
        <v>0</v>
      </c>
      <c r="G68" s="1178">
        <v>0</v>
      </c>
      <c r="H68" s="1178">
        <v>0</v>
      </c>
      <c r="I68" s="1178">
        <f>$C68*$E68</f>
        <v>25000</v>
      </c>
      <c r="J68" s="1178">
        <v>0</v>
      </c>
      <c r="K68" s="1178">
        <v>0</v>
      </c>
      <c r="L68" s="1178">
        <v>0</v>
      </c>
      <c r="M68" s="1178">
        <f>$C68*$E68</f>
        <v>25000</v>
      </c>
      <c r="N68" s="1178">
        <v>0</v>
      </c>
      <c r="O68" s="1178">
        <v>0</v>
      </c>
      <c r="P68" s="1178">
        <v>0</v>
      </c>
      <c r="Q68" s="1178">
        <f>$C68*$E68</f>
        <v>25000</v>
      </c>
    </row>
    <row r="69" spans="2:17" ht="12.75" customHeight="1" x14ac:dyDescent="0.2">
      <c r="B69" s="1056" t="s">
        <v>809</v>
      </c>
      <c r="C69" s="1193">
        <v>2000</v>
      </c>
      <c r="D69" s="1202">
        <v>10000</v>
      </c>
      <c r="E69" s="1094">
        <v>1</v>
      </c>
      <c r="F69" s="1178">
        <v>0</v>
      </c>
      <c r="G69" s="1178">
        <f>$C69*$E69</f>
        <v>2000</v>
      </c>
      <c r="H69" s="1178">
        <v>0</v>
      </c>
      <c r="I69" s="1178">
        <f>$C69*$E69</f>
        <v>2000</v>
      </c>
      <c r="J69" s="1178">
        <f>$C69*$E69</f>
        <v>2000</v>
      </c>
      <c r="K69" s="1178">
        <v>0</v>
      </c>
      <c r="L69" s="1178">
        <f>$C69*$E69</f>
        <v>2000</v>
      </c>
      <c r="M69" s="1178">
        <v>0</v>
      </c>
      <c r="N69" s="1178">
        <f>$C69*$E69</f>
        <v>2000</v>
      </c>
      <c r="O69" s="1178">
        <f>$C69*$E69</f>
        <v>2000</v>
      </c>
      <c r="P69" s="1178">
        <v>0</v>
      </c>
      <c r="Q69" s="1178">
        <f>$C69*$E69</f>
        <v>2000</v>
      </c>
    </row>
    <row r="70" spans="2:17" ht="12.75" customHeight="1" x14ac:dyDescent="0.2">
      <c r="B70" s="1056" t="s">
        <v>810</v>
      </c>
      <c r="C70" s="1193">
        <v>3500</v>
      </c>
      <c r="D70" s="1202">
        <v>12000</v>
      </c>
      <c r="E70" s="1094">
        <v>1</v>
      </c>
      <c r="F70" s="1178">
        <v>0</v>
      </c>
      <c r="G70" s="1178">
        <f>$C70*$E70</f>
        <v>3500</v>
      </c>
      <c r="H70" s="1178">
        <v>0</v>
      </c>
      <c r="I70" s="1178">
        <f>$C70*$E70</f>
        <v>3500</v>
      </c>
      <c r="J70" s="1178">
        <v>0</v>
      </c>
      <c r="K70" s="1178">
        <f>$C70*$E70</f>
        <v>3500</v>
      </c>
      <c r="L70" s="1178">
        <v>0</v>
      </c>
      <c r="M70" s="1178">
        <f>$C70*$E70</f>
        <v>3500</v>
      </c>
      <c r="N70" s="1178">
        <v>0</v>
      </c>
      <c r="O70" s="1178">
        <f>$C70*$E70</f>
        <v>3500</v>
      </c>
      <c r="P70" s="1178">
        <v>0</v>
      </c>
      <c r="Q70" s="1178">
        <f>$C70*$E70</f>
        <v>3500</v>
      </c>
    </row>
    <row r="71" spans="2:17" ht="12.75" customHeight="1" x14ac:dyDescent="0.2">
      <c r="B71" s="1056" t="s">
        <v>811</v>
      </c>
      <c r="C71" s="1193">
        <v>3000</v>
      </c>
      <c r="D71" s="1202">
        <v>12000</v>
      </c>
      <c r="E71" s="1094">
        <v>1</v>
      </c>
      <c r="F71" s="1178">
        <v>0</v>
      </c>
      <c r="G71" s="1178">
        <f>$C71*$E71</f>
        <v>3000</v>
      </c>
      <c r="H71" s="1178">
        <v>0</v>
      </c>
      <c r="I71" s="1178">
        <f>$C71*$E71</f>
        <v>3000</v>
      </c>
      <c r="J71" s="1178">
        <v>0</v>
      </c>
      <c r="K71" s="1178">
        <f>$C71*$E71</f>
        <v>3000</v>
      </c>
      <c r="L71" s="1178">
        <v>0</v>
      </c>
      <c r="M71" s="1178">
        <f>$C71*$E71</f>
        <v>3000</v>
      </c>
      <c r="N71" s="1178">
        <v>0</v>
      </c>
      <c r="O71" s="1178">
        <f>$C71*$E71</f>
        <v>3000</v>
      </c>
      <c r="P71" s="1178">
        <v>0</v>
      </c>
      <c r="Q71" s="1178">
        <f>$C71*$E71</f>
        <v>3000</v>
      </c>
    </row>
    <row r="72" spans="2:17" ht="12.75" customHeight="1" x14ac:dyDescent="0.25">
      <c r="B72" s="1204" t="s">
        <v>651</v>
      </c>
      <c r="C72" s="1123"/>
      <c r="D72" s="1058"/>
      <c r="E72" s="1132"/>
      <c r="F72" s="1058"/>
      <c r="G72" s="1058"/>
      <c r="H72" s="1058"/>
      <c r="I72" s="1058"/>
      <c r="J72" s="1058"/>
      <c r="K72" s="1058"/>
      <c r="L72" s="1058"/>
      <c r="M72" s="1058"/>
      <c r="N72" s="1058"/>
      <c r="O72" s="1058"/>
      <c r="P72" s="1058"/>
      <c r="Q72" s="1058"/>
    </row>
    <row r="73" spans="2:17" ht="12.75" customHeight="1" x14ac:dyDescent="0.2">
      <c r="B73" s="1056" t="s">
        <v>812</v>
      </c>
      <c r="C73" s="1193">
        <v>1800</v>
      </c>
      <c r="D73" s="1202">
        <v>8000</v>
      </c>
      <c r="E73" s="1094">
        <v>1</v>
      </c>
      <c r="F73" s="1178">
        <v>0</v>
      </c>
      <c r="G73" s="1178">
        <f>$C73*$E73</f>
        <v>1800</v>
      </c>
      <c r="H73" s="1178">
        <f>$C73*$E73</f>
        <v>1800</v>
      </c>
      <c r="I73" s="1178">
        <f>$C73*$E73</f>
        <v>1800</v>
      </c>
      <c r="J73" s="1178">
        <v>0</v>
      </c>
      <c r="K73" s="1178">
        <f>$C73*$E73</f>
        <v>1800</v>
      </c>
      <c r="L73" s="1178">
        <f>$C73*$E73</f>
        <v>1800</v>
      </c>
      <c r="M73" s="1178">
        <f>$C73*$E73</f>
        <v>1800</v>
      </c>
      <c r="N73" s="1178">
        <v>0</v>
      </c>
      <c r="O73" s="1178">
        <f>$C73*$E73</f>
        <v>1800</v>
      </c>
      <c r="P73" s="1178">
        <f>$C73*$E73</f>
        <v>1800</v>
      </c>
      <c r="Q73" s="1178">
        <f>$C73*$E73</f>
        <v>1800</v>
      </c>
    </row>
    <row r="74" spans="2:17" ht="12.75" customHeight="1" x14ac:dyDescent="0.2">
      <c r="B74" s="1056" t="s">
        <v>813</v>
      </c>
      <c r="C74" s="1193">
        <v>4000</v>
      </c>
      <c r="D74" s="1202">
        <v>16000</v>
      </c>
      <c r="E74" s="1094">
        <v>1</v>
      </c>
      <c r="F74" s="1178">
        <v>0</v>
      </c>
      <c r="G74" s="1178">
        <v>0</v>
      </c>
      <c r="H74" s="1178">
        <f>$C74*$E74</f>
        <v>4000</v>
      </c>
      <c r="I74" s="1178">
        <v>0</v>
      </c>
      <c r="J74" s="1178">
        <v>0</v>
      </c>
      <c r="K74" s="1178">
        <f>$C74*$E74</f>
        <v>4000</v>
      </c>
      <c r="L74" s="1178">
        <v>0</v>
      </c>
      <c r="M74" s="1178">
        <f>$C74*$E74</f>
        <v>4000</v>
      </c>
      <c r="N74" s="1178">
        <v>0</v>
      </c>
      <c r="O74" s="1178">
        <v>0</v>
      </c>
      <c r="P74" s="1178">
        <f>$C74*$E74</f>
        <v>4000</v>
      </c>
      <c r="Q74" s="1178">
        <v>0</v>
      </c>
    </row>
    <row r="75" spans="2:17" ht="12.75" customHeight="1" x14ac:dyDescent="0.2">
      <c r="B75" s="1056" t="s">
        <v>814</v>
      </c>
      <c r="C75" s="1193">
        <v>2500</v>
      </c>
      <c r="D75" s="1202">
        <v>10000</v>
      </c>
      <c r="E75" s="1094">
        <v>1</v>
      </c>
      <c r="F75" s="1178">
        <v>0</v>
      </c>
      <c r="G75" s="1178">
        <f>$C75*$E75</f>
        <v>2500</v>
      </c>
      <c r="H75" s="1178">
        <v>0</v>
      </c>
      <c r="I75" s="1178">
        <f t="shared" ref="I75:J77" si="13">$C75*$E75</f>
        <v>2500</v>
      </c>
      <c r="J75" s="1178">
        <f t="shared" si="13"/>
        <v>2500</v>
      </c>
      <c r="K75" s="1178">
        <v>0</v>
      </c>
      <c r="L75" s="1178">
        <f>$C75*$E75</f>
        <v>2500</v>
      </c>
      <c r="M75" s="1178">
        <v>0</v>
      </c>
      <c r="N75" s="1178">
        <f t="shared" ref="N75:O77" si="14">$C75*$E75</f>
        <v>2500</v>
      </c>
      <c r="O75" s="1178">
        <f t="shared" si="14"/>
        <v>2500</v>
      </c>
      <c r="P75" s="1178">
        <v>0</v>
      </c>
      <c r="Q75" s="1178">
        <f>$C75*$E75</f>
        <v>2500</v>
      </c>
    </row>
    <row r="76" spans="2:17" ht="12.75" customHeight="1" x14ac:dyDescent="0.2">
      <c r="B76" s="1056" t="s">
        <v>815</v>
      </c>
      <c r="C76" s="1193">
        <v>1500</v>
      </c>
      <c r="D76" s="1202">
        <v>3000</v>
      </c>
      <c r="E76" s="1094">
        <v>4</v>
      </c>
      <c r="F76" s="1178">
        <f>$C76*$E76</f>
        <v>6000</v>
      </c>
      <c r="G76" s="1178">
        <f>$C76*$E76</f>
        <v>6000</v>
      </c>
      <c r="H76" s="1178">
        <f>$C76*$E76</f>
        <v>6000</v>
      </c>
      <c r="I76" s="1178">
        <f t="shared" si="13"/>
        <v>6000</v>
      </c>
      <c r="J76" s="1178">
        <f t="shared" si="13"/>
        <v>6000</v>
      </c>
      <c r="K76" s="1178">
        <f>$C76*$E76</f>
        <v>6000</v>
      </c>
      <c r="L76" s="1178">
        <f>$C76*$E76</f>
        <v>6000</v>
      </c>
      <c r="M76" s="1178">
        <f>$C76*$E76</f>
        <v>6000</v>
      </c>
      <c r="N76" s="1178">
        <f t="shared" si="14"/>
        <v>6000</v>
      </c>
      <c r="O76" s="1178">
        <f t="shared" si="14"/>
        <v>6000</v>
      </c>
      <c r="P76" s="1178">
        <f>$C76*$E76</f>
        <v>6000</v>
      </c>
      <c r="Q76" s="1178">
        <f>$C76*$E76</f>
        <v>6000</v>
      </c>
    </row>
    <row r="77" spans="2:17" ht="12.75" customHeight="1" x14ac:dyDescent="0.2">
      <c r="B77" s="1056" t="s">
        <v>816</v>
      </c>
      <c r="C77" s="1193">
        <v>1200</v>
      </c>
      <c r="D77" s="1202">
        <v>6000</v>
      </c>
      <c r="E77" s="1094">
        <v>1</v>
      </c>
      <c r="F77" s="1178">
        <f>$C77*$E77</f>
        <v>1200</v>
      </c>
      <c r="G77" s="1178">
        <f>$C77*$E77</f>
        <v>1200</v>
      </c>
      <c r="H77" s="1178">
        <f>$C77*$E77</f>
        <v>1200</v>
      </c>
      <c r="I77" s="1178">
        <f t="shared" si="13"/>
        <v>1200</v>
      </c>
      <c r="J77" s="1178">
        <f t="shared" si="13"/>
        <v>1200</v>
      </c>
      <c r="K77" s="1178">
        <f>$C77*$E77</f>
        <v>1200</v>
      </c>
      <c r="L77" s="1178">
        <f>$C77*$E77</f>
        <v>1200</v>
      </c>
      <c r="M77" s="1178">
        <f>$C77*$E77</f>
        <v>1200</v>
      </c>
      <c r="N77" s="1178">
        <f t="shared" si="14"/>
        <v>1200</v>
      </c>
      <c r="O77" s="1178">
        <f t="shared" si="14"/>
        <v>1200</v>
      </c>
      <c r="P77" s="1178">
        <f>$C77*$E77</f>
        <v>1200</v>
      </c>
      <c r="Q77" s="1178">
        <f>$C77*$E77</f>
        <v>1200</v>
      </c>
    </row>
  </sheetData>
  <pageMargins left="0.31527777777777799" right="0.31527777777777799" top="0.35416666666666702" bottom="0.35416666666666702" header="0.511811023622047" footer="0.511811023622047"/>
  <pageSetup paperSize="9" scale="70" orientation="landscape" horizontalDpi="300" verticalDpi="300" r:id="rId1"/>
  <rowBreaks count="1" manualBreakCount="1">
    <brk id="59" max="16383" man="1"/>
  </rowBreaks>
  <colBreaks count="1" manualBreakCount="1">
    <brk id="17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7493-0F98-4CD7-B2D6-64B009183AE0}">
  <sheetPr>
    <tabColor theme="7" tint="0.59999389629810485"/>
  </sheetPr>
  <dimension ref="A2:U83"/>
  <sheetViews>
    <sheetView showGridLines="0" zoomScale="85" zoomScaleNormal="85" zoomScaleSheetLayoutView="85" workbookViewId="0">
      <pane xSplit="4" ySplit="4" topLeftCell="E47" activePane="bottomRight" state="frozen"/>
      <selection activeCell="H47" sqref="H47"/>
      <selection pane="topRight" activeCell="H47" sqref="H47"/>
      <selection pane="bottomLeft" activeCell="H47" sqref="H47"/>
      <selection pane="bottomRight" activeCell="H47" sqref="H47"/>
    </sheetView>
  </sheetViews>
  <sheetFormatPr defaultColWidth="9.125" defaultRowHeight="12.9" x14ac:dyDescent="0.25"/>
  <cols>
    <col min="1" max="1" width="6.375" style="377" bestFit="1" customWidth="1"/>
    <col min="2" max="2" width="43" style="416" bestFit="1" customWidth="1"/>
    <col min="3" max="3" width="14.75" style="379" bestFit="1" customWidth="1"/>
    <col min="4" max="4" width="11.5" style="379" customWidth="1"/>
    <col min="5" max="16" width="10.375" style="380" bestFit="1" customWidth="1"/>
    <col min="17" max="17" width="44.25" style="377" bestFit="1" customWidth="1"/>
    <col min="18" max="18" width="14" style="377" bestFit="1" customWidth="1"/>
    <col min="19" max="16384" width="9.125" style="377"/>
  </cols>
  <sheetData>
    <row r="2" spans="1:18" ht="18" customHeight="1" x14ac:dyDescent="0.25">
      <c r="B2" s="378" t="s">
        <v>327</v>
      </c>
    </row>
    <row r="3" spans="1:18" s="381" customFormat="1" ht="27" customHeight="1" thickBot="1" x14ac:dyDescent="0.3">
      <c r="B3" s="382" t="s">
        <v>206</v>
      </c>
      <c r="C3" s="383" t="s">
        <v>865</v>
      </c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5" t="s">
        <v>329</v>
      </c>
    </row>
    <row r="4" spans="1:18" s="391" customFormat="1" ht="25.85" x14ac:dyDescent="0.25">
      <c r="A4" s="386">
        <v>1</v>
      </c>
      <c r="B4" s="387" t="s">
        <v>330</v>
      </c>
      <c r="C4" s="388" t="s">
        <v>7</v>
      </c>
      <c r="D4" s="388">
        <v>0</v>
      </c>
      <c r="E4" s="388">
        <f>D4+1</f>
        <v>1</v>
      </c>
      <c r="F4" s="388">
        <f>E4+1</f>
        <v>2</v>
      </c>
      <c r="G4" s="388">
        <f t="shared" ref="G4:N4" si="0">F4+1</f>
        <v>3</v>
      </c>
      <c r="H4" s="388">
        <f t="shared" si="0"/>
        <v>4</v>
      </c>
      <c r="I4" s="388">
        <f t="shared" si="0"/>
        <v>5</v>
      </c>
      <c r="J4" s="388">
        <f t="shared" si="0"/>
        <v>6</v>
      </c>
      <c r="K4" s="388">
        <f t="shared" si="0"/>
        <v>7</v>
      </c>
      <c r="L4" s="388">
        <f t="shared" si="0"/>
        <v>8</v>
      </c>
      <c r="M4" s="388">
        <f t="shared" si="0"/>
        <v>9</v>
      </c>
      <c r="N4" s="388">
        <f t="shared" si="0"/>
        <v>10</v>
      </c>
      <c r="O4" s="388">
        <f>N4+1</f>
        <v>11</v>
      </c>
      <c r="P4" s="388">
        <f>O4+1</f>
        <v>12</v>
      </c>
      <c r="Q4" s="389" t="s">
        <v>551</v>
      </c>
      <c r="R4" s="390"/>
    </row>
    <row r="5" spans="1:18" s="391" customFormat="1" ht="13.6" x14ac:dyDescent="0.25">
      <c r="A5" s="386">
        <f>A4+1</f>
        <v>2</v>
      </c>
      <c r="B5" s="392" t="s">
        <v>331</v>
      </c>
      <c r="C5" s="393" t="s">
        <v>20</v>
      </c>
      <c r="D5" s="1216">
        <v>270</v>
      </c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5"/>
      <c r="R5" s="390"/>
    </row>
    <row r="6" spans="1:18" ht="18" customHeight="1" x14ac:dyDescent="0.25">
      <c r="A6" s="386">
        <f t="shared" ref="A6:A69" si="1">A5+1</f>
        <v>3</v>
      </c>
      <c r="B6" s="392" t="s">
        <v>333</v>
      </c>
      <c r="C6" s="393" t="s">
        <v>334</v>
      </c>
      <c r="D6" s="1217"/>
      <c r="E6" s="1283">
        <v>0.93</v>
      </c>
      <c r="F6" s="1283">
        <v>0.93</v>
      </c>
      <c r="G6" s="1283">
        <v>0.92</v>
      </c>
      <c r="H6" s="1283">
        <v>0.92</v>
      </c>
      <c r="I6" s="1283">
        <v>0.87</v>
      </c>
      <c r="J6" s="1283">
        <v>0.9</v>
      </c>
      <c r="K6" s="1283">
        <v>0.85</v>
      </c>
      <c r="L6" s="1283">
        <v>0.9</v>
      </c>
      <c r="M6" s="1283">
        <v>0.9</v>
      </c>
      <c r="N6" s="1283">
        <v>0.85</v>
      </c>
      <c r="O6" s="1283">
        <v>0.89</v>
      </c>
      <c r="P6" s="1283">
        <v>0.89</v>
      </c>
      <c r="Q6" s="395" t="s">
        <v>335</v>
      </c>
    </row>
    <row r="7" spans="1:18" ht="16.5" customHeight="1" x14ac:dyDescent="0.25">
      <c r="A7" s="386">
        <f t="shared" si="1"/>
        <v>4</v>
      </c>
      <c r="B7" s="397" t="s">
        <v>336</v>
      </c>
      <c r="C7" s="398" t="s">
        <v>337</v>
      </c>
      <c r="D7" s="1218"/>
      <c r="E7" s="1280">
        <f>'SWDRT270B ТО'!G7</f>
        <v>206</v>
      </c>
      <c r="F7" s="1280">
        <f>'SWDRT270B ТО'!H7</f>
        <v>238</v>
      </c>
      <c r="G7" s="1280">
        <f>'SWDRT270B ТО'!I7</f>
        <v>214</v>
      </c>
      <c r="H7" s="1280">
        <f>'SWDRT270B ТО'!J7</f>
        <v>238</v>
      </c>
      <c r="I7" s="1280">
        <f>'SWDRT270B ТО'!K7</f>
        <v>206</v>
      </c>
      <c r="J7" s="1280">
        <f>'SWDRT270B ТО'!L7</f>
        <v>258</v>
      </c>
      <c r="K7" s="1280">
        <f>'SWDRT270B ТО'!M7</f>
        <v>230</v>
      </c>
      <c r="L7" s="1280">
        <f>'SWDRT270B ТО'!N7</f>
        <v>214</v>
      </c>
      <c r="M7" s="1280">
        <f>'SWDRT270B ТО'!O7</f>
        <v>238</v>
      </c>
      <c r="N7" s="1280">
        <f>'SWDRT270B ТО'!P7</f>
        <v>214</v>
      </c>
      <c r="O7" s="1280">
        <f>'SWDRT270B ТО'!Q7</f>
        <v>230</v>
      </c>
      <c r="P7" s="1280">
        <f>'SWDRT270B ТО'!R7</f>
        <v>258</v>
      </c>
      <c r="Q7" s="664"/>
    </row>
    <row r="8" spans="1:18" ht="16.5" customHeight="1" x14ac:dyDescent="0.25">
      <c r="A8" s="386">
        <f t="shared" si="1"/>
        <v>5</v>
      </c>
      <c r="B8" s="397" t="s">
        <v>338</v>
      </c>
      <c r="C8" s="398" t="s">
        <v>337</v>
      </c>
      <c r="D8" s="1218"/>
      <c r="E8" s="1280">
        <f>'SWDRT270B Рем'!F8</f>
        <v>109.66666666666667</v>
      </c>
      <c r="F8" s="1280">
        <f>'SWDRT270B Рем'!G8</f>
        <v>109.66666666666667</v>
      </c>
      <c r="G8" s="1280">
        <f>'SWDRT270B Рем'!H8</f>
        <v>109.66666666666667</v>
      </c>
      <c r="H8" s="1280">
        <f>'SWDRT270B Рем'!I8</f>
        <v>109.66666666666667</v>
      </c>
      <c r="I8" s="1280">
        <f>'SWDRT270B Рем'!J8</f>
        <v>109.66666666666667</v>
      </c>
      <c r="J8" s="1280">
        <f>'SWDRT270B Рем'!K8</f>
        <v>109.66666666666667</v>
      </c>
      <c r="K8" s="1280">
        <f>'SWDRT270B Рем'!L8</f>
        <v>109.66666666666667</v>
      </c>
      <c r="L8" s="1280">
        <f>'SWDRT270B Рем'!M8</f>
        <v>109.66666666666667</v>
      </c>
      <c r="M8" s="1280">
        <f>'SWDRT270B Рем'!N8</f>
        <v>109.66666666666667</v>
      </c>
      <c r="N8" s="1280">
        <f>'SWDRT270B Рем'!O8</f>
        <v>109.66666666666667</v>
      </c>
      <c r="O8" s="1280">
        <f>'SWDRT270B Рем'!P8</f>
        <v>109.66666666666667</v>
      </c>
      <c r="P8" s="1280">
        <f>'SWDRT270B Рем'!Q8</f>
        <v>109.66666666666667</v>
      </c>
      <c r="Q8" s="664"/>
    </row>
    <row r="9" spans="1:18" ht="16.5" customHeight="1" x14ac:dyDescent="0.25">
      <c r="A9" s="386"/>
      <c r="B9" s="397" t="s">
        <v>339</v>
      </c>
      <c r="C9" s="398" t="s">
        <v>337</v>
      </c>
      <c r="D9" s="1218"/>
      <c r="E9" s="399">
        <f>(8760-E7-E8)/12*20/60</f>
        <v>234.56481481481481</v>
      </c>
      <c r="F9" s="399">
        <f t="shared" ref="F9:P9" si="2">(8760-F7-F8)/12*20/60</f>
        <v>233.67592592592595</v>
      </c>
      <c r="G9" s="399">
        <f t="shared" si="2"/>
        <v>234.34259259259261</v>
      </c>
      <c r="H9" s="399">
        <f t="shared" si="2"/>
        <v>233.67592592592595</v>
      </c>
      <c r="I9" s="399">
        <f t="shared" si="2"/>
        <v>234.56481481481481</v>
      </c>
      <c r="J9" s="399">
        <f t="shared" si="2"/>
        <v>233.12037037037041</v>
      </c>
      <c r="K9" s="399">
        <f t="shared" si="2"/>
        <v>233.89814814814815</v>
      </c>
      <c r="L9" s="399">
        <f t="shared" si="2"/>
        <v>234.34259259259261</v>
      </c>
      <c r="M9" s="399">
        <f t="shared" si="2"/>
        <v>233.67592592592595</v>
      </c>
      <c r="N9" s="399">
        <f t="shared" si="2"/>
        <v>234.34259259259261</v>
      </c>
      <c r="O9" s="399">
        <f t="shared" si="2"/>
        <v>233.89814814814815</v>
      </c>
      <c r="P9" s="399">
        <f t="shared" si="2"/>
        <v>233.12037037037041</v>
      </c>
      <c r="Q9" s="664"/>
    </row>
    <row r="10" spans="1:18" ht="13.6" x14ac:dyDescent="0.25">
      <c r="A10" s="386">
        <f>A8+1</f>
        <v>6</v>
      </c>
      <c r="B10" s="392" t="s">
        <v>340</v>
      </c>
      <c r="C10" s="398"/>
      <c r="D10" s="1219" t="s">
        <v>819</v>
      </c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5"/>
    </row>
    <row r="11" spans="1:18" ht="13.6" x14ac:dyDescent="0.25">
      <c r="A11" s="386">
        <f t="shared" si="1"/>
        <v>7</v>
      </c>
      <c r="B11" s="392" t="s">
        <v>225</v>
      </c>
      <c r="C11" s="398" t="s">
        <v>121</v>
      </c>
      <c r="D11" s="1219">
        <v>597</v>
      </c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395"/>
    </row>
    <row r="12" spans="1:18" ht="13.6" x14ac:dyDescent="0.25">
      <c r="A12" s="386">
        <f t="shared" si="1"/>
        <v>8</v>
      </c>
      <c r="B12" s="392" t="s">
        <v>123</v>
      </c>
      <c r="C12" s="398" t="s">
        <v>124</v>
      </c>
      <c r="D12" s="1219">
        <v>10</v>
      </c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  <c r="P12" s="401"/>
      <c r="Q12" s="395"/>
    </row>
    <row r="13" spans="1:18" ht="13.6" x14ac:dyDescent="0.25">
      <c r="A13" s="386">
        <f t="shared" si="1"/>
        <v>9</v>
      </c>
      <c r="B13" s="392" t="s">
        <v>125</v>
      </c>
      <c r="C13" s="398" t="s">
        <v>124</v>
      </c>
      <c r="D13" s="1219">
        <v>10</v>
      </c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395"/>
    </row>
    <row r="14" spans="1:18" ht="13.6" x14ac:dyDescent="0.25">
      <c r="A14" s="386">
        <f t="shared" si="1"/>
        <v>10</v>
      </c>
      <c r="B14" s="392" t="s">
        <v>344</v>
      </c>
      <c r="C14" s="398" t="s">
        <v>128</v>
      </c>
      <c r="D14" s="1219">
        <v>30</v>
      </c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395"/>
    </row>
    <row r="15" spans="1:18" ht="14.3" thickBot="1" x14ac:dyDescent="0.3">
      <c r="A15" s="386"/>
      <c r="B15" s="403" t="s">
        <v>345</v>
      </c>
      <c r="C15" s="404" t="s">
        <v>128</v>
      </c>
      <c r="D15" s="1220">
        <v>45</v>
      </c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7"/>
    </row>
    <row r="16" spans="1:18" ht="20.25" customHeight="1" thickBot="1" x14ac:dyDescent="0.3">
      <c r="A16" s="386"/>
      <c r="B16" s="408" t="s">
        <v>346</v>
      </c>
      <c r="C16" s="377"/>
      <c r="D16" s="1221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</row>
    <row r="17" spans="1:21" ht="13.6" x14ac:dyDescent="0.25">
      <c r="A17" s="386">
        <f>A14+1</f>
        <v>11</v>
      </c>
      <c r="B17" s="387" t="s">
        <v>347</v>
      </c>
      <c r="C17" s="409" t="s">
        <v>348</v>
      </c>
      <c r="D17" s="1222">
        <v>90</v>
      </c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389"/>
    </row>
    <row r="18" spans="1:21" ht="13.6" x14ac:dyDescent="0.25">
      <c r="A18" s="386">
        <f>A17+1</f>
        <v>12</v>
      </c>
      <c r="B18" s="412" t="s">
        <v>349</v>
      </c>
      <c r="C18" s="398" t="s">
        <v>133</v>
      </c>
      <c r="D18" s="1219">
        <v>13800</v>
      </c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395"/>
    </row>
    <row r="19" spans="1:21" ht="22.6" customHeight="1" thickBot="1" x14ac:dyDescent="0.3">
      <c r="A19" s="386">
        <f>A18+1</f>
        <v>13</v>
      </c>
      <c r="B19" s="403" t="s">
        <v>350</v>
      </c>
      <c r="C19" s="404" t="s">
        <v>135</v>
      </c>
      <c r="D19" s="1223" t="s">
        <v>820</v>
      </c>
      <c r="E19" s="415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7"/>
    </row>
    <row r="20" spans="1:21" ht="22.6" customHeight="1" thickBot="1" x14ac:dyDescent="0.3">
      <c r="A20" s="386"/>
      <c r="B20" s="408" t="s">
        <v>557</v>
      </c>
      <c r="C20" s="377"/>
      <c r="D20" s="1221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</row>
    <row r="21" spans="1:21" ht="13.6" x14ac:dyDescent="0.25">
      <c r="A21" s="386">
        <f>A19+1</f>
        <v>14</v>
      </c>
      <c r="B21" s="387" t="s">
        <v>118</v>
      </c>
      <c r="C21" s="409" t="s">
        <v>558</v>
      </c>
      <c r="D21" s="1224">
        <v>57.7</v>
      </c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389"/>
    </row>
    <row r="22" spans="1:21" ht="13.6" x14ac:dyDescent="0.25">
      <c r="A22" s="386">
        <f>A21+1</f>
        <v>15</v>
      </c>
      <c r="B22" s="392" t="s">
        <v>560</v>
      </c>
      <c r="C22" s="398" t="s">
        <v>561</v>
      </c>
      <c r="D22" s="1225">
        <v>8</v>
      </c>
      <c r="E22" s="692"/>
      <c r="F22" s="692"/>
      <c r="G22" s="692"/>
      <c r="H22" s="692"/>
      <c r="I22" s="692"/>
      <c r="J22" s="692"/>
      <c r="K22" s="692"/>
      <c r="L22" s="692"/>
      <c r="M22" s="692"/>
      <c r="N22" s="692"/>
      <c r="O22" s="692"/>
      <c r="P22" s="692"/>
      <c r="Q22" s="693"/>
    </row>
    <row r="23" spans="1:21" ht="13.6" x14ac:dyDescent="0.25">
      <c r="A23" s="386">
        <f t="shared" ref="A23:A26" si="3">A22+1</f>
        <v>16</v>
      </c>
      <c r="B23" s="392" t="s">
        <v>359</v>
      </c>
      <c r="C23" s="398"/>
      <c r="D23" s="692"/>
      <c r="E23" s="692"/>
      <c r="F23" s="692"/>
      <c r="G23" s="692"/>
      <c r="H23" s="692"/>
      <c r="I23" s="692"/>
      <c r="J23" s="692"/>
      <c r="K23" s="692"/>
      <c r="L23" s="692"/>
      <c r="M23" s="692"/>
      <c r="N23" s="692"/>
      <c r="O23" s="692"/>
      <c r="P23" s="692"/>
      <c r="Q23" s="693"/>
    </row>
    <row r="24" spans="1:21" x14ac:dyDescent="0.25">
      <c r="A24" s="386">
        <f t="shared" si="3"/>
        <v>17</v>
      </c>
      <c r="B24" s="397" t="s">
        <v>562</v>
      </c>
      <c r="C24" s="398" t="s">
        <v>558</v>
      </c>
      <c r="D24" s="691" t="s">
        <v>821</v>
      </c>
      <c r="E24" s="692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3"/>
    </row>
    <row r="25" spans="1:21" ht="51.65" x14ac:dyDescent="0.25">
      <c r="A25" s="386">
        <f t="shared" si="3"/>
        <v>18</v>
      </c>
      <c r="B25" s="397" t="s">
        <v>563</v>
      </c>
      <c r="C25" s="398" t="s">
        <v>564</v>
      </c>
      <c r="D25" s="400" t="s">
        <v>822</v>
      </c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395"/>
    </row>
    <row r="26" spans="1:21" ht="13.6" thickBot="1" x14ac:dyDescent="0.3">
      <c r="A26" s="386">
        <f t="shared" si="3"/>
        <v>19</v>
      </c>
      <c r="B26" s="697" t="s">
        <v>566</v>
      </c>
      <c r="C26" s="404" t="s">
        <v>567</v>
      </c>
      <c r="D26" s="405" t="s">
        <v>821</v>
      </c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7"/>
    </row>
    <row r="27" spans="1:21" ht="13.6" thickBot="1" x14ac:dyDescent="0.3">
      <c r="A27" s="386"/>
    </row>
    <row r="28" spans="1:21" ht="23.3" customHeight="1" x14ac:dyDescent="0.25">
      <c r="A28" s="386">
        <f>A26+1</f>
        <v>20</v>
      </c>
      <c r="B28" s="387" t="s">
        <v>352</v>
      </c>
      <c r="C28" s="417" t="s">
        <v>353</v>
      </c>
      <c r="D28" s="417"/>
      <c r="E28" s="1226">
        <f t="shared" ref="E28:P28" si="4">SUM(E29:E33)</f>
        <v>346.45581666666669</v>
      </c>
      <c r="F28" s="1226">
        <f t="shared" si="4"/>
        <v>997.77211666666665</v>
      </c>
      <c r="G28" s="1226">
        <f t="shared" si="4"/>
        <v>888.42796666666675</v>
      </c>
      <c r="H28" s="1226">
        <f t="shared" si="4"/>
        <v>813.30211666666662</v>
      </c>
      <c r="I28" s="1226">
        <f t="shared" si="4"/>
        <v>787.59581666666668</v>
      </c>
      <c r="J28" s="1226">
        <f t="shared" si="4"/>
        <v>1105.2374166666666</v>
      </c>
      <c r="K28" s="1226">
        <f t="shared" si="4"/>
        <v>804.47396666666668</v>
      </c>
      <c r="L28" s="1226">
        <f t="shared" si="4"/>
        <v>803.02396666666675</v>
      </c>
      <c r="M28" s="1226">
        <f t="shared" si="4"/>
        <v>779.90611666666666</v>
      </c>
      <c r="N28" s="1226">
        <f t="shared" si="4"/>
        <v>798.89896666666675</v>
      </c>
      <c r="O28" s="1226">
        <f t="shared" si="4"/>
        <v>808.59896666666668</v>
      </c>
      <c r="P28" s="1226">
        <f t="shared" si="4"/>
        <v>1101.1124166666666</v>
      </c>
      <c r="Q28" s="389"/>
      <c r="S28" s="668">
        <f>SUM(E28:P28)</f>
        <v>10034.80565</v>
      </c>
      <c r="T28" s="668">
        <f>S28/$P$4</f>
        <v>836.23380416666669</v>
      </c>
      <c r="U28" s="1215">
        <f>T28*'ФОТ, МТР, макро'!$AI$7</f>
        <v>66898.704333333328</v>
      </c>
    </row>
    <row r="29" spans="1:21" x14ac:dyDescent="0.25">
      <c r="A29" s="386">
        <f>A28+1</f>
        <v>21</v>
      </c>
      <c r="B29" s="419" t="s">
        <v>354</v>
      </c>
      <c r="C29" s="420"/>
      <c r="D29" s="420"/>
      <c r="E29" s="1281">
        <f>'SWDRT270B ТО'!G9/1000</f>
        <v>122.34914999999999</v>
      </c>
      <c r="F29" s="1281">
        <f>'SWDRT270B ТО'!H9/1000</f>
        <v>138.88545000000002</v>
      </c>
      <c r="G29" s="1281">
        <f>'SWDRT270B ТО'!I9/1000</f>
        <v>127.74629999999999</v>
      </c>
      <c r="H29" s="1281">
        <f>'SWDRT270B ТО'!J9/1000</f>
        <v>138.88545000000002</v>
      </c>
      <c r="I29" s="1281">
        <f>'SWDRT270B ТО'!K9/1000</f>
        <v>122.34914999999999</v>
      </c>
      <c r="J29" s="1281">
        <f>'SWDRT270B ТО'!L9/1000</f>
        <v>152.55074999999999</v>
      </c>
      <c r="K29" s="1281">
        <f>'SWDRT270B ТО'!M9/1000</f>
        <v>130.6173</v>
      </c>
      <c r="L29" s="1281">
        <f>'SWDRT270B ТО'!N9/1000</f>
        <v>130.6173</v>
      </c>
      <c r="M29" s="1281">
        <f>'SWDRT270B ТО'!O9/1000</f>
        <v>136.01444999999998</v>
      </c>
      <c r="N29" s="1281">
        <f>'SWDRT270B ТО'!P9/1000</f>
        <v>130.6173</v>
      </c>
      <c r="O29" s="1281">
        <f>'SWDRT270B ТО'!Q9/1000</f>
        <v>130.6173</v>
      </c>
      <c r="P29" s="1281">
        <f>'SWDRT270B ТО'!R9/1000</f>
        <v>152.55074999999999</v>
      </c>
      <c r="Q29" s="664"/>
      <c r="S29" s="667">
        <f t="shared" ref="S29:S33" si="5">SUM(E29:P29)</f>
        <v>1613.8006499999997</v>
      </c>
      <c r="T29" s="667">
        <f t="shared" ref="T29:T33" si="6">S29/$P$4</f>
        <v>134.48338749999996</v>
      </c>
    </row>
    <row r="30" spans="1:21" x14ac:dyDescent="0.25">
      <c r="A30" s="386">
        <f t="shared" ref="A30:A33" si="7">A29+1</f>
        <v>22</v>
      </c>
      <c r="B30" s="419" t="s">
        <v>355</v>
      </c>
      <c r="C30" s="420"/>
      <c r="D30" s="420"/>
      <c r="E30" s="1281">
        <f>'SWDRT270B Рем'!F33/1000</f>
        <v>3.5</v>
      </c>
      <c r="F30" s="1281">
        <f>'SWDRT270B Рем'!G33/1000</f>
        <v>3.5</v>
      </c>
      <c r="G30" s="1281">
        <f>'SWDRT270B Рем'!H33/1000</f>
        <v>3.5</v>
      </c>
      <c r="H30" s="1281">
        <f>'SWDRT270B Рем'!I33/1000</f>
        <v>3.5</v>
      </c>
      <c r="I30" s="1281">
        <f>'SWDRT270B Рем'!J33/1000</f>
        <v>3.5</v>
      </c>
      <c r="J30" s="1281">
        <f>'SWDRT270B Рем'!K33/1000</f>
        <v>3.5</v>
      </c>
      <c r="K30" s="1281">
        <f>'SWDRT270B Рем'!L33/1000</f>
        <v>3.5</v>
      </c>
      <c r="L30" s="1281">
        <f>'SWDRT270B Рем'!M33/1000</f>
        <v>3.5</v>
      </c>
      <c r="M30" s="1281">
        <f>'SWDRT270B Рем'!N33/1000</f>
        <v>3.5</v>
      </c>
      <c r="N30" s="1281">
        <f>'SWDRT270B Рем'!O33/1000</f>
        <v>3.5</v>
      </c>
      <c r="O30" s="1281">
        <f>'SWDRT270B Рем'!P33/1000</f>
        <v>3.5</v>
      </c>
      <c r="P30" s="1281">
        <f>'SWDRT270B Рем'!Q33/1000</f>
        <v>3.5</v>
      </c>
      <c r="Q30" s="664"/>
      <c r="S30" s="667">
        <f t="shared" si="5"/>
        <v>42</v>
      </c>
      <c r="T30" s="667">
        <f t="shared" si="6"/>
        <v>3.5</v>
      </c>
    </row>
    <row r="31" spans="1:21" ht="25.85" x14ac:dyDescent="0.25">
      <c r="A31" s="386">
        <f t="shared" si="7"/>
        <v>23</v>
      </c>
      <c r="B31" s="419" t="s">
        <v>356</v>
      </c>
      <c r="C31" s="420"/>
      <c r="D31" s="420"/>
      <c r="E31" s="1281">
        <f>'SWDRT270B Рем'!F39/1000</f>
        <v>71.844999999999999</v>
      </c>
      <c r="F31" s="1281">
        <f>'SWDRT270B Рем'!G39/1000</f>
        <v>704.38499999999999</v>
      </c>
      <c r="G31" s="1281">
        <f>'SWDRT270B Рем'!H39/1000</f>
        <v>607.86</v>
      </c>
      <c r="H31" s="1281">
        <f>'SWDRT270B Рем'!I39/1000</f>
        <v>519.91499999999996</v>
      </c>
      <c r="I31" s="1281">
        <f>'SWDRT270B Рем'!J39/1000</f>
        <v>512.98500000000001</v>
      </c>
      <c r="J31" s="1281">
        <f>'SWDRT270B Рем'!K39/1000</f>
        <v>796.78499999999997</v>
      </c>
      <c r="K31" s="1281">
        <f>'SWDRT270B Рем'!L39/1000</f>
        <v>519.91499999999996</v>
      </c>
      <c r="L31" s="1281">
        <f>'SWDRT270B Рем'!M39/1000</f>
        <v>519.58500000000004</v>
      </c>
      <c r="M31" s="1281">
        <f>'SWDRT270B Рем'!N39/1000</f>
        <v>489.39</v>
      </c>
      <c r="N31" s="1281">
        <f>'SWDRT270B Рем'!O39/1000</f>
        <v>515.46</v>
      </c>
      <c r="O31" s="1281">
        <f>'SWDRT270B Рем'!P39/1000</f>
        <v>524.04</v>
      </c>
      <c r="P31" s="1281">
        <f>'SWDRT270B Рем'!Q39/1000</f>
        <v>792.66</v>
      </c>
      <c r="Q31" s="664"/>
      <c r="S31" s="667">
        <f t="shared" si="5"/>
        <v>6574.8249999999998</v>
      </c>
      <c r="T31" s="667">
        <f t="shared" si="6"/>
        <v>547.90208333333328</v>
      </c>
    </row>
    <row r="32" spans="1:21" x14ac:dyDescent="0.25">
      <c r="A32" s="386">
        <f t="shared" si="7"/>
        <v>24</v>
      </c>
      <c r="B32" s="419" t="s">
        <v>357</v>
      </c>
      <c r="C32" s="420"/>
      <c r="D32" s="420"/>
      <c r="E32" s="1281">
        <f>'SWDRT270B ТО'!G10/1000</f>
        <v>14.42</v>
      </c>
      <c r="F32" s="1281">
        <f>'SWDRT270B ТО'!H10/1000</f>
        <v>16.66</v>
      </c>
      <c r="G32" s="1281">
        <f>'SWDRT270B ТО'!I10/1000</f>
        <v>14.98</v>
      </c>
      <c r="H32" s="1281">
        <f>'SWDRT270B ТО'!J10/1000</f>
        <v>16.66</v>
      </c>
      <c r="I32" s="1281">
        <f>'SWDRT270B ТО'!K10/1000</f>
        <v>14.42</v>
      </c>
      <c r="J32" s="1281">
        <f>'SWDRT270B ТО'!L10/1000</f>
        <v>18.059999999999999</v>
      </c>
      <c r="K32" s="1281">
        <f>'SWDRT270B ТО'!M10/1000</f>
        <v>16.100000000000001</v>
      </c>
      <c r="L32" s="1281">
        <f>'SWDRT270B ТО'!N10/1000</f>
        <v>14.98</v>
      </c>
      <c r="M32" s="1281">
        <f>'SWDRT270B ТО'!O10/1000</f>
        <v>16.66</v>
      </c>
      <c r="N32" s="1281">
        <f>'SWDRT270B ТО'!P10/1000</f>
        <v>14.98</v>
      </c>
      <c r="O32" s="1281">
        <f>'SWDRT270B ТО'!Q10/1000</f>
        <v>16.100000000000001</v>
      </c>
      <c r="P32" s="1281">
        <f>'SWDRT270B ТО'!R10/1000</f>
        <v>18.059999999999999</v>
      </c>
      <c r="Q32" s="664"/>
      <c r="S32" s="667">
        <f t="shared" si="5"/>
        <v>192.08</v>
      </c>
      <c r="T32" s="667">
        <f t="shared" si="6"/>
        <v>16.006666666666668</v>
      </c>
    </row>
    <row r="33" spans="1:20" ht="13.6" thickBot="1" x14ac:dyDescent="0.3">
      <c r="A33" s="386">
        <f t="shared" si="7"/>
        <v>25</v>
      </c>
      <c r="B33" s="422" t="s">
        <v>358</v>
      </c>
      <c r="C33" s="423"/>
      <c r="D33" s="423"/>
      <c r="E33" s="1282">
        <f>'SWDRT270B Рем'!F12/1000</f>
        <v>134.3416666666667</v>
      </c>
      <c r="F33" s="1282">
        <f>'SWDRT270B Рем'!G12/1000</f>
        <v>134.3416666666667</v>
      </c>
      <c r="G33" s="1282">
        <f>'SWDRT270B Рем'!H12/1000</f>
        <v>134.3416666666667</v>
      </c>
      <c r="H33" s="1282">
        <f>'SWDRT270B Рем'!I12/1000</f>
        <v>134.3416666666667</v>
      </c>
      <c r="I33" s="1282">
        <f>'SWDRT270B Рем'!J12/1000</f>
        <v>134.3416666666667</v>
      </c>
      <c r="J33" s="1282">
        <f>'SWDRT270B Рем'!K12/1000</f>
        <v>134.3416666666667</v>
      </c>
      <c r="K33" s="1282">
        <f>'SWDRT270B Рем'!L12/1000</f>
        <v>134.3416666666667</v>
      </c>
      <c r="L33" s="1282">
        <f>'SWDRT270B Рем'!M12/1000</f>
        <v>134.3416666666667</v>
      </c>
      <c r="M33" s="1282">
        <f>'SWDRT270B Рем'!N12/1000</f>
        <v>134.3416666666667</v>
      </c>
      <c r="N33" s="1282">
        <f>'SWDRT270B Рем'!O12/1000</f>
        <v>134.3416666666667</v>
      </c>
      <c r="O33" s="1282">
        <f>'SWDRT270B Рем'!P12/1000</f>
        <v>134.3416666666667</v>
      </c>
      <c r="P33" s="1282">
        <f>'SWDRT270B Рем'!Q12/1000</f>
        <v>134.3416666666667</v>
      </c>
      <c r="Q33" s="666"/>
      <c r="S33" s="667">
        <f t="shared" si="5"/>
        <v>1612.1000000000004</v>
      </c>
      <c r="T33" s="667">
        <f t="shared" si="6"/>
        <v>134.3416666666667</v>
      </c>
    </row>
    <row r="34" spans="1:20" ht="13.6" thickBot="1" x14ac:dyDescent="0.3">
      <c r="A34" s="386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</row>
    <row r="35" spans="1:20" ht="19.55" customHeight="1" x14ac:dyDescent="0.25">
      <c r="A35" s="386">
        <f>A33+1</f>
        <v>26</v>
      </c>
      <c r="B35" s="425" t="s">
        <v>359</v>
      </c>
      <c r="C35" s="417"/>
      <c r="D35" s="417"/>
      <c r="E35" s="699"/>
      <c r="F35" s="699"/>
      <c r="G35" s="699"/>
      <c r="H35" s="699"/>
      <c r="I35" s="699"/>
      <c r="J35" s="699"/>
      <c r="K35" s="699"/>
      <c r="L35" s="699"/>
      <c r="M35" s="699"/>
      <c r="N35" s="699"/>
      <c r="O35" s="699"/>
      <c r="P35" s="699"/>
      <c r="Q35" s="389" t="s">
        <v>568</v>
      </c>
    </row>
    <row r="36" spans="1:20" ht="19.55" customHeight="1" x14ac:dyDescent="0.25">
      <c r="A36" s="386">
        <f>A35+1</f>
        <v>27</v>
      </c>
      <c r="B36" s="427" t="s">
        <v>346</v>
      </c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428"/>
    </row>
    <row r="37" spans="1:20" x14ac:dyDescent="0.25">
      <c r="A37" s="386">
        <f t="shared" ref="A37:A56" si="8">A36+1</f>
        <v>28</v>
      </c>
      <c r="B37" s="429" t="s">
        <v>569</v>
      </c>
      <c r="C37" s="692"/>
      <c r="D37" s="398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395"/>
    </row>
    <row r="38" spans="1:20" ht="16.5" customHeight="1" x14ac:dyDescent="0.25">
      <c r="A38" s="386">
        <f t="shared" si="8"/>
        <v>29</v>
      </c>
      <c r="B38" s="431" t="s">
        <v>48</v>
      </c>
      <c r="C38" s="1227">
        <v>3000</v>
      </c>
      <c r="D38" s="398"/>
      <c r="E38" s="1228">
        <f>200000/$C$38*$C$39</f>
        <v>388740</v>
      </c>
      <c r="F38" s="1228">
        <f t="shared" ref="F38:P38" si="9">200000/$C$38*$C$39</f>
        <v>388740</v>
      </c>
      <c r="G38" s="1228">
        <f t="shared" si="9"/>
        <v>388740</v>
      </c>
      <c r="H38" s="1228">
        <f t="shared" si="9"/>
        <v>388740</v>
      </c>
      <c r="I38" s="1228">
        <f t="shared" si="9"/>
        <v>388740</v>
      </c>
      <c r="J38" s="1228">
        <f t="shared" si="9"/>
        <v>388740</v>
      </c>
      <c r="K38" s="1228">
        <f t="shared" si="9"/>
        <v>388740</v>
      </c>
      <c r="L38" s="1228">
        <f t="shared" si="9"/>
        <v>388740</v>
      </c>
      <c r="M38" s="1228">
        <f t="shared" si="9"/>
        <v>388740</v>
      </c>
      <c r="N38" s="1228">
        <f t="shared" si="9"/>
        <v>388740</v>
      </c>
      <c r="O38" s="1228">
        <f t="shared" si="9"/>
        <v>388740</v>
      </c>
      <c r="P38" s="1228">
        <f t="shared" si="9"/>
        <v>388740</v>
      </c>
      <c r="Q38" s="395"/>
    </row>
    <row r="39" spans="1:20" ht="13.6" customHeight="1" x14ac:dyDescent="0.25">
      <c r="A39" s="386">
        <f t="shared" si="8"/>
        <v>30</v>
      </c>
      <c r="B39" s="431" t="s">
        <v>362</v>
      </c>
      <c r="C39" s="1229">
        <v>5831.0999999999995</v>
      </c>
      <c r="D39" s="434"/>
      <c r="E39" s="1230"/>
      <c r="F39" s="1231"/>
      <c r="G39" s="1231"/>
      <c r="H39" s="1231"/>
      <c r="I39" s="1231"/>
      <c r="J39" s="1231"/>
      <c r="K39" s="1231"/>
      <c r="L39" s="1231"/>
      <c r="M39" s="1231"/>
      <c r="N39" s="1231"/>
      <c r="O39" s="1231"/>
      <c r="P39" s="1231"/>
      <c r="Q39" s="395"/>
    </row>
    <row r="40" spans="1:20" x14ac:dyDescent="0.25">
      <c r="A40" s="386">
        <f t="shared" si="8"/>
        <v>31</v>
      </c>
      <c r="B40" s="429" t="s">
        <v>184</v>
      </c>
      <c r="C40" s="434"/>
      <c r="D40" s="434"/>
      <c r="E40" s="1230"/>
      <c r="F40" s="1231"/>
      <c r="G40" s="1231"/>
      <c r="H40" s="1231"/>
      <c r="I40" s="1231"/>
      <c r="J40" s="1231"/>
      <c r="K40" s="1231"/>
      <c r="L40" s="1231"/>
      <c r="M40" s="1231"/>
      <c r="N40" s="1231"/>
      <c r="O40" s="1231"/>
      <c r="P40" s="1231"/>
      <c r="Q40" s="395"/>
    </row>
    <row r="41" spans="1:20" ht="13.6" customHeight="1" x14ac:dyDescent="0.25">
      <c r="A41" s="386">
        <f t="shared" si="8"/>
        <v>32</v>
      </c>
      <c r="B41" s="431" t="s">
        <v>48</v>
      </c>
      <c r="C41" s="437">
        <v>50000</v>
      </c>
      <c r="D41" s="434"/>
      <c r="E41" s="1228">
        <f>200000/$C$41*$C$42</f>
        <v>18361.2</v>
      </c>
      <c r="F41" s="1228">
        <f t="shared" ref="F41:P41" si="10">200000/$C$41*$C$42</f>
        <v>18361.2</v>
      </c>
      <c r="G41" s="1228">
        <f t="shared" si="10"/>
        <v>18361.2</v>
      </c>
      <c r="H41" s="1228">
        <f t="shared" si="10"/>
        <v>18361.2</v>
      </c>
      <c r="I41" s="1228">
        <f t="shared" si="10"/>
        <v>18361.2</v>
      </c>
      <c r="J41" s="1228">
        <f t="shared" si="10"/>
        <v>18361.2</v>
      </c>
      <c r="K41" s="1228">
        <f t="shared" si="10"/>
        <v>18361.2</v>
      </c>
      <c r="L41" s="1228">
        <f t="shared" si="10"/>
        <v>18361.2</v>
      </c>
      <c r="M41" s="1228">
        <f t="shared" si="10"/>
        <v>18361.2</v>
      </c>
      <c r="N41" s="1228">
        <f t="shared" si="10"/>
        <v>18361.2</v>
      </c>
      <c r="O41" s="1228">
        <f t="shared" si="10"/>
        <v>18361.2</v>
      </c>
      <c r="P41" s="1228">
        <f t="shared" si="10"/>
        <v>18361.2</v>
      </c>
      <c r="Q41" s="395"/>
    </row>
    <row r="42" spans="1:20" ht="13.6" customHeight="1" x14ac:dyDescent="0.25">
      <c r="A42" s="386">
        <f t="shared" si="8"/>
        <v>33</v>
      </c>
      <c r="B42" s="431" t="s">
        <v>362</v>
      </c>
      <c r="C42" s="1229">
        <v>4590.3</v>
      </c>
      <c r="D42" s="434"/>
      <c r="E42" s="1230"/>
      <c r="F42" s="1231"/>
      <c r="G42" s="1231"/>
      <c r="H42" s="1231"/>
      <c r="I42" s="1231"/>
      <c r="J42" s="1231"/>
      <c r="K42" s="1231"/>
      <c r="L42" s="1231"/>
      <c r="M42" s="1231"/>
      <c r="N42" s="1231"/>
      <c r="O42" s="1231"/>
      <c r="P42" s="1231"/>
      <c r="Q42" s="395"/>
    </row>
    <row r="43" spans="1:20" x14ac:dyDescent="0.25">
      <c r="A43" s="386">
        <f t="shared" si="8"/>
        <v>34</v>
      </c>
      <c r="B43" s="429" t="s">
        <v>823</v>
      </c>
      <c r="C43" s="434"/>
      <c r="D43" s="439"/>
      <c r="E43" s="1232"/>
      <c r="F43" s="1232"/>
      <c r="G43" s="1232"/>
      <c r="H43" s="1232"/>
      <c r="I43" s="1232"/>
      <c r="J43" s="1232"/>
      <c r="K43" s="1232"/>
      <c r="L43" s="1232"/>
      <c r="M43" s="1232"/>
      <c r="N43" s="1232"/>
      <c r="O43" s="1232"/>
      <c r="P43" s="1232"/>
      <c r="Q43" s="395"/>
    </row>
    <row r="44" spans="1:20" x14ac:dyDescent="0.25">
      <c r="A44" s="386">
        <f t="shared" si="8"/>
        <v>35</v>
      </c>
      <c r="B44" s="431" t="s">
        <v>48</v>
      </c>
      <c r="C44" s="437">
        <v>10000</v>
      </c>
      <c r="D44" s="439"/>
      <c r="E44" s="1228">
        <f>200000/$C$44*$C$45</f>
        <v>75372</v>
      </c>
      <c r="F44" s="1228">
        <f t="shared" ref="F44:P44" si="11">200000/$C$44*$C$45</f>
        <v>75372</v>
      </c>
      <c r="G44" s="1228">
        <f t="shared" si="11"/>
        <v>75372</v>
      </c>
      <c r="H44" s="1228">
        <f t="shared" si="11"/>
        <v>75372</v>
      </c>
      <c r="I44" s="1228">
        <f t="shared" si="11"/>
        <v>75372</v>
      </c>
      <c r="J44" s="1228">
        <f t="shared" si="11"/>
        <v>75372</v>
      </c>
      <c r="K44" s="1228">
        <f t="shared" si="11"/>
        <v>75372</v>
      </c>
      <c r="L44" s="1228">
        <f t="shared" si="11"/>
        <v>75372</v>
      </c>
      <c r="M44" s="1228">
        <f t="shared" si="11"/>
        <v>75372</v>
      </c>
      <c r="N44" s="1228">
        <f t="shared" si="11"/>
        <v>75372</v>
      </c>
      <c r="O44" s="1228">
        <f t="shared" si="11"/>
        <v>75372</v>
      </c>
      <c r="P44" s="1228">
        <f t="shared" si="11"/>
        <v>75372</v>
      </c>
      <c r="Q44" s="395"/>
    </row>
    <row r="45" spans="1:20" x14ac:dyDescent="0.25">
      <c r="A45" s="386">
        <f t="shared" si="8"/>
        <v>36</v>
      </c>
      <c r="B45" s="431" t="s">
        <v>362</v>
      </c>
      <c r="C45" s="1229">
        <v>3768.6</v>
      </c>
      <c r="D45" s="439"/>
      <c r="E45" s="435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395"/>
    </row>
    <row r="46" spans="1:20" x14ac:dyDescent="0.25">
      <c r="A46" s="386">
        <f t="shared" si="8"/>
        <v>37</v>
      </c>
      <c r="B46" s="429" t="s">
        <v>570</v>
      </c>
      <c r="C46" s="434"/>
      <c r="D46" s="439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395"/>
    </row>
    <row r="47" spans="1:20" x14ac:dyDescent="0.25">
      <c r="A47" s="386">
        <f t="shared" si="8"/>
        <v>38</v>
      </c>
      <c r="B47" s="431" t="s">
        <v>48</v>
      </c>
      <c r="C47" s="437"/>
      <c r="D47" s="439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395"/>
    </row>
    <row r="48" spans="1:20" x14ac:dyDescent="0.25">
      <c r="A48" s="386">
        <f t="shared" si="8"/>
        <v>39</v>
      </c>
      <c r="B48" s="431" t="s">
        <v>362</v>
      </c>
      <c r="C48" s="437"/>
      <c r="D48" s="439"/>
      <c r="E48" s="435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395"/>
    </row>
    <row r="49" spans="1:17" x14ac:dyDescent="0.25">
      <c r="A49" s="386">
        <f t="shared" si="8"/>
        <v>40</v>
      </c>
      <c r="B49" s="429" t="s">
        <v>570</v>
      </c>
      <c r="C49" s="434"/>
      <c r="D49" s="439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395"/>
    </row>
    <row r="50" spans="1:17" x14ac:dyDescent="0.25">
      <c r="A50" s="386">
        <f t="shared" si="8"/>
        <v>41</v>
      </c>
      <c r="B50" s="431" t="s">
        <v>48</v>
      </c>
      <c r="C50" s="437"/>
      <c r="D50" s="439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395"/>
    </row>
    <row r="51" spans="1:17" x14ac:dyDescent="0.25">
      <c r="A51" s="386">
        <f t="shared" si="8"/>
        <v>42</v>
      </c>
      <c r="B51" s="431" t="s">
        <v>362</v>
      </c>
      <c r="C51" s="437"/>
      <c r="D51" s="439"/>
      <c r="E51" s="435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395"/>
    </row>
    <row r="52" spans="1:17" ht="19.55" customHeight="1" x14ac:dyDescent="0.25">
      <c r="A52" s="386">
        <f t="shared" si="8"/>
        <v>43</v>
      </c>
      <c r="B52" s="427" t="s">
        <v>557</v>
      </c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428"/>
    </row>
    <row r="53" spans="1:17" x14ac:dyDescent="0.25">
      <c r="A53" s="386">
        <f t="shared" si="8"/>
        <v>44</v>
      </c>
      <c r="B53" s="429" t="s">
        <v>571</v>
      </c>
      <c r="C53" s="692"/>
      <c r="D53" s="398"/>
      <c r="E53" s="401"/>
      <c r="F53" s="401"/>
      <c r="G53" s="401"/>
      <c r="H53" s="401"/>
      <c r="I53" s="401"/>
      <c r="J53" s="401"/>
      <c r="K53" s="401"/>
      <c r="L53" s="401"/>
      <c r="M53" s="401"/>
      <c r="N53" s="401"/>
      <c r="O53" s="401"/>
      <c r="P53" s="401"/>
      <c r="Q53" s="395"/>
    </row>
    <row r="54" spans="1:17" x14ac:dyDescent="0.25">
      <c r="A54" s="386">
        <f t="shared" si="8"/>
        <v>45</v>
      </c>
      <c r="B54" s="431" t="s">
        <v>48</v>
      </c>
      <c r="C54" s="437"/>
      <c r="D54" s="398"/>
      <c r="E54" s="401"/>
      <c r="F54" s="401"/>
      <c r="G54" s="401"/>
      <c r="H54" s="401"/>
      <c r="I54" s="401"/>
      <c r="J54" s="401"/>
      <c r="K54" s="401"/>
      <c r="L54" s="401"/>
      <c r="M54" s="401"/>
      <c r="N54" s="401"/>
      <c r="O54" s="401"/>
      <c r="P54" s="401"/>
      <c r="Q54" s="395"/>
    </row>
    <row r="55" spans="1:17" x14ac:dyDescent="0.25">
      <c r="A55" s="386">
        <f t="shared" si="8"/>
        <v>46</v>
      </c>
      <c r="B55" s="431" t="s">
        <v>362</v>
      </c>
      <c r="C55" s="437"/>
      <c r="D55" s="434"/>
      <c r="E55" s="435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395"/>
    </row>
    <row r="56" spans="1:17" x14ac:dyDescent="0.25">
      <c r="A56" s="386">
        <f t="shared" si="8"/>
        <v>47</v>
      </c>
      <c r="B56" s="429" t="s">
        <v>572</v>
      </c>
      <c r="C56" s="398"/>
      <c r="D56" s="434"/>
      <c r="E56" s="435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395"/>
    </row>
    <row r="57" spans="1:17" x14ac:dyDescent="0.25">
      <c r="A57" s="386">
        <f t="shared" si="1"/>
        <v>48</v>
      </c>
      <c r="B57" s="431" t="s">
        <v>48</v>
      </c>
      <c r="C57" s="437"/>
      <c r="D57" s="434"/>
      <c r="E57" s="435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395"/>
    </row>
    <row r="58" spans="1:17" x14ac:dyDescent="0.25">
      <c r="A58" s="386">
        <f t="shared" si="1"/>
        <v>49</v>
      </c>
      <c r="B58" s="431" t="s">
        <v>362</v>
      </c>
      <c r="C58" s="437"/>
      <c r="D58" s="434"/>
      <c r="E58" s="435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395"/>
    </row>
    <row r="59" spans="1:17" x14ac:dyDescent="0.25">
      <c r="A59" s="386">
        <f t="shared" si="1"/>
        <v>50</v>
      </c>
      <c r="B59" s="429" t="s">
        <v>573</v>
      </c>
      <c r="C59" s="398"/>
      <c r="D59" s="434"/>
      <c r="E59" s="435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395"/>
    </row>
    <row r="60" spans="1:17" x14ac:dyDescent="0.25">
      <c r="A60" s="386">
        <f t="shared" si="1"/>
        <v>51</v>
      </c>
      <c r="B60" s="431" t="s">
        <v>48</v>
      </c>
      <c r="C60" s="437"/>
      <c r="D60" s="434"/>
      <c r="E60" s="435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395"/>
    </row>
    <row r="61" spans="1:17" x14ac:dyDescent="0.25">
      <c r="A61" s="386">
        <f t="shared" si="1"/>
        <v>52</v>
      </c>
      <c r="B61" s="431" t="s">
        <v>362</v>
      </c>
      <c r="C61" s="437"/>
      <c r="D61" s="434"/>
      <c r="E61" s="435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395"/>
    </row>
    <row r="62" spans="1:17" x14ac:dyDescent="0.25">
      <c r="A62" s="386">
        <f t="shared" si="1"/>
        <v>53</v>
      </c>
      <c r="B62" s="429" t="s">
        <v>184</v>
      </c>
      <c r="C62" s="434"/>
      <c r="D62" s="434"/>
      <c r="E62" s="435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395"/>
    </row>
    <row r="63" spans="1:17" x14ac:dyDescent="0.25">
      <c r="A63" s="386">
        <f t="shared" si="1"/>
        <v>54</v>
      </c>
      <c r="B63" s="431" t="s">
        <v>48</v>
      </c>
      <c r="C63" s="437"/>
      <c r="D63" s="434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395"/>
    </row>
    <row r="64" spans="1:17" x14ac:dyDescent="0.25">
      <c r="A64" s="386">
        <f t="shared" si="1"/>
        <v>55</v>
      </c>
      <c r="B64" s="431" t="s">
        <v>362</v>
      </c>
      <c r="C64" s="437"/>
      <c r="D64" s="434"/>
      <c r="E64" s="435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395"/>
    </row>
    <row r="65" spans="1:19" x14ac:dyDescent="0.25">
      <c r="A65" s="386">
        <f t="shared" si="1"/>
        <v>56</v>
      </c>
      <c r="B65" s="429" t="s">
        <v>574</v>
      </c>
      <c r="C65" s="434"/>
      <c r="D65" s="439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395"/>
    </row>
    <row r="66" spans="1:19" x14ac:dyDescent="0.25">
      <c r="A66" s="386">
        <f t="shared" si="1"/>
        <v>57</v>
      </c>
      <c r="B66" s="431" t="s">
        <v>48</v>
      </c>
      <c r="C66" s="437"/>
      <c r="D66" s="439"/>
      <c r="E66" s="401"/>
      <c r="F66" s="401"/>
      <c r="G66" s="401"/>
      <c r="H66" s="401"/>
      <c r="I66" s="401"/>
      <c r="J66" s="401"/>
      <c r="K66" s="401"/>
      <c r="L66" s="401"/>
      <c r="M66" s="401"/>
      <c r="N66" s="401"/>
      <c r="O66" s="401"/>
      <c r="P66" s="401"/>
      <c r="Q66" s="395"/>
    </row>
    <row r="67" spans="1:19" x14ac:dyDescent="0.25">
      <c r="A67" s="386">
        <f t="shared" si="1"/>
        <v>58</v>
      </c>
      <c r="B67" s="431" t="s">
        <v>362</v>
      </c>
      <c r="C67" s="437"/>
      <c r="D67" s="439"/>
      <c r="E67" s="435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395"/>
    </row>
    <row r="68" spans="1:19" x14ac:dyDescent="0.25">
      <c r="A68" s="386">
        <f t="shared" si="1"/>
        <v>59</v>
      </c>
      <c r="B68" s="429" t="s">
        <v>570</v>
      </c>
      <c r="C68" s="434"/>
      <c r="D68" s="439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395"/>
    </row>
    <row r="69" spans="1:19" x14ac:dyDescent="0.25">
      <c r="A69" s="386">
        <f t="shared" si="1"/>
        <v>60</v>
      </c>
      <c r="B69" s="431" t="s">
        <v>48</v>
      </c>
      <c r="C69" s="437"/>
      <c r="D69" s="439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1"/>
      <c r="P69" s="401"/>
      <c r="Q69" s="395"/>
    </row>
    <row r="70" spans="1:19" x14ac:dyDescent="0.25">
      <c r="A70" s="386">
        <f t="shared" ref="A70:A80" si="12">A69+1</f>
        <v>61</v>
      </c>
      <c r="B70" s="431" t="s">
        <v>362</v>
      </c>
      <c r="C70" s="437"/>
      <c r="D70" s="439"/>
      <c r="E70" s="435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395"/>
    </row>
    <row r="71" spans="1:19" x14ac:dyDescent="0.25">
      <c r="A71" s="386">
        <f t="shared" si="12"/>
        <v>62</v>
      </c>
      <c r="B71" s="429" t="s">
        <v>570</v>
      </c>
      <c r="C71" s="434"/>
      <c r="D71" s="439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395"/>
    </row>
    <row r="72" spans="1:19" x14ac:dyDescent="0.25">
      <c r="A72" s="386">
        <f t="shared" si="12"/>
        <v>63</v>
      </c>
      <c r="B72" s="431" t="s">
        <v>48</v>
      </c>
      <c r="C72" s="437"/>
      <c r="D72" s="439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1"/>
      <c r="P72" s="401"/>
      <c r="Q72" s="395"/>
    </row>
    <row r="73" spans="1:19" x14ac:dyDescent="0.25">
      <c r="A73" s="386">
        <f t="shared" si="12"/>
        <v>64</v>
      </c>
      <c r="B73" s="431" t="s">
        <v>362</v>
      </c>
      <c r="C73" s="437"/>
      <c r="D73" s="439"/>
      <c r="E73" s="435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395"/>
    </row>
    <row r="74" spans="1:19" x14ac:dyDescent="0.25">
      <c r="A74" s="386">
        <f t="shared" si="12"/>
        <v>65</v>
      </c>
      <c r="B74" s="429" t="s">
        <v>570</v>
      </c>
      <c r="C74" s="434"/>
      <c r="D74" s="439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440"/>
      <c r="Q74" s="395"/>
    </row>
    <row r="75" spans="1:19" x14ac:dyDescent="0.25">
      <c r="A75" s="386">
        <f t="shared" si="12"/>
        <v>66</v>
      </c>
      <c r="B75" s="431" t="s">
        <v>48</v>
      </c>
      <c r="C75" s="437"/>
      <c r="D75" s="439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1"/>
      <c r="P75" s="401"/>
      <c r="Q75" s="395"/>
    </row>
    <row r="76" spans="1:19" ht="13.6" thickBot="1" x14ac:dyDescent="0.3">
      <c r="A76" s="386">
        <f>A75+1</f>
        <v>67</v>
      </c>
      <c r="B76" s="701" t="s">
        <v>362</v>
      </c>
      <c r="C76" s="437"/>
      <c r="D76" s="806"/>
      <c r="E76" s="704"/>
      <c r="F76" s="705"/>
      <c r="G76" s="705"/>
      <c r="H76" s="705"/>
      <c r="I76" s="705"/>
      <c r="J76" s="705"/>
      <c r="K76" s="705"/>
      <c r="L76" s="705"/>
      <c r="M76" s="705"/>
      <c r="N76" s="705"/>
      <c r="O76" s="705"/>
      <c r="P76" s="705"/>
      <c r="Q76" s="407"/>
    </row>
    <row r="77" spans="1:19" ht="13.6" thickBot="1" x14ac:dyDescent="0.3">
      <c r="A77" s="386"/>
      <c r="B77" s="441"/>
      <c r="C77" s="442"/>
      <c r="D77" s="443"/>
      <c r="E77" s="444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6"/>
    </row>
    <row r="78" spans="1:19" ht="13.6" x14ac:dyDescent="0.25">
      <c r="A78" s="386">
        <f>A76+1</f>
        <v>68</v>
      </c>
      <c r="B78" s="447" t="s">
        <v>367</v>
      </c>
      <c r="C78" s="448"/>
      <c r="D78" s="448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389"/>
    </row>
    <row r="79" spans="1:19" ht="23.95" customHeight="1" x14ac:dyDescent="0.25">
      <c r="A79" s="386">
        <f t="shared" si="12"/>
        <v>69</v>
      </c>
      <c r="B79" s="431" t="s">
        <v>48</v>
      </c>
      <c r="C79" s="450" t="s">
        <v>575</v>
      </c>
      <c r="D79" s="1233" t="s">
        <v>824</v>
      </c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395" t="s">
        <v>577</v>
      </c>
      <c r="S79" s="678">
        <v>88</v>
      </c>
    </row>
    <row r="80" spans="1:19" ht="18" customHeight="1" thickBot="1" x14ac:dyDescent="0.3">
      <c r="A80" s="386">
        <f t="shared" si="12"/>
        <v>70</v>
      </c>
      <c r="B80" s="403" t="s">
        <v>370</v>
      </c>
      <c r="C80" s="452" t="s">
        <v>371</v>
      </c>
      <c r="D80" s="453"/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5"/>
    </row>
    <row r="83" spans="5:17" ht="13.6" x14ac:dyDescent="0.25">
      <c r="E83" s="669">
        <f>E28/(365*24*E6)*1000</f>
        <v>42.526613721543022</v>
      </c>
      <c r="F83" s="669">
        <f t="shared" ref="F83:P83" si="13">F28/(365*24*F6)*1000</f>
        <v>122.47411458077609</v>
      </c>
      <c r="G83" s="669">
        <f t="shared" si="13"/>
        <v>110.23773658262192</v>
      </c>
      <c r="H83" s="669">
        <f t="shared" si="13"/>
        <v>100.91598628482561</v>
      </c>
      <c r="I83" s="669">
        <f t="shared" si="13"/>
        <v>103.34275660875802</v>
      </c>
      <c r="J83" s="669">
        <f t="shared" si="13"/>
        <v>140.18739430069337</v>
      </c>
      <c r="K83" s="669">
        <f t="shared" si="13"/>
        <v>108.04109141373443</v>
      </c>
      <c r="L83" s="669">
        <f t="shared" si="13"/>
        <v>101.85489176391003</v>
      </c>
      <c r="M83" s="669">
        <f t="shared" si="13"/>
        <v>98.922642905462538</v>
      </c>
      <c r="N83" s="669">
        <f t="shared" si="13"/>
        <v>107.29236726654133</v>
      </c>
      <c r="O83" s="669">
        <f t="shared" si="13"/>
        <v>103.71440237374514</v>
      </c>
      <c r="P83" s="669">
        <f t="shared" si="13"/>
        <v>141.23344321310688</v>
      </c>
      <c r="Q83" s="670">
        <f>SUMPRODUCT(E83:P83,E6:P6)/SUM(E6:P6)</f>
        <v>106.56053573324837</v>
      </c>
    </row>
  </sheetData>
  <dataValidations count="1">
    <dataValidation type="list" allowBlank="1" showInputMessage="1" showErrorMessage="1" sqref="C78" xr:uid="{E8C024C4-D76B-4B3A-A78B-AFA96098A75B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1B21-FC7C-47B3-9134-C6137EF705D6}">
  <sheetPr>
    <tabColor theme="7" tint="0.59999389629810485"/>
  </sheetPr>
  <dimension ref="B2:T64"/>
  <sheetViews>
    <sheetView showGridLines="0" zoomScale="85" zoomScaleNormal="85" workbookViewId="0">
      <pane xSplit="5" ySplit="4" topLeftCell="F5" activePane="bottomRight" state="frozen"/>
      <selection activeCell="H47" sqref="H47"/>
      <selection pane="topRight" activeCell="H47" sqref="H47"/>
      <selection pane="bottomLeft" activeCell="H47" sqref="H47"/>
      <selection pane="bottomRight" activeCell="H47" sqref="H47"/>
    </sheetView>
  </sheetViews>
  <sheetFormatPr defaultColWidth="34" defaultRowHeight="12.9" x14ac:dyDescent="0.2"/>
  <cols>
    <col min="1" max="1" width="6.25" style="456" customWidth="1"/>
    <col min="2" max="2" width="31.875" style="456" bestFit="1" customWidth="1"/>
    <col min="3" max="3" width="20.125" style="456" bestFit="1" customWidth="1"/>
    <col min="4" max="4" width="16.875" style="456" customWidth="1"/>
    <col min="5" max="5" width="11" style="456" customWidth="1"/>
    <col min="6" max="6" width="16.5" style="456" bestFit="1" customWidth="1"/>
    <col min="7" max="18" width="20.5" style="456" bestFit="1" customWidth="1"/>
    <col min="19" max="19" width="34" style="456"/>
    <col min="20" max="20" width="62.875" style="456" bestFit="1" customWidth="1"/>
    <col min="21" max="16384" width="34" style="456"/>
  </cols>
  <sheetData>
    <row r="2" spans="2:20" x14ac:dyDescent="0.2">
      <c r="B2" s="378" t="s">
        <v>327</v>
      </c>
    </row>
    <row r="3" spans="2:20" ht="13.6" thickBot="1" x14ac:dyDescent="0.25"/>
    <row r="4" spans="2:20" ht="22.1" customHeight="1" thickBot="1" x14ac:dyDescent="0.3">
      <c r="B4" s="457" t="s">
        <v>373</v>
      </c>
      <c r="C4" s="458" t="s">
        <v>7</v>
      </c>
      <c r="D4" s="459"/>
      <c r="E4" s="460"/>
      <c r="F4" s="461"/>
      <c r="G4" s="462">
        <f>E4+1</f>
        <v>1</v>
      </c>
      <c r="H4" s="462">
        <f>G4+1</f>
        <v>2</v>
      </c>
      <c r="I4" s="462">
        <f t="shared" ref="I4:P4" si="0">H4+1</f>
        <v>3</v>
      </c>
      <c r="J4" s="462">
        <f t="shared" si="0"/>
        <v>4</v>
      </c>
      <c r="K4" s="462">
        <f t="shared" si="0"/>
        <v>5</v>
      </c>
      <c r="L4" s="462">
        <f t="shared" si="0"/>
        <v>6</v>
      </c>
      <c r="M4" s="462">
        <f t="shared" si="0"/>
        <v>7</v>
      </c>
      <c r="N4" s="462">
        <f t="shared" si="0"/>
        <v>8</v>
      </c>
      <c r="O4" s="462">
        <f t="shared" si="0"/>
        <v>9</v>
      </c>
      <c r="P4" s="462">
        <f t="shared" si="0"/>
        <v>10</v>
      </c>
      <c r="Q4" s="462">
        <f>P4+1</f>
        <v>11</v>
      </c>
      <c r="R4" s="462">
        <f>Q4+1</f>
        <v>12</v>
      </c>
    </row>
    <row r="5" spans="2:20" x14ac:dyDescent="0.2">
      <c r="B5" s="463" t="s">
        <v>374</v>
      </c>
      <c r="C5" s="464" t="s">
        <v>375</v>
      </c>
      <c r="D5" s="465"/>
      <c r="E5" s="466"/>
      <c r="F5" s="467"/>
      <c r="G5" s="468">
        <v>0</v>
      </c>
      <c r="H5" s="468">
        <f>G6+1</f>
        <v>7001</v>
      </c>
      <c r="I5" s="468">
        <f t="shared" ref="I5:R5" si="1">H6+1</f>
        <v>14001</v>
      </c>
      <c r="J5" s="468">
        <f t="shared" si="1"/>
        <v>21001</v>
      </c>
      <c r="K5" s="468">
        <f t="shared" si="1"/>
        <v>28001</v>
      </c>
      <c r="L5" s="468">
        <f t="shared" si="1"/>
        <v>35001</v>
      </c>
      <c r="M5" s="468">
        <f t="shared" si="1"/>
        <v>42001</v>
      </c>
      <c r="N5" s="468">
        <f t="shared" si="1"/>
        <v>49001</v>
      </c>
      <c r="O5" s="468">
        <f t="shared" si="1"/>
        <v>56001</v>
      </c>
      <c r="P5" s="468">
        <f t="shared" si="1"/>
        <v>63001</v>
      </c>
      <c r="Q5" s="468">
        <f t="shared" si="1"/>
        <v>70001</v>
      </c>
      <c r="R5" s="468">
        <f t="shared" si="1"/>
        <v>77001</v>
      </c>
    </row>
    <row r="6" spans="2:20" x14ac:dyDescent="0.2">
      <c r="B6" s="469" t="s">
        <v>376</v>
      </c>
      <c r="C6" s="470" t="s">
        <v>375</v>
      </c>
      <c r="D6" s="471"/>
      <c r="E6" s="472"/>
      <c r="F6" s="473">
        <v>7000</v>
      </c>
      <c r="G6" s="474">
        <f>F6</f>
        <v>7000</v>
      </c>
      <c r="H6" s="474">
        <f t="shared" ref="H6:R6" si="2">G6+$F6</f>
        <v>14000</v>
      </c>
      <c r="I6" s="474">
        <f t="shared" si="2"/>
        <v>21000</v>
      </c>
      <c r="J6" s="474">
        <f t="shared" si="2"/>
        <v>28000</v>
      </c>
      <c r="K6" s="474">
        <f t="shared" si="2"/>
        <v>35000</v>
      </c>
      <c r="L6" s="474">
        <f t="shared" si="2"/>
        <v>42000</v>
      </c>
      <c r="M6" s="474">
        <f t="shared" si="2"/>
        <v>49000</v>
      </c>
      <c r="N6" s="474">
        <f t="shared" si="2"/>
        <v>56000</v>
      </c>
      <c r="O6" s="474">
        <f t="shared" si="2"/>
        <v>63000</v>
      </c>
      <c r="P6" s="474">
        <f t="shared" si="2"/>
        <v>70000</v>
      </c>
      <c r="Q6" s="474">
        <f t="shared" si="2"/>
        <v>77000</v>
      </c>
      <c r="R6" s="474">
        <f t="shared" si="2"/>
        <v>84000</v>
      </c>
    </row>
    <row r="7" spans="2:20" ht="21.75" customHeight="1" x14ac:dyDescent="0.2">
      <c r="B7" s="477" t="s">
        <v>377</v>
      </c>
      <c r="C7" s="478" t="s">
        <v>337</v>
      </c>
      <c r="D7" s="398"/>
      <c r="E7" s="479"/>
      <c r="F7" s="480"/>
      <c r="G7" s="481">
        <f>G13</f>
        <v>206</v>
      </c>
      <c r="H7" s="481">
        <f t="shared" ref="H7:R7" si="3">H13</f>
        <v>238</v>
      </c>
      <c r="I7" s="481">
        <f t="shared" si="3"/>
        <v>214</v>
      </c>
      <c r="J7" s="481">
        <f t="shared" si="3"/>
        <v>238</v>
      </c>
      <c r="K7" s="481">
        <f t="shared" si="3"/>
        <v>206</v>
      </c>
      <c r="L7" s="481">
        <f t="shared" si="3"/>
        <v>258</v>
      </c>
      <c r="M7" s="481">
        <f t="shared" si="3"/>
        <v>230</v>
      </c>
      <c r="N7" s="481">
        <f t="shared" si="3"/>
        <v>214</v>
      </c>
      <c r="O7" s="481">
        <f t="shared" si="3"/>
        <v>238</v>
      </c>
      <c r="P7" s="481">
        <f t="shared" si="3"/>
        <v>214</v>
      </c>
      <c r="Q7" s="481">
        <f t="shared" si="3"/>
        <v>230</v>
      </c>
      <c r="R7" s="481">
        <f t="shared" si="3"/>
        <v>258</v>
      </c>
    </row>
    <row r="8" spans="2:20" ht="21.1" customHeight="1" x14ac:dyDescent="0.2">
      <c r="B8" s="482" t="s">
        <v>378</v>
      </c>
      <c r="C8" s="429" t="s">
        <v>379</v>
      </c>
      <c r="D8" s="434"/>
      <c r="E8" s="479"/>
      <c r="F8" s="480"/>
      <c r="G8" s="483">
        <f t="shared" ref="G8:R8" si="4">SUM(G9:G10)</f>
        <v>136769.15</v>
      </c>
      <c r="H8" s="483">
        <f t="shared" si="4"/>
        <v>155545.45000000001</v>
      </c>
      <c r="I8" s="483">
        <f t="shared" si="4"/>
        <v>142726.29999999999</v>
      </c>
      <c r="J8" s="483">
        <f t="shared" si="4"/>
        <v>155545.45000000001</v>
      </c>
      <c r="K8" s="483">
        <f t="shared" si="4"/>
        <v>136769.15</v>
      </c>
      <c r="L8" s="483">
        <f t="shared" si="4"/>
        <v>170610.75</v>
      </c>
      <c r="M8" s="483">
        <f t="shared" si="4"/>
        <v>146717.29999999999</v>
      </c>
      <c r="N8" s="483">
        <f t="shared" si="4"/>
        <v>145597.29999999999</v>
      </c>
      <c r="O8" s="483">
        <f t="shared" si="4"/>
        <v>152674.44999999998</v>
      </c>
      <c r="P8" s="483">
        <f t="shared" si="4"/>
        <v>145597.29999999999</v>
      </c>
      <c r="Q8" s="483">
        <f t="shared" si="4"/>
        <v>146717.29999999999</v>
      </c>
      <c r="R8" s="483">
        <f t="shared" si="4"/>
        <v>170610.75</v>
      </c>
    </row>
    <row r="9" spans="2:20" ht="20.25" customHeight="1" x14ac:dyDescent="0.2">
      <c r="B9" s="484" t="s">
        <v>380</v>
      </c>
      <c r="C9" s="485" t="s">
        <v>379</v>
      </c>
      <c r="D9" s="420"/>
      <c r="E9" s="486"/>
      <c r="F9" s="487"/>
      <c r="G9" s="488">
        <f>G22</f>
        <v>122349.15</v>
      </c>
      <c r="H9" s="488">
        <f>H22</f>
        <v>138885.45000000001</v>
      </c>
      <c r="I9" s="488">
        <f t="shared" ref="I9:R9" si="5">I22</f>
        <v>127746.29999999999</v>
      </c>
      <c r="J9" s="488">
        <f t="shared" si="5"/>
        <v>138885.45000000001</v>
      </c>
      <c r="K9" s="488">
        <f t="shared" si="5"/>
        <v>122349.15</v>
      </c>
      <c r="L9" s="488">
        <f t="shared" si="5"/>
        <v>152550.75</v>
      </c>
      <c r="M9" s="488">
        <f t="shared" si="5"/>
        <v>130617.29999999999</v>
      </c>
      <c r="N9" s="488">
        <f t="shared" si="5"/>
        <v>130617.3</v>
      </c>
      <c r="O9" s="488">
        <f t="shared" si="5"/>
        <v>136014.44999999998</v>
      </c>
      <c r="P9" s="488">
        <f t="shared" si="5"/>
        <v>130617.3</v>
      </c>
      <c r="Q9" s="488">
        <f t="shared" si="5"/>
        <v>130617.29999999999</v>
      </c>
      <c r="R9" s="488">
        <f t="shared" si="5"/>
        <v>152550.75</v>
      </c>
    </row>
    <row r="10" spans="2:20" ht="23.3" customHeight="1" thickBot="1" x14ac:dyDescent="0.25">
      <c r="B10" s="489" t="s">
        <v>381</v>
      </c>
      <c r="C10" s="490" t="s">
        <v>379</v>
      </c>
      <c r="D10" s="423"/>
      <c r="E10" s="491"/>
      <c r="F10" s="712">
        <v>35</v>
      </c>
      <c r="G10" s="493">
        <f>SUMPRODUCT(G14:G19,$F$14:$F$19)*$F10</f>
        <v>14420</v>
      </c>
      <c r="H10" s="493">
        <f>SUMPRODUCT(H14:H19,$F$14:$F$19)*$F10</f>
        <v>16660</v>
      </c>
      <c r="I10" s="493">
        <f t="shared" ref="I10:R10" si="6">SUMPRODUCT(I14:I19,$F$14:$F$19)*$F10</f>
        <v>14980</v>
      </c>
      <c r="J10" s="493">
        <f t="shared" si="6"/>
        <v>16660</v>
      </c>
      <c r="K10" s="493">
        <f t="shared" si="6"/>
        <v>14420</v>
      </c>
      <c r="L10" s="493">
        <f t="shared" si="6"/>
        <v>18060</v>
      </c>
      <c r="M10" s="493">
        <f t="shared" si="6"/>
        <v>16100</v>
      </c>
      <c r="N10" s="493">
        <f t="shared" si="6"/>
        <v>14980</v>
      </c>
      <c r="O10" s="493">
        <f t="shared" si="6"/>
        <v>16660</v>
      </c>
      <c r="P10" s="493">
        <f t="shared" si="6"/>
        <v>14980</v>
      </c>
      <c r="Q10" s="493">
        <f t="shared" si="6"/>
        <v>16100</v>
      </c>
      <c r="R10" s="493">
        <f t="shared" si="6"/>
        <v>18060</v>
      </c>
    </row>
    <row r="11" spans="2:20" ht="13.6" thickBot="1" x14ac:dyDescent="0.25">
      <c r="B11" s="954"/>
      <c r="C11" s="955"/>
      <c r="D11" s="955"/>
      <c r="E11" s="955"/>
      <c r="F11" s="955"/>
      <c r="G11" s="955"/>
      <c r="H11" s="955"/>
      <c r="I11" s="955"/>
      <c r="J11" s="955"/>
      <c r="K11" s="955"/>
      <c r="L11" s="955"/>
      <c r="M11" s="955"/>
      <c r="N11" s="955"/>
      <c r="O11" s="955"/>
      <c r="P11" s="955"/>
      <c r="Q11" s="955"/>
      <c r="R11" s="955"/>
    </row>
    <row r="12" spans="2:20" ht="40.75" x14ac:dyDescent="0.2">
      <c r="B12" s="494" t="s">
        <v>382</v>
      </c>
      <c r="C12" s="495" t="s">
        <v>383</v>
      </c>
      <c r="D12" s="496" t="s">
        <v>384</v>
      </c>
      <c r="E12" s="497" t="s">
        <v>385</v>
      </c>
      <c r="F12" s="498" t="s">
        <v>386</v>
      </c>
      <c r="G12" s="499" t="s">
        <v>387</v>
      </c>
      <c r="H12" s="499" t="s">
        <v>387</v>
      </c>
      <c r="I12" s="499" t="s">
        <v>387</v>
      </c>
      <c r="J12" s="499" t="s">
        <v>387</v>
      </c>
      <c r="K12" s="499" t="s">
        <v>387</v>
      </c>
      <c r="L12" s="499" t="s">
        <v>387</v>
      </c>
      <c r="M12" s="499" t="s">
        <v>387</v>
      </c>
      <c r="N12" s="499" t="s">
        <v>387</v>
      </c>
      <c r="O12" s="499" t="s">
        <v>387</v>
      </c>
      <c r="P12" s="499" t="s">
        <v>387</v>
      </c>
      <c r="Q12" s="499" t="s">
        <v>387</v>
      </c>
      <c r="R12" s="499" t="s">
        <v>387</v>
      </c>
    </row>
    <row r="13" spans="2:20" ht="13.6" x14ac:dyDescent="0.2">
      <c r="B13" s="503" t="s">
        <v>393</v>
      </c>
      <c r="C13" s="504"/>
      <c r="D13" s="505"/>
      <c r="E13" s="506"/>
      <c r="F13" s="507"/>
      <c r="G13" s="508">
        <f>SUM(G14:G19)</f>
        <v>206</v>
      </c>
      <c r="H13" s="508">
        <f t="shared" ref="H13:R13" si="7">SUM(H14:H19)</f>
        <v>238</v>
      </c>
      <c r="I13" s="508">
        <f t="shared" si="7"/>
        <v>214</v>
      </c>
      <c r="J13" s="508">
        <f t="shared" si="7"/>
        <v>238</v>
      </c>
      <c r="K13" s="508">
        <f t="shared" si="7"/>
        <v>206</v>
      </c>
      <c r="L13" s="508">
        <f t="shared" si="7"/>
        <v>258</v>
      </c>
      <c r="M13" s="508">
        <f t="shared" si="7"/>
        <v>230</v>
      </c>
      <c r="N13" s="508">
        <f t="shared" si="7"/>
        <v>214</v>
      </c>
      <c r="O13" s="508">
        <f t="shared" si="7"/>
        <v>238</v>
      </c>
      <c r="P13" s="508">
        <f t="shared" si="7"/>
        <v>214</v>
      </c>
      <c r="Q13" s="508">
        <f t="shared" si="7"/>
        <v>230</v>
      </c>
      <c r="R13" s="508">
        <f t="shared" si="7"/>
        <v>258</v>
      </c>
    </row>
    <row r="14" spans="2:20" x14ac:dyDescent="0.2">
      <c r="B14" s="512" t="s">
        <v>394</v>
      </c>
      <c r="C14" s="1234">
        <v>250</v>
      </c>
      <c r="D14" s="1235">
        <v>4</v>
      </c>
      <c r="E14" s="1236">
        <f>$F$6/C14</f>
        <v>28</v>
      </c>
      <c r="F14" s="1237">
        <v>2</v>
      </c>
      <c r="G14" s="1235">
        <f t="shared" ref="G14:R18" si="8">$E14*$D14</f>
        <v>112</v>
      </c>
      <c r="H14" s="1235">
        <f t="shared" si="8"/>
        <v>112</v>
      </c>
      <c r="I14" s="1235">
        <f t="shared" si="8"/>
        <v>112</v>
      </c>
      <c r="J14" s="1235">
        <f t="shared" si="8"/>
        <v>112</v>
      </c>
      <c r="K14" s="1235">
        <f t="shared" si="8"/>
        <v>112</v>
      </c>
      <c r="L14" s="1235">
        <f t="shared" si="8"/>
        <v>112</v>
      </c>
      <c r="M14" s="1235">
        <f t="shared" si="8"/>
        <v>112</v>
      </c>
      <c r="N14" s="1235">
        <f t="shared" si="8"/>
        <v>112</v>
      </c>
      <c r="O14" s="1235">
        <f t="shared" si="8"/>
        <v>112</v>
      </c>
      <c r="P14" s="1235">
        <f t="shared" si="8"/>
        <v>112</v>
      </c>
      <c r="Q14" s="1235">
        <f t="shared" si="8"/>
        <v>112</v>
      </c>
      <c r="R14" s="1235">
        <f t="shared" si="8"/>
        <v>112</v>
      </c>
      <c r="T14" s="456" t="s">
        <v>578</v>
      </c>
    </row>
    <row r="15" spans="2:20" x14ac:dyDescent="0.2">
      <c r="B15" s="512" t="s">
        <v>395</v>
      </c>
      <c r="C15" s="1234">
        <v>1000</v>
      </c>
      <c r="D15" s="1235">
        <v>6</v>
      </c>
      <c r="E15" s="1236">
        <f>$F$6/C15</f>
        <v>7</v>
      </c>
      <c r="F15" s="1237">
        <v>2</v>
      </c>
      <c r="G15" s="1235">
        <f t="shared" si="8"/>
        <v>42</v>
      </c>
      <c r="H15" s="1235">
        <f t="shared" si="8"/>
        <v>42</v>
      </c>
      <c r="I15" s="1235">
        <f t="shared" si="8"/>
        <v>42</v>
      </c>
      <c r="J15" s="1235">
        <f t="shared" si="8"/>
        <v>42</v>
      </c>
      <c r="K15" s="1235">
        <f t="shared" si="8"/>
        <v>42</v>
      </c>
      <c r="L15" s="1235">
        <f t="shared" si="8"/>
        <v>42</v>
      </c>
      <c r="M15" s="1235">
        <f t="shared" si="8"/>
        <v>42</v>
      </c>
      <c r="N15" s="1235">
        <f t="shared" si="8"/>
        <v>42</v>
      </c>
      <c r="O15" s="1235">
        <f t="shared" si="8"/>
        <v>42</v>
      </c>
      <c r="P15" s="1235">
        <f t="shared" si="8"/>
        <v>42</v>
      </c>
      <c r="Q15" s="1235">
        <f t="shared" si="8"/>
        <v>42</v>
      </c>
      <c r="R15" s="1235">
        <f t="shared" si="8"/>
        <v>42</v>
      </c>
      <c r="T15" s="456" t="s">
        <v>578</v>
      </c>
    </row>
    <row r="16" spans="2:20" x14ac:dyDescent="0.2">
      <c r="B16" s="512" t="s">
        <v>396</v>
      </c>
      <c r="C16" s="1234">
        <v>2000</v>
      </c>
      <c r="D16" s="1235">
        <v>8</v>
      </c>
      <c r="E16" s="1236">
        <f>ROUNDDOWN($F$6/C16,0)</f>
        <v>3</v>
      </c>
      <c r="F16" s="1237">
        <v>2</v>
      </c>
      <c r="G16" s="1235">
        <f t="shared" si="8"/>
        <v>24</v>
      </c>
      <c r="H16" s="1235">
        <f>$E16*$D16+D16</f>
        <v>32</v>
      </c>
      <c r="I16" s="1235">
        <f t="shared" si="8"/>
        <v>24</v>
      </c>
      <c r="J16" s="1235">
        <f>$E16*$D16+D16</f>
        <v>32</v>
      </c>
      <c r="K16" s="1235">
        <f t="shared" si="8"/>
        <v>24</v>
      </c>
      <c r="L16" s="1235">
        <f>$E16*$D16+D16</f>
        <v>32</v>
      </c>
      <c r="M16" s="1235">
        <f t="shared" si="8"/>
        <v>24</v>
      </c>
      <c r="N16" s="1235">
        <f>$E16*$D16+D16</f>
        <v>32</v>
      </c>
      <c r="O16" s="1235">
        <f t="shared" si="8"/>
        <v>24</v>
      </c>
      <c r="P16" s="1235">
        <f>$E16*$D16+D16</f>
        <v>32</v>
      </c>
      <c r="Q16" s="1235">
        <f t="shared" si="8"/>
        <v>24</v>
      </c>
      <c r="R16" s="1235">
        <f>$E16*$D16+D16</f>
        <v>32</v>
      </c>
      <c r="T16" s="456" t="s">
        <v>578</v>
      </c>
    </row>
    <row r="17" spans="2:20" x14ac:dyDescent="0.2">
      <c r="B17" s="512" t="s">
        <v>397</v>
      </c>
      <c r="C17" s="1234">
        <v>3000</v>
      </c>
      <c r="D17" s="1235">
        <v>8</v>
      </c>
      <c r="E17" s="1236">
        <f>ROUNDDOWN($F$6/C17,0)</f>
        <v>2</v>
      </c>
      <c r="F17" s="1237">
        <v>2</v>
      </c>
      <c r="G17" s="1235">
        <f t="shared" si="8"/>
        <v>16</v>
      </c>
      <c r="H17" s="1235">
        <f t="shared" si="8"/>
        <v>16</v>
      </c>
      <c r="I17" s="1235">
        <f>$E17*$D17+D17</f>
        <v>24</v>
      </c>
      <c r="J17" s="1235">
        <f t="shared" si="8"/>
        <v>16</v>
      </c>
      <c r="K17" s="1235">
        <f t="shared" si="8"/>
        <v>16</v>
      </c>
      <c r="L17" s="1235">
        <f>$E17*$D17+D17</f>
        <v>24</v>
      </c>
      <c r="M17" s="1235">
        <f t="shared" si="8"/>
        <v>16</v>
      </c>
      <c r="N17" s="1235">
        <f t="shared" si="8"/>
        <v>16</v>
      </c>
      <c r="O17" s="1235">
        <f>$E17*$D17+D17</f>
        <v>24</v>
      </c>
      <c r="P17" s="1235">
        <f t="shared" si="8"/>
        <v>16</v>
      </c>
      <c r="Q17" s="1235">
        <f t="shared" si="8"/>
        <v>16</v>
      </c>
      <c r="R17" s="1235">
        <f>$E17*$D17+D17</f>
        <v>24</v>
      </c>
      <c r="T17" s="456" t="s">
        <v>578</v>
      </c>
    </row>
    <row r="18" spans="2:20" x14ac:dyDescent="0.2">
      <c r="B18" s="512" t="s">
        <v>399</v>
      </c>
      <c r="C18" s="1234">
        <v>6000</v>
      </c>
      <c r="D18" s="1235">
        <v>12</v>
      </c>
      <c r="E18" s="1236">
        <f>ROUNDDOWN($F$6/C18,0)</f>
        <v>1</v>
      </c>
      <c r="F18" s="1237">
        <v>2</v>
      </c>
      <c r="G18" s="1235">
        <f t="shared" si="8"/>
        <v>12</v>
      </c>
      <c r="H18" s="1235">
        <f t="shared" si="8"/>
        <v>12</v>
      </c>
      <c r="I18" s="1235">
        <f t="shared" si="8"/>
        <v>12</v>
      </c>
      <c r="J18" s="1235">
        <f t="shared" si="8"/>
        <v>12</v>
      </c>
      <c r="K18" s="1235">
        <f t="shared" si="8"/>
        <v>12</v>
      </c>
      <c r="L18" s="1235">
        <f>$E18*$D18+D18</f>
        <v>24</v>
      </c>
      <c r="M18" s="1235">
        <f t="shared" si="8"/>
        <v>12</v>
      </c>
      <c r="N18" s="1235">
        <f t="shared" si="8"/>
        <v>12</v>
      </c>
      <c r="O18" s="1235">
        <f t="shared" si="8"/>
        <v>12</v>
      </c>
      <c r="P18" s="1235">
        <f t="shared" si="8"/>
        <v>12</v>
      </c>
      <c r="Q18" s="1235">
        <f t="shared" si="8"/>
        <v>12</v>
      </c>
      <c r="R18" s="1235">
        <f>$E18*$D18+D18</f>
        <v>24</v>
      </c>
      <c r="T18" s="456" t="s">
        <v>578</v>
      </c>
    </row>
    <row r="19" spans="2:20" ht="13.6" thickBot="1" x14ac:dyDescent="0.25">
      <c r="B19" s="518" t="s">
        <v>401</v>
      </c>
      <c r="C19" s="1238">
        <v>12000</v>
      </c>
      <c r="D19" s="1239">
        <v>24</v>
      </c>
      <c r="E19" s="1236"/>
      <c r="F19" s="1240">
        <v>2</v>
      </c>
      <c r="G19" s="1239">
        <v>0</v>
      </c>
      <c r="H19" s="1239">
        <f>$D19</f>
        <v>24</v>
      </c>
      <c r="I19" s="1239">
        <v>0</v>
      </c>
      <c r="J19" s="1239">
        <f>D19</f>
        <v>24</v>
      </c>
      <c r="K19" s="1239">
        <v>0</v>
      </c>
      <c r="L19" s="1239">
        <f>$D19</f>
        <v>24</v>
      </c>
      <c r="M19" s="1239">
        <f>D19</f>
        <v>24</v>
      </c>
      <c r="N19" s="1239">
        <v>0</v>
      </c>
      <c r="O19" s="1239">
        <f>$D19</f>
        <v>24</v>
      </c>
      <c r="P19" s="1239">
        <v>0</v>
      </c>
      <c r="Q19" s="1239">
        <f>D19</f>
        <v>24</v>
      </c>
      <c r="R19" s="1239">
        <f>$D19</f>
        <v>24</v>
      </c>
      <c r="T19" s="456" t="s">
        <v>578</v>
      </c>
    </row>
    <row r="20" spans="2:20" ht="13.6" thickBot="1" x14ac:dyDescent="0.25">
      <c r="B20" s="954"/>
      <c r="C20" s="955"/>
      <c r="D20" s="955"/>
      <c r="E20" s="955"/>
      <c r="F20" s="955"/>
      <c r="G20" s="955"/>
      <c r="H20" s="955"/>
      <c r="I20" s="955"/>
      <c r="J20" s="955"/>
      <c r="K20" s="955"/>
      <c r="L20" s="955"/>
      <c r="M20" s="955"/>
      <c r="N20" s="955"/>
      <c r="O20" s="955"/>
      <c r="P20" s="955"/>
      <c r="Q20" s="955"/>
      <c r="R20" s="955"/>
    </row>
    <row r="21" spans="2:20" ht="27.2" x14ac:dyDescent="0.2">
      <c r="B21" s="494" t="s">
        <v>378</v>
      </c>
      <c r="C21" s="715" t="s">
        <v>403</v>
      </c>
      <c r="D21" s="388" t="s">
        <v>404</v>
      </c>
      <c r="E21" s="556" t="s">
        <v>405</v>
      </c>
      <c r="F21" s="716" t="s">
        <v>385</v>
      </c>
      <c r="G21" s="555" t="s">
        <v>579</v>
      </c>
      <c r="H21" s="555" t="s">
        <v>579</v>
      </c>
      <c r="I21" s="555" t="s">
        <v>579</v>
      </c>
      <c r="J21" s="555" t="s">
        <v>579</v>
      </c>
      <c r="K21" s="555" t="s">
        <v>579</v>
      </c>
      <c r="L21" s="555" t="s">
        <v>579</v>
      </c>
      <c r="M21" s="555" t="s">
        <v>579</v>
      </c>
      <c r="N21" s="555" t="s">
        <v>579</v>
      </c>
      <c r="O21" s="555" t="s">
        <v>579</v>
      </c>
      <c r="P21" s="555" t="s">
        <v>579</v>
      </c>
      <c r="Q21" s="555" t="s">
        <v>579</v>
      </c>
      <c r="R21" s="555" t="s">
        <v>579</v>
      </c>
    </row>
    <row r="22" spans="2:20" ht="13.6" x14ac:dyDescent="0.25">
      <c r="B22" s="717" t="s">
        <v>354</v>
      </c>
      <c r="C22" s="718"/>
      <c r="D22" s="719"/>
      <c r="E22" s="720"/>
      <c r="F22" s="721"/>
      <c r="G22" s="722">
        <f>SUM(G23:G64)</f>
        <v>122349.15</v>
      </c>
      <c r="H22" s="722">
        <f t="shared" ref="H22:R22" si="9">SUM(H23:H64)</f>
        <v>138885.45000000001</v>
      </c>
      <c r="I22" s="722">
        <f t="shared" si="9"/>
        <v>127746.29999999999</v>
      </c>
      <c r="J22" s="722">
        <f t="shared" si="9"/>
        <v>138885.45000000001</v>
      </c>
      <c r="K22" s="722">
        <f t="shared" si="9"/>
        <v>122349.15</v>
      </c>
      <c r="L22" s="722">
        <f t="shared" si="9"/>
        <v>152550.75</v>
      </c>
      <c r="M22" s="722">
        <f t="shared" si="9"/>
        <v>130617.29999999999</v>
      </c>
      <c r="N22" s="722">
        <f t="shared" si="9"/>
        <v>130617.3</v>
      </c>
      <c r="O22" s="722">
        <f t="shared" si="9"/>
        <v>136014.44999999998</v>
      </c>
      <c r="P22" s="722">
        <f t="shared" si="9"/>
        <v>130617.3</v>
      </c>
      <c r="Q22" s="722">
        <f t="shared" si="9"/>
        <v>130617.29999999999</v>
      </c>
      <c r="R22" s="722">
        <f t="shared" si="9"/>
        <v>152550.75</v>
      </c>
    </row>
    <row r="23" spans="2:20" x14ac:dyDescent="0.2">
      <c r="B23" s="723" t="s">
        <v>394</v>
      </c>
      <c r="C23" s="537"/>
      <c r="D23" s="1241"/>
      <c r="E23" s="1242">
        <f>VLOOKUP($B23,$B$14:$C$19,2,FALSE)</f>
        <v>250</v>
      </c>
      <c r="F23" s="473">
        <f>VLOOKUP($B23,$B$14:$E$19,4,FALSE)</f>
        <v>28</v>
      </c>
      <c r="G23" s="474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</row>
    <row r="24" spans="2:20" x14ac:dyDescent="0.2">
      <c r="B24" s="725" t="s">
        <v>771</v>
      </c>
      <c r="C24" s="1243"/>
      <c r="D24" s="1244">
        <v>110.55</v>
      </c>
      <c r="E24" s="1245">
        <v>2</v>
      </c>
      <c r="F24" s="1246"/>
      <c r="G24" s="1247">
        <f t="shared" ref="G24:R29" si="10">IF(G$14=0,0,G$14/$D$14*$E24*$D24)</f>
        <v>6190.8</v>
      </c>
      <c r="H24" s="1247">
        <f t="shared" si="10"/>
        <v>6190.8</v>
      </c>
      <c r="I24" s="1247">
        <f t="shared" si="10"/>
        <v>6190.8</v>
      </c>
      <c r="J24" s="1247">
        <f t="shared" si="10"/>
        <v>6190.8</v>
      </c>
      <c r="K24" s="1247">
        <f t="shared" si="10"/>
        <v>6190.8</v>
      </c>
      <c r="L24" s="1247">
        <f t="shared" si="10"/>
        <v>6190.8</v>
      </c>
      <c r="M24" s="1247">
        <f t="shared" si="10"/>
        <v>6190.8</v>
      </c>
      <c r="N24" s="1247">
        <f t="shared" si="10"/>
        <v>6190.8</v>
      </c>
      <c r="O24" s="1247">
        <f t="shared" si="10"/>
        <v>6190.8</v>
      </c>
      <c r="P24" s="1247">
        <f t="shared" si="10"/>
        <v>6190.8</v>
      </c>
      <c r="Q24" s="1247">
        <f t="shared" si="10"/>
        <v>6190.8</v>
      </c>
      <c r="R24" s="1247">
        <f t="shared" si="10"/>
        <v>6190.8</v>
      </c>
    </row>
    <row r="25" spans="2:20" x14ac:dyDescent="0.2">
      <c r="B25" s="725" t="s">
        <v>771</v>
      </c>
      <c r="C25" s="1243"/>
      <c r="D25" s="1244">
        <v>392.7</v>
      </c>
      <c r="E25" s="1245">
        <v>2</v>
      </c>
      <c r="F25" s="1246"/>
      <c r="G25" s="1247">
        <f t="shared" si="10"/>
        <v>21991.200000000001</v>
      </c>
      <c r="H25" s="1247">
        <f t="shared" si="10"/>
        <v>21991.200000000001</v>
      </c>
      <c r="I25" s="1247">
        <f t="shared" si="10"/>
        <v>21991.200000000001</v>
      </c>
      <c r="J25" s="1247">
        <f t="shared" si="10"/>
        <v>21991.200000000001</v>
      </c>
      <c r="K25" s="1247">
        <f t="shared" si="10"/>
        <v>21991.200000000001</v>
      </c>
      <c r="L25" s="1247">
        <f t="shared" si="10"/>
        <v>21991.200000000001</v>
      </c>
      <c r="M25" s="1247">
        <f t="shared" si="10"/>
        <v>21991.200000000001</v>
      </c>
      <c r="N25" s="1247">
        <f t="shared" si="10"/>
        <v>21991.200000000001</v>
      </c>
      <c r="O25" s="1247">
        <f t="shared" si="10"/>
        <v>21991.200000000001</v>
      </c>
      <c r="P25" s="1247">
        <f t="shared" si="10"/>
        <v>21991.200000000001</v>
      </c>
      <c r="Q25" s="1247">
        <f t="shared" si="10"/>
        <v>21991.200000000001</v>
      </c>
      <c r="R25" s="1247">
        <f t="shared" si="10"/>
        <v>21991.200000000001</v>
      </c>
    </row>
    <row r="26" spans="2:20" x14ac:dyDescent="0.2">
      <c r="B26" s="725" t="s">
        <v>774</v>
      </c>
      <c r="C26" s="1243"/>
      <c r="D26" s="1244">
        <v>94.05</v>
      </c>
      <c r="E26" s="1245">
        <v>3</v>
      </c>
      <c r="F26" s="1246"/>
      <c r="G26" s="1247">
        <f t="shared" si="10"/>
        <v>7900.2</v>
      </c>
      <c r="H26" s="1247">
        <f t="shared" si="10"/>
        <v>7900.2</v>
      </c>
      <c r="I26" s="1247">
        <f t="shared" si="10"/>
        <v>7900.2</v>
      </c>
      <c r="J26" s="1247">
        <f t="shared" si="10"/>
        <v>7900.2</v>
      </c>
      <c r="K26" s="1247">
        <f t="shared" si="10"/>
        <v>7900.2</v>
      </c>
      <c r="L26" s="1247">
        <f t="shared" si="10"/>
        <v>7900.2</v>
      </c>
      <c r="M26" s="1247">
        <f t="shared" si="10"/>
        <v>7900.2</v>
      </c>
      <c r="N26" s="1247">
        <f t="shared" si="10"/>
        <v>7900.2</v>
      </c>
      <c r="O26" s="1247">
        <f t="shared" si="10"/>
        <v>7900.2</v>
      </c>
      <c r="P26" s="1247">
        <f t="shared" si="10"/>
        <v>7900.2</v>
      </c>
      <c r="Q26" s="1247">
        <f t="shared" si="10"/>
        <v>7900.2</v>
      </c>
      <c r="R26" s="1247">
        <f t="shared" si="10"/>
        <v>7900.2</v>
      </c>
    </row>
    <row r="27" spans="2:20" x14ac:dyDescent="0.2">
      <c r="B27" s="725" t="s">
        <v>774</v>
      </c>
      <c r="C27" s="1248"/>
      <c r="D27" s="1244">
        <v>4.9499999999999993</v>
      </c>
      <c r="E27" s="1245">
        <v>0</v>
      </c>
      <c r="F27" s="1246"/>
      <c r="G27" s="1247">
        <f t="shared" si="10"/>
        <v>0</v>
      </c>
      <c r="H27" s="1247">
        <f t="shared" si="10"/>
        <v>0</v>
      </c>
      <c r="I27" s="1247">
        <f t="shared" si="10"/>
        <v>0</v>
      </c>
      <c r="J27" s="1247">
        <f t="shared" si="10"/>
        <v>0</v>
      </c>
      <c r="K27" s="1247">
        <f t="shared" si="10"/>
        <v>0</v>
      </c>
      <c r="L27" s="1247">
        <f t="shared" si="10"/>
        <v>0</v>
      </c>
      <c r="M27" s="1247">
        <f t="shared" si="10"/>
        <v>0</v>
      </c>
      <c r="N27" s="1247">
        <f t="shared" si="10"/>
        <v>0</v>
      </c>
      <c r="O27" s="1247">
        <f t="shared" si="10"/>
        <v>0</v>
      </c>
      <c r="P27" s="1247">
        <f t="shared" si="10"/>
        <v>0</v>
      </c>
      <c r="Q27" s="1247">
        <f t="shared" si="10"/>
        <v>0</v>
      </c>
      <c r="R27" s="1247">
        <f t="shared" si="10"/>
        <v>0</v>
      </c>
    </row>
    <row r="28" spans="2:20" x14ac:dyDescent="0.2">
      <c r="B28" s="725" t="s">
        <v>777</v>
      </c>
      <c r="C28" s="1248"/>
      <c r="D28" s="1244">
        <v>82.5</v>
      </c>
      <c r="E28" s="1245">
        <v>2</v>
      </c>
      <c r="F28" s="1246"/>
      <c r="G28" s="1247">
        <f t="shared" si="10"/>
        <v>4620</v>
      </c>
      <c r="H28" s="1247">
        <f t="shared" si="10"/>
        <v>4620</v>
      </c>
      <c r="I28" s="1247">
        <f t="shared" si="10"/>
        <v>4620</v>
      </c>
      <c r="J28" s="1247">
        <f t="shared" si="10"/>
        <v>4620</v>
      </c>
      <c r="K28" s="1247">
        <f t="shared" si="10"/>
        <v>4620</v>
      </c>
      <c r="L28" s="1247">
        <f t="shared" si="10"/>
        <v>4620</v>
      </c>
      <c r="M28" s="1247">
        <f t="shared" si="10"/>
        <v>4620</v>
      </c>
      <c r="N28" s="1247">
        <f t="shared" si="10"/>
        <v>4620</v>
      </c>
      <c r="O28" s="1247">
        <f t="shared" si="10"/>
        <v>4620</v>
      </c>
      <c r="P28" s="1247">
        <f t="shared" si="10"/>
        <v>4620</v>
      </c>
      <c r="Q28" s="1247">
        <f t="shared" si="10"/>
        <v>4620</v>
      </c>
      <c r="R28" s="1247">
        <f t="shared" si="10"/>
        <v>4620</v>
      </c>
    </row>
    <row r="29" spans="2:20" x14ac:dyDescent="0.2">
      <c r="B29" s="725" t="s">
        <v>777</v>
      </c>
      <c r="C29" s="1248"/>
      <c r="D29" s="1244">
        <v>0</v>
      </c>
      <c r="E29" s="1245">
        <v>0</v>
      </c>
      <c r="F29" s="1246"/>
      <c r="G29" s="1247">
        <f t="shared" si="10"/>
        <v>0</v>
      </c>
      <c r="H29" s="1247">
        <f t="shared" si="10"/>
        <v>0</v>
      </c>
      <c r="I29" s="1247">
        <f t="shared" si="10"/>
        <v>0</v>
      </c>
      <c r="J29" s="1247">
        <f t="shared" si="10"/>
        <v>0</v>
      </c>
      <c r="K29" s="1247">
        <f t="shared" si="10"/>
        <v>0</v>
      </c>
      <c r="L29" s="1247">
        <f t="shared" si="10"/>
        <v>0</v>
      </c>
      <c r="M29" s="1247">
        <f t="shared" si="10"/>
        <v>0</v>
      </c>
      <c r="N29" s="1247">
        <f t="shared" si="10"/>
        <v>0</v>
      </c>
      <c r="O29" s="1247">
        <f t="shared" si="10"/>
        <v>0</v>
      </c>
      <c r="P29" s="1247">
        <f t="shared" si="10"/>
        <v>0</v>
      </c>
      <c r="Q29" s="1247">
        <f t="shared" si="10"/>
        <v>0</v>
      </c>
      <c r="R29" s="1247">
        <f t="shared" si="10"/>
        <v>0</v>
      </c>
    </row>
    <row r="30" spans="2:20" x14ac:dyDescent="0.2">
      <c r="B30" s="723" t="s">
        <v>395</v>
      </c>
      <c r="C30" s="537"/>
      <c r="D30" s="1249"/>
      <c r="E30" s="1242">
        <f>VLOOKUP($B30,$B$14:$C$19,2,FALSE)</f>
        <v>1000</v>
      </c>
      <c r="F30" s="1250">
        <f>VLOOKUP($B30,$B$14:$E$19,4,FALSE)</f>
        <v>7</v>
      </c>
      <c r="G30" s="1251"/>
      <c r="H30" s="1251"/>
      <c r="I30" s="1251"/>
      <c r="J30" s="1251"/>
      <c r="K30" s="1251"/>
      <c r="L30" s="1251"/>
      <c r="M30" s="1251"/>
      <c r="N30" s="1251"/>
      <c r="O30" s="1251"/>
      <c r="P30" s="1251"/>
      <c r="Q30" s="1251"/>
      <c r="R30" s="1251"/>
    </row>
    <row r="31" spans="2:20" x14ac:dyDescent="0.2">
      <c r="B31" s="725" t="s">
        <v>771</v>
      </c>
      <c r="C31" s="1243"/>
      <c r="D31" s="1244">
        <v>110.55</v>
      </c>
      <c r="E31" s="1245">
        <v>2</v>
      </c>
      <c r="F31" s="1246"/>
      <c r="G31" s="1247">
        <f t="shared" ref="G31:R36" si="11">IF(G$15=0,0,G$15/$D$15*$E31*$D31)</f>
        <v>1547.7</v>
      </c>
      <c r="H31" s="1247">
        <f t="shared" si="11"/>
        <v>1547.7</v>
      </c>
      <c r="I31" s="1247">
        <f t="shared" si="11"/>
        <v>1547.7</v>
      </c>
      <c r="J31" s="1247">
        <f t="shared" si="11"/>
        <v>1547.7</v>
      </c>
      <c r="K31" s="1247">
        <f t="shared" si="11"/>
        <v>1547.7</v>
      </c>
      <c r="L31" s="1247">
        <f t="shared" si="11"/>
        <v>1547.7</v>
      </c>
      <c r="M31" s="1247">
        <f t="shared" si="11"/>
        <v>1547.7</v>
      </c>
      <c r="N31" s="1247">
        <f t="shared" si="11"/>
        <v>1547.7</v>
      </c>
      <c r="O31" s="1247">
        <f t="shared" si="11"/>
        <v>1547.7</v>
      </c>
      <c r="P31" s="1247">
        <f t="shared" si="11"/>
        <v>1547.7</v>
      </c>
      <c r="Q31" s="1247">
        <f t="shared" si="11"/>
        <v>1547.7</v>
      </c>
      <c r="R31" s="1247">
        <f t="shared" si="11"/>
        <v>1547.7</v>
      </c>
    </row>
    <row r="32" spans="2:20" x14ac:dyDescent="0.2">
      <c r="B32" s="725" t="s">
        <v>771</v>
      </c>
      <c r="C32" s="1243"/>
      <c r="D32" s="1244">
        <v>392.7</v>
      </c>
      <c r="E32" s="1245">
        <v>2</v>
      </c>
      <c r="F32" s="1246"/>
      <c r="G32" s="1247">
        <f t="shared" si="11"/>
        <v>5497.8</v>
      </c>
      <c r="H32" s="1247">
        <f t="shared" si="11"/>
        <v>5497.8</v>
      </c>
      <c r="I32" s="1247">
        <f t="shared" si="11"/>
        <v>5497.8</v>
      </c>
      <c r="J32" s="1247">
        <f t="shared" si="11"/>
        <v>5497.8</v>
      </c>
      <c r="K32" s="1247">
        <f t="shared" si="11"/>
        <v>5497.8</v>
      </c>
      <c r="L32" s="1247">
        <f t="shared" si="11"/>
        <v>5497.8</v>
      </c>
      <c r="M32" s="1247">
        <f t="shared" si="11"/>
        <v>5497.8</v>
      </c>
      <c r="N32" s="1247">
        <f t="shared" si="11"/>
        <v>5497.8</v>
      </c>
      <c r="O32" s="1247">
        <f t="shared" si="11"/>
        <v>5497.8</v>
      </c>
      <c r="P32" s="1247">
        <f t="shared" si="11"/>
        <v>5497.8</v>
      </c>
      <c r="Q32" s="1247">
        <f t="shared" si="11"/>
        <v>5497.8</v>
      </c>
      <c r="R32" s="1247">
        <f t="shared" si="11"/>
        <v>5497.8</v>
      </c>
    </row>
    <row r="33" spans="2:18" x14ac:dyDescent="0.2">
      <c r="B33" s="725" t="s">
        <v>774</v>
      </c>
      <c r="C33" s="1243"/>
      <c r="D33" s="1244">
        <v>94.05</v>
      </c>
      <c r="E33" s="1245">
        <v>3</v>
      </c>
      <c r="F33" s="1246"/>
      <c r="G33" s="1247">
        <f t="shared" si="11"/>
        <v>1975.05</v>
      </c>
      <c r="H33" s="1247">
        <f t="shared" si="11"/>
        <v>1975.05</v>
      </c>
      <c r="I33" s="1247">
        <f t="shared" si="11"/>
        <v>1975.05</v>
      </c>
      <c r="J33" s="1247">
        <f t="shared" si="11"/>
        <v>1975.05</v>
      </c>
      <c r="K33" s="1247">
        <f t="shared" si="11"/>
        <v>1975.05</v>
      </c>
      <c r="L33" s="1247">
        <f t="shared" si="11"/>
        <v>1975.05</v>
      </c>
      <c r="M33" s="1247">
        <f t="shared" si="11"/>
        <v>1975.05</v>
      </c>
      <c r="N33" s="1247">
        <f t="shared" si="11"/>
        <v>1975.05</v>
      </c>
      <c r="O33" s="1247">
        <f t="shared" si="11"/>
        <v>1975.05</v>
      </c>
      <c r="P33" s="1247">
        <f t="shared" si="11"/>
        <v>1975.05</v>
      </c>
      <c r="Q33" s="1247">
        <f t="shared" si="11"/>
        <v>1975.05</v>
      </c>
      <c r="R33" s="1247">
        <f t="shared" si="11"/>
        <v>1975.05</v>
      </c>
    </row>
    <row r="34" spans="2:18" x14ac:dyDescent="0.2">
      <c r="B34" s="725" t="s">
        <v>774</v>
      </c>
      <c r="C34" s="1248"/>
      <c r="D34" s="1244">
        <v>788.69999999999993</v>
      </c>
      <c r="E34" s="1245">
        <v>5</v>
      </c>
      <c r="F34" s="1246"/>
      <c r="G34" s="1247">
        <f t="shared" si="11"/>
        <v>27604.499999999996</v>
      </c>
      <c r="H34" s="1247">
        <f t="shared" si="11"/>
        <v>27604.499999999996</v>
      </c>
      <c r="I34" s="1247">
        <f t="shared" si="11"/>
        <v>27604.499999999996</v>
      </c>
      <c r="J34" s="1247">
        <f t="shared" si="11"/>
        <v>27604.499999999996</v>
      </c>
      <c r="K34" s="1247">
        <f t="shared" si="11"/>
        <v>27604.499999999996</v>
      </c>
      <c r="L34" s="1247">
        <f t="shared" si="11"/>
        <v>27604.499999999996</v>
      </c>
      <c r="M34" s="1247">
        <f t="shared" si="11"/>
        <v>27604.499999999996</v>
      </c>
      <c r="N34" s="1247">
        <f t="shared" si="11"/>
        <v>27604.499999999996</v>
      </c>
      <c r="O34" s="1247">
        <f t="shared" si="11"/>
        <v>27604.499999999996</v>
      </c>
      <c r="P34" s="1247">
        <f t="shared" si="11"/>
        <v>27604.499999999996</v>
      </c>
      <c r="Q34" s="1247">
        <f t="shared" si="11"/>
        <v>27604.499999999996</v>
      </c>
      <c r="R34" s="1247">
        <f t="shared" si="11"/>
        <v>27604.499999999996</v>
      </c>
    </row>
    <row r="35" spans="2:18" x14ac:dyDescent="0.2">
      <c r="B35" s="725" t="s">
        <v>777</v>
      </c>
      <c r="C35" s="1248"/>
      <c r="D35" s="1244">
        <v>82.5</v>
      </c>
      <c r="E35" s="1245">
        <v>2</v>
      </c>
      <c r="F35" s="1246"/>
      <c r="G35" s="1247">
        <f t="shared" si="11"/>
        <v>1155</v>
      </c>
      <c r="H35" s="1247">
        <f t="shared" si="11"/>
        <v>1155</v>
      </c>
      <c r="I35" s="1247">
        <f t="shared" si="11"/>
        <v>1155</v>
      </c>
      <c r="J35" s="1247">
        <f t="shared" si="11"/>
        <v>1155</v>
      </c>
      <c r="K35" s="1247">
        <f t="shared" si="11"/>
        <v>1155</v>
      </c>
      <c r="L35" s="1247">
        <f t="shared" si="11"/>
        <v>1155</v>
      </c>
      <c r="M35" s="1247">
        <f t="shared" si="11"/>
        <v>1155</v>
      </c>
      <c r="N35" s="1247">
        <f t="shared" si="11"/>
        <v>1155</v>
      </c>
      <c r="O35" s="1247">
        <f t="shared" si="11"/>
        <v>1155</v>
      </c>
      <c r="P35" s="1247">
        <f t="shared" si="11"/>
        <v>1155</v>
      </c>
      <c r="Q35" s="1247">
        <f t="shared" si="11"/>
        <v>1155</v>
      </c>
      <c r="R35" s="1247">
        <f t="shared" si="11"/>
        <v>1155</v>
      </c>
    </row>
    <row r="36" spans="2:18" x14ac:dyDescent="0.2">
      <c r="B36" s="725" t="s">
        <v>777</v>
      </c>
      <c r="C36" s="1248"/>
      <c r="D36" s="1244">
        <v>0</v>
      </c>
      <c r="E36" s="1245">
        <v>0</v>
      </c>
      <c r="F36" s="1246"/>
      <c r="G36" s="1247">
        <f t="shared" si="11"/>
        <v>0</v>
      </c>
      <c r="H36" s="1247">
        <f t="shared" si="11"/>
        <v>0</v>
      </c>
      <c r="I36" s="1247">
        <f t="shared" si="11"/>
        <v>0</v>
      </c>
      <c r="J36" s="1247">
        <f t="shared" si="11"/>
        <v>0</v>
      </c>
      <c r="K36" s="1247">
        <f t="shared" si="11"/>
        <v>0</v>
      </c>
      <c r="L36" s="1247">
        <f t="shared" si="11"/>
        <v>0</v>
      </c>
      <c r="M36" s="1247">
        <f t="shared" si="11"/>
        <v>0</v>
      </c>
      <c r="N36" s="1247">
        <f t="shared" si="11"/>
        <v>0</v>
      </c>
      <c r="O36" s="1247">
        <f t="shared" si="11"/>
        <v>0</v>
      </c>
      <c r="P36" s="1247">
        <f t="shared" si="11"/>
        <v>0</v>
      </c>
      <c r="Q36" s="1247">
        <f t="shared" si="11"/>
        <v>0</v>
      </c>
      <c r="R36" s="1247">
        <f t="shared" si="11"/>
        <v>0</v>
      </c>
    </row>
    <row r="37" spans="2:18" x14ac:dyDescent="0.2">
      <c r="B37" s="723" t="s">
        <v>396</v>
      </c>
      <c r="C37" s="537"/>
      <c r="D37" s="1249"/>
      <c r="E37" s="1242">
        <f>VLOOKUP($B37,$B$14:$C$19,2,FALSE)</f>
        <v>2000</v>
      </c>
      <c r="F37" s="1250">
        <f>VLOOKUP($B37,$B$14:$E$19,4,FALSE)</f>
        <v>3</v>
      </c>
      <c r="G37" s="1251"/>
      <c r="H37" s="1251"/>
      <c r="I37" s="1251"/>
      <c r="J37" s="1251"/>
      <c r="K37" s="1251"/>
      <c r="L37" s="1251"/>
      <c r="M37" s="1251"/>
      <c r="N37" s="1251"/>
      <c r="O37" s="1251"/>
      <c r="P37" s="1251"/>
      <c r="Q37" s="1251"/>
      <c r="R37" s="1251"/>
    </row>
    <row r="38" spans="2:18" x14ac:dyDescent="0.2">
      <c r="B38" s="725" t="s">
        <v>771</v>
      </c>
      <c r="C38" s="1243"/>
      <c r="D38" s="1244">
        <v>110.55</v>
      </c>
      <c r="E38" s="1245">
        <v>2</v>
      </c>
      <c r="F38" s="1246"/>
      <c r="G38" s="1247">
        <f t="shared" ref="G38:R43" si="12">IF(G$16=0,0,G$16/$D$16*$E38*$D38)</f>
        <v>663.3</v>
      </c>
      <c r="H38" s="1247">
        <f t="shared" si="12"/>
        <v>884.4</v>
      </c>
      <c r="I38" s="1247">
        <f t="shared" si="12"/>
        <v>663.3</v>
      </c>
      <c r="J38" s="1247">
        <f t="shared" si="12"/>
        <v>884.4</v>
      </c>
      <c r="K38" s="1247">
        <f t="shared" si="12"/>
        <v>663.3</v>
      </c>
      <c r="L38" s="1247">
        <f t="shared" si="12"/>
        <v>884.4</v>
      </c>
      <c r="M38" s="1247">
        <f t="shared" si="12"/>
        <v>663.3</v>
      </c>
      <c r="N38" s="1247">
        <f t="shared" si="12"/>
        <v>884.4</v>
      </c>
      <c r="O38" s="1247">
        <f t="shared" si="12"/>
        <v>663.3</v>
      </c>
      <c r="P38" s="1247">
        <f t="shared" si="12"/>
        <v>884.4</v>
      </c>
      <c r="Q38" s="1247">
        <f t="shared" si="12"/>
        <v>663.3</v>
      </c>
      <c r="R38" s="1247">
        <f t="shared" si="12"/>
        <v>884.4</v>
      </c>
    </row>
    <row r="39" spans="2:18" x14ac:dyDescent="0.2">
      <c r="B39" s="725" t="s">
        <v>771</v>
      </c>
      <c r="C39" s="1243"/>
      <c r="D39" s="1244">
        <v>392.7</v>
      </c>
      <c r="E39" s="1245">
        <v>2</v>
      </c>
      <c r="F39" s="1246"/>
      <c r="G39" s="1247">
        <f t="shared" si="12"/>
        <v>2356.1999999999998</v>
      </c>
      <c r="H39" s="1247">
        <f t="shared" si="12"/>
        <v>3141.6</v>
      </c>
      <c r="I39" s="1247">
        <f t="shared" si="12"/>
        <v>2356.1999999999998</v>
      </c>
      <c r="J39" s="1247">
        <f t="shared" si="12"/>
        <v>3141.6</v>
      </c>
      <c r="K39" s="1247">
        <f t="shared" si="12"/>
        <v>2356.1999999999998</v>
      </c>
      <c r="L39" s="1247">
        <f t="shared" si="12"/>
        <v>3141.6</v>
      </c>
      <c r="M39" s="1247">
        <f t="shared" si="12"/>
        <v>2356.1999999999998</v>
      </c>
      <c r="N39" s="1247">
        <f t="shared" si="12"/>
        <v>3141.6</v>
      </c>
      <c r="O39" s="1247">
        <f t="shared" si="12"/>
        <v>2356.1999999999998</v>
      </c>
      <c r="P39" s="1247">
        <f t="shared" si="12"/>
        <v>3141.6</v>
      </c>
      <c r="Q39" s="1247">
        <f t="shared" si="12"/>
        <v>2356.1999999999998</v>
      </c>
      <c r="R39" s="1247">
        <f t="shared" si="12"/>
        <v>3141.6</v>
      </c>
    </row>
    <row r="40" spans="2:18" x14ac:dyDescent="0.2">
      <c r="B40" s="725" t="s">
        <v>774</v>
      </c>
      <c r="C40" s="1243"/>
      <c r="D40" s="1244">
        <v>94.05</v>
      </c>
      <c r="E40" s="1245">
        <v>3</v>
      </c>
      <c r="F40" s="1246"/>
      <c r="G40" s="1247">
        <f t="shared" si="12"/>
        <v>846.44999999999993</v>
      </c>
      <c r="H40" s="1247">
        <f t="shared" si="12"/>
        <v>1128.5999999999999</v>
      </c>
      <c r="I40" s="1247">
        <f t="shared" si="12"/>
        <v>846.44999999999993</v>
      </c>
      <c r="J40" s="1247">
        <f t="shared" si="12"/>
        <v>1128.5999999999999</v>
      </c>
      <c r="K40" s="1247">
        <f t="shared" si="12"/>
        <v>846.44999999999993</v>
      </c>
      <c r="L40" s="1247">
        <f t="shared" si="12"/>
        <v>1128.5999999999999</v>
      </c>
      <c r="M40" s="1247">
        <f t="shared" si="12"/>
        <v>846.44999999999993</v>
      </c>
      <c r="N40" s="1247">
        <f t="shared" si="12"/>
        <v>1128.5999999999999</v>
      </c>
      <c r="O40" s="1247">
        <f t="shared" si="12"/>
        <v>846.44999999999993</v>
      </c>
      <c r="P40" s="1247">
        <f t="shared" si="12"/>
        <v>1128.5999999999999</v>
      </c>
      <c r="Q40" s="1247">
        <f t="shared" si="12"/>
        <v>846.44999999999993</v>
      </c>
      <c r="R40" s="1247">
        <f t="shared" si="12"/>
        <v>1128.5999999999999</v>
      </c>
    </row>
    <row r="41" spans="2:18" x14ac:dyDescent="0.2">
      <c r="B41" s="725" t="s">
        <v>774</v>
      </c>
      <c r="C41" s="1248"/>
      <c r="D41" s="1244">
        <v>788.69999999999993</v>
      </c>
      <c r="E41" s="1245">
        <v>5</v>
      </c>
      <c r="F41" s="1246"/>
      <c r="G41" s="1247">
        <f t="shared" si="12"/>
        <v>11830.499999999998</v>
      </c>
      <c r="H41" s="1247">
        <f t="shared" si="12"/>
        <v>15773.999999999998</v>
      </c>
      <c r="I41" s="1247">
        <f t="shared" si="12"/>
        <v>11830.499999999998</v>
      </c>
      <c r="J41" s="1247">
        <f t="shared" si="12"/>
        <v>15773.999999999998</v>
      </c>
      <c r="K41" s="1247">
        <f t="shared" si="12"/>
        <v>11830.499999999998</v>
      </c>
      <c r="L41" s="1247">
        <f t="shared" si="12"/>
        <v>15773.999999999998</v>
      </c>
      <c r="M41" s="1247">
        <f t="shared" si="12"/>
        <v>11830.499999999998</v>
      </c>
      <c r="N41" s="1247">
        <f t="shared" si="12"/>
        <v>15773.999999999998</v>
      </c>
      <c r="O41" s="1247">
        <f t="shared" si="12"/>
        <v>11830.499999999998</v>
      </c>
      <c r="P41" s="1247">
        <f t="shared" si="12"/>
        <v>15773.999999999998</v>
      </c>
      <c r="Q41" s="1247">
        <f t="shared" si="12"/>
        <v>11830.499999999998</v>
      </c>
      <c r="R41" s="1247">
        <f t="shared" si="12"/>
        <v>15773.999999999998</v>
      </c>
    </row>
    <row r="42" spans="2:18" x14ac:dyDescent="0.2">
      <c r="B42" s="725" t="s">
        <v>777</v>
      </c>
      <c r="C42" s="1248"/>
      <c r="D42" s="1244">
        <v>82.5</v>
      </c>
      <c r="E42" s="1245">
        <v>2</v>
      </c>
      <c r="F42" s="1246"/>
      <c r="G42" s="1247">
        <f t="shared" si="12"/>
        <v>495</v>
      </c>
      <c r="H42" s="1247">
        <f t="shared" si="12"/>
        <v>660</v>
      </c>
      <c r="I42" s="1247">
        <f t="shared" si="12"/>
        <v>495</v>
      </c>
      <c r="J42" s="1247">
        <f t="shared" si="12"/>
        <v>660</v>
      </c>
      <c r="K42" s="1247">
        <f t="shared" si="12"/>
        <v>495</v>
      </c>
      <c r="L42" s="1247">
        <f t="shared" si="12"/>
        <v>660</v>
      </c>
      <c r="M42" s="1247">
        <f t="shared" si="12"/>
        <v>495</v>
      </c>
      <c r="N42" s="1247">
        <f t="shared" si="12"/>
        <v>660</v>
      </c>
      <c r="O42" s="1247">
        <f t="shared" si="12"/>
        <v>495</v>
      </c>
      <c r="P42" s="1247">
        <f t="shared" si="12"/>
        <v>660</v>
      </c>
      <c r="Q42" s="1247">
        <f t="shared" si="12"/>
        <v>495</v>
      </c>
      <c r="R42" s="1247">
        <f t="shared" si="12"/>
        <v>660</v>
      </c>
    </row>
    <row r="43" spans="2:18" x14ac:dyDescent="0.2">
      <c r="B43" s="725" t="s">
        <v>777</v>
      </c>
      <c r="C43" s="1248"/>
      <c r="D43" s="1244">
        <v>574.19999999999993</v>
      </c>
      <c r="E43" s="1245">
        <v>5</v>
      </c>
      <c r="F43" s="1246"/>
      <c r="G43" s="1247">
        <f t="shared" si="12"/>
        <v>8612.9999999999982</v>
      </c>
      <c r="H43" s="1247">
        <f t="shared" si="12"/>
        <v>11483.999999999998</v>
      </c>
      <c r="I43" s="1247">
        <f t="shared" si="12"/>
        <v>8612.9999999999982</v>
      </c>
      <c r="J43" s="1247">
        <f t="shared" si="12"/>
        <v>11483.999999999998</v>
      </c>
      <c r="K43" s="1247">
        <f t="shared" si="12"/>
        <v>8612.9999999999982</v>
      </c>
      <c r="L43" s="1247">
        <f t="shared" si="12"/>
        <v>11483.999999999998</v>
      </c>
      <c r="M43" s="1247">
        <f t="shared" si="12"/>
        <v>8612.9999999999982</v>
      </c>
      <c r="N43" s="1247">
        <f t="shared" si="12"/>
        <v>11483.999999999998</v>
      </c>
      <c r="O43" s="1247">
        <f t="shared" si="12"/>
        <v>8612.9999999999982</v>
      </c>
      <c r="P43" s="1247">
        <f t="shared" si="12"/>
        <v>11483.999999999998</v>
      </c>
      <c r="Q43" s="1247">
        <f t="shared" si="12"/>
        <v>8612.9999999999982</v>
      </c>
      <c r="R43" s="1247">
        <f t="shared" si="12"/>
        <v>11483.999999999998</v>
      </c>
    </row>
    <row r="44" spans="2:18" x14ac:dyDescent="0.2">
      <c r="B44" s="723" t="s">
        <v>397</v>
      </c>
      <c r="C44" s="537"/>
      <c r="D44" s="1249"/>
      <c r="E44" s="1242">
        <f>VLOOKUP($B44,$B$14:$C$19,2,FALSE)</f>
        <v>3000</v>
      </c>
      <c r="F44" s="1250">
        <f>VLOOKUP($B44,$B$14:$E$19,4,FALSE)</f>
        <v>2</v>
      </c>
      <c r="G44" s="1251"/>
      <c r="H44" s="1251"/>
      <c r="I44" s="1251"/>
      <c r="J44" s="1251"/>
      <c r="K44" s="1251"/>
      <c r="L44" s="1251"/>
      <c r="M44" s="1251"/>
      <c r="N44" s="1251"/>
      <c r="O44" s="1251"/>
      <c r="P44" s="1251"/>
      <c r="Q44" s="1251"/>
      <c r="R44" s="1251"/>
    </row>
    <row r="45" spans="2:18" x14ac:dyDescent="0.2">
      <c r="B45" s="725" t="s">
        <v>771</v>
      </c>
      <c r="C45" s="1243"/>
      <c r="D45" s="1244">
        <v>110.55</v>
      </c>
      <c r="E45" s="1245">
        <v>2</v>
      </c>
      <c r="F45" s="1246"/>
      <c r="G45" s="1247">
        <f t="shared" ref="G45:R50" si="13">IF(G$17=0,0,G$17/$D$17*$E45*$D45)</f>
        <v>442.2</v>
      </c>
      <c r="H45" s="1247">
        <f t="shared" si="13"/>
        <v>442.2</v>
      </c>
      <c r="I45" s="1247">
        <f t="shared" si="13"/>
        <v>663.3</v>
      </c>
      <c r="J45" s="1247">
        <f t="shared" si="13"/>
        <v>442.2</v>
      </c>
      <c r="K45" s="1247">
        <f t="shared" si="13"/>
        <v>442.2</v>
      </c>
      <c r="L45" s="1247">
        <f t="shared" si="13"/>
        <v>663.3</v>
      </c>
      <c r="M45" s="1247">
        <f t="shared" si="13"/>
        <v>442.2</v>
      </c>
      <c r="N45" s="1247">
        <f t="shared" si="13"/>
        <v>442.2</v>
      </c>
      <c r="O45" s="1247">
        <f t="shared" si="13"/>
        <v>663.3</v>
      </c>
      <c r="P45" s="1247">
        <f t="shared" si="13"/>
        <v>442.2</v>
      </c>
      <c r="Q45" s="1247">
        <f t="shared" si="13"/>
        <v>442.2</v>
      </c>
      <c r="R45" s="1247">
        <f t="shared" si="13"/>
        <v>663.3</v>
      </c>
    </row>
    <row r="46" spans="2:18" x14ac:dyDescent="0.2">
      <c r="B46" s="725" t="s">
        <v>771</v>
      </c>
      <c r="C46" s="1243"/>
      <c r="D46" s="1244">
        <v>392.7</v>
      </c>
      <c r="E46" s="1245">
        <v>2</v>
      </c>
      <c r="F46" s="1246"/>
      <c r="G46" s="1247">
        <f t="shared" si="13"/>
        <v>1570.8</v>
      </c>
      <c r="H46" s="1247">
        <f t="shared" si="13"/>
        <v>1570.8</v>
      </c>
      <c r="I46" s="1247">
        <f t="shared" si="13"/>
        <v>2356.1999999999998</v>
      </c>
      <c r="J46" s="1247">
        <f t="shared" si="13"/>
        <v>1570.8</v>
      </c>
      <c r="K46" s="1247">
        <f t="shared" si="13"/>
        <v>1570.8</v>
      </c>
      <c r="L46" s="1247">
        <f t="shared" si="13"/>
        <v>2356.1999999999998</v>
      </c>
      <c r="M46" s="1247">
        <f t="shared" si="13"/>
        <v>1570.8</v>
      </c>
      <c r="N46" s="1247">
        <f t="shared" si="13"/>
        <v>1570.8</v>
      </c>
      <c r="O46" s="1247">
        <f t="shared" si="13"/>
        <v>2356.1999999999998</v>
      </c>
      <c r="P46" s="1247">
        <f t="shared" si="13"/>
        <v>1570.8</v>
      </c>
      <c r="Q46" s="1247">
        <f t="shared" si="13"/>
        <v>1570.8</v>
      </c>
      <c r="R46" s="1247">
        <f t="shared" si="13"/>
        <v>2356.1999999999998</v>
      </c>
    </row>
    <row r="47" spans="2:18" x14ac:dyDescent="0.2">
      <c r="B47" s="725" t="s">
        <v>774</v>
      </c>
      <c r="C47" s="1243"/>
      <c r="D47" s="1244">
        <v>94.05</v>
      </c>
      <c r="E47" s="1245">
        <v>3</v>
      </c>
      <c r="F47" s="1246"/>
      <c r="G47" s="1247">
        <f t="shared" si="13"/>
        <v>564.29999999999995</v>
      </c>
      <c r="H47" s="1247">
        <f t="shared" si="13"/>
        <v>564.29999999999995</v>
      </c>
      <c r="I47" s="1247">
        <f t="shared" si="13"/>
        <v>846.44999999999993</v>
      </c>
      <c r="J47" s="1247">
        <f t="shared" si="13"/>
        <v>564.29999999999995</v>
      </c>
      <c r="K47" s="1247">
        <f t="shared" si="13"/>
        <v>564.29999999999995</v>
      </c>
      <c r="L47" s="1247">
        <f t="shared" si="13"/>
        <v>846.44999999999993</v>
      </c>
      <c r="M47" s="1247">
        <f t="shared" si="13"/>
        <v>564.29999999999995</v>
      </c>
      <c r="N47" s="1247">
        <f t="shared" si="13"/>
        <v>564.29999999999995</v>
      </c>
      <c r="O47" s="1247">
        <f t="shared" si="13"/>
        <v>846.44999999999993</v>
      </c>
      <c r="P47" s="1247">
        <f t="shared" si="13"/>
        <v>564.29999999999995</v>
      </c>
      <c r="Q47" s="1247">
        <f t="shared" si="13"/>
        <v>564.29999999999995</v>
      </c>
      <c r="R47" s="1247">
        <f t="shared" si="13"/>
        <v>846.44999999999993</v>
      </c>
    </row>
    <row r="48" spans="2:18" x14ac:dyDescent="0.2">
      <c r="B48" s="725" t="s">
        <v>774</v>
      </c>
      <c r="C48" s="1248"/>
      <c r="D48" s="1244">
        <v>788.69999999999993</v>
      </c>
      <c r="E48" s="1245">
        <v>5</v>
      </c>
      <c r="F48" s="1246"/>
      <c r="G48" s="1247">
        <f t="shared" si="13"/>
        <v>7886.9999999999991</v>
      </c>
      <c r="H48" s="1247">
        <f t="shared" si="13"/>
        <v>7886.9999999999991</v>
      </c>
      <c r="I48" s="1247">
        <f t="shared" si="13"/>
        <v>11830.499999999998</v>
      </c>
      <c r="J48" s="1247">
        <f t="shared" si="13"/>
        <v>7886.9999999999991</v>
      </c>
      <c r="K48" s="1247">
        <f t="shared" si="13"/>
        <v>7886.9999999999991</v>
      </c>
      <c r="L48" s="1247">
        <f t="shared" si="13"/>
        <v>11830.499999999998</v>
      </c>
      <c r="M48" s="1247">
        <f t="shared" si="13"/>
        <v>7886.9999999999991</v>
      </c>
      <c r="N48" s="1247">
        <f t="shared" si="13"/>
        <v>7886.9999999999991</v>
      </c>
      <c r="O48" s="1247">
        <f t="shared" si="13"/>
        <v>11830.499999999998</v>
      </c>
      <c r="P48" s="1247">
        <f t="shared" si="13"/>
        <v>7886.9999999999991</v>
      </c>
      <c r="Q48" s="1247">
        <f t="shared" si="13"/>
        <v>7886.9999999999991</v>
      </c>
      <c r="R48" s="1247">
        <f t="shared" si="13"/>
        <v>11830.499999999998</v>
      </c>
    </row>
    <row r="49" spans="2:18" x14ac:dyDescent="0.2">
      <c r="B49" s="725" t="s">
        <v>777</v>
      </c>
      <c r="C49" s="1248"/>
      <c r="D49" s="1244">
        <v>82.5</v>
      </c>
      <c r="E49" s="1245">
        <v>2</v>
      </c>
      <c r="F49" s="1246"/>
      <c r="G49" s="1247">
        <f t="shared" si="13"/>
        <v>330</v>
      </c>
      <c r="H49" s="1247">
        <f t="shared" si="13"/>
        <v>330</v>
      </c>
      <c r="I49" s="1247">
        <f t="shared" si="13"/>
        <v>495</v>
      </c>
      <c r="J49" s="1247">
        <f t="shared" si="13"/>
        <v>330</v>
      </c>
      <c r="K49" s="1247">
        <f t="shared" si="13"/>
        <v>330</v>
      </c>
      <c r="L49" s="1247">
        <f t="shared" si="13"/>
        <v>495</v>
      </c>
      <c r="M49" s="1247">
        <f t="shared" si="13"/>
        <v>330</v>
      </c>
      <c r="N49" s="1247">
        <f t="shared" si="13"/>
        <v>330</v>
      </c>
      <c r="O49" s="1247">
        <f t="shared" si="13"/>
        <v>495</v>
      </c>
      <c r="P49" s="1247">
        <f t="shared" si="13"/>
        <v>330</v>
      </c>
      <c r="Q49" s="1247">
        <f t="shared" si="13"/>
        <v>330</v>
      </c>
      <c r="R49" s="1247">
        <f t="shared" si="13"/>
        <v>495</v>
      </c>
    </row>
    <row r="50" spans="2:18" x14ac:dyDescent="0.2">
      <c r="B50" s="725" t="s">
        <v>777</v>
      </c>
      <c r="C50" s="1248"/>
      <c r="D50" s="1244">
        <v>0</v>
      </c>
      <c r="E50" s="1245">
        <v>0</v>
      </c>
      <c r="F50" s="1246"/>
      <c r="G50" s="1247">
        <f t="shared" si="13"/>
        <v>0</v>
      </c>
      <c r="H50" s="1247">
        <f t="shared" si="13"/>
        <v>0</v>
      </c>
      <c r="I50" s="1247">
        <f t="shared" si="13"/>
        <v>0</v>
      </c>
      <c r="J50" s="1247">
        <f t="shared" si="13"/>
        <v>0</v>
      </c>
      <c r="K50" s="1247">
        <f t="shared" si="13"/>
        <v>0</v>
      </c>
      <c r="L50" s="1247">
        <f t="shared" si="13"/>
        <v>0</v>
      </c>
      <c r="M50" s="1247">
        <f t="shared" si="13"/>
        <v>0</v>
      </c>
      <c r="N50" s="1247">
        <f t="shared" si="13"/>
        <v>0</v>
      </c>
      <c r="O50" s="1247">
        <f t="shared" si="13"/>
        <v>0</v>
      </c>
      <c r="P50" s="1247">
        <f t="shared" si="13"/>
        <v>0</v>
      </c>
      <c r="Q50" s="1247">
        <f t="shared" si="13"/>
        <v>0</v>
      </c>
      <c r="R50" s="1247">
        <f t="shared" si="13"/>
        <v>0</v>
      </c>
    </row>
    <row r="51" spans="2:18" x14ac:dyDescent="0.2">
      <c r="B51" s="723" t="s">
        <v>399</v>
      </c>
      <c r="C51" s="537"/>
      <c r="D51" s="1249"/>
      <c r="E51" s="1242">
        <f>VLOOKUP($B51,$B$14:$C$19,2,FALSE)</f>
        <v>6000</v>
      </c>
      <c r="F51" s="1250">
        <f>VLOOKUP($B51,$B$14:$E$19,4,FALSE)</f>
        <v>1</v>
      </c>
      <c r="G51" s="1251"/>
      <c r="H51" s="1251"/>
      <c r="I51" s="1251"/>
      <c r="J51" s="1251"/>
      <c r="K51" s="1251"/>
      <c r="L51" s="1251"/>
      <c r="M51" s="1251"/>
      <c r="N51" s="1251"/>
      <c r="O51" s="1251"/>
      <c r="P51" s="1251"/>
      <c r="Q51" s="1251"/>
      <c r="R51" s="1251"/>
    </row>
    <row r="52" spans="2:18" x14ac:dyDescent="0.2">
      <c r="B52" s="725" t="s">
        <v>771</v>
      </c>
      <c r="C52" s="1243"/>
      <c r="D52" s="1244">
        <v>110.55</v>
      </c>
      <c r="E52" s="1245">
        <v>2</v>
      </c>
      <c r="F52" s="1246"/>
      <c r="G52" s="1247">
        <f t="shared" ref="G52:R57" si="14">IF(G$18=0,0,G$18/$D$18*$E52*$D52)</f>
        <v>221.1</v>
      </c>
      <c r="H52" s="1247">
        <f t="shared" si="14"/>
        <v>221.1</v>
      </c>
      <c r="I52" s="1247">
        <f t="shared" si="14"/>
        <v>221.1</v>
      </c>
      <c r="J52" s="1247">
        <f t="shared" si="14"/>
        <v>221.1</v>
      </c>
      <c r="K52" s="1247">
        <f t="shared" si="14"/>
        <v>221.1</v>
      </c>
      <c r="L52" s="1247">
        <f t="shared" si="14"/>
        <v>442.2</v>
      </c>
      <c r="M52" s="1247">
        <f t="shared" si="14"/>
        <v>221.1</v>
      </c>
      <c r="N52" s="1247">
        <f t="shared" si="14"/>
        <v>221.1</v>
      </c>
      <c r="O52" s="1247">
        <f t="shared" si="14"/>
        <v>221.1</v>
      </c>
      <c r="P52" s="1247">
        <f t="shared" si="14"/>
        <v>221.1</v>
      </c>
      <c r="Q52" s="1247">
        <f t="shared" si="14"/>
        <v>221.1</v>
      </c>
      <c r="R52" s="1247">
        <f t="shared" si="14"/>
        <v>442.2</v>
      </c>
    </row>
    <row r="53" spans="2:18" x14ac:dyDescent="0.2">
      <c r="B53" s="725" t="s">
        <v>771</v>
      </c>
      <c r="C53" s="1243"/>
      <c r="D53" s="1244">
        <v>392.7</v>
      </c>
      <c r="E53" s="1245">
        <v>2</v>
      </c>
      <c r="F53" s="1246"/>
      <c r="G53" s="1247">
        <f t="shared" si="14"/>
        <v>785.4</v>
      </c>
      <c r="H53" s="1247">
        <f t="shared" si="14"/>
        <v>785.4</v>
      </c>
      <c r="I53" s="1247">
        <f t="shared" si="14"/>
        <v>785.4</v>
      </c>
      <c r="J53" s="1247">
        <f t="shared" si="14"/>
        <v>785.4</v>
      </c>
      <c r="K53" s="1247">
        <f t="shared" si="14"/>
        <v>785.4</v>
      </c>
      <c r="L53" s="1247">
        <f t="shared" si="14"/>
        <v>1570.8</v>
      </c>
      <c r="M53" s="1247">
        <f t="shared" si="14"/>
        <v>785.4</v>
      </c>
      <c r="N53" s="1247">
        <f t="shared" si="14"/>
        <v>785.4</v>
      </c>
      <c r="O53" s="1247">
        <f t="shared" si="14"/>
        <v>785.4</v>
      </c>
      <c r="P53" s="1247">
        <f t="shared" si="14"/>
        <v>785.4</v>
      </c>
      <c r="Q53" s="1247">
        <f t="shared" si="14"/>
        <v>785.4</v>
      </c>
      <c r="R53" s="1247">
        <f t="shared" si="14"/>
        <v>1570.8</v>
      </c>
    </row>
    <row r="54" spans="2:18" x14ac:dyDescent="0.2">
      <c r="B54" s="725" t="s">
        <v>774</v>
      </c>
      <c r="C54" s="1243"/>
      <c r="D54" s="1244">
        <v>94.05</v>
      </c>
      <c r="E54" s="1245">
        <v>3</v>
      </c>
      <c r="F54" s="1246"/>
      <c r="G54" s="1247">
        <f t="shared" si="14"/>
        <v>282.14999999999998</v>
      </c>
      <c r="H54" s="1247">
        <f t="shared" si="14"/>
        <v>282.14999999999998</v>
      </c>
      <c r="I54" s="1247">
        <f t="shared" si="14"/>
        <v>282.14999999999998</v>
      </c>
      <c r="J54" s="1247">
        <f t="shared" si="14"/>
        <v>282.14999999999998</v>
      </c>
      <c r="K54" s="1247">
        <f t="shared" si="14"/>
        <v>282.14999999999998</v>
      </c>
      <c r="L54" s="1247">
        <f t="shared" si="14"/>
        <v>564.29999999999995</v>
      </c>
      <c r="M54" s="1247">
        <f t="shared" si="14"/>
        <v>282.14999999999998</v>
      </c>
      <c r="N54" s="1247">
        <f t="shared" si="14"/>
        <v>282.14999999999998</v>
      </c>
      <c r="O54" s="1247">
        <f t="shared" si="14"/>
        <v>282.14999999999998</v>
      </c>
      <c r="P54" s="1247">
        <f t="shared" si="14"/>
        <v>282.14999999999998</v>
      </c>
      <c r="Q54" s="1247">
        <f t="shared" si="14"/>
        <v>282.14999999999998</v>
      </c>
      <c r="R54" s="1247">
        <f t="shared" si="14"/>
        <v>564.29999999999995</v>
      </c>
    </row>
    <row r="55" spans="2:18" x14ac:dyDescent="0.2">
      <c r="B55" s="725" t="s">
        <v>774</v>
      </c>
      <c r="C55" s="1248"/>
      <c r="D55" s="1244">
        <v>788.69999999999993</v>
      </c>
      <c r="E55" s="1245">
        <v>5</v>
      </c>
      <c r="F55" s="1246"/>
      <c r="G55" s="1247">
        <f t="shared" si="14"/>
        <v>3943.4999999999995</v>
      </c>
      <c r="H55" s="1247">
        <f t="shared" si="14"/>
        <v>3943.4999999999995</v>
      </c>
      <c r="I55" s="1247">
        <f t="shared" si="14"/>
        <v>3943.4999999999995</v>
      </c>
      <c r="J55" s="1247">
        <f t="shared" si="14"/>
        <v>3943.4999999999995</v>
      </c>
      <c r="K55" s="1247">
        <f t="shared" si="14"/>
        <v>3943.4999999999995</v>
      </c>
      <c r="L55" s="1247">
        <f t="shared" si="14"/>
        <v>7886.9999999999991</v>
      </c>
      <c r="M55" s="1247">
        <f t="shared" si="14"/>
        <v>3943.4999999999995</v>
      </c>
      <c r="N55" s="1247">
        <f t="shared" si="14"/>
        <v>3943.4999999999995</v>
      </c>
      <c r="O55" s="1247">
        <f t="shared" si="14"/>
        <v>3943.4999999999995</v>
      </c>
      <c r="P55" s="1247">
        <f t="shared" si="14"/>
        <v>3943.4999999999995</v>
      </c>
      <c r="Q55" s="1247">
        <f t="shared" si="14"/>
        <v>3943.4999999999995</v>
      </c>
      <c r="R55" s="1247">
        <f t="shared" si="14"/>
        <v>7886.9999999999991</v>
      </c>
    </row>
    <row r="56" spans="2:18" x14ac:dyDescent="0.2">
      <c r="B56" s="725" t="s">
        <v>777</v>
      </c>
      <c r="C56" s="1248"/>
      <c r="D56" s="1244">
        <v>82.5</v>
      </c>
      <c r="E56" s="1245">
        <v>2</v>
      </c>
      <c r="F56" s="1246"/>
      <c r="G56" s="1247">
        <f t="shared" si="14"/>
        <v>165</v>
      </c>
      <c r="H56" s="1247">
        <f t="shared" si="14"/>
        <v>165</v>
      </c>
      <c r="I56" s="1247">
        <f t="shared" si="14"/>
        <v>165</v>
      </c>
      <c r="J56" s="1247">
        <f t="shared" si="14"/>
        <v>165</v>
      </c>
      <c r="K56" s="1247">
        <f t="shared" si="14"/>
        <v>165</v>
      </c>
      <c r="L56" s="1247">
        <f t="shared" si="14"/>
        <v>330</v>
      </c>
      <c r="M56" s="1247">
        <f t="shared" si="14"/>
        <v>165</v>
      </c>
      <c r="N56" s="1247">
        <f t="shared" si="14"/>
        <v>165</v>
      </c>
      <c r="O56" s="1247">
        <f t="shared" si="14"/>
        <v>165</v>
      </c>
      <c r="P56" s="1247">
        <f t="shared" si="14"/>
        <v>165</v>
      </c>
      <c r="Q56" s="1247">
        <f t="shared" si="14"/>
        <v>165</v>
      </c>
      <c r="R56" s="1247">
        <f t="shared" si="14"/>
        <v>330</v>
      </c>
    </row>
    <row r="57" spans="2:18" x14ac:dyDescent="0.2">
      <c r="B57" s="725" t="s">
        <v>777</v>
      </c>
      <c r="C57" s="1248"/>
      <c r="D57" s="1244">
        <v>574.19999999999993</v>
      </c>
      <c r="E57" s="1245">
        <v>5</v>
      </c>
      <c r="F57" s="1246"/>
      <c r="G57" s="1247">
        <f t="shared" si="14"/>
        <v>2870.9999999999995</v>
      </c>
      <c r="H57" s="1247">
        <f t="shared" si="14"/>
        <v>2870.9999999999995</v>
      </c>
      <c r="I57" s="1247">
        <f t="shared" si="14"/>
        <v>2870.9999999999995</v>
      </c>
      <c r="J57" s="1247">
        <f t="shared" si="14"/>
        <v>2870.9999999999995</v>
      </c>
      <c r="K57" s="1247">
        <f t="shared" si="14"/>
        <v>2870.9999999999995</v>
      </c>
      <c r="L57" s="1247">
        <f t="shared" si="14"/>
        <v>5741.9999999999991</v>
      </c>
      <c r="M57" s="1247">
        <f t="shared" si="14"/>
        <v>2870.9999999999995</v>
      </c>
      <c r="N57" s="1247">
        <f t="shared" si="14"/>
        <v>2870.9999999999995</v>
      </c>
      <c r="O57" s="1247">
        <f t="shared" si="14"/>
        <v>2870.9999999999995</v>
      </c>
      <c r="P57" s="1247">
        <f t="shared" si="14"/>
        <v>2870.9999999999995</v>
      </c>
      <c r="Q57" s="1247">
        <f t="shared" si="14"/>
        <v>2870.9999999999995</v>
      </c>
      <c r="R57" s="1247">
        <f t="shared" si="14"/>
        <v>5741.9999999999991</v>
      </c>
    </row>
    <row r="58" spans="2:18" x14ac:dyDescent="0.2">
      <c r="B58" s="723" t="s">
        <v>401</v>
      </c>
      <c r="C58" s="537"/>
      <c r="D58" s="1249"/>
      <c r="E58" s="1242">
        <f>VLOOKUP($B58,$B$14:$C$19,2,FALSE)</f>
        <v>12000</v>
      </c>
      <c r="F58" s="1246"/>
      <c r="G58" s="1251"/>
      <c r="H58" s="1251"/>
      <c r="I58" s="1252"/>
      <c r="J58" s="1251"/>
      <c r="K58" s="1252"/>
      <c r="L58" s="1251"/>
      <c r="M58" s="1252"/>
      <c r="N58" s="1251"/>
      <c r="O58" s="1252"/>
      <c r="P58" s="1251"/>
      <c r="Q58" s="1252"/>
      <c r="R58" s="1251"/>
    </row>
    <row r="59" spans="2:18" x14ac:dyDescent="0.2">
      <c r="B59" s="725" t="s">
        <v>771</v>
      </c>
      <c r="C59" s="1243"/>
      <c r="D59" s="1244">
        <v>110.55</v>
      </c>
      <c r="E59" s="1245">
        <v>2</v>
      </c>
      <c r="F59" s="1253"/>
      <c r="G59" s="1247">
        <f t="shared" ref="G59:R64" si="15">IF(G$19=0,0,G$19/$D$19*$E59*$D59)</f>
        <v>0</v>
      </c>
      <c r="H59" s="1247">
        <f t="shared" si="15"/>
        <v>221.1</v>
      </c>
      <c r="I59" s="1247">
        <f t="shared" si="15"/>
        <v>0</v>
      </c>
      <c r="J59" s="1247">
        <f t="shared" si="15"/>
        <v>221.1</v>
      </c>
      <c r="K59" s="1247">
        <f t="shared" si="15"/>
        <v>0</v>
      </c>
      <c r="L59" s="1247">
        <f t="shared" si="15"/>
        <v>221.1</v>
      </c>
      <c r="M59" s="1247">
        <f t="shared" si="15"/>
        <v>221.1</v>
      </c>
      <c r="N59" s="1247">
        <f t="shared" si="15"/>
        <v>0</v>
      </c>
      <c r="O59" s="1247">
        <f t="shared" si="15"/>
        <v>221.1</v>
      </c>
      <c r="P59" s="1247">
        <f t="shared" si="15"/>
        <v>0</v>
      </c>
      <c r="Q59" s="1247">
        <f t="shared" si="15"/>
        <v>221.1</v>
      </c>
      <c r="R59" s="1247">
        <f t="shared" si="15"/>
        <v>221.1</v>
      </c>
    </row>
    <row r="60" spans="2:18" x14ac:dyDescent="0.2">
      <c r="B60" s="725" t="s">
        <v>771</v>
      </c>
      <c r="C60" s="1243"/>
      <c r="D60" s="1244">
        <v>392.7</v>
      </c>
      <c r="E60" s="1245">
        <v>2</v>
      </c>
      <c r="F60" s="1253"/>
      <c r="G60" s="1247">
        <f t="shared" si="15"/>
        <v>0</v>
      </c>
      <c r="H60" s="1247">
        <f t="shared" si="15"/>
        <v>785.4</v>
      </c>
      <c r="I60" s="1247">
        <f t="shared" si="15"/>
        <v>0</v>
      </c>
      <c r="J60" s="1247">
        <f t="shared" si="15"/>
        <v>785.4</v>
      </c>
      <c r="K60" s="1247">
        <f t="shared" si="15"/>
        <v>0</v>
      </c>
      <c r="L60" s="1247">
        <f t="shared" si="15"/>
        <v>785.4</v>
      </c>
      <c r="M60" s="1247">
        <f t="shared" si="15"/>
        <v>785.4</v>
      </c>
      <c r="N60" s="1247">
        <f t="shared" si="15"/>
        <v>0</v>
      </c>
      <c r="O60" s="1247">
        <f t="shared" si="15"/>
        <v>785.4</v>
      </c>
      <c r="P60" s="1247">
        <f t="shared" si="15"/>
        <v>0</v>
      </c>
      <c r="Q60" s="1247">
        <f t="shared" si="15"/>
        <v>785.4</v>
      </c>
      <c r="R60" s="1247">
        <f t="shared" si="15"/>
        <v>785.4</v>
      </c>
    </row>
    <row r="61" spans="2:18" x14ac:dyDescent="0.2">
      <c r="B61" s="725" t="s">
        <v>774</v>
      </c>
      <c r="C61" s="1243"/>
      <c r="D61" s="1244">
        <v>94.05</v>
      </c>
      <c r="E61" s="1245">
        <v>3</v>
      </c>
      <c r="F61" s="1253"/>
      <c r="G61" s="1247">
        <f t="shared" si="15"/>
        <v>0</v>
      </c>
      <c r="H61" s="1247">
        <f t="shared" si="15"/>
        <v>282.14999999999998</v>
      </c>
      <c r="I61" s="1247">
        <f t="shared" si="15"/>
        <v>0</v>
      </c>
      <c r="J61" s="1247">
        <f t="shared" si="15"/>
        <v>282.14999999999998</v>
      </c>
      <c r="K61" s="1247">
        <f t="shared" si="15"/>
        <v>0</v>
      </c>
      <c r="L61" s="1247">
        <f t="shared" si="15"/>
        <v>282.14999999999998</v>
      </c>
      <c r="M61" s="1247">
        <f t="shared" si="15"/>
        <v>282.14999999999998</v>
      </c>
      <c r="N61" s="1247">
        <f t="shared" si="15"/>
        <v>0</v>
      </c>
      <c r="O61" s="1247">
        <f t="shared" si="15"/>
        <v>282.14999999999998</v>
      </c>
      <c r="P61" s="1247">
        <f t="shared" si="15"/>
        <v>0</v>
      </c>
      <c r="Q61" s="1247">
        <f t="shared" si="15"/>
        <v>282.14999999999998</v>
      </c>
      <c r="R61" s="1247">
        <f t="shared" si="15"/>
        <v>282.14999999999998</v>
      </c>
    </row>
    <row r="62" spans="2:18" x14ac:dyDescent="0.2">
      <c r="B62" s="725" t="s">
        <v>774</v>
      </c>
      <c r="C62" s="1248"/>
      <c r="D62" s="1244">
        <v>788.69999999999993</v>
      </c>
      <c r="E62" s="1245">
        <v>5</v>
      </c>
      <c r="F62" s="1253"/>
      <c r="G62" s="1247">
        <f t="shared" si="15"/>
        <v>0</v>
      </c>
      <c r="H62" s="1247">
        <f t="shared" si="15"/>
        <v>3943.4999999999995</v>
      </c>
      <c r="I62" s="1247">
        <f t="shared" si="15"/>
        <v>0</v>
      </c>
      <c r="J62" s="1247">
        <f t="shared" si="15"/>
        <v>3943.4999999999995</v>
      </c>
      <c r="K62" s="1247">
        <f t="shared" si="15"/>
        <v>0</v>
      </c>
      <c r="L62" s="1247">
        <f t="shared" si="15"/>
        <v>3943.4999999999995</v>
      </c>
      <c r="M62" s="1247">
        <f t="shared" si="15"/>
        <v>3943.4999999999995</v>
      </c>
      <c r="N62" s="1247">
        <f t="shared" si="15"/>
        <v>0</v>
      </c>
      <c r="O62" s="1247">
        <f t="shared" si="15"/>
        <v>3943.4999999999995</v>
      </c>
      <c r="P62" s="1247">
        <f t="shared" si="15"/>
        <v>0</v>
      </c>
      <c r="Q62" s="1247">
        <f t="shared" si="15"/>
        <v>3943.4999999999995</v>
      </c>
      <c r="R62" s="1247">
        <f t="shared" si="15"/>
        <v>3943.4999999999995</v>
      </c>
    </row>
    <row r="63" spans="2:18" x14ac:dyDescent="0.2">
      <c r="B63" s="725" t="s">
        <v>777</v>
      </c>
      <c r="C63" s="1248"/>
      <c r="D63" s="1244">
        <v>82.5</v>
      </c>
      <c r="E63" s="1245">
        <v>2</v>
      </c>
      <c r="F63" s="1253"/>
      <c r="G63" s="1247">
        <f t="shared" si="15"/>
        <v>0</v>
      </c>
      <c r="H63" s="1247">
        <f t="shared" si="15"/>
        <v>165</v>
      </c>
      <c r="I63" s="1247">
        <f t="shared" si="15"/>
        <v>0</v>
      </c>
      <c r="J63" s="1247">
        <f t="shared" si="15"/>
        <v>165</v>
      </c>
      <c r="K63" s="1247">
        <f t="shared" si="15"/>
        <v>0</v>
      </c>
      <c r="L63" s="1247">
        <f t="shared" si="15"/>
        <v>165</v>
      </c>
      <c r="M63" s="1247">
        <f t="shared" si="15"/>
        <v>165</v>
      </c>
      <c r="N63" s="1247">
        <f t="shared" si="15"/>
        <v>0</v>
      </c>
      <c r="O63" s="1247">
        <f t="shared" si="15"/>
        <v>165</v>
      </c>
      <c r="P63" s="1247">
        <f t="shared" si="15"/>
        <v>0</v>
      </c>
      <c r="Q63" s="1247">
        <f t="shared" si="15"/>
        <v>165</v>
      </c>
      <c r="R63" s="1247">
        <f t="shared" si="15"/>
        <v>165</v>
      </c>
    </row>
    <row r="64" spans="2:18" ht="13.6" thickBot="1" x14ac:dyDescent="0.25">
      <c r="B64" s="1254" t="s">
        <v>777</v>
      </c>
      <c r="C64" s="1248"/>
      <c r="D64" s="1244">
        <v>574.19999999999993</v>
      </c>
      <c r="E64" s="1245">
        <v>5</v>
      </c>
      <c r="F64" s="1255"/>
      <c r="G64" s="1256">
        <f t="shared" si="15"/>
        <v>0</v>
      </c>
      <c r="H64" s="1256">
        <f t="shared" si="15"/>
        <v>2870.9999999999995</v>
      </c>
      <c r="I64" s="1256">
        <f t="shared" si="15"/>
        <v>0</v>
      </c>
      <c r="J64" s="1256">
        <f t="shared" si="15"/>
        <v>2870.9999999999995</v>
      </c>
      <c r="K64" s="1256">
        <f t="shared" si="15"/>
        <v>0</v>
      </c>
      <c r="L64" s="1256">
        <f t="shared" si="15"/>
        <v>2870.9999999999995</v>
      </c>
      <c r="M64" s="1256">
        <f t="shared" si="15"/>
        <v>2870.9999999999995</v>
      </c>
      <c r="N64" s="1256">
        <f t="shared" si="15"/>
        <v>0</v>
      </c>
      <c r="O64" s="1256">
        <f t="shared" si="15"/>
        <v>2870.9999999999995</v>
      </c>
      <c r="P64" s="1256">
        <f t="shared" si="15"/>
        <v>0</v>
      </c>
      <c r="Q64" s="1256">
        <f t="shared" si="15"/>
        <v>2870.9999999999995</v>
      </c>
      <c r="R64" s="1256">
        <f t="shared" si="15"/>
        <v>2870.9999999999995</v>
      </c>
    </row>
  </sheetData>
  <mergeCells count="2">
    <mergeCell ref="B11:R11"/>
    <mergeCell ref="B20:R20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50" max="16383" man="1"/>
  </rowBreaks>
  <colBreaks count="1" manualBreakCount="1">
    <brk id="19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94BE-FDE2-4443-BAFE-33E160433344}">
  <sheetPr>
    <tabColor theme="7" tint="0.59999389629810485"/>
  </sheetPr>
  <dimension ref="B2:Q77"/>
  <sheetViews>
    <sheetView showGridLines="0" zoomScale="85" zoomScaleNormal="85" zoomScaleSheetLayoutView="80" workbookViewId="0">
      <pane xSplit="2" ySplit="6" topLeftCell="C7" activePane="bottomRight" state="frozen"/>
      <selection activeCell="H47" sqref="H47"/>
      <selection pane="topRight" activeCell="H47" sqref="H47"/>
      <selection pane="bottomLeft" activeCell="H47" sqref="H47"/>
      <selection pane="bottomRight" activeCell="H47" sqref="H47"/>
    </sheetView>
  </sheetViews>
  <sheetFormatPr defaultColWidth="9.125" defaultRowHeight="12.9" x14ac:dyDescent="0.2"/>
  <cols>
    <col min="1" max="1" width="5.5" style="456" customWidth="1"/>
    <col min="2" max="2" width="34.75" style="456" customWidth="1"/>
    <col min="3" max="3" width="12.75" style="456" customWidth="1"/>
    <col min="4" max="4" width="14.125" style="456" customWidth="1"/>
    <col min="5" max="5" width="11.5" style="456" customWidth="1"/>
    <col min="6" max="11" width="9.25" style="456" bestFit="1" customWidth="1"/>
    <col min="12" max="12" width="11.25" style="456" customWidth="1"/>
    <col min="13" max="14" width="9.25" style="456" bestFit="1" customWidth="1"/>
    <col min="15" max="15" width="10.75" style="456" bestFit="1" customWidth="1"/>
    <col min="16" max="17" width="9.25" style="456" bestFit="1" customWidth="1"/>
    <col min="18" max="18" width="3.25" style="456" customWidth="1"/>
    <col min="19" max="16384" width="9.125" style="456"/>
  </cols>
  <sheetData>
    <row r="2" spans="2:17" x14ac:dyDescent="0.2">
      <c r="B2" s="378" t="s">
        <v>327</v>
      </c>
    </row>
    <row r="3" spans="2:17" ht="16.5" customHeight="1" thickBot="1" x14ac:dyDescent="0.25">
      <c r="B3" s="456" t="s">
        <v>442</v>
      </c>
      <c r="F3" s="552">
        <f>SWDRT270B!E6</f>
        <v>0.93</v>
      </c>
      <c r="G3" s="552">
        <f>SWDRT270B!F6</f>
        <v>0.93</v>
      </c>
      <c r="H3" s="552">
        <f>SWDRT270B!G6</f>
        <v>0.92</v>
      </c>
      <c r="I3" s="552">
        <f>SWDRT270B!H6</f>
        <v>0.92</v>
      </c>
      <c r="J3" s="552">
        <f>SWDRT270B!I6</f>
        <v>0.87</v>
      </c>
      <c r="K3" s="552">
        <f>SWDRT270B!J6</f>
        <v>0.9</v>
      </c>
      <c r="L3" s="552">
        <f>SWDRT270B!K6</f>
        <v>0.85</v>
      </c>
      <c r="M3" s="552">
        <f>SWDRT270B!L6</f>
        <v>0.9</v>
      </c>
      <c r="N3" s="552">
        <f>SWDRT270B!M6</f>
        <v>0.9</v>
      </c>
      <c r="O3" s="552">
        <f>SWDRT270B!N6</f>
        <v>0.85</v>
      </c>
      <c r="P3" s="552">
        <f>SWDRT270B!O6</f>
        <v>0.89</v>
      </c>
      <c r="Q3" s="552">
        <f>SWDRT270B!P6</f>
        <v>0.89</v>
      </c>
    </row>
    <row r="4" spans="2:17" s="550" customFormat="1" ht="22.95" customHeight="1" x14ac:dyDescent="0.25">
      <c r="B4" s="553" t="s">
        <v>373</v>
      </c>
      <c r="C4" s="554" t="s">
        <v>443</v>
      </c>
      <c r="D4" s="555"/>
      <c r="E4" s="555"/>
      <c r="F4" s="388">
        <v>1</v>
      </c>
      <c r="G4" s="388">
        <f>F4+1</f>
        <v>2</v>
      </c>
      <c r="H4" s="388">
        <f t="shared" ref="H4:O4" si="0">G4+1</f>
        <v>3</v>
      </c>
      <c r="I4" s="388">
        <f t="shared" si="0"/>
        <v>4</v>
      </c>
      <c r="J4" s="388">
        <f t="shared" si="0"/>
        <v>5</v>
      </c>
      <c r="K4" s="388">
        <f t="shared" si="0"/>
        <v>6</v>
      </c>
      <c r="L4" s="388">
        <f t="shared" si="0"/>
        <v>7</v>
      </c>
      <c r="M4" s="388">
        <f t="shared" si="0"/>
        <v>8</v>
      </c>
      <c r="N4" s="388">
        <f t="shared" si="0"/>
        <v>9</v>
      </c>
      <c r="O4" s="388">
        <f t="shared" si="0"/>
        <v>10</v>
      </c>
      <c r="P4" s="388">
        <f>O4+1</f>
        <v>11</v>
      </c>
      <c r="Q4" s="388">
        <f>P4+1</f>
        <v>12</v>
      </c>
    </row>
    <row r="5" spans="2:17" x14ac:dyDescent="0.2">
      <c r="B5" s="469" t="s">
        <v>374</v>
      </c>
      <c r="C5" s="557" t="s">
        <v>375</v>
      </c>
      <c r="D5" s="471"/>
      <c r="E5" s="559"/>
      <c r="F5" s="474">
        <v>0</v>
      </c>
      <c r="G5" s="474">
        <f>F6+1</f>
        <v>7001</v>
      </c>
      <c r="H5" s="474">
        <f t="shared" ref="H5:Q5" si="1">G6+1</f>
        <v>14001</v>
      </c>
      <c r="I5" s="474">
        <f t="shared" si="1"/>
        <v>21001</v>
      </c>
      <c r="J5" s="474">
        <f t="shared" si="1"/>
        <v>28001</v>
      </c>
      <c r="K5" s="474">
        <f t="shared" si="1"/>
        <v>35001</v>
      </c>
      <c r="L5" s="474">
        <f t="shared" si="1"/>
        <v>42001</v>
      </c>
      <c r="M5" s="474">
        <f t="shared" si="1"/>
        <v>49001</v>
      </c>
      <c r="N5" s="474">
        <f t="shared" si="1"/>
        <v>56001</v>
      </c>
      <c r="O5" s="474">
        <f t="shared" si="1"/>
        <v>63001</v>
      </c>
      <c r="P5" s="474">
        <f t="shared" si="1"/>
        <v>70001</v>
      </c>
      <c r="Q5" s="474">
        <f t="shared" si="1"/>
        <v>77001</v>
      </c>
    </row>
    <row r="6" spans="2:17" ht="13.6" thickBot="1" x14ac:dyDescent="0.25">
      <c r="B6" s="560" t="s">
        <v>376</v>
      </c>
      <c r="C6" s="561" t="s">
        <v>375</v>
      </c>
      <c r="D6" s="563"/>
      <c r="E6" s="562">
        <f>'SWDRT270B ТО'!F6</f>
        <v>7000</v>
      </c>
      <c r="F6" s="564">
        <f>E6</f>
        <v>7000</v>
      </c>
      <c r="G6" s="564">
        <f t="shared" ref="G6:Q6" si="2">F6+$E6</f>
        <v>14000</v>
      </c>
      <c r="H6" s="564">
        <f t="shared" si="2"/>
        <v>21000</v>
      </c>
      <c r="I6" s="564">
        <f t="shared" si="2"/>
        <v>28000</v>
      </c>
      <c r="J6" s="564">
        <f t="shared" si="2"/>
        <v>35000</v>
      </c>
      <c r="K6" s="564">
        <f t="shared" si="2"/>
        <v>42000</v>
      </c>
      <c r="L6" s="564">
        <f t="shared" si="2"/>
        <v>49000</v>
      </c>
      <c r="M6" s="564">
        <f t="shared" si="2"/>
        <v>56000</v>
      </c>
      <c r="N6" s="564">
        <f t="shared" si="2"/>
        <v>63000</v>
      </c>
      <c r="O6" s="564">
        <f t="shared" si="2"/>
        <v>70000</v>
      </c>
      <c r="P6" s="564">
        <f t="shared" si="2"/>
        <v>77000</v>
      </c>
      <c r="Q6" s="564">
        <f t="shared" si="2"/>
        <v>84000</v>
      </c>
    </row>
    <row r="7" spans="2:17" ht="13.6" thickBot="1" x14ac:dyDescent="0.25">
      <c r="B7" s="566"/>
    </row>
    <row r="8" spans="2:17" ht="21.75" customHeight="1" x14ac:dyDescent="0.2">
      <c r="B8" s="567" t="s">
        <v>444</v>
      </c>
      <c r="C8" s="409" t="s">
        <v>337</v>
      </c>
      <c r="D8" s="409"/>
      <c r="E8" s="409"/>
      <c r="F8" s="528">
        <f>F16</f>
        <v>109.66666666666667</v>
      </c>
      <c r="G8" s="528">
        <f t="shared" ref="G8:Q8" si="3">G16</f>
        <v>109.66666666666667</v>
      </c>
      <c r="H8" s="528">
        <f t="shared" si="3"/>
        <v>109.66666666666667</v>
      </c>
      <c r="I8" s="528">
        <f t="shared" si="3"/>
        <v>109.66666666666667</v>
      </c>
      <c r="J8" s="528">
        <f t="shared" si="3"/>
        <v>109.66666666666667</v>
      </c>
      <c r="K8" s="528">
        <f t="shared" si="3"/>
        <v>109.66666666666667</v>
      </c>
      <c r="L8" s="528">
        <f t="shared" si="3"/>
        <v>109.66666666666667</v>
      </c>
      <c r="M8" s="528">
        <f t="shared" si="3"/>
        <v>109.66666666666667</v>
      </c>
      <c r="N8" s="528">
        <f t="shared" si="3"/>
        <v>109.66666666666667</v>
      </c>
      <c r="O8" s="528">
        <f t="shared" si="3"/>
        <v>109.66666666666667</v>
      </c>
      <c r="P8" s="528">
        <f t="shared" si="3"/>
        <v>109.66666666666667</v>
      </c>
      <c r="Q8" s="528">
        <f t="shared" si="3"/>
        <v>109.66666666666667</v>
      </c>
    </row>
    <row r="9" spans="2:17" ht="21.1" customHeight="1" x14ac:dyDescent="0.2">
      <c r="B9" s="392" t="s">
        <v>352</v>
      </c>
      <c r="C9" s="732" t="s">
        <v>621</v>
      </c>
      <c r="D9" s="398"/>
      <c r="E9" s="398"/>
      <c r="F9" s="483">
        <f>SUM(F10:F12)</f>
        <v>209686.66666666669</v>
      </c>
      <c r="G9" s="483">
        <f t="shared" ref="G9:Q9" si="4">SUM(G10:G12)</f>
        <v>842226.66666666674</v>
      </c>
      <c r="H9" s="483">
        <f t="shared" si="4"/>
        <v>745701.66666666674</v>
      </c>
      <c r="I9" s="483">
        <f t="shared" si="4"/>
        <v>657756.66666666674</v>
      </c>
      <c r="J9" s="483">
        <f t="shared" si="4"/>
        <v>650826.66666666674</v>
      </c>
      <c r="K9" s="483">
        <f t="shared" si="4"/>
        <v>934626.66666666674</v>
      </c>
      <c r="L9" s="483">
        <f t="shared" si="4"/>
        <v>657756.66666666674</v>
      </c>
      <c r="M9" s="483">
        <f t="shared" si="4"/>
        <v>657426.66666666674</v>
      </c>
      <c r="N9" s="483">
        <f t="shared" si="4"/>
        <v>627231.66666666674</v>
      </c>
      <c r="O9" s="483">
        <f t="shared" si="4"/>
        <v>653301.66666666674</v>
      </c>
      <c r="P9" s="483">
        <f t="shared" si="4"/>
        <v>661881.66666666674</v>
      </c>
      <c r="Q9" s="733">
        <f t="shared" si="4"/>
        <v>930501.66666666674</v>
      </c>
    </row>
    <row r="10" spans="2:17" ht="23.3" customHeight="1" x14ac:dyDescent="0.2">
      <c r="B10" s="419" t="s">
        <v>355</v>
      </c>
      <c r="C10" s="434" t="s">
        <v>621</v>
      </c>
      <c r="D10" s="434"/>
      <c r="E10" s="434"/>
      <c r="F10" s="488">
        <f>F33</f>
        <v>3500</v>
      </c>
      <c r="G10" s="488">
        <f t="shared" ref="G10:Q10" si="5">G33</f>
        <v>3500</v>
      </c>
      <c r="H10" s="488">
        <f t="shared" si="5"/>
        <v>3500</v>
      </c>
      <c r="I10" s="488">
        <f t="shared" si="5"/>
        <v>3500</v>
      </c>
      <c r="J10" s="488">
        <f t="shared" si="5"/>
        <v>3500</v>
      </c>
      <c r="K10" s="488">
        <f t="shared" si="5"/>
        <v>3500</v>
      </c>
      <c r="L10" s="488">
        <f t="shared" si="5"/>
        <v>3500</v>
      </c>
      <c r="M10" s="488">
        <f t="shared" si="5"/>
        <v>3500</v>
      </c>
      <c r="N10" s="488">
        <f t="shared" si="5"/>
        <v>3500</v>
      </c>
      <c r="O10" s="488">
        <f t="shared" si="5"/>
        <v>3500</v>
      </c>
      <c r="P10" s="488">
        <f t="shared" si="5"/>
        <v>3500</v>
      </c>
      <c r="Q10" s="570">
        <f t="shared" si="5"/>
        <v>3500</v>
      </c>
    </row>
    <row r="11" spans="2:17" ht="27.7" customHeight="1" x14ac:dyDescent="0.2">
      <c r="B11" s="419" t="s">
        <v>356</v>
      </c>
      <c r="C11" s="434" t="s">
        <v>621</v>
      </c>
      <c r="D11" s="434"/>
      <c r="E11" s="434"/>
      <c r="F11" s="488">
        <f>F39</f>
        <v>71845</v>
      </c>
      <c r="G11" s="488">
        <f t="shared" ref="G11:Q11" si="6">G39</f>
        <v>704385</v>
      </c>
      <c r="H11" s="488">
        <f t="shared" si="6"/>
        <v>607860</v>
      </c>
      <c r="I11" s="488">
        <f t="shared" si="6"/>
        <v>519915</v>
      </c>
      <c r="J11" s="488">
        <f t="shared" si="6"/>
        <v>512985</v>
      </c>
      <c r="K11" s="488">
        <f t="shared" si="6"/>
        <v>796785</v>
      </c>
      <c r="L11" s="488">
        <f t="shared" si="6"/>
        <v>519915</v>
      </c>
      <c r="M11" s="488">
        <f t="shared" si="6"/>
        <v>519585</v>
      </c>
      <c r="N11" s="488">
        <f t="shared" si="6"/>
        <v>489390</v>
      </c>
      <c r="O11" s="488">
        <f t="shared" si="6"/>
        <v>515460</v>
      </c>
      <c r="P11" s="488">
        <f t="shared" si="6"/>
        <v>524040</v>
      </c>
      <c r="Q11" s="570">
        <f t="shared" si="6"/>
        <v>792660</v>
      </c>
    </row>
    <row r="12" spans="2:17" ht="23.3" customHeight="1" thickBot="1" x14ac:dyDescent="0.25">
      <c r="B12" s="422" t="s">
        <v>446</v>
      </c>
      <c r="C12" s="571" t="s">
        <v>621</v>
      </c>
      <c r="D12" s="571"/>
      <c r="E12" s="571"/>
      <c r="F12" s="493">
        <f>SUMPRODUCT(F$25:F$29,$D25:$D29)</f>
        <v>134341.66666666669</v>
      </c>
      <c r="G12" s="493">
        <f t="shared" ref="G12:Q12" si="7">SUMPRODUCT(G$25:G$29,$D25:$D29)</f>
        <v>134341.66666666669</v>
      </c>
      <c r="H12" s="493">
        <f t="shared" si="7"/>
        <v>134341.66666666669</v>
      </c>
      <c r="I12" s="493">
        <f t="shared" si="7"/>
        <v>134341.66666666669</v>
      </c>
      <c r="J12" s="493">
        <f t="shared" si="7"/>
        <v>134341.66666666669</v>
      </c>
      <c r="K12" s="493">
        <f t="shared" si="7"/>
        <v>134341.66666666669</v>
      </c>
      <c r="L12" s="493">
        <f t="shared" si="7"/>
        <v>134341.66666666669</v>
      </c>
      <c r="M12" s="493">
        <f t="shared" si="7"/>
        <v>134341.66666666669</v>
      </c>
      <c r="N12" s="493">
        <f t="shared" si="7"/>
        <v>134341.66666666669</v>
      </c>
      <c r="O12" s="493">
        <f t="shared" si="7"/>
        <v>134341.66666666669</v>
      </c>
      <c r="P12" s="493">
        <f t="shared" si="7"/>
        <v>134341.66666666669</v>
      </c>
      <c r="Q12" s="493">
        <f t="shared" si="7"/>
        <v>134341.66666666669</v>
      </c>
    </row>
    <row r="13" spans="2:17" x14ac:dyDescent="0.2">
      <c r="B13" s="572"/>
      <c r="E13" s="573"/>
      <c r="F13" s="574"/>
      <c r="G13" s="574"/>
      <c r="H13" s="574"/>
      <c r="I13" s="574"/>
      <c r="J13" s="574"/>
      <c r="K13" s="574"/>
      <c r="L13" s="574"/>
      <c r="M13" s="574"/>
      <c r="N13" s="574"/>
      <c r="O13" s="574"/>
      <c r="P13" s="574"/>
      <c r="Q13" s="574"/>
    </row>
    <row r="14" spans="2:17" ht="14.3" thickBot="1" x14ac:dyDescent="0.3">
      <c r="B14" s="575" t="s">
        <v>447</v>
      </c>
      <c r="E14" s="573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</row>
    <row r="15" spans="2:17" ht="14.3" thickBot="1" x14ac:dyDescent="0.25">
      <c r="B15" s="458" t="s">
        <v>448</v>
      </c>
      <c r="C15" s="554" t="s">
        <v>443</v>
      </c>
      <c r="D15" s="734"/>
      <c r="E15" s="734"/>
      <c r="F15" s="735" t="s">
        <v>337</v>
      </c>
      <c r="G15" s="522" t="s">
        <v>337</v>
      </c>
      <c r="H15" s="522" t="s">
        <v>337</v>
      </c>
      <c r="I15" s="522" t="s">
        <v>337</v>
      </c>
      <c r="J15" s="522" t="s">
        <v>337</v>
      </c>
      <c r="K15" s="522" t="s">
        <v>337</v>
      </c>
      <c r="L15" s="522" t="s">
        <v>337</v>
      </c>
      <c r="M15" s="522" t="s">
        <v>337</v>
      </c>
      <c r="N15" s="522" t="s">
        <v>337</v>
      </c>
      <c r="O15" s="522" t="s">
        <v>337</v>
      </c>
      <c r="P15" s="522" t="s">
        <v>337</v>
      </c>
      <c r="Q15" s="736" t="s">
        <v>337</v>
      </c>
    </row>
    <row r="16" spans="2:17" ht="13.6" customHeight="1" thickBot="1" x14ac:dyDescent="0.3">
      <c r="B16" s="737" t="s">
        <v>449</v>
      </c>
      <c r="C16" s="738"/>
      <c r="D16" s="739"/>
      <c r="E16" s="739"/>
      <c r="F16" s="1257">
        <f t="shared" ref="F16:Q16" si="8">SUM(F17:F21)</f>
        <v>109.66666666666667</v>
      </c>
      <c r="G16" s="1258">
        <f t="shared" si="8"/>
        <v>109.66666666666667</v>
      </c>
      <c r="H16" s="1258">
        <f t="shared" si="8"/>
        <v>109.66666666666667</v>
      </c>
      <c r="I16" s="1258">
        <f t="shared" si="8"/>
        <v>109.66666666666667</v>
      </c>
      <c r="J16" s="1258">
        <f t="shared" si="8"/>
        <v>109.66666666666667</v>
      </c>
      <c r="K16" s="1258">
        <f t="shared" si="8"/>
        <v>109.66666666666667</v>
      </c>
      <c r="L16" s="1258">
        <f t="shared" si="8"/>
        <v>109.66666666666667</v>
      </c>
      <c r="M16" s="1258">
        <f t="shared" si="8"/>
        <v>109.66666666666667</v>
      </c>
      <c r="N16" s="1258">
        <f t="shared" si="8"/>
        <v>109.66666666666667</v>
      </c>
      <c r="O16" s="1258">
        <f t="shared" si="8"/>
        <v>109.66666666666667</v>
      </c>
      <c r="P16" s="1258">
        <f t="shared" si="8"/>
        <v>109.66666666666667</v>
      </c>
      <c r="Q16" s="1259">
        <f t="shared" si="8"/>
        <v>109.66666666666667</v>
      </c>
    </row>
    <row r="17" spans="2:17" x14ac:dyDescent="0.2">
      <c r="B17" s="740" t="s">
        <v>825</v>
      </c>
      <c r="C17" s="741" t="s">
        <v>337</v>
      </c>
      <c r="D17" s="742"/>
      <c r="E17" s="481"/>
      <c r="F17" s="1260">
        <f>7000/1000*2</f>
        <v>14</v>
      </c>
      <c r="G17" s="1260">
        <f t="shared" ref="G17:Q17" si="9">7000/1000*2</f>
        <v>14</v>
      </c>
      <c r="H17" s="1260">
        <f t="shared" si="9"/>
        <v>14</v>
      </c>
      <c r="I17" s="1260">
        <f t="shared" si="9"/>
        <v>14</v>
      </c>
      <c r="J17" s="1260">
        <f t="shared" si="9"/>
        <v>14</v>
      </c>
      <c r="K17" s="1260">
        <f t="shared" si="9"/>
        <v>14</v>
      </c>
      <c r="L17" s="1260">
        <f t="shared" si="9"/>
        <v>14</v>
      </c>
      <c r="M17" s="1260">
        <f t="shared" si="9"/>
        <v>14</v>
      </c>
      <c r="N17" s="1260">
        <f t="shared" si="9"/>
        <v>14</v>
      </c>
      <c r="O17" s="1260">
        <f t="shared" si="9"/>
        <v>14</v>
      </c>
      <c r="P17" s="1260">
        <f t="shared" si="9"/>
        <v>14</v>
      </c>
      <c r="Q17" s="1260">
        <f t="shared" si="9"/>
        <v>14</v>
      </c>
    </row>
    <row r="18" spans="2:17" ht="38.75" x14ac:dyDescent="0.2">
      <c r="B18" s="740" t="s">
        <v>826</v>
      </c>
      <c r="C18" s="741" t="s">
        <v>337</v>
      </c>
      <c r="D18" s="745"/>
      <c r="E18" s="481"/>
      <c r="F18" s="1260">
        <f>7000/1000*4</f>
        <v>28</v>
      </c>
      <c r="G18" s="1260">
        <f t="shared" ref="G18:Q18" si="10">7000/1000*4</f>
        <v>28</v>
      </c>
      <c r="H18" s="1260">
        <f t="shared" si="10"/>
        <v>28</v>
      </c>
      <c r="I18" s="1260">
        <f t="shared" si="10"/>
        <v>28</v>
      </c>
      <c r="J18" s="1260">
        <f t="shared" si="10"/>
        <v>28</v>
      </c>
      <c r="K18" s="1260">
        <f t="shared" si="10"/>
        <v>28</v>
      </c>
      <c r="L18" s="1260">
        <f t="shared" si="10"/>
        <v>28</v>
      </c>
      <c r="M18" s="1260">
        <f t="shared" si="10"/>
        <v>28</v>
      </c>
      <c r="N18" s="1260">
        <f t="shared" si="10"/>
        <v>28</v>
      </c>
      <c r="O18" s="1260">
        <f t="shared" si="10"/>
        <v>28</v>
      </c>
      <c r="P18" s="1260">
        <f t="shared" si="10"/>
        <v>28</v>
      </c>
      <c r="Q18" s="1260">
        <f t="shared" si="10"/>
        <v>28</v>
      </c>
    </row>
    <row r="19" spans="2:17" ht="25.85" x14ac:dyDescent="0.2">
      <c r="B19" s="740" t="s">
        <v>827</v>
      </c>
      <c r="C19" s="741" t="s">
        <v>337</v>
      </c>
      <c r="D19" s="745"/>
      <c r="E19" s="481"/>
      <c r="F19" s="1260">
        <f>7000/1000*3</f>
        <v>21</v>
      </c>
      <c r="G19" s="1260">
        <f t="shared" ref="G19:Q19" si="11">7000/1000*3</f>
        <v>21</v>
      </c>
      <c r="H19" s="1260">
        <f t="shared" si="11"/>
        <v>21</v>
      </c>
      <c r="I19" s="1260">
        <f t="shared" si="11"/>
        <v>21</v>
      </c>
      <c r="J19" s="1260">
        <f t="shared" si="11"/>
        <v>21</v>
      </c>
      <c r="K19" s="1260">
        <f t="shared" si="11"/>
        <v>21</v>
      </c>
      <c r="L19" s="1260">
        <f t="shared" si="11"/>
        <v>21</v>
      </c>
      <c r="M19" s="1260">
        <f t="shared" si="11"/>
        <v>21</v>
      </c>
      <c r="N19" s="1260">
        <f t="shared" si="11"/>
        <v>21</v>
      </c>
      <c r="O19" s="1260">
        <f t="shared" si="11"/>
        <v>21</v>
      </c>
      <c r="P19" s="1260">
        <f t="shared" si="11"/>
        <v>21</v>
      </c>
      <c r="Q19" s="1260">
        <f t="shared" si="11"/>
        <v>21</v>
      </c>
    </row>
    <row r="20" spans="2:17" ht="25.85" x14ac:dyDescent="0.2">
      <c r="B20" s="740" t="s">
        <v>828</v>
      </c>
      <c r="C20" s="741" t="s">
        <v>337</v>
      </c>
      <c r="D20" s="745"/>
      <c r="E20" s="481"/>
      <c r="F20" s="1260">
        <f>7000/1500*4</f>
        <v>18.666666666666668</v>
      </c>
      <c r="G20" s="1260">
        <f t="shared" ref="G20:Q20" si="12">7000/1500*4</f>
        <v>18.666666666666668</v>
      </c>
      <c r="H20" s="1260">
        <f t="shared" si="12"/>
        <v>18.666666666666668</v>
      </c>
      <c r="I20" s="1260">
        <f t="shared" si="12"/>
        <v>18.666666666666668</v>
      </c>
      <c r="J20" s="1260">
        <f t="shared" si="12"/>
        <v>18.666666666666668</v>
      </c>
      <c r="K20" s="1260">
        <f t="shared" si="12"/>
        <v>18.666666666666668</v>
      </c>
      <c r="L20" s="1260">
        <f t="shared" si="12"/>
        <v>18.666666666666668</v>
      </c>
      <c r="M20" s="1260">
        <f t="shared" si="12"/>
        <v>18.666666666666668</v>
      </c>
      <c r="N20" s="1260">
        <f t="shared" si="12"/>
        <v>18.666666666666668</v>
      </c>
      <c r="O20" s="1260">
        <f t="shared" si="12"/>
        <v>18.666666666666668</v>
      </c>
      <c r="P20" s="1260">
        <f t="shared" si="12"/>
        <v>18.666666666666668</v>
      </c>
      <c r="Q20" s="1260">
        <f t="shared" si="12"/>
        <v>18.666666666666668</v>
      </c>
    </row>
    <row r="21" spans="2:17" ht="26.5" thickBot="1" x14ac:dyDescent="0.25">
      <c r="B21" s="849" t="s">
        <v>829</v>
      </c>
      <c r="C21" s="857" t="s">
        <v>337</v>
      </c>
      <c r="D21" s="1261"/>
      <c r="E21" s="562"/>
      <c r="F21" s="1260">
        <f>7000/1500*6</f>
        <v>28</v>
      </c>
      <c r="G21" s="1260">
        <f t="shared" ref="G21:Q21" si="13">7000/1500*6</f>
        <v>28</v>
      </c>
      <c r="H21" s="1260">
        <f t="shared" si="13"/>
        <v>28</v>
      </c>
      <c r="I21" s="1260">
        <f t="shared" si="13"/>
        <v>28</v>
      </c>
      <c r="J21" s="1260">
        <f t="shared" si="13"/>
        <v>28</v>
      </c>
      <c r="K21" s="1260">
        <f t="shared" si="13"/>
        <v>28</v>
      </c>
      <c r="L21" s="1260">
        <f t="shared" si="13"/>
        <v>28</v>
      </c>
      <c r="M21" s="1260">
        <f t="shared" si="13"/>
        <v>28</v>
      </c>
      <c r="N21" s="1260">
        <f t="shared" si="13"/>
        <v>28</v>
      </c>
      <c r="O21" s="1260">
        <f t="shared" si="13"/>
        <v>28</v>
      </c>
      <c r="P21" s="1260">
        <f t="shared" si="13"/>
        <v>28</v>
      </c>
      <c r="Q21" s="1260">
        <f t="shared" si="13"/>
        <v>28</v>
      </c>
    </row>
    <row r="22" spans="2:17" x14ac:dyDescent="0.2">
      <c r="B22" s="572"/>
      <c r="E22" s="573"/>
      <c r="F22" s="574"/>
      <c r="G22" s="574"/>
      <c r="H22" s="574"/>
      <c r="I22" s="574"/>
      <c r="J22" s="574"/>
      <c r="K22" s="574"/>
      <c r="L22" s="574"/>
      <c r="M22" s="574"/>
      <c r="N22" s="574"/>
      <c r="O22" s="574"/>
      <c r="P22" s="574"/>
      <c r="Q22" s="574"/>
    </row>
    <row r="23" spans="2:17" ht="14.3" thickBot="1" x14ac:dyDescent="0.3">
      <c r="B23" s="575" t="s">
        <v>534</v>
      </c>
      <c r="D23" s="747">
        <f>'SWDRT270B ТО'!F10</f>
        <v>35</v>
      </c>
      <c r="E23" s="573"/>
      <c r="F23" s="574"/>
      <c r="G23" s="574"/>
      <c r="H23" s="574"/>
      <c r="I23" s="574"/>
      <c r="J23" s="574"/>
      <c r="K23" s="574"/>
      <c r="L23" s="574"/>
      <c r="M23" s="574"/>
      <c r="N23" s="574"/>
      <c r="O23" s="574"/>
      <c r="P23" s="574"/>
      <c r="Q23" s="574"/>
    </row>
    <row r="24" spans="2:17" ht="27.85" thickBot="1" x14ac:dyDescent="0.25">
      <c r="B24" s="458" t="s">
        <v>448</v>
      </c>
      <c r="C24" s="554" t="s">
        <v>443</v>
      </c>
      <c r="D24" s="578" t="s">
        <v>535</v>
      </c>
      <c r="E24" s="578"/>
      <c r="F24" s="577" t="s">
        <v>536</v>
      </c>
      <c r="G24" s="577" t="s">
        <v>536</v>
      </c>
      <c r="H24" s="577" t="s">
        <v>536</v>
      </c>
      <c r="I24" s="577" t="s">
        <v>536</v>
      </c>
      <c r="J24" s="577" t="s">
        <v>536</v>
      </c>
      <c r="K24" s="577" t="s">
        <v>536</v>
      </c>
      <c r="L24" s="577" t="s">
        <v>536</v>
      </c>
      <c r="M24" s="577" t="s">
        <v>536</v>
      </c>
      <c r="N24" s="577" t="s">
        <v>536</v>
      </c>
      <c r="O24" s="577" t="s">
        <v>536</v>
      </c>
      <c r="P24" s="577" t="s">
        <v>536</v>
      </c>
      <c r="Q24" s="748" t="s">
        <v>536</v>
      </c>
    </row>
    <row r="25" spans="2:17" x14ac:dyDescent="0.2">
      <c r="B25" s="749" t="str">
        <f>B17</f>
        <v>Замена электрических компонентов</v>
      </c>
      <c r="C25" s="741" t="s">
        <v>536</v>
      </c>
      <c r="D25" s="724">
        <f>$D$23</f>
        <v>35</v>
      </c>
      <c r="E25" s="481"/>
      <c r="F25" s="1262">
        <f>$D$25*F17</f>
        <v>490</v>
      </c>
      <c r="G25" s="1262">
        <f t="shared" ref="G25:Q25" si="14">$D$25*G17</f>
        <v>490</v>
      </c>
      <c r="H25" s="1262">
        <f t="shared" si="14"/>
        <v>490</v>
      </c>
      <c r="I25" s="1262">
        <f t="shared" si="14"/>
        <v>490</v>
      </c>
      <c r="J25" s="1262">
        <f t="shared" si="14"/>
        <v>490</v>
      </c>
      <c r="K25" s="1262">
        <f t="shared" si="14"/>
        <v>490</v>
      </c>
      <c r="L25" s="1262">
        <f t="shared" si="14"/>
        <v>490</v>
      </c>
      <c r="M25" s="1262">
        <f t="shared" si="14"/>
        <v>490</v>
      </c>
      <c r="N25" s="1262">
        <f t="shared" si="14"/>
        <v>490</v>
      </c>
      <c r="O25" s="1262">
        <f t="shared" si="14"/>
        <v>490</v>
      </c>
      <c r="P25" s="1262">
        <f t="shared" si="14"/>
        <v>490</v>
      </c>
      <c r="Q25" s="1262">
        <f t="shared" si="14"/>
        <v>490</v>
      </c>
    </row>
    <row r="26" spans="2:17" ht="38.75" x14ac:dyDescent="0.2">
      <c r="B26" s="749" t="str">
        <f t="shared" ref="B26:B29" si="15">B18</f>
        <v>Регулировка или замена изнашиваемых деталей рабочего оборудования</v>
      </c>
      <c r="C26" s="741" t="s">
        <v>536</v>
      </c>
      <c r="D26" s="724">
        <f>$D$23</f>
        <v>35</v>
      </c>
      <c r="E26" s="481"/>
      <c r="F26" s="1262">
        <f>$D$26*F18</f>
        <v>980</v>
      </c>
      <c r="G26" s="1262">
        <f t="shared" ref="G26:Q26" si="16">$D$26*G18</f>
        <v>980</v>
      </c>
      <c r="H26" s="1262">
        <f t="shared" si="16"/>
        <v>980</v>
      </c>
      <c r="I26" s="1262">
        <f t="shared" si="16"/>
        <v>980</v>
      </c>
      <c r="J26" s="1262">
        <f t="shared" si="16"/>
        <v>980</v>
      </c>
      <c r="K26" s="1262">
        <f t="shared" si="16"/>
        <v>980</v>
      </c>
      <c r="L26" s="1262">
        <f t="shared" si="16"/>
        <v>980</v>
      </c>
      <c r="M26" s="1262">
        <f t="shared" si="16"/>
        <v>980</v>
      </c>
      <c r="N26" s="1262">
        <f t="shared" si="16"/>
        <v>980</v>
      </c>
      <c r="O26" s="1262">
        <f t="shared" si="16"/>
        <v>980</v>
      </c>
      <c r="P26" s="1262">
        <f t="shared" si="16"/>
        <v>980</v>
      </c>
      <c r="Q26" s="1262">
        <f t="shared" si="16"/>
        <v>980</v>
      </c>
    </row>
    <row r="27" spans="2:17" ht="25.85" x14ac:dyDescent="0.2">
      <c r="B27" s="749" t="str">
        <f t="shared" si="15"/>
        <v>Ремонт и техническое обслуживание системы двигателя</v>
      </c>
      <c r="C27" s="741" t="s">
        <v>536</v>
      </c>
      <c r="D27" s="724">
        <f>$D$23</f>
        <v>35</v>
      </c>
      <c r="E27" s="481"/>
      <c r="F27" s="1262">
        <f>$D$27*F19</f>
        <v>735</v>
      </c>
      <c r="G27" s="1262">
        <f t="shared" ref="G27:Q27" si="17">$D$27*G19</f>
        <v>735</v>
      </c>
      <c r="H27" s="1262">
        <f t="shared" si="17"/>
        <v>735</v>
      </c>
      <c r="I27" s="1262">
        <f t="shared" si="17"/>
        <v>735</v>
      </c>
      <c r="J27" s="1262">
        <f t="shared" si="17"/>
        <v>735</v>
      </c>
      <c r="K27" s="1262">
        <f t="shared" si="17"/>
        <v>735</v>
      </c>
      <c r="L27" s="1262">
        <f t="shared" si="17"/>
        <v>735</v>
      </c>
      <c r="M27" s="1262">
        <f t="shared" si="17"/>
        <v>735</v>
      </c>
      <c r="N27" s="1262">
        <f t="shared" si="17"/>
        <v>735</v>
      </c>
      <c r="O27" s="1262">
        <f t="shared" si="17"/>
        <v>735</v>
      </c>
      <c r="P27" s="1262">
        <f t="shared" si="17"/>
        <v>735</v>
      </c>
      <c r="Q27" s="1262">
        <f t="shared" si="17"/>
        <v>735</v>
      </c>
    </row>
    <row r="28" spans="2:17" ht="25.85" x14ac:dyDescent="0.2">
      <c r="B28" s="749" t="str">
        <f t="shared" si="15"/>
        <v>Ремонт и техническое обслуживание гидравлической системы</v>
      </c>
      <c r="C28" s="741" t="s">
        <v>536</v>
      </c>
      <c r="D28" s="724">
        <f>$D$23</f>
        <v>35</v>
      </c>
      <c r="E28" s="481"/>
      <c r="F28" s="1262">
        <f>$D$28*F20</f>
        <v>653.33333333333337</v>
      </c>
      <c r="G28" s="1262">
        <f t="shared" ref="G28:Q28" si="18">$D$28*G20</f>
        <v>653.33333333333337</v>
      </c>
      <c r="H28" s="1262">
        <f t="shared" si="18"/>
        <v>653.33333333333337</v>
      </c>
      <c r="I28" s="1262">
        <f t="shared" si="18"/>
        <v>653.33333333333337</v>
      </c>
      <c r="J28" s="1262">
        <f t="shared" si="18"/>
        <v>653.33333333333337</v>
      </c>
      <c r="K28" s="1262">
        <f t="shared" si="18"/>
        <v>653.33333333333337</v>
      </c>
      <c r="L28" s="1262">
        <f t="shared" si="18"/>
        <v>653.33333333333337</v>
      </c>
      <c r="M28" s="1262">
        <f t="shared" si="18"/>
        <v>653.33333333333337</v>
      </c>
      <c r="N28" s="1262">
        <f t="shared" si="18"/>
        <v>653.33333333333337</v>
      </c>
      <c r="O28" s="1262">
        <f t="shared" si="18"/>
        <v>653.33333333333337</v>
      </c>
      <c r="P28" s="1262">
        <f t="shared" si="18"/>
        <v>653.33333333333337</v>
      </c>
      <c r="Q28" s="1262">
        <f t="shared" si="18"/>
        <v>653.33333333333337</v>
      </c>
    </row>
    <row r="29" spans="2:17" ht="20.05" customHeight="1" thickBot="1" x14ac:dyDescent="0.25">
      <c r="B29" s="1263" t="str">
        <f t="shared" si="15"/>
        <v>Ремонт и техническое обслуживание ходовой части</v>
      </c>
      <c r="C29" s="857" t="s">
        <v>536</v>
      </c>
      <c r="D29" s="1261">
        <f>$D$23</f>
        <v>35</v>
      </c>
      <c r="E29" s="562"/>
      <c r="F29" s="1262">
        <f>$D$29*F21</f>
        <v>980</v>
      </c>
      <c r="G29" s="1262">
        <f t="shared" ref="G29:Q29" si="19">$D$29*G21</f>
        <v>980</v>
      </c>
      <c r="H29" s="1262">
        <f t="shared" si="19"/>
        <v>980</v>
      </c>
      <c r="I29" s="1262">
        <f t="shared" si="19"/>
        <v>980</v>
      </c>
      <c r="J29" s="1262">
        <f t="shared" si="19"/>
        <v>980</v>
      </c>
      <c r="K29" s="1262">
        <f t="shared" si="19"/>
        <v>980</v>
      </c>
      <c r="L29" s="1262">
        <f t="shared" si="19"/>
        <v>980</v>
      </c>
      <c r="M29" s="1262">
        <f t="shared" si="19"/>
        <v>980</v>
      </c>
      <c r="N29" s="1262">
        <f t="shared" si="19"/>
        <v>980</v>
      </c>
      <c r="O29" s="1262">
        <f t="shared" si="19"/>
        <v>980</v>
      </c>
      <c r="P29" s="1262">
        <f t="shared" si="19"/>
        <v>980</v>
      </c>
      <c r="Q29" s="1262">
        <f t="shared" si="19"/>
        <v>980</v>
      </c>
    </row>
    <row r="30" spans="2:17" x14ac:dyDescent="0.2">
      <c r="B30" s="572"/>
      <c r="E30" s="573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</row>
    <row r="31" spans="2:17" ht="14.3" thickBot="1" x14ac:dyDescent="0.3">
      <c r="B31" s="575" t="s">
        <v>538</v>
      </c>
      <c r="F31" s="574"/>
    </row>
    <row r="32" spans="2:17" ht="41.45" thickBot="1" x14ac:dyDescent="0.25">
      <c r="B32" s="628" t="s">
        <v>539</v>
      </c>
      <c r="C32" s="629" t="s">
        <v>625</v>
      </c>
      <c r="D32" s="499" t="s">
        <v>541</v>
      </c>
      <c r="E32" s="499" t="s">
        <v>542</v>
      </c>
      <c r="F32" s="579" t="s">
        <v>579</v>
      </c>
      <c r="G32" s="579" t="s">
        <v>579</v>
      </c>
      <c r="H32" s="579" t="s">
        <v>579</v>
      </c>
      <c r="I32" s="579" t="s">
        <v>579</v>
      </c>
      <c r="J32" s="579" t="s">
        <v>579</v>
      </c>
      <c r="K32" s="579" t="s">
        <v>579</v>
      </c>
      <c r="L32" s="579" t="s">
        <v>579</v>
      </c>
      <c r="M32" s="579" t="s">
        <v>579</v>
      </c>
      <c r="N32" s="579" t="s">
        <v>579</v>
      </c>
      <c r="O32" s="579" t="s">
        <v>579</v>
      </c>
      <c r="P32" s="579" t="s">
        <v>579</v>
      </c>
      <c r="Q32" s="579" t="s">
        <v>579</v>
      </c>
    </row>
    <row r="33" spans="2:17" ht="28.55" customHeight="1" thickBot="1" x14ac:dyDescent="0.3">
      <c r="B33" s="649" t="s">
        <v>543</v>
      </c>
      <c r="C33" s="650"/>
      <c r="D33" s="462"/>
      <c r="E33" s="462"/>
      <c r="F33" s="523">
        <f>SUM(F34:F38)</f>
        <v>3500</v>
      </c>
      <c r="G33" s="523">
        <f t="shared" ref="G33:Q33" si="20">SUM(G34:G38)</f>
        <v>3500</v>
      </c>
      <c r="H33" s="523">
        <f t="shared" si="20"/>
        <v>3500</v>
      </c>
      <c r="I33" s="523">
        <f t="shared" si="20"/>
        <v>3500</v>
      </c>
      <c r="J33" s="523">
        <f t="shared" si="20"/>
        <v>3500</v>
      </c>
      <c r="K33" s="523">
        <f t="shared" si="20"/>
        <v>3500</v>
      </c>
      <c r="L33" s="523">
        <f t="shared" si="20"/>
        <v>3500</v>
      </c>
      <c r="M33" s="523">
        <f t="shared" si="20"/>
        <v>3500</v>
      </c>
      <c r="N33" s="523">
        <f t="shared" si="20"/>
        <v>3500</v>
      </c>
      <c r="O33" s="523">
        <f t="shared" si="20"/>
        <v>3500</v>
      </c>
      <c r="P33" s="523">
        <f t="shared" si="20"/>
        <v>3500</v>
      </c>
      <c r="Q33" s="523">
        <f t="shared" si="20"/>
        <v>3500</v>
      </c>
    </row>
    <row r="34" spans="2:17" x14ac:dyDescent="0.2">
      <c r="B34" s="1264" t="s">
        <v>738</v>
      </c>
      <c r="C34" s="1265">
        <v>500</v>
      </c>
      <c r="D34" s="1266">
        <v>2000</v>
      </c>
      <c r="E34" s="1267">
        <v>2</v>
      </c>
      <c r="F34" s="468">
        <f>$E34*$C34</f>
        <v>1000</v>
      </c>
      <c r="G34" s="468">
        <f t="shared" ref="G34:Q38" si="21">$E34*$C34</f>
        <v>1000</v>
      </c>
      <c r="H34" s="468">
        <f t="shared" si="21"/>
        <v>1000</v>
      </c>
      <c r="I34" s="468">
        <f t="shared" si="21"/>
        <v>1000</v>
      </c>
      <c r="J34" s="468">
        <f t="shared" si="21"/>
        <v>1000</v>
      </c>
      <c r="K34" s="468">
        <f t="shared" si="21"/>
        <v>1000</v>
      </c>
      <c r="L34" s="468">
        <f t="shared" si="21"/>
        <v>1000</v>
      </c>
      <c r="M34" s="468">
        <f t="shared" si="21"/>
        <v>1000</v>
      </c>
      <c r="N34" s="468">
        <f t="shared" si="21"/>
        <v>1000</v>
      </c>
      <c r="O34" s="468">
        <f t="shared" si="21"/>
        <v>1000</v>
      </c>
      <c r="P34" s="468">
        <f t="shared" si="21"/>
        <v>1000</v>
      </c>
      <c r="Q34" s="468">
        <f t="shared" si="21"/>
        <v>1000</v>
      </c>
    </row>
    <row r="35" spans="2:17" ht="25.85" x14ac:dyDescent="0.2">
      <c r="B35" s="752" t="s">
        <v>626</v>
      </c>
      <c r="C35" s="1268">
        <v>500</v>
      </c>
      <c r="D35" s="1269">
        <v>1000</v>
      </c>
      <c r="E35" s="1219">
        <v>1</v>
      </c>
      <c r="F35" s="474">
        <f t="shared" ref="F35:O38" si="22">$E35*$C35</f>
        <v>500</v>
      </c>
      <c r="G35" s="474">
        <f t="shared" si="22"/>
        <v>500</v>
      </c>
      <c r="H35" s="474">
        <f t="shared" si="22"/>
        <v>500</v>
      </c>
      <c r="I35" s="474">
        <f t="shared" si="22"/>
        <v>500</v>
      </c>
      <c r="J35" s="474">
        <f t="shared" si="22"/>
        <v>500</v>
      </c>
      <c r="K35" s="474">
        <f t="shared" si="22"/>
        <v>500</v>
      </c>
      <c r="L35" s="474">
        <f t="shared" si="22"/>
        <v>500</v>
      </c>
      <c r="M35" s="474">
        <f t="shared" si="22"/>
        <v>500</v>
      </c>
      <c r="N35" s="474">
        <f t="shared" si="22"/>
        <v>500</v>
      </c>
      <c r="O35" s="474">
        <f t="shared" si="22"/>
        <v>500</v>
      </c>
      <c r="P35" s="474">
        <f t="shared" si="21"/>
        <v>500</v>
      </c>
      <c r="Q35" s="474">
        <f t="shared" si="21"/>
        <v>500</v>
      </c>
    </row>
    <row r="36" spans="2:17" x14ac:dyDescent="0.2">
      <c r="B36" s="723" t="s">
        <v>830</v>
      </c>
      <c r="C36" s="1268">
        <v>500</v>
      </c>
      <c r="D36" s="1269">
        <v>2000</v>
      </c>
      <c r="E36" s="1219">
        <v>1</v>
      </c>
      <c r="F36" s="474">
        <f t="shared" si="22"/>
        <v>500</v>
      </c>
      <c r="G36" s="474">
        <f t="shared" si="22"/>
        <v>500</v>
      </c>
      <c r="H36" s="474">
        <f t="shared" si="22"/>
        <v>500</v>
      </c>
      <c r="I36" s="474">
        <f t="shared" si="22"/>
        <v>500</v>
      </c>
      <c r="J36" s="474">
        <f t="shared" si="22"/>
        <v>500</v>
      </c>
      <c r="K36" s="474">
        <f t="shared" si="22"/>
        <v>500</v>
      </c>
      <c r="L36" s="474">
        <f t="shared" si="22"/>
        <v>500</v>
      </c>
      <c r="M36" s="474">
        <f t="shared" si="22"/>
        <v>500</v>
      </c>
      <c r="N36" s="474">
        <f t="shared" si="22"/>
        <v>500</v>
      </c>
      <c r="O36" s="474">
        <f t="shared" si="22"/>
        <v>500</v>
      </c>
      <c r="P36" s="474">
        <f t="shared" si="21"/>
        <v>500</v>
      </c>
      <c r="Q36" s="474">
        <f t="shared" si="21"/>
        <v>500</v>
      </c>
    </row>
    <row r="37" spans="2:17" x14ac:dyDescent="0.2">
      <c r="B37" s="723" t="s">
        <v>831</v>
      </c>
      <c r="C37" s="1268">
        <v>500</v>
      </c>
      <c r="D37" s="1269">
        <v>2000</v>
      </c>
      <c r="E37" s="1219">
        <v>2</v>
      </c>
      <c r="F37" s="474">
        <f t="shared" si="22"/>
        <v>1000</v>
      </c>
      <c r="G37" s="474">
        <f t="shared" si="22"/>
        <v>1000</v>
      </c>
      <c r="H37" s="474">
        <f t="shared" si="22"/>
        <v>1000</v>
      </c>
      <c r="I37" s="474">
        <f t="shared" si="22"/>
        <v>1000</v>
      </c>
      <c r="J37" s="474">
        <f t="shared" si="22"/>
        <v>1000</v>
      </c>
      <c r="K37" s="474">
        <f t="shared" si="22"/>
        <v>1000</v>
      </c>
      <c r="L37" s="474">
        <f t="shared" si="22"/>
        <v>1000</v>
      </c>
      <c r="M37" s="474">
        <f t="shared" si="22"/>
        <v>1000</v>
      </c>
      <c r="N37" s="474">
        <f t="shared" si="22"/>
        <v>1000</v>
      </c>
      <c r="O37" s="474">
        <f t="shared" si="22"/>
        <v>1000</v>
      </c>
      <c r="P37" s="474">
        <f t="shared" si="21"/>
        <v>1000</v>
      </c>
      <c r="Q37" s="474">
        <f t="shared" si="21"/>
        <v>1000</v>
      </c>
    </row>
    <row r="38" spans="2:17" ht="13.6" thickBot="1" x14ac:dyDescent="0.25">
      <c r="B38" s="1270" t="s">
        <v>832</v>
      </c>
      <c r="C38" s="1271">
        <v>500</v>
      </c>
      <c r="D38" s="1272">
        <v>2000</v>
      </c>
      <c r="E38" s="1273">
        <v>1</v>
      </c>
      <c r="F38" s="1274">
        <f t="shared" si="22"/>
        <v>500</v>
      </c>
      <c r="G38" s="1274">
        <f t="shared" si="22"/>
        <v>500</v>
      </c>
      <c r="H38" s="1274">
        <f t="shared" si="22"/>
        <v>500</v>
      </c>
      <c r="I38" s="1274">
        <f t="shared" si="22"/>
        <v>500</v>
      </c>
      <c r="J38" s="1274">
        <f t="shared" si="22"/>
        <v>500</v>
      </c>
      <c r="K38" s="1274">
        <f t="shared" si="22"/>
        <v>500</v>
      </c>
      <c r="L38" s="1274">
        <f t="shared" si="22"/>
        <v>500</v>
      </c>
      <c r="M38" s="1274">
        <f t="shared" si="22"/>
        <v>500</v>
      </c>
      <c r="N38" s="1274">
        <f t="shared" si="22"/>
        <v>500</v>
      </c>
      <c r="O38" s="1274">
        <f t="shared" si="22"/>
        <v>500</v>
      </c>
      <c r="P38" s="1274">
        <f t="shared" si="21"/>
        <v>500</v>
      </c>
      <c r="Q38" s="1274">
        <f t="shared" si="21"/>
        <v>500</v>
      </c>
    </row>
    <row r="39" spans="2:17" ht="36" customHeight="1" thickBot="1" x14ac:dyDescent="0.3">
      <c r="B39" s="649" t="s">
        <v>356</v>
      </c>
      <c r="C39" s="650"/>
      <c r="D39" s="462"/>
      <c r="E39" s="462"/>
      <c r="F39" s="523">
        <f>SUM(F40:F77)</f>
        <v>71845</v>
      </c>
      <c r="G39" s="523">
        <f t="shared" ref="G39:Q39" si="23">SUM(G40:G77)</f>
        <v>704385</v>
      </c>
      <c r="H39" s="523">
        <f t="shared" si="23"/>
        <v>607860</v>
      </c>
      <c r="I39" s="523">
        <f t="shared" si="23"/>
        <v>519915</v>
      </c>
      <c r="J39" s="523">
        <f t="shared" si="23"/>
        <v>512985</v>
      </c>
      <c r="K39" s="523">
        <f t="shared" si="23"/>
        <v>796785</v>
      </c>
      <c r="L39" s="523">
        <f t="shared" si="23"/>
        <v>519915</v>
      </c>
      <c r="M39" s="523">
        <f t="shared" si="23"/>
        <v>519585</v>
      </c>
      <c r="N39" s="523">
        <f t="shared" si="23"/>
        <v>489390</v>
      </c>
      <c r="O39" s="523">
        <f t="shared" si="23"/>
        <v>515460</v>
      </c>
      <c r="P39" s="523">
        <f t="shared" si="23"/>
        <v>524040</v>
      </c>
      <c r="Q39" s="523">
        <f t="shared" si="23"/>
        <v>792660</v>
      </c>
    </row>
    <row r="40" spans="2:17" x14ac:dyDescent="0.2">
      <c r="B40" s="1275" t="s">
        <v>627</v>
      </c>
      <c r="C40" s="652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  <c r="P40" s="465"/>
      <c r="Q40" s="465"/>
    </row>
    <row r="41" spans="2:17" x14ac:dyDescent="0.2">
      <c r="B41" s="614" t="s">
        <v>833</v>
      </c>
      <c r="C41" s="1268">
        <v>12375</v>
      </c>
      <c r="D41" s="1276">
        <v>12000</v>
      </c>
      <c r="E41" s="1235">
        <v>1</v>
      </c>
      <c r="F41" s="1262">
        <v>0</v>
      </c>
      <c r="G41" s="1262">
        <f>C41*E41</f>
        <v>12375</v>
      </c>
      <c r="H41" s="1262">
        <v>0</v>
      </c>
      <c r="I41" s="1262">
        <f>C41*E41</f>
        <v>12375</v>
      </c>
      <c r="J41" s="1262">
        <v>0</v>
      </c>
      <c r="K41" s="1262">
        <f>C41*E41</f>
        <v>12375</v>
      </c>
      <c r="L41" s="1262">
        <f>C41*E41</f>
        <v>12375</v>
      </c>
      <c r="M41" s="1262">
        <v>0</v>
      </c>
      <c r="N41" s="1262">
        <f>C41*E41</f>
        <v>12375</v>
      </c>
      <c r="O41" s="1262">
        <v>0</v>
      </c>
      <c r="P41" s="1262">
        <f>C41*E41</f>
        <v>12375</v>
      </c>
      <c r="Q41" s="1262">
        <f>C41*E41</f>
        <v>12375</v>
      </c>
    </row>
    <row r="42" spans="2:17" x14ac:dyDescent="0.2">
      <c r="B42" s="614" t="s">
        <v>834</v>
      </c>
      <c r="C42" s="1268">
        <v>3795</v>
      </c>
      <c r="D42" s="1276">
        <v>10000</v>
      </c>
      <c r="E42" s="1235">
        <v>1</v>
      </c>
      <c r="F42" s="1262">
        <v>0</v>
      </c>
      <c r="G42" s="1262">
        <f t="shared" ref="G42:G46" si="24">C42*E42</f>
        <v>3795</v>
      </c>
      <c r="H42" s="1262">
        <f>C42*E42</f>
        <v>3795</v>
      </c>
      <c r="I42" s="1262">
        <v>0</v>
      </c>
      <c r="J42" s="1262">
        <f>C42*E42</f>
        <v>3795</v>
      </c>
      <c r="K42" s="1262">
        <f t="shared" ref="K42:K46" si="25">C42*E42</f>
        <v>3795</v>
      </c>
      <c r="L42" s="1262">
        <v>0</v>
      </c>
      <c r="M42" s="1262">
        <f t="shared" ref="M42:M46" si="26">C42*E42</f>
        <v>3795</v>
      </c>
      <c r="N42" s="1262">
        <f t="shared" ref="N42:N46" si="27">C42*E42</f>
        <v>3795</v>
      </c>
      <c r="O42" s="1262">
        <f t="shared" ref="O42:O46" si="28">C42*E42</f>
        <v>3795</v>
      </c>
      <c r="P42" s="1262">
        <v>0</v>
      </c>
      <c r="Q42" s="1262">
        <f t="shared" ref="Q42:Q46" si="29">C42*E42</f>
        <v>3795</v>
      </c>
    </row>
    <row r="43" spans="2:17" x14ac:dyDescent="0.2">
      <c r="B43" s="614" t="s">
        <v>835</v>
      </c>
      <c r="C43" s="1268">
        <v>2475</v>
      </c>
      <c r="D43" s="1276">
        <v>8000</v>
      </c>
      <c r="E43" s="1235">
        <v>1</v>
      </c>
      <c r="F43" s="1262">
        <v>0</v>
      </c>
      <c r="G43" s="1262">
        <f t="shared" si="24"/>
        <v>2475</v>
      </c>
      <c r="H43" s="1262">
        <f>C43*E43</f>
        <v>2475</v>
      </c>
      <c r="I43" s="1262">
        <f t="shared" ref="I43:I44" si="30">C43*E43</f>
        <v>2475</v>
      </c>
      <c r="J43" s="1262">
        <f t="shared" ref="J43:J46" si="31">C43*E43</f>
        <v>2475</v>
      </c>
      <c r="K43" s="1262">
        <f t="shared" si="25"/>
        <v>2475</v>
      </c>
      <c r="L43" s="1262">
        <f t="shared" ref="L43:L44" si="32">C43*E43</f>
        <v>2475</v>
      </c>
      <c r="M43" s="1262">
        <f t="shared" si="26"/>
        <v>2475</v>
      </c>
      <c r="N43" s="1262">
        <v>0</v>
      </c>
      <c r="O43" s="1262">
        <f t="shared" si="28"/>
        <v>2475</v>
      </c>
      <c r="P43" s="1262">
        <f t="shared" ref="P43:P44" si="33">C43*E43</f>
        <v>2475</v>
      </c>
      <c r="Q43" s="1262">
        <f t="shared" si="29"/>
        <v>2475</v>
      </c>
    </row>
    <row r="44" spans="2:17" x14ac:dyDescent="0.2">
      <c r="B44" s="614" t="s">
        <v>836</v>
      </c>
      <c r="C44" s="1268">
        <v>4125</v>
      </c>
      <c r="D44" s="1276">
        <v>8000</v>
      </c>
      <c r="E44" s="1235">
        <v>1</v>
      </c>
      <c r="F44" s="1262">
        <v>0</v>
      </c>
      <c r="G44" s="1262">
        <f t="shared" si="24"/>
        <v>4125</v>
      </c>
      <c r="H44" s="1262">
        <f>C44*E44</f>
        <v>4125</v>
      </c>
      <c r="I44" s="1262">
        <f t="shared" si="30"/>
        <v>4125</v>
      </c>
      <c r="J44" s="1262">
        <f t="shared" si="31"/>
        <v>4125</v>
      </c>
      <c r="K44" s="1262">
        <f t="shared" si="25"/>
        <v>4125</v>
      </c>
      <c r="L44" s="1262">
        <f t="shared" si="32"/>
        <v>4125</v>
      </c>
      <c r="M44" s="1262">
        <f t="shared" si="26"/>
        <v>4125</v>
      </c>
      <c r="N44" s="1262">
        <v>0</v>
      </c>
      <c r="O44" s="1262">
        <f t="shared" si="28"/>
        <v>4125</v>
      </c>
      <c r="P44" s="1262">
        <f t="shared" si="33"/>
        <v>4125</v>
      </c>
      <c r="Q44" s="1262">
        <f t="shared" si="29"/>
        <v>4125</v>
      </c>
    </row>
    <row r="45" spans="2:17" x14ac:dyDescent="0.2">
      <c r="B45" s="614" t="s">
        <v>837</v>
      </c>
      <c r="C45" s="1268">
        <v>6600</v>
      </c>
      <c r="D45" s="1276">
        <v>10000</v>
      </c>
      <c r="E45" s="1235">
        <v>1</v>
      </c>
      <c r="F45" s="1262">
        <v>0</v>
      </c>
      <c r="G45" s="1262">
        <f t="shared" si="24"/>
        <v>6600</v>
      </c>
      <c r="H45" s="1262">
        <f>C45*E45</f>
        <v>6600</v>
      </c>
      <c r="I45" s="1262">
        <v>0</v>
      </c>
      <c r="J45" s="1262">
        <f t="shared" si="31"/>
        <v>6600</v>
      </c>
      <c r="K45" s="1262">
        <f t="shared" si="25"/>
        <v>6600</v>
      </c>
      <c r="L45" s="1262">
        <v>0</v>
      </c>
      <c r="M45" s="1262">
        <f t="shared" si="26"/>
        <v>6600</v>
      </c>
      <c r="N45" s="1262">
        <f t="shared" si="27"/>
        <v>6600</v>
      </c>
      <c r="O45" s="1262">
        <f t="shared" si="28"/>
        <v>6600</v>
      </c>
      <c r="P45" s="1262">
        <v>0</v>
      </c>
      <c r="Q45" s="1262">
        <f t="shared" si="29"/>
        <v>6600</v>
      </c>
    </row>
    <row r="46" spans="2:17" x14ac:dyDescent="0.2">
      <c r="B46" s="614" t="s">
        <v>838</v>
      </c>
      <c r="C46" s="1268">
        <v>6600</v>
      </c>
      <c r="D46" s="1276">
        <v>10000</v>
      </c>
      <c r="E46" s="1235">
        <v>1</v>
      </c>
      <c r="F46" s="1262">
        <v>0</v>
      </c>
      <c r="G46" s="1262">
        <f t="shared" si="24"/>
        <v>6600</v>
      </c>
      <c r="H46" s="1262">
        <f>C46*E46</f>
        <v>6600</v>
      </c>
      <c r="I46" s="1262">
        <v>0</v>
      </c>
      <c r="J46" s="1262">
        <f t="shared" si="31"/>
        <v>6600</v>
      </c>
      <c r="K46" s="1262">
        <f t="shared" si="25"/>
        <v>6600</v>
      </c>
      <c r="L46" s="1262">
        <v>0</v>
      </c>
      <c r="M46" s="1262">
        <f t="shared" si="26"/>
        <v>6600</v>
      </c>
      <c r="N46" s="1262">
        <f t="shared" si="27"/>
        <v>6600</v>
      </c>
      <c r="O46" s="1262">
        <f t="shared" si="28"/>
        <v>6600</v>
      </c>
      <c r="P46" s="1262">
        <v>0</v>
      </c>
      <c r="Q46" s="1262">
        <f t="shared" si="29"/>
        <v>6600</v>
      </c>
    </row>
    <row r="47" spans="2:17" x14ac:dyDescent="0.2">
      <c r="B47" s="723" t="s">
        <v>629</v>
      </c>
      <c r="C47" s="1277"/>
      <c r="D47" s="1252"/>
      <c r="E47" s="1278"/>
      <c r="F47" s="1252"/>
      <c r="G47" s="1252"/>
      <c r="H47" s="1252"/>
      <c r="I47" s="1252"/>
      <c r="J47" s="1252"/>
      <c r="K47" s="1252"/>
      <c r="L47" s="1252"/>
      <c r="M47" s="1252"/>
      <c r="N47" s="1252"/>
      <c r="O47" s="1252"/>
      <c r="P47" s="1252"/>
      <c r="Q47" s="1252"/>
    </row>
    <row r="48" spans="2:17" x14ac:dyDescent="0.2">
      <c r="B48" s="614" t="s">
        <v>839</v>
      </c>
      <c r="C48" s="1268">
        <v>12375</v>
      </c>
      <c r="D48" s="1276">
        <v>12000</v>
      </c>
      <c r="E48" s="1235">
        <v>2</v>
      </c>
      <c r="F48" s="1262">
        <v>0</v>
      </c>
      <c r="G48" s="1262">
        <f>C48*E48</f>
        <v>24750</v>
      </c>
      <c r="H48" s="1262">
        <v>0</v>
      </c>
      <c r="I48" s="1262">
        <f>C48*E48</f>
        <v>24750</v>
      </c>
      <c r="J48" s="1262">
        <v>0</v>
      </c>
      <c r="K48" s="1262">
        <f>C48*E48</f>
        <v>24750</v>
      </c>
      <c r="L48" s="1262">
        <f>C48*E48</f>
        <v>24750</v>
      </c>
      <c r="M48" s="1262">
        <v>0</v>
      </c>
      <c r="N48" s="1262">
        <f>C48*E48</f>
        <v>24750</v>
      </c>
      <c r="O48" s="1262">
        <v>0</v>
      </c>
      <c r="P48" s="1262">
        <f>C48*E48</f>
        <v>24750</v>
      </c>
      <c r="Q48" s="1262">
        <f>C48*E48</f>
        <v>24750</v>
      </c>
    </row>
    <row r="49" spans="2:17" x14ac:dyDescent="0.2">
      <c r="B49" s="614" t="s">
        <v>840</v>
      </c>
      <c r="C49" s="1268">
        <v>37950</v>
      </c>
      <c r="D49" s="1276">
        <v>10000</v>
      </c>
      <c r="E49" s="1235">
        <v>2</v>
      </c>
      <c r="F49" s="1262">
        <v>0</v>
      </c>
      <c r="G49" s="1262">
        <f t="shared" ref="G49:G53" si="34">C49*E49</f>
        <v>75900</v>
      </c>
      <c r="H49" s="1262">
        <f>C49*E49</f>
        <v>75900</v>
      </c>
      <c r="I49" s="1262">
        <v>0</v>
      </c>
      <c r="J49" s="1262">
        <f>C49*E49</f>
        <v>75900</v>
      </c>
      <c r="K49" s="1262">
        <f t="shared" ref="K49:K53" si="35">C49*E49</f>
        <v>75900</v>
      </c>
      <c r="L49" s="1262">
        <v>0</v>
      </c>
      <c r="M49" s="1262">
        <f t="shared" ref="M49:M53" si="36">C49*E49</f>
        <v>75900</v>
      </c>
      <c r="N49" s="1262">
        <f t="shared" ref="N49" si="37">C49*E49</f>
        <v>75900</v>
      </c>
      <c r="O49" s="1262">
        <f t="shared" ref="O49:O53" si="38">C49*E49</f>
        <v>75900</v>
      </c>
      <c r="P49" s="1262">
        <v>0</v>
      </c>
      <c r="Q49" s="1262">
        <f t="shared" ref="Q49:Q53" si="39">C49*E49</f>
        <v>75900</v>
      </c>
    </row>
    <row r="50" spans="2:17" x14ac:dyDescent="0.2">
      <c r="B50" s="614" t="s">
        <v>841</v>
      </c>
      <c r="C50" s="1268">
        <v>2475</v>
      </c>
      <c r="D50" s="1276">
        <v>8000</v>
      </c>
      <c r="E50" s="1235">
        <v>2</v>
      </c>
      <c r="F50" s="1262">
        <v>0</v>
      </c>
      <c r="G50" s="1262">
        <f t="shared" si="34"/>
        <v>4950</v>
      </c>
      <c r="H50" s="1262">
        <f>C50*E50</f>
        <v>4950</v>
      </c>
      <c r="I50" s="1262">
        <f t="shared" ref="I50:I53" si="40">C50*E50</f>
        <v>4950</v>
      </c>
      <c r="J50" s="1262">
        <f t="shared" ref="J50:J53" si="41">C50*E50</f>
        <v>4950</v>
      </c>
      <c r="K50" s="1262">
        <f t="shared" si="35"/>
        <v>4950</v>
      </c>
      <c r="L50" s="1262">
        <f t="shared" ref="L50:L53" si="42">C50*E50</f>
        <v>4950</v>
      </c>
      <c r="M50" s="1262">
        <f t="shared" si="36"/>
        <v>4950</v>
      </c>
      <c r="N50" s="1262">
        <v>0</v>
      </c>
      <c r="O50" s="1262">
        <f t="shared" si="38"/>
        <v>4950</v>
      </c>
      <c r="P50" s="1262">
        <f t="shared" ref="P50:P53" si="43">C50*E50</f>
        <v>4950</v>
      </c>
      <c r="Q50" s="1262">
        <f t="shared" si="39"/>
        <v>4950</v>
      </c>
    </row>
    <row r="51" spans="2:17" x14ac:dyDescent="0.2">
      <c r="B51" s="614" t="s">
        <v>842</v>
      </c>
      <c r="C51" s="1268">
        <v>41250</v>
      </c>
      <c r="D51" s="1276">
        <v>8000</v>
      </c>
      <c r="E51" s="1235">
        <v>2</v>
      </c>
      <c r="F51" s="1262">
        <v>0</v>
      </c>
      <c r="G51" s="1262">
        <f t="shared" si="34"/>
        <v>82500</v>
      </c>
      <c r="H51" s="1262">
        <f t="shared" ref="H51:H53" si="44">C51*E51</f>
        <v>82500</v>
      </c>
      <c r="I51" s="1262">
        <f t="shared" si="40"/>
        <v>82500</v>
      </c>
      <c r="J51" s="1262">
        <f t="shared" si="41"/>
        <v>82500</v>
      </c>
      <c r="K51" s="1262">
        <f t="shared" si="35"/>
        <v>82500</v>
      </c>
      <c r="L51" s="1262">
        <f t="shared" si="42"/>
        <v>82500</v>
      </c>
      <c r="M51" s="1262">
        <f t="shared" si="36"/>
        <v>82500</v>
      </c>
      <c r="N51" s="1262">
        <v>0</v>
      </c>
      <c r="O51" s="1262">
        <f t="shared" si="38"/>
        <v>82500</v>
      </c>
      <c r="P51" s="1262">
        <f t="shared" si="43"/>
        <v>82500</v>
      </c>
      <c r="Q51" s="1262">
        <f t="shared" si="39"/>
        <v>82500</v>
      </c>
    </row>
    <row r="52" spans="2:17" x14ac:dyDescent="0.2">
      <c r="B52" s="614" t="s">
        <v>843</v>
      </c>
      <c r="C52" s="1268">
        <v>6600</v>
      </c>
      <c r="D52" s="1276">
        <v>8000</v>
      </c>
      <c r="E52" s="1235">
        <v>2</v>
      </c>
      <c r="F52" s="1262">
        <v>0</v>
      </c>
      <c r="G52" s="1262">
        <f t="shared" si="34"/>
        <v>13200</v>
      </c>
      <c r="H52" s="1262">
        <f t="shared" si="44"/>
        <v>13200</v>
      </c>
      <c r="I52" s="1262">
        <f t="shared" si="40"/>
        <v>13200</v>
      </c>
      <c r="J52" s="1262">
        <f t="shared" si="41"/>
        <v>13200</v>
      </c>
      <c r="K52" s="1262">
        <f t="shared" si="35"/>
        <v>13200</v>
      </c>
      <c r="L52" s="1262">
        <f t="shared" si="42"/>
        <v>13200</v>
      </c>
      <c r="M52" s="1262">
        <f t="shared" si="36"/>
        <v>13200</v>
      </c>
      <c r="N52" s="1262">
        <v>0</v>
      </c>
      <c r="O52" s="1262">
        <f t="shared" si="38"/>
        <v>13200</v>
      </c>
      <c r="P52" s="1262">
        <f t="shared" si="43"/>
        <v>13200</v>
      </c>
      <c r="Q52" s="1262">
        <f t="shared" si="39"/>
        <v>13200</v>
      </c>
    </row>
    <row r="53" spans="2:17" x14ac:dyDescent="0.2">
      <c r="B53" s="614" t="s">
        <v>844</v>
      </c>
      <c r="C53" s="1268">
        <v>6600</v>
      </c>
      <c r="D53" s="1276">
        <v>8000</v>
      </c>
      <c r="E53" s="1235">
        <v>2</v>
      </c>
      <c r="F53" s="1262">
        <v>0</v>
      </c>
      <c r="G53" s="1262">
        <f t="shared" si="34"/>
        <v>13200</v>
      </c>
      <c r="H53" s="1262">
        <f t="shared" si="44"/>
        <v>13200</v>
      </c>
      <c r="I53" s="1262">
        <f t="shared" si="40"/>
        <v>13200</v>
      </c>
      <c r="J53" s="1262">
        <f t="shared" si="41"/>
        <v>13200</v>
      </c>
      <c r="K53" s="1262">
        <f t="shared" si="35"/>
        <v>13200</v>
      </c>
      <c r="L53" s="1262">
        <f t="shared" si="42"/>
        <v>13200</v>
      </c>
      <c r="M53" s="1262">
        <f t="shared" si="36"/>
        <v>13200</v>
      </c>
      <c r="N53" s="1262">
        <v>0</v>
      </c>
      <c r="O53" s="1262">
        <f t="shared" si="38"/>
        <v>13200</v>
      </c>
      <c r="P53" s="1262">
        <f t="shared" si="43"/>
        <v>13200</v>
      </c>
      <c r="Q53" s="1262">
        <f t="shared" si="39"/>
        <v>13200</v>
      </c>
    </row>
    <row r="54" spans="2:17" x14ac:dyDescent="0.2">
      <c r="B54" s="723" t="s">
        <v>638</v>
      </c>
      <c r="C54" s="1277"/>
      <c r="D54" s="1252"/>
      <c r="E54" s="1278"/>
      <c r="F54" s="1252"/>
      <c r="G54" s="1252"/>
      <c r="H54" s="1252"/>
      <c r="I54" s="1252"/>
      <c r="J54" s="1252"/>
      <c r="K54" s="1252"/>
      <c r="L54" s="1252"/>
      <c r="M54" s="1252"/>
      <c r="N54" s="1252"/>
      <c r="O54" s="1252"/>
      <c r="P54" s="1252"/>
      <c r="Q54" s="1252"/>
    </row>
    <row r="55" spans="2:17" x14ac:dyDescent="0.2">
      <c r="B55" s="614" t="s">
        <v>845</v>
      </c>
      <c r="C55" s="1268">
        <v>12375</v>
      </c>
      <c r="D55" s="1276">
        <v>12000</v>
      </c>
      <c r="E55" s="1235">
        <v>2</v>
      </c>
      <c r="F55" s="1262">
        <v>0</v>
      </c>
      <c r="G55" s="1262">
        <f>C55*E55</f>
        <v>24750</v>
      </c>
      <c r="H55" s="1262">
        <v>0</v>
      </c>
      <c r="I55" s="1262">
        <f>C55*E55</f>
        <v>24750</v>
      </c>
      <c r="J55" s="1262">
        <v>0</v>
      </c>
      <c r="K55" s="1262">
        <f>C55*E55</f>
        <v>24750</v>
      </c>
      <c r="L55" s="1262">
        <f>C55*E55</f>
        <v>24750</v>
      </c>
      <c r="M55" s="1262">
        <v>0</v>
      </c>
      <c r="N55" s="1262">
        <f>C55*E55</f>
        <v>24750</v>
      </c>
      <c r="O55" s="1262">
        <v>0</v>
      </c>
      <c r="P55" s="1262">
        <f>C55*E55</f>
        <v>24750</v>
      </c>
      <c r="Q55" s="1262">
        <f>C55*E55</f>
        <v>24750</v>
      </c>
    </row>
    <row r="56" spans="2:17" x14ac:dyDescent="0.2">
      <c r="B56" s="614" t="s">
        <v>846</v>
      </c>
      <c r="C56" s="1268">
        <v>37950</v>
      </c>
      <c r="D56" s="1276">
        <v>12000</v>
      </c>
      <c r="E56" s="1235">
        <v>2</v>
      </c>
      <c r="F56" s="1262">
        <v>0</v>
      </c>
      <c r="G56" s="1262">
        <f>C56*E56</f>
        <v>75900</v>
      </c>
      <c r="H56" s="1262">
        <v>0</v>
      </c>
      <c r="I56" s="1262">
        <f>C56*E56</f>
        <v>75900</v>
      </c>
      <c r="J56" s="1262">
        <v>0</v>
      </c>
      <c r="K56" s="1262">
        <f>C56*E56</f>
        <v>75900</v>
      </c>
      <c r="L56" s="1262">
        <f>C56*E56</f>
        <v>75900</v>
      </c>
      <c r="M56" s="1262">
        <v>0</v>
      </c>
      <c r="N56" s="1262">
        <f>C56*E56</f>
        <v>75900</v>
      </c>
      <c r="O56" s="1262">
        <v>0</v>
      </c>
      <c r="P56" s="1262">
        <f>C56*E56</f>
        <v>75900</v>
      </c>
      <c r="Q56" s="1262">
        <f>C56*E56</f>
        <v>75900</v>
      </c>
    </row>
    <row r="57" spans="2:17" x14ac:dyDescent="0.2">
      <c r="B57" s="614" t="s">
        <v>847</v>
      </c>
      <c r="C57" s="1268">
        <v>2475</v>
      </c>
      <c r="D57" s="1276">
        <v>10000</v>
      </c>
      <c r="E57" s="1235">
        <v>2</v>
      </c>
      <c r="F57" s="1262">
        <v>0</v>
      </c>
      <c r="G57" s="1262">
        <f t="shared" ref="G57:G59" si="45">C57*E57</f>
        <v>4950</v>
      </c>
      <c r="H57" s="1262">
        <f>C57*E57</f>
        <v>4950</v>
      </c>
      <c r="I57" s="1262">
        <v>0</v>
      </c>
      <c r="J57" s="1262">
        <f t="shared" ref="J57:J58" si="46">C57*E57</f>
        <v>4950</v>
      </c>
      <c r="K57" s="1262">
        <f t="shared" ref="K57:K59" si="47">C57*E57</f>
        <v>4950</v>
      </c>
      <c r="L57" s="1262">
        <v>0</v>
      </c>
      <c r="M57" s="1262">
        <f t="shared" ref="M57:M58" si="48">C57*E57</f>
        <v>4950</v>
      </c>
      <c r="N57" s="1262">
        <f t="shared" ref="N57:N59" si="49">C57*E57</f>
        <v>4950</v>
      </c>
      <c r="O57" s="1262">
        <f t="shared" ref="O57:O58" si="50">C57*E57</f>
        <v>4950</v>
      </c>
      <c r="P57" s="1262">
        <v>0</v>
      </c>
      <c r="Q57" s="1262">
        <f t="shared" ref="Q57:Q59" si="51">C57*E57</f>
        <v>4950</v>
      </c>
    </row>
    <row r="58" spans="2:17" x14ac:dyDescent="0.2">
      <c r="B58" s="614" t="s">
        <v>848</v>
      </c>
      <c r="C58" s="1268">
        <v>41250</v>
      </c>
      <c r="D58" s="1276">
        <v>10000</v>
      </c>
      <c r="E58" s="1235">
        <v>2</v>
      </c>
      <c r="F58" s="1262">
        <v>0</v>
      </c>
      <c r="G58" s="1262">
        <f t="shared" si="45"/>
        <v>82500</v>
      </c>
      <c r="H58" s="1262">
        <f>C58*E58</f>
        <v>82500</v>
      </c>
      <c r="I58" s="1262">
        <v>0</v>
      </c>
      <c r="J58" s="1262">
        <f t="shared" si="46"/>
        <v>82500</v>
      </c>
      <c r="K58" s="1262">
        <f t="shared" si="47"/>
        <v>82500</v>
      </c>
      <c r="L58" s="1262">
        <v>0</v>
      </c>
      <c r="M58" s="1262">
        <f t="shared" si="48"/>
        <v>82500</v>
      </c>
      <c r="N58" s="1262">
        <f t="shared" si="49"/>
        <v>82500</v>
      </c>
      <c r="O58" s="1262">
        <f t="shared" si="50"/>
        <v>82500</v>
      </c>
      <c r="P58" s="1262">
        <v>0</v>
      </c>
      <c r="Q58" s="1262">
        <f t="shared" si="51"/>
        <v>82500</v>
      </c>
    </row>
    <row r="59" spans="2:17" x14ac:dyDescent="0.2">
      <c r="B59" s="614" t="s">
        <v>849</v>
      </c>
      <c r="C59" s="1268">
        <v>6600</v>
      </c>
      <c r="D59" s="1276">
        <v>12000</v>
      </c>
      <c r="E59" s="1235">
        <v>2</v>
      </c>
      <c r="F59" s="1262">
        <v>0</v>
      </c>
      <c r="G59" s="1262">
        <f t="shared" si="45"/>
        <v>13200</v>
      </c>
      <c r="H59" s="1262">
        <v>0</v>
      </c>
      <c r="I59" s="1262">
        <f>C59*E59</f>
        <v>13200</v>
      </c>
      <c r="J59" s="1262">
        <v>0</v>
      </c>
      <c r="K59" s="1262">
        <f t="shared" si="47"/>
        <v>13200</v>
      </c>
      <c r="L59" s="1262">
        <f>C59*E59</f>
        <v>13200</v>
      </c>
      <c r="M59" s="1262">
        <v>0</v>
      </c>
      <c r="N59" s="1262">
        <f t="shared" si="49"/>
        <v>13200</v>
      </c>
      <c r="O59" s="1262">
        <v>0</v>
      </c>
      <c r="P59" s="1262">
        <f>C59*E59</f>
        <v>13200</v>
      </c>
      <c r="Q59" s="1262">
        <f t="shared" si="51"/>
        <v>13200</v>
      </c>
    </row>
    <row r="60" spans="2:17" x14ac:dyDescent="0.2">
      <c r="B60" s="723" t="s">
        <v>645</v>
      </c>
      <c r="C60" s="1277"/>
      <c r="D60" s="1252"/>
      <c r="E60" s="1278"/>
      <c r="F60" s="1252"/>
      <c r="G60" s="1252"/>
      <c r="H60" s="1252"/>
      <c r="I60" s="1252"/>
      <c r="J60" s="1252"/>
      <c r="K60" s="1252"/>
      <c r="L60" s="1252"/>
      <c r="M60" s="1252"/>
      <c r="N60" s="1252"/>
      <c r="O60" s="1252"/>
      <c r="P60" s="1252"/>
      <c r="Q60" s="1252"/>
    </row>
    <row r="61" spans="2:17" x14ac:dyDescent="0.2">
      <c r="B61" s="614" t="s">
        <v>850</v>
      </c>
      <c r="C61" s="1268">
        <v>12375</v>
      </c>
      <c r="D61" s="1276">
        <v>20000</v>
      </c>
      <c r="E61" s="1235">
        <v>1</v>
      </c>
      <c r="F61" s="1262">
        <v>20000</v>
      </c>
      <c r="G61" s="1262">
        <v>0</v>
      </c>
      <c r="H61" s="1262">
        <f>C61*E61</f>
        <v>12375</v>
      </c>
      <c r="I61" s="1262">
        <v>0</v>
      </c>
      <c r="J61" s="1262">
        <v>0</v>
      </c>
      <c r="K61" s="1262">
        <f>C61*E61</f>
        <v>12375</v>
      </c>
      <c r="L61" s="1262">
        <v>0</v>
      </c>
      <c r="M61" s="1262">
        <v>0</v>
      </c>
      <c r="N61" s="1262">
        <f>C61*E61</f>
        <v>12375</v>
      </c>
      <c r="O61" s="1262">
        <v>0</v>
      </c>
      <c r="P61" s="1262">
        <v>0</v>
      </c>
      <c r="Q61" s="1262">
        <f>C61*E61</f>
        <v>12375</v>
      </c>
    </row>
    <row r="62" spans="2:17" x14ac:dyDescent="0.2">
      <c r="B62" s="614" t="s">
        <v>851</v>
      </c>
      <c r="C62" s="1268">
        <v>37950</v>
      </c>
      <c r="D62" s="1276">
        <v>20000</v>
      </c>
      <c r="E62" s="1235">
        <v>2</v>
      </c>
      <c r="F62" s="1262">
        <v>20000</v>
      </c>
      <c r="G62" s="1262">
        <v>0</v>
      </c>
      <c r="H62" s="1262">
        <f>C62*E62</f>
        <v>75900</v>
      </c>
      <c r="I62" s="1262">
        <v>0</v>
      </c>
      <c r="J62" s="1262">
        <v>0</v>
      </c>
      <c r="K62" s="1262">
        <f>C62*E62</f>
        <v>75900</v>
      </c>
      <c r="L62" s="1262">
        <v>0</v>
      </c>
      <c r="M62" s="1262">
        <v>0</v>
      </c>
      <c r="N62" s="1262">
        <f>C62*E62</f>
        <v>75900</v>
      </c>
      <c r="O62" s="1262">
        <v>0</v>
      </c>
      <c r="P62" s="1262">
        <v>0</v>
      </c>
      <c r="Q62" s="1262">
        <f>C62*E62</f>
        <v>75900</v>
      </c>
    </row>
    <row r="63" spans="2:17" x14ac:dyDescent="0.2">
      <c r="B63" s="614" t="s">
        <v>852</v>
      </c>
      <c r="C63" s="1268">
        <v>24750</v>
      </c>
      <c r="D63" s="1276">
        <v>8000</v>
      </c>
      <c r="E63" s="1235">
        <v>2</v>
      </c>
      <c r="F63" s="1262">
        <v>0</v>
      </c>
      <c r="G63" s="1262">
        <f t="shared" ref="G63:G65" si="52">C63*E63</f>
        <v>49500</v>
      </c>
      <c r="H63" s="1262">
        <f t="shared" ref="H63:H64" si="53">C63*E63</f>
        <v>49500</v>
      </c>
      <c r="I63" s="1262">
        <f t="shared" ref="I63:I65" si="54">C63*E63</f>
        <v>49500</v>
      </c>
      <c r="J63" s="1262">
        <f t="shared" ref="J63:J64" si="55">C63*E63</f>
        <v>49500</v>
      </c>
      <c r="K63" s="1262">
        <f t="shared" ref="K63:K65" si="56">C63*E63</f>
        <v>49500</v>
      </c>
      <c r="L63" s="1262">
        <f t="shared" ref="L63:L65" si="57">C63*E63</f>
        <v>49500</v>
      </c>
      <c r="M63" s="1262">
        <f t="shared" ref="M63:M64" si="58">C63*E63</f>
        <v>49500</v>
      </c>
      <c r="N63" s="1262">
        <v>0</v>
      </c>
      <c r="O63" s="1262">
        <f t="shared" ref="O63:O64" si="59">C63*E63</f>
        <v>49500</v>
      </c>
      <c r="P63" s="1262">
        <f t="shared" ref="P63:P65" si="60">C63*E63</f>
        <v>49500</v>
      </c>
      <c r="Q63" s="1262">
        <f t="shared" ref="Q63:Q65" si="61">C63*E63</f>
        <v>49500</v>
      </c>
    </row>
    <row r="64" spans="2:17" x14ac:dyDescent="0.2">
      <c r="B64" s="614" t="s">
        <v>853</v>
      </c>
      <c r="C64" s="1268">
        <v>41250</v>
      </c>
      <c r="D64" s="1276">
        <v>8000</v>
      </c>
      <c r="E64" s="1235">
        <v>2</v>
      </c>
      <c r="F64" s="1262">
        <v>0</v>
      </c>
      <c r="G64" s="1262">
        <f t="shared" si="52"/>
        <v>82500</v>
      </c>
      <c r="H64" s="1262">
        <f t="shared" si="53"/>
        <v>82500</v>
      </c>
      <c r="I64" s="1262">
        <f t="shared" si="54"/>
        <v>82500</v>
      </c>
      <c r="J64" s="1262">
        <f t="shared" si="55"/>
        <v>82500</v>
      </c>
      <c r="K64" s="1262">
        <f t="shared" si="56"/>
        <v>82500</v>
      </c>
      <c r="L64" s="1262">
        <f t="shared" si="57"/>
        <v>82500</v>
      </c>
      <c r="M64" s="1262">
        <f t="shared" si="58"/>
        <v>82500</v>
      </c>
      <c r="N64" s="1262">
        <v>0</v>
      </c>
      <c r="O64" s="1262">
        <f t="shared" si="59"/>
        <v>82500</v>
      </c>
      <c r="P64" s="1262">
        <f t="shared" si="60"/>
        <v>82500</v>
      </c>
      <c r="Q64" s="1262">
        <f t="shared" si="61"/>
        <v>82500</v>
      </c>
    </row>
    <row r="65" spans="2:17" x14ac:dyDescent="0.2">
      <c r="B65" s="614" t="s">
        <v>854</v>
      </c>
      <c r="C65" s="1268">
        <v>6600</v>
      </c>
      <c r="D65" s="1276">
        <v>12000</v>
      </c>
      <c r="E65" s="1235">
        <v>1</v>
      </c>
      <c r="F65" s="1262">
        <v>0</v>
      </c>
      <c r="G65" s="1262">
        <f t="shared" si="52"/>
        <v>6600</v>
      </c>
      <c r="H65" s="1262">
        <v>0</v>
      </c>
      <c r="I65" s="1262">
        <f t="shared" si="54"/>
        <v>6600</v>
      </c>
      <c r="J65" s="1262">
        <v>0</v>
      </c>
      <c r="K65" s="1262">
        <f t="shared" si="56"/>
        <v>6600</v>
      </c>
      <c r="L65" s="1262">
        <f t="shared" si="57"/>
        <v>6600</v>
      </c>
      <c r="M65" s="1262">
        <v>0</v>
      </c>
      <c r="N65" s="1262">
        <f>C65*E65</f>
        <v>6600</v>
      </c>
      <c r="O65" s="1262">
        <v>0</v>
      </c>
      <c r="P65" s="1262">
        <f t="shared" si="60"/>
        <v>6600</v>
      </c>
      <c r="Q65" s="1262">
        <f t="shared" si="61"/>
        <v>6600</v>
      </c>
    </row>
    <row r="66" spans="2:17" x14ac:dyDescent="0.2">
      <c r="B66" s="723" t="s">
        <v>649</v>
      </c>
      <c r="C66" s="1277"/>
      <c r="D66" s="1252"/>
      <c r="E66" s="1278"/>
      <c r="F66" s="1252"/>
      <c r="G66" s="1252"/>
      <c r="H66" s="1252"/>
      <c r="I66" s="1252"/>
      <c r="J66" s="1252"/>
      <c r="K66" s="1252"/>
      <c r="L66" s="1252"/>
      <c r="M66" s="1252"/>
      <c r="N66" s="1252"/>
      <c r="O66" s="1252"/>
      <c r="P66" s="1252"/>
      <c r="Q66" s="1252"/>
    </row>
    <row r="67" spans="2:17" x14ac:dyDescent="0.2">
      <c r="B67" s="614" t="s">
        <v>855</v>
      </c>
      <c r="C67" s="1268">
        <v>12375</v>
      </c>
      <c r="D67" s="1276">
        <v>12000</v>
      </c>
      <c r="E67" s="1235">
        <v>1</v>
      </c>
      <c r="F67" s="1262">
        <v>0</v>
      </c>
      <c r="G67" s="1262">
        <f>C67*E67</f>
        <v>12375</v>
      </c>
      <c r="H67" s="1262">
        <v>0</v>
      </c>
      <c r="I67" s="1262">
        <f>C67*E67</f>
        <v>12375</v>
      </c>
      <c r="J67" s="1262">
        <v>0</v>
      </c>
      <c r="K67" s="1262">
        <f>C67*E67</f>
        <v>12375</v>
      </c>
      <c r="L67" s="1262">
        <f>C67*E67</f>
        <v>12375</v>
      </c>
      <c r="M67" s="1262">
        <v>0</v>
      </c>
      <c r="N67" s="1262">
        <f>C67*E67</f>
        <v>12375</v>
      </c>
      <c r="O67" s="1262">
        <v>0</v>
      </c>
      <c r="P67" s="1262">
        <f>C67*E67</f>
        <v>12375</v>
      </c>
      <c r="Q67" s="1262">
        <f>C67*E67</f>
        <v>12375</v>
      </c>
    </row>
    <row r="68" spans="2:17" x14ac:dyDescent="0.2">
      <c r="B68" s="614" t="s">
        <v>856</v>
      </c>
      <c r="C68" s="1268">
        <v>37950</v>
      </c>
      <c r="D68" s="1276">
        <v>8000</v>
      </c>
      <c r="E68" s="1235">
        <v>1</v>
      </c>
      <c r="F68" s="1262">
        <v>0</v>
      </c>
      <c r="G68" s="1262">
        <f t="shared" ref="G68:G70" si="62">C68*E68</f>
        <v>37950</v>
      </c>
      <c r="H68" s="1262">
        <f t="shared" ref="H68" si="63">C68*E68</f>
        <v>37950</v>
      </c>
      <c r="I68" s="1262">
        <f t="shared" ref="I68:I70" si="64">C68*E68</f>
        <v>37950</v>
      </c>
      <c r="J68" s="1262">
        <f t="shared" ref="J68" si="65">C68*E68</f>
        <v>37950</v>
      </c>
      <c r="K68" s="1262">
        <f t="shared" ref="K68:K69" si="66">C68*E68</f>
        <v>37950</v>
      </c>
      <c r="L68" s="1262">
        <f t="shared" ref="L68:L70" si="67">C68*E68</f>
        <v>37950</v>
      </c>
      <c r="M68" s="1262">
        <f t="shared" ref="M68" si="68">C68*E68</f>
        <v>37950</v>
      </c>
      <c r="N68" s="1262">
        <v>0</v>
      </c>
      <c r="O68" s="1262">
        <f t="shared" ref="O68" si="69">C68*E68</f>
        <v>37950</v>
      </c>
      <c r="P68" s="1262">
        <f t="shared" ref="P68:P70" si="70">C68*E68</f>
        <v>37950</v>
      </c>
      <c r="Q68" s="1262">
        <f t="shared" ref="Q68:Q70" si="71">C68*E68</f>
        <v>37950</v>
      </c>
    </row>
    <row r="69" spans="2:17" x14ac:dyDescent="0.2">
      <c r="B69" s="614" t="s">
        <v>857</v>
      </c>
      <c r="C69" s="1268">
        <v>2475</v>
      </c>
      <c r="D69" s="1276">
        <v>12000</v>
      </c>
      <c r="E69" s="1235">
        <v>1</v>
      </c>
      <c r="F69" s="1262">
        <v>0</v>
      </c>
      <c r="G69" s="1262">
        <f t="shared" si="62"/>
        <v>2475</v>
      </c>
      <c r="H69" s="1262">
        <v>0</v>
      </c>
      <c r="I69" s="1262">
        <f t="shared" si="64"/>
        <v>2475</v>
      </c>
      <c r="J69" s="1262">
        <v>0</v>
      </c>
      <c r="K69" s="1262">
        <f t="shared" si="66"/>
        <v>2475</v>
      </c>
      <c r="L69" s="1262">
        <f t="shared" si="67"/>
        <v>2475</v>
      </c>
      <c r="M69" s="1262">
        <v>0</v>
      </c>
      <c r="N69" s="1262">
        <f>C69*E69</f>
        <v>2475</v>
      </c>
      <c r="O69" s="1262">
        <v>0</v>
      </c>
      <c r="P69" s="1262">
        <f t="shared" si="70"/>
        <v>2475</v>
      </c>
      <c r="Q69" s="1262">
        <f t="shared" si="71"/>
        <v>2475</v>
      </c>
    </row>
    <row r="70" spans="2:17" x14ac:dyDescent="0.2">
      <c r="B70" s="614" t="s">
        <v>858</v>
      </c>
      <c r="C70" s="1268">
        <v>4125</v>
      </c>
      <c r="D70" s="1276">
        <v>6000</v>
      </c>
      <c r="E70" s="1235">
        <v>1</v>
      </c>
      <c r="F70" s="1262">
        <f>C70*E70</f>
        <v>4125</v>
      </c>
      <c r="G70" s="1262">
        <f t="shared" si="62"/>
        <v>4125</v>
      </c>
      <c r="H70" s="1262">
        <f t="shared" ref="H70" si="72">C70*E70</f>
        <v>4125</v>
      </c>
      <c r="I70" s="1262">
        <f t="shared" si="64"/>
        <v>4125</v>
      </c>
      <c r="J70" s="1262">
        <f t="shared" ref="J70:J71" si="73">C70*E70</f>
        <v>4125</v>
      </c>
      <c r="K70" s="1262">
        <f>2*C70*E70</f>
        <v>8250</v>
      </c>
      <c r="L70" s="1262">
        <f t="shared" si="67"/>
        <v>4125</v>
      </c>
      <c r="M70" s="1262">
        <f t="shared" ref="M70" si="74">C70*E70</f>
        <v>4125</v>
      </c>
      <c r="N70" s="1262">
        <f>C70*E70</f>
        <v>4125</v>
      </c>
      <c r="O70" s="1262">
        <f t="shared" ref="O70" si="75">C70*E70</f>
        <v>4125</v>
      </c>
      <c r="P70" s="1262">
        <f t="shared" si="70"/>
        <v>4125</v>
      </c>
      <c r="Q70" s="1262">
        <f t="shared" si="71"/>
        <v>4125</v>
      </c>
    </row>
    <row r="71" spans="2:17" x14ac:dyDescent="0.2">
      <c r="B71" s="614" t="s">
        <v>859</v>
      </c>
      <c r="C71" s="1268">
        <v>6600</v>
      </c>
      <c r="D71" s="1276">
        <v>4000</v>
      </c>
      <c r="E71" s="1235">
        <v>1</v>
      </c>
      <c r="F71" s="1262">
        <f>C71*E71</f>
        <v>6600</v>
      </c>
      <c r="G71" s="1262">
        <f>2*C71*E71</f>
        <v>13200</v>
      </c>
      <c r="H71" s="1262">
        <f>2*C71*E71</f>
        <v>13200</v>
      </c>
      <c r="I71" s="1262">
        <f>2*C71*E71</f>
        <v>13200</v>
      </c>
      <c r="J71" s="1262">
        <f t="shared" si="73"/>
        <v>6600</v>
      </c>
      <c r="K71" s="1262">
        <f>2*C71*E71</f>
        <v>13200</v>
      </c>
      <c r="L71" s="1262">
        <f>2*C71*E71</f>
        <v>13200</v>
      </c>
      <c r="M71" s="1262">
        <f>2*C71*E71</f>
        <v>13200</v>
      </c>
      <c r="N71" s="1262">
        <f>C71*E71</f>
        <v>6600</v>
      </c>
      <c r="O71" s="1262">
        <f>2*C71*E71</f>
        <v>13200</v>
      </c>
      <c r="P71" s="1262">
        <f>2*C71*E71</f>
        <v>13200</v>
      </c>
      <c r="Q71" s="1262">
        <f>2*C71*E71</f>
        <v>13200</v>
      </c>
    </row>
    <row r="72" spans="2:17" x14ac:dyDescent="0.2">
      <c r="B72" s="1279" t="s">
        <v>651</v>
      </c>
      <c r="C72" s="1277"/>
      <c r="D72" s="1252"/>
      <c r="E72" s="1278"/>
      <c r="F72" s="1252"/>
      <c r="G72" s="1252"/>
      <c r="H72" s="1252"/>
      <c r="I72" s="1252"/>
      <c r="J72" s="1252"/>
      <c r="K72" s="1252"/>
      <c r="L72" s="1252"/>
      <c r="M72" s="1252"/>
      <c r="N72" s="1252"/>
      <c r="O72" s="1252"/>
      <c r="P72" s="1252"/>
      <c r="Q72" s="1252"/>
    </row>
    <row r="73" spans="2:17" x14ac:dyDescent="0.2">
      <c r="B73" s="614" t="s">
        <v>860</v>
      </c>
      <c r="C73" s="1268">
        <v>12375</v>
      </c>
      <c r="D73" s="1276">
        <v>12000</v>
      </c>
      <c r="E73" s="1235">
        <v>1</v>
      </c>
      <c r="F73" s="1262">
        <v>0</v>
      </c>
      <c r="G73" s="1262">
        <f>C73*E73</f>
        <v>12375</v>
      </c>
      <c r="H73" s="1262">
        <v>0</v>
      </c>
      <c r="I73" s="1262">
        <f>C73*E73</f>
        <v>12375</v>
      </c>
      <c r="J73" s="1262">
        <v>0</v>
      </c>
      <c r="K73" s="1262">
        <f>C73*E73</f>
        <v>12375</v>
      </c>
      <c r="L73" s="1262">
        <f>C73*E73</f>
        <v>12375</v>
      </c>
      <c r="M73" s="1262">
        <v>0</v>
      </c>
      <c r="N73" s="1262">
        <f>C73*E73</f>
        <v>12375</v>
      </c>
      <c r="O73" s="1262">
        <v>0</v>
      </c>
      <c r="P73" s="1262">
        <f>C73*E73</f>
        <v>12375</v>
      </c>
      <c r="Q73" s="1262">
        <f>C73*E73</f>
        <v>12375</v>
      </c>
    </row>
    <row r="74" spans="2:17" x14ac:dyDescent="0.2">
      <c r="B74" s="614" t="s">
        <v>861</v>
      </c>
      <c r="C74" s="1268">
        <v>3795</v>
      </c>
      <c r="D74" s="1276">
        <v>8000</v>
      </c>
      <c r="E74" s="1235">
        <v>1</v>
      </c>
      <c r="F74" s="1262">
        <v>0</v>
      </c>
      <c r="G74" s="1262">
        <f t="shared" ref="G74:G75" si="76">C74*E74</f>
        <v>3795</v>
      </c>
      <c r="H74" s="1262">
        <f t="shared" ref="H74:H75" si="77">C74*E74</f>
        <v>3795</v>
      </c>
      <c r="I74" s="1262">
        <f t="shared" ref="I74:I75" si="78">C74*E74</f>
        <v>3795</v>
      </c>
      <c r="J74" s="1262">
        <f t="shared" ref="J74:J75" si="79">C74*E74</f>
        <v>3795</v>
      </c>
      <c r="K74" s="1262">
        <f t="shared" ref="K74:K75" si="80">C74*E74</f>
        <v>3795</v>
      </c>
      <c r="L74" s="1262">
        <f t="shared" ref="L74:L75" si="81">C74*E74</f>
        <v>3795</v>
      </c>
      <c r="M74" s="1262">
        <f t="shared" ref="M74:M75" si="82">C74*E74</f>
        <v>3795</v>
      </c>
      <c r="N74" s="1262">
        <v>0</v>
      </c>
      <c r="O74" s="1262">
        <f t="shared" ref="O74:O75" si="83">C74*E74</f>
        <v>3795</v>
      </c>
      <c r="P74" s="1262">
        <f t="shared" ref="P74:P75" si="84">C74*E74</f>
        <v>3795</v>
      </c>
      <c r="Q74" s="1262">
        <f t="shared" ref="Q74:Q75" si="85">C74*E74</f>
        <v>3795</v>
      </c>
    </row>
    <row r="75" spans="2:17" x14ac:dyDescent="0.2">
      <c r="B75" s="614" t="s">
        <v>862</v>
      </c>
      <c r="C75" s="1268">
        <v>2475</v>
      </c>
      <c r="D75" s="1276">
        <v>8000</v>
      </c>
      <c r="E75" s="1235">
        <v>1</v>
      </c>
      <c r="F75" s="1262">
        <v>0</v>
      </c>
      <c r="G75" s="1262">
        <f t="shared" si="76"/>
        <v>2475</v>
      </c>
      <c r="H75" s="1262">
        <f t="shared" si="77"/>
        <v>2475</v>
      </c>
      <c r="I75" s="1262">
        <f t="shared" si="78"/>
        <v>2475</v>
      </c>
      <c r="J75" s="1262">
        <f t="shared" si="79"/>
        <v>2475</v>
      </c>
      <c r="K75" s="1262">
        <f t="shared" si="80"/>
        <v>2475</v>
      </c>
      <c r="L75" s="1262">
        <f t="shared" si="81"/>
        <v>2475</v>
      </c>
      <c r="M75" s="1262">
        <f t="shared" si="82"/>
        <v>2475</v>
      </c>
      <c r="N75" s="1262">
        <v>0</v>
      </c>
      <c r="O75" s="1262">
        <f t="shared" si="83"/>
        <v>2475</v>
      </c>
      <c r="P75" s="1262">
        <f t="shared" si="84"/>
        <v>2475</v>
      </c>
      <c r="Q75" s="1262">
        <f t="shared" si="85"/>
        <v>2475</v>
      </c>
    </row>
    <row r="76" spans="2:17" x14ac:dyDescent="0.2">
      <c r="B76" s="614" t="s">
        <v>863</v>
      </c>
      <c r="C76" s="1268">
        <v>4125</v>
      </c>
      <c r="D76" s="1276">
        <v>1500</v>
      </c>
      <c r="E76" s="1235">
        <v>1</v>
      </c>
      <c r="F76" s="1262">
        <f>4*C76*E76</f>
        <v>16500</v>
      </c>
      <c r="G76" s="1262">
        <f>5*C76*E76</f>
        <v>20625</v>
      </c>
      <c r="H76" s="1262">
        <f>5*C76*E76</f>
        <v>20625</v>
      </c>
      <c r="I76" s="1262">
        <f>4*C76*E76</f>
        <v>16500</v>
      </c>
      <c r="J76" s="1262">
        <f>5*C76*E76</f>
        <v>20625</v>
      </c>
      <c r="K76" s="1262">
        <f>5*C76*E76</f>
        <v>20625</v>
      </c>
      <c r="L76" s="1262">
        <f>4*C76*E76</f>
        <v>16500</v>
      </c>
      <c r="M76" s="1262">
        <f>5*C76*E76</f>
        <v>20625</v>
      </c>
      <c r="N76" s="1262">
        <f>5*C76*E76</f>
        <v>20625</v>
      </c>
      <c r="O76" s="1262">
        <f>4*C76*E76</f>
        <v>16500</v>
      </c>
      <c r="P76" s="1262">
        <f>5*C76*E76</f>
        <v>20625</v>
      </c>
      <c r="Q76" s="1262">
        <f>5*C76*E76</f>
        <v>20625</v>
      </c>
    </row>
    <row r="77" spans="2:17" x14ac:dyDescent="0.2">
      <c r="B77" s="614" t="s">
        <v>864</v>
      </c>
      <c r="C77" s="1268">
        <v>660</v>
      </c>
      <c r="D77" s="1276">
        <v>1000</v>
      </c>
      <c r="E77" s="1235">
        <v>1</v>
      </c>
      <c r="F77" s="1262">
        <f>7*C77*E77</f>
        <v>4620</v>
      </c>
      <c r="G77" s="1262">
        <f>F77</f>
        <v>4620</v>
      </c>
      <c r="H77" s="1262">
        <f t="shared" ref="H77:Q77" si="86">G77</f>
        <v>4620</v>
      </c>
      <c r="I77" s="1262">
        <f t="shared" si="86"/>
        <v>4620</v>
      </c>
      <c r="J77" s="1262">
        <f t="shared" si="86"/>
        <v>4620</v>
      </c>
      <c r="K77" s="1262">
        <f t="shared" si="86"/>
        <v>4620</v>
      </c>
      <c r="L77" s="1262">
        <f t="shared" si="86"/>
        <v>4620</v>
      </c>
      <c r="M77" s="1262">
        <f t="shared" si="86"/>
        <v>4620</v>
      </c>
      <c r="N77" s="1262">
        <f t="shared" si="86"/>
        <v>4620</v>
      </c>
      <c r="O77" s="1262">
        <f t="shared" si="86"/>
        <v>4620</v>
      </c>
      <c r="P77" s="1262">
        <f t="shared" si="86"/>
        <v>4620</v>
      </c>
      <c r="Q77" s="1262">
        <f t="shared" si="86"/>
        <v>4620</v>
      </c>
    </row>
  </sheetData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9" max="16383" man="1"/>
  </rowBreaks>
  <colBreaks count="1" manualBreakCount="1">
    <brk id="1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54FA-D91D-467A-A0E9-A8F07844F0ED}">
  <sheetPr>
    <tabColor theme="8" tint="0.79998168889431442"/>
  </sheetPr>
  <dimension ref="A2:X80"/>
  <sheetViews>
    <sheetView showGridLines="0" zoomScale="85" zoomScaleNormal="85" zoomScaleSheetLayoutView="85" workbookViewId="0">
      <pane xSplit="4" ySplit="4" topLeftCell="E5" activePane="bottomRight" state="frozen"/>
      <selection activeCell="Q19" sqref="Q19:V26"/>
      <selection pane="topRight" activeCell="Q19" sqref="Q19:V26"/>
      <selection pane="bottomLeft" activeCell="Q19" sqref="Q19:V26"/>
      <selection pane="bottomRight" activeCell="H29" sqref="H29"/>
    </sheetView>
  </sheetViews>
  <sheetFormatPr defaultColWidth="9.125" defaultRowHeight="12.9" x14ac:dyDescent="0.25"/>
  <cols>
    <col min="1" max="1" width="6" style="377" customWidth="1"/>
    <col min="2" max="2" width="42.75" style="416" customWidth="1"/>
    <col min="3" max="3" width="12.125" style="379" customWidth="1"/>
    <col min="4" max="4" width="11.5" style="379" customWidth="1"/>
    <col min="5" max="5" width="8.75" style="380" customWidth="1"/>
    <col min="6" max="16" width="8.25" style="380" customWidth="1"/>
    <col min="17" max="17" width="44" style="377" customWidth="1"/>
    <col min="18" max="18" width="14" style="377" bestFit="1" customWidth="1"/>
    <col min="19" max="16384" width="9.125" style="377"/>
  </cols>
  <sheetData>
    <row r="2" spans="1:18" ht="18" customHeight="1" x14ac:dyDescent="0.25">
      <c r="B2" s="378" t="s">
        <v>327</v>
      </c>
    </row>
    <row r="3" spans="1:18" s="381" customFormat="1" ht="27" customHeight="1" thickBot="1" x14ac:dyDescent="0.3">
      <c r="B3" s="382" t="s">
        <v>206</v>
      </c>
      <c r="C3" s="383" t="s">
        <v>676</v>
      </c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5" t="s">
        <v>329</v>
      </c>
    </row>
    <row r="4" spans="1:18" s="391" customFormat="1" ht="25.85" x14ac:dyDescent="0.25">
      <c r="A4" s="386">
        <v>1</v>
      </c>
      <c r="B4" s="387" t="s">
        <v>330</v>
      </c>
      <c r="C4" s="388" t="s">
        <v>7</v>
      </c>
      <c r="D4" s="388">
        <v>0</v>
      </c>
      <c r="E4" s="388">
        <f>D4+1</f>
        <v>1</v>
      </c>
      <c r="F4" s="388">
        <f>E4+1</f>
        <v>2</v>
      </c>
      <c r="G4" s="388">
        <f t="shared" ref="G4:N4" si="0">F4+1</f>
        <v>3</v>
      </c>
      <c r="H4" s="388">
        <f t="shared" si="0"/>
        <v>4</v>
      </c>
      <c r="I4" s="388">
        <f t="shared" si="0"/>
        <v>5</v>
      </c>
      <c r="J4" s="388">
        <f t="shared" si="0"/>
        <v>6</v>
      </c>
      <c r="K4" s="388">
        <f t="shared" si="0"/>
        <v>7</v>
      </c>
      <c r="L4" s="388">
        <f t="shared" si="0"/>
        <v>8</v>
      </c>
      <c r="M4" s="388">
        <f t="shared" si="0"/>
        <v>9</v>
      </c>
      <c r="N4" s="388">
        <f t="shared" si="0"/>
        <v>10</v>
      </c>
      <c r="O4" s="388">
        <f>N4+1</f>
        <v>11</v>
      </c>
      <c r="P4" s="388">
        <f>O4+1</f>
        <v>12</v>
      </c>
      <c r="Q4" s="389" t="s">
        <v>551</v>
      </c>
      <c r="R4" s="390"/>
    </row>
    <row r="5" spans="1:18" s="391" customFormat="1" ht="13.6" x14ac:dyDescent="0.25">
      <c r="A5" s="386">
        <f>A4+1</f>
        <v>2</v>
      </c>
      <c r="B5" s="392" t="s">
        <v>331</v>
      </c>
      <c r="C5" s="393" t="s">
        <v>20</v>
      </c>
      <c r="D5" s="394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5"/>
      <c r="R5" s="390"/>
    </row>
    <row r="6" spans="1:18" ht="18" customHeight="1" x14ac:dyDescent="0.25">
      <c r="A6" s="386">
        <f t="shared" ref="A6:A69" si="1">A5+1</f>
        <v>3</v>
      </c>
      <c r="B6" s="392" t="s">
        <v>333</v>
      </c>
      <c r="C6" s="393" t="s">
        <v>334</v>
      </c>
      <c r="D6" s="393"/>
      <c r="E6" s="396">
        <f>(8760-E7-E8-E9)/8760</f>
        <v>0.92538685946220189</v>
      </c>
      <c r="F6" s="396">
        <f>(8760-F7-F8-F9)/8760</f>
        <v>0.92272323693556568</v>
      </c>
      <c r="G6" s="396">
        <f t="shared" ref="G6:P6" si="2">(8760-G7-G8-G9)/8760</f>
        <v>0.92139142567224752</v>
      </c>
      <c r="H6" s="396">
        <f t="shared" si="2"/>
        <v>0.89075976661593104</v>
      </c>
      <c r="I6" s="396">
        <f t="shared" si="2"/>
        <v>0.92005961440892947</v>
      </c>
      <c r="J6" s="396">
        <f t="shared" si="2"/>
        <v>0.91340055809233889</v>
      </c>
      <c r="K6" s="396">
        <f t="shared" si="2"/>
        <v>0.89075976661593104</v>
      </c>
      <c r="L6" s="396">
        <f t="shared" si="2"/>
        <v>0.91739599188229326</v>
      </c>
      <c r="M6" s="396">
        <f t="shared" si="2"/>
        <v>0.91872780314561142</v>
      </c>
      <c r="N6" s="396">
        <f t="shared" si="2"/>
        <v>0.88809614408929483</v>
      </c>
      <c r="O6" s="396">
        <f t="shared" si="2"/>
        <v>0.91473236935565705</v>
      </c>
      <c r="P6" s="396">
        <f t="shared" si="2"/>
        <v>0.92139142567224752</v>
      </c>
      <c r="Q6" s="395" t="s">
        <v>335</v>
      </c>
    </row>
    <row r="7" spans="1:18" ht="16.5" customHeight="1" x14ac:dyDescent="0.25">
      <c r="A7" s="386">
        <f t="shared" si="1"/>
        <v>4</v>
      </c>
      <c r="B7" s="397" t="s">
        <v>336</v>
      </c>
      <c r="C7" s="398" t="s">
        <v>337</v>
      </c>
      <c r="D7" s="398"/>
      <c r="E7" s="399">
        <f>'БС-215 ТО'!G7</f>
        <v>236</v>
      </c>
      <c r="F7" s="399">
        <f>'БС-215 ТО'!H7</f>
        <v>236</v>
      </c>
      <c r="G7" s="399">
        <f>'БС-215 ТО'!I7</f>
        <v>236</v>
      </c>
      <c r="H7" s="399">
        <f>'БС-215 ТО'!J7</f>
        <v>236</v>
      </c>
      <c r="I7" s="399">
        <f>'БС-215 ТО'!K7</f>
        <v>236</v>
      </c>
      <c r="J7" s="399">
        <f>'БС-215 ТО'!L7</f>
        <v>236</v>
      </c>
      <c r="K7" s="399">
        <f>'БС-215 ТО'!M7</f>
        <v>236</v>
      </c>
      <c r="L7" s="399">
        <f>'БС-215 ТО'!N7</f>
        <v>236</v>
      </c>
      <c r="M7" s="399">
        <f>'БС-215 ТО'!O7</f>
        <v>236</v>
      </c>
      <c r="N7" s="399">
        <f>'БС-215 ТО'!P7</f>
        <v>236</v>
      </c>
      <c r="O7" s="399">
        <f>'БС-215 ТО'!Q7</f>
        <v>236</v>
      </c>
      <c r="P7" s="399">
        <f>'БС-215 ТО'!R7</f>
        <v>236</v>
      </c>
      <c r="Q7" s="395"/>
    </row>
    <row r="8" spans="1:18" ht="16.5" customHeight="1" x14ac:dyDescent="0.25">
      <c r="A8" s="386">
        <f t="shared" si="1"/>
        <v>5</v>
      </c>
      <c r="B8" s="397" t="s">
        <v>338</v>
      </c>
      <c r="C8" s="398" t="s">
        <v>337</v>
      </c>
      <c r="D8" s="398"/>
      <c r="E8" s="399">
        <f>'БС-215 Рем'!F8</f>
        <v>186</v>
      </c>
      <c r="F8" s="399">
        <f>'БС-215 Рем'!G8</f>
        <v>210</v>
      </c>
      <c r="G8" s="399">
        <f>'БС-215 Рем'!H8</f>
        <v>222</v>
      </c>
      <c r="H8" s="399">
        <f>'БС-215 Рем'!I8</f>
        <v>498</v>
      </c>
      <c r="I8" s="399">
        <f>'БС-215 Рем'!J8</f>
        <v>234</v>
      </c>
      <c r="J8" s="399">
        <f>'БС-215 Рем'!K8</f>
        <v>294</v>
      </c>
      <c r="K8" s="399">
        <f>'БС-215 Рем'!L8</f>
        <v>498</v>
      </c>
      <c r="L8" s="399">
        <f>'БС-215 Рем'!M8</f>
        <v>258</v>
      </c>
      <c r="M8" s="399">
        <f>'БС-215 Рем'!N8</f>
        <v>246</v>
      </c>
      <c r="N8" s="399">
        <f>'БС-215 Рем'!O8</f>
        <v>522</v>
      </c>
      <c r="O8" s="399">
        <f>'БС-215 Рем'!P8</f>
        <v>282</v>
      </c>
      <c r="P8" s="399">
        <f>'БС-215 Рем'!Q8</f>
        <v>222</v>
      </c>
      <c r="Q8" s="395"/>
    </row>
    <row r="9" spans="1:18" ht="16.5" customHeight="1" x14ac:dyDescent="0.25">
      <c r="A9" s="386"/>
      <c r="B9" s="397" t="s">
        <v>339</v>
      </c>
      <c r="C9" s="398" t="s">
        <v>337</v>
      </c>
      <c r="D9" s="398"/>
      <c r="E9" s="399">
        <f>(8760-E7-E8)/12*20/60</f>
        <v>231.61111111111114</v>
      </c>
      <c r="F9" s="399">
        <f t="shared" ref="F9:P9" si="3">(8760-F7-F8)/12*20/60</f>
        <v>230.94444444444446</v>
      </c>
      <c r="G9" s="399">
        <f t="shared" si="3"/>
        <v>230.61111111111114</v>
      </c>
      <c r="H9" s="399">
        <f t="shared" si="3"/>
        <v>222.94444444444446</v>
      </c>
      <c r="I9" s="399">
        <f t="shared" si="3"/>
        <v>230.2777777777778</v>
      </c>
      <c r="J9" s="399">
        <f t="shared" si="3"/>
        <v>228.61111111111114</v>
      </c>
      <c r="K9" s="399">
        <f t="shared" si="3"/>
        <v>222.94444444444446</v>
      </c>
      <c r="L9" s="399">
        <f t="shared" si="3"/>
        <v>229.61111111111114</v>
      </c>
      <c r="M9" s="399">
        <f t="shared" si="3"/>
        <v>229.94444444444446</v>
      </c>
      <c r="N9" s="399">
        <f t="shared" si="3"/>
        <v>222.2777777777778</v>
      </c>
      <c r="O9" s="399">
        <f t="shared" si="3"/>
        <v>228.94444444444446</v>
      </c>
      <c r="P9" s="399">
        <f t="shared" si="3"/>
        <v>230.61111111111114</v>
      </c>
      <c r="Q9" s="395"/>
    </row>
    <row r="10" spans="1:18" ht="13.6" x14ac:dyDescent="0.25">
      <c r="A10" s="386">
        <f>A8+1</f>
        <v>6</v>
      </c>
      <c r="B10" s="392" t="s">
        <v>340</v>
      </c>
      <c r="C10" s="398"/>
      <c r="D10" s="400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5"/>
    </row>
    <row r="11" spans="1:18" ht="13.6" x14ac:dyDescent="0.25">
      <c r="A11" s="386">
        <f t="shared" si="1"/>
        <v>7</v>
      </c>
      <c r="B11" s="392" t="s">
        <v>225</v>
      </c>
      <c r="C11" s="398" t="s">
        <v>121</v>
      </c>
      <c r="D11" s="400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395"/>
    </row>
    <row r="12" spans="1:18" ht="13.6" x14ac:dyDescent="0.25">
      <c r="A12" s="386">
        <f t="shared" si="1"/>
        <v>8</v>
      </c>
      <c r="B12" s="392" t="s">
        <v>123</v>
      </c>
      <c r="C12" s="398" t="s">
        <v>124</v>
      </c>
      <c r="D12" s="400"/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  <c r="P12" s="401"/>
      <c r="Q12" s="395"/>
    </row>
    <row r="13" spans="1:18" ht="13.6" x14ac:dyDescent="0.25">
      <c r="A13" s="386">
        <f t="shared" si="1"/>
        <v>9</v>
      </c>
      <c r="B13" s="392" t="s">
        <v>125</v>
      </c>
      <c r="C13" s="398" t="s">
        <v>124</v>
      </c>
      <c r="D13" s="400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395"/>
    </row>
    <row r="14" spans="1:18" ht="13.6" x14ac:dyDescent="0.25">
      <c r="A14" s="386">
        <f t="shared" si="1"/>
        <v>10</v>
      </c>
      <c r="B14" s="392" t="s">
        <v>344</v>
      </c>
      <c r="C14" s="398" t="s">
        <v>128</v>
      </c>
      <c r="D14" s="400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395"/>
    </row>
    <row r="15" spans="1:18" ht="14.3" thickBot="1" x14ac:dyDescent="0.3">
      <c r="A15" s="386"/>
      <c r="B15" s="403" t="s">
        <v>345</v>
      </c>
      <c r="C15" s="404" t="s">
        <v>128</v>
      </c>
      <c r="D15" s="405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7"/>
    </row>
    <row r="16" spans="1:18" ht="20.25" customHeight="1" thickBot="1" x14ac:dyDescent="0.3">
      <c r="A16" s="386"/>
      <c r="B16" s="408" t="s">
        <v>346</v>
      </c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</row>
    <row r="17" spans="1:24" ht="13.6" x14ac:dyDescent="0.25">
      <c r="A17" s="386">
        <f>A14+1</f>
        <v>11</v>
      </c>
      <c r="B17" s="387" t="s">
        <v>347</v>
      </c>
      <c r="C17" s="409" t="s">
        <v>348</v>
      </c>
      <c r="D17" s="410"/>
      <c r="E17" s="411"/>
      <c r="F17" s="411"/>
      <c r="G17" s="411"/>
      <c r="H17" s="411"/>
      <c r="I17" s="411"/>
      <c r="J17" s="411"/>
      <c r="K17" s="411"/>
      <c r="L17" s="411"/>
      <c r="M17" s="411"/>
      <c r="N17" s="411"/>
      <c r="O17" s="411"/>
      <c r="P17" s="411"/>
      <c r="Q17" s="389"/>
    </row>
    <row r="18" spans="1:24" ht="13.6" x14ac:dyDescent="0.25">
      <c r="A18" s="386">
        <f>A17+1</f>
        <v>12</v>
      </c>
      <c r="B18" s="412" t="s">
        <v>349</v>
      </c>
      <c r="C18" s="398" t="s">
        <v>133</v>
      </c>
      <c r="D18" s="400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395"/>
    </row>
    <row r="19" spans="1:24" ht="22.6" customHeight="1" thickBot="1" x14ac:dyDescent="0.3">
      <c r="A19" s="386">
        <f>A18+1</f>
        <v>13</v>
      </c>
      <c r="B19" s="403" t="s">
        <v>350</v>
      </c>
      <c r="C19" s="404" t="s">
        <v>135</v>
      </c>
      <c r="D19" s="414"/>
      <c r="E19" s="415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7"/>
    </row>
    <row r="20" spans="1:24" ht="22.6" customHeight="1" thickBot="1" x14ac:dyDescent="0.3">
      <c r="A20" s="386"/>
      <c r="B20" s="408" t="s">
        <v>557</v>
      </c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</row>
    <row r="21" spans="1:24" ht="13.6" x14ac:dyDescent="0.25">
      <c r="A21" s="386">
        <f>A19+1</f>
        <v>14</v>
      </c>
      <c r="B21" s="387" t="s">
        <v>118</v>
      </c>
      <c r="C21" s="409" t="s">
        <v>558</v>
      </c>
      <c r="D21" s="803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389"/>
    </row>
    <row r="22" spans="1:24" ht="13.6" x14ac:dyDescent="0.25">
      <c r="A22" s="386">
        <f>A21+1</f>
        <v>15</v>
      </c>
      <c r="B22" s="392" t="s">
        <v>560</v>
      </c>
      <c r="C22" s="398" t="s">
        <v>561</v>
      </c>
      <c r="D22" s="804"/>
      <c r="E22" s="692"/>
      <c r="F22" s="692"/>
      <c r="G22" s="692"/>
      <c r="H22" s="692"/>
      <c r="I22" s="692"/>
      <c r="J22" s="692"/>
      <c r="K22" s="692"/>
      <c r="L22" s="692"/>
      <c r="M22" s="692"/>
      <c r="N22" s="692"/>
      <c r="O22" s="692"/>
      <c r="P22" s="692"/>
      <c r="Q22" s="693"/>
    </row>
    <row r="23" spans="1:24" ht="13.6" x14ac:dyDescent="0.25">
      <c r="A23" s="386">
        <f t="shared" ref="A23:A26" si="4">A22+1</f>
        <v>16</v>
      </c>
      <c r="B23" s="392" t="s">
        <v>359</v>
      </c>
      <c r="C23" s="398"/>
      <c r="D23" s="692"/>
      <c r="E23" s="692"/>
      <c r="F23" s="692"/>
      <c r="G23" s="692"/>
      <c r="H23" s="692"/>
      <c r="I23" s="692"/>
      <c r="J23" s="692"/>
      <c r="K23" s="692"/>
      <c r="L23" s="692"/>
      <c r="M23" s="692"/>
      <c r="N23" s="692"/>
      <c r="O23" s="692"/>
      <c r="P23" s="692"/>
      <c r="Q23" s="693"/>
    </row>
    <row r="24" spans="1:24" x14ac:dyDescent="0.25">
      <c r="A24" s="386">
        <f t="shared" si="4"/>
        <v>17</v>
      </c>
      <c r="B24" s="397" t="s">
        <v>562</v>
      </c>
      <c r="C24" s="398" t="s">
        <v>558</v>
      </c>
      <c r="D24" s="804"/>
      <c r="E24" s="692"/>
      <c r="F24" s="692"/>
      <c r="G24" s="692"/>
      <c r="H24" s="692"/>
      <c r="I24" s="692"/>
      <c r="J24" s="692"/>
      <c r="K24" s="692"/>
      <c r="L24" s="692"/>
      <c r="M24" s="692"/>
      <c r="N24" s="692"/>
      <c r="O24" s="692"/>
      <c r="P24" s="692"/>
      <c r="Q24" s="693"/>
    </row>
    <row r="25" spans="1:24" x14ac:dyDescent="0.25">
      <c r="A25" s="386">
        <f t="shared" si="4"/>
        <v>18</v>
      </c>
      <c r="B25" s="397" t="s">
        <v>563</v>
      </c>
      <c r="C25" s="398" t="s">
        <v>564</v>
      </c>
      <c r="D25" s="400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395"/>
    </row>
    <row r="26" spans="1:24" ht="13.6" thickBot="1" x14ac:dyDescent="0.3">
      <c r="A26" s="386">
        <f t="shared" si="4"/>
        <v>19</v>
      </c>
      <c r="B26" s="697" t="s">
        <v>566</v>
      </c>
      <c r="C26" s="404" t="s">
        <v>567</v>
      </c>
      <c r="D26" s="405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7"/>
      <c r="S26" s="377" t="s">
        <v>757</v>
      </c>
      <c r="V26" s="377" t="s">
        <v>546</v>
      </c>
      <c r="W26" s="678">
        <f>'ФОТ, МТР, макро'!$AJ$7</f>
        <v>80</v>
      </c>
    </row>
    <row r="27" spans="1:24" ht="13.6" thickBot="1" x14ac:dyDescent="0.3">
      <c r="A27" s="386"/>
      <c r="S27" s="377" t="s">
        <v>545</v>
      </c>
    </row>
    <row r="28" spans="1:24" ht="23.3" customHeight="1" x14ac:dyDescent="0.25">
      <c r="A28" s="386">
        <f>A26+1</f>
        <v>20</v>
      </c>
      <c r="B28" s="387" t="s">
        <v>352</v>
      </c>
      <c r="C28" s="417" t="s">
        <v>353</v>
      </c>
      <c r="D28" s="417"/>
      <c r="E28" s="418">
        <f>SUM(E29:E33)</f>
        <v>11613.321039999999</v>
      </c>
      <c r="F28" s="418">
        <f t="shared" ref="F28:P28" si="5">SUM(F29:F33)</f>
        <v>11989.960719999999</v>
      </c>
      <c r="G28" s="418">
        <f t="shared" si="5"/>
        <v>17563.35456</v>
      </c>
      <c r="H28" s="418">
        <f t="shared" si="5"/>
        <v>23818.588879999996</v>
      </c>
      <c r="I28" s="418">
        <f t="shared" si="5"/>
        <v>13721.592400000001</v>
      </c>
      <c r="J28" s="418">
        <f t="shared" si="5"/>
        <v>18871.401600000001</v>
      </c>
      <c r="K28" s="418">
        <f t="shared" si="5"/>
        <v>19722.148879999997</v>
      </c>
      <c r="L28" s="418">
        <f t="shared" si="5"/>
        <v>18917.808079999999</v>
      </c>
      <c r="M28" s="418">
        <f t="shared" si="5"/>
        <v>17939.99424</v>
      </c>
      <c r="N28" s="418">
        <f t="shared" si="5"/>
        <v>19553.780559999999</v>
      </c>
      <c r="O28" s="418">
        <f t="shared" si="5"/>
        <v>24053.823759999999</v>
      </c>
      <c r="P28" s="418">
        <f t="shared" si="5"/>
        <v>12803.97856</v>
      </c>
      <c r="Q28" s="389"/>
      <c r="S28" s="668">
        <f>SUM(E28:P28)</f>
        <v>210569.75327999998</v>
      </c>
      <c r="T28" s="668">
        <f>S28/$P$4</f>
        <v>17547.479439999999</v>
      </c>
      <c r="V28" s="668">
        <f>S28/$W$26</f>
        <v>2632.1219159999996</v>
      </c>
      <c r="W28" s="668">
        <f t="shared" ref="W28:W33" si="6">T28/$W$26</f>
        <v>219.343493</v>
      </c>
      <c r="X28" s="800">
        <f>W28*'ФОТ, МТР, макро'!$AI$7</f>
        <v>17547.479439999999</v>
      </c>
    </row>
    <row r="29" spans="1:24" x14ac:dyDescent="0.25">
      <c r="A29" s="386">
        <f>A28+1</f>
        <v>21</v>
      </c>
      <c r="B29" s="419" t="s">
        <v>354</v>
      </c>
      <c r="C29" s="420"/>
      <c r="D29" s="420"/>
      <c r="E29" s="421">
        <f>'БС-215 ТО'!G9/1000</f>
        <v>7677.652</v>
      </c>
      <c r="F29" s="421">
        <f>'БС-215 ТО'!H9/1000</f>
        <v>7677.652</v>
      </c>
      <c r="G29" s="421">
        <f>'БС-215 ТО'!I9/1000</f>
        <v>7677.652</v>
      </c>
      <c r="H29" s="421">
        <f>'БС-215 ТО'!J9/1000</f>
        <v>7677.652</v>
      </c>
      <c r="I29" s="421">
        <f>'БС-215 ТО'!K9/1000</f>
        <v>7677.652</v>
      </c>
      <c r="J29" s="421">
        <f>'БС-215 ТО'!L9/1000</f>
        <v>7677.652</v>
      </c>
      <c r="K29" s="421">
        <f>'БС-215 ТО'!M9/1000</f>
        <v>7677.652</v>
      </c>
      <c r="L29" s="421">
        <f>'БС-215 ТО'!N9/1000</f>
        <v>7677.652</v>
      </c>
      <c r="M29" s="421">
        <f>'БС-215 ТО'!O9/1000</f>
        <v>7677.652</v>
      </c>
      <c r="N29" s="421">
        <f>'БС-215 ТО'!P9/1000</f>
        <v>7677.652</v>
      </c>
      <c r="O29" s="421">
        <f>'БС-215 ТО'!Q9/1000</f>
        <v>7677.652</v>
      </c>
      <c r="P29" s="421">
        <f>'БС-215 ТО'!R9/1000</f>
        <v>7677.652</v>
      </c>
      <c r="Q29" s="395"/>
      <c r="S29" s="667">
        <f t="shared" ref="S29:S33" si="7">SUM(E29:P29)</f>
        <v>92131.824000000008</v>
      </c>
      <c r="T29" s="667">
        <f t="shared" ref="T29:T33" si="8">S29/$P$4</f>
        <v>7677.652000000001</v>
      </c>
      <c r="V29" s="667">
        <f t="shared" ref="V29:V33" si="9">S29/$W$26</f>
        <v>1151.6478000000002</v>
      </c>
      <c r="W29" s="667">
        <f t="shared" si="6"/>
        <v>95.970650000000006</v>
      </c>
    </row>
    <row r="30" spans="1:24" x14ac:dyDescent="0.25">
      <c r="A30" s="386">
        <f t="shared" ref="A30:A33" si="10">A29+1</f>
        <v>22</v>
      </c>
      <c r="B30" s="419" t="s">
        <v>355</v>
      </c>
      <c r="C30" s="420"/>
      <c r="D30" s="420"/>
      <c r="E30" s="421">
        <f>'БС-215 Рем'!F79/1000</f>
        <v>530</v>
      </c>
      <c r="F30" s="421">
        <f>'БС-215 Рем'!G79/1000</f>
        <v>530</v>
      </c>
      <c r="G30" s="421">
        <f>'БС-215 Рем'!H79/1000</f>
        <v>530</v>
      </c>
      <c r="H30" s="421">
        <f>'БС-215 Рем'!I79/1000</f>
        <v>530</v>
      </c>
      <c r="I30" s="421">
        <f>'БС-215 Рем'!J79/1000</f>
        <v>530</v>
      </c>
      <c r="J30" s="421">
        <f>'БС-215 Рем'!K79/1000</f>
        <v>530</v>
      </c>
      <c r="K30" s="421">
        <f>'БС-215 Рем'!L79/1000</f>
        <v>530</v>
      </c>
      <c r="L30" s="421">
        <f>'БС-215 Рем'!M79/1000</f>
        <v>530</v>
      </c>
      <c r="M30" s="421">
        <f>'БС-215 Рем'!N79/1000</f>
        <v>530</v>
      </c>
      <c r="N30" s="421">
        <f>'БС-215 Рем'!O79/1000</f>
        <v>530</v>
      </c>
      <c r="O30" s="421">
        <f>'БС-215 Рем'!P79/1000</f>
        <v>530</v>
      </c>
      <c r="P30" s="421">
        <f>'БС-215 Рем'!Q79/1000</f>
        <v>530</v>
      </c>
      <c r="Q30" s="395"/>
      <c r="S30" s="667">
        <f t="shared" si="7"/>
        <v>6360</v>
      </c>
      <c r="T30" s="667">
        <f t="shared" si="8"/>
        <v>530</v>
      </c>
      <c r="V30" s="667">
        <f t="shared" si="9"/>
        <v>79.5</v>
      </c>
      <c r="W30" s="667">
        <f t="shared" si="6"/>
        <v>6.625</v>
      </c>
    </row>
    <row r="31" spans="1:24" ht="25.85" x14ac:dyDescent="0.25">
      <c r="A31" s="386">
        <f t="shared" si="10"/>
        <v>23</v>
      </c>
      <c r="B31" s="419" t="s">
        <v>356</v>
      </c>
      <c r="C31" s="420"/>
      <c r="D31" s="420"/>
      <c r="E31" s="421">
        <f>'БС-215 Рем'!F84/1000</f>
        <v>1014.06</v>
      </c>
      <c r="F31" s="421">
        <f>'БС-215 Рем'!G84/1000</f>
        <v>1254.684</v>
      </c>
      <c r="G31" s="421">
        <f>'БС-215 Рем'!H84/1000</f>
        <v>6760.07</v>
      </c>
      <c r="H31" s="421">
        <f>'БС-215 Рем'!I84/1000</f>
        <v>11451.124</v>
      </c>
      <c r="I31" s="421">
        <f>'БС-215 Рем'!J84/1000</f>
        <v>2850.3</v>
      </c>
      <c r="J31" s="421">
        <f>'БС-215 Рем'!K84/1000</f>
        <v>7660.07</v>
      </c>
      <c r="K31" s="421">
        <f>'БС-215 Рем'!L84/1000</f>
        <v>7354.6840000000002</v>
      </c>
      <c r="L31" s="421">
        <f>'БС-215 Рем'!M84/1000</f>
        <v>7910.5</v>
      </c>
      <c r="M31" s="421">
        <f>'БС-215 Рем'!N84/1000</f>
        <v>7000.6940000000004</v>
      </c>
      <c r="N31" s="421">
        <f>'БС-215 Рем'!O84/1000</f>
        <v>7050.3</v>
      </c>
      <c r="O31" s="421">
        <f>'БС-215 Рем'!P84/1000</f>
        <v>12910.5</v>
      </c>
      <c r="P31" s="421">
        <f>'БС-215 Рем'!Q84/1000</f>
        <v>2000.694</v>
      </c>
      <c r="Q31" s="395"/>
      <c r="S31" s="667">
        <f t="shared" si="7"/>
        <v>75217.680000000008</v>
      </c>
      <c r="T31" s="667">
        <f t="shared" si="8"/>
        <v>6268.14</v>
      </c>
      <c r="V31" s="667">
        <f t="shared" si="9"/>
        <v>940.22100000000012</v>
      </c>
      <c r="W31" s="667">
        <f t="shared" si="6"/>
        <v>78.35175000000001</v>
      </c>
    </row>
    <row r="32" spans="1:24" x14ac:dyDescent="0.25">
      <c r="A32" s="386">
        <f t="shared" si="10"/>
        <v>24</v>
      </c>
      <c r="B32" s="419" t="s">
        <v>357</v>
      </c>
      <c r="C32" s="420"/>
      <c r="D32" s="420"/>
      <c r="E32" s="421">
        <f>'БС-215 ТО'!G10/1000</f>
        <v>1337.4875200000001</v>
      </c>
      <c r="F32" s="421">
        <f>'БС-215 ТО'!H10/1000</f>
        <v>1337.4875200000001</v>
      </c>
      <c r="G32" s="421">
        <f>'БС-215 ТО'!I10/1000</f>
        <v>1337.4875200000001</v>
      </c>
      <c r="H32" s="421">
        <f>'БС-215 ТО'!J10/1000</f>
        <v>1337.4875200000001</v>
      </c>
      <c r="I32" s="421">
        <f>'БС-215 ТО'!K10/1000</f>
        <v>1337.4875200000001</v>
      </c>
      <c r="J32" s="421">
        <f>'БС-215 ТО'!L10/1000</f>
        <v>1337.4875200000001</v>
      </c>
      <c r="K32" s="421">
        <f>'БС-215 ТО'!M10/1000</f>
        <v>1337.4875200000001</v>
      </c>
      <c r="L32" s="421">
        <f>'БС-215 ТО'!N10/1000</f>
        <v>1337.4875200000001</v>
      </c>
      <c r="M32" s="421">
        <f>'БС-215 ТО'!O10/1000</f>
        <v>1337.4875200000001</v>
      </c>
      <c r="N32" s="421">
        <f>'БС-215 ТО'!P10/1000</f>
        <v>1337.4875200000001</v>
      </c>
      <c r="O32" s="421">
        <f>'БС-215 ТО'!Q10/1000</f>
        <v>1337.4875200000001</v>
      </c>
      <c r="P32" s="421">
        <f>'БС-215 ТО'!R10/1000</f>
        <v>1337.4875200000001</v>
      </c>
      <c r="Q32" s="395"/>
      <c r="S32" s="667">
        <f t="shared" si="7"/>
        <v>16049.850240000005</v>
      </c>
      <c r="T32" s="667">
        <f t="shared" si="8"/>
        <v>1337.4875200000004</v>
      </c>
      <c r="V32" s="667">
        <f t="shared" si="9"/>
        <v>200.62312800000007</v>
      </c>
      <c r="W32" s="667">
        <f t="shared" si="6"/>
        <v>16.718594000000003</v>
      </c>
    </row>
    <row r="33" spans="1:23" ht="13.6" thickBot="1" x14ac:dyDescent="0.3">
      <c r="A33" s="386">
        <f t="shared" si="10"/>
        <v>25</v>
      </c>
      <c r="B33" s="422" t="s">
        <v>358</v>
      </c>
      <c r="C33" s="423"/>
      <c r="D33" s="423"/>
      <c r="E33" s="424">
        <f>'БС-215 Рем'!F12/1000</f>
        <v>1054.1215199999997</v>
      </c>
      <c r="F33" s="424">
        <f>'БС-215 Рем'!G12/1000</f>
        <v>1190.1371999999994</v>
      </c>
      <c r="G33" s="424">
        <f>'БС-215 Рем'!H12/1000</f>
        <v>1258.1450399999997</v>
      </c>
      <c r="H33" s="424">
        <f>'БС-215 Рем'!I12/1000</f>
        <v>2822.3253599999998</v>
      </c>
      <c r="I33" s="424">
        <f>'БС-215 Рем'!J12/1000</f>
        <v>1326.1528799999999</v>
      </c>
      <c r="J33" s="424">
        <f>'БС-215 Рем'!K12/1000</f>
        <v>1666.1920799999996</v>
      </c>
      <c r="K33" s="424">
        <f>'БС-215 Рем'!L12/1000</f>
        <v>2822.3253599999998</v>
      </c>
      <c r="L33" s="424">
        <f>'БС-215 Рем'!M12/1000</f>
        <v>1462.1685599999996</v>
      </c>
      <c r="M33" s="424">
        <f>'БС-215 Рем'!N12/1000</f>
        <v>1394.1607199999994</v>
      </c>
      <c r="N33" s="424">
        <f>'БС-215 Рем'!O12/1000</f>
        <v>2958.3410399999998</v>
      </c>
      <c r="O33" s="424">
        <f>'БС-215 Рем'!P12/1000</f>
        <v>1598.1842399999996</v>
      </c>
      <c r="P33" s="424">
        <f>'БС-215 Рем'!Q12/1000</f>
        <v>1258.1450399999997</v>
      </c>
      <c r="Q33" s="407"/>
      <c r="S33" s="667">
        <f t="shared" si="7"/>
        <v>20810.399039999997</v>
      </c>
      <c r="T33" s="667">
        <f t="shared" si="8"/>
        <v>1734.1999199999998</v>
      </c>
      <c r="V33" s="667">
        <f t="shared" si="9"/>
        <v>260.12998799999997</v>
      </c>
      <c r="W33" s="667">
        <f t="shared" si="6"/>
        <v>21.677498999999997</v>
      </c>
    </row>
    <row r="34" spans="1:23" ht="13.6" thickBot="1" x14ac:dyDescent="0.3">
      <c r="A34" s="386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</row>
    <row r="35" spans="1:23" ht="19.55" customHeight="1" x14ac:dyDescent="0.25">
      <c r="A35" s="386">
        <f>A33+1</f>
        <v>26</v>
      </c>
      <c r="B35" s="425" t="s">
        <v>359</v>
      </c>
      <c r="C35" s="417"/>
      <c r="D35" s="417"/>
      <c r="E35" s="699"/>
      <c r="F35" s="699"/>
      <c r="G35" s="699"/>
      <c r="H35" s="699"/>
      <c r="I35" s="699"/>
      <c r="J35" s="699"/>
      <c r="K35" s="699"/>
      <c r="L35" s="699"/>
      <c r="M35" s="699"/>
      <c r="N35" s="699"/>
      <c r="O35" s="699"/>
      <c r="P35" s="699"/>
      <c r="Q35" s="389" t="s">
        <v>568</v>
      </c>
    </row>
    <row r="36" spans="1:23" ht="19.55" customHeight="1" x14ac:dyDescent="0.25">
      <c r="A36" s="386">
        <f>A35+1</f>
        <v>27</v>
      </c>
      <c r="B36" s="427" t="s">
        <v>346</v>
      </c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428"/>
    </row>
    <row r="37" spans="1:23" x14ac:dyDescent="0.25">
      <c r="A37" s="386">
        <f t="shared" ref="A37:A56" si="11">A36+1</f>
        <v>28</v>
      </c>
      <c r="B37" s="429" t="s">
        <v>569</v>
      </c>
      <c r="C37" s="692"/>
      <c r="D37" s="398"/>
      <c r="E37" s="401"/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395"/>
    </row>
    <row r="38" spans="1:23" ht="16.5" customHeight="1" x14ac:dyDescent="0.25">
      <c r="A38" s="386">
        <f t="shared" si="11"/>
        <v>29</v>
      </c>
      <c r="B38" s="431" t="s">
        <v>48</v>
      </c>
      <c r="C38" s="805"/>
      <c r="D38" s="398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395"/>
    </row>
    <row r="39" spans="1:23" ht="13.6" customHeight="1" x14ac:dyDescent="0.25">
      <c r="A39" s="386">
        <f t="shared" si="11"/>
        <v>30</v>
      </c>
      <c r="B39" s="431" t="s">
        <v>362</v>
      </c>
      <c r="C39" s="400"/>
      <c r="D39" s="434"/>
      <c r="E39" s="435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395"/>
    </row>
    <row r="40" spans="1:23" x14ac:dyDescent="0.25">
      <c r="A40" s="386">
        <f t="shared" si="11"/>
        <v>31</v>
      </c>
      <c r="B40" s="429" t="s">
        <v>184</v>
      </c>
      <c r="C40" s="434"/>
      <c r="D40" s="434"/>
      <c r="E40" s="435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395"/>
    </row>
    <row r="41" spans="1:23" ht="13.6" customHeight="1" x14ac:dyDescent="0.25">
      <c r="A41" s="386">
        <f t="shared" si="11"/>
        <v>32</v>
      </c>
      <c r="B41" s="431" t="s">
        <v>48</v>
      </c>
      <c r="C41" s="437"/>
      <c r="D41" s="434"/>
      <c r="E41" s="401"/>
      <c r="F41" s="401"/>
      <c r="G41" s="401"/>
      <c r="H41" s="401"/>
      <c r="I41" s="401"/>
      <c r="J41" s="401"/>
      <c r="K41" s="401"/>
      <c r="L41" s="401"/>
      <c r="M41" s="401"/>
      <c r="N41" s="401"/>
      <c r="O41" s="401"/>
      <c r="P41" s="401"/>
      <c r="Q41" s="395"/>
    </row>
    <row r="42" spans="1:23" ht="13.6" customHeight="1" x14ac:dyDescent="0.25">
      <c r="A42" s="386">
        <f t="shared" si="11"/>
        <v>33</v>
      </c>
      <c r="B42" s="431" t="s">
        <v>362</v>
      </c>
      <c r="C42" s="437"/>
      <c r="D42" s="434"/>
      <c r="E42" s="435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395"/>
    </row>
    <row r="43" spans="1:23" x14ac:dyDescent="0.25">
      <c r="A43" s="386">
        <f t="shared" si="11"/>
        <v>34</v>
      </c>
      <c r="B43" s="429" t="s">
        <v>570</v>
      </c>
      <c r="C43" s="434"/>
      <c r="D43" s="439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395"/>
    </row>
    <row r="44" spans="1:23" x14ac:dyDescent="0.25">
      <c r="A44" s="386">
        <f t="shared" si="11"/>
        <v>35</v>
      </c>
      <c r="B44" s="431" t="s">
        <v>48</v>
      </c>
      <c r="C44" s="437"/>
      <c r="D44" s="439"/>
      <c r="E44" s="401"/>
      <c r="F44" s="401"/>
      <c r="G44" s="401"/>
      <c r="H44" s="401"/>
      <c r="I44" s="401"/>
      <c r="J44" s="401"/>
      <c r="K44" s="401"/>
      <c r="L44" s="401"/>
      <c r="M44" s="401"/>
      <c r="N44" s="401"/>
      <c r="O44" s="401"/>
      <c r="P44" s="401"/>
      <c r="Q44" s="395"/>
    </row>
    <row r="45" spans="1:23" x14ac:dyDescent="0.25">
      <c r="A45" s="386">
        <f t="shared" si="11"/>
        <v>36</v>
      </c>
      <c r="B45" s="431" t="s">
        <v>362</v>
      </c>
      <c r="C45" s="437"/>
      <c r="D45" s="439"/>
      <c r="E45" s="435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395"/>
    </row>
    <row r="46" spans="1:23" x14ac:dyDescent="0.25">
      <c r="A46" s="386">
        <f t="shared" si="11"/>
        <v>37</v>
      </c>
      <c r="B46" s="429" t="s">
        <v>570</v>
      </c>
      <c r="C46" s="434"/>
      <c r="D46" s="439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395"/>
    </row>
    <row r="47" spans="1:23" x14ac:dyDescent="0.25">
      <c r="A47" s="386">
        <f t="shared" si="11"/>
        <v>38</v>
      </c>
      <c r="B47" s="431" t="s">
        <v>48</v>
      </c>
      <c r="C47" s="437"/>
      <c r="D47" s="439"/>
      <c r="E47" s="401"/>
      <c r="F47" s="401"/>
      <c r="G47" s="401"/>
      <c r="H47" s="401"/>
      <c r="I47" s="401"/>
      <c r="J47" s="401"/>
      <c r="K47" s="401"/>
      <c r="L47" s="401"/>
      <c r="M47" s="401"/>
      <c r="N47" s="401"/>
      <c r="O47" s="401"/>
      <c r="P47" s="401"/>
      <c r="Q47" s="395"/>
    </row>
    <row r="48" spans="1:23" x14ac:dyDescent="0.25">
      <c r="A48" s="386">
        <f t="shared" si="11"/>
        <v>39</v>
      </c>
      <c r="B48" s="431" t="s">
        <v>362</v>
      </c>
      <c r="C48" s="437"/>
      <c r="D48" s="439"/>
      <c r="E48" s="435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395"/>
    </row>
    <row r="49" spans="1:17" x14ac:dyDescent="0.25">
      <c r="A49" s="386">
        <f t="shared" si="11"/>
        <v>40</v>
      </c>
      <c r="B49" s="429" t="s">
        <v>570</v>
      </c>
      <c r="C49" s="434"/>
      <c r="D49" s="439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395"/>
    </row>
    <row r="50" spans="1:17" x14ac:dyDescent="0.25">
      <c r="A50" s="386">
        <f t="shared" si="11"/>
        <v>41</v>
      </c>
      <c r="B50" s="431" t="s">
        <v>48</v>
      </c>
      <c r="C50" s="437"/>
      <c r="D50" s="439"/>
      <c r="E50" s="401"/>
      <c r="F50" s="401"/>
      <c r="G50" s="401"/>
      <c r="H50" s="401"/>
      <c r="I50" s="401"/>
      <c r="J50" s="401"/>
      <c r="K50" s="401"/>
      <c r="L50" s="401"/>
      <c r="M50" s="401"/>
      <c r="N50" s="401"/>
      <c r="O50" s="401"/>
      <c r="P50" s="401"/>
      <c r="Q50" s="395"/>
    </row>
    <row r="51" spans="1:17" x14ac:dyDescent="0.25">
      <c r="A51" s="386">
        <f t="shared" si="11"/>
        <v>42</v>
      </c>
      <c r="B51" s="431" t="s">
        <v>362</v>
      </c>
      <c r="C51" s="437"/>
      <c r="D51" s="439"/>
      <c r="E51" s="435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395"/>
    </row>
    <row r="52" spans="1:17" ht="19.55" customHeight="1" x14ac:dyDescent="0.25">
      <c r="A52" s="386">
        <f t="shared" si="11"/>
        <v>43</v>
      </c>
      <c r="B52" s="427" t="s">
        <v>557</v>
      </c>
      <c r="C52" s="377"/>
      <c r="D52" s="377"/>
      <c r="E52" s="377"/>
      <c r="F52" s="377"/>
      <c r="G52" s="377"/>
      <c r="H52" s="377"/>
      <c r="I52" s="377"/>
      <c r="J52" s="377"/>
      <c r="K52" s="377"/>
      <c r="L52" s="377"/>
      <c r="M52" s="377"/>
      <c r="N52" s="377"/>
      <c r="O52" s="377"/>
      <c r="P52" s="377"/>
      <c r="Q52" s="428"/>
    </row>
    <row r="53" spans="1:17" x14ac:dyDescent="0.25">
      <c r="A53" s="386">
        <f t="shared" si="11"/>
        <v>44</v>
      </c>
      <c r="B53" s="429" t="s">
        <v>571</v>
      </c>
      <c r="C53" s="692"/>
      <c r="D53" s="398"/>
      <c r="E53" s="401"/>
      <c r="F53" s="401"/>
      <c r="G53" s="401"/>
      <c r="H53" s="401"/>
      <c r="I53" s="401"/>
      <c r="J53" s="401"/>
      <c r="K53" s="401"/>
      <c r="L53" s="401"/>
      <c r="M53" s="401"/>
      <c r="N53" s="401"/>
      <c r="O53" s="401"/>
      <c r="P53" s="401"/>
      <c r="Q53" s="395"/>
    </row>
    <row r="54" spans="1:17" x14ac:dyDescent="0.25">
      <c r="A54" s="386">
        <f t="shared" si="11"/>
        <v>45</v>
      </c>
      <c r="B54" s="431" t="s">
        <v>48</v>
      </c>
      <c r="C54" s="437"/>
      <c r="D54" s="398"/>
      <c r="E54" s="401"/>
      <c r="F54" s="401"/>
      <c r="G54" s="401"/>
      <c r="H54" s="401"/>
      <c r="I54" s="401"/>
      <c r="J54" s="401"/>
      <c r="K54" s="401"/>
      <c r="L54" s="401"/>
      <c r="M54" s="401"/>
      <c r="N54" s="401"/>
      <c r="O54" s="401"/>
      <c r="P54" s="401"/>
      <c r="Q54" s="395"/>
    </row>
    <row r="55" spans="1:17" x14ac:dyDescent="0.25">
      <c r="A55" s="386">
        <f t="shared" si="11"/>
        <v>46</v>
      </c>
      <c r="B55" s="431" t="s">
        <v>362</v>
      </c>
      <c r="C55" s="437"/>
      <c r="D55" s="434"/>
      <c r="E55" s="435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395"/>
    </row>
    <row r="56" spans="1:17" x14ac:dyDescent="0.25">
      <c r="A56" s="386">
        <f t="shared" si="11"/>
        <v>47</v>
      </c>
      <c r="B56" s="429" t="s">
        <v>572</v>
      </c>
      <c r="C56" s="398"/>
      <c r="D56" s="434"/>
      <c r="E56" s="435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395"/>
    </row>
    <row r="57" spans="1:17" x14ac:dyDescent="0.25">
      <c r="A57" s="386">
        <f t="shared" si="1"/>
        <v>48</v>
      </c>
      <c r="B57" s="431" t="s">
        <v>48</v>
      </c>
      <c r="C57" s="437"/>
      <c r="D57" s="434"/>
      <c r="E57" s="435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395"/>
    </row>
    <row r="58" spans="1:17" x14ac:dyDescent="0.25">
      <c r="A58" s="386">
        <f t="shared" si="1"/>
        <v>49</v>
      </c>
      <c r="B58" s="431" t="s">
        <v>362</v>
      </c>
      <c r="C58" s="437"/>
      <c r="D58" s="434"/>
      <c r="E58" s="435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395"/>
    </row>
    <row r="59" spans="1:17" x14ac:dyDescent="0.25">
      <c r="A59" s="386">
        <f t="shared" si="1"/>
        <v>50</v>
      </c>
      <c r="B59" s="429" t="s">
        <v>573</v>
      </c>
      <c r="C59" s="398"/>
      <c r="D59" s="434"/>
      <c r="E59" s="435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395"/>
    </row>
    <row r="60" spans="1:17" x14ac:dyDescent="0.25">
      <c r="A60" s="386">
        <f t="shared" si="1"/>
        <v>51</v>
      </c>
      <c r="B60" s="431" t="s">
        <v>48</v>
      </c>
      <c r="C60" s="437"/>
      <c r="D60" s="434"/>
      <c r="E60" s="435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395"/>
    </row>
    <row r="61" spans="1:17" x14ac:dyDescent="0.25">
      <c r="A61" s="386">
        <f t="shared" si="1"/>
        <v>52</v>
      </c>
      <c r="B61" s="431" t="s">
        <v>362</v>
      </c>
      <c r="C61" s="437"/>
      <c r="D61" s="434"/>
      <c r="E61" s="435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395"/>
    </row>
    <row r="62" spans="1:17" x14ac:dyDescent="0.25">
      <c r="A62" s="386">
        <f t="shared" si="1"/>
        <v>53</v>
      </c>
      <c r="B62" s="429" t="s">
        <v>184</v>
      </c>
      <c r="C62" s="434"/>
      <c r="D62" s="434"/>
      <c r="E62" s="435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395"/>
    </row>
    <row r="63" spans="1:17" x14ac:dyDescent="0.25">
      <c r="A63" s="386">
        <f t="shared" si="1"/>
        <v>54</v>
      </c>
      <c r="B63" s="431" t="s">
        <v>48</v>
      </c>
      <c r="C63" s="437"/>
      <c r="D63" s="434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395"/>
    </row>
    <row r="64" spans="1:17" x14ac:dyDescent="0.25">
      <c r="A64" s="386">
        <f t="shared" si="1"/>
        <v>55</v>
      </c>
      <c r="B64" s="431" t="s">
        <v>362</v>
      </c>
      <c r="C64" s="437"/>
      <c r="D64" s="434"/>
      <c r="E64" s="435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395"/>
    </row>
    <row r="65" spans="1:17" x14ac:dyDescent="0.25">
      <c r="A65" s="386">
        <f t="shared" si="1"/>
        <v>56</v>
      </c>
      <c r="B65" s="429" t="s">
        <v>574</v>
      </c>
      <c r="C65" s="434"/>
      <c r="D65" s="439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395"/>
    </row>
    <row r="66" spans="1:17" x14ac:dyDescent="0.25">
      <c r="A66" s="386">
        <f t="shared" si="1"/>
        <v>57</v>
      </c>
      <c r="B66" s="431" t="s">
        <v>48</v>
      </c>
      <c r="C66" s="437"/>
      <c r="D66" s="439"/>
      <c r="E66" s="401"/>
      <c r="F66" s="401"/>
      <c r="G66" s="401"/>
      <c r="H66" s="401"/>
      <c r="I66" s="401"/>
      <c r="J66" s="401"/>
      <c r="K66" s="401"/>
      <c r="L66" s="401"/>
      <c r="M66" s="401"/>
      <c r="N66" s="401"/>
      <c r="O66" s="401"/>
      <c r="P66" s="401"/>
      <c r="Q66" s="395"/>
    </row>
    <row r="67" spans="1:17" x14ac:dyDescent="0.25">
      <c r="A67" s="386">
        <f t="shared" si="1"/>
        <v>58</v>
      </c>
      <c r="B67" s="431" t="s">
        <v>362</v>
      </c>
      <c r="C67" s="437"/>
      <c r="D67" s="439"/>
      <c r="E67" s="435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395"/>
    </row>
    <row r="68" spans="1:17" x14ac:dyDescent="0.25">
      <c r="A68" s="386">
        <f t="shared" si="1"/>
        <v>59</v>
      </c>
      <c r="B68" s="429" t="s">
        <v>570</v>
      </c>
      <c r="C68" s="434"/>
      <c r="D68" s="439"/>
      <c r="E68" s="440"/>
      <c r="F68" s="440"/>
      <c r="G68" s="440"/>
      <c r="H68" s="440"/>
      <c r="I68" s="440"/>
      <c r="J68" s="440"/>
      <c r="K68" s="440"/>
      <c r="L68" s="440"/>
      <c r="M68" s="440"/>
      <c r="N68" s="440"/>
      <c r="O68" s="440"/>
      <c r="P68" s="440"/>
      <c r="Q68" s="395"/>
    </row>
    <row r="69" spans="1:17" x14ac:dyDescent="0.25">
      <c r="A69" s="386">
        <f t="shared" si="1"/>
        <v>60</v>
      </c>
      <c r="B69" s="431" t="s">
        <v>48</v>
      </c>
      <c r="C69" s="437"/>
      <c r="D69" s="439"/>
      <c r="E69" s="401"/>
      <c r="F69" s="401"/>
      <c r="G69" s="401"/>
      <c r="H69" s="401"/>
      <c r="I69" s="401"/>
      <c r="J69" s="401"/>
      <c r="K69" s="401"/>
      <c r="L69" s="401"/>
      <c r="M69" s="401"/>
      <c r="N69" s="401"/>
      <c r="O69" s="401"/>
      <c r="P69" s="401"/>
      <c r="Q69" s="395"/>
    </row>
    <row r="70" spans="1:17" x14ac:dyDescent="0.25">
      <c r="A70" s="386">
        <f t="shared" ref="A70:A80" si="12">A69+1</f>
        <v>61</v>
      </c>
      <c r="B70" s="431" t="s">
        <v>362</v>
      </c>
      <c r="C70" s="437"/>
      <c r="D70" s="439"/>
      <c r="E70" s="435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395"/>
    </row>
    <row r="71" spans="1:17" x14ac:dyDescent="0.25">
      <c r="A71" s="386">
        <f t="shared" si="12"/>
        <v>62</v>
      </c>
      <c r="B71" s="429" t="s">
        <v>570</v>
      </c>
      <c r="C71" s="434"/>
      <c r="D71" s="439"/>
      <c r="E71" s="440"/>
      <c r="F71" s="440"/>
      <c r="G71" s="440"/>
      <c r="H71" s="440"/>
      <c r="I71" s="440"/>
      <c r="J71" s="440"/>
      <c r="K71" s="440"/>
      <c r="L71" s="440"/>
      <c r="M71" s="440"/>
      <c r="N71" s="440"/>
      <c r="O71" s="440"/>
      <c r="P71" s="440"/>
      <c r="Q71" s="395"/>
    </row>
    <row r="72" spans="1:17" x14ac:dyDescent="0.25">
      <c r="A72" s="386">
        <f t="shared" si="12"/>
        <v>63</v>
      </c>
      <c r="B72" s="431" t="s">
        <v>48</v>
      </c>
      <c r="C72" s="437"/>
      <c r="D72" s="439"/>
      <c r="E72" s="401"/>
      <c r="F72" s="401"/>
      <c r="G72" s="401"/>
      <c r="H72" s="401"/>
      <c r="I72" s="401"/>
      <c r="J72" s="401"/>
      <c r="K72" s="401"/>
      <c r="L72" s="401"/>
      <c r="M72" s="401"/>
      <c r="N72" s="401"/>
      <c r="O72" s="401"/>
      <c r="P72" s="401"/>
      <c r="Q72" s="395"/>
    </row>
    <row r="73" spans="1:17" x14ac:dyDescent="0.25">
      <c r="A73" s="386">
        <f t="shared" si="12"/>
        <v>64</v>
      </c>
      <c r="B73" s="431" t="s">
        <v>362</v>
      </c>
      <c r="C73" s="437"/>
      <c r="D73" s="439"/>
      <c r="E73" s="435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395"/>
    </row>
    <row r="74" spans="1:17" x14ac:dyDescent="0.25">
      <c r="A74" s="386">
        <f t="shared" si="12"/>
        <v>65</v>
      </c>
      <c r="B74" s="429" t="s">
        <v>570</v>
      </c>
      <c r="C74" s="434"/>
      <c r="D74" s="439"/>
      <c r="E74" s="440"/>
      <c r="F74" s="440"/>
      <c r="G74" s="440"/>
      <c r="H74" s="440"/>
      <c r="I74" s="440"/>
      <c r="J74" s="440"/>
      <c r="K74" s="440"/>
      <c r="L74" s="440"/>
      <c r="M74" s="440"/>
      <c r="N74" s="440"/>
      <c r="O74" s="440"/>
      <c r="P74" s="440"/>
      <c r="Q74" s="395"/>
    </row>
    <row r="75" spans="1:17" x14ac:dyDescent="0.25">
      <c r="A75" s="386">
        <f t="shared" si="12"/>
        <v>66</v>
      </c>
      <c r="B75" s="431" t="s">
        <v>48</v>
      </c>
      <c r="C75" s="437"/>
      <c r="D75" s="439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1"/>
      <c r="P75" s="401"/>
      <c r="Q75" s="395"/>
    </row>
    <row r="76" spans="1:17" ht="13.6" thickBot="1" x14ac:dyDescent="0.3">
      <c r="A76" s="386">
        <f>A75+1</f>
        <v>67</v>
      </c>
      <c r="B76" s="701" t="s">
        <v>362</v>
      </c>
      <c r="C76" s="437"/>
      <c r="D76" s="806"/>
      <c r="E76" s="704"/>
      <c r="F76" s="705"/>
      <c r="G76" s="705"/>
      <c r="H76" s="705"/>
      <c r="I76" s="705"/>
      <c r="J76" s="705"/>
      <c r="K76" s="705"/>
      <c r="L76" s="705"/>
      <c r="M76" s="705"/>
      <c r="N76" s="705"/>
      <c r="O76" s="705"/>
      <c r="P76" s="705"/>
      <c r="Q76" s="407"/>
    </row>
    <row r="77" spans="1:17" ht="13.6" thickBot="1" x14ac:dyDescent="0.3">
      <c r="A77" s="386"/>
      <c r="B77" s="441"/>
      <c r="C77" s="442"/>
      <c r="D77" s="443"/>
      <c r="E77" s="444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6"/>
    </row>
    <row r="78" spans="1:17" ht="13.6" x14ac:dyDescent="0.25">
      <c r="A78" s="386">
        <f>A76+1</f>
        <v>68</v>
      </c>
      <c r="B78" s="447" t="s">
        <v>367</v>
      </c>
      <c r="C78" s="448"/>
      <c r="D78" s="448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389"/>
    </row>
    <row r="79" spans="1:17" ht="23.95" customHeight="1" x14ac:dyDescent="0.25">
      <c r="A79" s="386">
        <f t="shared" si="12"/>
        <v>69</v>
      </c>
      <c r="B79" s="431" t="s">
        <v>48</v>
      </c>
      <c r="C79" s="450" t="s">
        <v>677</v>
      </c>
      <c r="D79" s="451">
        <v>45</v>
      </c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395" t="s">
        <v>577</v>
      </c>
    </row>
    <row r="80" spans="1:17" ht="18" customHeight="1" thickBot="1" x14ac:dyDescent="0.3">
      <c r="A80" s="386">
        <f t="shared" si="12"/>
        <v>70</v>
      </c>
      <c r="B80" s="403" t="s">
        <v>370</v>
      </c>
      <c r="C80" s="452" t="s">
        <v>371</v>
      </c>
      <c r="D80" s="453"/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5"/>
    </row>
  </sheetData>
  <dataValidations count="1">
    <dataValidation type="list" allowBlank="1" showInputMessage="1" showErrorMessage="1" sqref="C78" xr:uid="{F6BB7B5A-3585-4C9B-88EB-264D8C8BF75B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06E2-30EA-4100-B9A3-6FB0DFEF93DD}">
  <sheetPr>
    <tabColor theme="8" tint="0.79998168889431442"/>
  </sheetPr>
  <dimension ref="B2:T120"/>
  <sheetViews>
    <sheetView showGridLines="0" zoomScale="85" zoomScaleNormal="85" workbookViewId="0">
      <pane xSplit="5" ySplit="4" topLeftCell="F5" activePane="bottomRight" state="frozen"/>
      <selection activeCell="R100" sqref="R100"/>
      <selection pane="topRight" activeCell="R100" sqref="R100"/>
      <selection pane="bottomLeft" activeCell="R100" sqref="R100"/>
      <selection pane="bottomRight" activeCell="R100" sqref="R100"/>
    </sheetView>
  </sheetViews>
  <sheetFormatPr defaultColWidth="9.125" defaultRowHeight="12.9" x14ac:dyDescent="0.2"/>
  <cols>
    <col min="1" max="1" width="5.5" style="456" customWidth="1"/>
    <col min="2" max="2" width="69.75" style="456" customWidth="1"/>
    <col min="3" max="3" width="24.375" style="456" customWidth="1"/>
    <col min="4" max="4" width="15.375" style="456" customWidth="1"/>
    <col min="5" max="5" width="14" style="456" customWidth="1"/>
    <col min="6" max="6" width="11.375" style="456" bestFit="1" customWidth="1"/>
    <col min="7" max="18" width="11.125" style="456" customWidth="1"/>
    <col min="19" max="19" width="5.5" style="456" customWidth="1"/>
    <col min="20" max="20" width="11.25" style="456" bestFit="1" customWidth="1"/>
    <col min="21" max="16384" width="9.125" style="456"/>
  </cols>
  <sheetData>
    <row r="2" spans="2:20" x14ac:dyDescent="0.2">
      <c r="B2" s="378" t="s">
        <v>327</v>
      </c>
    </row>
    <row r="3" spans="2:20" ht="13.6" thickBot="1" x14ac:dyDescent="0.25"/>
    <row r="4" spans="2:20" ht="22.1" customHeight="1" thickBot="1" x14ac:dyDescent="0.3">
      <c r="B4" s="457" t="s">
        <v>373</v>
      </c>
      <c r="C4" s="458" t="s">
        <v>7</v>
      </c>
      <c r="D4" s="459"/>
      <c r="E4" s="460"/>
      <c r="F4" s="461"/>
      <c r="G4" s="462">
        <f>E4+1</f>
        <v>1</v>
      </c>
      <c r="H4" s="462">
        <f>G4+1</f>
        <v>2</v>
      </c>
      <c r="I4" s="462">
        <f t="shared" ref="I4:P4" si="0">H4+1</f>
        <v>3</v>
      </c>
      <c r="J4" s="462">
        <f t="shared" si="0"/>
        <v>4</v>
      </c>
      <c r="K4" s="462">
        <f t="shared" si="0"/>
        <v>5</v>
      </c>
      <c r="L4" s="462">
        <f t="shared" si="0"/>
        <v>6</v>
      </c>
      <c r="M4" s="462">
        <f t="shared" si="0"/>
        <v>7</v>
      </c>
      <c r="N4" s="462">
        <f t="shared" si="0"/>
        <v>8</v>
      </c>
      <c r="O4" s="462">
        <f t="shared" si="0"/>
        <v>9</v>
      </c>
      <c r="P4" s="462">
        <f t="shared" si="0"/>
        <v>10</v>
      </c>
      <c r="Q4" s="462">
        <f>P4+1</f>
        <v>11</v>
      </c>
      <c r="R4" s="462">
        <f>Q4+1</f>
        <v>12</v>
      </c>
    </row>
    <row r="5" spans="2:20" x14ac:dyDescent="0.2">
      <c r="B5" s="463" t="s">
        <v>374</v>
      </c>
      <c r="C5" s="464" t="s">
        <v>375</v>
      </c>
      <c r="D5" s="465"/>
      <c r="E5" s="466"/>
      <c r="F5" s="467"/>
      <c r="G5" s="468">
        <v>0</v>
      </c>
      <c r="H5" s="468">
        <f>G6+1</f>
        <v>7001</v>
      </c>
      <c r="I5" s="468">
        <f t="shared" ref="I5:R5" si="1">H6+1</f>
        <v>14001</v>
      </c>
      <c r="J5" s="468">
        <f t="shared" si="1"/>
        <v>21001</v>
      </c>
      <c r="K5" s="468">
        <f t="shared" si="1"/>
        <v>28001</v>
      </c>
      <c r="L5" s="468">
        <f t="shared" si="1"/>
        <v>35001</v>
      </c>
      <c r="M5" s="468">
        <f t="shared" si="1"/>
        <v>42001</v>
      </c>
      <c r="N5" s="468">
        <f t="shared" si="1"/>
        <v>49001</v>
      </c>
      <c r="O5" s="468">
        <f t="shared" si="1"/>
        <v>56001</v>
      </c>
      <c r="P5" s="468">
        <f t="shared" si="1"/>
        <v>63001</v>
      </c>
      <c r="Q5" s="468">
        <f t="shared" si="1"/>
        <v>70001</v>
      </c>
      <c r="R5" s="468">
        <f t="shared" si="1"/>
        <v>77001</v>
      </c>
    </row>
    <row r="6" spans="2:20" x14ac:dyDescent="0.2">
      <c r="B6" s="469" t="s">
        <v>376</v>
      </c>
      <c r="C6" s="470" t="s">
        <v>375</v>
      </c>
      <c r="D6" s="471"/>
      <c r="E6" s="472"/>
      <c r="F6" s="473">
        <v>7000</v>
      </c>
      <c r="G6" s="474">
        <f>F6</f>
        <v>7000</v>
      </c>
      <c r="H6" s="474">
        <f t="shared" ref="H6:R6" si="2">G6+$F6</f>
        <v>14000</v>
      </c>
      <c r="I6" s="474">
        <f t="shared" si="2"/>
        <v>21000</v>
      </c>
      <c r="J6" s="474">
        <f t="shared" si="2"/>
        <v>28000</v>
      </c>
      <c r="K6" s="474">
        <f t="shared" si="2"/>
        <v>35000</v>
      </c>
      <c r="L6" s="474">
        <f t="shared" si="2"/>
        <v>42000</v>
      </c>
      <c r="M6" s="474">
        <f t="shared" si="2"/>
        <v>49000</v>
      </c>
      <c r="N6" s="474">
        <f t="shared" si="2"/>
        <v>56000</v>
      </c>
      <c r="O6" s="474">
        <f t="shared" si="2"/>
        <v>63000</v>
      </c>
      <c r="P6" s="474">
        <f t="shared" si="2"/>
        <v>70000</v>
      </c>
      <c r="Q6" s="474">
        <f t="shared" si="2"/>
        <v>77000</v>
      </c>
      <c r="R6" s="474">
        <f t="shared" si="2"/>
        <v>84000</v>
      </c>
    </row>
    <row r="7" spans="2:20" ht="21.75" customHeight="1" x14ac:dyDescent="0.2">
      <c r="B7" s="477" t="s">
        <v>377</v>
      </c>
      <c r="C7" s="478" t="s">
        <v>337</v>
      </c>
      <c r="D7" s="398"/>
      <c r="E7" s="479"/>
      <c r="F7" s="480"/>
      <c r="G7" s="481">
        <f>G13</f>
        <v>236</v>
      </c>
      <c r="H7" s="481">
        <f t="shared" ref="H7:R7" si="3">H13</f>
        <v>236</v>
      </c>
      <c r="I7" s="481">
        <f t="shared" si="3"/>
        <v>236</v>
      </c>
      <c r="J7" s="481">
        <f t="shared" si="3"/>
        <v>236</v>
      </c>
      <c r="K7" s="481">
        <f t="shared" si="3"/>
        <v>236</v>
      </c>
      <c r="L7" s="481">
        <f t="shared" si="3"/>
        <v>236</v>
      </c>
      <c r="M7" s="481">
        <f t="shared" si="3"/>
        <v>236</v>
      </c>
      <c r="N7" s="481">
        <f t="shared" si="3"/>
        <v>236</v>
      </c>
      <c r="O7" s="481">
        <f t="shared" si="3"/>
        <v>236</v>
      </c>
      <c r="P7" s="481">
        <f t="shared" si="3"/>
        <v>236</v>
      </c>
      <c r="Q7" s="481">
        <f t="shared" si="3"/>
        <v>236</v>
      </c>
      <c r="R7" s="481">
        <f t="shared" si="3"/>
        <v>236</v>
      </c>
    </row>
    <row r="8" spans="2:20" ht="21.1" customHeight="1" x14ac:dyDescent="0.2">
      <c r="B8" s="482" t="s">
        <v>378</v>
      </c>
      <c r="C8" s="429" t="s">
        <v>678</v>
      </c>
      <c r="D8" s="434"/>
      <c r="E8" s="479"/>
      <c r="F8" s="480"/>
      <c r="G8" s="483">
        <f>SUM(G9:G10)</f>
        <v>9015139.5199999996</v>
      </c>
      <c r="H8" s="483">
        <f t="shared" ref="H8:R8" si="4">SUM(H9:H10)</f>
        <v>9015139.5199999996</v>
      </c>
      <c r="I8" s="483">
        <f t="shared" si="4"/>
        <v>9015139.5199999996</v>
      </c>
      <c r="J8" s="483">
        <f t="shared" si="4"/>
        <v>9015139.5199999996</v>
      </c>
      <c r="K8" s="483">
        <f t="shared" si="4"/>
        <v>9015139.5199999996</v>
      </c>
      <c r="L8" s="483">
        <f t="shared" si="4"/>
        <v>9015139.5199999996</v>
      </c>
      <c r="M8" s="483">
        <f t="shared" si="4"/>
        <v>9015139.5199999996</v>
      </c>
      <c r="N8" s="483">
        <f t="shared" si="4"/>
        <v>9015139.5199999996</v>
      </c>
      <c r="O8" s="483">
        <f t="shared" si="4"/>
        <v>9015139.5199999996</v>
      </c>
      <c r="P8" s="483">
        <f t="shared" si="4"/>
        <v>9015139.5199999996</v>
      </c>
      <c r="Q8" s="483">
        <f t="shared" si="4"/>
        <v>9015139.5199999996</v>
      </c>
      <c r="R8" s="483">
        <f t="shared" si="4"/>
        <v>9015139.5199999996</v>
      </c>
    </row>
    <row r="9" spans="2:20" ht="20.25" customHeight="1" x14ac:dyDescent="0.2">
      <c r="B9" s="484" t="s">
        <v>380</v>
      </c>
      <c r="C9" s="485" t="s">
        <v>678</v>
      </c>
      <c r="D9" s="420"/>
      <c r="E9" s="486"/>
      <c r="F9" s="487"/>
      <c r="G9" s="488">
        <f>G21</f>
        <v>7677652</v>
      </c>
      <c r="H9" s="488">
        <f>H21</f>
        <v>7677652</v>
      </c>
      <c r="I9" s="488">
        <f t="shared" ref="I9:R9" si="5">I21</f>
        <v>7677652</v>
      </c>
      <c r="J9" s="488">
        <f t="shared" si="5"/>
        <v>7677652</v>
      </c>
      <c r="K9" s="488">
        <f t="shared" si="5"/>
        <v>7677652</v>
      </c>
      <c r="L9" s="488">
        <f t="shared" si="5"/>
        <v>7677652</v>
      </c>
      <c r="M9" s="488">
        <f t="shared" si="5"/>
        <v>7677652</v>
      </c>
      <c r="N9" s="488">
        <f t="shared" si="5"/>
        <v>7677652</v>
      </c>
      <c r="O9" s="488">
        <f t="shared" si="5"/>
        <v>7677652</v>
      </c>
      <c r="P9" s="488">
        <f t="shared" si="5"/>
        <v>7677652</v>
      </c>
      <c r="Q9" s="488">
        <f t="shared" si="5"/>
        <v>7677652</v>
      </c>
      <c r="R9" s="488">
        <f t="shared" si="5"/>
        <v>7677652</v>
      </c>
    </row>
    <row r="10" spans="2:20" ht="23.3" customHeight="1" thickBot="1" x14ac:dyDescent="0.25">
      <c r="B10" s="489" t="s">
        <v>381</v>
      </c>
      <c r="C10" s="490" t="s">
        <v>678</v>
      </c>
      <c r="D10" s="423"/>
      <c r="E10" s="491"/>
      <c r="F10" s="807">
        <v>2833.66</v>
      </c>
      <c r="G10" s="493">
        <f>SUMPRODUCT(G14:G18,$F$14:$F$18)*$F10</f>
        <v>1337487.52</v>
      </c>
      <c r="H10" s="493">
        <f>SUMPRODUCT(H14:H18,$F$14:$F$18)*$F10</f>
        <v>1337487.52</v>
      </c>
      <c r="I10" s="493">
        <f>SUMPRODUCT(I14:I18,$F$14:$F$18)*$F10</f>
        <v>1337487.52</v>
      </c>
      <c r="J10" s="493">
        <f t="shared" ref="J10:R10" si="6">SUMPRODUCT(J14:J18,$F$14:$F$18)*$F10</f>
        <v>1337487.52</v>
      </c>
      <c r="K10" s="493">
        <f t="shared" si="6"/>
        <v>1337487.52</v>
      </c>
      <c r="L10" s="493">
        <f t="shared" si="6"/>
        <v>1337487.52</v>
      </c>
      <c r="M10" s="493">
        <f t="shared" si="6"/>
        <v>1337487.52</v>
      </c>
      <c r="N10" s="493">
        <f t="shared" si="6"/>
        <v>1337487.52</v>
      </c>
      <c r="O10" s="493">
        <f>SUMPRODUCT(O14:O18,$F$14:$F$18)*$F10</f>
        <v>1337487.52</v>
      </c>
      <c r="P10" s="493">
        <f t="shared" si="6"/>
        <v>1337487.52</v>
      </c>
      <c r="Q10" s="493">
        <f t="shared" si="6"/>
        <v>1337487.52</v>
      </c>
      <c r="R10" s="493">
        <f t="shared" si="6"/>
        <v>1337487.52</v>
      </c>
    </row>
    <row r="11" spans="2:20" ht="13.6" thickBot="1" x14ac:dyDescent="0.25">
      <c r="B11" s="954"/>
      <c r="C11" s="955"/>
      <c r="D11" s="955"/>
      <c r="E11" s="955"/>
      <c r="F11" s="955"/>
      <c r="G11" s="955"/>
      <c r="H11" s="955"/>
      <c r="I11" s="955"/>
      <c r="J11" s="955"/>
      <c r="K11" s="955"/>
      <c r="L11" s="955"/>
      <c r="M11" s="955"/>
      <c r="N11" s="955"/>
      <c r="O11" s="955"/>
      <c r="P11" s="955"/>
      <c r="Q11" s="955"/>
      <c r="R11" s="955"/>
    </row>
    <row r="12" spans="2:20" ht="40.75" x14ac:dyDescent="0.2">
      <c r="B12" s="494" t="s">
        <v>382</v>
      </c>
      <c r="C12" s="495" t="s">
        <v>383</v>
      </c>
      <c r="D12" s="496" t="s">
        <v>384</v>
      </c>
      <c r="E12" s="497" t="s">
        <v>385</v>
      </c>
      <c r="F12" s="498" t="s">
        <v>386</v>
      </c>
      <c r="G12" s="499" t="s">
        <v>387</v>
      </c>
      <c r="H12" s="499" t="s">
        <v>387</v>
      </c>
      <c r="I12" s="499" t="s">
        <v>387</v>
      </c>
      <c r="J12" s="499" t="s">
        <v>387</v>
      </c>
      <c r="K12" s="499" t="s">
        <v>387</v>
      </c>
      <c r="L12" s="499" t="s">
        <v>387</v>
      </c>
      <c r="M12" s="499" t="s">
        <v>387</v>
      </c>
      <c r="N12" s="499" t="s">
        <v>387</v>
      </c>
      <c r="O12" s="499" t="s">
        <v>387</v>
      </c>
      <c r="P12" s="499" t="s">
        <v>387</v>
      </c>
      <c r="Q12" s="499" t="s">
        <v>387</v>
      </c>
      <c r="R12" s="499" t="s">
        <v>387</v>
      </c>
    </row>
    <row r="13" spans="2:20" ht="13.6" x14ac:dyDescent="0.2">
      <c r="B13" s="503" t="s">
        <v>393</v>
      </c>
      <c r="C13" s="504"/>
      <c r="D13" s="505"/>
      <c r="E13" s="506"/>
      <c r="F13" s="507"/>
      <c r="G13" s="508">
        <f>SUM(G14:G18)</f>
        <v>236</v>
      </c>
      <c r="H13" s="508">
        <f t="shared" ref="H13:R13" si="7">SUM(H14:H18)</f>
        <v>236</v>
      </c>
      <c r="I13" s="508">
        <f t="shared" si="7"/>
        <v>236</v>
      </c>
      <c r="J13" s="508">
        <f t="shared" si="7"/>
        <v>236</v>
      </c>
      <c r="K13" s="508">
        <f t="shared" si="7"/>
        <v>236</v>
      </c>
      <c r="L13" s="508">
        <f t="shared" si="7"/>
        <v>236</v>
      </c>
      <c r="M13" s="508">
        <f t="shared" si="7"/>
        <v>236</v>
      </c>
      <c r="N13" s="508">
        <f t="shared" si="7"/>
        <v>236</v>
      </c>
      <c r="O13" s="508">
        <f t="shared" si="7"/>
        <v>236</v>
      </c>
      <c r="P13" s="508">
        <f t="shared" si="7"/>
        <v>236</v>
      </c>
      <c r="Q13" s="508">
        <f t="shared" si="7"/>
        <v>236</v>
      </c>
      <c r="R13" s="508">
        <f t="shared" si="7"/>
        <v>236</v>
      </c>
    </row>
    <row r="14" spans="2:20" x14ac:dyDescent="0.2">
      <c r="B14" s="512" t="s">
        <v>394</v>
      </c>
      <c r="C14" s="513">
        <v>250</v>
      </c>
      <c r="D14" s="514">
        <v>6</v>
      </c>
      <c r="E14" s="515">
        <v>14</v>
      </c>
      <c r="F14" s="516">
        <v>2</v>
      </c>
      <c r="G14" s="514">
        <f>$E14*$D14</f>
        <v>84</v>
      </c>
      <c r="H14" s="514">
        <f t="shared" ref="H14:R18" si="8">$E14*$D14</f>
        <v>84</v>
      </c>
      <c r="I14" s="514">
        <f>$E14*$D14</f>
        <v>84</v>
      </c>
      <c r="J14" s="514">
        <f t="shared" si="8"/>
        <v>84</v>
      </c>
      <c r="K14" s="514">
        <f t="shared" si="8"/>
        <v>84</v>
      </c>
      <c r="L14" s="514">
        <f t="shared" si="8"/>
        <v>84</v>
      </c>
      <c r="M14" s="514">
        <f t="shared" si="8"/>
        <v>84</v>
      </c>
      <c r="N14" s="514">
        <f t="shared" si="8"/>
        <v>84</v>
      </c>
      <c r="O14" s="514">
        <f t="shared" si="8"/>
        <v>84</v>
      </c>
      <c r="P14" s="514">
        <f t="shared" si="8"/>
        <v>84</v>
      </c>
      <c r="Q14" s="514">
        <f t="shared" si="8"/>
        <v>84</v>
      </c>
      <c r="R14" s="514">
        <f t="shared" si="8"/>
        <v>84</v>
      </c>
      <c r="T14" s="456" t="s">
        <v>578</v>
      </c>
    </row>
    <row r="15" spans="2:20" x14ac:dyDescent="0.2">
      <c r="B15" s="512" t="s">
        <v>395</v>
      </c>
      <c r="C15" s="513">
        <v>500</v>
      </c>
      <c r="D15" s="514">
        <v>8</v>
      </c>
      <c r="E15" s="515">
        <v>7</v>
      </c>
      <c r="F15" s="516">
        <v>2</v>
      </c>
      <c r="G15" s="514">
        <f>$E15*$D15</f>
        <v>56</v>
      </c>
      <c r="H15" s="514">
        <f t="shared" si="8"/>
        <v>56</v>
      </c>
      <c r="I15" s="514">
        <f t="shared" si="8"/>
        <v>56</v>
      </c>
      <c r="J15" s="514">
        <f t="shared" si="8"/>
        <v>56</v>
      </c>
      <c r="K15" s="514">
        <f t="shared" si="8"/>
        <v>56</v>
      </c>
      <c r="L15" s="514">
        <f t="shared" si="8"/>
        <v>56</v>
      </c>
      <c r="M15" s="514">
        <f t="shared" si="8"/>
        <v>56</v>
      </c>
      <c r="N15" s="514">
        <f t="shared" si="8"/>
        <v>56</v>
      </c>
      <c r="O15" s="514">
        <f t="shared" si="8"/>
        <v>56</v>
      </c>
      <c r="P15" s="514">
        <f t="shared" si="8"/>
        <v>56</v>
      </c>
      <c r="Q15" s="514">
        <f t="shared" si="8"/>
        <v>56</v>
      </c>
      <c r="R15" s="514">
        <f t="shared" si="8"/>
        <v>56</v>
      </c>
      <c r="T15" s="456" t="s">
        <v>578</v>
      </c>
    </row>
    <row r="16" spans="2:20" x14ac:dyDescent="0.2">
      <c r="B16" s="512" t="s">
        <v>396</v>
      </c>
      <c r="C16" s="513">
        <v>1000</v>
      </c>
      <c r="D16" s="514">
        <v>12</v>
      </c>
      <c r="E16" s="515">
        <v>4</v>
      </c>
      <c r="F16" s="516">
        <v>2</v>
      </c>
      <c r="G16" s="514">
        <f>$E16*$D16</f>
        <v>48</v>
      </c>
      <c r="H16" s="514">
        <f t="shared" si="8"/>
        <v>48</v>
      </c>
      <c r="I16" s="514">
        <f t="shared" si="8"/>
        <v>48</v>
      </c>
      <c r="J16" s="514">
        <f t="shared" si="8"/>
        <v>48</v>
      </c>
      <c r="K16" s="514">
        <f t="shared" si="8"/>
        <v>48</v>
      </c>
      <c r="L16" s="514">
        <f t="shared" si="8"/>
        <v>48</v>
      </c>
      <c r="M16" s="514">
        <f t="shared" si="8"/>
        <v>48</v>
      </c>
      <c r="N16" s="514">
        <f t="shared" si="8"/>
        <v>48</v>
      </c>
      <c r="O16" s="514">
        <f t="shared" si="8"/>
        <v>48</v>
      </c>
      <c r="P16" s="514">
        <f t="shared" si="8"/>
        <v>48</v>
      </c>
      <c r="Q16" s="514">
        <f t="shared" si="8"/>
        <v>48</v>
      </c>
      <c r="R16" s="514">
        <f t="shared" si="8"/>
        <v>48</v>
      </c>
      <c r="T16" s="456" t="s">
        <v>578</v>
      </c>
    </row>
    <row r="17" spans="2:20" x14ac:dyDescent="0.2">
      <c r="B17" s="512" t="s">
        <v>397</v>
      </c>
      <c r="C17" s="513">
        <v>3000</v>
      </c>
      <c r="D17" s="514">
        <v>12</v>
      </c>
      <c r="E17" s="515">
        <v>2</v>
      </c>
      <c r="F17" s="516">
        <v>2</v>
      </c>
      <c r="G17" s="514">
        <f>$E17*$D17</f>
        <v>24</v>
      </c>
      <c r="H17" s="514">
        <f t="shared" si="8"/>
        <v>24</v>
      </c>
      <c r="I17" s="514">
        <f t="shared" si="8"/>
        <v>24</v>
      </c>
      <c r="J17" s="514">
        <f t="shared" si="8"/>
        <v>24</v>
      </c>
      <c r="K17" s="514">
        <f t="shared" si="8"/>
        <v>24</v>
      </c>
      <c r="L17" s="514">
        <f t="shared" si="8"/>
        <v>24</v>
      </c>
      <c r="M17" s="514">
        <f t="shared" si="8"/>
        <v>24</v>
      </c>
      <c r="N17" s="514">
        <f t="shared" si="8"/>
        <v>24</v>
      </c>
      <c r="O17" s="514">
        <f t="shared" si="8"/>
        <v>24</v>
      </c>
      <c r="P17" s="514">
        <f t="shared" si="8"/>
        <v>24</v>
      </c>
      <c r="Q17" s="514">
        <f t="shared" si="8"/>
        <v>24</v>
      </c>
      <c r="R17" s="514">
        <f t="shared" si="8"/>
        <v>24</v>
      </c>
      <c r="T17" s="456" t="s">
        <v>578</v>
      </c>
    </row>
    <row r="18" spans="2:20" ht="13.6" thickBot="1" x14ac:dyDescent="0.25">
      <c r="B18" s="512" t="s">
        <v>399</v>
      </c>
      <c r="C18" s="513">
        <v>4000</v>
      </c>
      <c r="D18" s="514">
        <v>24</v>
      </c>
      <c r="E18" s="515">
        <v>1</v>
      </c>
      <c r="F18" s="516">
        <v>2</v>
      </c>
      <c r="G18" s="514">
        <f>$E18*$D18</f>
        <v>24</v>
      </c>
      <c r="H18" s="514">
        <f t="shared" si="8"/>
        <v>24</v>
      </c>
      <c r="I18" s="514">
        <f t="shared" si="8"/>
        <v>24</v>
      </c>
      <c r="J18" s="514">
        <f t="shared" si="8"/>
        <v>24</v>
      </c>
      <c r="K18" s="514">
        <f t="shared" si="8"/>
        <v>24</v>
      </c>
      <c r="L18" s="514">
        <f t="shared" si="8"/>
        <v>24</v>
      </c>
      <c r="M18" s="514">
        <f t="shared" si="8"/>
        <v>24</v>
      </c>
      <c r="N18" s="514">
        <f t="shared" si="8"/>
        <v>24</v>
      </c>
      <c r="O18" s="514">
        <f t="shared" si="8"/>
        <v>24</v>
      </c>
      <c r="P18" s="514">
        <f t="shared" si="8"/>
        <v>24</v>
      </c>
      <c r="Q18" s="514">
        <f t="shared" si="8"/>
        <v>24</v>
      </c>
      <c r="R18" s="514">
        <f t="shared" si="8"/>
        <v>24</v>
      </c>
      <c r="T18" s="456" t="s">
        <v>578</v>
      </c>
    </row>
    <row r="19" spans="2:20" ht="13.6" thickBot="1" x14ac:dyDescent="0.25">
      <c r="B19" s="954"/>
      <c r="C19" s="955"/>
      <c r="D19" s="955"/>
      <c r="E19" s="955"/>
      <c r="F19" s="955"/>
      <c r="G19" s="955"/>
      <c r="H19" s="955"/>
      <c r="I19" s="955"/>
      <c r="J19" s="955"/>
      <c r="K19" s="955"/>
      <c r="L19" s="955"/>
      <c r="M19" s="955"/>
      <c r="N19" s="955"/>
      <c r="O19" s="955"/>
      <c r="P19" s="955"/>
      <c r="Q19" s="955"/>
      <c r="R19" s="955"/>
    </row>
    <row r="20" spans="2:20" ht="27.2" x14ac:dyDescent="0.2">
      <c r="B20" s="494" t="s">
        <v>378</v>
      </c>
      <c r="C20" s="715" t="s">
        <v>403</v>
      </c>
      <c r="D20" s="388" t="s">
        <v>679</v>
      </c>
      <c r="E20" s="556" t="s">
        <v>405</v>
      </c>
      <c r="F20" s="716" t="s">
        <v>385</v>
      </c>
      <c r="G20" s="555" t="s">
        <v>680</v>
      </c>
      <c r="H20" s="555" t="s">
        <v>680</v>
      </c>
      <c r="I20" s="555" t="s">
        <v>680</v>
      </c>
      <c r="J20" s="555" t="s">
        <v>680</v>
      </c>
      <c r="K20" s="555" t="s">
        <v>680</v>
      </c>
      <c r="L20" s="555" t="s">
        <v>680</v>
      </c>
      <c r="M20" s="555" t="s">
        <v>680</v>
      </c>
      <c r="N20" s="555" t="s">
        <v>680</v>
      </c>
      <c r="O20" s="555" t="s">
        <v>680</v>
      </c>
      <c r="P20" s="555" t="s">
        <v>680</v>
      </c>
      <c r="Q20" s="555" t="s">
        <v>680</v>
      </c>
      <c r="R20" s="555" t="s">
        <v>680</v>
      </c>
    </row>
    <row r="21" spans="2:20" ht="13.6" x14ac:dyDescent="0.25">
      <c r="B21" s="717" t="s">
        <v>354</v>
      </c>
      <c r="C21" s="718"/>
      <c r="D21" s="719"/>
      <c r="E21" s="720"/>
      <c r="F21" s="721"/>
      <c r="G21" s="722">
        <f>SUM(G22:G120)</f>
        <v>7677652</v>
      </c>
      <c r="H21" s="722">
        <f t="shared" ref="H21:R21" si="9">SUM(H22:H120)</f>
        <v>7677652</v>
      </c>
      <c r="I21" s="722">
        <f t="shared" si="9"/>
        <v>7677652</v>
      </c>
      <c r="J21" s="722">
        <f t="shared" si="9"/>
        <v>7677652</v>
      </c>
      <c r="K21" s="722">
        <f t="shared" si="9"/>
        <v>7677652</v>
      </c>
      <c r="L21" s="722">
        <f t="shared" si="9"/>
        <v>7677652</v>
      </c>
      <c r="M21" s="722">
        <f t="shared" si="9"/>
        <v>7677652</v>
      </c>
      <c r="N21" s="722">
        <f>SUM(N22:N120)</f>
        <v>7677652</v>
      </c>
      <c r="O21" s="722">
        <f t="shared" si="9"/>
        <v>7677652</v>
      </c>
      <c r="P21" s="722">
        <f t="shared" si="9"/>
        <v>7677652</v>
      </c>
      <c r="Q21" s="722">
        <f t="shared" si="9"/>
        <v>7677652</v>
      </c>
      <c r="R21" s="722">
        <f t="shared" si="9"/>
        <v>7677652</v>
      </c>
    </row>
    <row r="22" spans="2:20" x14ac:dyDescent="0.2">
      <c r="B22" s="723" t="s">
        <v>394</v>
      </c>
      <c r="C22" s="537"/>
      <c r="D22" s="724"/>
      <c r="E22" s="569">
        <f>VLOOKUP($B22,$B$14:$C$18,2,FALSE)</f>
        <v>250</v>
      </c>
      <c r="F22" s="473">
        <f>VLOOKUP($B22,$B$14:$E$18,4,FALSE)</f>
        <v>14</v>
      </c>
      <c r="G22" s="474"/>
      <c r="H22" s="474"/>
      <c r="I22" s="474"/>
      <c r="J22" s="474"/>
      <c r="K22" s="474"/>
      <c r="L22" s="474"/>
      <c r="M22" s="474"/>
      <c r="N22" s="474"/>
      <c r="O22" s="474"/>
      <c r="P22" s="474"/>
      <c r="Q22" s="474"/>
      <c r="R22" s="474"/>
    </row>
    <row r="23" spans="2:20" x14ac:dyDescent="0.2">
      <c r="B23" s="808" t="s">
        <v>681</v>
      </c>
      <c r="C23" s="809" t="s">
        <v>682</v>
      </c>
      <c r="D23" s="810">
        <v>1510</v>
      </c>
      <c r="E23" s="413">
        <v>2</v>
      </c>
      <c r="F23" s="533"/>
      <c r="G23" s="534">
        <f>IF(G$14=0,0,G$14/$D$14*$E23*$D23)</f>
        <v>42280</v>
      </c>
      <c r="H23" s="534">
        <f t="shared" ref="H23:R29" si="10">IF(H$14=0,0,H$14/$D$14*$E23*$D23)</f>
        <v>42280</v>
      </c>
      <c r="I23" s="534">
        <f t="shared" si="10"/>
        <v>42280</v>
      </c>
      <c r="J23" s="534">
        <f t="shared" si="10"/>
        <v>42280</v>
      </c>
      <c r="K23" s="534">
        <f t="shared" si="10"/>
        <v>42280</v>
      </c>
      <c r="L23" s="534">
        <f t="shared" si="10"/>
        <v>42280</v>
      </c>
      <c r="M23" s="534">
        <f t="shared" si="10"/>
        <v>42280</v>
      </c>
      <c r="N23" s="534">
        <f t="shared" si="10"/>
        <v>42280</v>
      </c>
      <c r="O23" s="534">
        <f t="shared" si="10"/>
        <v>42280</v>
      </c>
      <c r="P23" s="534">
        <f t="shared" si="10"/>
        <v>42280</v>
      </c>
      <c r="Q23" s="534">
        <f t="shared" si="10"/>
        <v>42280</v>
      </c>
      <c r="R23" s="534">
        <f t="shared" si="10"/>
        <v>42280</v>
      </c>
    </row>
    <row r="24" spans="2:20" x14ac:dyDescent="0.2">
      <c r="B24" s="808" t="s">
        <v>683</v>
      </c>
      <c r="C24" s="809" t="s">
        <v>684</v>
      </c>
      <c r="D24" s="810">
        <v>3260</v>
      </c>
      <c r="E24" s="413">
        <v>2</v>
      </c>
      <c r="F24" s="533"/>
      <c r="G24" s="534">
        <f>IF(G$14=0,0,G$14/$D$14*$E24*$D24)</f>
        <v>91280</v>
      </c>
      <c r="H24" s="534">
        <f t="shared" si="10"/>
        <v>91280</v>
      </c>
      <c r="I24" s="534">
        <f t="shared" si="10"/>
        <v>91280</v>
      </c>
      <c r="J24" s="534">
        <f t="shared" si="10"/>
        <v>91280</v>
      </c>
      <c r="K24" s="534">
        <f t="shared" si="10"/>
        <v>91280</v>
      </c>
      <c r="L24" s="534">
        <f t="shared" si="10"/>
        <v>91280</v>
      </c>
      <c r="M24" s="534">
        <f t="shared" si="10"/>
        <v>91280</v>
      </c>
      <c r="N24" s="534">
        <f t="shared" si="10"/>
        <v>91280</v>
      </c>
      <c r="O24" s="534">
        <f t="shared" si="10"/>
        <v>91280</v>
      </c>
      <c r="P24" s="534">
        <f t="shared" si="10"/>
        <v>91280</v>
      </c>
      <c r="Q24" s="534">
        <f t="shared" si="10"/>
        <v>91280</v>
      </c>
      <c r="R24" s="534">
        <f t="shared" si="10"/>
        <v>91280</v>
      </c>
    </row>
    <row r="25" spans="2:20" x14ac:dyDescent="0.2">
      <c r="B25" s="808" t="s">
        <v>685</v>
      </c>
      <c r="C25" s="809" t="s">
        <v>686</v>
      </c>
      <c r="D25" s="810">
        <v>3930</v>
      </c>
      <c r="E25" s="413">
        <v>1</v>
      </c>
      <c r="F25" s="533"/>
      <c r="G25" s="534">
        <f t="shared" ref="G25:R28" si="11">IF(G$14=0,0,G$14/$D$14*$E25*$D25)</f>
        <v>55020</v>
      </c>
      <c r="H25" s="534">
        <f t="shared" si="11"/>
        <v>55020</v>
      </c>
      <c r="I25" s="534">
        <f t="shared" si="11"/>
        <v>55020</v>
      </c>
      <c r="J25" s="534">
        <f t="shared" si="11"/>
        <v>55020</v>
      </c>
      <c r="K25" s="534">
        <f t="shared" si="11"/>
        <v>55020</v>
      </c>
      <c r="L25" s="534">
        <f t="shared" si="11"/>
        <v>55020</v>
      </c>
      <c r="M25" s="534">
        <f t="shared" si="11"/>
        <v>55020</v>
      </c>
      <c r="N25" s="534">
        <f t="shared" si="11"/>
        <v>55020</v>
      </c>
      <c r="O25" s="534">
        <f t="shared" si="11"/>
        <v>55020</v>
      </c>
      <c r="P25" s="534">
        <f t="shared" si="11"/>
        <v>55020</v>
      </c>
      <c r="Q25" s="534">
        <f t="shared" si="11"/>
        <v>55020</v>
      </c>
      <c r="R25" s="534">
        <f t="shared" si="11"/>
        <v>55020</v>
      </c>
    </row>
    <row r="26" spans="2:20" x14ac:dyDescent="0.2">
      <c r="B26" s="808" t="s">
        <v>687</v>
      </c>
      <c r="C26" s="809" t="s">
        <v>688</v>
      </c>
      <c r="D26" s="810">
        <v>670</v>
      </c>
      <c r="E26" s="413">
        <v>55</v>
      </c>
      <c r="F26" s="533"/>
      <c r="G26" s="534">
        <f>IF(G$14=0,0,G$14/$D$14*$E26*$D26)</f>
        <v>515900</v>
      </c>
      <c r="H26" s="534">
        <f t="shared" si="10"/>
        <v>515900</v>
      </c>
      <c r="I26" s="534">
        <f t="shared" si="10"/>
        <v>515900</v>
      </c>
      <c r="J26" s="534">
        <f t="shared" si="10"/>
        <v>515900</v>
      </c>
      <c r="K26" s="534">
        <f t="shared" si="10"/>
        <v>515900</v>
      </c>
      <c r="L26" s="534">
        <f t="shared" si="10"/>
        <v>515900</v>
      </c>
      <c r="M26" s="534">
        <f t="shared" si="10"/>
        <v>515900</v>
      </c>
      <c r="N26" s="534">
        <f t="shared" si="10"/>
        <v>515900</v>
      </c>
      <c r="O26" s="534">
        <f t="shared" si="10"/>
        <v>515900</v>
      </c>
      <c r="P26" s="534">
        <f t="shared" si="10"/>
        <v>515900</v>
      </c>
      <c r="Q26" s="534">
        <f t="shared" si="10"/>
        <v>515900</v>
      </c>
      <c r="R26" s="534">
        <f t="shared" si="10"/>
        <v>515900</v>
      </c>
    </row>
    <row r="27" spans="2:20" x14ac:dyDescent="0.2">
      <c r="B27" s="808" t="s">
        <v>689</v>
      </c>
      <c r="C27" s="809" t="s">
        <v>690</v>
      </c>
      <c r="D27" s="810">
        <v>2306</v>
      </c>
      <c r="E27" s="413">
        <v>1</v>
      </c>
      <c r="F27" s="533"/>
      <c r="G27" s="534">
        <f t="shared" si="11"/>
        <v>32284</v>
      </c>
      <c r="H27" s="534">
        <f t="shared" si="10"/>
        <v>32284</v>
      </c>
      <c r="I27" s="534">
        <f t="shared" si="10"/>
        <v>32284</v>
      </c>
      <c r="J27" s="534">
        <f t="shared" si="10"/>
        <v>32284</v>
      </c>
      <c r="K27" s="534">
        <f t="shared" si="10"/>
        <v>32284</v>
      </c>
      <c r="L27" s="534">
        <f t="shared" si="10"/>
        <v>32284</v>
      </c>
      <c r="M27" s="534">
        <f t="shared" si="10"/>
        <v>32284</v>
      </c>
      <c r="N27" s="534">
        <f t="shared" si="10"/>
        <v>32284</v>
      </c>
      <c r="O27" s="534">
        <f t="shared" si="10"/>
        <v>32284</v>
      </c>
      <c r="P27" s="534">
        <f t="shared" si="10"/>
        <v>32284</v>
      </c>
      <c r="Q27" s="534">
        <f t="shared" si="10"/>
        <v>32284</v>
      </c>
      <c r="R27" s="534">
        <f t="shared" si="10"/>
        <v>32284</v>
      </c>
    </row>
    <row r="28" spans="2:20" x14ac:dyDescent="0.2">
      <c r="B28" s="808" t="s">
        <v>691</v>
      </c>
      <c r="C28" s="809" t="s">
        <v>692</v>
      </c>
      <c r="D28" s="810">
        <v>1780</v>
      </c>
      <c r="E28" s="413">
        <v>5</v>
      </c>
      <c r="F28" s="533"/>
      <c r="G28" s="534">
        <f t="shared" si="11"/>
        <v>124600</v>
      </c>
      <c r="H28" s="534">
        <f t="shared" si="10"/>
        <v>124600</v>
      </c>
      <c r="I28" s="534">
        <f t="shared" si="10"/>
        <v>124600</v>
      </c>
      <c r="J28" s="534">
        <f t="shared" si="10"/>
        <v>124600</v>
      </c>
      <c r="K28" s="534">
        <f t="shared" si="10"/>
        <v>124600</v>
      </c>
      <c r="L28" s="534">
        <f t="shared" si="10"/>
        <v>124600</v>
      </c>
      <c r="M28" s="534">
        <f t="shared" si="10"/>
        <v>124600</v>
      </c>
      <c r="N28" s="534">
        <f t="shared" si="10"/>
        <v>124600</v>
      </c>
      <c r="O28" s="534">
        <f t="shared" si="10"/>
        <v>124600</v>
      </c>
      <c r="P28" s="534">
        <f t="shared" si="10"/>
        <v>124600</v>
      </c>
      <c r="Q28" s="534">
        <f t="shared" si="10"/>
        <v>124600</v>
      </c>
      <c r="R28" s="534">
        <f t="shared" si="10"/>
        <v>124600</v>
      </c>
    </row>
    <row r="29" spans="2:20" x14ac:dyDescent="0.2">
      <c r="B29" s="808" t="s">
        <v>693</v>
      </c>
      <c r="C29" s="809" t="s">
        <v>694</v>
      </c>
      <c r="D29" s="810">
        <v>4117</v>
      </c>
      <c r="E29" s="413">
        <v>2</v>
      </c>
      <c r="F29" s="533"/>
      <c r="G29" s="534">
        <f>IF(G$14=0,0,G$14/$D$14*$E29*$D29)</f>
        <v>115276</v>
      </c>
      <c r="H29" s="534">
        <f t="shared" si="10"/>
        <v>115276</v>
      </c>
      <c r="I29" s="534">
        <f t="shared" si="10"/>
        <v>115276</v>
      </c>
      <c r="J29" s="534">
        <f t="shared" si="10"/>
        <v>115276</v>
      </c>
      <c r="K29" s="534">
        <f t="shared" si="10"/>
        <v>115276</v>
      </c>
      <c r="L29" s="534">
        <f t="shared" si="10"/>
        <v>115276</v>
      </c>
      <c r="M29" s="534">
        <f t="shared" si="10"/>
        <v>115276</v>
      </c>
      <c r="N29" s="534">
        <f t="shared" si="10"/>
        <v>115276</v>
      </c>
      <c r="O29" s="534">
        <f t="shared" si="10"/>
        <v>115276</v>
      </c>
      <c r="P29" s="534">
        <f t="shared" si="10"/>
        <v>115276</v>
      </c>
      <c r="Q29" s="534">
        <f t="shared" si="10"/>
        <v>115276</v>
      </c>
      <c r="R29" s="534">
        <f t="shared" si="10"/>
        <v>115276</v>
      </c>
      <c r="T29" s="811">
        <f>SUM(R23:R29)</f>
        <v>976640</v>
      </c>
    </row>
    <row r="30" spans="2:20" x14ac:dyDescent="0.2">
      <c r="B30" s="723" t="s">
        <v>395</v>
      </c>
      <c r="C30" s="537"/>
      <c r="D30" s="812"/>
      <c r="E30" s="481">
        <f>VLOOKUP($B30,$B$14:$C$18,2,FALSE)</f>
        <v>500</v>
      </c>
      <c r="F30" s="481">
        <f>VLOOKUP($B30,$B$14:$E$18,4,FALSE)</f>
        <v>7</v>
      </c>
      <c r="G30" s="474"/>
      <c r="H30" s="474"/>
      <c r="I30" s="474"/>
      <c r="J30" s="474"/>
      <c r="K30" s="474"/>
      <c r="L30" s="474"/>
      <c r="M30" s="474"/>
      <c r="N30" s="474"/>
      <c r="O30" s="474"/>
      <c r="P30" s="474"/>
      <c r="Q30" s="474"/>
      <c r="R30" s="474"/>
    </row>
    <row r="31" spans="2:20" x14ac:dyDescent="0.2">
      <c r="B31" s="808" t="s">
        <v>681</v>
      </c>
      <c r="C31" s="809" t="s">
        <v>682</v>
      </c>
      <c r="D31" s="810">
        <v>1510</v>
      </c>
      <c r="E31" s="413">
        <v>2</v>
      </c>
      <c r="F31" s="533"/>
      <c r="G31" s="534">
        <f t="shared" ref="G31:R44" si="12">IF(G$15=0,0,G$15/$D$15*$E31*$D31)</f>
        <v>21140</v>
      </c>
      <c r="H31" s="534">
        <f t="shared" si="12"/>
        <v>21140</v>
      </c>
      <c r="I31" s="534">
        <f t="shared" si="12"/>
        <v>21140</v>
      </c>
      <c r="J31" s="534">
        <f t="shared" si="12"/>
        <v>21140</v>
      </c>
      <c r="K31" s="534">
        <f t="shared" si="12"/>
        <v>21140</v>
      </c>
      <c r="L31" s="534">
        <f t="shared" si="12"/>
        <v>21140</v>
      </c>
      <c r="M31" s="534">
        <f t="shared" si="12"/>
        <v>21140</v>
      </c>
      <c r="N31" s="534">
        <f t="shared" si="12"/>
        <v>21140</v>
      </c>
      <c r="O31" s="534">
        <f t="shared" si="12"/>
        <v>21140</v>
      </c>
      <c r="P31" s="534">
        <f t="shared" si="12"/>
        <v>21140</v>
      </c>
      <c r="Q31" s="534">
        <f t="shared" si="12"/>
        <v>21140</v>
      </c>
      <c r="R31" s="534">
        <f t="shared" si="12"/>
        <v>21140</v>
      </c>
    </row>
    <row r="32" spans="2:20" x14ac:dyDescent="0.2">
      <c r="B32" s="808" t="s">
        <v>683</v>
      </c>
      <c r="C32" s="809" t="s">
        <v>684</v>
      </c>
      <c r="D32" s="810">
        <v>3260</v>
      </c>
      <c r="E32" s="413">
        <v>2</v>
      </c>
      <c r="F32" s="533"/>
      <c r="G32" s="534">
        <f t="shared" si="12"/>
        <v>45640</v>
      </c>
      <c r="H32" s="534">
        <f t="shared" si="12"/>
        <v>45640</v>
      </c>
      <c r="I32" s="534">
        <f t="shared" si="12"/>
        <v>45640</v>
      </c>
      <c r="J32" s="534">
        <f t="shared" si="12"/>
        <v>45640</v>
      </c>
      <c r="K32" s="534">
        <f t="shared" si="12"/>
        <v>45640</v>
      </c>
      <c r="L32" s="534">
        <f t="shared" si="12"/>
        <v>45640</v>
      </c>
      <c r="M32" s="534">
        <f t="shared" si="12"/>
        <v>45640</v>
      </c>
      <c r="N32" s="534">
        <f t="shared" si="12"/>
        <v>45640</v>
      </c>
      <c r="O32" s="534">
        <f t="shared" si="12"/>
        <v>45640</v>
      </c>
      <c r="P32" s="534">
        <f t="shared" si="12"/>
        <v>45640</v>
      </c>
      <c r="Q32" s="534">
        <f t="shared" si="12"/>
        <v>45640</v>
      </c>
      <c r="R32" s="534">
        <f t="shared" si="12"/>
        <v>45640</v>
      </c>
    </row>
    <row r="33" spans="2:20" x14ac:dyDescent="0.2">
      <c r="B33" s="808" t="s">
        <v>685</v>
      </c>
      <c r="C33" s="809" t="s">
        <v>686</v>
      </c>
      <c r="D33" s="810">
        <v>3930</v>
      </c>
      <c r="E33" s="413">
        <v>1</v>
      </c>
      <c r="F33" s="533"/>
      <c r="G33" s="534">
        <f t="shared" si="12"/>
        <v>27510</v>
      </c>
      <c r="H33" s="534">
        <f t="shared" si="12"/>
        <v>27510</v>
      </c>
      <c r="I33" s="534">
        <f t="shared" si="12"/>
        <v>27510</v>
      </c>
      <c r="J33" s="534">
        <f t="shared" si="12"/>
        <v>27510</v>
      </c>
      <c r="K33" s="534">
        <f t="shared" si="12"/>
        <v>27510</v>
      </c>
      <c r="L33" s="534">
        <f t="shared" si="12"/>
        <v>27510</v>
      </c>
      <c r="M33" s="534">
        <f t="shared" si="12"/>
        <v>27510</v>
      </c>
      <c r="N33" s="534">
        <f t="shared" si="12"/>
        <v>27510</v>
      </c>
      <c r="O33" s="534">
        <f t="shared" si="12"/>
        <v>27510</v>
      </c>
      <c r="P33" s="534">
        <f t="shared" si="12"/>
        <v>27510</v>
      </c>
      <c r="Q33" s="534">
        <f t="shared" si="12"/>
        <v>27510</v>
      </c>
      <c r="R33" s="534">
        <f t="shared" si="12"/>
        <v>27510</v>
      </c>
    </row>
    <row r="34" spans="2:20" x14ac:dyDescent="0.2">
      <c r="B34" s="808" t="s">
        <v>687</v>
      </c>
      <c r="C34" s="809" t="s">
        <v>688</v>
      </c>
      <c r="D34" s="810">
        <v>670</v>
      </c>
      <c r="E34" s="413">
        <v>55</v>
      </c>
      <c r="F34" s="533"/>
      <c r="G34" s="534">
        <f t="shared" si="12"/>
        <v>257950</v>
      </c>
      <c r="H34" s="534">
        <f t="shared" si="12"/>
        <v>257950</v>
      </c>
      <c r="I34" s="534">
        <f t="shared" si="12"/>
        <v>257950</v>
      </c>
      <c r="J34" s="534">
        <f t="shared" si="12"/>
        <v>257950</v>
      </c>
      <c r="K34" s="534">
        <f t="shared" si="12"/>
        <v>257950</v>
      </c>
      <c r="L34" s="534">
        <f t="shared" si="12"/>
        <v>257950</v>
      </c>
      <c r="M34" s="534">
        <f t="shared" si="12"/>
        <v>257950</v>
      </c>
      <c r="N34" s="534">
        <f t="shared" si="12"/>
        <v>257950</v>
      </c>
      <c r="O34" s="534">
        <f t="shared" si="12"/>
        <v>257950</v>
      </c>
      <c r="P34" s="534">
        <f t="shared" si="12"/>
        <v>257950</v>
      </c>
      <c r="Q34" s="534">
        <f t="shared" si="12"/>
        <v>257950</v>
      </c>
      <c r="R34" s="534">
        <f t="shared" si="12"/>
        <v>257950</v>
      </c>
    </row>
    <row r="35" spans="2:20" x14ac:dyDescent="0.2">
      <c r="B35" s="808" t="s">
        <v>689</v>
      </c>
      <c r="C35" s="809" t="s">
        <v>690</v>
      </c>
      <c r="D35" s="810">
        <v>2306</v>
      </c>
      <c r="E35" s="413">
        <v>1</v>
      </c>
      <c r="F35" s="533"/>
      <c r="G35" s="534">
        <f t="shared" si="12"/>
        <v>16142</v>
      </c>
      <c r="H35" s="534">
        <f t="shared" si="12"/>
        <v>16142</v>
      </c>
      <c r="I35" s="534">
        <f t="shared" si="12"/>
        <v>16142</v>
      </c>
      <c r="J35" s="534">
        <f t="shared" si="12"/>
        <v>16142</v>
      </c>
      <c r="K35" s="534">
        <f t="shared" si="12"/>
        <v>16142</v>
      </c>
      <c r="L35" s="534">
        <f t="shared" si="12"/>
        <v>16142</v>
      </c>
      <c r="M35" s="534">
        <f t="shared" si="12"/>
        <v>16142</v>
      </c>
      <c r="N35" s="534">
        <f t="shared" si="12"/>
        <v>16142</v>
      </c>
      <c r="O35" s="534">
        <f t="shared" si="12"/>
        <v>16142</v>
      </c>
      <c r="P35" s="534">
        <f t="shared" si="12"/>
        <v>16142</v>
      </c>
      <c r="Q35" s="534">
        <f t="shared" si="12"/>
        <v>16142</v>
      </c>
      <c r="R35" s="534">
        <f t="shared" si="12"/>
        <v>16142</v>
      </c>
    </row>
    <row r="36" spans="2:20" x14ac:dyDescent="0.2">
      <c r="B36" s="808" t="s">
        <v>691</v>
      </c>
      <c r="C36" s="809" t="s">
        <v>692</v>
      </c>
      <c r="D36" s="810">
        <v>1780</v>
      </c>
      <c r="E36" s="413">
        <v>5</v>
      </c>
      <c r="F36" s="533"/>
      <c r="G36" s="534">
        <f t="shared" si="12"/>
        <v>62300</v>
      </c>
      <c r="H36" s="534">
        <f t="shared" si="12"/>
        <v>62300</v>
      </c>
      <c r="I36" s="534">
        <f t="shared" si="12"/>
        <v>62300</v>
      </c>
      <c r="J36" s="534">
        <f t="shared" si="12"/>
        <v>62300</v>
      </c>
      <c r="K36" s="534">
        <f t="shared" si="12"/>
        <v>62300</v>
      </c>
      <c r="L36" s="534">
        <f t="shared" si="12"/>
        <v>62300</v>
      </c>
      <c r="M36" s="534">
        <f t="shared" si="12"/>
        <v>62300</v>
      </c>
      <c r="N36" s="534">
        <f t="shared" si="12"/>
        <v>62300</v>
      </c>
      <c r="O36" s="534">
        <f t="shared" si="12"/>
        <v>62300</v>
      </c>
      <c r="P36" s="534">
        <f t="shared" si="12"/>
        <v>62300</v>
      </c>
      <c r="Q36" s="534">
        <f t="shared" si="12"/>
        <v>62300</v>
      </c>
      <c r="R36" s="534">
        <f t="shared" si="12"/>
        <v>62300</v>
      </c>
    </row>
    <row r="37" spans="2:20" x14ac:dyDescent="0.2">
      <c r="B37" s="808" t="s">
        <v>693</v>
      </c>
      <c r="C37" s="809" t="s">
        <v>694</v>
      </c>
      <c r="D37" s="810">
        <v>4117</v>
      </c>
      <c r="E37" s="413">
        <v>2</v>
      </c>
      <c r="F37" s="533"/>
      <c r="G37" s="534">
        <f t="shared" si="12"/>
        <v>57638</v>
      </c>
      <c r="H37" s="534">
        <f t="shared" si="12"/>
        <v>57638</v>
      </c>
      <c r="I37" s="534">
        <f t="shared" si="12"/>
        <v>57638</v>
      </c>
      <c r="J37" s="534">
        <f t="shared" si="12"/>
        <v>57638</v>
      </c>
      <c r="K37" s="534">
        <f t="shared" si="12"/>
        <v>57638</v>
      </c>
      <c r="L37" s="534">
        <f t="shared" si="12"/>
        <v>57638</v>
      </c>
      <c r="M37" s="534">
        <f t="shared" si="12"/>
        <v>57638</v>
      </c>
      <c r="N37" s="534">
        <f t="shared" si="12"/>
        <v>57638</v>
      </c>
      <c r="O37" s="534">
        <f t="shared" si="12"/>
        <v>57638</v>
      </c>
      <c r="P37" s="534">
        <f t="shared" si="12"/>
        <v>57638</v>
      </c>
      <c r="Q37" s="534">
        <f t="shared" si="12"/>
        <v>57638</v>
      </c>
      <c r="R37" s="534">
        <f t="shared" si="12"/>
        <v>57638</v>
      </c>
    </row>
    <row r="38" spans="2:20" x14ac:dyDescent="0.2">
      <c r="B38" s="808" t="s">
        <v>695</v>
      </c>
      <c r="C38" s="809" t="s">
        <v>696</v>
      </c>
      <c r="D38" s="810">
        <v>19666</v>
      </c>
      <c r="E38" s="413">
        <v>2</v>
      </c>
      <c r="F38" s="533"/>
      <c r="G38" s="534">
        <f>IF(G$15=0,0,G$15/$D$15*$E38*$D38)</f>
        <v>275324</v>
      </c>
      <c r="H38" s="534">
        <f t="shared" si="12"/>
        <v>275324</v>
      </c>
      <c r="I38" s="534">
        <f t="shared" si="12"/>
        <v>275324</v>
      </c>
      <c r="J38" s="534">
        <f t="shared" si="12"/>
        <v>275324</v>
      </c>
      <c r="K38" s="534">
        <f t="shared" si="12"/>
        <v>275324</v>
      </c>
      <c r="L38" s="534">
        <f t="shared" si="12"/>
        <v>275324</v>
      </c>
      <c r="M38" s="534">
        <f t="shared" si="12"/>
        <v>275324</v>
      </c>
      <c r="N38" s="534">
        <f t="shared" si="12"/>
        <v>275324</v>
      </c>
      <c r="O38" s="534">
        <f t="shared" si="12"/>
        <v>275324</v>
      </c>
      <c r="P38" s="534">
        <f t="shared" si="12"/>
        <v>275324</v>
      </c>
      <c r="Q38" s="534">
        <f t="shared" si="12"/>
        <v>275324</v>
      </c>
      <c r="R38" s="534">
        <f t="shared" si="12"/>
        <v>275324</v>
      </c>
    </row>
    <row r="39" spans="2:20" x14ac:dyDescent="0.2">
      <c r="B39" s="808" t="s">
        <v>695</v>
      </c>
      <c r="C39" s="809" t="s">
        <v>697</v>
      </c>
      <c r="D39" s="810">
        <v>6285</v>
      </c>
      <c r="E39" s="413">
        <v>2</v>
      </c>
      <c r="F39" s="533"/>
      <c r="G39" s="534">
        <f t="shared" ref="G39:R44" si="13">IF(G$15=0,0,G$15/$D$15*$E39*$D39)</f>
        <v>87990</v>
      </c>
      <c r="H39" s="534">
        <f t="shared" si="13"/>
        <v>87990</v>
      </c>
      <c r="I39" s="534">
        <f t="shared" si="13"/>
        <v>87990</v>
      </c>
      <c r="J39" s="534">
        <f t="shared" si="13"/>
        <v>87990</v>
      </c>
      <c r="K39" s="534">
        <f t="shared" si="13"/>
        <v>87990</v>
      </c>
      <c r="L39" s="534">
        <f t="shared" si="13"/>
        <v>87990</v>
      </c>
      <c r="M39" s="534">
        <f t="shared" si="13"/>
        <v>87990</v>
      </c>
      <c r="N39" s="534">
        <f t="shared" si="13"/>
        <v>87990</v>
      </c>
      <c r="O39" s="534">
        <f t="shared" si="13"/>
        <v>87990</v>
      </c>
      <c r="P39" s="534">
        <f t="shared" si="13"/>
        <v>87990</v>
      </c>
      <c r="Q39" s="534">
        <f t="shared" si="13"/>
        <v>87990</v>
      </c>
      <c r="R39" s="534">
        <f t="shared" si="13"/>
        <v>87990</v>
      </c>
    </row>
    <row r="40" spans="2:20" x14ac:dyDescent="0.2">
      <c r="B40" s="808" t="s">
        <v>698</v>
      </c>
      <c r="C40" s="809" t="s">
        <v>699</v>
      </c>
      <c r="D40" s="810">
        <v>8450</v>
      </c>
      <c r="E40" s="413">
        <v>6</v>
      </c>
      <c r="F40" s="533"/>
      <c r="G40" s="534">
        <f t="shared" si="13"/>
        <v>354900</v>
      </c>
      <c r="H40" s="534">
        <f t="shared" si="12"/>
        <v>354900</v>
      </c>
      <c r="I40" s="534">
        <f t="shared" si="12"/>
        <v>354900</v>
      </c>
      <c r="J40" s="534">
        <f t="shared" si="12"/>
        <v>354900</v>
      </c>
      <c r="K40" s="534">
        <f t="shared" si="12"/>
        <v>354900</v>
      </c>
      <c r="L40" s="534">
        <f t="shared" si="12"/>
        <v>354900</v>
      </c>
      <c r="M40" s="534">
        <f t="shared" si="12"/>
        <v>354900</v>
      </c>
      <c r="N40" s="534">
        <f t="shared" si="12"/>
        <v>354900</v>
      </c>
      <c r="O40" s="534">
        <f t="shared" si="12"/>
        <v>354900</v>
      </c>
      <c r="P40" s="534">
        <f t="shared" si="12"/>
        <v>354900</v>
      </c>
      <c r="Q40" s="534">
        <f t="shared" si="12"/>
        <v>354900</v>
      </c>
      <c r="R40" s="534">
        <f t="shared" si="12"/>
        <v>354900</v>
      </c>
    </row>
    <row r="41" spans="2:20" ht="15.8" customHeight="1" x14ac:dyDescent="0.2">
      <c r="B41" s="813" t="s">
        <v>700</v>
      </c>
      <c r="C41" s="809" t="s">
        <v>701</v>
      </c>
      <c r="D41" s="810">
        <v>9829</v>
      </c>
      <c r="E41" s="413">
        <v>4</v>
      </c>
      <c r="F41" s="533"/>
      <c r="G41" s="534">
        <f t="shared" si="13"/>
        <v>275212</v>
      </c>
      <c r="H41" s="534">
        <f t="shared" si="12"/>
        <v>275212</v>
      </c>
      <c r="I41" s="534">
        <f t="shared" si="12"/>
        <v>275212</v>
      </c>
      <c r="J41" s="534">
        <f t="shared" si="12"/>
        <v>275212</v>
      </c>
      <c r="K41" s="534">
        <f t="shared" si="12"/>
        <v>275212</v>
      </c>
      <c r="L41" s="534">
        <f t="shared" si="12"/>
        <v>275212</v>
      </c>
      <c r="M41" s="534">
        <f t="shared" si="12"/>
        <v>275212</v>
      </c>
      <c r="N41" s="534">
        <f t="shared" si="12"/>
        <v>275212</v>
      </c>
      <c r="O41" s="534">
        <f t="shared" si="12"/>
        <v>275212</v>
      </c>
      <c r="P41" s="534">
        <f t="shared" si="12"/>
        <v>275212</v>
      </c>
      <c r="Q41" s="534">
        <f t="shared" si="12"/>
        <v>275212</v>
      </c>
      <c r="R41" s="534">
        <f t="shared" si="12"/>
        <v>275212</v>
      </c>
    </row>
    <row r="42" spans="2:20" x14ac:dyDescent="0.2">
      <c r="B42" s="808" t="s">
        <v>702</v>
      </c>
      <c r="C42" s="809" t="s">
        <v>703</v>
      </c>
      <c r="D42" s="810">
        <v>21626</v>
      </c>
      <c r="E42" s="413">
        <v>2</v>
      </c>
      <c r="F42" s="533"/>
      <c r="G42" s="534">
        <f t="shared" si="13"/>
        <v>302764</v>
      </c>
      <c r="H42" s="534">
        <f t="shared" si="12"/>
        <v>302764</v>
      </c>
      <c r="I42" s="534">
        <f t="shared" si="12"/>
        <v>302764</v>
      </c>
      <c r="J42" s="534">
        <f t="shared" si="12"/>
        <v>302764</v>
      </c>
      <c r="K42" s="534">
        <f t="shared" si="12"/>
        <v>302764</v>
      </c>
      <c r="L42" s="534">
        <f t="shared" si="12"/>
        <v>302764</v>
      </c>
      <c r="M42" s="534">
        <f t="shared" si="12"/>
        <v>302764</v>
      </c>
      <c r="N42" s="534">
        <f t="shared" si="12"/>
        <v>302764</v>
      </c>
      <c r="O42" s="534">
        <f t="shared" si="12"/>
        <v>302764</v>
      </c>
      <c r="P42" s="534">
        <f t="shared" si="12"/>
        <v>302764</v>
      </c>
      <c r="Q42" s="534">
        <f t="shared" si="12"/>
        <v>302764</v>
      </c>
      <c r="R42" s="534">
        <f t="shared" si="12"/>
        <v>302764</v>
      </c>
    </row>
    <row r="43" spans="2:20" x14ac:dyDescent="0.2">
      <c r="B43" s="808" t="s">
        <v>704</v>
      </c>
      <c r="C43" s="809" t="s">
        <v>705</v>
      </c>
      <c r="D43" s="810">
        <v>45707</v>
      </c>
      <c r="E43" s="413">
        <v>1</v>
      </c>
      <c r="F43" s="533"/>
      <c r="G43" s="534">
        <f t="shared" si="13"/>
        <v>319949</v>
      </c>
      <c r="H43" s="534">
        <f t="shared" si="12"/>
        <v>319949</v>
      </c>
      <c r="I43" s="534">
        <f t="shared" si="12"/>
        <v>319949</v>
      </c>
      <c r="J43" s="534">
        <f t="shared" si="12"/>
        <v>319949</v>
      </c>
      <c r="K43" s="534">
        <f t="shared" si="12"/>
        <v>319949</v>
      </c>
      <c r="L43" s="534">
        <f t="shared" si="12"/>
        <v>319949</v>
      </c>
      <c r="M43" s="534">
        <f t="shared" si="12"/>
        <v>319949</v>
      </c>
      <c r="N43" s="534">
        <f t="shared" si="12"/>
        <v>319949</v>
      </c>
      <c r="O43" s="534">
        <f t="shared" si="12"/>
        <v>319949</v>
      </c>
      <c r="P43" s="534">
        <f t="shared" si="12"/>
        <v>319949</v>
      </c>
      <c r="Q43" s="534">
        <f t="shared" si="12"/>
        <v>319949</v>
      </c>
      <c r="R43" s="534">
        <f t="shared" si="12"/>
        <v>319949</v>
      </c>
    </row>
    <row r="44" spans="2:20" x14ac:dyDescent="0.2">
      <c r="B44" s="808" t="s">
        <v>706</v>
      </c>
      <c r="C44" s="809" t="s">
        <v>707</v>
      </c>
      <c r="D44" s="810">
        <v>206</v>
      </c>
      <c r="E44" s="413">
        <v>25</v>
      </c>
      <c r="F44" s="533"/>
      <c r="G44" s="534">
        <f t="shared" si="13"/>
        <v>36050</v>
      </c>
      <c r="H44" s="534">
        <f t="shared" si="12"/>
        <v>36050</v>
      </c>
      <c r="I44" s="534">
        <f t="shared" si="12"/>
        <v>36050</v>
      </c>
      <c r="J44" s="534">
        <f t="shared" si="12"/>
        <v>36050</v>
      </c>
      <c r="K44" s="534">
        <f t="shared" si="12"/>
        <v>36050</v>
      </c>
      <c r="L44" s="534">
        <f t="shared" si="12"/>
        <v>36050</v>
      </c>
      <c r="M44" s="534">
        <f t="shared" si="12"/>
        <v>36050</v>
      </c>
      <c r="N44" s="534">
        <f t="shared" si="12"/>
        <v>36050</v>
      </c>
      <c r="O44" s="534">
        <f t="shared" si="12"/>
        <v>36050</v>
      </c>
      <c r="P44" s="534">
        <f t="shared" si="12"/>
        <v>36050</v>
      </c>
      <c r="Q44" s="534">
        <f t="shared" si="12"/>
        <v>36050</v>
      </c>
      <c r="R44" s="534">
        <f t="shared" si="12"/>
        <v>36050</v>
      </c>
      <c r="T44" s="811">
        <f>SUM(R31:R44)</f>
        <v>2140509</v>
      </c>
    </row>
    <row r="45" spans="2:20" x14ac:dyDescent="0.2">
      <c r="B45" s="723" t="s">
        <v>396</v>
      </c>
      <c r="C45" s="537"/>
      <c r="D45" s="812"/>
      <c r="E45" s="481">
        <f>VLOOKUP($B45,$B$14:$C$18,2,FALSE)</f>
        <v>1000</v>
      </c>
      <c r="F45" s="481">
        <f>VLOOKUP($B45,$B$14:$E$18,4,FALSE)</f>
        <v>4</v>
      </c>
      <c r="G45" s="474"/>
      <c r="H45" s="474"/>
      <c r="I45" s="474"/>
      <c r="J45" s="474"/>
      <c r="K45" s="474"/>
      <c r="L45" s="474"/>
      <c r="M45" s="474"/>
      <c r="N45" s="474"/>
      <c r="O45" s="474"/>
      <c r="P45" s="474"/>
      <c r="Q45" s="474"/>
      <c r="R45" s="474"/>
    </row>
    <row r="46" spans="2:20" x14ac:dyDescent="0.2">
      <c r="B46" s="808" t="s">
        <v>681</v>
      </c>
      <c r="C46" s="809" t="s">
        <v>682</v>
      </c>
      <c r="D46" s="810">
        <v>1510</v>
      </c>
      <c r="E46" s="413">
        <v>2</v>
      </c>
      <c r="F46" s="533"/>
      <c r="G46" s="534">
        <f t="shared" ref="G46:R60" si="14">IF(G$16=0,0,G$16/$D$16*$E46*$D46)</f>
        <v>12080</v>
      </c>
      <c r="H46" s="534">
        <f t="shared" si="14"/>
        <v>12080</v>
      </c>
      <c r="I46" s="534">
        <f t="shared" si="14"/>
        <v>12080</v>
      </c>
      <c r="J46" s="534">
        <f t="shared" si="14"/>
        <v>12080</v>
      </c>
      <c r="K46" s="534">
        <f t="shared" si="14"/>
        <v>12080</v>
      </c>
      <c r="L46" s="534">
        <f t="shared" si="14"/>
        <v>12080</v>
      </c>
      <c r="M46" s="534">
        <f t="shared" si="14"/>
        <v>12080</v>
      </c>
      <c r="N46" s="534">
        <f t="shared" si="14"/>
        <v>12080</v>
      </c>
      <c r="O46" s="534">
        <f t="shared" si="14"/>
        <v>12080</v>
      </c>
      <c r="P46" s="534">
        <f t="shared" si="14"/>
        <v>12080</v>
      </c>
      <c r="Q46" s="534">
        <f t="shared" si="14"/>
        <v>12080</v>
      </c>
      <c r="R46" s="534">
        <f t="shared" si="14"/>
        <v>12080</v>
      </c>
    </row>
    <row r="47" spans="2:20" x14ac:dyDescent="0.2">
      <c r="B47" s="808" t="s">
        <v>683</v>
      </c>
      <c r="C47" s="809" t="s">
        <v>684</v>
      </c>
      <c r="D47" s="810">
        <v>3260</v>
      </c>
      <c r="E47" s="413">
        <v>2</v>
      </c>
      <c r="F47" s="533"/>
      <c r="G47" s="534">
        <f t="shared" si="14"/>
        <v>26080</v>
      </c>
      <c r="H47" s="534">
        <f t="shared" si="14"/>
        <v>26080</v>
      </c>
      <c r="I47" s="534">
        <f t="shared" si="14"/>
        <v>26080</v>
      </c>
      <c r="J47" s="534">
        <f t="shared" si="14"/>
        <v>26080</v>
      </c>
      <c r="K47" s="534">
        <f t="shared" si="14"/>
        <v>26080</v>
      </c>
      <c r="L47" s="534">
        <f t="shared" si="14"/>
        <v>26080</v>
      </c>
      <c r="M47" s="534">
        <f t="shared" si="14"/>
        <v>26080</v>
      </c>
      <c r="N47" s="534">
        <f t="shared" si="14"/>
        <v>26080</v>
      </c>
      <c r="O47" s="534">
        <f t="shared" si="14"/>
        <v>26080</v>
      </c>
      <c r="P47" s="534">
        <f t="shared" si="14"/>
        <v>26080</v>
      </c>
      <c r="Q47" s="534">
        <f t="shared" si="14"/>
        <v>26080</v>
      </c>
      <c r="R47" s="534">
        <f t="shared" si="14"/>
        <v>26080</v>
      </c>
    </row>
    <row r="48" spans="2:20" x14ac:dyDescent="0.2">
      <c r="B48" s="808" t="s">
        <v>685</v>
      </c>
      <c r="C48" s="809" t="s">
        <v>686</v>
      </c>
      <c r="D48" s="810">
        <v>3930</v>
      </c>
      <c r="E48" s="413">
        <v>1</v>
      </c>
      <c r="F48" s="533"/>
      <c r="G48" s="534">
        <f t="shared" si="14"/>
        <v>15720</v>
      </c>
      <c r="H48" s="534">
        <f t="shared" si="14"/>
        <v>15720</v>
      </c>
      <c r="I48" s="534">
        <f t="shared" si="14"/>
        <v>15720</v>
      </c>
      <c r="J48" s="534">
        <f t="shared" si="14"/>
        <v>15720</v>
      </c>
      <c r="K48" s="534">
        <f t="shared" si="14"/>
        <v>15720</v>
      </c>
      <c r="L48" s="534">
        <f t="shared" si="14"/>
        <v>15720</v>
      </c>
      <c r="M48" s="534">
        <f t="shared" si="14"/>
        <v>15720</v>
      </c>
      <c r="N48" s="534">
        <f t="shared" si="14"/>
        <v>15720</v>
      </c>
      <c r="O48" s="534">
        <f t="shared" si="14"/>
        <v>15720</v>
      </c>
      <c r="P48" s="534">
        <f t="shared" si="14"/>
        <v>15720</v>
      </c>
      <c r="Q48" s="534">
        <f t="shared" si="14"/>
        <v>15720</v>
      </c>
      <c r="R48" s="534">
        <f t="shared" si="14"/>
        <v>15720</v>
      </c>
    </row>
    <row r="49" spans="2:18" x14ac:dyDescent="0.2">
      <c r="B49" s="808" t="s">
        <v>687</v>
      </c>
      <c r="C49" s="809" t="s">
        <v>688</v>
      </c>
      <c r="D49" s="810">
        <v>670</v>
      </c>
      <c r="E49" s="413">
        <v>55</v>
      </c>
      <c r="F49" s="533"/>
      <c r="G49" s="534">
        <f t="shared" si="14"/>
        <v>147400</v>
      </c>
      <c r="H49" s="534">
        <f t="shared" si="14"/>
        <v>147400</v>
      </c>
      <c r="I49" s="534">
        <f t="shared" si="14"/>
        <v>147400</v>
      </c>
      <c r="J49" s="534">
        <f t="shared" si="14"/>
        <v>147400</v>
      </c>
      <c r="K49" s="534">
        <f t="shared" si="14"/>
        <v>147400</v>
      </c>
      <c r="L49" s="534">
        <f t="shared" si="14"/>
        <v>147400</v>
      </c>
      <c r="M49" s="534">
        <f t="shared" si="14"/>
        <v>147400</v>
      </c>
      <c r="N49" s="534">
        <f t="shared" si="14"/>
        <v>147400</v>
      </c>
      <c r="O49" s="534">
        <f t="shared" si="14"/>
        <v>147400</v>
      </c>
      <c r="P49" s="534">
        <f t="shared" si="14"/>
        <v>147400</v>
      </c>
      <c r="Q49" s="534">
        <f t="shared" si="14"/>
        <v>147400</v>
      </c>
      <c r="R49" s="534">
        <f t="shared" si="14"/>
        <v>147400</v>
      </c>
    </row>
    <row r="50" spans="2:18" x14ac:dyDescent="0.2">
      <c r="B50" s="808" t="s">
        <v>689</v>
      </c>
      <c r="C50" s="809" t="s">
        <v>690</v>
      </c>
      <c r="D50" s="810">
        <v>2306</v>
      </c>
      <c r="E50" s="413">
        <v>1</v>
      </c>
      <c r="F50" s="533"/>
      <c r="G50" s="534">
        <f t="shared" si="14"/>
        <v>9224</v>
      </c>
      <c r="H50" s="534">
        <f t="shared" si="14"/>
        <v>9224</v>
      </c>
      <c r="I50" s="534">
        <f t="shared" si="14"/>
        <v>9224</v>
      </c>
      <c r="J50" s="534">
        <f t="shared" si="14"/>
        <v>9224</v>
      </c>
      <c r="K50" s="534">
        <f t="shared" si="14"/>
        <v>9224</v>
      </c>
      <c r="L50" s="534">
        <f t="shared" si="14"/>
        <v>9224</v>
      </c>
      <c r="M50" s="534">
        <f t="shared" si="14"/>
        <v>9224</v>
      </c>
      <c r="N50" s="534">
        <f t="shared" si="14"/>
        <v>9224</v>
      </c>
      <c r="O50" s="534">
        <f t="shared" si="14"/>
        <v>9224</v>
      </c>
      <c r="P50" s="534">
        <f t="shared" si="14"/>
        <v>9224</v>
      </c>
      <c r="Q50" s="534">
        <f t="shared" si="14"/>
        <v>9224</v>
      </c>
      <c r="R50" s="534">
        <f t="shared" si="14"/>
        <v>9224</v>
      </c>
    </row>
    <row r="51" spans="2:18" x14ac:dyDescent="0.2">
      <c r="B51" s="808" t="s">
        <v>691</v>
      </c>
      <c r="C51" s="809" t="s">
        <v>692</v>
      </c>
      <c r="D51" s="810">
        <v>1780</v>
      </c>
      <c r="E51" s="413">
        <v>5</v>
      </c>
      <c r="F51" s="533"/>
      <c r="G51" s="534">
        <f t="shared" si="14"/>
        <v>35600</v>
      </c>
      <c r="H51" s="534">
        <f t="shared" si="14"/>
        <v>35600</v>
      </c>
      <c r="I51" s="534">
        <f t="shared" si="14"/>
        <v>35600</v>
      </c>
      <c r="J51" s="534">
        <f t="shared" si="14"/>
        <v>35600</v>
      </c>
      <c r="K51" s="534">
        <f t="shared" si="14"/>
        <v>35600</v>
      </c>
      <c r="L51" s="534">
        <f t="shared" si="14"/>
        <v>35600</v>
      </c>
      <c r="M51" s="534">
        <f t="shared" si="14"/>
        <v>35600</v>
      </c>
      <c r="N51" s="534">
        <f t="shared" si="14"/>
        <v>35600</v>
      </c>
      <c r="O51" s="534">
        <f t="shared" si="14"/>
        <v>35600</v>
      </c>
      <c r="P51" s="534">
        <f t="shared" si="14"/>
        <v>35600</v>
      </c>
      <c r="Q51" s="534">
        <f t="shared" si="14"/>
        <v>35600</v>
      </c>
      <c r="R51" s="534">
        <f t="shared" si="14"/>
        <v>35600</v>
      </c>
    </row>
    <row r="52" spans="2:18" x14ac:dyDescent="0.2">
      <c r="B52" s="808" t="s">
        <v>693</v>
      </c>
      <c r="C52" s="809" t="s">
        <v>694</v>
      </c>
      <c r="D52" s="810">
        <v>4117</v>
      </c>
      <c r="E52" s="413">
        <v>2</v>
      </c>
      <c r="F52" s="533"/>
      <c r="G52" s="534">
        <f t="shared" si="14"/>
        <v>32936</v>
      </c>
      <c r="H52" s="534">
        <f t="shared" si="14"/>
        <v>32936</v>
      </c>
      <c r="I52" s="534">
        <f t="shared" si="14"/>
        <v>32936</v>
      </c>
      <c r="J52" s="534">
        <f t="shared" si="14"/>
        <v>32936</v>
      </c>
      <c r="K52" s="534">
        <f t="shared" si="14"/>
        <v>32936</v>
      </c>
      <c r="L52" s="534">
        <f t="shared" si="14"/>
        <v>32936</v>
      </c>
      <c r="M52" s="534">
        <f t="shared" si="14"/>
        <v>32936</v>
      </c>
      <c r="N52" s="534">
        <f t="shared" si="14"/>
        <v>32936</v>
      </c>
      <c r="O52" s="534">
        <f t="shared" si="14"/>
        <v>32936</v>
      </c>
      <c r="P52" s="534">
        <f t="shared" si="14"/>
        <v>32936</v>
      </c>
      <c r="Q52" s="534">
        <f t="shared" si="14"/>
        <v>32936</v>
      </c>
      <c r="R52" s="534">
        <f t="shared" si="14"/>
        <v>32936</v>
      </c>
    </row>
    <row r="53" spans="2:18" x14ac:dyDescent="0.2">
      <c r="B53" s="808" t="s">
        <v>695</v>
      </c>
      <c r="C53" s="809" t="s">
        <v>696</v>
      </c>
      <c r="D53" s="810">
        <v>19666</v>
      </c>
      <c r="E53" s="413">
        <v>2</v>
      </c>
      <c r="F53" s="533"/>
      <c r="G53" s="534">
        <f t="shared" si="14"/>
        <v>157328</v>
      </c>
      <c r="H53" s="534">
        <f t="shared" si="14"/>
        <v>157328</v>
      </c>
      <c r="I53" s="534">
        <f t="shared" si="14"/>
        <v>157328</v>
      </c>
      <c r="J53" s="534">
        <f t="shared" si="14"/>
        <v>157328</v>
      </c>
      <c r="K53" s="534">
        <f t="shared" si="14"/>
        <v>157328</v>
      </c>
      <c r="L53" s="534">
        <f t="shared" si="14"/>
        <v>157328</v>
      </c>
      <c r="M53" s="534">
        <f t="shared" si="14"/>
        <v>157328</v>
      </c>
      <c r="N53" s="534">
        <f t="shared" si="14"/>
        <v>157328</v>
      </c>
      <c r="O53" s="534">
        <f t="shared" si="14"/>
        <v>157328</v>
      </c>
      <c r="P53" s="534">
        <f t="shared" si="14"/>
        <v>157328</v>
      </c>
      <c r="Q53" s="534">
        <f t="shared" si="14"/>
        <v>157328</v>
      </c>
      <c r="R53" s="534">
        <f t="shared" si="14"/>
        <v>157328</v>
      </c>
    </row>
    <row r="54" spans="2:18" x14ac:dyDescent="0.2">
      <c r="B54" s="808" t="s">
        <v>695</v>
      </c>
      <c r="C54" s="809" t="s">
        <v>697</v>
      </c>
      <c r="D54" s="810">
        <v>6285</v>
      </c>
      <c r="E54" s="413">
        <v>2</v>
      </c>
      <c r="F54" s="533"/>
      <c r="G54" s="534">
        <f t="shared" si="14"/>
        <v>50280</v>
      </c>
      <c r="H54" s="534">
        <f t="shared" si="14"/>
        <v>50280</v>
      </c>
      <c r="I54" s="534">
        <f t="shared" si="14"/>
        <v>50280</v>
      </c>
      <c r="J54" s="534">
        <f t="shared" si="14"/>
        <v>50280</v>
      </c>
      <c r="K54" s="534">
        <f t="shared" si="14"/>
        <v>50280</v>
      </c>
      <c r="L54" s="534">
        <f t="shared" si="14"/>
        <v>50280</v>
      </c>
      <c r="M54" s="534">
        <f t="shared" si="14"/>
        <v>50280</v>
      </c>
      <c r="N54" s="534">
        <f t="shared" si="14"/>
        <v>50280</v>
      </c>
      <c r="O54" s="534">
        <f t="shared" si="14"/>
        <v>50280</v>
      </c>
      <c r="P54" s="534">
        <f t="shared" si="14"/>
        <v>50280</v>
      </c>
      <c r="Q54" s="534">
        <f t="shared" si="14"/>
        <v>50280</v>
      </c>
      <c r="R54" s="534">
        <f t="shared" si="14"/>
        <v>50280</v>
      </c>
    </row>
    <row r="55" spans="2:18" x14ac:dyDescent="0.2">
      <c r="B55" s="808" t="s">
        <v>698</v>
      </c>
      <c r="C55" s="809" t="s">
        <v>699</v>
      </c>
      <c r="D55" s="810">
        <v>8450</v>
      </c>
      <c r="E55" s="413">
        <v>6</v>
      </c>
      <c r="F55" s="533"/>
      <c r="G55" s="534">
        <f t="shared" si="14"/>
        <v>202800</v>
      </c>
      <c r="H55" s="534">
        <f t="shared" si="14"/>
        <v>202800</v>
      </c>
      <c r="I55" s="534">
        <f t="shared" si="14"/>
        <v>202800</v>
      </c>
      <c r="J55" s="534">
        <f t="shared" si="14"/>
        <v>202800</v>
      </c>
      <c r="K55" s="534">
        <f t="shared" si="14"/>
        <v>202800</v>
      </c>
      <c r="L55" s="534">
        <f t="shared" si="14"/>
        <v>202800</v>
      </c>
      <c r="M55" s="534">
        <f t="shared" si="14"/>
        <v>202800</v>
      </c>
      <c r="N55" s="534">
        <f t="shared" si="14"/>
        <v>202800</v>
      </c>
      <c r="O55" s="534">
        <f t="shared" si="14"/>
        <v>202800</v>
      </c>
      <c r="P55" s="534">
        <f t="shared" si="14"/>
        <v>202800</v>
      </c>
      <c r="Q55" s="534">
        <f t="shared" si="14"/>
        <v>202800</v>
      </c>
      <c r="R55" s="534">
        <f t="shared" si="14"/>
        <v>202800</v>
      </c>
    </row>
    <row r="56" spans="2:18" x14ac:dyDescent="0.2">
      <c r="B56" s="813" t="s">
        <v>700</v>
      </c>
      <c r="C56" s="809" t="s">
        <v>701</v>
      </c>
      <c r="D56" s="810">
        <v>9829</v>
      </c>
      <c r="E56" s="413">
        <v>4</v>
      </c>
      <c r="F56" s="533"/>
      <c r="G56" s="534">
        <f t="shared" si="14"/>
        <v>157264</v>
      </c>
      <c r="H56" s="534">
        <f t="shared" si="14"/>
        <v>157264</v>
      </c>
      <c r="I56" s="534">
        <f t="shared" si="14"/>
        <v>157264</v>
      </c>
      <c r="J56" s="534">
        <f t="shared" si="14"/>
        <v>157264</v>
      </c>
      <c r="K56" s="534">
        <f t="shared" si="14"/>
        <v>157264</v>
      </c>
      <c r="L56" s="534">
        <f t="shared" si="14"/>
        <v>157264</v>
      </c>
      <c r="M56" s="534">
        <f t="shared" si="14"/>
        <v>157264</v>
      </c>
      <c r="N56" s="534">
        <f t="shared" si="14"/>
        <v>157264</v>
      </c>
      <c r="O56" s="534">
        <f t="shared" si="14"/>
        <v>157264</v>
      </c>
      <c r="P56" s="534">
        <f t="shared" si="14"/>
        <v>157264</v>
      </c>
      <c r="Q56" s="534">
        <f t="shared" si="14"/>
        <v>157264</v>
      </c>
      <c r="R56" s="534">
        <f t="shared" si="14"/>
        <v>157264</v>
      </c>
    </row>
    <row r="57" spans="2:18" x14ac:dyDescent="0.2">
      <c r="B57" s="808" t="s">
        <v>702</v>
      </c>
      <c r="C57" s="809" t="s">
        <v>703</v>
      </c>
      <c r="D57" s="810">
        <v>21626</v>
      </c>
      <c r="E57" s="413">
        <v>2</v>
      </c>
      <c r="F57" s="533"/>
      <c r="G57" s="534">
        <f t="shared" si="14"/>
        <v>173008</v>
      </c>
      <c r="H57" s="534">
        <f t="shared" si="14"/>
        <v>173008</v>
      </c>
      <c r="I57" s="534">
        <f t="shared" si="14"/>
        <v>173008</v>
      </c>
      <c r="J57" s="534">
        <f t="shared" si="14"/>
        <v>173008</v>
      </c>
      <c r="K57" s="534">
        <f t="shared" si="14"/>
        <v>173008</v>
      </c>
      <c r="L57" s="534">
        <f t="shared" si="14"/>
        <v>173008</v>
      </c>
      <c r="M57" s="534">
        <f t="shared" si="14"/>
        <v>173008</v>
      </c>
      <c r="N57" s="534">
        <f t="shared" si="14"/>
        <v>173008</v>
      </c>
      <c r="O57" s="534">
        <f t="shared" si="14"/>
        <v>173008</v>
      </c>
      <c r="P57" s="534">
        <f t="shared" si="14"/>
        <v>173008</v>
      </c>
      <c r="Q57" s="534">
        <f t="shared" si="14"/>
        <v>173008</v>
      </c>
      <c r="R57" s="534">
        <f t="shared" si="14"/>
        <v>173008</v>
      </c>
    </row>
    <row r="58" spans="2:18" x14ac:dyDescent="0.2">
      <c r="B58" s="808" t="s">
        <v>704</v>
      </c>
      <c r="C58" s="809" t="s">
        <v>705</v>
      </c>
      <c r="D58" s="810">
        <v>45707</v>
      </c>
      <c r="E58" s="413">
        <v>1</v>
      </c>
      <c r="F58" s="533"/>
      <c r="G58" s="534">
        <f t="shared" si="14"/>
        <v>182828</v>
      </c>
      <c r="H58" s="534">
        <f t="shared" si="14"/>
        <v>182828</v>
      </c>
      <c r="I58" s="534">
        <f t="shared" si="14"/>
        <v>182828</v>
      </c>
      <c r="J58" s="534">
        <f t="shared" si="14"/>
        <v>182828</v>
      </c>
      <c r="K58" s="534">
        <f t="shared" si="14"/>
        <v>182828</v>
      </c>
      <c r="L58" s="534">
        <f t="shared" si="14"/>
        <v>182828</v>
      </c>
      <c r="M58" s="534">
        <f t="shared" si="14"/>
        <v>182828</v>
      </c>
      <c r="N58" s="534">
        <f t="shared" si="14"/>
        <v>182828</v>
      </c>
      <c r="O58" s="534">
        <f t="shared" si="14"/>
        <v>182828</v>
      </c>
      <c r="P58" s="534">
        <f t="shared" si="14"/>
        <v>182828</v>
      </c>
      <c r="Q58" s="534">
        <f t="shared" si="14"/>
        <v>182828</v>
      </c>
      <c r="R58" s="534">
        <f t="shared" si="14"/>
        <v>182828</v>
      </c>
    </row>
    <row r="59" spans="2:18" x14ac:dyDescent="0.2">
      <c r="B59" s="808" t="s">
        <v>706</v>
      </c>
      <c r="C59" s="809" t="s">
        <v>707</v>
      </c>
      <c r="D59" s="810">
        <v>206</v>
      </c>
      <c r="E59" s="413">
        <v>25</v>
      </c>
      <c r="F59" s="533"/>
      <c r="G59" s="534">
        <f t="shared" si="14"/>
        <v>20600</v>
      </c>
      <c r="H59" s="534">
        <f t="shared" si="14"/>
        <v>20600</v>
      </c>
      <c r="I59" s="534">
        <f t="shared" si="14"/>
        <v>20600</v>
      </c>
      <c r="J59" s="534">
        <f t="shared" si="14"/>
        <v>20600</v>
      </c>
      <c r="K59" s="534">
        <f t="shared" si="14"/>
        <v>20600</v>
      </c>
      <c r="L59" s="534">
        <f t="shared" si="14"/>
        <v>20600</v>
      </c>
      <c r="M59" s="534">
        <f t="shared" si="14"/>
        <v>20600</v>
      </c>
      <c r="N59" s="534">
        <f t="shared" si="14"/>
        <v>20600</v>
      </c>
      <c r="O59" s="534">
        <f t="shared" si="14"/>
        <v>20600</v>
      </c>
      <c r="P59" s="534">
        <f t="shared" si="14"/>
        <v>20600</v>
      </c>
      <c r="Q59" s="534">
        <f t="shared" si="14"/>
        <v>20600</v>
      </c>
      <c r="R59" s="534">
        <f t="shared" si="14"/>
        <v>20600</v>
      </c>
    </row>
    <row r="60" spans="2:18" x14ac:dyDescent="0.2">
      <c r="B60" s="808" t="s">
        <v>708</v>
      </c>
      <c r="C60" s="809" t="s">
        <v>709</v>
      </c>
      <c r="D60" s="810">
        <v>276</v>
      </c>
      <c r="E60" s="413">
        <v>165</v>
      </c>
      <c r="F60" s="533"/>
      <c r="G60" s="534">
        <f>IF(G$16=0,0,G$16/$D$16*$E60*$D60)</f>
        <v>182160</v>
      </c>
      <c r="H60" s="534">
        <f t="shared" si="14"/>
        <v>182160</v>
      </c>
      <c r="I60" s="534">
        <f t="shared" si="14"/>
        <v>182160</v>
      </c>
      <c r="J60" s="534">
        <f t="shared" si="14"/>
        <v>182160</v>
      </c>
      <c r="K60" s="534">
        <f t="shared" si="14"/>
        <v>182160</v>
      </c>
      <c r="L60" s="534">
        <f t="shared" si="14"/>
        <v>182160</v>
      </c>
      <c r="M60" s="534">
        <f t="shared" si="14"/>
        <v>182160</v>
      </c>
      <c r="N60" s="534">
        <f t="shared" si="14"/>
        <v>182160</v>
      </c>
      <c r="O60" s="534">
        <f t="shared" si="14"/>
        <v>182160</v>
      </c>
      <c r="P60" s="534">
        <f t="shared" si="14"/>
        <v>182160</v>
      </c>
      <c r="Q60" s="534">
        <f t="shared" si="14"/>
        <v>182160</v>
      </c>
      <c r="R60" s="534">
        <f t="shared" si="14"/>
        <v>182160</v>
      </c>
    </row>
    <row r="61" spans="2:18" x14ac:dyDescent="0.2">
      <c r="B61" s="808" t="s">
        <v>710</v>
      </c>
      <c r="C61" s="809" t="s">
        <v>707</v>
      </c>
      <c r="D61" s="810">
        <v>206</v>
      </c>
      <c r="E61" s="413">
        <v>7</v>
      </c>
      <c r="F61" s="533"/>
      <c r="G61" s="534">
        <f t="shared" ref="G61:R65" si="15">IF(G$16=0,0,G$16/$D$16*$E61*$D61)</f>
        <v>5768</v>
      </c>
      <c r="H61" s="534">
        <f t="shared" si="15"/>
        <v>5768</v>
      </c>
      <c r="I61" s="534">
        <f t="shared" si="15"/>
        <v>5768</v>
      </c>
      <c r="J61" s="534">
        <f t="shared" si="15"/>
        <v>5768</v>
      </c>
      <c r="K61" s="534">
        <f t="shared" si="15"/>
        <v>5768</v>
      </c>
      <c r="L61" s="534">
        <f t="shared" si="15"/>
        <v>5768</v>
      </c>
      <c r="M61" s="534">
        <f t="shared" si="15"/>
        <v>5768</v>
      </c>
      <c r="N61" s="534">
        <f t="shared" si="15"/>
        <v>5768</v>
      </c>
      <c r="O61" s="534">
        <f t="shared" si="15"/>
        <v>5768</v>
      </c>
      <c r="P61" s="534">
        <f t="shared" si="15"/>
        <v>5768</v>
      </c>
      <c r="Q61" s="534">
        <f t="shared" si="15"/>
        <v>5768</v>
      </c>
      <c r="R61" s="534">
        <f t="shared" si="15"/>
        <v>5768</v>
      </c>
    </row>
    <row r="62" spans="2:18" x14ac:dyDescent="0.2">
      <c r="B62" s="808" t="s">
        <v>711</v>
      </c>
      <c r="C62" s="809" t="s">
        <v>712</v>
      </c>
      <c r="D62" s="810">
        <v>160</v>
      </c>
      <c r="E62" s="413">
        <v>20</v>
      </c>
      <c r="F62" s="533"/>
      <c r="G62" s="534">
        <f t="shared" si="15"/>
        <v>12800</v>
      </c>
      <c r="H62" s="534">
        <f t="shared" si="15"/>
        <v>12800</v>
      </c>
      <c r="I62" s="534">
        <f t="shared" si="15"/>
        <v>12800</v>
      </c>
      <c r="J62" s="534">
        <f t="shared" si="15"/>
        <v>12800</v>
      </c>
      <c r="K62" s="534">
        <f t="shared" si="15"/>
        <v>12800</v>
      </c>
      <c r="L62" s="534">
        <f t="shared" si="15"/>
        <v>12800</v>
      </c>
      <c r="M62" s="534">
        <f t="shared" si="15"/>
        <v>12800</v>
      </c>
      <c r="N62" s="534">
        <f t="shared" si="15"/>
        <v>12800</v>
      </c>
      <c r="O62" s="534">
        <f t="shared" si="15"/>
        <v>12800</v>
      </c>
      <c r="P62" s="534">
        <f t="shared" si="15"/>
        <v>12800</v>
      </c>
      <c r="Q62" s="534">
        <f t="shared" si="15"/>
        <v>12800</v>
      </c>
      <c r="R62" s="534">
        <f t="shared" si="15"/>
        <v>12800</v>
      </c>
    </row>
    <row r="63" spans="2:18" ht="14.3" x14ac:dyDescent="0.2">
      <c r="B63" s="808" t="s">
        <v>713</v>
      </c>
      <c r="C63" s="814" t="s">
        <v>714</v>
      </c>
      <c r="D63" s="810">
        <v>24010</v>
      </c>
      <c r="E63" s="413">
        <v>1</v>
      </c>
      <c r="F63" s="533"/>
      <c r="G63" s="534">
        <f t="shared" si="15"/>
        <v>96040</v>
      </c>
      <c r="H63" s="534">
        <f t="shared" si="15"/>
        <v>96040</v>
      </c>
      <c r="I63" s="534">
        <f t="shared" si="15"/>
        <v>96040</v>
      </c>
      <c r="J63" s="534">
        <f t="shared" si="15"/>
        <v>96040</v>
      </c>
      <c r="K63" s="534">
        <f t="shared" si="15"/>
        <v>96040</v>
      </c>
      <c r="L63" s="534">
        <f t="shared" si="15"/>
        <v>96040</v>
      </c>
      <c r="M63" s="534">
        <f t="shared" si="15"/>
        <v>96040</v>
      </c>
      <c r="N63" s="534">
        <f t="shared" si="15"/>
        <v>96040</v>
      </c>
      <c r="O63" s="534">
        <f t="shared" si="15"/>
        <v>96040</v>
      </c>
      <c r="P63" s="534">
        <f t="shared" si="15"/>
        <v>96040</v>
      </c>
      <c r="Q63" s="534">
        <f t="shared" si="15"/>
        <v>96040</v>
      </c>
      <c r="R63" s="534">
        <f t="shared" si="15"/>
        <v>96040</v>
      </c>
    </row>
    <row r="64" spans="2:18" x14ac:dyDescent="0.2">
      <c r="B64" s="808" t="s">
        <v>715</v>
      </c>
      <c r="C64" s="809" t="s">
        <v>716</v>
      </c>
      <c r="D64" s="810">
        <v>220</v>
      </c>
      <c r="E64" s="413">
        <v>700</v>
      </c>
      <c r="F64" s="533"/>
      <c r="G64" s="534">
        <f t="shared" si="15"/>
        <v>616000</v>
      </c>
      <c r="H64" s="534">
        <f t="shared" si="15"/>
        <v>616000</v>
      </c>
      <c r="I64" s="534">
        <f t="shared" si="15"/>
        <v>616000</v>
      </c>
      <c r="J64" s="534">
        <f t="shared" si="15"/>
        <v>616000</v>
      </c>
      <c r="K64" s="534">
        <f t="shared" si="15"/>
        <v>616000</v>
      </c>
      <c r="L64" s="534">
        <f t="shared" si="15"/>
        <v>616000</v>
      </c>
      <c r="M64" s="534">
        <f t="shared" si="15"/>
        <v>616000</v>
      </c>
      <c r="N64" s="534">
        <f t="shared" si="15"/>
        <v>616000</v>
      </c>
      <c r="O64" s="534">
        <f t="shared" si="15"/>
        <v>616000</v>
      </c>
      <c r="P64" s="534">
        <f t="shared" si="15"/>
        <v>616000</v>
      </c>
      <c r="Q64" s="534">
        <f t="shared" si="15"/>
        <v>616000</v>
      </c>
      <c r="R64" s="534">
        <f t="shared" si="15"/>
        <v>616000</v>
      </c>
    </row>
    <row r="65" spans="2:20" x14ac:dyDescent="0.2">
      <c r="B65" s="808" t="s">
        <v>717</v>
      </c>
      <c r="C65" s="809" t="s">
        <v>712</v>
      </c>
      <c r="D65" s="810">
        <v>160</v>
      </c>
      <c r="E65" s="413">
        <v>5</v>
      </c>
      <c r="F65" s="533"/>
      <c r="G65" s="534">
        <f t="shared" si="15"/>
        <v>3200</v>
      </c>
      <c r="H65" s="534">
        <f t="shared" si="15"/>
        <v>3200</v>
      </c>
      <c r="I65" s="534">
        <f t="shared" si="15"/>
        <v>3200</v>
      </c>
      <c r="J65" s="534">
        <f t="shared" si="15"/>
        <v>3200</v>
      </c>
      <c r="K65" s="534">
        <f t="shared" si="15"/>
        <v>3200</v>
      </c>
      <c r="L65" s="534">
        <f t="shared" si="15"/>
        <v>3200</v>
      </c>
      <c r="M65" s="534">
        <f t="shared" si="15"/>
        <v>3200</v>
      </c>
      <c r="N65" s="534">
        <f t="shared" si="15"/>
        <v>3200</v>
      </c>
      <c r="O65" s="534">
        <f t="shared" si="15"/>
        <v>3200</v>
      </c>
      <c r="P65" s="534">
        <f t="shared" si="15"/>
        <v>3200</v>
      </c>
      <c r="Q65" s="534">
        <f t="shared" si="15"/>
        <v>3200</v>
      </c>
      <c r="R65" s="534">
        <f t="shared" si="15"/>
        <v>3200</v>
      </c>
      <c r="T65" s="811">
        <f>SUM(R46:R65)</f>
        <v>2139116</v>
      </c>
    </row>
    <row r="66" spans="2:20" x14ac:dyDescent="0.2">
      <c r="B66" s="723" t="s">
        <v>397</v>
      </c>
      <c r="C66" s="537"/>
      <c r="D66" s="812"/>
      <c r="E66" s="481">
        <f>VLOOKUP($B66,$B$14:$C$18,2,FALSE)</f>
        <v>3000</v>
      </c>
      <c r="F66" s="481">
        <f>VLOOKUP($B66,$B$14:$E$18,4,FALSE)</f>
        <v>2</v>
      </c>
      <c r="G66" s="474"/>
      <c r="H66" s="474"/>
      <c r="I66" s="474"/>
      <c r="J66" s="474"/>
      <c r="K66" s="474"/>
      <c r="L66" s="474"/>
      <c r="M66" s="474"/>
      <c r="N66" s="474"/>
      <c r="O66" s="474"/>
      <c r="P66" s="474"/>
      <c r="Q66" s="474"/>
      <c r="R66" s="474"/>
    </row>
    <row r="67" spans="2:20" x14ac:dyDescent="0.2">
      <c r="B67" s="808" t="s">
        <v>681</v>
      </c>
      <c r="C67" s="809" t="s">
        <v>682</v>
      </c>
      <c r="D67" s="810">
        <v>1510</v>
      </c>
      <c r="E67" s="413">
        <v>2</v>
      </c>
      <c r="F67" s="533"/>
      <c r="G67" s="534">
        <f t="shared" ref="G67:R86" si="16">IF(G$17=0,0,G$17/$D$17*$E67*$D67)</f>
        <v>6040</v>
      </c>
      <c r="H67" s="534">
        <f t="shared" si="16"/>
        <v>6040</v>
      </c>
      <c r="I67" s="534">
        <f t="shared" si="16"/>
        <v>6040</v>
      </c>
      <c r="J67" s="534">
        <f t="shared" si="16"/>
        <v>6040</v>
      </c>
      <c r="K67" s="534">
        <f t="shared" si="16"/>
        <v>6040</v>
      </c>
      <c r="L67" s="534">
        <f t="shared" si="16"/>
        <v>6040</v>
      </c>
      <c r="M67" s="534">
        <f t="shared" si="16"/>
        <v>6040</v>
      </c>
      <c r="N67" s="534">
        <f t="shared" si="16"/>
        <v>6040</v>
      </c>
      <c r="O67" s="534">
        <f t="shared" si="16"/>
        <v>6040</v>
      </c>
      <c r="P67" s="534">
        <f t="shared" si="16"/>
        <v>6040</v>
      </c>
      <c r="Q67" s="534">
        <f t="shared" si="16"/>
        <v>6040</v>
      </c>
      <c r="R67" s="534">
        <f t="shared" si="16"/>
        <v>6040</v>
      </c>
    </row>
    <row r="68" spans="2:20" x14ac:dyDescent="0.2">
      <c r="B68" s="808" t="s">
        <v>683</v>
      </c>
      <c r="C68" s="809" t="s">
        <v>684</v>
      </c>
      <c r="D68" s="810">
        <v>3260</v>
      </c>
      <c r="E68" s="413">
        <v>2</v>
      </c>
      <c r="F68" s="533"/>
      <c r="G68" s="534">
        <f t="shared" si="16"/>
        <v>13040</v>
      </c>
      <c r="H68" s="534">
        <f t="shared" si="16"/>
        <v>13040</v>
      </c>
      <c r="I68" s="534">
        <f t="shared" si="16"/>
        <v>13040</v>
      </c>
      <c r="J68" s="534">
        <f t="shared" si="16"/>
        <v>13040</v>
      </c>
      <c r="K68" s="534">
        <f t="shared" si="16"/>
        <v>13040</v>
      </c>
      <c r="L68" s="534">
        <f t="shared" si="16"/>
        <v>13040</v>
      </c>
      <c r="M68" s="534">
        <f t="shared" si="16"/>
        <v>13040</v>
      </c>
      <c r="N68" s="534">
        <f t="shared" si="16"/>
        <v>13040</v>
      </c>
      <c r="O68" s="534">
        <f t="shared" si="16"/>
        <v>13040</v>
      </c>
      <c r="P68" s="534">
        <f t="shared" si="16"/>
        <v>13040</v>
      </c>
      <c r="Q68" s="534">
        <f t="shared" si="16"/>
        <v>13040</v>
      </c>
      <c r="R68" s="534">
        <f t="shared" si="16"/>
        <v>13040</v>
      </c>
    </row>
    <row r="69" spans="2:20" x14ac:dyDescent="0.2">
      <c r="B69" s="808" t="s">
        <v>685</v>
      </c>
      <c r="C69" s="809" t="s">
        <v>686</v>
      </c>
      <c r="D69" s="810">
        <v>3930</v>
      </c>
      <c r="E69" s="413">
        <v>1</v>
      </c>
      <c r="F69" s="533"/>
      <c r="G69" s="534">
        <f t="shared" si="16"/>
        <v>7860</v>
      </c>
      <c r="H69" s="534">
        <f t="shared" si="16"/>
        <v>7860</v>
      </c>
      <c r="I69" s="534">
        <f t="shared" si="16"/>
        <v>7860</v>
      </c>
      <c r="J69" s="534">
        <f t="shared" si="16"/>
        <v>7860</v>
      </c>
      <c r="K69" s="534">
        <f t="shared" si="16"/>
        <v>7860</v>
      </c>
      <c r="L69" s="534">
        <f t="shared" si="16"/>
        <v>7860</v>
      </c>
      <c r="M69" s="534">
        <f t="shared" si="16"/>
        <v>7860</v>
      </c>
      <c r="N69" s="534">
        <f t="shared" si="16"/>
        <v>7860</v>
      </c>
      <c r="O69" s="534">
        <f t="shared" si="16"/>
        <v>7860</v>
      </c>
      <c r="P69" s="534">
        <f t="shared" si="16"/>
        <v>7860</v>
      </c>
      <c r="Q69" s="534">
        <f t="shared" si="16"/>
        <v>7860</v>
      </c>
      <c r="R69" s="534">
        <f t="shared" si="16"/>
        <v>7860</v>
      </c>
    </row>
    <row r="70" spans="2:20" x14ac:dyDescent="0.2">
      <c r="B70" s="808" t="s">
        <v>687</v>
      </c>
      <c r="C70" s="809" t="s">
        <v>688</v>
      </c>
      <c r="D70" s="810">
        <v>670</v>
      </c>
      <c r="E70" s="413">
        <v>55</v>
      </c>
      <c r="F70" s="533"/>
      <c r="G70" s="534">
        <f t="shared" si="16"/>
        <v>73700</v>
      </c>
      <c r="H70" s="534">
        <f t="shared" si="16"/>
        <v>73700</v>
      </c>
      <c r="I70" s="534">
        <f t="shared" si="16"/>
        <v>73700</v>
      </c>
      <c r="J70" s="534">
        <f t="shared" si="16"/>
        <v>73700</v>
      </c>
      <c r="K70" s="534">
        <f t="shared" si="16"/>
        <v>73700</v>
      </c>
      <c r="L70" s="534">
        <f t="shared" si="16"/>
        <v>73700</v>
      </c>
      <c r="M70" s="534">
        <f t="shared" si="16"/>
        <v>73700</v>
      </c>
      <c r="N70" s="534">
        <f t="shared" si="16"/>
        <v>73700</v>
      </c>
      <c r="O70" s="534">
        <f t="shared" si="16"/>
        <v>73700</v>
      </c>
      <c r="P70" s="534">
        <f t="shared" si="16"/>
        <v>73700</v>
      </c>
      <c r="Q70" s="534">
        <f t="shared" si="16"/>
        <v>73700</v>
      </c>
      <c r="R70" s="534">
        <f t="shared" si="16"/>
        <v>73700</v>
      </c>
    </row>
    <row r="71" spans="2:20" x14ac:dyDescent="0.2">
      <c r="B71" s="808" t="s">
        <v>689</v>
      </c>
      <c r="C71" s="809" t="s">
        <v>690</v>
      </c>
      <c r="D71" s="810">
        <v>2306</v>
      </c>
      <c r="E71" s="413">
        <v>1</v>
      </c>
      <c r="F71" s="533"/>
      <c r="G71" s="534">
        <f t="shared" si="16"/>
        <v>4612</v>
      </c>
      <c r="H71" s="534">
        <f t="shared" si="16"/>
        <v>4612</v>
      </c>
      <c r="I71" s="534">
        <f t="shared" si="16"/>
        <v>4612</v>
      </c>
      <c r="J71" s="534">
        <f t="shared" si="16"/>
        <v>4612</v>
      </c>
      <c r="K71" s="534">
        <f t="shared" si="16"/>
        <v>4612</v>
      </c>
      <c r="L71" s="534">
        <f t="shared" si="16"/>
        <v>4612</v>
      </c>
      <c r="M71" s="534">
        <f t="shared" si="16"/>
        <v>4612</v>
      </c>
      <c r="N71" s="534">
        <f t="shared" si="16"/>
        <v>4612</v>
      </c>
      <c r="O71" s="534">
        <f t="shared" si="16"/>
        <v>4612</v>
      </c>
      <c r="P71" s="534">
        <f t="shared" si="16"/>
        <v>4612</v>
      </c>
      <c r="Q71" s="534">
        <f t="shared" si="16"/>
        <v>4612</v>
      </c>
      <c r="R71" s="534">
        <f t="shared" si="16"/>
        <v>4612</v>
      </c>
    </row>
    <row r="72" spans="2:20" x14ac:dyDescent="0.2">
      <c r="B72" s="808" t="s">
        <v>691</v>
      </c>
      <c r="C72" s="809" t="s">
        <v>692</v>
      </c>
      <c r="D72" s="810">
        <v>1780</v>
      </c>
      <c r="E72" s="413">
        <v>5</v>
      </c>
      <c r="F72" s="533"/>
      <c r="G72" s="534">
        <f t="shared" si="16"/>
        <v>17800</v>
      </c>
      <c r="H72" s="534">
        <f t="shared" si="16"/>
        <v>17800</v>
      </c>
      <c r="I72" s="534">
        <f t="shared" si="16"/>
        <v>17800</v>
      </c>
      <c r="J72" s="534">
        <f t="shared" si="16"/>
        <v>17800</v>
      </c>
      <c r="K72" s="534">
        <f t="shared" si="16"/>
        <v>17800</v>
      </c>
      <c r="L72" s="534">
        <f t="shared" si="16"/>
        <v>17800</v>
      </c>
      <c r="M72" s="534">
        <f t="shared" si="16"/>
        <v>17800</v>
      </c>
      <c r="N72" s="534">
        <f t="shared" si="16"/>
        <v>17800</v>
      </c>
      <c r="O72" s="534">
        <f t="shared" si="16"/>
        <v>17800</v>
      </c>
      <c r="P72" s="534">
        <f t="shared" si="16"/>
        <v>17800</v>
      </c>
      <c r="Q72" s="534">
        <f t="shared" si="16"/>
        <v>17800</v>
      </c>
      <c r="R72" s="534">
        <f t="shared" si="16"/>
        <v>17800</v>
      </c>
    </row>
    <row r="73" spans="2:20" x14ac:dyDescent="0.2">
      <c r="B73" s="808" t="s">
        <v>693</v>
      </c>
      <c r="C73" s="809" t="s">
        <v>694</v>
      </c>
      <c r="D73" s="810">
        <v>4117</v>
      </c>
      <c r="E73" s="413">
        <v>2</v>
      </c>
      <c r="F73" s="533"/>
      <c r="G73" s="534">
        <f t="shared" si="16"/>
        <v>16468</v>
      </c>
      <c r="H73" s="534">
        <f t="shared" si="16"/>
        <v>16468</v>
      </c>
      <c r="I73" s="534">
        <f t="shared" si="16"/>
        <v>16468</v>
      </c>
      <c r="J73" s="534">
        <f t="shared" si="16"/>
        <v>16468</v>
      </c>
      <c r="K73" s="534">
        <f t="shared" si="16"/>
        <v>16468</v>
      </c>
      <c r="L73" s="534">
        <f t="shared" si="16"/>
        <v>16468</v>
      </c>
      <c r="M73" s="534">
        <f t="shared" si="16"/>
        <v>16468</v>
      </c>
      <c r="N73" s="534">
        <f t="shared" si="16"/>
        <v>16468</v>
      </c>
      <c r="O73" s="534">
        <f t="shared" si="16"/>
        <v>16468</v>
      </c>
      <c r="P73" s="534">
        <f t="shared" si="16"/>
        <v>16468</v>
      </c>
      <c r="Q73" s="534">
        <f t="shared" si="16"/>
        <v>16468</v>
      </c>
      <c r="R73" s="534">
        <f t="shared" si="16"/>
        <v>16468</v>
      </c>
    </row>
    <row r="74" spans="2:20" x14ac:dyDescent="0.2">
      <c r="B74" s="808" t="s">
        <v>695</v>
      </c>
      <c r="C74" s="809" t="s">
        <v>696</v>
      </c>
      <c r="D74" s="810">
        <v>19666</v>
      </c>
      <c r="E74" s="413">
        <v>2</v>
      </c>
      <c r="F74" s="533"/>
      <c r="G74" s="534">
        <f t="shared" si="16"/>
        <v>78664</v>
      </c>
      <c r="H74" s="534">
        <f t="shared" si="16"/>
        <v>78664</v>
      </c>
      <c r="I74" s="534">
        <f t="shared" si="16"/>
        <v>78664</v>
      </c>
      <c r="J74" s="534">
        <f t="shared" si="16"/>
        <v>78664</v>
      </c>
      <c r="K74" s="534">
        <f t="shared" si="16"/>
        <v>78664</v>
      </c>
      <c r="L74" s="534">
        <f t="shared" si="16"/>
        <v>78664</v>
      </c>
      <c r="M74" s="534">
        <f t="shared" si="16"/>
        <v>78664</v>
      </c>
      <c r="N74" s="534">
        <f t="shared" si="16"/>
        <v>78664</v>
      </c>
      <c r="O74" s="534">
        <f t="shared" si="16"/>
        <v>78664</v>
      </c>
      <c r="P74" s="534">
        <f t="shared" si="16"/>
        <v>78664</v>
      </c>
      <c r="Q74" s="534">
        <f t="shared" si="16"/>
        <v>78664</v>
      </c>
      <c r="R74" s="534">
        <f t="shared" si="16"/>
        <v>78664</v>
      </c>
    </row>
    <row r="75" spans="2:20" x14ac:dyDescent="0.2">
      <c r="B75" s="808" t="s">
        <v>695</v>
      </c>
      <c r="C75" s="809" t="s">
        <v>697</v>
      </c>
      <c r="D75" s="810">
        <v>6285</v>
      </c>
      <c r="E75" s="413">
        <v>2</v>
      </c>
      <c r="F75" s="533"/>
      <c r="G75" s="534">
        <f t="shared" si="16"/>
        <v>25140</v>
      </c>
      <c r="H75" s="534">
        <f t="shared" si="16"/>
        <v>25140</v>
      </c>
      <c r="I75" s="534">
        <f t="shared" si="16"/>
        <v>25140</v>
      </c>
      <c r="J75" s="534">
        <f t="shared" si="16"/>
        <v>25140</v>
      </c>
      <c r="K75" s="534">
        <f t="shared" si="16"/>
        <v>25140</v>
      </c>
      <c r="L75" s="534">
        <f t="shared" si="16"/>
        <v>25140</v>
      </c>
      <c r="M75" s="534">
        <f t="shared" si="16"/>
        <v>25140</v>
      </c>
      <c r="N75" s="534">
        <f t="shared" si="16"/>
        <v>25140</v>
      </c>
      <c r="O75" s="534">
        <f t="shared" si="16"/>
        <v>25140</v>
      </c>
      <c r="P75" s="534">
        <f t="shared" si="16"/>
        <v>25140</v>
      </c>
      <c r="Q75" s="534">
        <f t="shared" si="16"/>
        <v>25140</v>
      </c>
      <c r="R75" s="534">
        <f t="shared" si="16"/>
        <v>25140</v>
      </c>
    </row>
    <row r="76" spans="2:20" x14ac:dyDescent="0.2">
      <c r="B76" s="808" t="s">
        <v>698</v>
      </c>
      <c r="C76" s="809" t="s">
        <v>699</v>
      </c>
      <c r="D76" s="810">
        <v>8450</v>
      </c>
      <c r="E76" s="413">
        <v>6</v>
      </c>
      <c r="F76" s="533"/>
      <c r="G76" s="534">
        <f t="shared" si="16"/>
        <v>101400</v>
      </c>
      <c r="H76" s="534">
        <f t="shared" si="16"/>
        <v>101400</v>
      </c>
      <c r="I76" s="534">
        <f t="shared" si="16"/>
        <v>101400</v>
      </c>
      <c r="J76" s="534">
        <f t="shared" si="16"/>
        <v>101400</v>
      </c>
      <c r="K76" s="534">
        <f t="shared" si="16"/>
        <v>101400</v>
      </c>
      <c r="L76" s="534">
        <f t="shared" si="16"/>
        <v>101400</v>
      </c>
      <c r="M76" s="534">
        <f t="shared" si="16"/>
        <v>101400</v>
      </c>
      <c r="N76" s="534">
        <f t="shared" si="16"/>
        <v>101400</v>
      </c>
      <c r="O76" s="534">
        <f t="shared" si="16"/>
        <v>101400</v>
      </c>
      <c r="P76" s="534">
        <f t="shared" si="16"/>
        <v>101400</v>
      </c>
      <c r="Q76" s="534">
        <f t="shared" si="16"/>
        <v>101400</v>
      </c>
      <c r="R76" s="534">
        <f t="shared" si="16"/>
        <v>101400</v>
      </c>
    </row>
    <row r="77" spans="2:20" x14ac:dyDescent="0.2">
      <c r="B77" s="813" t="s">
        <v>700</v>
      </c>
      <c r="C77" s="809" t="s">
        <v>701</v>
      </c>
      <c r="D77" s="810">
        <v>9829</v>
      </c>
      <c r="E77" s="413">
        <v>4</v>
      </c>
      <c r="F77" s="533"/>
      <c r="G77" s="534">
        <f t="shared" si="16"/>
        <v>78632</v>
      </c>
      <c r="H77" s="534">
        <f t="shared" si="16"/>
        <v>78632</v>
      </c>
      <c r="I77" s="534">
        <f t="shared" si="16"/>
        <v>78632</v>
      </c>
      <c r="J77" s="534">
        <f t="shared" si="16"/>
        <v>78632</v>
      </c>
      <c r="K77" s="534">
        <f t="shared" si="16"/>
        <v>78632</v>
      </c>
      <c r="L77" s="534">
        <f t="shared" si="16"/>
        <v>78632</v>
      </c>
      <c r="M77" s="534">
        <f t="shared" si="16"/>
        <v>78632</v>
      </c>
      <c r="N77" s="534">
        <f t="shared" si="16"/>
        <v>78632</v>
      </c>
      <c r="O77" s="534">
        <f t="shared" si="16"/>
        <v>78632</v>
      </c>
      <c r="P77" s="534">
        <f t="shared" si="16"/>
        <v>78632</v>
      </c>
      <c r="Q77" s="534">
        <f t="shared" si="16"/>
        <v>78632</v>
      </c>
      <c r="R77" s="534">
        <f t="shared" si="16"/>
        <v>78632</v>
      </c>
    </row>
    <row r="78" spans="2:20" x14ac:dyDescent="0.2">
      <c r="B78" s="808" t="s">
        <v>702</v>
      </c>
      <c r="C78" s="809" t="s">
        <v>703</v>
      </c>
      <c r="D78" s="810">
        <v>21626</v>
      </c>
      <c r="E78" s="413">
        <v>2</v>
      </c>
      <c r="F78" s="533"/>
      <c r="G78" s="534">
        <f t="shared" si="16"/>
        <v>86504</v>
      </c>
      <c r="H78" s="534">
        <f t="shared" si="16"/>
        <v>86504</v>
      </c>
      <c r="I78" s="534">
        <f t="shared" si="16"/>
        <v>86504</v>
      </c>
      <c r="J78" s="534">
        <f t="shared" si="16"/>
        <v>86504</v>
      </c>
      <c r="K78" s="534">
        <f t="shared" si="16"/>
        <v>86504</v>
      </c>
      <c r="L78" s="534">
        <f t="shared" si="16"/>
        <v>86504</v>
      </c>
      <c r="M78" s="534">
        <f t="shared" si="16"/>
        <v>86504</v>
      </c>
      <c r="N78" s="534">
        <f t="shared" si="16"/>
        <v>86504</v>
      </c>
      <c r="O78" s="534">
        <f t="shared" si="16"/>
        <v>86504</v>
      </c>
      <c r="P78" s="534">
        <f t="shared" si="16"/>
        <v>86504</v>
      </c>
      <c r="Q78" s="534">
        <f t="shared" si="16"/>
        <v>86504</v>
      </c>
      <c r="R78" s="534">
        <f t="shared" si="16"/>
        <v>86504</v>
      </c>
    </row>
    <row r="79" spans="2:20" x14ac:dyDescent="0.2">
      <c r="B79" s="808" t="s">
        <v>704</v>
      </c>
      <c r="C79" s="809" t="s">
        <v>705</v>
      </c>
      <c r="D79" s="810">
        <v>45707</v>
      </c>
      <c r="E79" s="413">
        <v>1</v>
      </c>
      <c r="F79" s="533"/>
      <c r="G79" s="534">
        <f t="shared" si="16"/>
        <v>91414</v>
      </c>
      <c r="H79" s="534">
        <f t="shared" si="16"/>
        <v>91414</v>
      </c>
      <c r="I79" s="534">
        <f t="shared" si="16"/>
        <v>91414</v>
      </c>
      <c r="J79" s="534">
        <f t="shared" si="16"/>
        <v>91414</v>
      </c>
      <c r="K79" s="534">
        <f t="shared" si="16"/>
        <v>91414</v>
      </c>
      <c r="L79" s="534">
        <f t="shared" si="16"/>
        <v>91414</v>
      </c>
      <c r="M79" s="534">
        <f t="shared" si="16"/>
        <v>91414</v>
      </c>
      <c r="N79" s="534">
        <f t="shared" si="16"/>
        <v>91414</v>
      </c>
      <c r="O79" s="534">
        <f t="shared" si="16"/>
        <v>91414</v>
      </c>
      <c r="P79" s="534">
        <f t="shared" si="16"/>
        <v>91414</v>
      </c>
      <c r="Q79" s="534">
        <f t="shared" si="16"/>
        <v>91414</v>
      </c>
      <c r="R79" s="534">
        <f t="shared" si="16"/>
        <v>91414</v>
      </c>
    </row>
    <row r="80" spans="2:20" x14ac:dyDescent="0.2">
      <c r="B80" s="808" t="s">
        <v>706</v>
      </c>
      <c r="C80" s="809" t="s">
        <v>707</v>
      </c>
      <c r="D80" s="810">
        <v>206</v>
      </c>
      <c r="E80" s="413">
        <v>25</v>
      </c>
      <c r="F80" s="533"/>
      <c r="G80" s="534">
        <f t="shared" si="16"/>
        <v>10300</v>
      </c>
      <c r="H80" s="534">
        <f t="shared" si="16"/>
        <v>10300</v>
      </c>
      <c r="I80" s="534">
        <f t="shared" si="16"/>
        <v>10300</v>
      </c>
      <c r="J80" s="534">
        <f t="shared" si="16"/>
        <v>10300</v>
      </c>
      <c r="K80" s="534">
        <f t="shared" si="16"/>
        <v>10300</v>
      </c>
      <c r="L80" s="534">
        <f t="shared" si="16"/>
        <v>10300</v>
      </c>
      <c r="M80" s="534">
        <f t="shared" si="16"/>
        <v>10300</v>
      </c>
      <c r="N80" s="534">
        <f t="shared" si="16"/>
        <v>10300</v>
      </c>
      <c r="O80" s="534">
        <f t="shared" si="16"/>
        <v>10300</v>
      </c>
      <c r="P80" s="534">
        <f t="shared" si="16"/>
        <v>10300</v>
      </c>
      <c r="Q80" s="534">
        <f t="shared" si="16"/>
        <v>10300</v>
      </c>
      <c r="R80" s="534">
        <f t="shared" si="16"/>
        <v>10300</v>
      </c>
    </row>
    <row r="81" spans="2:20" x14ac:dyDescent="0.2">
      <c r="B81" s="808" t="s">
        <v>708</v>
      </c>
      <c r="C81" s="809" t="s">
        <v>709</v>
      </c>
      <c r="D81" s="810">
        <v>276</v>
      </c>
      <c r="E81" s="413">
        <v>165</v>
      </c>
      <c r="F81" s="533"/>
      <c r="G81" s="534">
        <f t="shared" si="16"/>
        <v>91080</v>
      </c>
      <c r="H81" s="534">
        <f t="shared" si="16"/>
        <v>91080</v>
      </c>
      <c r="I81" s="534">
        <f t="shared" si="16"/>
        <v>91080</v>
      </c>
      <c r="J81" s="534">
        <f t="shared" si="16"/>
        <v>91080</v>
      </c>
      <c r="K81" s="534">
        <f t="shared" si="16"/>
        <v>91080</v>
      </c>
      <c r="L81" s="534">
        <f t="shared" si="16"/>
        <v>91080</v>
      </c>
      <c r="M81" s="534">
        <f t="shared" si="16"/>
        <v>91080</v>
      </c>
      <c r="N81" s="534">
        <f t="shared" si="16"/>
        <v>91080</v>
      </c>
      <c r="O81" s="534">
        <f t="shared" si="16"/>
        <v>91080</v>
      </c>
      <c r="P81" s="534">
        <f t="shared" si="16"/>
        <v>91080</v>
      </c>
      <c r="Q81" s="534">
        <f t="shared" si="16"/>
        <v>91080</v>
      </c>
      <c r="R81" s="534">
        <f t="shared" si="16"/>
        <v>91080</v>
      </c>
    </row>
    <row r="82" spans="2:20" x14ac:dyDescent="0.2">
      <c r="B82" s="808" t="s">
        <v>710</v>
      </c>
      <c r="C82" s="809" t="s">
        <v>707</v>
      </c>
      <c r="D82" s="810">
        <v>206</v>
      </c>
      <c r="E82" s="413">
        <v>7</v>
      </c>
      <c r="F82" s="533"/>
      <c r="G82" s="534">
        <f t="shared" si="16"/>
        <v>2884</v>
      </c>
      <c r="H82" s="534">
        <f t="shared" si="16"/>
        <v>2884</v>
      </c>
      <c r="I82" s="534">
        <f t="shared" si="16"/>
        <v>2884</v>
      </c>
      <c r="J82" s="534">
        <f t="shared" si="16"/>
        <v>2884</v>
      </c>
      <c r="K82" s="534">
        <f t="shared" si="16"/>
        <v>2884</v>
      </c>
      <c r="L82" s="534">
        <f t="shared" si="16"/>
        <v>2884</v>
      </c>
      <c r="M82" s="534">
        <f t="shared" si="16"/>
        <v>2884</v>
      </c>
      <c r="N82" s="534">
        <f t="shared" si="16"/>
        <v>2884</v>
      </c>
      <c r="O82" s="534">
        <f t="shared" si="16"/>
        <v>2884</v>
      </c>
      <c r="P82" s="534">
        <f t="shared" si="16"/>
        <v>2884</v>
      </c>
      <c r="Q82" s="534">
        <f t="shared" si="16"/>
        <v>2884</v>
      </c>
      <c r="R82" s="534">
        <f t="shared" si="16"/>
        <v>2884</v>
      </c>
    </row>
    <row r="83" spans="2:20" x14ac:dyDescent="0.2">
      <c r="B83" s="808" t="s">
        <v>711</v>
      </c>
      <c r="C83" s="809" t="s">
        <v>712</v>
      </c>
      <c r="D83" s="810">
        <v>160</v>
      </c>
      <c r="E83" s="413">
        <v>20</v>
      </c>
      <c r="F83" s="533"/>
      <c r="G83" s="534">
        <f t="shared" si="16"/>
        <v>6400</v>
      </c>
      <c r="H83" s="534">
        <f t="shared" si="16"/>
        <v>6400</v>
      </c>
      <c r="I83" s="534">
        <f t="shared" si="16"/>
        <v>6400</v>
      </c>
      <c r="J83" s="534">
        <f t="shared" si="16"/>
        <v>6400</v>
      </c>
      <c r="K83" s="534">
        <f t="shared" si="16"/>
        <v>6400</v>
      </c>
      <c r="L83" s="534">
        <f t="shared" si="16"/>
        <v>6400</v>
      </c>
      <c r="M83" s="534">
        <f t="shared" si="16"/>
        <v>6400</v>
      </c>
      <c r="N83" s="534">
        <f t="shared" si="16"/>
        <v>6400</v>
      </c>
      <c r="O83" s="534">
        <f t="shared" si="16"/>
        <v>6400</v>
      </c>
      <c r="P83" s="534">
        <f t="shared" si="16"/>
        <v>6400</v>
      </c>
      <c r="Q83" s="534">
        <f t="shared" si="16"/>
        <v>6400</v>
      </c>
      <c r="R83" s="534">
        <f t="shared" si="16"/>
        <v>6400</v>
      </c>
    </row>
    <row r="84" spans="2:20" ht="14.3" x14ac:dyDescent="0.2">
      <c r="B84" s="808" t="s">
        <v>713</v>
      </c>
      <c r="C84" s="814" t="s">
        <v>714</v>
      </c>
      <c r="D84" s="810">
        <v>24010</v>
      </c>
      <c r="E84" s="413">
        <v>1</v>
      </c>
      <c r="F84" s="533"/>
      <c r="G84" s="534">
        <f t="shared" si="16"/>
        <v>48020</v>
      </c>
      <c r="H84" s="534">
        <f t="shared" si="16"/>
        <v>48020</v>
      </c>
      <c r="I84" s="534">
        <f t="shared" si="16"/>
        <v>48020</v>
      </c>
      <c r="J84" s="534">
        <f t="shared" si="16"/>
        <v>48020</v>
      </c>
      <c r="K84" s="534">
        <f t="shared" si="16"/>
        <v>48020</v>
      </c>
      <c r="L84" s="534">
        <f t="shared" si="16"/>
        <v>48020</v>
      </c>
      <c r="M84" s="534">
        <f t="shared" si="16"/>
        <v>48020</v>
      </c>
      <c r="N84" s="534">
        <f t="shared" si="16"/>
        <v>48020</v>
      </c>
      <c r="O84" s="534">
        <f t="shared" si="16"/>
        <v>48020</v>
      </c>
      <c r="P84" s="534">
        <f t="shared" si="16"/>
        <v>48020</v>
      </c>
      <c r="Q84" s="534">
        <f t="shared" si="16"/>
        <v>48020</v>
      </c>
      <c r="R84" s="534">
        <f t="shared" si="16"/>
        <v>48020</v>
      </c>
    </row>
    <row r="85" spans="2:20" x14ac:dyDescent="0.2">
      <c r="B85" s="808" t="s">
        <v>715</v>
      </c>
      <c r="C85" s="809" t="s">
        <v>716</v>
      </c>
      <c r="D85" s="810">
        <v>220</v>
      </c>
      <c r="E85" s="413">
        <v>700</v>
      </c>
      <c r="F85" s="533"/>
      <c r="G85" s="534">
        <f t="shared" si="16"/>
        <v>308000</v>
      </c>
      <c r="H85" s="534">
        <f t="shared" si="16"/>
        <v>308000</v>
      </c>
      <c r="I85" s="534">
        <f t="shared" si="16"/>
        <v>308000</v>
      </c>
      <c r="J85" s="534">
        <f t="shared" si="16"/>
        <v>308000</v>
      </c>
      <c r="K85" s="534">
        <f t="shared" si="16"/>
        <v>308000</v>
      </c>
      <c r="L85" s="534">
        <f t="shared" si="16"/>
        <v>308000</v>
      </c>
      <c r="M85" s="534">
        <f t="shared" si="16"/>
        <v>308000</v>
      </c>
      <c r="N85" s="534">
        <f t="shared" si="16"/>
        <v>308000</v>
      </c>
      <c r="O85" s="534">
        <f t="shared" si="16"/>
        <v>308000</v>
      </c>
      <c r="P85" s="534">
        <f t="shared" si="16"/>
        <v>308000</v>
      </c>
      <c r="Q85" s="534">
        <f t="shared" si="16"/>
        <v>308000</v>
      </c>
      <c r="R85" s="534">
        <f t="shared" si="16"/>
        <v>308000</v>
      </c>
    </row>
    <row r="86" spans="2:20" x14ac:dyDescent="0.2">
      <c r="B86" s="808" t="s">
        <v>717</v>
      </c>
      <c r="C86" s="809" t="s">
        <v>712</v>
      </c>
      <c r="D86" s="810">
        <v>160</v>
      </c>
      <c r="E86" s="413">
        <v>5</v>
      </c>
      <c r="F86" s="533"/>
      <c r="G86" s="534">
        <f t="shared" si="16"/>
        <v>1600</v>
      </c>
      <c r="H86" s="534">
        <f t="shared" si="16"/>
        <v>1600</v>
      </c>
      <c r="I86" s="534">
        <f t="shared" si="16"/>
        <v>1600</v>
      </c>
      <c r="J86" s="534">
        <f t="shared" si="16"/>
        <v>1600</v>
      </c>
      <c r="K86" s="534">
        <f t="shared" si="16"/>
        <v>1600</v>
      </c>
      <c r="L86" s="534">
        <f t="shared" si="16"/>
        <v>1600</v>
      </c>
      <c r="M86" s="534">
        <f t="shared" si="16"/>
        <v>1600</v>
      </c>
      <c r="N86" s="534">
        <f t="shared" si="16"/>
        <v>1600</v>
      </c>
      <c r="O86" s="534">
        <f t="shared" si="16"/>
        <v>1600</v>
      </c>
      <c r="P86" s="534">
        <f t="shared" si="16"/>
        <v>1600</v>
      </c>
      <c r="Q86" s="534">
        <f t="shared" si="16"/>
        <v>1600</v>
      </c>
      <c r="R86" s="534">
        <f t="shared" si="16"/>
        <v>1600</v>
      </c>
    </row>
    <row r="87" spans="2:20" x14ac:dyDescent="0.2">
      <c r="B87" s="808" t="s">
        <v>718</v>
      </c>
      <c r="C87" s="815" t="s">
        <v>719</v>
      </c>
      <c r="D87" s="810">
        <v>650</v>
      </c>
      <c r="E87" s="413">
        <v>8</v>
      </c>
      <c r="F87" s="533"/>
      <c r="G87" s="534">
        <f>IF(G$17=0,0,G$17/$D$17*$E87*$D87)</f>
        <v>10400</v>
      </c>
      <c r="H87" s="534">
        <f t="shared" ref="H87:R89" si="17">IF(H$17=0,0,H$17/$D$17*$E87*$D87)</f>
        <v>10400</v>
      </c>
      <c r="I87" s="534">
        <f t="shared" si="17"/>
        <v>10400</v>
      </c>
      <c r="J87" s="534">
        <f t="shared" si="17"/>
        <v>10400</v>
      </c>
      <c r="K87" s="534">
        <f t="shared" si="17"/>
        <v>10400</v>
      </c>
      <c r="L87" s="534">
        <f t="shared" si="17"/>
        <v>10400</v>
      </c>
      <c r="M87" s="534">
        <f t="shared" si="17"/>
        <v>10400</v>
      </c>
      <c r="N87" s="534">
        <f t="shared" si="17"/>
        <v>10400</v>
      </c>
      <c r="O87" s="534">
        <f t="shared" si="17"/>
        <v>10400</v>
      </c>
      <c r="P87" s="534">
        <f t="shared" si="17"/>
        <v>10400</v>
      </c>
      <c r="Q87" s="534">
        <f t="shared" si="17"/>
        <v>10400</v>
      </c>
      <c r="R87" s="534">
        <f t="shared" si="17"/>
        <v>10400</v>
      </c>
    </row>
    <row r="88" spans="2:20" x14ac:dyDescent="0.2">
      <c r="B88" s="808" t="s">
        <v>720</v>
      </c>
      <c r="C88" s="815" t="s">
        <v>721</v>
      </c>
      <c r="D88" s="810">
        <v>54360</v>
      </c>
      <c r="E88" s="413">
        <v>1</v>
      </c>
      <c r="F88" s="533"/>
      <c r="G88" s="534">
        <f t="shared" ref="G88:R89" si="18">IF(G$17=0,0,G$17/$D$17*$E88*$D88)</f>
        <v>108720</v>
      </c>
      <c r="H88" s="534">
        <f t="shared" si="18"/>
        <v>108720</v>
      </c>
      <c r="I88" s="534">
        <f t="shared" si="18"/>
        <v>108720</v>
      </c>
      <c r="J88" s="534">
        <f t="shared" si="18"/>
        <v>108720</v>
      </c>
      <c r="K88" s="534">
        <f t="shared" si="18"/>
        <v>108720</v>
      </c>
      <c r="L88" s="534">
        <f t="shared" si="18"/>
        <v>108720</v>
      </c>
      <c r="M88" s="534">
        <f t="shared" si="18"/>
        <v>108720</v>
      </c>
      <c r="N88" s="534">
        <f t="shared" si="18"/>
        <v>108720</v>
      </c>
      <c r="O88" s="534">
        <f t="shared" si="18"/>
        <v>108720</v>
      </c>
      <c r="P88" s="534">
        <f t="shared" si="18"/>
        <v>108720</v>
      </c>
      <c r="Q88" s="534">
        <f t="shared" si="18"/>
        <v>108720</v>
      </c>
      <c r="R88" s="534">
        <f t="shared" si="18"/>
        <v>108720</v>
      </c>
    </row>
    <row r="89" spans="2:20" x14ac:dyDescent="0.2">
      <c r="B89" s="808" t="s">
        <v>722</v>
      </c>
      <c r="C89" s="815" t="s">
        <v>723</v>
      </c>
      <c r="D89" s="810">
        <v>75650</v>
      </c>
      <c r="E89" s="413">
        <v>1</v>
      </c>
      <c r="F89" s="533"/>
      <c r="G89" s="534">
        <f t="shared" si="18"/>
        <v>151300</v>
      </c>
      <c r="H89" s="534">
        <f t="shared" si="17"/>
        <v>151300</v>
      </c>
      <c r="I89" s="534">
        <f t="shared" si="17"/>
        <v>151300</v>
      </c>
      <c r="J89" s="534">
        <f t="shared" si="17"/>
        <v>151300</v>
      </c>
      <c r="K89" s="534">
        <f t="shared" si="17"/>
        <v>151300</v>
      </c>
      <c r="L89" s="534">
        <f t="shared" si="17"/>
        <v>151300</v>
      </c>
      <c r="M89" s="534">
        <f t="shared" si="17"/>
        <v>151300</v>
      </c>
      <c r="N89" s="534">
        <f t="shared" si="17"/>
        <v>151300</v>
      </c>
      <c r="O89" s="534">
        <f t="shared" si="17"/>
        <v>151300</v>
      </c>
      <c r="P89" s="534">
        <f t="shared" si="17"/>
        <v>151300</v>
      </c>
      <c r="Q89" s="534">
        <f t="shared" si="17"/>
        <v>151300</v>
      </c>
      <c r="R89" s="534">
        <f t="shared" si="17"/>
        <v>151300</v>
      </c>
      <c r="T89" s="811">
        <f>SUM(R67:R89)</f>
        <v>1339978</v>
      </c>
    </row>
    <row r="90" spans="2:20" x14ac:dyDescent="0.2">
      <c r="B90" s="723" t="s">
        <v>399</v>
      </c>
      <c r="C90" s="537"/>
      <c r="D90" s="812"/>
      <c r="E90" s="481">
        <f>VLOOKUP($B90,$B$14:$C$18,2,FALSE)</f>
        <v>4000</v>
      </c>
      <c r="F90" s="481">
        <f>VLOOKUP($B90,$B$14:$E$18,4,FALSE)</f>
        <v>1</v>
      </c>
      <c r="G90" s="474"/>
      <c r="H90" s="474"/>
      <c r="I90" s="474"/>
      <c r="J90" s="474"/>
      <c r="K90" s="474"/>
      <c r="L90" s="474"/>
      <c r="M90" s="474"/>
      <c r="N90" s="474"/>
      <c r="O90" s="474"/>
      <c r="P90" s="474"/>
      <c r="Q90" s="474"/>
      <c r="R90" s="474"/>
    </row>
    <row r="91" spans="2:20" x14ac:dyDescent="0.2">
      <c r="B91" s="808" t="s">
        <v>681</v>
      </c>
      <c r="C91" s="809" t="s">
        <v>682</v>
      </c>
      <c r="D91" s="810">
        <v>1510</v>
      </c>
      <c r="E91" s="413">
        <v>2</v>
      </c>
      <c r="F91" s="481"/>
      <c r="G91" s="534">
        <f t="shared" ref="G91:R112" si="19">IF(G$18=0,0,G$18/$D$18*$E91*$D91)</f>
        <v>3020</v>
      </c>
      <c r="H91" s="534">
        <f t="shared" si="19"/>
        <v>3020</v>
      </c>
      <c r="I91" s="534">
        <f t="shared" si="19"/>
        <v>3020</v>
      </c>
      <c r="J91" s="534">
        <f t="shared" si="19"/>
        <v>3020</v>
      </c>
      <c r="K91" s="534">
        <f t="shared" si="19"/>
        <v>3020</v>
      </c>
      <c r="L91" s="534">
        <f t="shared" si="19"/>
        <v>3020</v>
      </c>
      <c r="M91" s="534">
        <f t="shared" si="19"/>
        <v>3020</v>
      </c>
      <c r="N91" s="534">
        <f t="shared" si="19"/>
        <v>3020</v>
      </c>
      <c r="O91" s="534">
        <f t="shared" si="19"/>
        <v>3020</v>
      </c>
      <c r="P91" s="534">
        <f t="shared" si="19"/>
        <v>3020</v>
      </c>
      <c r="Q91" s="534">
        <f t="shared" si="19"/>
        <v>3020</v>
      </c>
      <c r="R91" s="534">
        <f t="shared" si="19"/>
        <v>3020</v>
      </c>
    </row>
    <row r="92" spans="2:20" x14ac:dyDescent="0.2">
      <c r="B92" s="808" t="s">
        <v>683</v>
      </c>
      <c r="C92" s="809" t="s">
        <v>684</v>
      </c>
      <c r="D92" s="810">
        <v>3260</v>
      </c>
      <c r="E92" s="413">
        <v>2</v>
      </c>
      <c r="F92" s="481"/>
      <c r="G92" s="534">
        <f t="shared" si="19"/>
        <v>6520</v>
      </c>
      <c r="H92" s="534">
        <f t="shared" si="19"/>
        <v>6520</v>
      </c>
      <c r="I92" s="534">
        <f t="shared" si="19"/>
        <v>6520</v>
      </c>
      <c r="J92" s="534">
        <f t="shared" si="19"/>
        <v>6520</v>
      </c>
      <c r="K92" s="534">
        <f t="shared" si="19"/>
        <v>6520</v>
      </c>
      <c r="L92" s="534">
        <f t="shared" si="19"/>
        <v>6520</v>
      </c>
      <c r="M92" s="534">
        <f t="shared" si="19"/>
        <v>6520</v>
      </c>
      <c r="N92" s="534">
        <f t="shared" si="19"/>
        <v>6520</v>
      </c>
      <c r="O92" s="534">
        <f t="shared" si="19"/>
        <v>6520</v>
      </c>
      <c r="P92" s="534">
        <f t="shared" si="19"/>
        <v>6520</v>
      </c>
      <c r="Q92" s="534">
        <f t="shared" si="19"/>
        <v>6520</v>
      </c>
      <c r="R92" s="534">
        <f t="shared" si="19"/>
        <v>6520</v>
      </c>
    </row>
    <row r="93" spans="2:20" x14ac:dyDescent="0.2">
      <c r="B93" s="808" t="s">
        <v>685</v>
      </c>
      <c r="C93" s="809" t="s">
        <v>686</v>
      </c>
      <c r="D93" s="810">
        <v>3930</v>
      </c>
      <c r="E93" s="413">
        <v>1</v>
      </c>
      <c r="F93" s="481"/>
      <c r="G93" s="534">
        <f t="shared" si="19"/>
        <v>3930</v>
      </c>
      <c r="H93" s="534">
        <f t="shared" si="19"/>
        <v>3930</v>
      </c>
      <c r="I93" s="534">
        <f t="shared" si="19"/>
        <v>3930</v>
      </c>
      <c r="J93" s="534">
        <f t="shared" si="19"/>
        <v>3930</v>
      </c>
      <c r="K93" s="534">
        <f t="shared" si="19"/>
        <v>3930</v>
      </c>
      <c r="L93" s="534">
        <f t="shared" si="19"/>
        <v>3930</v>
      </c>
      <c r="M93" s="534">
        <f t="shared" si="19"/>
        <v>3930</v>
      </c>
      <c r="N93" s="534">
        <f t="shared" si="19"/>
        <v>3930</v>
      </c>
      <c r="O93" s="534">
        <f t="shared" si="19"/>
        <v>3930</v>
      </c>
      <c r="P93" s="534">
        <f t="shared" si="19"/>
        <v>3930</v>
      </c>
      <c r="Q93" s="534">
        <f t="shared" si="19"/>
        <v>3930</v>
      </c>
      <c r="R93" s="534">
        <f t="shared" si="19"/>
        <v>3930</v>
      </c>
    </row>
    <row r="94" spans="2:20" x14ac:dyDescent="0.2">
      <c r="B94" s="808" t="s">
        <v>687</v>
      </c>
      <c r="C94" s="809" t="s">
        <v>688</v>
      </c>
      <c r="D94" s="810">
        <v>670</v>
      </c>
      <c r="E94" s="413">
        <v>55</v>
      </c>
      <c r="F94" s="481"/>
      <c r="G94" s="534">
        <f t="shared" si="19"/>
        <v>36850</v>
      </c>
      <c r="H94" s="534">
        <f t="shared" si="19"/>
        <v>36850</v>
      </c>
      <c r="I94" s="534">
        <f t="shared" si="19"/>
        <v>36850</v>
      </c>
      <c r="J94" s="534">
        <f t="shared" si="19"/>
        <v>36850</v>
      </c>
      <c r="K94" s="534">
        <f t="shared" si="19"/>
        <v>36850</v>
      </c>
      <c r="L94" s="534">
        <f t="shared" si="19"/>
        <v>36850</v>
      </c>
      <c r="M94" s="534">
        <f t="shared" si="19"/>
        <v>36850</v>
      </c>
      <c r="N94" s="534">
        <f t="shared" si="19"/>
        <v>36850</v>
      </c>
      <c r="O94" s="534">
        <f t="shared" si="19"/>
        <v>36850</v>
      </c>
      <c r="P94" s="534">
        <f t="shared" si="19"/>
        <v>36850</v>
      </c>
      <c r="Q94" s="534">
        <f t="shared" si="19"/>
        <v>36850</v>
      </c>
      <c r="R94" s="534">
        <f t="shared" si="19"/>
        <v>36850</v>
      </c>
    </row>
    <row r="95" spans="2:20" x14ac:dyDescent="0.2">
      <c r="B95" s="808" t="s">
        <v>689</v>
      </c>
      <c r="C95" s="809" t="s">
        <v>690</v>
      </c>
      <c r="D95" s="810">
        <v>2306</v>
      </c>
      <c r="E95" s="413">
        <v>1</v>
      </c>
      <c r="F95" s="481"/>
      <c r="G95" s="534">
        <f t="shared" si="19"/>
        <v>2306</v>
      </c>
      <c r="H95" s="534">
        <f t="shared" si="19"/>
        <v>2306</v>
      </c>
      <c r="I95" s="534">
        <f t="shared" si="19"/>
        <v>2306</v>
      </c>
      <c r="J95" s="534">
        <f t="shared" si="19"/>
        <v>2306</v>
      </c>
      <c r="K95" s="534">
        <f t="shared" si="19"/>
        <v>2306</v>
      </c>
      <c r="L95" s="534">
        <f t="shared" si="19"/>
        <v>2306</v>
      </c>
      <c r="M95" s="534">
        <f t="shared" si="19"/>
        <v>2306</v>
      </c>
      <c r="N95" s="534">
        <f t="shared" si="19"/>
        <v>2306</v>
      </c>
      <c r="O95" s="534">
        <f t="shared" si="19"/>
        <v>2306</v>
      </c>
      <c r="P95" s="534">
        <f t="shared" si="19"/>
        <v>2306</v>
      </c>
      <c r="Q95" s="534">
        <f t="shared" si="19"/>
        <v>2306</v>
      </c>
      <c r="R95" s="534">
        <f t="shared" si="19"/>
        <v>2306</v>
      </c>
    </row>
    <row r="96" spans="2:20" x14ac:dyDescent="0.2">
      <c r="B96" s="808" t="s">
        <v>691</v>
      </c>
      <c r="C96" s="809" t="s">
        <v>692</v>
      </c>
      <c r="D96" s="810">
        <v>1780</v>
      </c>
      <c r="E96" s="413">
        <v>5</v>
      </c>
      <c r="F96" s="481"/>
      <c r="G96" s="534">
        <f t="shared" si="19"/>
        <v>8900</v>
      </c>
      <c r="H96" s="534">
        <f t="shared" si="19"/>
        <v>8900</v>
      </c>
      <c r="I96" s="534">
        <f t="shared" si="19"/>
        <v>8900</v>
      </c>
      <c r="J96" s="534">
        <f t="shared" si="19"/>
        <v>8900</v>
      </c>
      <c r="K96" s="534">
        <f t="shared" si="19"/>
        <v>8900</v>
      </c>
      <c r="L96" s="534">
        <f t="shared" si="19"/>
        <v>8900</v>
      </c>
      <c r="M96" s="534">
        <f t="shared" si="19"/>
        <v>8900</v>
      </c>
      <c r="N96" s="534">
        <f t="shared" si="19"/>
        <v>8900</v>
      </c>
      <c r="O96" s="534">
        <f t="shared" si="19"/>
        <v>8900</v>
      </c>
      <c r="P96" s="534">
        <f t="shared" si="19"/>
        <v>8900</v>
      </c>
      <c r="Q96" s="534">
        <f t="shared" si="19"/>
        <v>8900</v>
      </c>
      <c r="R96" s="534">
        <f t="shared" si="19"/>
        <v>8900</v>
      </c>
    </row>
    <row r="97" spans="2:18" x14ac:dyDescent="0.2">
      <c r="B97" s="808" t="s">
        <v>693</v>
      </c>
      <c r="C97" s="809" t="s">
        <v>694</v>
      </c>
      <c r="D97" s="810">
        <v>4117</v>
      </c>
      <c r="E97" s="413">
        <v>2</v>
      </c>
      <c r="F97" s="481"/>
      <c r="G97" s="534">
        <f t="shared" si="19"/>
        <v>8234</v>
      </c>
      <c r="H97" s="534">
        <f t="shared" si="19"/>
        <v>8234</v>
      </c>
      <c r="I97" s="534">
        <f t="shared" si="19"/>
        <v>8234</v>
      </c>
      <c r="J97" s="534">
        <f t="shared" si="19"/>
        <v>8234</v>
      </c>
      <c r="K97" s="534">
        <f t="shared" si="19"/>
        <v>8234</v>
      </c>
      <c r="L97" s="534">
        <f t="shared" si="19"/>
        <v>8234</v>
      </c>
      <c r="M97" s="534">
        <f t="shared" si="19"/>
        <v>8234</v>
      </c>
      <c r="N97" s="534">
        <f t="shared" si="19"/>
        <v>8234</v>
      </c>
      <c r="O97" s="534">
        <f t="shared" si="19"/>
        <v>8234</v>
      </c>
      <c r="P97" s="534">
        <f t="shared" si="19"/>
        <v>8234</v>
      </c>
      <c r="Q97" s="534">
        <f t="shared" si="19"/>
        <v>8234</v>
      </c>
      <c r="R97" s="534">
        <f t="shared" si="19"/>
        <v>8234</v>
      </c>
    </row>
    <row r="98" spans="2:18" x14ac:dyDescent="0.2">
      <c r="B98" s="808" t="s">
        <v>695</v>
      </c>
      <c r="C98" s="809" t="s">
        <v>696</v>
      </c>
      <c r="D98" s="810">
        <v>19666</v>
      </c>
      <c r="E98" s="413">
        <v>2</v>
      </c>
      <c r="F98" s="481"/>
      <c r="G98" s="534">
        <f t="shared" si="19"/>
        <v>39332</v>
      </c>
      <c r="H98" s="534">
        <f t="shared" si="19"/>
        <v>39332</v>
      </c>
      <c r="I98" s="534">
        <f t="shared" si="19"/>
        <v>39332</v>
      </c>
      <c r="J98" s="534">
        <f t="shared" si="19"/>
        <v>39332</v>
      </c>
      <c r="K98" s="534">
        <f t="shared" si="19"/>
        <v>39332</v>
      </c>
      <c r="L98" s="534">
        <f t="shared" si="19"/>
        <v>39332</v>
      </c>
      <c r="M98" s="534">
        <f t="shared" si="19"/>
        <v>39332</v>
      </c>
      <c r="N98" s="534">
        <f t="shared" si="19"/>
        <v>39332</v>
      </c>
      <c r="O98" s="534">
        <f t="shared" si="19"/>
        <v>39332</v>
      </c>
      <c r="P98" s="534">
        <f t="shared" si="19"/>
        <v>39332</v>
      </c>
      <c r="Q98" s="534">
        <f t="shared" si="19"/>
        <v>39332</v>
      </c>
      <c r="R98" s="534">
        <f t="shared" si="19"/>
        <v>39332</v>
      </c>
    </row>
    <row r="99" spans="2:18" x14ac:dyDescent="0.2">
      <c r="B99" s="808" t="s">
        <v>695</v>
      </c>
      <c r="C99" s="809" t="s">
        <v>697</v>
      </c>
      <c r="D99" s="810">
        <v>6285</v>
      </c>
      <c r="E99" s="413">
        <v>2</v>
      </c>
      <c r="F99" s="481"/>
      <c r="G99" s="534">
        <f t="shared" si="19"/>
        <v>12570</v>
      </c>
      <c r="H99" s="534">
        <f t="shared" si="19"/>
        <v>12570</v>
      </c>
      <c r="I99" s="534">
        <f t="shared" si="19"/>
        <v>12570</v>
      </c>
      <c r="J99" s="534">
        <f t="shared" si="19"/>
        <v>12570</v>
      </c>
      <c r="K99" s="534">
        <f t="shared" si="19"/>
        <v>12570</v>
      </c>
      <c r="L99" s="534">
        <f t="shared" si="19"/>
        <v>12570</v>
      </c>
      <c r="M99" s="534">
        <f t="shared" si="19"/>
        <v>12570</v>
      </c>
      <c r="N99" s="534">
        <f t="shared" si="19"/>
        <v>12570</v>
      </c>
      <c r="O99" s="534">
        <f t="shared" si="19"/>
        <v>12570</v>
      </c>
      <c r="P99" s="534">
        <f t="shared" si="19"/>
        <v>12570</v>
      </c>
      <c r="Q99" s="534">
        <f t="shared" si="19"/>
        <v>12570</v>
      </c>
      <c r="R99" s="534">
        <f t="shared" si="19"/>
        <v>12570</v>
      </c>
    </row>
    <row r="100" spans="2:18" x14ac:dyDescent="0.2">
      <c r="B100" s="808" t="s">
        <v>698</v>
      </c>
      <c r="C100" s="809" t="s">
        <v>699</v>
      </c>
      <c r="D100" s="810">
        <v>8450</v>
      </c>
      <c r="E100" s="413">
        <v>6</v>
      </c>
      <c r="F100" s="481"/>
      <c r="G100" s="534">
        <f t="shared" si="19"/>
        <v>50700</v>
      </c>
      <c r="H100" s="534">
        <f t="shared" si="19"/>
        <v>50700</v>
      </c>
      <c r="I100" s="534">
        <f t="shared" si="19"/>
        <v>50700</v>
      </c>
      <c r="J100" s="534">
        <f t="shared" si="19"/>
        <v>50700</v>
      </c>
      <c r="K100" s="534">
        <f t="shared" si="19"/>
        <v>50700</v>
      </c>
      <c r="L100" s="534">
        <f t="shared" si="19"/>
        <v>50700</v>
      </c>
      <c r="M100" s="534">
        <f t="shared" si="19"/>
        <v>50700</v>
      </c>
      <c r="N100" s="534">
        <f t="shared" si="19"/>
        <v>50700</v>
      </c>
      <c r="O100" s="534">
        <f t="shared" si="19"/>
        <v>50700</v>
      </c>
      <c r="P100" s="534">
        <f t="shared" si="19"/>
        <v>50700</v>
      </c>
      <c r="Q100" s="534">
        <f t="shared" si="19"/>
        <v>50700</v>
      </c>
      <c r="R100" s="534">
        <f t="shared" si="19"/>
        <v>50700</v>
      </c>
    </row>
    <row r="101" spans="2:18" x14ac:dyDescent="0.2">
      <c r="B101" s="813" t="s">
        <v>700</v>
      </c>
      <c r="C101" s="809" t="s">
        <v>701</v>
      </c>
      <c r="D101" s="810">
        <v>9829</v>
      </c>
      <c r="E101" s="413">
        <v>4</v>
      </c>
      <c r="F101" s="481"/>
      <c r="G101" s="534">
        <f t="shared" si="19"/>
        <v>39316</v>
      </c>
      <c r="H101" s="534">
        <f t="shared" si="19"/>
        <v>39316</v>
      </c>
      <c r="I101" s="534">
        <f t="shared" si="19"/>
        <v>39316</v>
      </c>
      <c r="J101" s="534">
        <f t="shared" si="19"/>
        <v>39316</v>
      </c>
      <c r="K101" s="534">
        <f t="shared" si="19"/>
        <v>39316</v>
      </c>
      <c r="L101" s="534">
        <f t="shared" si="19"/>
        <v>39316</v>
      </c>
      <c r="M101" s="534">
        <f t="shared" si="19"/>
        <v>39316</v>
      </c>
      <c r="N101" s="534">
        <f t="shared" si="19"/>
        <v>39316</v>
      </c>
      <c r="O101" s="534">
        <f t="shared" si="19"/>
        <v>39316</v>
      </c>
      <c r="P101" s="534">
        <f t="shared" si="19"/>
        <v>39316</v>
      </c>
      <c r="Q101" s="534">
        <f t="shared" si="19"/>
        <v>39316</v>
      </c>
      <c r="R101" s="534">
        <f t="shared" si="19"/>
        <v>39316</v>
      </c>
    </row>
    <row r="102" spans="2:18" x14ac:dyDescent="0.2">
      <c r="B102" s="808" t="s">
        <v>702</v>
      </c>
      <c r="C102" s="809" t="s">
        <v>703</v>
      </c>
      <c r="D102" s="810">
        <v>21626</v>
      </c>
      <c r="E102" s="413">
        <v>2</v>
      </c>
      <c r="F102" s="481"/>
      <c r="G102" s="534">
        <f t="shared" si="19"/>
        <v>43252</v>
      </c>
      <c r="H102" s="534">
        <f t="shared" si="19"/>
        <v>43252</v>
      </c>
      <c r="I102" s="534">
        <f t="shared" si="19"/>
        <v>43252</v>
      </c>
      <c r="J102" s="534">
        <f t="shared" si="19"/>
        <v>43252</v>
      </c>
      <c r="K102" s="534">
        <f t="shared" si="19"/>
        <v>43252</v>
      </c>
      <c r="L102" s="534">
        <f t="shared" si="19"/>
        <v>43252</v>
      </c>
      <c r="M102" s="534">
        <f t="shared" si="19"/>
        <v>43252</v>
      </c>
      <c r="N102" s="534">
        <f t="shared" si="19"/>
        <v>43252</v>
      </c>
      <c r="O102" s="534">
        <f t="shared" si="19"/>
        <v>43252</v>
      </c>
      <c r="P102" s="534">
        <f t="shared" si="19"/>
        <v>43252</v>
      </c>
      <c r="Q102" s="534">
        <f t="shared" si="19"/>
        <v>43252</v>
      </c>
      <c r="R102" s="534">
        <f t="shared" si="19"/>
        <v>43252</v>
      </c>
    </row>
    <row r="103" spans="2:18" x14ac:dyDescent="0.2">
      <c r="B103" s="808" t="s">
        <v>704</v>
      </c>
      <c r="C103" s="809" t="s">
        <v>705</v>
      </c>
      <c r="D103" s="810">
        <v>45707</v>
      </c>
      <c r="E103" s="413">
        <v>1</v>
      </c>
      <c r="F103" s="481"/>
      <c r="G103" s="534">
        <f t="shared" si="19"/>
        <v>45707</v>
      </c>
      <c r="H103" s="534">
        <f t="shared" si="19"/>
        <v>45707</v>
      </c>
      <c r="I103" s="534">
        <f t="shared" si="19"/>
        <v>45707</v>
      </c>
      <c r="J103" s="534">
        <f t="shared" si="19"/>
        <v>45707</v>
      </c>
      <c r="K103" s="534">
        <f t="shared" si="19"/>
        <v>45707</v>
      </c>
      <c r="L103" s="534">
        <f t="shared" si="19"/>
        <v>45707</v>
      </c>
      <c r="M103" s="534">
        <f t="shared" si="19"/>
        <v>45707</v>
      </c>
      <c r="N103" s="534">
        <f t="shared" si="19"/>
        <v>45707</v>
      </c>
      <c r="O103" s="534">
        <f t="shared" si="19"/>
        <v>45707</v>
      </c>
      <c r="P103" s="534">
        <f t="shared" si="19"/>
        <v>45707</v>
      </c>
      <c r="Q103" s="534">
        <f t="shared" si="19"/>
        <v>45707</v>
      </c>
      <c r="R103" s="534">
        <f t="shared" si="19"/>
        <v>45707</v>
      </c>
    </row>
    <row r="104" spans="2:18" x14ac:dyDescent="0.2">
      <c r="B104" s="808" t="s">
        <v>706</v>
      </c>
      <c r="C104" s="809" t="s">
        <v>707</v>
      </c>
      <c r="D104" s="810">
        <v>206</v>
      </c>
      <c r="E104" s="413">
        <v>25</v>
      </c>
      <c r="F104" s="481"/>
      <c r="G104" s="534">
        <f t="shared" si="19"/>
        <v>5150</v>
      </c>
      <c r="H104" s="534">
        <f t="shared" si="19"/>
        <v>5150</v>
      </c>
      <c r="I104" s="534">
        <f t="shared" si="19"/>
        <v>5150</v>
      </c>
      <c r="J104" s="534">
        <f t="shared" si="19"/>
        <v>5150</v>
      </c>
      <c r="K104" s="534">
        <f t="shared" si="19"/>
        <v>5150</v>
      </c>
      <c r="L104" s="534">
        <f t="shared" si="19"/>
        <v>5150</v>
      </c>
      <c r="M104" s="534">
        <f t="shared" si="19"/>
        <v>5150</v>
      </c>
      <c r="N104" s="534">
        <f t="shared" si="19"/>
        <v>5150</v>
      </c>
      <c r="O104" s="534">
        <f t="shared" si="19"/>
        <v>5150</v>
      </c>
      <c r="P104" s="534">
        <f t="shared" si="19"/>
        <v>5150</v>
      </c>
      <c r="Q104" s="534">
        <f t="shared" si="19"/>
        <v>5150</v>
      </c>
      <c r="R104" s="534">
        <f t="shared" si="19"/>
        <v>5150</v>
      </c>
    </row>
    <row r="105" spans="2:18" x14ac:dyDescent="0.2">
      <c r="B105" s="808" t="s">
        <v>708</v>
      </c>
      <c r="C105" s="809" t="s">
        <v>709</v>
      </c>
      <c r="D105" s="810">
        <v>276</v>
      </c>
      <c r="E105" s="413">
        <v>165</v>
      </c>
      <c r="F105" s="481"/>
      <c r="G105" s="534">
        <f t="shared" si="19"/>
        <v>45540</v>
      </c>
      <c r="H105" s="534">
        <f t="shared" si="19"/>
        <v>45540</v>
      </c>
      <c r="I105" s="534">
        <f t="shared" si="19"/>
        <v>45540</v>
      </c>
      <c r="J105" s="534">
        <f t="shared" si="19"/>
        <v>45540</v>
      </c>
      <c r="K105" s="534">
        <f t="shared" si="19"/>
        <v>45540</v>
      </c>
      <c r="L105" s="534">
        <f t="shared" si="19"/>
        <v>45540</v>
      </c>
      <c r="M105" s="534">
        <f t="shared" si="19"/>
        <v>45540</v>
      </c>
      <c r="N105" s="534">
        <f t="shared" si="19"/>
        <v>45540</v>
      </c>
      <c r="O105" s="534">
        <f t="shared" si="19"/>
        <v>45540</v>
      </c>
      <c r="P105" s="534">
        <f t="shared" si="19"/>
        <v>45540</v>
      </c>
      <c r="Q105" s="534">
        <f t="shared" si="19"/>
        <v>45540</v>
      </c>
      <c r="R105" s="534">
        <f t="shared" si="19"/>
        <v>45540</v>
      </c>
    </row>
    <row r="106" spans="2:18" x14ac:dyDescent="0.2">
      <c r="B106" s="808" t="s">
        <v>710</v>
      </c>
      <c r="C106" s="809" t="s">
        <v>707</v>
      </c>
      <c r="D106" s="810">
        <v>206</v>
      </c>
      <c r="E106" s="413">
        <v>7</v>
      </c>
      <c r="F106" s="481"/>
      <c r="G106" s="534">
        <f t="shared" si="19"/>
        <v>1442</v>
      </c>
      <c r="H106" s="534">
        <f t="shared" si="19"/>
        <v>1442</v>
      </c>
      <c r="I106" s="534">
        <f t="shared" si="19"/>
        <v>1442</v>
      </c>
      <c r="J106" s="534">
        <f t="shared" si="19"/>
        <v>1442</v>
      </c>
      <c r="K106" s="534">
        <f t="shared" si="19"/>
        <v>1442</v>
      </c>
      <c r="L106" s="534">
        <f t="shared" si="19"/>
        <v>1442</v>
      </c>
      <c r="M106" s="534">
        <f t="shared" si="19"/>
        <v>1442</v>
      </c>
      <c r="N106" s="534">
        <f t="shared" si="19"/>
        <v>1442</v>
      </c>
      <c r="O106" s="534">
        <f t="shared" si="19"/>
        <v>1442</v>
      </c>
      <c r="P106" s="534">
        <f t="shared" si="19"/>
        <v>1442</v>
      </c>
      <c r="Q106" s="534">
        <f t="shared" si="19"/>
        <v>1442</v>
      </c>
      <c r="R106" s="534">
        <f t="shared" si="19"/>
        <v>1442</v>
      </c>
    </row>
    <row r="107" spans="2:18" x14ac:dyDescent="0.2">
      <c r="B107" s="808" t="s">
        <v>711</v>
      </c>
      <c r="C107" s="809" t="s">
        <v>712</v>
      </c>
      <c r="D107" s="810">
        <v>160</v>
      </c>
      <c r="E107" s="413">
        <v>20</v>
      </c>
      <c r="F107" s="481"/>
      <c r="G107" s="534">
        <f t="shared" si="19"/>
        <v>3200</v>
      </c>
      <c r="H107" s="534">
        <f t="shared" si="19"/>
        <v>3200</v>
      </c>
      <c r="I107" s="534">
        <f t="shared" si="19"/>
        <v>3200</v>
      </c>
      <c r="J107" s="534">
        <f t="shared" si="19"/>
        <v>3200</v>
      </c>
      <c r="K107" s="534">
        <f t="shared" si="19"/>
        <v>3200</v>
      </c>
      <c r="L107" s="534">
        <f t="shared" si="19"/>
        <v>3200</v>
      </c>
      <c r="M107" s="534">
        <f t="shared" si="19"/>
        <v>3200</v>
      </c>
      <c r="N107" s="534">
        <f t="shared" si="19"/>
        <v>3200</v>
      </c>
      <c r="O107" s="534">
        <f t="shared" si="19"/>
        <v>3200</v>
      </c>
      <c r="P107" s="534">
        <f t="shared" si="19"/>
        <v>3200</v>
      </c>
      <c r="Q107" s="534">
        <f t="shared" si="19"/>
        <v>3200</v>
      </c>
      <c r="R107" s="534">
        <f t="shared" si="19"/>
        <v>3200</v>
      </c>
    </row>
    <row r="108" spans="2:18" ht="14.3" x14ac:dyDescent="0.2">
      <c r="B108" s="808" t="s">
        <v>713</v>
      </c>
      <c r="C108" s="814" t="s">
        <v>714</v>
      </c>
      <c r="D108" s="810">
        <v>24010</v>
      </c>
      <c r="E108" s="413">
        <v>1</v>
      </c>
      <c r="F108" s="481"/>
      <c r="G108" s="534">
        <f t="shared" si="19"/>
        <v>24010</v>
      </c>
      <c r="H108" s="534">
        <f t="shared" si="19"/>
        <v>24010</v>
      </c>
      <c r="I108" s="534">
        <f t="shared" si="19"/>
        <v>24010</v>
      </c>
      <c r="J108" s="534">
        <f t="shared" si="19"/>
        <v>24010</v>
      </c>
      <c r="K108" s="534">
        <f t="shared" si="19"/>
        <v>24010</v>
      </c>
      <c r="L108" s="534">
        <f t="shared" si="19"/>
        <v>24010</v>
      </c>
      <c r="M108" s="534">
        <f t="shared" si="19"/>
        <v>24010</v>
      </c>
      <c r="N108" s="534">
        <f t="shared" si="19"/>
        <v>24010</v>
      </c>
      <c r="O108" s="534">
        <f t="shared" si="19"/>
        <v>24010</v>
      </c>
      <c r="P108" s="534">
        <f t="shared" si="19"/>
        <v>24010</v>
      </c>
      <c r="Q108" s="534">
        <f t="shared" si="19"/>
        <v>24010</v>
      </c>
      <c r="R108" s="534">
        <f t="shared" si="19"/>
        <v>24010</v>
      </c>
    </row>
    <row r="109" spans="2:18" x14ac:dyDescent="0.2">
      <c r="B109" s="808" t="s">
        <v>715</v>
      </c>
      <c r="C109" s="809" t="s">
        <v>716</v>
      </c>
      <c r="D109" s="810">
        <v>220</v>
      </c>
      <c r="E109" s="413">
        <v>700</v>
      </c>
      <c r="F109" s="481"/>
      <c r="G109" s="534">
        <f t="shared" si="19"/>
        <v>154000</v>
      </c>
      <c r="H109" s="534">
        <f t="shared" si="19"/>
        <v>154000</v>
      </c>
      <c r="I109" s="534">
        <f t="shared" si="19"/>
        <v>154000</v>
      </c>
      <c r="J109" s="534">
        <f t="shared" si="19"/>
        <v>154000</v>
      </c>
      <c r="K109" s="534">
        <f t="shared" si="19"/>
        <v>154000</v>
      </c>
      <c r="L109" s="534">
        <f t="shared" si="19"/>
        <v>154000</v>
      </c>
      <c r="M109" s="534">
        <f t="shared" si="19"/>
        <v>154000</v>
      </c>
      <c r="N109" s="534">
        <f t="shared" si="19"/>
        <v>154000</v>
      </c>
      <c r="O109" s="534">
        <f t="shared" si="19"/>
        <v>154000</v>
      </c>
      <c r="P109" s="534">
        <f t="shared" si="19"/>
        <v>154000</v>
      </c>
      <c r="Q109" s="534">
        <f t="shared" si="19"/>
        <v>154000</v>
      </c>
      <c r="R109" s="534">
        <f t="shared" si="19"/>
        <v>154000</v>
      </c>
    </row>
    <row r="110" spans="2:18" x14ac:dyDescent="0.2">
      <c r="B110" s="808" t="s">
        <v>717</v>
      </c>
      <c r="C110" s="809" t="s">
        <v>712</v>
      </c>
      <c r="D110" s="810">
        <v>160</v>
      </c>
      <c r="E110" s="413">
        <v>5</v>
      </c>
      <c r="F110" s="481"/>
      <c r="G110" s="534">
        <f t="shared" si="19"/>
        <v>800</v>
      </c>
      <c r="H110" s="534">
        <f t="shared" si="19"/>
        <v>800</v>
      </c>
      <c r="I110" s="534">
        <f t="shared" si="19"/>
        <v>800</v>
      </c>
      <c r="J110" s="534">
        <f t="shared" si="19"/>
        <v>800</v>
      </c>
      <c r="K110" s="534">
        <f t="shared" si="19"/>
        <v>800</v>
      </c>
      <c r="L110" s="534">
        <f t="shared" si="19"/>
        <v>800</v>
      </c>
      <c r="M110" s="534">
        <f t="shared" si="19"/>
        <v>800</v>
      </c>
      <c r="N110" s="534">
        <f t="shared" si="19"/>
        <v>800</v>
      </c>
      <c r="O110" s="534">
        <f t="shared" si="19"/>
        <v>800</v>
      </c>
      <c r="P110" s="534">
        <f t="shared" si="19"/>
        <v>800</v>
      </c>
      <c r="Q110" s="534">
        <f t="shared" si="19"/>
        <v>800</v>
      </c>
      <c r="R110" s="534">
        <f t="shared" si="19"/>
        <v>800</v>
      </c>
    </row>
    <row r="111" spans="2:18" x14ac:dyDescent="0.2">
      <c r="B111" s="808" t="s">
        <v>718</v>
      </c>
      <c r="C111" s="815" t="s">
        <v>719</v>
      </c>
      <c r="D111" s="810">
        <v>650</v>
      </c>
      <c r="E111" s="413">
        <v>8</v>
      </c>
      <c r="F111" s="729"/>
      <c r="G111" s="534">
        <f t="shared" si="19"/>
        <v>5200</v>
      </c>
      <c r="H111" s="534">
        <f t="shared" si="19"/>
        <v>5200</v>
      </c>
      <c r="I111" s="534">
        <f t="shared" si="19"/>
        <v>5200</v>
      </c>
      <c r="J111" s="534">
        <f t="shared" si="19"/>
        <v>5200</v>
      </c>
      <c r="K111" s="534">
        <f t="shared" si="19"/>
        <v>5200</v>
      </c>
      <c r="L111" s="534">
        <f t="shared" si="19"/>
        <v>5200</v>
      </c>
      <c r="M111" s="534">
        <f t="shared" si="19"/>
        <v>5200</v>
      </c>
      <c r="N111" s="534">
        <f t="shared" si="19"/>
        <v>5200</v>
      </c>
      <c r="O111" s="534">
        <f t="shared" si="19"/>
        <v>5200</v>
      </c>
      <c r="P111" s="534">
        <f t="shared" si="19"/>
        <v>5200</v>
      </c>
      <c r="Q111" s="534">
        <f t="shared" si="19"/>
        <v>5200</v>
      </c>
      <c r="R111" s="534">
        <f t="shared" si="19"/>
        <v>5200</v>
      </c>
    </row>
    <row r="112" spans="2:18" x14ac:dyDescent="0.2">
      <c r="B112" s="808" t="s">
        <v>720</v>
      </c>
      <c r="C112" s="815" t="s">
        <v>721</v>
      </c>
      <c r="D112" s="810">
        <v>54360</v>
      </c>
      <c r="E112" s="413">
        <v>1</v>
      </c>
      <c r="F112" s="729"/>
      <c r="G112" s="534">
        <f t="shared" si="19"/>
        <v>54360</v>
      </c>
      <c r="H112" s="534">
        <f t="shared" si="19"/>
        <v>54360</v>
      </c>
      <c r="I112" s="534">
        <f t="shared" si="19"/>
        <v>54360</v>
      </c>
      <c r="J112" s="534">
        <f t="shared" ref="H112:R116" si="20">IF(J$18=0,0,J$18/$D$18*$E112*$D112)</f>
        <v>54360</v>
      </c>
      <c r="K112" s="534">
        <f t="shared" si="20"/>
        <v>54360</v>
      </c>
      <c r="L112" s="534">
        <f t="shared" si="20"/>
        <v>54360</v>
      </c>
      <c r="M112" s="534">
        <f t="shared" si="20"/>
        <v>54360</v>
      </c>
      <c r="N112" s="534">
        <f t="shared" si="20"/>
        <v>54360</v>
      </c>
      <c r="O112" s="534">
        <f t="shared" si="20"/>
        <v>54360</v>
      </c>
      <c r="P112" s="534">
        <f t="shared" si="20"/>
        <v>54360</v>
      </c>
      <c r="Q112" s="534">
        <f t="shared" si="20"/>
        <v>54360</v>
      </c>
      <c r="R112" s="534">
        <f t="shared" si="20"/>
        <v>54360</v>
      </c>
    </row>
    <row r="113" spans="2:20" x14ac:dyDescent="0.2">
      <c r="B113" s="808" t="s">
        <v>722</v>
      </c>
      <c r="C113" s="815" t="s">
        <v>723</v>
      </c>
      <c r="D113" s="810">
        <v>75650</v>
      </c>
      <c r="E113" s="413">
        <v>1</v>
      </c>
      <c r="F113" s="729"/>
      <c r="G113" s="534">
        <f t="shared" ref="G113:R120" si="21">IF(G$18=0,0,G$18/$D$18*$E113*$D113)</f>
        <v>75650</v>
      </c>
      <c r="H113" s="534">
        <f t="shared" si="20"/>
        <v>75650</v>
      </c>
      <c r="I113" s="534">
        <f t="shared" si="20"/>
        <v>75650</v>
      </c>
      <c r="J113" s="534">
        <f t="shared" si="20"/>
        <v>75650</v>
      </c>
      <c r="K113" s="534">
        <f t="shared" si="20"/>
        <v>75650</v>
      </c>
      <c r="L113" s="534">
        <f t="shared" si="20"/>
        <v>75650</v>
      </c>
      <c r="M113" s="534">
        <f t="shared" si="20"/>
        <v>75650</v>
      </c>
      <c r="N113" s="534">
        <f t="shared" si="20"/>
        <v>75650</v>
      </c>
      <c r="O113" s="534">
        <f t="shared" si="20"/>
        <v>75650</v>
      </c>
      <c r="P113" s="534">
        <f t="shared" si="20"/>
        <v>75650</v>
      </c>
      <c r="Q113" s="534">
        <f t="shared" si="20"/>
        <v>75650</v>
      </c>
      <c r="R113" s="534">
        <f t="shared" si="20"/>
        <v>75650</v>
      </c>
    </row>
    <row r="114" spans="2:20" x14ac:dyDescent="0.2">
      <c r="B114" s="808" t="s">
        <v>724</v>
      </c>
      <c r="C114" s="809" t="s">
        <v>725</v>
      </c>
      <c r="D114" s="810">
        <v>32500</v>
      </c>
      <c r="E114" s="413">
        <v>3</v>
      </c>
      <c r="F114" s="729"/>
      <c r="G114" s="534">
        <f t="shared" si="21"/>
        <v>97500</v>
      </c>
      <c r="H114" s="534">
        <f t="shared" si="20"/>
        <v>97500</v>
      </c>
      <c r="I114" s="534">
        <f t="shared" si="20"/>
        <v>97500</v>
      </c>
      <c r="J114" s="534">
        <f t="shared" si="20"/>
        <v>97500</v>
      </c>
      <c r="K114" s="534">
        <f t="shared" si="20"/>
        <v>97500</v>
      </c>
      <c r="L114" s="534">
        <f t="shared" si="20"/>
        <v>97500</v>
      </c>
      <c r="M114" s="534">
        <f t="shared" si="20"/>
        <v>97500</v>
      </c>
      <c r="N114" s="534">
        <f t="shared" si="20"/>
        <v>97500</v>
      </c>
      <c r="O114" s="534">
        <f t="shared" si="20"/>
        <v>97500</v>
      </c>
      <c r="P114" s="534">
        <f t="shared" si="20"/>
        <v>97500</v>
      </c>
      <c r="Q114" s="534">
        <f t="shared" si="20"/>
        <v>97500</v>
      </c>
      <c r="R114" s="534">
        <f t="shared" si="20"/>
        <v>97500</v>
      </c>
    </row>
    <row r="115" spans="2:20" x14ac:dyDescent="0.2">
      <c r="B115" s="816" t="s">
        <v>726</v>
      </c>
      <c r="C115" s="809" t="s">
        <v>727</v>
      </c>
      <c r="D115" s="810">
        <v>65650</v>
      </c>
      <c r="E115" s="413">
        <v>1</v>
      </c>
      <c r="F115" s="729"/>
      <c r="G115" s="534">
        <f t="shared" si="21"/>
        <v>65650</v>
      </c>
      <c r="H115" s="534">
        <f t="shared" si="20"/>
        <v>65650</v>
      </c>
      <c r="I115" s="534">
        <f t="shared" si="20"/>
        <v>65650</v>
      </c>
      <c r="J115" s="534">
        <f t="shared" si="20"/>
        <v>65650</v>
      </c>
      <c r="K115" s="534">
        <f t="shared" si="20"/>
        <v>65650</v>
      </c>
      <c r="L115" s="534">
        <f t="shared" si="20"/>
        <v>65650</v>
      </c>
      <c r="M115" s="534">
        <f t="shared" si="20"/>
        <v>65650</v>
      </c>
      <c r="N115" s="534">
        <f t="shared" si="20"/>
        <v>65650</v>
      </c>
      <c r="O115" s="534">
        <f t="shared" si="20"/>
        <v>65650</v>
      </c>
      <c r="P115" s="534">
        <f t="shared" si="20"/>
        <v>65650</v>
      </c>
      <c r="Q115" s="534">
        <f t="shared" si="20"/>
        <v>65650</v>
      </c>
      <c r="R115" s="534">
        <f t="shared" si="20"/>
        <v>65650</v>
      </c>
    </row>
    <row r="116" spans="2:20" x14ac:dyDescent="0.2">
      <c r="B116" s="816" t="s">
        <v>728</v>
      </c>
      <c r="C116" s="809" t="s">
        <v>729</v>
      </c>
      <c r="D116" s="810">
        <v>77170</v>
      </c>
      <c r="E116" s="413">
        <v>1</v>
      </c>
      <c r="F116" s="729"/>
      <c r="G116" s="534">
        <f t="shared" si="21"/>
        <v>77170</v>
      </c>
      <c r="H116" s="534">
        <f t="shared" si="20"/>
        <v>77170</v>
      </c>
      <c r="I116" s="534">
        <f t="shared" si="20"/>
        <v>77170</v>
      </c>
      <c r="J116" s="534">
        <f t="shared" si="20"/>
        <v>77170</v>
      </c>
      <c r="K116" s="534">
        <f t="shared" si="20"/>
        <v>77170</v>
      </c>
      <c r="L116" s="534">
        <f t="shared" si="20"/>
        <v>77170</v>
      </c>
      <c r="M116" s="534">
        <f t="shared" si="20"/>
        <v>77170</v>
      </c>
      <c r="N116" s="534">
        <f t="shared" si="20"/>
        <v>77170</v>
      </c>
      <c r="O116" s="534">
        <f t="shared" si="20"/>
        <v>77170</v>
      </c>
      <c r="P116" s="534">
        <f t="shared" si="20"/>
        <v>77170</v>
      </c>
      <c r="Q116" s="534">
        <f t="shared" si="20"/>
        <v>77170</v>
      </c>
      <c r="R116" s="534">
        <f t="shared" si="20"/>
        <v>77170</v>
      </c>
    </row>
    <row r="117" spans="2:20" x14ac:dyDescent="0.2">
      <c r="B117" s="816" t="s">
        <v>730</v>
      </c>
      <c r="C117" s="809" t="s">
        <v>731</v>
      </c>
      <c r="D117" s="810">
        <v>72110</v>
      </c>
      <c r="E117" s="413">
        <v>2</v>
      </c>
      <c r="F117" s="729"/>
      <c r="G117" s="534">
        <f t="shared" si="21"/>
        <v>144220</v>
      </c>
      <c r="H117" s="534">
        <f t="shared" si="21"/>
        <v>144220</v>
      </c>
      <c r="I117" s="534">
        <f t="shared" si="21"/>
        <v>144220</v>
      </c>
      <c r="J117" s="534">
        <f t="shared" si="21"/>
        <v>144220</v>
      </c>
      <c r="K117" s="534">
        <f t="shared" si="21"/>
        <v>144220</v>
      </c>
      <c r="L117" s="534">
        <f t="shared" si="21"/>
        <v>144220</v>
      </c>
      <c r="M117" s="534">
        <f t="shared" si="21"/>
        <v>144220</v>
      </c>
      <c r="N117" s="534">
        <f t="shared" si="21"/>
        <v>144220</v>
      </c>
      <c r="O117" s="534">
        <f t="shared" si="21"/>
        <v>144220</v>
      </c>
      <c r="P117" s="534">
        <f t="shared" si="21"/>
        <v>144220</v>
      </c>
      <c r="Q117" s="534">
        <f t="shared" si="21"/>
        <v>144220</v>
      </c>
      <c r="R117" s="534">
        <f t="shared" si="21"/>
        <v>144220</v>
      </c>
    </row>
    <row r="118" spans="2:20" x14ac:dyDescent="0.2">
      <c r="B118" s="816" t="s">
        <v>732</v>
      </c>
      <c r="C118" s="809" t="s">
        <v>733</v>
      </c>
      <c r="D118" s="810">
        <v>5390</v>
      </c>
      <c r="E118" s="413">
        <v>2</v>
      </c>
      <c r="F118" s="729"/>
      <c r="G118" s="534">
        <f t="shared" si="21"/>
        <v>10780</v>
      </c>
      <c r="H118" s="534">
        <f t="shared" si="21"/>
        <v>10780</v>
      </c>
      <c r="I118" s="534">
        <f t="shared" si="21"/>
        <v>10780</v>
      </c>
      <c r="J118" s="534">
        <f t="shared" si="21"/>
        <v>10780</v>
      </c>
      <c r="K118" s="534">
        <f t="shared" si="21"/>
        <v>10780</v>
      </c>
      <c r="L118" s="534">
        <f t="shared" si="21"/>
        <v>10780</v>
      </c>
      <c r="M118" s="534">
        <f t="shared" si="21"/>
        <v>10780</v>
      </c>
      <c r="N118" s="534">
        <f t="shared" si="21"/>
        <v>10780</v>
      </c>
      <c r="O118" s="534">
        <f t="shared" si="21"/>
        <v>10780</v>
      </c>
      <c r="P118" s="534">
        <f t="shared" si="21"/>
        <v>10780</v>
      </c>
      <c r="Q118" s="534">
        <f t="shared" si="21"/>
        <v>10780</v>
      </c>
      <c r="R118" s="534">
        <f t="shared" si="21"/>
        <v>10780</v>
      </c>
    </row>
    <row r="119" spans="2:20" x14ac:dyDescent="0.2">
      <c r="B119" s="816" t="s">
        <v>732</v>
      </c>
      <c r="C119" s="809" t="s">
        <v>734</v>
      </c>
      <c r="D119" s="810">
        <v>2970</v>
      </c>
      <c r="E119" s="413">
        <v>2</v>
      </c>
      <c r="F119" s="729"/>
      <c r="G119" s="534">
        <f t="shared" si="21"/>
        <v>5940</v>
      </c>
      <c r="H119" s="534">
        <f t="shared" si="21"/>
        <v>5940</v>
      </c>
      <c r="I119" s="534">
        <f t="shared" si="21"/>
        <v>5940</v>
      </c>
      <c r="J119" s="534">
        <f t="shared" si="21"/>
        <v>5940</v>
      </c>
      <c r="K119" s="534">
        <f t="shared" si="21"/>
        <v>5940</v>
      </c>
      <c r="L119" s="534">
        <f t="shared" si="21"/>
        <v>5940</v>
      </c>
      <c r="M119" s="534">
        <f t="shared" si="21"/>
        <v>5940</v>
      </c>
      <c r="N119" s="534">
        <f t="shared" si="21"/>
        <v>5940</v>
      </c>
      <c r="O119" s="534">
        <f t="shared" si="21"/>
        <v>5940</v>
      </c>
      <c r="P119" s="534">
        <f t="shared" si="21"/>
        <v>5940</v>
      </c>
      <c r="Q119" s="534">
        <f t="shared" si="21"/>
        <v>5940</v>
      </c>
      <c r="R119" s="534">
        <f t="shared" si="21"/>
        <v>5940</v>
      </c>
    </row>
    <row r="120" spans="2:20" ht="13.6" thickBot="1" x14ac:dyDescent="0.25">
      <c r="B120" s="817" t="s">
        <v>732</v>
      </c>
      <c r="C120" s="818" t="s">
        <v>735</v>
      </c>
      <c r="D120" s="819">
        <v>1270</v>
      </c>
      <c r="E120" s="546">
        <v>8</v>
      </c>
      <c r="F120" s="729"/>
      <c r="G120" s="534">
        <f t="shared" si="21"/>
        <v>10160</v>
      </c>
      <c r="H120" s="534">
        <f t="shared" si="21"/>
        <v>10160</v>
      </c>
      <c r="I120" s="534">
        <f t="shared" si="21"/>
        <v>10160</v>
      </c>
      <c r="J120" s="534">
        <f t="shared" si="21"/>
        <v>10160</v>
      </c>
      <c r="K120" s="534">
        <f t="shared" si="21"/>
        <v>10160</v>
      </c>
      <c r="L120" s="534">
        <f t="shared" si="21"/>
        <v>10160</v>
      </c>
      <c r="M120" s="534">
        <f t="shared" si="21"/>
        <v>10160</v>
      </c>
      <c r="N120" s="534">
        <f t="shared" si="21"/>
        <v>10160</v>
      </c>
      <c r="O120" s="534">
        <f t="shared" si="21"/>
        <v>10160</v>
      </c>
      <c r="P120" s="534">
        <f t="shared" si="21"/>
        <v>10160</v>
      </c>
      <c r="Q120" s="534">
        <f t="shared" si="21"/>
        <v>10160</v>
      </c>
      <c r="R120" s="534">
        <f t="shared" si="21"/>
        <v>10160</v>
      </c>
      <c r="T120" s="811">
        <f>SUM(R91:R120)</f>
        <v>1081409</v>
      </c>
    </row>
  </sheetData>
  <mergeCells count="2">
    <mergeCell ref="B11:R11"/>
    <mergeCell ref="B19:R19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89" max="16383" man="1"/>
  </rowBreaks>
  <colBreaks count="1" manualBreakCount="1">
    <brk id="19" max="1048575" man="1"/>
  </col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682D-A7D5-432A-BCF7-CEA0B280BCAE}">
  <sheetPr>
    <tabColor theme="8" tint="0.79998168889431442"/>
  </sheetPr>
  <dimension ref="B2:R108"/>
  <sheetViews>
    <sheetView showGridLines="0" zoomScale="85" zoomScaleNormal="85" zoomScaleSheetLayoutView="80" workbookViewId="0">
      <pane xSplit="2" ySplit="6" topLeftCell="C7" activePane="bottomRight" state="frozen"/>
      <selection activeCell="X47" sqref="X47"/>
      <selection pane="topRight" activeCell="X47" sqref="X47"/>
      <selection pane="bottomLeft" activeCell="X47" sqref="X47"/>
      <selection pane="bottomRight" activeCell="Q47" sqref="Q47"/>
    </sheetView>
  </sheetViews>
  <sheetFormatPr defaultColWidth="9.125" defaultRowHeight="12.9" x14ac:dyDescent="0.2"/>
  <cols>
    <col min="1" max="1" width="5.375" style="456" customWidth="1"/>
    <col min="2" max="2" width="40.25" style="456" customWidth="1"/>
    <col min="3" max="3" width="17.375" style="456" customWidth="1"/>
    <col min="4" max="4" width="14.125" style="456" customWidth="1"/>
    <col min="5" max="5" width="11.375" style="456" customWidth="1"/>
    <col min="6" max="6" width="11.75" style="456" customWidth="1"/>
    <col min="7" max="7" width="13.25" style="456" customWidth="1"/>
    <col min="8" max="8" width="11.5" style="456" customWidth="1"/>
    <col min="9" max="9" width="15" style="456" customWidth="1"/>
    <col min="10" max="10" width="10.875" style="456" customWidth="1"/>
    <col min="11" max="11" width="14.25" style="456" customWidth="1"/>
    <col min="12" max="12" width="15.375" style="456" customWidth="1"/>
    <col min="13" max="13" width="13.25" style="456" customWidth="1"/>
    <col min="14" max="14" width="10.875" style="456" customWidth="1"/>
    <col min="15" max="15" width="16.375" style="456" bestFit="1" customWidth="1"/>
    <col min="16" max="16" width="11.875" style="456" customWidth="1"/>
    <col min="17" max="17" width="15" style="456" customWidth="1"/>
    <col min="18" max="18" width="16.875" style="456" customWidth="1"/>
    <col min="19" max="19" width="14.5" style="456" bestFit="1" customWidth="1"/>
    <col min="20" max="16384" width="9.125" style="456"/>
  </cols>
  <sheetData>
    <row r="2" spans="2:17" x14ac:dyDescent="0.2">
      <c r="B2" s="378" t="s">
        <v>327</v>
      </c>
    </row>
    <row r="3" spans="2:17" ht="16.5" customHeight="1" thickBot="1" x14ac:dyDescent="0.25">
      <c r="B3" s="456" t="s">
        <v>442</v>
      </c>
      <c r="F3" s="552">
        <f>'БС-215'!E6</f>
        <v>0.92538685946220189</v>
      </c>
      <c r="G3" s="552">
        <f>'БС-215'!F6</f>
        <v>0.92272323693556568</v>
      </c>
      <c r="H3" s="552">
        <f>'БС-215'!G6</f>
        <v>0.92139142567224752</v>
      </c>
      <c r="I3" s="552">
        <f>'БС-215'!H6</f>
        <v>0.89075976661593104</v>
      </c>
      <c r="J3" s="552">
        <f>'БС-215'!I6</f>
        <v>0.92005961440892947</v>
      </c>
      <c r="K3" s="552">
        <f>'БС-215'!J6</f>
        <v>0.91340055809233889</v>
      </c>
      <c r="L3" s="552">
        <f>'БС-215'!K6</f>
        <v>0.89075976661593104</v>
      </c>
      <c r="M3" s="552">
        <f>'БС-215'!L6</f>
        <v>0.91739599188229326</v>
      </c>
      <c r="N3" s="552">
        <f>'БС-215'!M6</f>
        <v>0.91872780314561142</v>
      </c>
      <c r="O3" s="552">
        <f>'БС-215'!N6</f>
        <v>0.88809614408929483</v>
      </c>
      <c r="P3" s="552">
        <f>'БС-215'!O6</f>
        <v>0.91473236935565705</v>
      </c>
      <c r="Q3" s="552">
        <f>'БС-215'!P6</f>
        <v>0.92139142567224752</v>
      </c>
    </row>
    <row r="4" spans="2:17" s="550" customFormat="1" ht="22.95" customHeight="1" x14ac:dyDescent="0.25">
      <c r="B4" s="553" t="s">
        <v>373</v>
      </c>
      <c r="C4" s="554" t="s">
        <v>443</v>
      </c>
      <c r="D4" s="555"/>
      <c r="E4" s="555"/>
      <c r="F4" s="388">
        <v>1</v>
      </c>
      <c r="G4" s="388">
        <f>F4+1</f>
        <v>2</v>
      </c>
      <c r="H4" s="388">
        <f t="shared" ref="H4:O4" si="0">G4+1</f>
        <v>3</v>
      </c>
      <c r="I4" s="388">
        <f t="shared" si="0"/>
        <v>4</v>
      </c>
      <c r="J4" s="388">
        <f t="shared" si="0"/>
        <v>5</v>
      </c>
      <c r="K4" s="388">
        <f t="shared" si="0"/>
        <v>6</v>
      </c>
      <c r="L4" s="388">
        <f t="shared" si="0"/>
        <v>7</v>
      </c>
      <c r="M4" s="388">
        <f t="shared" si="0"/>
        <v>8</v>
      </c>
      <c r="N4" s="388">
        <f t="shared" si="0"/>
        <v>9</v>
      </c>
      <c r="O4" s="388">
        <f t="shared" si="0"/>
        <v>10</v>
      </c>
      <c r="P4" s="388">
        <f>O4+1</f>
        <v>11</v>
      </c>
      <c r="Q4" s="388">
        <f>P4+1</f>
        <v>12</v>
      </c>
    </row>
    <row r="5" spans="2:17" x14ac:dyDescent="0.2">
      <c r="B5" s="469" t="s">
        <v>374</v>
      </c>
      <c r="C5" s="557" t="s">
        <v>375</v>
      </c>
      <c r="D5" s="471"/>
      <c r="E5" s="559"/>
      <c r="F5" s="474">
        <v>0</v>
      </c>
      <c r="G5" s="474">
        <f>F6+1</f>
        <v>7001</v>
      </c>
      <c r="H5" s="474">
        <f t="shared" ref="H5:Q5" si="1">G6+1</f>
        <v>14001</v>
      </c>
      <c r="I5" s="474">
        <f t="shared" si="1"/>
        <v>21001</v>
      </c>
      <c r="J5" s="474">
        <f t="shared" si="1"/>
        <v>28001</v>
      </c>
      <c r="K5" s="474">
        <f t="shared" si="1"/>
        <v>35001</v>
      </c>
      <c r="L5" s="474">
        <f t="shared" si="1"/>
        <v>42001</v>
      </c>
      <c r="M5" s="474">
        <f t="shared" si="1"/>
        <v>49001</v>
      </c>
      <c r="N5" s="474">
        <f t="shared" si="1"/>
        <v>56001</v>
      </c>
      <c r="O5" s="474">
        <f t="shared" si="1"/>
        <v>63001</v>
      </c>
      <c r="P5" s="474">
        <f t="shared" si="1"/>
        <v>70001</v>
      </c>
      <c r="Q5" s="474">
        <f t="shared" si="1"/>
        <v>77001</v>
      </c>
    </row>
    <row r="6" spans="2:17" ht="13.6" thickBot="1" x14ac:dyDescent="0.25">
      <c r="B6" s="560" t="s">
        <v>376</v>
      </c>
      <c r="C6" s="561" t="s">
        <v>375</v>
      </c>
      <c r="D6" s="563"/>
      <c r="E6" s="562">
        <f>'БС-215 ТО'!F6</f>
        <v>7000</v>
      </c>
      <c r="F6" s="564">
        <f>E6</f>
        <v>7000</v>
      </c>
      <c r="G6" s="564">
        <f t="shared" ref="G6:Q6" si="2">F6+$E6</f>
        <v>14000</v>
      </c>
      <c r="H6" s="564">
        <f t="shared" si="2"/>
        <v>21000</v>
      </c>
      <c r="I6" s="564">
        <f t="shared" si="2"/>
        <v>28000</v>
      </c>
      <c r="J6" s="564">
        <f t="shared" si="2"/>
        <v>35000</v>
      </c>
      <c r="K6" s="564">
        <f t="shared" si="2"/>
        <v>42000</v>
      </c>
      <c r="L6" s="564">
        <f t="shared" si="2"/>
        <v>49000</v>
      </c>
      <c r="M6" s="564">
        <f t="shared" si="2"/>
        <v>56000</v>
      </c>
      <c r="N6" s="564">
        <f t="shared" si="2"/>
        <v>63000</v>
      </c>
      <c r="O6" s="564">
        <f t="shared" si="2"/>
        <v>70000</v>
      </c>
      <c r="P6" s="564">
        <f t="shared" si="2"/>
        <v>77000</v>
      </c>
      <c r="Q6" s="564">
        <f t="shared" si="2"/>
        <v>84000</v>
      </c>
    </row>
    <row r="7" spans="2:17" ht="13.6" thickBot="1" x14ac:dyDescent="0.25">
      <c r="B7" s="566"/>
    </row>
    <row r="8" spans="2:17" ht="21.75" customHeight="1" thickBot="1" x14ac:dyDescent="0.25">
      <c r="B8" s="820" t="s">
        <v>444</v>
      </c>
      <c r="C8" s="821" t="s">
        <v>337</v>
      </c>
      <c r="D8" s="409"/>
      <c r="E8" s="409"/>
      <c r="F8" s="528">
        <f>F16</f>
        <v>186</v>
      </c>
      <c r="G8" s="528">
        <f t="shared" ref="G8:Q8" si="3">G16</f>
        <v>210</v>
      </c>
      <c r="H8" s="528">
        <f>H16</f>
        <v>222</v>
      </c>
      <c r="I8" s="528">
        <f t="shared" si="3"/>
        <v>498</v>
      </c>
      <c r="J8" s="528">
        <f t="shared" si="3"/>
        <v>234</v>
      </c>
      <c r="K8" s="528">
        <f t="shared" si="3"/>
        <v>294</v>
      </c>
      <c r="L8" s="528">
        <f t="shared" si="3"/>
        <v>498</v>
      </c>
      <c r="M8" s="528">
        <f t="shared" si="3"/>
        <v>258</v>
      </c>
      <c r="N8" s="528">
        <f t="shared" si="3"/>
        <v>246</v>
      </c>
      <c r="O8" s="528">
        <f t="shared" si="3"/>
        <v>522</v>
      </c>
      <c r="P8" s="528">
        <f t="shared" si="3"/>
        <v>282</v>
      </c>
      <c r="Q8" s="528">
        <f t="shared" si="3"/>
        <v>222</v>
      </c>
    </row>
    <row r="9" spans="2:17" ht="21.1" customHeight="1" thickBot="1" x14ac:dyDescent="0.25">
      <c r="B9" s="822" t="s">
        <v>352</v>
      </c>
      <c r="C9" s="823" t="s">
        <v>736</v>
      </c>
      <c r="D9" s="398"/>
      <c r="E9" s="398"/>
      <c r="F9" s="483">
        <f>SUM(F10:F12)</f>
        <v>2598181.5199999996</v>
      </c>
      <c r="G9" s="483">
        <f>SUM(G10:G12)</f>
        <v>2974821.1999999993</v>
      </c>
      <c r="H9" s="483">
        <f>SUM(H10:H12)</f>
        <v>8548215.0399999991</v>
      </c>
      <c r="I9" s="483">
        <f t="shared" ref="I9:Q9" si="4">SUM(I10:I12)</f>
        <v>14803449.359999999</v>
      </c>
      <c r="J9" s="483">
        <f t="shared" si="4"/>
        <v>4706452.88</v>
      </c>
      <c r="K9" s="483">
        <f t="shared" si="4"/>
        <v>9856262.0800000001</v>
      </c>
      <c r="L9" s="483">
        <f t="shared" si="4"/>
        <v>10707009.359999999</v>
      </c>
      <c r="M9" s="483">
        <f t="shared" si="4"/>
        <v>9902668.5599999987</v>
      </c>
      <c r="N9" s="483">
        <f t="shared" si="4"/>
        <v>8924854.7199999988</v>
      </c>
      <c r="O9" s="483">
        <f t="shared" si="4"/>
        <v>10538641.039999999</v>
      </c>
      <c r="P9" s="483">
        <f t="shared" si="4"/>
        <v>15038684.24</v>
      </c>
      <c r="Q9" s="733">
        <f t="shared" si="4"/>
        <v>3788839.0399999996</v>
      </c>
    </row>
    <row r="10" spans="2:17" ht="23.3" customHeight="1" thickBot="1" x14ac:dyDescent="0.25">
      <c r="B10" s="824" t="s">
        <v>355</v>
      </c>
      <c r="C10" s="487" t="s">
        <v>737</v>
      </c>
      <c r="D10" s="434"/>
      <c r="E10" s="434"/>
      <c r="F10" s="488">
        <f>F79</f>
        <v>530000</v>
      </c>
      <c r="G10" s="488">
        <f t="shared" ref="G10:Q10" si="5">G79</f>
        <v>530000</v>
      </c>
      <c r="H10" s="488">
        <f t="shared" si="5"/>
        <v>530000</v>
      </c>
      <c r="I10" s="488">
        <f t="shared" si="5"/>
        <v>530000</v>
      </c>
      <c r="J10" s="488">
        <f t="shared" si="5"/>
        <v>530000</v>
      </c>
      <c r="K10" s="488">
        <f t="shared" si="5"/>
        <v>530000</v>
      </c>
      <c r="L10" s="488">
        <f t="shared" si="5"/>
        <v>530000</v>
      </c>
      <c r="M10" s="488">
        <f t="shared" si="5"/>
        <v>530000</v>
      </c>
      <c r="N10" s="488">
        <f t="shared" si="5"/>
        <v>530000</v>
      </c>
      <c r="O10" s="488">
        <f t="shared" si="5"/>
        <v>530000</v>
      </c>
      <c r="P10" s="488">
        <f t="shared" si="5"/>
        <v>530000</v>
      </c>
      <c r="Q10" s="570">
        <f t="shared" si="5"/>
        <v>530000</v>
      </c>
    </row>
    <row r="11" spans="2:17" ht="27.7" customHeight="1" thickBot="1" x14ac:dyDescent="0.25">
      <c r="B11" s="824" t="s">
        <v>356</v>
      </c>
      <c r="C11" s="487" t="s">
        <v>737</v>
      </c>
      <c r="D11" s="434"/>
      <c r="E11" s="434"/>
      <c r="F11" s="488">
        <f t="shared" ref="F11:Q11" si="6">F84</f>
        <v>1014060</v>
      </c>
      <c r="G11" s="488">
        <f t="shared" si="6"/>
        <v>1254684</v>
      </c>
      <c r="H11" s="488">
        <f t="shared" si="6"/>
        <v>6760070</v>
      </c>
      <c r="I11" s="488">
        <f t="shared" si="6"/>
        <v>11451124</v>
      </c>
      <c r="J11" s="488">
        <f t="shared" si="6"/>
        <v>2850300</v>
      </c>
      <c r="K11" s="488">
        <f t="shared" si="6"/>
        <v>7660070</v>
      </c>
      <c r="L11" s="488">
        <f t="shared" si="6"/>
        <v>7354684</v>
      </c>
      <c r="M11" s="488">
        <f t="shared" si="6"/>
        <v>7910500</v>
      </c>
      <c r="N11" s="488">
        <f t="shared" si="6"/>
        <v>7000694</v>
      </c>
      <c r="O11" s="488">
        <f t="shared" si="6"/>
        <v>7050300</v>
      </c>
      <c r="P11" s="488">
        <f t="shared" si="6"/>
        <v>12910500</v>
      </c>
      <c r="Q11" s="570">
        <f t="shared" si="6"/>
        <v>2000694</v>
      </c>
    </row>
    <row r="12" spans="2:17" ht="23.3" customHeight="1" thickBot="1" x14ac:dyDescent="0.25">
      <c r="B12" s="824" t="s">
        <v>446</v>
      </c>
      <c r="C12" s="825" t="s">
        <v>737</v>
      </c>
      <c r="D12" s="571"/>
      <c r="E12" s="571"/>
      <c r="F12" s="493">
        <f>SUMPRODUCT(F$48:F$75,$D48:$D75)</f>
        <v>1054121.5199999998</v>
      </c>
      <c r="G12" s="493">
        <f t="shared" ref="G12:Q12" si="7">SUMPRODUCT(G$48:G$75,$D48:$D75)</f>
        <v>1190137.1999999995</v>
      </c>
      <c r="H12" s="493">
        <f t="shared" si="7"/>
        <v>1258145.0399999996</v>
      </c>
      <c r="I12" s="493">
        <f t="shared" si="7"/>
        <v>2822325.36</v>
      </c>
      <c r="J12" s="493">
        <f t="shared" si="7"/>
        <v>1326152.8799999999</v>
      </c>
      <c r="K12" s="493">
        <f t="shared" si="7"/>
        <v>1666192.0799999996</v>
      </c>
      <c r="L12" s="493">
        <f t="shared" si="7"/>
        <v>2822325.36</v>
      </c>
      <c r="M12" s="493">
        <f t="shared" si="7"/>
        <v>1462168.5599999996</v>
      </c>
      <c r="N12" s="493">
        <f t="shared" si="7"/>
        <v>1394160.7199999995</v>
      </c>
      <c r="O12" s="493">
        <f t="shared" si="7"/>
        <v>2958341.0399999996</v>
      </c>
      <c r="P12" s="493">
        <f t="shared" si="7"/>
        <v>1598184.2399999995</v>
      </c>
      <c r="Q12" s="493">
        <f t="shared" si="7"/>
        <v>1258145.0399999996</v>
      </c>
    </row>
    <row r="13" spans="2:17" x14ac:dyDescent="0.2">
      <c r="B13" s="572"/>
      <c r="E13" s="573"/>
      <c r="F13" s="574"/>
      <c r="G13" s="574"/>
      <c r="H13" s="574"/>
      <c r="I13" s="574"/>
      <c r="J13" s="574"/>
      <c r="K13" s="574"/>
      <c r="L13" s="574"/>
      <c r="M13" s="574"/>
      <c r="N13" s="574"/>
      <c r="O13" s="574"/>
      <c r="P13" s="574"/>
      <c r="Q13" s="574"/>
    </row>
    <row r="14" spans="2:17" ht="14.3" thickBot="1" x14ac:dyDescent="0.3">
      <c r="B14" s="575" t="s">
        <v>447</v>
      </c>
      <c r="E14" s="573"/>
      <c r="F14" s="574"/>
      <c r="G14" s="574"/>
      <c r="H14" s="574"/>
      <c r="I14" s="574"/>
      <c r="J14" s="574"/>
      <c r="K14" s="574"/>
      <c r="L14" s="574"/>
      <c r="M14" s="574"/>
      <c r="N14" s="574"/>
      <c r="O14" s="574"/>
      <c r="P14" s="574"/>
      <c r="Q14" s="574"/>
    </row>
    <row r="15" spans="2:17" ht="14.3" thickBot="1" x14ac:dyDescent="0.25">
      <c r="B15" s="458" t="s">
        <v>448</v>
      </c>
      <c r="C15" s="554" t="s">
        <v>443</v>
      </c>
      <c r="D15" s="734"/>
      <c r="E15" s="734"/>
      <c r="F15" s="735" t="s">
        <v>337</v>
      </c>
      <c r="G15" s="522" t="s">
        <v>337</v>
      </c>
      <c r="H15" s="522" t="s">
        <v>337</v>
      </c>
      <c r="I15" s="522" t="s">
        <v>337</v>
      </c>
      <c r="J15" s="522" t="s">
        <v>337</v>
      </c>
      <c r="K15" s="522" t="s">
        <v>337</v>
      </c>
      <c r="L15" s="522" t="s">
        <v>337</v>
      </c>
      <c r="M15" s="522" t="s">
        <v>337</v>
      </c>
      <c r="N15" s="522" t="s">
        <v>337</v>
      </c>
      <c r="O15" s="522" t="s">
        <v>337</v>
      </c>
      <c r="P15" s="522" t="s">
        <v>337</v>
      </c>
      <c r="Q15" s="736" t="s">
        <v>337</v>
      </c>
    </row>
    <row r="16" spans="2:17" ht="13.6" customHeight="1" thickBot="1" x14ac:dyDescent="0.3">
      <c r="B16" s="826" t="s">
        <v>449</v>
      </c>
      <c r="C16" s="827"/>
      <c r="D16" s="828"/>
      <c r="E16" s="828"/>
      <c r="F16" s="829">
        <f>SUM(F17:F44)</f>
        <v>186</v>
      </c>
      <c r="G16" s="829">
        <f t="shared" ref="G16:Q16" si="8">SUM(G17:G44)</f>
        <v>210</v>
      </c>
      <c r="H16" s="829">
        <f t="shared" si="8"/>
        <v>222</v>
      </c>
      <c r="I16" s="829">
        <f t="shared" si="8"/>
        <v>498</v>
      </c>
      <c r="J16" s="829">
        <f t="shared" si="8"/>
        <v>234</v>
      </c>
      <c r="K16" s="829">
        <f t="shared" si="8"/>
        <v>294</v>
      </c>
      <c r="L16" s="829">
        <f t="shared" si="8"/>
        <v>498</v>
      </c>
      <c r="M16" s="829">
        <f t="shared" si="8"/>
        <v>258</v>
      </c>
      <c r="N16" s="829">
        <f t="shared" si="8"/>
        <v>246</v>
      </c>
      <c r="O16" s="829">
        <f t="shared" si="8"/>
        <v>522</v>
      </c>
      <c r="P16" s="829">
        <f t="shared" si="8"/>
        <v>282</v>
      </c>
      <c r="Q16" s="829">
        <f t="shared" si="8"/>
        <v>222</v>
      </c>
    </row>
    <row r="17" spans="2:17" ht="13.6" x14ac:dyDescent="0.25">
      <c r="B17" s="830" t="s">
        <v>738</v>
      </c>
      <c r="C17" s="528" t="s">
        <v>337</v>
      </c>
      <c r="D17" s="831"/>
      <c r="E17" s="528"/>
      <c r="F17" s="832">
        <v>50</v>
      </c>
      <c r="G17" s="832">
        <v>50</v>
      </c>
      <c r="H17" s="832">
        <v>50</v>
      </c>
      <c r="I17" s="832">
        <v>50</v>
      </c>
      <c r="J17" s="832">
        <v>50</v>
      </c>
      <c r="K17" s="832">
        <v>50</v>
      </c>
      <c r="L17" s="832">
        <v>50</v>
      </c>
      <c r="M17" s="832">
        <v>50</v>
      </c>
      <c r="N17" s="832">
        <v>50</v>
      </c>
      <c r="O17" s="832">
        <v>50</v>
      </c>
      <c r="P17" s="832">
        <v>50</v>
      </c>
      <c r="Q17" s="832">
        <v>50</v>
      </c>
    </row>
    <row r="18" spans="2:17" ht="13.6" x14ac:dyDescent="0.25">
      <c r="B18" s="833" t="s">
        <v>626</v>
      </c>
      <c r="C18" s="481" t="s">
        <v>337</v>
      </c>
      <c r="D18" s="745"/>
      <c r="E18" s="481"/>
      <c r="F18" s="834">
        <v>15</v>
      </c>
      <c r="G18" s="834">
        <v>15</v>
      </c>
      <c r="H18" s="834">
        <v>15</v>
      </c>
      <c r="I18" s="834">
        <v>15</v>
      </c>
      <c r="J18" s="834">
        <v>15</v>
      </c>
      <c r="K18" s="834">
        <v>15</v>
      </c>
      <c r="L18" s="834">
        <v>15</v>
      </c>
      <c r="M18" s="834">
        <v>15</v>
      </c>
      <c r="N18" s="834">
        <v>15</v>
      </c>
      <c r="O18" s="834">
        <v>15</v>
      </c>
      <c r="P18" s="834">
        <v>15</v>
      </c>
      <c r="Q18" s="834">
        <v>15</v>
      </c>
    </row>
    <row r="19" spans="2:17" ht="13.6" x14ac:dyDescent="0.25">
      <c r="B19" s="835" t="s">
        <v>739</v>
      </c>
      <c r="C19" s="481" t="s">
        <v>337</v>
      </c>
      <c r="D19" s="745"/>
      <c r="E19" s="481"/>
      <c r="F19" s="834">
        <v>15</v>
      </c>
      <c r="G19" s="834">
        <v>15</v>
      </c>
      <c r="H19" s="834">
        <v>15</v>
      </c>
      <c r="I19" s="834">
        <v>15</v>
      </c>
      <c r="J19" s="834">
        <v>15</v>
      </c>
      <c r="K19" s="834">
        <v>15</v>
      </c>
      <c r="L19" s="834">
        <v>15</v>
      </c>
      <c r="M19" s="834">
        <v>15</v>
      </c>
      <c r="N19" s="834">
        <v>15</v>
      </c>
      <c r="O19" s="834">
        <v>15</v>
      </c>
      <c r="P19" s="834">
        <v>15</v>
      </c>
      <c r="Q19" s="834">
        <v>15</v>
      </c>
    </row>
    <row r="20" spans="2:17" ht="14.3" thickBot="1" x14ac:dyDescent="0.3">
      <c r="B20" s="836" t="s">
        <v>740</v>
      </c>
      <c r="C20" s="562" t="s">
        <v>337</v>
      </c>
      <c r="D20" s="837"/>
      <c r="E20" s="562"/>
      <c r="F20" s="838">
        <v>40</v>
      </c>
      <c r="G20" s="838">
        <v>40</v>
      </c>
      <c r="H20" s="838">
        <v>40</v>
      </c>
      <c r="I20" s="838">
        <v>40</v>
      </c>
      <c r="J20" s="838">
        <v>40</v>
      </c>
      <c r="K20" s="838">
        <v>40</v>
      </c>
      <c r="L20" s="838">
        <v>40</v>
      </c>
      <c r="M20" s="838">
        <v>40</v>
      </c>
      <c r="N20" s="838">
        <v>40</v>
      </c>
      <c r="O20" s="838">
        <v>40</v>
      </c>
      <c r="P20" s="838">
        <v>40</v>
      </c>
      <c r="Q20" s="838">
        <v>40</v>
      </c>
    </row>
    <row r="21" spans="2:17" ht="13.6" x14ac:dyDescent="0.25">
      <c r="B21" s="839" t="s">
        <v>741</v>
      </c>
      <c r="C21" s="741" t="s">
        <v>337</v>
      </c>
      <c r="D21" s="742"/>
      <c r="E21" s="741"/>
      <c r="F21" s="840"/>
      <c r="G21" s="840"/>
      <c r="H21" s="840"/>
      <c r="I21" s="840">
        <v>216</v>
      </c>
      <c r="J21" s="840"/>
      <c r="K21" s="840"/>
      <c r="L21" s="840">
        <v>216</v>
      </c>
      <c r="M21" s="840"/>
      <c r="N21" s="840"/>
      <c r="O21" s="840">
        <v>216</v>
      </c>
      <c r="P21" s="840"/>
      <c r="Q21" s="841"/>
    </row>
    <row r="22" spans="2:17" ht="13.6" x14ac:dyDescent="0.25">
      <c r="B22" s="842" t="s">
        <v>742</v>
      </c>
      <c r="C22" s="741" t="s">
        <v>337</v>
      </c>
      <c r="D22" s="742"/>
      <c r="E22" s="741"/>
      <c r="F22" s="840"/>
      <c r="G22" s="840">
        <v>24</v>
      </c>
      <c r="H22" s="840"/>
      <c r="I22" s="840">
        <v>24</v>
      </c>
      <c r="J22" s="840"/>
      <c r="K22" s="840"/>
      <c r="L22" s="840">
        <v>24</v>
      </c>
      <c r="M22" s="840"/>
      <c r="N22" s="840">
        <v>24</v>
      </c>
      <c r="O22" s="840"/>
      <c r="P22" s="840"/>
      <c r="Q22" s="841">
        <v>24</v>
      </c>
    </row>
    <row r="23" spans="2:17" ht="14.3" thickBot="1" x14ac:dyDescent="0.3">
      <c r="B23" s="843" t="s">
        <v>570</v>
      </c>
      <c r="C23" s="741" t="s">
        <v>337</v>
      </c>
      <c r="D23" s="745"/>
      <c r="E23" s="481"/>
      <c r="F23" s="844"/>
      <c r="G23" s="844"/>
      <c r="H23" s="844"/>
      <c r="I23" s="844"/>
      <c r="J23" s="844"/>
      <c r="K23" s="844"/>
      <c r="L23" s="844"/>
      <c r="M23" s="844"/>
      <c r="N23" s="844"/>
      <c r="O23" s="844"/>
      <c r="P23" s="844"/>
      <c r="Q23" s="845"/>
    </row>
    <row r="24" spans="2:17" ht="13.6" x14ac:dyDescent="0.25">
      <c r="B24" s="846" t="s">
        <v>743</v>
      </c>
      <c r="C24" s="528" t="s">
        <v>337</v>
      </c>
      <c r="D24" s="831"/>
      <c r="E24" s="528"/>
      <c r="F24" s="847"/>
      <c r="G24" s="847"/>
      <c r="H24" s="847"/>
      <c r="I24" s="847"/>
      <c r="J24" s="847"/>
      <c r="K24" s="847">
        <v>72</v>
      </c>
      <c r="L24" s="847"/>
      <c r="M24" s="847"/>
      <c r="N24" s="847"/>
      <c r="O24" s="848">
        <v>72</v>
      </c>
      <c r="P24" s="847"/>
      <c r="Q24" s="847"/>
    </row>
    <row r="25" spans="2:17" ht="14.3" thickBot="1" x14ac:dyDescent="0.3">
      <c r="B25" s="849" t="s">
        <v>570</v>
      </c>
      <c r="C25" s="741" t="s">
        <v>337</v>
      </c>
      <c r="D25" s="742"/>
      <c r="E25" s="741"/>
      <c r="F25" s="850"/>
      <c r="G25" s="850"/>
      <c r="H25" s="850"/>
      <c r="I25" s="850"/>
      <c r="J25" s="850"/>
      <c r="K25" s="850"/>
      <c r="L25" s="850"/>
      <c r="M25" s="850"/>
      <c r="N25" s="850"/>
      <c r="O25" s="850"/>
      <c r="P25" s="850"/>
      <c r="Q25" s="851"/>
    </row>
    <row r="26" spans="2:17" ht="14.3" thickBot="1" x14ac:dyDescent="0.3">
      <c r="B26" s="849" t="s">
        <v>570</v>
      </c>
      <c r="C26" s="741" t="s">
        <v>337</v>
      </c>
      <c r="D26" s="745"/>
      <c r="E26" s="481"/>
      <c r="F26" s="834"/>
      <c r="G26" s="834"/>
      <c r="H26" s="834"/>
      <c r="I26" s="834"/>
      <c r="J26" s="834"/>
      <c r="K26" s="834"/>
      <c r="L26" s="834"/>
      <c r="M26" s="834"/>
      <c r="N26" s="834"/>
      <c r="O26" s="834"/>
      <c r="P26" s="834"/>
      <c r="Q26" s="834"/>
    </row>
    <row r="27" spans="2:17" ht="13.6" x14ac:dyDescent="0.25">
      <c r="B27" s="846" t="s">
        <v>744</v>
      </c>
      <c r="C27" s="528" t="s">
        <v>337</v>
      </c>
      <c r="D27" s="831"/>
      <c r="E27" s="528"/>
      <c r="F27" s="847"/>
      <c r="G27" s="847"/>
      <c r="H27" s="847"/>
      <c r="I27" s="847"/>
      <c r="J27" s="847"/>
      <c r="K27" s="847"/>
      <c r="L27" s="847">
        <v>72</v>
      </c>
      <c r="M27" s="847"/>
      <c r="N27" s="847"/>
      <c r="O27" s="847"/>
      <c r="P27" s="847"/>
      <c r="Q27" s="848"/>
    </row>
    <row r="28" spans="2:17" ht="14.3" thickBot="1" x14ac:dyDescent="0.3">
      <c r="B28" s="842" t="s">
        <v>745</v>
      </c>
      <c r="C28" s="741" t="s">
        <v>337</v>
      </c>
      <c r="D28" s="745"/>
      <c r="E28" s="481"/>
      <c r="F28" s="834"/>
      <c r="G28" s="834"/>
      <c r="H28" s="834">
        <v>24</v>
      </c>
      <c r="I28" s="834"/>
      <c r="J28" s="834"/>
      <c r="K28" s="834">
        <v>24</v>
      </c>
      <c r="L28" s="834"/>
      <c r="M28" s="834"/>
      <c r="N28" s="834">
        <v>24</v>
      </c>
      <c r="O28" s="834"/>
      <c r="P28" s="834">
        <v>24</v>
      </c>
      <c r="Q28" s="834"/>
    </row>
    <row r="29" spans="2:17" ht="13.6" x14ac:dyDescent="0.25">
      <c r="B29" s="846" t="s">
        <v>746</v>
      </c>
      <c r="C29" s="528" t="s">
        <v>337</v>
      </c>
      <c r="D29" s="831"/>
      <c r="E29" s="528"/>
      <c r="F29" s="847"/>
      <c r="G29" s="847"/>
      <c r="H29" s="847"/>
      <c r="I29" s="847"/>
      <c r="J29" s="847"/>
      <c r="K29" s="847"/>
      <c r="L29" s="847"/>
      <c r="M29" s="847"/>
      <c r="N29" s="847"/>
      <c r="O29" s="847"/>
      <c r="P29" s="847"/>
      <c r="Q29" s="848"/>
    </row>
    <row r="30" spans="2:17" ht="13.6" x14ac:dyDescent="0.25">
      <c r="B30" s="842" t="s">
        <v>747</v>
      </c>
      <c r="C30" s="741" t="s">
        <v>337</v>
      </c>
      <c r="D30" s="745"/>
      <c r="E30" s="481"/>
      <c r="F30" s="834"/>
      <c r="G30" s="834"/>
      <c r="H30" s="834"/>
      <c r="I30" s="834">
        <v>48</v>
      </c>
      <c r="J30" s="834"/>
      <c r="K30" s="834"/>
      <c r="L30" s="834"/>
      <c r="M30" s="834">
        <v>48</v>
      </c>
      <c r="N30" s="834"/>
      <c r="O30" s="834"/>
      <c r="P30" s="852">
        <v>48</v>
      </c>
      <c r="Q30" s="834"/>
    </row>
    <row r="31" spans="2:17" ht="13.6" x14ac:dyDescent="0.25">
      <c r="B31" s="842" t="s">
        <v>748</v>
      </c>
      <c r="C31" s="741" t="s">
        <v>337</v>
      </c>
      <c r="D31" s="745"/>
      <c r="E31" s="481"/>
      <c r="F31" s="834"/>
      <c r="G31" s="834"/>
      <c r="H31" s="834"/>
      <c r="I31" s="834">
        <v>24</v>
      </c>
      <c r="J31" s="834"/>
      <c r="K31" s="834"/>
      <c r="L31" s="834"/>
      <c r="M31" s="834">
        <v>24</v>
      </c>
      <c r="N31" s="834"/>
      <c r="O31" s="834"/>
      <c r="P31" s="852">
        <v>24</v>
      </c>
      <c r="Q31" s="834"/>
    </row>
    <row r="32" spans="2:17" ht="13.6" x14ac:dyDescent="0.25">
      <c r="B32" s="842" t="s">
        <v>749</v>
      </c>
      <c r="C32" s="741" t="s">
        <v>337</v>
      </c>
      <c r="D32" s="745"/>
      <c r="E32" s="481"/>
      <c r="F32" s="834">
        <v>24</v>
      </c>
      <c r="G32" s="834">
        <v>24</v>
      </c>
      <c r="H32" s="834">
        <v>24</v>
      </c>
      <c r="I32" s="834">
        <v>24</v>
      </c>
      <c r="J32" s="834">
        <v>24</v>
      </c>
      <c r="K32" s="834">
        <v>24</v>
      </c>
      <c r="L32" s="834">
        <v>24</v>
      </c>
      <c r="M32" s="834">
        <v>24</v>
      </c>
      <c r="N32" s="834">
        <v>24</v>
      </c>
      <c r="O32" s="834">
        <v>24</v>
      </c>
      <c r="P32" s="852">
        <v>24</v>
      </c>
      <c r="Q32" s="834">
        <v>24</v>
      </c>
    </row>
    <row r="33" spans="2:17" ht="13.6" x14ac:dyDescent="0.25">
      <c r="B33" s="842" t="s">
        <v>750</v>
      </c>
      <c r="C33" s="741" t="s">
        <v>337</v>
      </c>
      <c r="D33" s="745"/>
      <c r="E33" s="481"/>
      <c r="F33" s="834">
        <v>24</v>
      </c>
      <c r="G33" s="834">
        <v>24</v>
      </c>
      <c r="H33" s="834">
        <v>24</v>
      </c>
      <c r="I33" s="834">
        <v>24</v>
      </c>
      <c r="J33" s="834">
        <v>24</v>
      </c>
      <c r="K33" s="834">
        <v>24</v>
      </c>
      <c r="L33" s="834">
        <v>24</v>
      </c>
      <c r="M33" s="834">
        <v>24</v>
      </c>
      <c r="N33" s="834">
        <v>24</v>
      </c>
      <c r="O33" s="834">
        <v>24</v>
      </c>
      <c r="P33" s="834">
        <v>24</v>
      </c>
      <c r="Q33" s="834">
        <v>24</v>
      </c>
    </row>
    <row r="34" spans="2:17" ht="13.6" x14ac:dyDescent="0.25">
      <c r="B34" s="853" t="s">
        <v>570</v>
      </c>
      <c r="C34" s="741" t="s">
        <v>337</v>
      </c>
      <c r="D34" s="745"/>
      <c r="E34" s="481"/>
      <c r="F34" s="834"/>
      <c r="G34" s="834"/>
      <c r="H34" s="834"/>
      <c r="I34" s="834"/>
      <c r="J34" s="834"/>
      <c r="K34" s="834"/>
      <c r="L34" s="834"/>
      <c r="M34" s="834"/>
      <c r="N34" s="834"/>
      <c r="O34" s="834"/>
      <c r="P34" s="834"/>
      <c r="Q34" s="834"/>
    </row>
    <row r="35" spans="2:17" ht="13.6" x14ac:dyDescent="0.25">
      <c r="B35" s="842" t="s">
        <v>751</v>
      </c>
      <c r="C35" s="741" t="s">
        <v>337</v>
      </c>
      <c r="D35" s="745"/>
      <c r="E35" s="481"/>
      <c r="F35" s="834">
        <v>6</v>
      </c>
      <c r="G35" s="834">
        <v>6</v>
      </c>
      <c r="H35" s="834">
        <v>6</v>
      </c>
      <c r="I35" s="834">
        <v>6</v>
      </c>
      <c r="J35" s="834">
        <v>6</v>
      </c>
      <c r="K35" s="834">
        <v>6</v>
      </c>
      <c r="L35" s="834">
        <v>6</v>
      </c>
      <c r="M35" s="834">
        <v>6</v>
      </c>
      <c r="N35" s="834">
        <v>6</v>
      </c>
      <c r="O35" s="834">
        <v>6</v>
      </c>
      <c r="P35" s="834">
        <v>6</v>
      </c>
      <c r="Q35" s="834">
        <v>6</v>
      </c>
    </row>
    <row r="36" spans="2:17" ht="13.6" x14ac:dyDescent="0.25">
      <c r="B36" s="842" t="s">
        <v>751</v>
      </c>
      <c r="C36" s="741" t="s">
        <v>337</v>
      </c>
      <c r="D36" s="745"/>
      <c r="E36" s="481"/>
      <c r="F36" s="834">
        <v>6</v>
      </c>
      <c r="G36" s="834">
        <v>6</v>
      </c>
      <c r="H36" s="834">
        <v>6</v>
      </c>
      <c r="I36" s="834">
        <v>6</v>
      </c>
      <c r="J36" s="834">
        <v>6</v>
      </c>
      <c r="K36" s="834">
        <v>6</v>
      </c>
      <c r="L36" s="834">
        <v>6</v>
      </c>
      <c r="M36" s="834">
        <v>6</v>
      </c>
      <c r="N36" s="834">
        <v>6</v>
      </c>
      <c r="O36" s="834">
        <v>6</v>
      </c>
      <c r="P36" s="834">
        <v>6</v>
      </c>
      <c r="Q36" s="834">
        <v>6</v>
      </c>
    </row>
    <row r="37" spans="2:17" ht="13.6" x14ac:dyDescent="0.25">
      <c r="B37" s="842" t="s">
        <v>751</v>
      </c>
      <c r="C37" s="741" t="s">
        <v>337</v>
      </c>
      <c r="D37" s="745"/>
      <c r="E37" s="481"/>
      <c r="F37" s="834">
        <v>6</v>
      </c>
      <c r="G37" s="834">
        <v>6</v>
      </c>
      <c r="H37" s="834">
        <v>6</v>
      </c>
      <c r="I37" s="834">
        <v>6</v>
      </c>
      <c r="J37" s="834">
        <v>6</v>
      </c>
      <c r="K37" s="834">
        <v>6</v>
      </c>
      <c r="L37" s="834">
        <v>6</v>
      </c>
      <c r="M37" s="834">
        <v>6</v>
      </c>
      <c r="N37" s="834">
        <v>6</v>
      </c>
      <c r="O37" s="834">
        <v>6</v>
      </c>
      <c r="P37" s="834">
        <v>6</v>
      </c>
      <c r="Q37" s="834">
        <v>6</v>
      </c>
    </row>
    <row r="38" spans="2:17" ht="14.3" thickBot="1" x14ac:dyDescent="0.3">
      <c r="B38" s="853" t="s">
        <v>570</v>
      </c>
      <c r="C38" s="741" t="s">
        <v>337</v>
      </c>
      <c r="D38" s="745"/>
      <c r="E38" s="481"/>
      <c r="F38" s="834"/>
      <c r="G38" s="834"/>
      <c r="H38" s="834"/>
      <c r="I38" s="834"/>
      <c r="J38" s="834"/>
      <c r="K38" s="834"/>
      <c r="L38" s="834"/>
      <c r="M38" s="834"/>
      <c r="N38" s="834"/>
      <c r="O38" s="834"/>
      <c r="P38" s="834"/>
      <c r="Q38" s="834"/>
    </row>
    <row r="39" spans="2:17" ht="13.6" x14ac:dyDescent="0.25">
      <c r="B39" s="854" t="s">
        <v>649</v>
      </c>
      <c r="C39" s="528" t="s">
        <v>337</v>
      </c>
      <c r="D39" s="831"/>
      <c r="E39" s="528"/>
      <c r="F39" s="847"/>
      <c r="G39" s="847"/>
      <c r="H39" s="847"/>
      <c r="I39" s="847"/>
      <c r="J39" s="847"/>
      <c r="K39" s="847"/>
      <c r="L39" s="847"/>
      <c r="M39" s="847"/>
      <c r="N39" s="847"/>
      <c r="O39" s="847"/>
      <c r="P39" s="847"/>
      <c r="Q39" s="848"/>
    </row>
    <row r="40" spans="2:17" ht="13.6" x14ac:dyDescent="0.25">
      <c r="B40" s="842" t="s">
        <v>752</v>
      </c>
      <c r="C40" s="741" t="s">
        <v>337</v>
      </c>
      <c r="D40" s="745"/>
      <c r="E40" s="481"/>
      <c r="F40" s="834"/>
      <c r="G40" s="834"/>
      <c r="H40" s="834"/>
      <c r="I40" s="834"/>
      <c r="J40" s="834">
        <v>48</v>
      </c>
      <c r="K40" s="834"/>
      <c r="L40" s="834"/>
      <c r="M40" s="834"/>
      <c r="N40" s="834"/>
      <c r="O40" s="834">
        <v>48</v>
      </c>
      <c r="P40" s="834"/>
      <c r="Q40" s="855"/>
    </row>
    <row r="41" spans="2:17" ht="14.3" thickBot="1" x14ac:dyDescent="0.3">
      <c r="B41" s="842" t="s">
        <v>570</v>
      </c>
      <c r="C41" s="741" t="s">
        <v>337</v>
      </c>
      <c r="D41" s="745"/>
      <c r="E41" s="481"/>
      <c r="F41" s="834"/>
      <c r="G41" s="834"/>
      <c r="H41" s="834"/>
      <c r="I41" s="834"/>
      <c r="J41" s="834"/>
      <c r="K41" s="834"/>
      <c r="L41" s="834"/>
      <c r="M41" s="834"/>
      <c r="N41" s="834"/>
      <c r="O41" s="834"/>
      <c r="P41" s="834"/>
      <c r="Q41" s="855"/>
    </row>
    <row r="42" spans="2:17" ht="13.6" x14ac:dyDescent="0.25">
      <c r="B42" s="856" t="s">
        <v>651</v>
      </c>
      <c r="C42" s="528" t="s">
        <v>337</v>
      </c>
      <c r="D42" s="831"/>
      <c r="E42" s="528"/>
      <c r="F42" s="847"/>
      <c r="G42" s="847"/>
      <c r="H42" s="847"/>
      <c r="I42" s="847"/>
      <c r="J42" s="847"/>
      <c r="K42" s="847"/>
      <c r="L42" s="847"/>
      <c r="M42" s="847"/>
      <c r="N42" s="847"/>
      <c r="O42" s="847"/>
      <c r="P42" s="847"/>
      <c r="Q42" s="848"/>
    </row>
    <row r="43" spans="2:17" ht="13.6" x14ac:dyDescent="0.25">
      <c r="B43" s="842" t="s">
        <v>753</v>
      </c>
      <c r="C43" s="741" t="s">
        <v>337</v>
      </c>
      <c r="D43" s="745"/>
      <c r="E43" s="481"/>
      <c r="F43" s="834"/>
      <c r="G43" s="834"/>
      <c r="H43" s="834">
        <v>12</v>
      </c>
      <c r="I43" s="834"/>
      <c r="J43" s="834"/>
      <c r="K43" s="834">
        <v>12</v>
      </c>
      <c r="L43" s="834"/>
      <c r="M43" s="834"/>
      <c r="N43" s="834">
        <v>12</v>
      </c>
      <c r="O43" s="834"/>
      <c r="P43" s="834"/>
      <c r="Q43" s="855">
        <v>12</v>
      </c>
    </row>
    <row r="44" spans="2:17" ht="14.3" thickBot="1" x14ac:dyDescent="0.3">
      <c r="B44" s="842"/>
      <c r="C44" s="857" t="s">
        <v>337</v>
      </c>
      <c r="D44" s="837"/>
      <c r="E44" s="562"/>
      <c r="F44" s="838"/>
      <c r="G44" s="838"/>
      <c r="H44" s="838"/>
      <c r="I44" s="838"/>
      <c r="J44" s="838"/>
      <c r="K44" s="838"/>
      <c r="L44" s="838"/>
      <c r="M44" s="838"/>
      <c r="N44" s="838"/>
      <c r="O44" s="838"/>
      <c r="P44" s="838"/>
      <c r="Q44" s="838"/>
    </row>
    <row r="45" spans="2:17" x14ac:dyDescent="0.2">
      <c r="B45" s="572"/>
      <c r="E45" s="573"/>
      <c r="F45" s="574"/>
      <c r="G45" s="574"/>
      <c r="H45" s="574"/>
      <c r="I45" s="574"/>
      <c r="J45" s="574"/>
      <c r="K45" s="574"/>
      <c r="L45" s="574"/>
      <c r="M45" s="574"/>
      <c r="N45" s="574"/>
      <c r="O45" s="574"/>
      <c r="P45" s="574"/>
      <c r="Q45" s="574"/>
    </row>
    <row r="46" spans="2:17" ht="14.3" thickBot="1" x14ac:dyDescent="0.3">
      <c r="B46" s="575" t="s">
        <v>534</v>
      </c>
      <c r="D46" s="858">
        <f>'БС-215 ТО'!F10</f>
        <v>2833.66</v>
      </c>
      <c r="E46" s="573"/>
      <c r="F46" s="574"/>
      <c r="G46" s="574"/>
      <c r="H46" s="574"/>
      <c r="I46" s="574"/>
      <c r="J46" s="574"/>
      <c r="K46" s="574"/>
      <c r="L46" s="574"/>
      <c r="M46" s="574"/>
      <c r="N46" s="574"/>
      <c r="O46" s="574"/>
      <c r="P46" s="574"/>
      <c r="Q46" s="574"/>
    </row>
    <row r="47" spans="2:17" ht="27.85" thickBot="1" x14ac:dyDescent="0.25">
      <c r="B47" s="576" t="s">
        <v>448</v>
      </c>
      <c r="C47" s="577" t="s">
        <v>443</v>
      </c>
      <c r="D47" s="578" t="s">
        <v>535</v>
      </c>
      <c r="E47" s="578"/>
      <c r="F47" s="579" t="s">
        <v>536</v>
      </c>
      <c r="G47" s="577" t="s">
        <v>536</v>
      </c>
      <c r="H47" s="577" t="s">
        <v>536</v>
      </c>
      <c r="I47" s="577" t="s">
        <v>536</v>
      </c>
      <c r="J47" s="577" t="s">
        <v>536</v>
      </c>
      <c r="K47" s="577" t="s">
        <v>536</v>
      </c>
      <c r="L47" s="577" t="s">
        <v>536</v>
      </c>
      <c r="M47" s="577" t="s">
        <v>536</v>
      </c>
      <c r="N47" s="577" t="s">
        <v>536</v>
      </c>
      <c r="O47" s="577" t="s">
        <v>536</v>
      </c>
      <c r="P47" s="577" t="s">
        <v>536</v>
      </c>
      <c r="Q47" s="748" t="s">
        <v>536</v>
      </c>
    </row>
    <row r="48" spans="2:17" ht="13.6" x14ac:dyDescent="0.25">
      <c r="B48" s="859" t="s">
        <v>738</v>
      </c>
      <c r="C48" s="860" t="s">
        <v>536</v>
      </c>
      <c r="D48" s="861">
        <f t="shared" ref="D48:D51" si="9">$D$46</f>
        <v>2833.66</v>
      </c>
      <c r="E48" s="528"/>
      <c r="F48" s="832">
        <f>F17*2</f>
        <v>100</v>
      </c>
      <c r="G48" s="832">
        <f t="shared" ref="G48:Q51" si="10">G17*2</f>
        <v>100</v>
      </c>
      <c r="H48" s="832">
        <f t="shared" si="10"/>
        <v>100</v>
      </c>
      <c r="I48" s="832">
        <f t="shared" si="10"/>
        <v>100</v>
      </c>
      <c r="J48" s="832">
        <f t="shared" si="10"/>
        <v>100</v>
      </c>
      <c r="K48" s="832">
        <f t="shared" si="10"/>
        <v>100</v>
      </c>
      <c r="L48" s="832">
        <f t="shared" si="10"/>
        <v>100</v>
      </c>
      <c r="M48" s="832">
        <f t="shared" si="10"/>
        <v>100</v>
      </c>
      <c r="N48" s="832">
        <f t="shared" si="10"/>
        <v>100</v>
      </c>
      <c r="O48" s="832">
        <f t="shared" si="10"/>
        <v>100</v>
      </c>
      <c r="P48" s="832">
        <f t="shared" si="10"/>
        <v>100</v>
      </c>
      <c r="Q48" s="832">
        <f t="shared" si="10"/>
        <v>100</v>
      </c>
    </row>
    <row r="49" spans="2:17" ht="13.6" x14ac:dyDescent="0.25">
      <c r="B49" s="862" t="s">
        <v>626</v>
      </c>
      <c r="C49" s="863" t="s">
        <v>536</v>
      </c>
      <c r="D49" s="864">
        <f t="shared" si="9"/>
        <v>2833.66</v>
      </c>
      <c r="E49" s="481"/>
      <c r="F49" s="834">
        <f>F18*2</f>
        <v>30</v>
      </c>
      <c r="G49" s="834">
        <f t="shared" si="10"/>
        <v>30</v>
      </c>
      <c r="H49" s="834">
        <f t="shared" si="10"/>
        <v>30</v>
      </c>
      <c r="I49" s="834">
        <f t="shared" si="10"/>
        <v>30</v>
      </c>
      <c r="J49" s="834">
        <f t="shared" si="10"/>
        <v>30</v>
      </c>
      <c r="K49" s="834">
        <f t="shared" si="10"/>
        <v>30</v>
      </c>
      <c r="L49" s="834">
        <f t="shared" si="10"/>
        <v>30</v>
      </c>
      <c r="M49" s="834">
        <f t="shared" si="10"/>
        <v>30</v>
      </c>
      <c r="N49" s="834">
        <f t="shared" si="10"/>
        <v>30</v>
      </c>
      <c r="O49" s="834">
        <f t="shared" si="10"/>
        <v>30</v>
      </c>
      <c r="P49" s="834">
        <f t="shared" si="10"/>
        <v>30</v>
      </c>
      <c r="Q49" s="834">
        <f t="shared" si="10"/>
        <v>30</v>
      </c>
    </row>
    <row r="50" spans="2:17" ht="13.6" x14ac:dyDescent="0.25">
      <c r="B50" s="846" t="s">
        <v>739</v>
      </c>
      <c r="C50" s="863" t="s">
        <v>536</v>
      </c>
      <c r="D50" s="864">
        <f t="shared" si="9"/>
        <v>2833.66</v>
      </c>
      <c r="E50" s="481"/>
      <c r="F50" s="834">
        <f>F19*2</f>
        <v>30</v>
      </c>
      <c r="G50" s="834">
        <f t="shared" si="10"/>
        <v>30</v>
      </c>
      <c r="H50" s="834">
        <f t="shared" si="10"/>
        <v>30</v>
      </c>
      <c r="I50" s="834">
        <f t="shared" si="10"/>
        <v>30</v>
      </c>
      <c r="J50" s="834">
        <f t="shared" si="10"/>
        <v>30</v>
      </c>
      <c r="K50" s="834">
        <f t="shared" si="10"/>
        <v>30</v>
      </c>
      <c r="L50" s="834">
        <f t="shared" si="10"/>
        <v>30</v>
      </c>
      <c r="M50" s="834">
        <f t="shared" si="10"/>
        <v>30</v>
      </c>
      <c r="N50" s="834">
        <f t="shared" si="10"/>
        <v>30</v>
      </c>
      <c r="O50" s="834">
        <f t="shared" si="10"/>
        <v>30</v>
      </c>
      <c r="P50" s="834">
        <f t="shared" si="10"/>
        <v>30</v>
      </c>
      <c r="Q50" s="834">
        <f t="shared" si="10"/>
        <v>30</v>
      </c>
    </row>
    <row r="51" spans="2:17" ht="14.3" thickBot="1" x14ac:dyDescent="0.3">
      <c r="B51" s="865" t="s">
        <v>740</v>
      </c>
      <c r="C51" s="866" t="s">
        <v>536</v>
      </c>
      <c r="D51" s="867">
        <f t="shared" si="9"/>
        <v>2833.66</v>
      </c>
      <c r="E51" s="562"/>
      <c r="F51" s="838">
        <f>F20*2</f>
        <v>80</v>
      </c>
      <c r="G51" s="838">
        <f t="shared" si="10"/>
        <v>80</v>
      </c>
      <c r="H51" s="838">
        <f t="shared" si="10"/>
        <v>80</v>
      </c>
      <c r="I51" s="838">
        <f t="shared" si="10"/>
        <v>80</v>
      </c>
      <c r="J51" s="838">
        <f t="shared" si="10"/>
        <v>80</v>
      </c>
      <c r="K51" s="838">
        <f t="shared" si="10"/>
        <v>80</v>
      </c>
      <c r="L51" s="838">
        <f t="shared" si="10"/>
        <v>80</v>
      </c>
      <c r="M51" s="838">
        <f t="shared" si="10"/>
        <v>80</v>
      </c>
      <c r="N51" s="838">
        <f t="shared" si="10"/>
        <v>80</v>
      </c>
      <c r="O51" s="838">
        <f t="shared" si="10"/>
        <v>80</v>
      </c>
      <c r="P51" s="838">
        <f t="shared" si="10"/>
        <v>80</v>
      </c>
      <c r="Q51" s="838">
        <f t="shared" si="10"/>
        <v>80</v>
      </c>
    </row>
    <row r="52" spans="2:17" ht="13.6" x14ac:dyDescent="0.2">
      <c r="B52" s="839" t="s">
        <v>741</v>
      </c>
      <c r="C52" s="868" t="s">
        <v>536</v>
      </c>
      <c r="D52" s="869">
        <f>$D$46</f>
        <v>2833.66</v>
      </c>
      <c r="E52" s="870"/>
      <c r="F52" s="871"/>
      <c r="G52" s="871"/>
      <c r="H52" s="872"/>
      <c r="I52" s="873">
        <v>432</v>
      </c>
      <c r="J52" s="873"/>
      <c r="K52" s="872"/>
      <c r="L52" s="873">
        <v>432</v>
      </c>
      <c r="M52" s="872"/>
      <c r="N52" s="872"/>
      <c r="O52" s="871">
        <f>O21*2</f>
        <v>432</v>
      </c>
      <c r="P52" s="872"/>
      <c r="Q52" s="874"/>
    </row>
    <row r="53" spans="2:17" ht="13.6" x14ac:dyDescent="0.2">
      <c r="B53" s="842" t="s">
        <v>742</v>
      </c>
      <c r="C53" s="863" t="s">
        <v>536</v>
      </c>
      <c r="D53" s="864">
        <f>$D$46</f>
        <v>2833.66</v>
      </c>
      <c r="E53" s="875"/>
      <c r="F53" s="876"/>
      <c r="G53" s="876">
        <v>48</v>
      </c>
      <c r="H53" s="877"/>
      <c r="I53" s="878">
        <v>48</v>
      </c>
      <c r="J53" s="878"/>
      <c r="K53" s="877"/>
      <c r="L53" s="878">
        <v>48</v>
      </c>
      <c r="M53" s="877"/>
      <c r="N53" s="878">
        <v>48</v>
      </c>
      <c r="O53" s="876"/>
      <c r="P53" s="877"/>
      <c r="Q53" s="879">
        <v>48</v>
      </c>
    </row>
    <row r="54" spans="2:17" ht="13.6" thickBot="1" x14ac:dyDescent="0.25">
      <c r="B54" s="843" t="s">
        <v>570</v>
      </c>
      <c r="C54" s="857" t="s">
        <v>536</v>
      </c>
      <c r="D54" s="867">
        <f>$D$46</f>
        <v>2833.66</v>
      </c>
      <c r="E54" s="562"/>
      <c r="F54" s="775"/>
      <c r="G54" s="880"/>
      <c r="H54" s="880"/>
      <c r="I54" s="880"/>
      <c r="J54" s="880"/>
      <c r="K54" s="880"/>
      <c r="L54" s="880"/>
      <c r="M54" s="880"/>
      <c r="N54" s="880"/>
      <c r="O54" s="880"/>
      <c r="P54" s="880"/>
      <c r="Q54" s="881"/>
    </row>
    <row r="55" spans="2:17" ht="13.6" x14ac:dyDescent="0.2">
      <c r="B55" s="846" t="s">
        <v>743</v>
      </c>
      <c r="C55" s="882" t="s">
        <v>536</v>
      </c>
      <c r="D55" s="861">
        <f t="shared" ref="D55:D75" si="11">$D$46</f>
        <v>2833.66</v>
      </c>
      <c r="E55" s="528"/>
      <c r="F55" s="883"/>
      <c r="G55" s="884"/>
      <c r="H55" s="884"/>
      <c r="I55" s="884"/>
      <c r="J55" s="884"/>
      <c r="K55" s="885">
        <v>144</v>
      </c>
      <c r="L55" s="885"/>
      <c r="M55" s="885"/>
      <c r="N55" s="885"/>
      <c r="O55" s="886">
        <v>144</v>
      </c>
      <c r="P55" s="885"/>
      <c r="Q55" s="885"/>
    </row>
    <row r="56" spans="2:17" ht="14.3" thickBot="1" x14ac:dyDescent="0.25">
      <c r="B56" s="887" t="s">
        <v>570</v>
      </c>
      <c r="C56" s="888" t="s">
        <v>536</v>
      </c>
      <c r="D56" s="864">
        <f t="shared" si="11"/>
        <v>2833.66</v>
      </c>
      <c r="E56" s="889"/>
      <c r="F56" s="890"/>
      <c r="G56" s="891"/>
      <c r="H56" s="891"/>
      <c r="I56" s="891"/>
      <c r="J56" s="891"/>
      <c r="K56" s="891"/>
      <c r="L56" s="891"/>
      <c r="M56" s="891"/>
      <c r="N56" s="891"/>
      <c r="O56" s="891"/>
      <c r="P56" s="891"/>
      <c r="Q56" s="892"/>
    </row>
    <row r="57" spans="2:17" ht="14.3" thickBot="1" x14ac:dyDescent="0.25">
      <c r="B57" s="887" t="s">
        <v>570</v>
      </c>
      <c r="C57" s="893" t="s">
        <v>536</v>
      </c>
      <c r="D57" s="894">
        <f t="shared" si="11"/>
        <v>2833.66</v>
      </c>
      <c r="E57" s="562"/>
      <c r="F57" s="775"/>
      <c r="G57" s="895"/>
      <c r="H57" s="896"/>
      <c r="I57" s="895"/>
      <c r="J57" s="895"/>
      <c r="K57" s="895"/>
      <c r="L57" s="895"/>
      <c r="M57" s="895"/>
      <c r="N57" s="895"/>
      <c r="O57" s="895"/>
      <c r="P57" s="895"/>
      <c r="Q57" s="897"/>
    </row>
    <row r="58" spans="2:17" ht="13.6" x14ac:dyDescent="0.2">
      <c r="B58" s="846" t="s">
        <v>744</v>
      </c>
      <c r="C58" s="882" t="s">
        <v>536</v>
      </c>
      <c r="D58" s="861">
        <f t="shared" si="11"/>
        <v>2833.66</v>
      </c>
      <c r="E58" s="528"/>
      <c r="F58" s="898"/>
      <c r="G58" s="898"/>
      <c r="H58" s="898"/>
      <c r="I58" s="898"/>
      <c r="J58" s="898"/>
      <c r="K58" s="898"/>
      <c r="L58" s="885">
        <v>144</v>
      </c>
      <c r="M58" s="899"/>
      <c r="N58" s="899"/>
      <c r="O58" s="899"/>
      <c r="P58" s="899"/>
      <c r="Q58" s="899"/>
    </row>
    <row r="59" spans="2:17" ht="13.6" thickBot="1" x14ac:dyDescent="0.25">
      <c r="B59" s="842" t="s">
        <v>745</v>
      </c>
      <c r="C59" s="893" t="s">
        <v>536</v>
      </c>
      <c r="D59" s="894">
        <f t="shared" si="11"/>
        <v>2833.66</v>
      </c>
      <c r="E59" s="857"/>
      <c r="F59" s="900"/>
      <c r="G59" s="900"/>
      <c r="H59" s="900">
        <f>H28*2</f>
        <v>48</v>
      </c>
      <c r="I59" s="900"/>
      <c r="J59" s="900"/>
      <c r="K59" s="900">
        <f>K28*2</f>
        <v>48</v>
      </c>
      <c r="L59" s="900"/>
      <c r="M59" s="900"/>
      <c r="N59" s="900">
        <f>N28*2</f>
        <v>48</v>
      </c>
      <c r="O59" s="900"/>
      <c r="P59" s="900">
        <f>P28*2</f>
        <v>48</v>
      </c>
      <c r="Q59" s="900"/>
    </row>
    <row r="60" spans="2:17" ht="13.6" x14ac:dyDescent="0.2">
      <c r="B60" s="846" t="s">
        <v>746</v>
      </c>
      <c r="C60" s="901" t="s">
        <v>536</v>
      </c>
      <c r="D60" s="864">
        <f t="shared" si="11"/>
        <v>2833.66</v>
      </c>
      <c r="E60" s="528"/>
      <c r="F60" s="883"/>
      <c r="G60" s="902"/>
      <c r="H60" s="903"/>
      <c r="I60" s="902"/>
      <c r="J60" s="902"/>
      <c r="K60" s="902"/>
      <c r="L60" s="902"/>
      <c r="M60" s="902"/>
      <c r="N60" s="902"/>
      <c r="O60" s="902"/>
      <c r="P60" s="902"/>
      <c r="Q60" s="904"/>
    </row>
    <row r="61" spans="2:17" ht="13.6" x14ac:dyDescent="0.2">
      <c r="B61" s="842" t="s">
        <v>747</v>
      </c>
      <c r="C61" s="901" t="s">
        <v>536</v>
      </c>
      <c r="D61" s="864">
        <f t="shared" si="11"/>
        <v>2833.66</v>
      </c>
      <c r="E61" s="481"/>
      <c r="F61" s="905"/>
      <c r="G61" s="905"/>
      <c r="H61" s="906"/>
      <c r="I61" s="906">
        <v>96</v>
      </c>
      <c r="J61" s="906"/>
      <c r="K61" s="906"/>
      <c r="L61" s="906"/>
      <c r="M61" s="906">
        <v>96</v>
      </c>
      <c r="N61" s="906"/>
      <c r="O61" s="906"/>
      <c r="P61" s="907">
        <v>96</v>
      </c>
      <c r="Q61" s="906"/>
    </row>
    <row r="62" spans="2:17" ht="13.6" x14ac:dyDescent="0.2">
      <c r="B62" s="842" t="s">
        <v>748</v>
      </c>
      <c r="C62" s="901" t="s">
        <v>536</v>
      </c>
      <c r="D62" s="864">
        <f t="shared" si="11"/>
        <v>2833.66</v>
      </c>
      <c r="E62" s="481"/>
      <c r="F62" s="905"/>
      <c r="G62" s="905"/>
      <c r="H62" s="906"/>
      <c r="I62" s="906">
        <v>48</v>
      </c>
      <c r="J62" s="906"/>
      <c r="K62" s="906"/>
      <c r="L62" s="906"/>
      <c r="M62" s="906">
        <v>48</v>
      </c>
      <c r="N62" s="906"/>
      <c r="O62" s="906"/>
      <c r="P62" s="907">
        <v>48</v>
      </c>
      <c r="Q62" s="906"/>
    </row>
    <row r="63" spans="2:17" ht="13.6" x14ac:dyDescent="0.2">
      <c r="B63" s="842" t="s">
        <v>749</v>
      </c>
      <c r="C63" s="901" t="s">
        <v>536</v>
      </c>
      <c r="D63" s="864">
        <f t="shared" si="11"/>
        <v>2833.66</v>
      </c>
      <c r="E63" s="481"/>
      <c r="F63" s="906">
        <v>48</v>
      </c>
      <c r="G63" s="906">
        <v>48</v>
      </c>
      <c r="H63" s="906">
        <v>48</v>
      </c>
      <c r="I63" s="906">
        <v>48</v>
      </c>
      <c r="J63" s="906">
        <v>48</v>
      </c>
      <c r="K63" s="906">
        <v>48</v>
      </c>
      <c r="L63" s="906">
        <v>48</v>
      </c>
      <c r="M63" s="906">
        <v>48</v>
      </c>
      <c r="N63" s="906">
        <v>48</v>
      </c>
      <c r="O63" s="906">
        <v>48</v>
      </c>
      <c r="P63" s="906">
        <v>48</v>
      </c>
      <c r="Q63" s="906">
        <v>48</v>
      </c>
    </row>
    <row r="64" spans="2:17" ht="13.6" x14ac:dyDescent="0.2">
      <c r="B64" s="842" t="s">
        <v>750</v>
      </c>
      <c r="C64" s="901" t="s">
        <v>536</v>
      </c>
      <c r="D64" s="864">
        <f t="shared" si="11"/>
        <v>2833.66</v>
      </c>
      <c r="E64" s="481"/>
      <c r="F64" s="906">
        <v>48</v>
      </c>
      <c r="G64" s="906">
        <v>48</v>
      </c>
      <c r="H64" s="906">
        <v>48</v>
      </c>
      <c r="I64" s="906">
        <v>48</v>
      </c>
      <c r="J64" s="906">
        <v>48</v>
      </c>
      <c r="K64" s="906">
        <v>48</v>
      </c>
      <c r="L64" s="906">
        <v>48</v>
      </c>
      <c r="M64" s="906">
        <v>48</v>
      </c>
      <c r="N64" s="906">
        <v>48</v>
      </c>
      <c r="O64" s="906">
        <v>48</v>
      </c>
      <c r="P64" s="906">
        <v>48</v>
      </c>
      <c r="Q64" s="906">
        <v>48</v>
      </c>
    </row>
    <row r="65" spans="2:17" ht="13.6" x14ac:dyDescent="0.2">
      <c r="B65" s="853" t="s">
        <v>570</v>
      </c>
      <c r="C65" s="901" t="s">
        <v>536</v>
      </c>
      <c r="D65" s="864">
        <f t="shared" si="11"/>
        <v>2833.66</v>
      </c>
      <c r="E65" s="481"/>
      <c r="F65" s="906"/>
      <c r="G65" s="906"/>
      <c r="H65" s="906"/>
      <c r="I65" s="906"/>
      <c r="J65" s="906"/>
      <c r="K65" s="906"/>
      <c r="L65" s="906"/>
      <c r="M65" s="906"/>
      <c r="N65" s="906"/>
      <c r="O65" s="906"/>
      <c r="P65" s="906"/>
      <c r="Q65" s="906"/>
    </row>
    <row r="66" spans="2:17" ht="13.6" x14ac:dyDescent="0.2">
      <c r="B66" s="842" t="s">
        <v>751</v>
      </c>
      <c r="C66" s="901" t="s">
        <v>536</v>
      </c>
      <c r="D66" s="864">
        <f t="shared" si="11"/>
        <v>2833.66</v>
      </c>
      <c r="E66" s="481"/>
      <c r="F66" s="906">
        <v>12</v>
      </c>
      <c r="G66" s="906">
        <v>12</v>
      </c>
      <c r="H66" s="906">
        <v>12</v>
      </c>
      <c r="I66" s="906">
        <v>12</v>
      </c>
      <c r="J66" s="906">
        <v>12</v>
      </c>
      <c r="K66" s="906">
        <v>12</v>
      </c>
      <c r="L66" s="906">
        <v>12</v>
      </c>
      <c r="M66" s="906">
        <v>12</v>
      </c>
      <c r="N66" s="906">
        <v>12</v>
      </c>
      <c r="O66" s="906">
        <v>12</v>
      </c>
      <c r="P66" s="906">
        <v>12</v>
      </c>
      <c r="Q66" s="906">
        <v>12</v>
      </c>
    </row>
    <row r="67" spans="2:17" ht="13.6" x14ac:dyDescent="0.2">
      <c r="B67" s="842" t="s">
        <v>751</v>
      </c>
      <c r="C67" s="901" t="s">
        <v>536</v>
      </c>
      <c r="D67" s="864">
        <f t="shared" si="11"/>
        <v>2833.66</v>
      </c>
      <c r="E67" s="481"/>
      <c r="F67" s="906">
        <v>12</v>
      </c>
      <c r="G67" s="906">
        <v>12</v>
      </c>
      <c r="H67" s="906">
        <v>12</v>
      </c>
      <c r="I67" s="906">
        <v>12</v>
      </c>
      <c r="J67" s="906">
        <v>12</v>
      </c>
      <c r="K67" s="906">
        <v>12</v>
      </c>
      <c r="L67" s="906">
        <v>12</v>
      </c>
      <c r="M67" s="906">
        <v>12</v>
      </c>
      <c r="N67" s="906">
        <v>12</v>
      </c>
      <c r="O67" s="906">
        <v>12</v>
      </c>
      <c r="P67" s="906">
        <v>12</v>
      </c>
      <c r="Q67" s="906">
        <v>12</v>
      </c>
    </row>
    <row r="68" spans="2:17" ht="13.6" x14ac:dyDescent="0.2">
      <c r="B68" s="842" t="s">
        <v>751</v>
      </c>
      <c r="C68" s="901" t="s">
        <v>536</v>
      </c>
      <c r="D68" s="864">
        <f t="shared" si="11"/>
        <v>2833.66</v>
      </c>
      <c r="E68" s="481"/>
      <c r="F68" s="906">
        <v>12</v>
      </c>
      <c r="G68" s="906">
        <v>12</v>
      </c>
      <c r="H68" s="906">
        <v>12</v>
      </c>
      <c r="I68" s="906">
        <v>12</v>
      </c>
      <c r="J68" s="906">
        <v>12</v>
      </c>
      <c r="K68" s="906">
        <v>12</v>
      </c>
      <c r="L68" s="906">
        <v>12</v>
      </c>
      <c r="M68" s="906">
        <v>12</v>
      </c>
      <c r="N68" s="906">
        <v>12</v>
      </c>
      <c r="O68" s="906">
        <v>12</v>
      </c>
      <c r="P68" s="906">
        <v>12</v>
      </c>
      <c r="Q68" s="906">
        <v>12</v>
      </c>
    </row>
    <row r="69" spans="2:17" ht="14.3" thickBot="1" x14ac:dyDescent="0.25">
      <c r="B69" s="853" t="s">
        <v>570</v>
      </c>
      <c r="C69" s="908" t="s">
        <v>536</v>
      </c>
      <c r="D69" s="909">
        <f t="shared" si="11"/>
        <v>2833.66</v>
      </c>
      <c r="E69" s="481"/>
      <c r="F69" s="906"/>
      <c r="G69" s="906"/>
      <c r="H69" s="906"/>
      <c r="I69" s="906"/>
      <c r="J69" s="906"/>
      <c r="K69" s="906"/>
      <c r="L69" s="906"/>
      <c r="M69" s="906"/>
      <c r="N69" s="906"/>
      <c r="O69" s="906"/>
      <c r="P69" s="906"/>
      <c r="Q69" s="906"/>
    </row>
    <row r="70" spans="2:17" ht="13.6" x14ac:dyDescent="0.2">
      <c r="B70" s="854" t="s">
        <v>649</v>
      </c>
      <c r="C70" s="910" t="s">
        <v>536</v>
      </c>
      <c r="D70" s="861">
        <f t="shared" si="11"/>
        <v>2833.66</v>
      </c>
      <c r="E70" s="528"/>
      <c r="F70" s="884"/>
      <c r="G70" s="884"/>
      <c r="H70" s="885"/>
      <c r="I70" s="884"/>
      <c r="J70" s="884"/>
      <c r="K70" s="884"/>
      <c r="L70" s="884"/>
      <c r="M70" s="884"/>
      <c r="N70" s="884"/>
      <c r="O70" s="884"/>
      <c r="P70" s="884"/>
      <c r="Q70" s="911"/>
    </row>
    <row r="71" spans="2:17" ht="13.6" x14ac:dyDescent="0.2">
      <c r="B71" s="842" t="s">
        <v>752</v>
      </c>
      <c r="C71" s="901" t="s">
        <v>536</v>
      </c>
      <c r="D71" s="864">
        <f t="shared" si="11"/>
        <v>2833.66</v>
      </c>
      <c r="E71" s="481"/>
      <c r="F71" s="905"/>
      <c r="G71" s="905"/>
      <c r="H71" s="906"/>
      <c r="I71" s="905"/>
      <c r="J71" s="906">
        <v>96</v>
      </c>
      <c r="K71" s="905"/>
      <c r="L71" s="906"/>
      <c r="M71" s="905"/>
      <c r="N71" s="905"/>
      <c r="O71" s="906">
        <v>96</v>
      </c>
      <c r="P71" s="906"/>
      <c r="Q71" s="912"/>
    </row>
    <row r="72" spans="2:17" ht="14.3" thickBot="1" x14ac:dyDescent="0.25">
      <c r="B72" s="842" t="s">
        <v>570</v>
      </c>
      <c r="C72" s="901" t="s">
        <v>536</v>
      </c>
      <c r="D72" s="864">
        <f t="shared" si="11"/>
        <v>2833.66</v>
      </c>
      <c r="E72" s="481"/>
      <c r="F72" s="905"/>
      <c r="G72" s="905"/>
      <c r="H72" s="906"/>
      <c r="I72" s="905"/>
      <c r="J72" s="906"/>
      <c r="K72" s="905"/>
      <c r="L72" s="906"/>
      <c r="M72" s="905"/>
      <c r="N72" s="906"/>
      <c r="O72" s="905"/>
      <c r="P72" s="906"/>
      <c r="Q72" s="912"/>
    </row>
    <row r="73" spans="2:17" ht="13.6" x14ac:dyDescent="0.2">
      <c r="B73" s="856" t="s">
        <v>651</v>
      </c>
      <c r="C73" s="910" t="s">
        <v>536</v>
      </c>
      <c r="D73" s="861">
        <f t="shared" si="11"/>
        <v>2833.66</v>
      </c>
      <c r="E73" s="528"/>
      <c r="F73" s="884"/>
      <c r="G73" s="884"/>
      <c r="H73" s="885"/>
      <c r="I73" s="884"/>
      <c r="J73" s="884"/>
      <c r="K73" s="884"/>
      <c r="L73" s="884"/>
      <c r="M73" s="884"/>
      <c r="N73" s="884"/>
      <c r="O73" s="884"/>
      <c r="P73" s="884"/>
      <c r="Q73" s="911"/>
    </row>
    <row r="74" spans="2:17" ht="13.6" x14ac:dyDescent="0.2">
      <c r="B74" s="842" t="s">
        <v>753</v>
      </c>
      <c r="C74" s="901" t="s">
        <v>536</v>
      </c>
      <c r="D74" s="864">
        <f t="shared" si="11"/>
        <v>2833.66</v>
      </c>
      <c r="E74" s="481"/>
      <c r="F74" s="905"/>
      <c r="G74" s="905"/>
      <c r="H74" s="906">
        <v>24</v>
      </c>
      <c r="I74" s="906"/>
      <c r="J74" s="906"/>
      <c r="K74" s="906">
        <v>24</v>
      </c>
      <c r="L74" s="906"/>
      <c r="M74" s="906"/>
      <c r="N74" s="906">
        <v>24</v>
      </c>
      <c r="O74" s="906"/>
      <c r="P74" s="906"/>
      <c r="Q74" s="913">
        <v>24</v>
      </c>
    </row>
    <row r="75" spans="2:17" ht="13.6" thickBot="1" x14ac:dyDescent="0.25">
      <c r="B75" s="842"/>
      <c r="C75" s="893" t="s">
        <v>536</v>
      </c>
      <c r="D75" s="867">
        <f t="shared" si="11"/>
        <v>2833.66</v>
      </c>
      <c r="E75" s="562"/>
      <c r="F75" s="895"/>
      <c r="G75" s="895"/>
      <c r="H75" s="895"/>
      <c r="I75" s="895"/>
      <c r="J75" s="895"/>
      <c r="K75" s="895"/>
      <c r="L75" s="895"/>
      <c r="M75" s="895"/>
      <c r="N75" s="895"/>
      <c r="O75" s="895"/>
      <c r="P75" s="895"/>
      <c r="Q75" s="895"/>
    </row>
    <row r="76" spans="2:17" x14ac:dyDescent="0.2">
      <c r="B76" s="572"/>
      <c r="E76" s="573"/>
      <c r="F76" s="574"/>
      <c r="G76" s="574"/>
      <c r="H76" s="574"/>
      <c r="I76" s="574"/>
      <c r="J76" s="574"/>
      <c r="K76" s="574"/>
      <c r="L76" s="574"/>
      <c r="M76" s="574"/>
      <c r="N76" s="574"/>
      <c r="O76" s="574"/>
      <c r="P76" s="574"/>
      <c r="Q76" s="574"/>
    </row>
    <row r="77" spans="2:17" ht="14.3" thickBot="1" x14ac:dyDescent="0.3">
      <c r="B77" s="575" t="s">
        <v>538</v>
      </c>
      <c r="F77" s="574"/>
    </row>
    <row r="78" spans="2:17" ht="41.45" thickBot="1" x14ac:dyDescent="0.25">
      <c r="B78" s="628" t="s">
        <v>539</v>
      </c>
      <c r="C78" s="629" t="s">
        <v>754</v>
      </c>
      <c r="D78" s="499" t="s">
        <v>541</v>
      </c>
      <c r="E78" s="499" t="s">
        <v>542</v>
      </c>
      <c r="F78" s="579" t="s">
        <v>680</v>
      </c>
      <c r="G78" s="579" t="s">
        <v>680</v>
      </c>
      <c r="H78" s="579" t="s">
        <v>680</v>
      </c>
      <c r="I78" s="579" t="s">
        <v>680</v>
      </c>
      <c r="J78" s="579" t="s">
        <v>680</v>
      </c>
      <c r="K78" s="579" t="s">
        <v>680</v>
      </c>
      <c r="L78" s="579" t="s">
        <v>680</v>
      </c>
      <c r="M78" s="579" t="s">
        <v>680</v>
      </c>
      <c r="N78" s="579" t="s">
        <v>680</v>
      </c>
      <c r="O78" s="579" t="s">
        <v>680</v>
      </c>
      <c r="P78" s="579" t="s">
        <v>680</v>
      </c>
      <c r="Q78" s="579" t="s">
        <v>680</v>
      </c>
    </row>
    <row r="79" spans="2:17" ht="28.55" customHeight="1" thickBot="1" x14ac:dyDescent="0.3">
      <c r="B79" s="649" t="s">
        <v>543</v>
      </c>
      <c r="C79" s="650"/>
      <c r="D79" s="462"/>
      <c r="E79" s="462"/>
      <c r="F79" s="523">
        <f t="shared" ref="F79:Q79" si="12">SUM(F80:F83)</f>
        <v>530000</v>
      </c>
      <c r="G79" s="523">
        <f t="shared" si="12"/>
        <v>530000</v>
      </c>
      <c r="H79" s="523">
        <f t="shared" si="12"/>
        <v>530000</v>
      </c>
      <c r="I79" s="523">
        <f t="shared" si="12"/>
        <v>530000</v>
      </c>
      <c r="J79" s="523">
        <f t="shared" si="12"/>
        <v>530000</v>
      </c>
      <c r="K79" s="523">
        <f t="shared" si="12"/>
        <v>530000</v>
      </c>
      <c r="L79" s="523">
        <f t="shared" si="12"/>
        <v>530000</v>
      </c>
      <c r="M79" s="523">
        <f t="shared" si="12"/>
        <v>530000</v>
      </c>
      <c r="N79" s="523">
        <f t="shared" si="12"/>
        <v>530000</v>
      </c>
      <c r="O79" s="523">
        <f t="shared" si="12"/>
        <v>530000</v>
      </c>
      <c r="P79" s="523">
        <f t="shared" si="12"/>
        <v>530000</v>
      </c>
      <c r="Q79" s="523">
        <f t="shared" si="12"/>
        <v>530000</v>
      </c>
    </row>
    <row r="80" spans="2:17" x14ac:dyDescent="0.2">
      <c r="B80" s="914" t="s">
        <v>738</v>
      </c>
      <c r="C80" s="915">
        <v>170000</v>
      </c>
      <c r="D80" s="916">
        <v>7000</v>
      </c>
      <c r="E80" s="917">
        <v>1</v>
      </c>
      <c r="F80" s="468">
        <f>$E80*$C80</f>
        <v>170000</v>
      </c>
      <c r="G80" s="468">
        <f t="shared" ref="G80:Q83" si="13">$E80*$C80</f>
        <v>170000</v>
      </c>
      <c r="H80" s="468">
        <f t="shared" si="13"/>
        <v>170000</v>
      </c>
      <c r="I80" s="468">
        <f t="shared" si="13"/>
        <v>170000</v>
      </c>
      <c r="J80" s="468">
        <f t="shared" si="13"/>
        <v>170000</v>
      </c>
      <c r="K80" s="468">
        <f t="shared" si="13"/>
        <v>170000</v>
      </c>
      <c r="L80" s="468">
        <f t="shared" si="13"/>
        <v>170000</v>
      </c>
      <c r="M80" s="468">
        <f t="shared" si="13"/>
        <v>170000</v>
      </c>
      <c r="N80" s="468">
        <f t="shared" si="13"/>
        <v>170000</v>
      </c>
      <c r="O80" s="468">
        <f t="shared" si="13"/>
        <v>170000</v>
      </c>
      <c r="P80" s="468">
        <f t="shared" si="13"/>
        <v>170000</v>
      </c>
      <c r="Q80" s="468">
        <f t="shared" si="13"/>
        <v>170000</v>
      </c>
    </row>
    <row r="81" spans="2:18" x14ac:dyDescent="0.2">
      <c r="B81" s="862" t="s">
        <v>626</v>
      </c>
      <c r="C81" s="918">
        <v>180000</v>
      </c>
      <c r="D81" s="754">
        <v>7000</v>
      </c>
      <c r="E81" s="400">
        <v>1</v>
      </c>
      <c r="F81" s="474">
        <f t="shared" ref="F81:O83" si="14">$E81*$C81</f>
        <v>180000</v>
      </c>
      <c r="G81" s="474">
        <f t="shared" si="14"/>
        <v>180000</v>
      </c>
      <c r="H81" s="474">
        <f t="shared" si="14"/>
        <v>180000</v>
      </c>
      <c r="I81" s="474">
        <f t="shared" si="14"/>
        <v>180000</v>
      </c>
      <c r="J81" s="474">
        <f t="shared" si="14"/>
        <v>180000</v>
      </c>
      <c r="K81" s="474">
        <f t="shared" si="14"/>
        <v>180000</v>
      </c>
      <c r="L81" s="474">
        <f t="shared" si="14"/>
        <v>180000</v>
      </c>
      <c r="M81" s="474">
        <f t="shared" si="14"/>
        <v>180000</v>
      </c>
      <c r="N81" s="474">
        <f t="shared" si="14"/>
        <v>180000</v>
      </c>
      <c r="O81" s="474">
        <f t="shared" si="14"/>
        <v>180000</v>
      </c>
      <c r="P81" s="474">
        <f t="shared" si="13"/>
        <v>180000</v>
      </c>
      <c r="Q81" s="474">
        <f t="shared" si="13"/>
        <v>180000</v>
      </c>
    </row>
    <row r="82" spans="2:18" x14ac:dyDescent="0.2">
      <c r="B82" s="846" t="s">
        <v>739</v>
      </c>
      <c r="C82" s="918">
        <v>70000</v>
      </c>
      <c r="D82" s="754">
        <v>7000</v>
      </c>
      <c r="E82" s="400">
        <v>1</v>
      </c>
      <c r="F82" s="474">
        <f t="shared" si="14"/>
        <v>70000</v>
      </c>
      <c r="G82" s="474">
        <f t="shared" si="14"/>
        <v>70000</v>
      </c>
      <c r="H82" s="474">
        <f t="shared" si="14"/>
        <v>70000</v>
      </c>
      <c r="I82" s="474">
        <f t="shared" si="14"/>
        <v>70000</v>
      </c>
      <c r="J82" s="474">
        <f t="shared" si="14"/>
        <v>70000</v>
      </c>
      <c r="K82" s="474">
        <f t="shared" si="14"/>
        <v>70000</v>
      </c>
      <c r="L82" s="474">
        <f t="shared" si="14"/>
        <v>70000</v>
      </c>
      <c r="M82" s="474">
        <f t="shared" si="14"/>
        <v>70000</v>
      </c>
      <c r="N82" s="474">
        <f t="shared" si="14"/>
        <v>70000</v>
      </c>
      <c r="O82" s="474">
        <f t="shared" si="14"/>
        <v>70000</v>
      </c>
      <c r="P82" s="474">
        <f t="shared" si="13"/>
        <v>70000</v>
      </c>
      <c r="Q82" s="474">
        <f t="shared" si="13"/>
        <v>70000</v>
      </c>
    </row>
    <row r="83" spans="2:18" ht="13.6" thickBot="1" x14ac:dyDescent="0.25">
      <c r="B83" s="846" t="s">
        <v>740</v>
      </c>
      <c r="C83" s="918">
        <v>110000</v>
      </c>
      <c r="D83" s="754">
        <v>7000</v>
      </c>
      <c r="E83" s="400">
        <v>1</v>
      </c>
      <c r="F83" s="474">
        <f t="shared" si="14"/>
        <v>110000</v>
      </c>
      <c r="G83" s="474">
        <f t="shared" si="14"/>
        <v>110000</v>
      </c>
      <c r="H83" s="474">
        <f t="shared" si="14"/>
        <v>110000</v>
      </c>
      <c r="I83" s="474">
        <f t="shared" si="14"/>
        <v>110000</v>
      </c>
      <c r="J83" s="474">
        <f t="shared" si="14"/>
        <v>110000</v>
      </c>
      <c r="K83" s="474">
        <f t="shared" si="14"/>
        <v>110000</v>
      </c>
      <c r="L83" s="474">
        <f t="shared" si="14"/>
        <v>110000</v>
      </c>
      <c r="M83" s="474">
        <f t="shared" si="14"/>
        <v>110000</v>
      </c>
      <c r="N83" s="474">
        <f t="shared" si="14"/>
        <v>110000</v>
      </c>
      <c r="O83" s="474">
        <f t="shared" si="14"/>
        <v>110000</v>
      </c>
      <c r="P83" s="474">
        <f t="shared" si="13"/>
        <v>110000</v>
      </c>
      <c r="Q83" s="474">
        <f t="shared" si="13"/>
        <v>110000</v>
      </c>
    </row>
    <row r="84" spans="2:18" ht="36" customHeight="1" thickBot="1" x14ac:dyDescent="0.3">
      <c r="B84" s="649" t="s">
        <v>356</v>
      </c>
      <c r="C84" s="650"/>
      <c r="D84" s="462"/>
      <c r="E84" s="462"/>
      <c r="F84" s="523">
        <f t="shared" ref="F84:Q84" si="15">SUM(F85:F108)</f>
        <v>1014060</v>
      </c>
      <c r="G84" s="523">
        <f t="shared" si="15"/>
        <v>1254684</v>
      </c>
      <c r="H84" s="523">
        <f t="shared" si="15"/>
        <v>6760070</v>
      </c>
      <c r="I84" s="523">
        <f t="shared" si="15"/>
        <v>11451124</v>
      </c>
      <c r="J84" s="523">
        <f t="shared" si="15"/>
        <v>2850300</v>
      </c>
      <c r="K84" s="523">
        <f t="shared" si="15"/>
        <v>7660070</v>
      </c>
      <c r="L84" s="523">
        <f t="shared" si="15"/>
        <v>7354684</v>
      </c>
      <c r="M84" s="523">
        <f t="shared" si="15"/>
        <v>7910500</v>
      </c>
      <c r="N84" s="523">
        <f t="shared" si="15"/>
        <v>7000694</v>
      </c>
      <c r="O84" s="523">
        <f t="shared" si="15"/>
        <v>7050300</v>
      </c>
      <c r="P84" s="523">
        <f t="shared" si="15"/>
        <v>12910500</v>
      </c>
      <c r="Q84" s="523">
        <f t="shared" si="15"/>
        <v>2000694</v>
      </c>
    </row>
    <row r="85" spans="2:18" x14ac:dyDescent="0.2">
      <c r="B85" s="839" t="s">
        <v>741</v>
      </c>
      <c r="C85" s="919">
        <v>3300000</v>
      </c>
      <c r="D85" s="760">
        <v>20000</v>
      </c>
      <c r="E85" s="514">
        <v>1</v>
      </c>
      <c r="F85" s="920"/>
      <c r="G85" s="920"/>
      <c r="H85" s="750"/>
      <c r="I85" s="921">
        <f>C85*E85</f>
        <v>3300000</v>
      </c>
      <c r="J85" s="750"/>
      <c r="K85" s="920"/>
      <c r="L85" s="750">
        <f>C85*E85</f>
        <v>3300000</v>
      </c>
      <c r="M85" s="920"/>
      <c r="N85" s="750"/>
      <c r="O85" s="750">
        <f>C85*E85</f>
        <v>3300000</v>
      </c>
      <c r="P85" s="750"/>
      <c r="Q85" s="920"/>
    </row>
    <row r="86" spans="2:18" x14ac:dyDescent="0.2">
      <c r="B86" s="842" t="s">
        <v>742</v>
      </c>
      <c r="C86" s="918">
        <v>30078</v>
      </c>
      <c r="D86" s="760">
        <v>14000</v>
      </c>
      <c r="E86" s="514">
        <v>8</v>
      </c>
      <c r="F86" s="920"/>
      <c r="G86" s="921">
        <f>C86*E86</f>
        <v>240624</v>
      </c>
      <c r="H86" s="750"/>
      <c r="I86" s="921">
        <f>C86*E86</f>
        <v>240624</v>
      </c>
      <c r="J86" s="750"/>
      <c r="K86" s="920"/>
      <c r="L86" s="750">
        <f>C86*E86</f>
        <v>240624</v>
      </c>
      <c r="M86" s="920"/>
      <c r="N86" s="750">
        <f>C86*E86</f>
        <v>240624</v>
      </c>
      <c r="O86" s="921"/>
      <c r="P86" s="750"/>
      <c r="Q86" s="921">
        <f>C86*E86</f>
        <v>240624</v>
      </c>
    </row>
    <row r="87" spans="2:18" x14ac:dyDescent="0.2">
      <c r="B87" s="842" t="s">
        <v>570</v>
      </c>
      <c r="C87" s="919"/>
      <c r="D87" s="760"/>
      <c r="E87" s="514"/>
      <c r="F87" s="750"/>
      <c r="G87" s="750"/>
      <c r="H87" s="750"/>
      <c r="I87" s="750"/>
      <c r="J87" s="750"/>
      <c r="K87" s="750"/>
      <c r="L87" s="750"/>
      <c r="M87" s="750"/>
      <c r="N87" s="750"/>
      <c r="O87" s="750"/>
      <c r="P87" s="750"/>
      <c r="Q87" s="750"/>
    </row>
    <row r="88" spans="2:18" x14ac:dyDescent="0.2">
      <c r="B88" s="846" t="s">
        <v>743</v>
      </c>
      <c r="C88" s="919">
        <v>900000</v>
      </c>
      <c r="D88" s="760">
        <v>40000</v>
      </c>
      <c r="E88" s="514">
        <v>1</v>
      </c>
      <c r="F88" s="899"/>
      <c r="G88" s="899"/>
      <c r="H88" s="899"/>
      <c r="I88" s="899"/>
      <c r="J88" s="899"/>
      <c r="K88" s="922">
        <f>C88*E88</f>
        <v>900000</v>
      </c>
      <c r="L88" s="899"/>
      <c r="M88" s="899"/>
      <c r="N88" s="899"/>
      <c r="O88" s="922">
        <f>C88*E88</f>
        <v>900000</v>
      </c>
      <c r="P88" s="899"/>
      <c r="Q88" s="899"/>
    </row>
    <row r="89" spans="2:18" x14ac:dyDescent="0.2">
      <c r="B89" s="842" t="s">
        <v>570</v>
      </c>
      <c r="C89" s="918"/>
      <c r="D89" s="760"/>
      <c r="E89" s="514"/>
      <c r="F89" s="899"/>
      <c r="G89" s="922"/>
      <c r="H89" s="899"/>
      <c r="I89" s="922"/>
      <c r="J89" s="899"/>
      <c r="K89" s="922"/>
      <c r="L89" s="899"/>
      <c r="M89" s="922"/>
      <c r="N89" s="899"/>
      <c r="O89" s="922"/>
      <c r="P89" s="899"/>
      <c r="Q89" s="922"/>
    </row>
    <row r="90" spans="2:18" x14ac:dyDescent="0.2">
      <c r="B90" s="842" t="s">
        <v>570</v>
      </c>
      <c r="C90" s="918"/>
      <c r="D90" s="760"/>
      <c r="E90" s="514"/>
      <c r="F90" s="750"/>
      <c r="G90" s="899"/>
      <c r="H90" s="750"/>
      <c r="I90" s="750"/>
      <c r="J90" s="750"/>
      <c r="K90" s="750"/>
      <c r="L90" s="750"/>
      <c r="M90" s="750"/>
      <c r="N90" s="750"/>
      <c r="O90" s="750"/>
      <c r="P90" s="750"/>
      <c r="Q90" s="750"/>
      <c r="R90" s="923"/>
    </row>
    <row r="91" spans="2:18" x14ac:dyDescent="0.2">
      <c r="B91" s="846" t="s">
        <v>744</v>
      </c>
      <c r="C91" s="918">
        <v>2800000</v>
      </c>
      <c r="D91" s="760">
        <v>45000</v>
      </c>
      <c r="E91" s="514">
        <v>1</v>
      </c>
      <c r="F91" s="899"/>
      <c r="G91" s="899"/>
      <c r="H91" s="899"/>
      <c r="I91" s="899"/>
      <c r="J91" s="899"/>
      <c r="K91" s="899"/>
      <c r="L91" s="922">
        <f>C91*E91</f>
        <v>2800000</v>
      </c>
      <c r="M91" s="899"/>
      <c r="N91" s="899"/>
      <c r="O91" s="899"/>
      <c r="P91" s="899"/>
      <c r="Q91" s="899"/>
    </row>
    <row r="92" spans="2:18" x14ac:dyDescent="0.2">
      <c r="B92" s="842" t="s">
        <v>745</v>
      </c>
      <c r="C92" s="918">
        <v>5000000</v>
      </c>
      <c r="D92" s="760">
        <v>20000</v>
      </c>
      <c r="E92" s="514">
        <v>1</v>
      </c>
      <c r="F92" s="750"/>
      <c r="G92" s="750"/>
      <c r="H92" s="750">
        <f>C92*E92</f>
        <v>5000000</v>
      </c>
      <c r="I92" s="750"/>
      <c r="J92" s="750"/>
      <c r="K92" s="750">
        <f>C92*E92</f>
        <v>5000000</v>
      </c>
      <c r="L92" s="750"/>
      <c r="M92" s="750"/>
      <c r="N92" s="750">
        <f>C92*E92</f>
        <v>5000000</v>
      </c>
      <c r="O92" s="750"/>
      <c r="P92" s="750">
        <f>C92*E92</f>
        <v>5000000</v>
      </c>
      <c r="Q92" s="750"/>
    </row>
    <row r="93" spans="2:18" x14ac:dyDescent="0.2">
      <c r="B93" s="846" t="s">
        <v>746</v>
      </c>
      <c r="C93" s="924"/>
      <c r="D93" s="899"/>
      <c r="E93" s="514"/>
      <c r="F93" s="899"/>
      <c r="G93" s="899"/>
      <c r="H93" s="899"/>
      <c r="I93" s="899"/>
      <c r="J93" s="899"/>
      <c r="K93" s="899"/>
      <c r="L93" s="899"/>
      <c r="M93" s="899"/>
      <c r="N93" s="899"/>
      <c r="O93" s="899"/>
      <c r="P93" s="899"/>
      <c r="Q93" s="899"/>
    </row>
    <row r="94" spans="2:18" x14ac:dyDescent="0.2">
      <c r="B94" s="842" t="s">
        <v>755</v>
      </c>
      <c r="C94" s="918">
        <v>3500000</v>
      </c>
      <c r="D94" s="760">
        <v>30000</v>
      </c>
      <c r="E94" s="514">
        <v>1</v>
      </c>
      <c r="F94" s="750"/>
      <c r="G94" s="750"/>
      <c r="H94" s="750"/>
      <c r="I94" s="750">
        <v>3500000</v>
      </c>
      <c r="J94" s="750"/>
      <c r="K94" s="750"/>
      <c r="L94" s="750"/>
      <c r="M94" s="750">
        <v>3500000</v>
      </c>
      <c r="N94" s="750"/>
      <c r="O94" s="750"/>
      <c r="P94" s="750">
        <v>3500000</v>
      </c>
      <c r="Q94" s="750"/>
    </row>
    <row r="95" spans="2:18" x14ac:dyDescent="0.2">
      <c r="B95" s="842" t="s">
        <v>748</v>
      </c>
      <c r="C95" s="918">
        <v>1698220</v>
      </c>
      <c r="D95" s="760">
        <v>30000</v>
      </c>
      <c r="E95" s="514">
        <v>2</v>
      </c>
      <c r="F95" s="750"/>
      <c r="G95" s="750"/>
      <c r="H95" s="750"/>
      <c r="I95" s="750">
        <f>C95*E95</f>
        <v>3396440</v>
      </c>
      <c r="J95" s="750"/>
      <c r="K95" s="750"/>
      <c r="L95" s="750"/>
      <c r="M95" s="750">
        <f>C95*E95</f>
        <v>3396440</v>
      </c>
      <c r="N95" s="750"/>
      <c r="O95" s="750"/>
      <c r="P95" s="750">
        <f>C95*E95</f>
        <v>3396440</v>
      </c>
      <c r="Q95" s="750"/>
    </row>
    <row r="96" spans="2:18" x14ac:dyDescent="0.2">
      <c r="B96" s="842" t="s">
        <v>749</v>
      </c>
      <c r="C96" s="918">
        <v>162700</v>
      </c>
      <c r="D96" s="760">
        <v>3500</v>
      </c>
      <c r="E96" s="514">
        <v>2</v>
      </c>
      <c r="F96" s="750">
        <f>C96*E96</f>
        <v>325400</v>
      </c>
      <c r="G96" s="750">
        <f>C96*E96</f>
        <v>325400</v>
      </c>
      <c r="H96" s="750">
        <f>C96*E96</f>
        <v>325400</v>
      </c>
      <c r="I96" s="750">
        <f>C96*E96</f>
        <v>325400</v>
      </c>
      <c r="J96" s="750">
        <f>C96*E96</f>
        <v>325400</v>
      </c>
      <c r="K96" s="750">
        <f>C96*E96</f>
        <v>325400</v>
      </c>
      <c r="L96" s="750">
        <f>C96*E96</f>
        <v>325400</v>
      </c>
      <c r="M96" s="750">
        <f>C96*E96</f>
        <v>325400</v>
      </c>
      <c r="N96" s="750">
        <f>C96*E96</f>
        <v>325400</v>
      </c>
      <c r="O96" s="750">
        <f>C96*E96</f>
        <v>325400</v>
      </c>
      <c r="P96" s="750">
        <f>C96*E96</f>
        <v>325400</v>
      </c>
      <c r="Q96" s="750">
        <f>C96*E96</f>
        <v>325400</v>
      </c>
    </row>
    <row r="97" spans="2:17" x14ac:dyDescent="0.2">
      <c r="B97" s="842" t="s">
        <v>750</v>
      </c>
      <c r="C97" s="918">
        <v>168330</v>
      </c>
      <c r="D97" s="760">
        <v>3500</v>
      </c>
      <c r="E97" s="514">
        <v>2</v>
      </c>
      <c r="F97" s="750">
        <f>C97*E97</f>
        <v>336660</v>
      </c>
      <c r="G97" s="750">
        <f>C97*E97</f>
        <v>336660</v>
      </c>
      <c r="H97" s="750">
        <f>C97*E97</f>
        <v>336660</v>
      </c>
      <c r="I97" s="750">
        <f>C97*E97</f>
        <v>336660</v>
      </c>
      <c r="J97" s="750">
        <f>C97*E97</f>
        <v>336660</v>
      </c>
      <c r="K97" s="750">
        <f>C97*E97</f>
        <v>336660</v>
      </c>
      <c r="L97" s="750">
        <f>C97*E97</f>
        <v>336660</v>
      </c>
      <c r="M97" s="750">
        <f>C97*E97</f>
        <v>336660</v>
      </c>
      <c r="N97" s="750">
        <f>C97*E97</f>
        <v>336660</v>
      </c>
      <c r="O97" s="750">
        <f>C97*E97</f>
        <v>336660</v>
      </c>
      <c r="P97" s="750">
        <f>C97*E97</f>
        <v>336660</v>
      </c>
      <c r="Q97" s="750">
        <f>C97*E97</f>
        <v>336660</v>
      </c>
    </row>
    <row r="98" spans="2:17" x14ac:dyDescent="0.2">
      <c r="B98" s="853" t="s">
        <v>570</v>
      </c>
      <c r="C98" s="918"/>
      <c r="D98" s="760"/>
      <c r="E98" s="514"/>
      <c r="F98" s="750"/>
      <c r="G98" s="750"/>
      <c r="H98" s="750"/>
      <c r="I98" s="750"/>
      <c r="J98" s="750"/>
      <c r="K98" s="750"/>
      <c r="L98" s="750"/>
      <c r="M98" s="750"/>
      <c r="N98" s="750"/>
      <c r="O98" s="750"/>
      <c r="P98" s="750"/>
      <c r="Q98" s="750"/>
    </row>
    <row r="99" spans="2:17" x14ac:dyDescent="0.2">
      <c r="B99" s="842" t="s">
        <v>751</v>
      </c>
      <c r="C99" s="918">
        <v>41910</v>
      </c>
      <c r="D99" s="760">
        <v>4000</v>
      </c>
      <c r="E99" s="514">
        <v>8</v>
      </c>
      <c r="F99" s="750">
        <f t="shared" ref="F99:F101" si="16">C99*E99</f>
        <v>335280</v>
      </c>
      <c r="G99" s="750">
        <f t="shared" ref="G99:G101" si="17">C99*E99</f>
        <v>335280</v>
      </c>
      <c r="H99" s="750">
        <f t="shared" ref="H99:H101" si="18">C99*E99</f>
        <v>335280</v>
      </c>
      <c r="I99" s="750">
        <f t="shared" ref="I99:I101" si="19">C99*E99</f>
        <v>335280</v>
      </c>
      <c r="J99" s="750">
        <f t="shared" ref="J99:J101" si="20">C99*E99</f>
        <v>335280</v>
      </c>
      <c r="K99" s="750">
        <f t="shared" ref="K99:K101" si="21">C99*E99</f>
        <v>335280</v>
      </c>
      <c r="L99" s="750">
        <f t="shared" ref="L99:L101" si="22">C99*E99</f>
        <v>335280</v>
      </c>
      <c r="M99" s="750">
        <f t="shared" ref="M99:M101" si="23">C99*E99</f>
        <v>335280</v>
      </c>
      <c r="N99" s="750">
        <f t="shared" ref="N99:N101" si="24">C99*E99</f>
        <v>335280</v>
      </c>
      <c r="O99" s="750">
        <f t="shared" ref="O99:O101" si="25">C99*E99</f>
        <v>335280</v>
      </c>
      <c r="P99" s="750">
        <f t="shared" ref="P99:P101" si="26">C99*E99</f>
        <v>335280</v>
      </c>
      <c r="Q99" s="750">
        <f t="shared" ref="Q99:Q101" si="27">C99*E99</f>
        <v>335280</v>
      </c>
    </row>
    <row r="100" spans="2:17" x14ac:dyDescent="0.2">
      <c r="B100" s="842" t="s">
        <v>751</v>
      </c>
      <c r="C100" s="918">
        <v>5390</v>
      </c>
      <c r="D100" s="760">
        <v>4000</v>
      </c>
      <c r="E100" s="514">
        <v>2</v>
      </c>
      <c r="F100" s="750">
        <f t="shared" si="16"/>
        <v>10780</v>
      </c>
      <c r="G100" s="750">
        <f t="shared" si="17"/>
        <v>10780</v>
      </c>
      <c r="H100" s="750">
        <f t="shared" si="18"/>
        <v>10780</v>
      </c>
      <c r="I100" s="750">
        <f t="shared" si="19"/>
        <v>10780</v>
      </c>
      <c r="J100" s="750">
        <f t="shared" si="20"/>
        <v>10780</v>
      </c>
      <c r="K100" s="750">
        <f t="shared" si="21"/>
        <v>10780</v>
      </c>
      <c r="L100" s="750">
        <f t="shared" si="22"/>
        <v>10780</v>
      </c>
      <c r="M100" s="750">
        <f t="shared" si="23"/>
        <v>10780</v>
      </c>
      <c r="N100" s="750">
        <f t="shared" si="24"/>
        <v>10780</v>
      </c>
      <c r="O100" s="750">
        <f t="shared" si="25"/>
        <v>10780</v>
      </c>
      <c r="P100" s="750">
        <f t="shared" si="26"/>
        <v>10780</v>
      </c>
      <c r="Q100" s="750">
        <f t="shared" si="27"/>
        <v>10780</v>
      </c>
    </row>
    <row r="101" spans="2:17" x14ac:dyDescent="0.2">
      <c r="B101" s="842" t="s">
        <v>751</v>
      </c>
      <c r="C101" s="918">
        <v>2970</v>
      </c>
      <c r="D101" s="760">
        <v>4000</v>
      </c>
      <c r="E101" s="514">
        <v>2</v>
      </c>
      <c r="F101" s="750">
        <f t="shared" si="16"/>
        <v>5940</v>
      </c>
      <c r="G101" s="750">
        <f t="shared" si="17"/>
        <v>5940</v>
      </c>
      <c r="H101" s="750">
        <f t="shared" si="18"/>
        <v>5940</v>
      </c>
      <c r="I101" s="750">
        <f t="shared" si="19"/>
        <v>5940</v>
      </c>
      <c r="J101" s="750">
        <f t="shared" si="20"/>
        <v>5940</v>
      </c>
      <c r="K101" s="750">
        <f t="shared" si="21"/>
        <v>5940</v>
      </c>
      <c r="L101" s="750">
        <f t="shared" si="22"/>
        <v>5940</v>
      </c>
      <c r="M101" s="750">
        <f t="shared" si="23"/>
        <v>5940</v>
      </c>
      <c r="N101" s="750">
        <f t="shared" si="24"/>
        <v>5940</v>
      </c>
      <c r="O101" s="750">
        <f t="shared" si="25"/>
        <v>5940</v>
      </c>
      <c r="P101" s="750">
        <f t="shared" si="26"/>
        <v>5940</v>
      </c>
      <c r="Q101" s="750">
        <f t="shared" si="27"/>
        <v>5940</v>
      </c>
    </row>
    <row r="102" spans="2:17" x14ac:dyDescent="0.2">
      <c r="B102" s="842" t="s">
        <v>570</v>
      </c>
      <c r="C102" s="918"/>
      <c r="D102" s="760"/>
      <c r="E102" s="514"/>
      <c r="F102" s="750"/>
      <c r="G102" s="750"/>
      <c r="H102" s="750"/>
      <c r="I102" s="750"/>
      <c r="J102" s="750"/>
      <c r="K102" s="750"/>
      <c r="L102" s="750"/>
      <c r="M102" s="750"/>
      <c r="N102" s="750"/>
      <c r="O102" s="750"/>
      <c r="P102" s="750"/>
      <c r="Q102" s="750"/>
    </row>
    <row r="103" spans="2:17" x14ac:dyDescent="0.2">
      <c r="B103" s="846" t="s">
        <v>649</v>
      </c>
      <c r="C103" s="924"/>
      <c r="D103" s="899"/>
      <c r="E103" s="514"/>
      <c r="F103" s="899"/>
      <c r="G103" s="899"/>
      <c r="H103" s="899"/>
      <c r="I103" s="899"/>
      <c r="J103" s="899"/>
      <c r="K103" s="899"/>
      <c r="L103" s="899"/>
      <c r="M103" s="899"/>
      <c r="N103" s="899"/>
      <c r="O103" s="899"/>
      <c r="P103" s="899"/>
      <c r="Q103" s="899"/>
    </row>
    <row r="104" spans="2:17" x14ac:dyDescent="0.2">
      <c r="B104" s="842" t="s">
        <v>752</v>
      </c>
      <c r="C104" s="918">
        <v>1836240</v>
      </c>
      <c r="D104" s="760">
        <v>40000</v>
      </c>
      <c r="E104" s="514">
        <v>1</v>
      </c>
      <c r="F104" s="750"/>
      <c r="G104" s="750"/>
      <c r="H104" s="750"/>
      <c r="I104" s="750"/>
      <c r="J104" s="750">
        <f>C104*E104</f>
        <v>1836240</v>
      </c>
      <c r="K104" s="750"/>
      <c r="L104" s="750"/>
      <c r="M104" s="750"/>
      <c r="N104" s="750"/>
      <c r="O104" s="750">
        <f>C104*E104</f>
        <v>1836240</v>
      </c>
      <c r="P104" s="750"/>
      <c r="Q104" s="750"/>
    </row>
    <row r="105" spans="2:17" x14ac:dyDescent="0.2">
      <c r="B105" s="842" t="s">
        <v>570</v>
      </c>
      <c r="C105" s="918"/>
      <c r="D105" s="760"/>
      <c r="E105" s="514"/>
      <c r="F105" s="750"/>
      <c r="G105" s="750"/>
      <c r="H105" s="750"/>
      <c r="I105" s="750"/>
      <c r="J105" s="750"/>
      <c r="K105" s="750"/>
      <c r="L105" s="750"/>
      <c r="M105" s="750"/>
      <c r="N105" s="750"/>
      <c r="O105" s="750"/>
      <c r="P105" s="750"/>
      <c r="Q105" s="750"/>
    </row>
    <row r="106" spans="2:17" x14ac:dyDescent="0.2">
      <c r="B106" s="925" t="s">
        <v>651</v>
      </c>
      <c r="C106" s="924"/>
      <c r="D106" s="899"/>
      <c r="E106" s="514"/>
      <c r="F106" s="899"/>
      <c r="G106" s="899"/>
      <c r="H106" s="899"/>
      <c r="I106" s="899"/>
      <c r="J106" s="899"/>
      <c r="K106" s="899"/>
      <c r="L106" s="899"/>
      <c r="M106" s="899"/>
      <c r="N106" s="899"/>
      <c r="O106" s="899"/>
      <c r="P106" s="899"/>
      <c r="Q106" s="899"/>
    </row>
    <row r="107" spans="2:17" x14ac:dyDescent="0.2">
      <c r="B107" s="842" t="s">
        <v>753</v>
      </c>
      <c r="C107" s="918">
        <v>746010</v>
      </c>
      <c r="D107" s="760">
        <v>20000</v>
      </c>
      <c r="E107" s="514">
        <v>1</v>
      </c>
      <c r="F107" s="750"/>
      <c r="G107" s="750"/>
      <c r="H107" s="750">
        <f>C107*E107</f>
        <v>746010</v>
      </c>
      <c r="I107" s="750"/>
      <c r="J107" s="750"/>
      <c r="K107" s="750">
        <f>C107*E107</f>
        <v>746010</v>
      </c>
      <c r="L107" s="750"/>
      <c r="M107" s="750"/>
      <c r="N107" s="750">
        <f>C107*E107</f>
        <v>746010</v>
      </c>
      <c r="O107" s="750"/>
      <c r="P107" s="750"/>
      <c r="Q107" s="750">
        <f>C107*E107</f>
        <v>746010</v>
      </c>
    </row>
    <row r="108" spans="2:17" x14ac:dyDescent="0.2">
      <c r="B108" s="842"/>
      <c r="C108" s="918"/>
      <c r="D108" s="760"/>
      <c r="E108" s="514"/>
      <c r="F108" s="750"/>
      <c r="G108" s="750"/>
      <c r="H108" s="750"/>
      <c r="I108" s="750"/>
      <c r="J108" s="750"/>
      <c r="K108" s="750"/>
      <c r="L108" s="750"/>
      <c r="M108" s="750"/>
      <c r="N108" s="750"/>
      <c r="O108" s="750"/>
      <c r="P108" s="750"/>
      <c r="Q108" s="750"/>
    </row>
  </sheetData>
  <pageMargins left="0.31496062992125984" right="0.31496062992125984" top="0.35433070866141736" bottom="0.35433070866141736" header="0.31496062992125984" footer="0.31496062992125984"/>
  <pageSetup paperSize="9" scale="44" orientation="landscape" r:id="rId1"/>
  <rowBreaks count="1" manualBreakCount="1">
    <brk id="76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25</vt:i4>
      </vt:variant>
    </vt:vector>
  </HeadingPairs>
  <TitlesOfParts>
    <vt:vector size="55" baseType="lpstr">
      <vt:lpstr>Свод_250-270_диз</vt:lpstr>
      <vt:lpstr>ТСО_250-270_диз</vt:lpstr>
      <vt:lpstr>Свод_250-270_эл</vt:lpstr>
      <vt:lpstr>ТСО_250-270_эл</vt:lpstr>
      <vt:lpstr>Свод_215_диз</vt:lpstr>
      <vt:lpstr>ТСО_215_диз</vt:lpstr>
      <vt:lpstr>Производительность</vt:lpstr>
      <vt:lpstr>Простои</vt:lpstr>
      <vt:lpstr>W час</vt:lpstr>
      <vt:lpstr>топл-энерг</vt:lpstr>
      <vt:lpstr>факт СЛ</vt:lpstr>
      <vt:lpstr>ФОТ, МТР, макро</vt:lpstr>
      <vt:lpstr>HIFO 75D</vt:lpstr>
      <vt:lpstr>HIFO 75D ТО</vt:lpstr>
      <vt:lpstr>HIFO 75D Рем</vt:lpstr>
      <vt:lpstr>SWDRT270SM</vt:lpstr>
      <vt:lpstr>SWDRT270SM ТО</vt:lpstr>
      <vt:lpstr>SWDRT270SM Рем</vt:lpstr>
      <vt:lpstr>SWDRT250SM</vt:lpstr>
      <vt:lpstr>SWDRT250SM ТО</vt:lpstr>
      <vt:lpstr>SWDRT250SM Рем</vt:lpstr>
      <vt:lpstr>DR-75</vt:lpstr>
      <vt:lpstr>DR-75 ТО</vt:lpstr>
      <vt:lpstr>DR-75 Рем</vt:lpstr>
      <vt:lpstr>SWDRT270B</vt:lpstr>
      <vt:lpstr>SWDRT270B ТО</vt:lpstr>
      <vt:lpstr>SWDRT270B Рем</vt:lpstr>
      <vt:lpstr>БС-215</vt:lpstr>
      <vt:lpstr>БС-215 ТО</vt:lpstr>
      <vt:lpstr>БС-215 Рем</vt:lpstr>
      <vt:lpstr>'DR-75'!Заголовки_для_печати</vt:lpstr>
      <vt:lpstr>'DR-75 Рем'!Заголовки_для_печати</vt:lpstr>
      <vt:lpstr>'DR-75 ТО'!Заголовки_для_печати</vt:lpstr>
      <vt:lpstr>'HIFO 75D'!Заголовки_для_печати</vt:lpstr>
      <vt:lpstr>'HIFO 75D Рем'!Заголовки_для_печати</vt:lpstr>
      <vt:lpstr>'HIFO 75D ТО'!Заголовки_для_печати</vt:lpstr>
      <vt:lpstr>SWDRT250SM!Заголовки_для_печати</vt:lpstr>
      <vt:lpstr>'SWDRT250SM Рем'!Заголовки_для_печати</vt:lpstr>
      <vt:lpstr>'SWDRT250SM ТО'!Заголовки_для_печати</vt:lpstr>
      <vt:lpstr>SWDRT270B!Заголовки_для_печати</vt:lpstr>
      <vt:lpstr>'SWDRT270B Рем'!Заголовки_для_печати</vt:lpstr>
      <vt:lpstr>'SWDRT270B ТО'!Заголовки_для_печати</vt:lpstr>
      <vt:lpstr>SWDRT270SM!Заголовки_для_печати</vt:lpstr>
      <vt:lpstr>'SWDRT270SM Рем'!Заголовки_для_печати</vt:lpstr>
      <vt:lpstr>'SWDRT270SM ТО'!Заголовки_для_печати</vt:lpstr>
      <vt:lpstr>'БС-215'!Заголовки_для_печати</vt:lpstr>
      <vt:lpstr>'БС-215 Рем'!Заголовки_для_печати</vt:lpstr>
      <vt:lpstr>'БС-215 ТО'!Заголовки_для_печати</vt:lpstr>
      <vt:lpstr>'DR-75'!Область_печати</vt:lpstr>
      <vt:lpstr>'HIFO 75D'!Область_печати</vt:lpstr>
      <vt:lpstr>SWDRT250SM!Область_печати</vt:lpstr>
      <vt:lpstr>SWDRT270B!Область_печати</vt:lpstr>
      <vt:lpstr>SWDRT270SM!Область_печати</vt:lpstr>
      <vt:lpstr>'БС-215'!Область_печати</vt:lpstr>
      <vt:lpstr>'БС-215 Рем'!Область_печати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Ибрагимова Алена Мухамедовна</dc:creator>
  <cp:lastModifiedBy>Ибрагимова Алена Мухамедовна</cp:lastModifiedBy>
  <dcterms:created xsi:type="dcterms:W3CDTF">2026-07-07T11:58:42Z</dcterms:created>
  <dcterms:modified xsi:type="dcterms:W3CDTF">2026-07-29T16:09:15Z</dcterms:modified>
</cp:coreProperties>
</file>