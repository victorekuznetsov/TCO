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.shtolbert\Desktop\"/>
    </mc:Choice>
  </mc:AlternateContent>
  <xr:revisionPtr revIDLastSave="0" documentId="13_ncr:1_{6DD6CFF3-D5B6-44F7-81CE-8B5C67B26E76}" xr6:coauthVersionLast="47" xr6:coauthVersionMax="47" xr10:uidLastSave="{00000000-0000-0000-0000-000000000000}"/>
  <bookViews>
    <workbookView xWindow="-28800" yWindow="17" windowWidth="26657" windowHeight="13166" xr2:uid="{E6A06927-BFC0-4561-9869-233EADD99854}"/>
  </bookViews>
  <sheets>
    <sheet name="Данные -Карьерный самосвал" sheetId="1" r:id="rId1"/>
    <sheet name="ТО" sheetId="2" r:id="rId2"/>
    <sheet name="Ремонты " sheetId="3" r:id="rId3"/>
  </sheets>
  <externalReferences>
    <externalReference r:id="rId4"/>
  </externalReferences>
  <definedNames>
    <definedName name="_A" localSheetId="0" hidden="1">#REF!</definedName>
    <definedName name="_A" localSheetId="2" hidden="1">#REF!</definedName>
    <definedName name="_A" localSheetId="1" hidden="1">#REF!</definedName>
    <definedName name="_A" hidden="1">#REF!</definedName>
    <definedName name="_Fill" localSheetId="0" hidden="1">#REF!</definedName>
    <definedName name="_Fill" localSheetId="1" hidden="1">#REF!</definedName>
    <definedName name="_Fill" hidden="1">#REF!</definedName>
    <definedName name="_Order1" hidden="1">0</definedName>
    <definedName name="_Order2" hidden="1">0</definedName>
    <definedName name="_Regression_Int" hidden="1">1</definedName>
    <definedName name="_Sort" localSheetId="1" hidden="1">#REF!</definedName>
    <definedName name="_Sort" hidden="1">#REF!</definedName>
    <definedName name="AccessDatabase" hidden="1">"C:\Documents and Settings\mutygullin\Рабочий стол\Волокитин\Предприятия СУЭК.mdb"</definedName>
    <definedName name="apr" localSheetId="2" hidden="1">{"'РП (2)'!$A$5:$S$150"}</definedName>
    <definedName name="apr" hidden="1">{"'РП (2)'!$A$5:$S$150"}</definedName>
    <definedName name="AS2DocOpenMode" hidden="1">"AS2DocumentBrowse"</definedName>
    <definedName name="asdfg" localSheetId="2" hidden="1">{"'РП (2)'!$A$5:$S$150"}</definedName>
    <definedName name="asdfg" hidden="1">{"'РП (2)'!$A$5:$S$150"}</definedName>
    <definedName name="Control" localSheetId="2" hidden="1">{"'РП (2)'!$A$5:$S$150"}</definedName>
    <definedName name="Control" hidden="1">{"'РП (2)'!$A$5:$S$150"}</definedName>
    <definedName name="e" localSheetId="2" hidden="1">{"'РП (2)'!$A$5:$S$150"}</definedName>
    <definedName name="e" hidden="1">{"'РП (2)'!$A$5:$S$150"}</definedName>
    <definedName name="HTML_CodePage" hidden="1">1251</definedName>
    <definedName name="HTML_Control" localSheetId="2" hidden="1">{"'РП (2)'!$A$5:$S$150"}</definedName>
    <definedName name="HTML_Control" hidden="1">{"'РП (2)'!$A$5:$S$150"}</definedName>
    <definedName name="HTML_Description" hidden="1">""</definedName>
    <definedName name="HTML_Email" hidden="1">""</definedName>
    <definedName name="HTML_Header" hidden="1">"кРАП"</definedName>
    <definedName name="HTML_LastUpdate" hidden="1">"03.06.99"</definedName>
    <definedName name="HTML_LineAfter" hidden="1">FALSE</definedName>
    <definedName name="HTML_LineBefore" hidden="1">FALSE</definedName>
    <definedName name="HTML_Name" hidden="1">"Вячеслав Г. Колчин"</definedName>
    <definedName name="HTML_OBDlg2" hidden="1">TRUE</definedName>
    <definedName name="HTML_OBDlg4" hidden="1">TRUE</definedName>
    <definedName name="HTML_OS" hidden="1">0</definedName>
    <definedName name="HTML_PathFile" hidden="1">"C:\1S\AworkSIBAL\ФИНПЛАН\Платежи-поступления\MyHTML.htm"</definedName>
    <definedName name="HTML_Title" hidden="1">"План платежей 0699"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QShowHideColumns" hidden="1">"iQShowAll"</definedName>
    <definedName name="kBNT" localSheetId="2" hidden="1">{"'РП (2)'!$A$5:$S$150"}</definedName>
    <definedName name="kBNT" hidden="1">{"'РП (2)'!$A$5:$S$150"}</definedName>
    <definedName name="ok" localSheetId="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ok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pln" localSheetId="2" hidden="1">{"'РП (2)'!$A$5:$S$150"}</definedName>
    <definedName name="pln" hidden="1">{"'РП (2)'!$A$5:$S$150"}</definedName>
    <definedName name="qwerty" localSheetId="2" hidden="1">{"'РП (2)'!$A$5:$S$150"}</definedName>
    <definedName name="qwerty" hidden="1">{"'РП (2)'!$A$5:$S$150"}</definedName>
    <definedName name="rjgbz" localSheetId="2" hidden="1">{"'РП (2)'!$A$5:$S$150"}</definedName>
    <definedName name="rjgbz" hidden="1">{"'РП (2)'!$A$5:$S$150"}</definedName>
    <definedName name="sss" localSheetId="2" hidden="1">{"'РП (2)'!$A$5:$S$150"}</definedName>
    <definedName name="sss" hidden="1">{"'РП (2)'!$A$5:$S$150"}</definedName>
    <definedName name="TextRefCopyRangeCount" hidden="1">45</definedName>
    <definedName name="wrn.Coded._.IAS._.FS." localSheetId="2" hidden="1">{"IASTrail",#N/A,FALSE,"IAS"}</definedName>
    <definedName name="wrn.Coded._.IAS._.FS." hidden="1">{"IASTrail",#N/A,FALSE,"IAS"}</definedName>
    <definedName name="wrn.Fixed._.Assets._.Note._.and._.Depreciation." localSheetId="2" hidden="1">{#N/A,#N/A,FALSE,"FA_1";#N/A,#N/A,FALSE,"Dep'n SE";#N/A,#N/A,FALSE,"Dep'n FC"}</definedName>
    <definedName name="wrn.Fixed._.Assets._.Note._.and._.Depreciation." hidden="1">{#N/A,#N/A,FALSE,"FA_1";#N/A,#N/A,FALSE,"Dep'n SE";#N/A,#N/A,FALSE,"Dep'n FC"}</definedName>
    <definedName name="wrn.Full._.IAS._.STATEMENTS." localSheetId="2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localSheetId="2" hidden="1">{"IAS Mapping",#N/A,FALSE,"RSA_FS";#N/A,#N/A,FALSE,"CHECK!";#N/A,#N/A,FALSE,"Recon";#N/A,#N/A,FALSE,"NMG";#N/A,#N/A,FALSE,"Journals";"AnalRSA",#N/A,FALSE,"PL-Anal";"AnalIAS",#N/A,FALSE,"PL-Anal";#N/A,#N/A,FALSE,"COS"}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Help." localSheetId="2" hidden="1">{#N/A,#N/A,TRUE,"MAP";#N/A,#N/A,TRUE,"STEPS";#N/A,#N/A,TRUE,"RULES"}</definedName>
    <definedName name="wrn.Help." hidden="1">{#N/A,#N/A,TRUE,"MAP";#N/A,#N/A,TRUE,"STEPS";#N/A,#N/A,TRUE,"RULES"}</definedName>
    <definedName name="wrn.IAS._.BS._.PL._.CF._.and._.Notes." localSheetId="2" hidden="1">{"IASBS",#N/A,TRUE,"IAS";"IASPL",#N/A,TRUE,"IAS";"IASNotes",#N/A,TRUE,"IAS";"CFDir - expanded",#N/A,TRUE,"CF DIR"}</definedName>
    <definedName name="wrn.IAS._.BS._.PL._.CF._.and._.Notes." hidden="1">{"IASBS",#N/A,TRUE,"IAS";"IASPL",#N/A,TRUE,"IAS";"IASNotes",#N/A,TRUE,"IAS";"CFDir - expanded",#N/A,TRUE,"CF DIR"}</definedName>
    <definedName name="wrn.IAS._.FS._.ZOOMED._.IN._.Forms." localSheetId="2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localSheetId="2" hidden="1">{"IAS Mapping",#N/A,TRUE,"RSA_FS"}</definedName>
    <definedName name="wrn.IAS._.Mapping." hidden="1">{"IAS Mapping",#N/A,TRUE,"RSA_FS"}</definedName>
    <definedName name="wrn.Inflation._.factors._.used." localSheetId="2" hidden="1">{#N/A,#N/A,FALSE,"Infl_fact"}</definedName>
    <definedName name="wrn.Inflation._.factors._.used." hidden="1">{#N/A,#N/A,FALSE,"Infl_fact"}</definedName>
    <definedName name="wrn.PL._.Analysis." localSheetId="2" hidden="1">{"AnalRSA",#N/A,TRUE,"PL-Anal";"AnalIAS",#N/A,TRUE,"PL-Anal"}</definedName>
    <definedName name="wrn.PL._.Analysis." hidden="1">{"AnalRSA",#N/A,TRUE,"PL-Anal";"AnalIAS",#N/A,TRUE,"PL-Anal"}</definedName>
    <definedName name="wrn.RSA._.BS._.and._.PL." localSheetId="2" hidden="1">{"BS1",#N/A,TRUE,"RSA_FS";"BS2",#N/A,TRUE,"RSA_FS";"BS3",#N/A,TRUE,"RSA_FS"}</definedName>
    <definedName name="wrn.RSA._.BS._.and._.PL." hidden="1">{"BS1",#N/A,TRUE,"RSA_FS";"BS2",#N/A,TRUE,"RSA_FS";"BS3",#N/A,TRUE,"RSA_FS"}</definedName>
    <definedName name="wrn.ку." localSheetId="2" hidden="1">{#N/A,#N/A,TRUE,"Лист2"}</definedName>
    <definedName name="wrn.ку." hidden="1">{#N/A,#N/A,TRUE,"Лист2"}</definedName>
    <definedName name="wrn.ОК._.00002." localSheetId="0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localSheetId="2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Z_0DD4EB58_0647_11D5_A6F7_00508B654A95_.wvu.Cols" localSheetId="1" hidden="1">#REF!,#REF!,#REF!,#REF!,#REF!</definedName>
    <definedName name="Z_0DD4EB58_0647_11D5_A6F7_00508B654A95_.wvu.Cols" hidden="1">#REF!,#REF!,#REF!,#REF!,#REF!</definedName>
    <definedName name="Z_10435A81_C305_11D5_A6F8_009027BEE0E0_.wvu.Cols" localSheetId="1" hidden="1">#REF!,#REF!,#REF!</definedName>
    <definedName name="Z_10435A81_C305_11D5_A6F8_009027BEE0E0_.wvu.Cols" hidden="1">#REF!,#REF!,#REF!</definedName>
    <definedName name="Z_10435A81_C305_11D5_A6F8_009027BEE0E0_.wvu.FilterData" localSheetId="1" hidden="1">#REF!</definedName>
    <definedName name="Z_10435A81_C305_11D5_A6F8_009027BEE0E0_.wvu.FilterData" hidden="1">#REF!</definedName>
    <definedName name="Z_10435A81_C305_11D5_A6F8_009027BEE0E0_.wvu.PrintArea" localSheetId="1" hidden="1">#REF!</definedName>
    <definedName name="Z_10435A81_C305_11D5_A6F8_009027BEE0E0_.wvu.PrintArea" hidden="1">#REF!</definedName>
    <definedName name="Z_10435A81_C305_11D5_A6F8_009027BEE0E0_.wvu.PrintTitles" localSheetId="1" hidden="1">#REF!</definedName>
    <definedName name="Z_10435A81_C305_11D5_A6F8_009027BEE0E0_.wvu.PrintTitles" hidden="1">#REF!</definedName>
    <definedName name="Z_10435A81_C305_11D5_A6F8_009027BEE0E0_.wvu.Rows" localSheetId="1" hidden="1">#REF!,#REF!</definedName>
    <definedName name="Z_10435A81_C305_11D5_A6F8_009027BEE0E0_.wvu.Rows" hidden="1">#REF!,#REF!</definedName>
    <definedName name="Z_2804E4BB_ED21_11D4_A6F8_00508B654B8B_.wvu.Cols" localSheetId="1" hidden="1">#REF!,#REF!,#REF!</definedName>
    <definedName name="Z_2804E4BB_ED21_11D4_A6F8_00508B654B8B_.wvu.Cols" hidden="1">#REF!,#REF!,#REF!</definedName>
    <definedName name="Z_2804E4BB_ED21_11D4_A6F8_00508B654B8B_.wvu.FilterData" localSheetId="1" hidden="1">#REF!</definedName>
    <definedName name="Z_2804E4BB_ED21_11D4_A6F8_00508B654B8B_.wvu.FilterData" hidden="1">#REF!</definedName>
    <definedName name="Z_2804E4BB_ED21_11D4_A6F8_00508B654B8B_.wvu.PrintArea" localSheetId="1" hidden="1">#REF!</definedName>
    <definedName name="Z_2804E4BB_ED21_11D4_A6F8_00508B654B8B_.wvu.PrintArea" hidden="1">#REF!</definedName>
    <definedName name="Z_2804E4BB_ED21_11D4_A6F8_00508B654B8B_.wvu.Rows" localSheetId="1" hidden="1">#REF!,#REF!</definedName>
    <definedName name="Z_2804E4BB_ED21_11D4_A6F8_00508B654B8B_.wvu.Rows" hidden="1">#REF!,#REF!</definedName>
    <definedName name="Z_5A868EA0_ED63_11D4_A6F8_009027BEE0E0_.wvu.Cols" localSheetId="1" hidden="1">#REF!,#REF!,#REF!</definedName>
    <definedName name="Z_5A868EA0_ED63_11D4_A6F8_009027BEE0E0_.wvu.Cols" hidden="1">#REF!,#REF!,#REF!</definedName>
    <definedName name="Z_5A868EA0_ED63_11D4_A6F8_009027BEE0E0_.wvu.FilterData" localSheetId="1" hidden="1">#REF!</definedName>
    <definedName name="Z_5A868EA0_ED63_11D4_A6F8_009027BEE0E0_.wvu.FilterData" hidden="1">#REF!</definedName>
    <definedName name="Z_5A868EA0_ED63_11D4_A6F8_009027BEE0E0_.wvu.PrintArea" localSheetId="1" hidden="1">#REF!</definedName>
    <definedName name="Z_5A868EA0_ED63_11D4_A6F8_009027BEE0E0_.wvu.PrintArea" hidden="1">#REF!</definedName>
    <definedName name="Z_5A868EA0_ED63_11D4_A6F8_009027BEE0E0_.wvu.Rows" localSheetId="1" hidden="1">#REF!,#REF!</definedName>
    <definedName name="Z_5A868EA0_ED63_11D4_A6F8_009027BEE0E0_.wvu.Rows" hidden="1">#REF!,#REF!</definedName>
    <definedName name="Z_6E40955B_C2F5_11D5_A6F7_009027BEE7F1_.wvu.Cols" localSheetId="1" hidden="1">#REF!,#REF!,#REF!</definedName>
    <definedName name="Z_6E40955B_C2F5_11D5_A6F7_009027BEE7F1_.wvu.Cols" hidden="1">#REF!,#REF!,#REF!</definedName>
    <definedName name="Z_6E40955B_C2F5_11D5_A6F7_009027BEE7F1_.wvu.FilterData" localSheetId="1" hidden="1">#REF!</definedName>
    <definedName name="Z_6E40955B_C2F5_11D5_A6F7_009027BEE7F1_.wvu.FilterData" hidden="1">#REF!</definedName>
    <definedName name="Z_6E40955B_C2F5_11D5_A6F7_009027BEE7F1_.wvu.PrintArea" localSheetId="1" hidden="1">#REF!</definedName>
    <definedName name="Z_6E40955B_C2F5_11D5_A6F7_009027BEE7F1_.wvu.PrintArea" hidden="1">#REF!</definedName>
    <definedName name="Z_6E40955B_C2F5_11D5_A6F7_009027BEE7F1_.wvu.PrintTitles" localSheetId="1" hidden="1">#REF!</definedName>
    <definedName name="Z_6E40955B_C2F5_11D5_A6F7_009027BEE7F1_.wvu.PrintTitles" hidden="1">#REF!</definedName>
    <definedName name="Z_6E40955B_C2F5_11D5_A6F7_009027BEE7F1_.wvu.Rows" localSheetId="1" hidden="1">#REF!,#REF!</definedName>
    <definedName name="Z_6E40955B_C2F5_11D5_A6F7_009027BEE7F1_.wvu.Rows" hidden="1">#REF!,#REF!</definedName>
    <definedName name="Z_901DD601_3312_11D5_8F89_00010215A1CA_.wvu.Rows" localSheetId="1" hidden="1">#REF!,#REF!</definedName>
    <definedName name="Z_901DD601_3312_11D5_8F89_00010215A1CA_.wvu.Rows" hidden="1">#REF!,#REF!</definedName>
    <definedName name="Z_A158D6E1_ED44_11D4_A6F7_00508B654028_.wvu.Cols" localSheetId="1" hidden="1">#REF!,#REF!,#REF!</definedName>
    <definedName name="Z_A158D6E1_ED44_11D4_A6F7_00508B654028_.wvu.Cols" hidden="1">#REF!,#REF!,#REF!</definedName>
    <definedName name="Z_A158D6E1_ED44_11D4_A6F7_00508B654028_.wvu.FilterData" localSheetId="1" hidden="1">#REF!</definedName>
    <definedName name="Z_A158D6E1_ED44_11D4_A6F7_00508B654028_.wvu.FilterData" hidden="1">#REF!</definedName>
    <definedName name="Z_A158D6E1_ED44_11D4_A6F7_00508B654028_.wvu.PrintArea" localSheetId="1" hidden="1">#REF!</definedName>
    <definedName name="Z_A158D6E1_ED44_11D4_A6F7_00508B654028_.wvu.PrintArea" hidden="1">#REF!</definedName>
    <definedName name="Z_A158D6E1_ED44_11D4_A6F7_00508B654028_.wvu.Rows" localSheetId="1" hidden="1">#REF!,#REF!</definedName>
    <definedName name="Z_A158D6E1_ED44_11D4_A6F7_00508B654028_.wvu.Rows" hidden="1">#REF!,#REF!</definedName>
    <definedName name="Z_ADA92181_C3E4_11D5_A6F7_00508B6A7686_.wvu.Cols" localSheetId="1" hidden="1">#REF!,#REF!,#REF!</definedName>
    <definedName name="Z_ADA92181_C3E4_11D5_A6F7_00508B6A7686_.wvu.Cols" hidden="1">#REF!,#REF!,#REF!</definedName>
    <definedName name="Z_ADA92181_C3E4_11D5_A6F7_00508B6A7686_.wvu.FilterData" localSheetId="1" hidden="1">#REF!</definedName>
    <definedName name="Z_ADA92181_C3E4_11D5_A6F7_00508B6A7686_.wvu.FilterData" hidden="1">#REF!</definedName>
    <definedName name="Z_ADA92181_C3E4_11D5_A6F7_00508B6A7686_.wvu.PrintArea" localSheetId="1" hidden="1">#REF!</definedName>
    <definedName name="Z_ADA92181_C3E4_11D5_A6F7_00508B6A7686_.wvu.PrintArea" hidden="1">#REF!</definedName>
    <definedName name="Z_ADA92181_C3E4_11D5_A6F7_00508B6A7686_.wvu.PrintTitles" localSheetId="1" hidden="1">#REF!</definedName>
    <definedName name="Z_ADA92181_C3E4_11D5_A6F7_00508B6A7686_.wvu.PrintTitles" hidden="1">#REF!</definedName>
    <definedName name="Z_ADA92181_C3E4_11D5_A6F7_00508B6A7686_.wvu.Rows" localSheetId="1" hidden="1">#REF!,#REF!</definedName>
    <definedName name="Z_ADA92181_C3E4_11D5_A6F7_00508B6A7686_.wvu.Rows" hidden="1">#REF!,#REF!</definedName>
    <definedName name="Z_D4FBBAF2_ED2F_11D4_A6F7_00508B6540C5_.wvu.FilterData" localSheetId="1" hidden="1">#REF!</definedName>
    <definedName name="Z_D4FBBAF2_ED2F_11D4_A6F7_00508B6540C5_.wvu.FilterData" hidden="1">#REF!</definedName>
    <definedName name="Z_D9E68341_C2F0_11D5_A6F7_00508B6540C5_.wvu.Cols" localSheetId="1" hidden="1">#REF!,#REF!,#REF!</definedName>
    <definedName name="Z_D9E68341_C2F0_11D5_A6F7_00508B6540C5_.wvu.Cols" hidden="1">#REF!,#REF!,#REF!</definedName>
    <definedName name="Z_D9E68341_C2F0_11D5_A6F7_00508B6540C5_.wvu.FilterData" localSheetId="1" hidden="1">#REF!</definedName>
    <definedName name="Z_D9E68341_C2F0_11D5_A6F7_00508B6540C5_.wvu.FilterData" hidden="1">#REF!</definedName>
    <definedName name="Z_D9E68341_C2F0_11D5_A6F7_00508B6540C5_.wvu.PrintArea" localSheetId="1" hidden="1">#REF!</definedName>
    <definedName name="Z_D9E68341_C2F0_11D5_A6F7_00508B6540C5_.wvu.PrintArea" hidden="1">#REF!</definedName>
    <definedName name="Z_D9E68341_C2F0_11D5_A6F7_00508B6540C5_.wvu.PrintTitles" localSheetId="1" hidden="1">#REF!</definedName>
    <definedName name="Z_D9E68341_C2F0_11D5_A6F7_00508B6540C5_.wvu.PrintTitles" hidden="1">#REF!</definedName>
    <definedName name="Z_D9E68341_C2F0_11D5_A6F7_00508B6540C5_.wvu.Rows" localSheetId="1" hidden="1">#REF!</definedName>
    <definedName name="Z_D9E68341_C2F0_11D5_A6F7_00508B6540C5_.wvu.Rows" hidden="1">#REF!</definedName>
    <definedName name="zzz" localSheetId="2" hidden="1">{"'РП (2)'!$A$5:$S$150"}</definedName>
    <definedName name="zzz" hidden="1">{"'РП (2)'!$A$5:$S$150"}</definedName>
    <definedName name="ааааа" localSheetId="2" hidden="1">{"'РП (2)'!$A$5:$S$150"}</definedName>
    <definedName name="ааааа" hidden="1">{"'РП (2)'!$A$5:$S$150"}</definedName>
    <definedName name="аааааааааааааааааааааа" localSheetId="2" hidden="1">{"'РП (2)'!$A$5:$S$150"}</definedName>
    <definedName name="аааааааааааааааааааааа" hidden="1">{"'РП (2)'!$A$5:$S$150"}</definedName>
    <definedName name="аааааааааааааааввввввввввввв" localSheetId="2" hidden="1">{"'РП (2)'!$A$5:$S$150"}</definedName>
    <definedName name="аааааааааааааааввввввввввввв" hidden="1">{"'РП (2)'!$A$5:$S$150"}</definedName>
    <definedName name="абакан" localSheetId="2" hidden="1">{"'РП (2)'!$A$5:$S$150"}</definedName>
    <definedName name="абакан" hidden="1">{"'РП (2)'!$A$5:$S$150"}</definedName>
    <definedName name="ав" localSheetId="2" hidden="1">{"'РП (2)'!$A$5:$S$150"}</definedName>
    <definedName name="ав" hidden="1">{"'РП (2)'!$A$5:$S$150"}</definedName>
    <definedName name="аж" localSheetId="2" hidden="1">{"'РП (2)'!$A$5:$S$150"}</definedName>
    <definedName name="аж" hidden="1">{"'РП (2)'!$A$5:$S$150"}</definedName>
    <definedName name="алормж" localSheetId="2" hidden="1">{"'РП (2)'!$A$5:$S$150"}</definedName>
    <definedName name="алормж" hidden="1">{"'РП (2)'!$A$5:$S$150"}</definedName>
    <definedName name="ан" localSheetId="2" hidden="1">{"'РП (2)'!$A$5:$S$150"}</definedName>
    <definedName name="ан" hidden="1">{"'РП (2)'!$A$5:$S$150"}</definedName>
    <definedName name="ап" localSheetId="2" hidden="1">{"'РП (2)'!$A$5:$S$150"}</definedName>
    <definedName name="ап" hidden="1">{"'РП (2)'!$A$5:$S$150"}</definedName>
    <definedName name="апрель_" localSheetId="2" hidden="1">{"'РП (2)'!$A$5:$S$150"}</definedName>
    <definedName name="апрель_" hidden="1">{"'РП (2)'!$A$5:$S$150"}</definedName>
    <definedName name="ар" localSheetId="2" hidden="1">{"'РП (2)'!$A$5:$S$150"}</definedName>
    <definedName name="ар" hidden="1">{"'РП (2)'!$A$5:$S$150"}</definedName>
    <definedName name="арарарарра" localSheetId="2" hidden="1">{"'РП (2)'!$A$5:$S$150"}</definedName>
    <definedName name="арарарарра" hidden="1">{"'РП (2)'!$A$5:$S$150"}</definedName>
    <definedName name="арложлд" localSheetId="2" hidden="1">{"'РП (2)'!$A$5:$S$150"}</definedName>
    <definedName name="арложлд" hidden="1">{"'РП (2)'!$A$5:$S$150"}</definedName>
    <definedName name="арыщдр" localSheetId="2" hidden="1">{"'РП (2)'!$A$5:$S$150"}</definedName>
    <definedName name="арыщдр" hidden="1">{"'РП (2)'!$A$5:$S$150"}</definedName>
    <definedName name="б" localSheetId="2" hidden="1">{"'РП (2)'!$A$5:$S$150"}</definedName>
    <definedName name="б" hidden="1">{"'РП (2)'!$A$5:$S$150"}</definedName>
    <definedName name="бб" localSheetId="2" hidden="1">{"'РП (2)'!$A$5:$S$150"}</definedName>
    <definedName name="бб" hidden="1">{"'РП (2)'!$A$5:$S$150"}</definedName>
    <definedName name="бббб" localSheetId="2" hidden="1">{"'РП (2)'!$A$5:$S$150"}</definedName>
    <definedName name="бббб" hidden="1">{"'РП (2)'!$A$5:$S$150"}</definedName>
    <definedName name="ббббб" localSheetId="2" hidden="1">{"'РП (2)'!$A$5:$S$150"}</definedName>
    <definedName name="ббббб" hidden="1">{"'РП (2)'!$A$5:$S$150"}</definedName>
    <definedName name="бббббб" localSheetId="2" hidden="1">{"'РП (2)'!$A$5:$S$150"}</definedName>
    <definedName name="бббббб" hidden="1">{"'РП (2)'!$A$5:$S$150"}</definedName>
    <definedName name="бббббббб" localSheetId="2" hidden="1">{"'РП (2)'!$A$5:$S$150"}</definedName>
    <definedName name="бббббббб" hidden="1">{"'РП (2)'!$A$5:$S$150"}</definedName>
    <definedName name="ббббббббббббб" localSheetId="2" hidden="1">{"'РП (2)'!$A$5:$S$150"}</definedName>
    <definedName name="ббббббббббббб" hidden="1">{"'РП (2)'!$A$5:$S$150"}</definedName>
    <definedName name="ббббббббббббббб" localSheetId="2" hidden="1">{"'РП (2)'!$A$5:$S$150"}</definedName>
    <definedName name="ббббббббббббббб" hidden="1">{"'РП (2)'!$A$5:$S$150"}</definedName>
    <definedName name="ббббббббббббббббббб" localSheetId="2" hidden="1">{"'РП (2)'!$A$5:$S$150"}</definedName>
    <definedName name="ббббббббббббббббббб" hidden="1">{"'РП (2)'!$A$5:$S$150"}</definedName>
    <definedName name="бббббббююю" localSheetId="2" hidden="1">{"'РП (2)'!$A$5:$S$150"}</definedName>
    <definedName name="бббббббююю" hidden="1">{"'РП (2)'!$A$5:$S$150"}</definedName>
    <definedName name="БДДС" localSheetId="1" hidden="1">#REF!,#REF!,#REF!</definedName>
    <definedName name="БДДС" hidden="1">#REF!,#REF!,#REF!</definedName>
    <definedName name="бер" localSheetId="2" hidden="1">{"'РП (2)'!$A$5:$S$150"}</definedName>
    <definedName name="бер" hidden="1">{"'РП (2)'!$A$5:$S$150"}</definedName>
    <definedName name="береза" localSheetId="2" hidden="1">{"'РП (2)'!$A$5:$S$150"}</definedName>
    <definedName name="береза" hidden="1">{"'РП (2)'!$A$5:$S$150"}</definedName>
    <definedName name="Бор" localSheetId="2" hidden="1">{"'РП (2)'!$A$5:$S$150"}</definedName>
    <definedName name="Бор" hidden="1">{"'РП (2)'!$A$5:$S$150"}</definedName>
    <definedName name="Бородино" localSheetId="2" hidden="1">{"'РП (2)'!$A$5:$S$150"}</definedName>
    <definedName name="Бородино" hidden="1">{"'РП (2)'!$A$5:$S$150"}</definedName>
    <definedName name="БТ" localSheetId="2" hidden="1">{"'РП (2)'!$A$5:$S$150"}</definedName>
    <definedName name="БТ" hidden="1">{"'РП (2)'!$A$5:$S$150"}</definedName>
    <definedName name="бю." localSheetId="2" hidden="1">{"'РП (2)'!$A$5:$S$150"}</definedName>
    <definedName name="бю." hidden="1">{"'РП (2)'!$A$5:$S$150"}</definedName>
    <definedName name="бюджет" localSheetId="2" hidden="1">{"'РП (2)'!$A$5:$S$150"}</definedName>
    <definedName name="бюджет" hidden="1">{"'РП (2)'!$A$5:$S$150"}</definedName>
    <definedName name="Бюджет1" localSheetId="2" hidden="1">{"'РП (2)'!$A$5:$S$150"}</definedName>
    <definedName name="Бюджет1" hidden="1">{"'РП (2)'!$A$5:$S$150"}</definedName>
    <definedName name="Бюджет2" localSheetId="2" hidden="1">{"'РП (2)'!$A$5:$S$150"}</definedName>
    <definedName name="Бюджет2" hidden="1">{"'РП (2)'!$A$5:$S$150"}</definedName>
    <definedName name="бюджетик" localSheetId="2" hidden="1">{"'РП (2)'!$A$5:$S$150"}</definedName>
    <definedName name="бюджетик" hidden="1">{"'РП (2)'!$A$5:$S$150"}</definedName>
    <definedName name="вадло" localSheetId="2" hidden="1">{"'РП (2)'!$A$5:$S$150"}</definedName>
    <definedName name="вадло" hidden="1">{"'РП (2)'!$A$5:$S$150"}</definedName>
    <definedName name="Вариант3" localSheetId="2" hidden="1">{"'РП (2)'!$A$5:$S$150"}</definedName>
    <definedName name="Вариант3" hidden="1">{"'РП (2)'!$A$5:$S$150"}</definedName>
    <definedName name="ваф" localSheetId="2" hidden="1">{"'РП (2)'!$A$5:$S$150"}</definedName>
    <definedName name="ваф" hidden="1">{"'РП (2)'!$A$5:$S$150"}</definedName>
    <definedName name="вв" localSheetId="2" hidden="1">{"'РП (2)'!$A$5:$S$150"}</definedName>
    <definedName name="вв" hidden="1">{"'РП (2)'!$A$5:$S$150"}</definedName>
    <definedName name="ввв" localSheetId="2" hidden="1">{"'РП (2)'!$A$5:$S$150"}</definedName>
    <definedName name="ввв" hidden="1">{"'РП (2)'!$A$5:$S$150"}</definedName>
    <definedName name="вввв" localSheetId="2" hidden="1">{"'РП (2)'!$A$5:$S$150"}</definedName>
    <definedName name="вввв" hidden="1">{"'РП (2)'!$A$5:$S$150"}</definedName>
    <definedName name="вввввввввввввввввввв" localSheetId="2" hidden="1">{"'РП (2)'!$A$5:$S$150"}</definedName>
    <definedName name="вввввввввввввввввввв" hidden="1">{"'РП (2)'!$A$5:$S$150"}</definedName>
    <definedName name="вера" localSheetId="2" hidden="1">{"'РП (2)'!$A$5:$S$150"}</definedName>
    <definedName name="вера" hidden="1">{"'РП (2)'!$A$5:$S$150"}</definedName>
    <definedName name="г" localSheetId="2" hidden="1">{"'РП (2)'!$A$5:$S$150"}</definedName>
    <definedName name="г" hidden="1">{"'РП (2)'!$A$5:$S$150"}</definedName>
    <definedName name="гггг" localSheetId="2" hidden="1">{"'РП (2)'!$A$5:$S$150"}</definedName>
    <definedName name="гггг" hidden="1">{"'РП (2)'!$A$5:$S$150"}</definedName>
    <definedName name="гггггггггггггггг" localSheetId="2" hidden="1">{"'РП (2)'!$A$5:$S$150"}</definedName>
    <definedName name="гггггггггггггггг" hidden="1">{"'РП (2)'!$A$5:$S$150"}</definedName>
    <definedName name="ГМНУ" localSheetId="2" hidden="1">{"'РП (2)'!$A$5:$S$150"}</definedName>
    <definedName name="ГМНУ" hidden="1">{"'РП (2)'!$A$5:$S$150"}</definedName>
    <definedName name="го" localSheetId="2" hidden="1">{"'РП (2)'!$A$5:$S$150"}</definedName>
    <definedName name="го" hidden="1">{"'РП (2)'!$A$5:$S$150"}</definedName>
    <definedName name="д" localSheetId="2" hidden="1">{"'РП (2)'!$A$5:$S$150"}</definedName>
    <definedName name="д" hidden="1">{"'РП (2)'!$A$5:$S$150"}</definedName>
    <definedName name="дд" localSheetId="2" hidden="1">{"'РП (2)'!$A$5:$S$150"}</definedName>
    <definedName name="дд" hidden="1">{"'РП (2)'!$A$5:$S$150"}</definedName>
    <definedName name="дддд" localSheetId="2" hidden="1">{#N/A,#N/A,TRUE,"Лист2"}</definedName>
    <definedName name="дддд" hidden="1">{#N/A,#N/A,TRUE,"Лист2"}</definedName>
    <definedName name="ддддд" localSheetId="2" hidden="1">{"'РП (2)'!$A$5:$S$150"}</definedName>
    <definedName name="ддддд" hidden="1">{"'РП (2)'!$A$5:$S$150"}</definedName>
    <definedName name="дддддд" localSheetId="2" hidden="1">{"'РП (2)'!$A$5:$S$150"}</definedName>
    <definedName name="дддддд" hidden="1">{"'РП (2)'!$A$5:$S$150"}</definedName>
    <definedName name="дддддддддд" localSheetId="2" hidden="1">{"'РП (2)'!$A$5:$S$150"}</definedName>
    <definedName name="дддддддддд" hidden="1">{"'РП (2)'!$A$5:$S$150"}</definedName>
    <definedName name="дл" localSheetId="2" hidden="1">{"'РП (2)'!$A$5:$S$150"}</definedName>
    <definedName name="дл" hidden="1">{"'РП (2)'!$A$5:$S$150"}</definedName>
    <definedName name="дло" localSheetId="2" hidden="1">{"'РП (2)'!$A$5:$S$150"}</definedName>
    <definedName name="дло" hidden="1">{"'РП (2)'!$A$5:$S$150"}</definedName>
    <definedName name="длошсмидш" localSheetId="2" hidden="1">{"'РП (2)'!$A$5:$S$150"}</definedName>
    <definedName name="длошсмидш" hidden="1">{"'РП (2)'!$A$5:$S$150"}</definedName>
    <definedName name="длэз" localSheetId="2" hidden="1">{"'РП (2)'!$A$5:$S$150"}</definedName>
    <definedName name="длэз" hidden="1">{"'РП (2)'!$A$5:$S$150"}</definedName>
    <definedName name="Дподр09" localSheetId="0" hidden="1">#REF!</definedName>
    <definedName name="Дподр09" localSheetId="1" hidden="1">#REF!</definedName>
    <definedName name="Дподр09" hidden="1">#REF!</definedName>
    <definedName name="дрлж" localSheetId="2" hidden="1">{"'РП (2)'!$A$5:$S$150"}</definedName>
    <definedName name="дрлж" hidden="1">{"'РП (2)'!$A$5:$S$150"}</definedName>
    <definedName name="ее" localSheetId="2" hidden="1">{"'РП (2)'!$A$5:$S$150"}</definedName>
    <definedName name="ее" hidden="1">{"'РП (2)'!$A$5:$S$150"}</definedName>
    <definedName name="еееееееее" localSheetId="2" hidden="1">{#N/A,#N/A,TRUE,"Лист2"}</definedName>
    <definedName name="еееееееее" hidden="1">{#N/A,#N/A,TRUE,"Лист2"}</definedName>
    <definedName name="ееееееееееееееее" localSheetId="2" hidden="1">{"'РП (2)'!$A$5:$S$150"}</definedName>
    <definedName name="ееееееееееееееее" hidden="1">{"'РП (2)'!$A$5:$S$150"}</definedName>
    <definedName name="ек" localSheetId="2" hidden="1">{"'РП (2)'!$A$5:$S$150"}</definedName>
    <definedName name="ек" hidden="1">{"'РП (2)'!$A$5:$S$150"}</definedName>
    <definedName name="екн" localSheetId="2" hidden="1">{"'РП (2)'!$A$5:$S$150"}</definedName>
    <definedName name="екн" hidden="1">{"'РП (2)'!$A$5:$S$150"}</definedName>
    <definedName name="ж" localSheetId="2" hidden="1">{"'РП (2)'!$A$5:$S$150"}</definedName>
    <definedName name="ж" hidden="1">{"'РП (2)'!$A$5:$S$150"}</definedName>
    <definedName name="жд" localSheetId="2" hidden="1">{"'РП (2)'!$A$5:$S$150"}</definedName>
    <definedName name="жд" hidden="1">{"'РП (2)'!$A$5:$S$150"}</definedName>
    <definedName name="жж" localSheetId="2" hidden="1">{"'РП (2)'!$A$5:$S$150"}</definedName>
    <definedName name="жж" hidden="1">{"'РП (2)'!$A$5:$S$150"}</definedName>
    <definedName name="жжж" localSheetId="2" hidden="1">{"'РП (2)'!$A$5:$S$150"}</definedName>
    <definedName name="жжж" hidden="1">{"'РП (2)'!$A$5:$S$150"}</definedName>
    <definedName name="жжжжж" localSheetId="2" hidden="1">{"'РП (2)'!$A$5:$S$150"}</definedName>
    <definedName name="жжжжж" hidden="1">{"'РП (2)'!$A$5:$S$150"}</definedName>
    <definedName name="жжжжжжж" localSheetId="2" hidden="1">{#N/A,#N/A,TRUE,"Лист2"}</definedName>
    <definedName name="жжжжжжж" hidden="1">{#N/A,#N/A,TRUE,"Лист2"}</definedName>
    <definedName name="жжжжз" localSheetId="2" hidden="1">{"'РП (2)'!$A$5:$S$150"}</definedName>
    <definedName name="жжжжз" hidden="1">{"'РП (2)'!$A$5:$S$150"}</definedName>
    <definedName name="жэзщшгн" localSheetId="2" hidden="1">{"'РП (2)'!$A$5:$S$150"}</definedName>
    <definedName name="жэзщшгн" hidden="1">{"'РП (2)'!$A$5:$S$150"}</definedName>
    <definedName name="здздздзд" localSheetId="2" hidden="1">{"'РП (2)'!$A$5:$S$150"}</definedName>
    <definedName name="здздздзд" hidden="1">{"'РП (2)'!$A$5:$S$150"}</definedName>
    <definedName name="зззз" localSheetId="2" hidden="1">{"'РП (2)'!$A$5:$S$150"}</definedName>
    <definedName name="зззз" hidden="1">{"'РП (2)'!$A$5:$S$150"}</definedName>
    <definedName name="ззззззззззззз" localSheetId="2" hidden="1">{"'РП (2)'!$A$5:$S$150"}</definedName>
    <definedName name="ззззззззззззз" hidden="1">{"'РП (2)'!$A$5:$S$150"}</definedName>
    <definedName name="ззззш" localSheetId="2" hidden="1">{"'РП (2)'!$A$5:$S$150"}</definedName>
    <definedName name="ззззш" hidden="1">{"'РП (2)'!$A$5:$S$150"}</definedName>
    <definedName name="ззщзззщзщ" localSheetId="2" hidden="1">{"'РП (2)'!$A$5:$S$150"}</definedName>
    <definedName name="ззщзззщзщ" hidden="1">{"'РП (2)'!$A$5:$S$150"}</definedName>
    <definedName name="зш" localSheetId="2" hidden="1">{"'РП (2)'!$A$5:$S$150"}</definedName>
    <definedName name="зш" hidden="1">{"'РП (2)'!$A$5:$S$150"}</definedName>
    <definedName name="зщш" localSheetId="2" hidden="1">{"'РП (2)'!$A$5:$S$150"}</definedName>
    <definedName name="зщш" hidden="1">{"'РП (2)'!$A$5:$S$150"}</definedName>
    <definedName name="зщщщ" localSheetId="2" hidden="1">{"'РП (2)'!$A$5:$S$150"}</definedName>
    <definedName name="зщщщ" hidden="1">{"'РП (2)'!$A$5:$S$150"}</definedName>
    <definedName name="ии" localSheetId="2" hidden="1">{"'РП (2)'!$A$5:$S$150"}</definedName>
    <definedName name="ии" hidden="1">{"'РП (2)'!$A$5:$S$150"}</definedName>
    <definedName name="ииии" localSheetId="2" hidden="1">{"'РП (2)'!$A$5:$S$150"}</definedName>
    <definedName name="ииии" hidden="1">{"'РП (2)'!$A$5:$S$150"}</definedName>
    <definedName name="иииииииииииииииииииии" localSheetId="2" hidden="1">{"'РП (2)'!$A$5:$S$150"}</definedName>
    <definedName name="иииииииииииииииииииии" hidden="1">{"'РП (2)'!$A$5:$S$150"}</definedName>
    <definedName name="иииииииииимммммммммм" localSheetId="2" hidden="1">{"'РП (2)'!$A$5:$S$150"}</definedName>
    <definedName name="иииииииииимммммммммм" hidden="1">{"'РП (2)'!$A$5:$S$150"}</definedName>
    <definedName name="иииитт" localSheetId="2" hidden="1">{"'РП (2)'!$A$5:$S$150"}</definedName>
    <definedName name="иииитт" hidden="1">{"'РП (2)'!$A$5:$S$150"}</definedName>
    <definedName name="ииимм" localSheetId="2" hidden="1">{"'РП (2)'!$A$5:$S$150"}</definedName>
    <definedName name="ииимм" hidden="1">{"'РП (2)'!$A$5:$S$150"}</definedName>
    <definedName name="Исполнение" localSheetId="2" hidden="1">{"'РП (2)'!$A$5:$S$150"}</definedName>
    <definedName name="Исполнение" hidden="1">{"'РП (2)'!$A$5:$S$150"}</definedName>
    <definedName name="ить" localSheetId="2" hidden="1">{"'РП (2)'!$A$5:$S$150"}</definedName>
    <definedName name="ить" hidden="1">{"'РП (2)'!$A$5:$S$150"}</definedName>
    <definedName name="июль3" localSheetId="2" hidden="1">{"'РП (2)'!$A$5:$S$150"}</definedName>
    <definedName name="июль3" hidden="1">{"'РП (2)'!$A$5:$S$150"}</definedName>
    <definedName name="й" localSheetId="2" hidden="1">{"'РП (2)'!$A$5:$S$150"}</definedName>
    <definedName name="й" hidden="1">{"'РП (2)'!$A$5:$S$150"}</definedName>
    <definedName name="йй" localSheetId="2" hidden="1">{"'РП (2)'!$A$5:$S$150"}</definedName>
    <definedName name="йй" hidden="1">{"'РП (2)'!$A$5:$S$150"}</definedName>
    <definedName name="ййй" localSheetId="2" hidden="1">{"'РП (2)'!$A$5:$S$150"}</definedName>
    <definedName name="ййй" hidden="1">{"'РП (2)'!$A$5:$S$150"}</definedName>
    <definedName name="ййййй" localSheetId="2" hidden="1">{"'РП (2)'!$A$5:$S$150"}</definedName>
    <definedName name="ййййй" hidden="1">{"'РП (2)'!$A$5:$S$150"}</definedName>
    <definedName name="ййййййй" localSheetId="2" hidden="1">{"'РП (2)'!$A$5:$S$150"}</definedName>
    <definedName name="ййййййй" hidden="1">{"'РП (2)'!$A$5:$S$150"}</definedName>
    <definedName name="ййййййййййййй" localSheetId="2" hidden="1">{"'РП (2)'!$A$5:$S$150"}</definedName>
    <definedName name="ййййййййййййй" hidden="1">{"'РП (2)'!$A$5:$S$150"}</definedName>
    <definedName name="ке" localSheetId="2" hidden="1">{"'РП (2)'!$A$5:$S$150"}</definedName>
    <definedName name="ке" hidden="1">{"'РП (2)'!$A$5:$S$150"}</definedName>
    <definedName name="кк" localSheetId="2" hidden="1">{"'РП (2)'!$A$5:$S$150"}</definedName>
    <definedName name="кк" hidden="1">{"'РП (2)'!$A$5:$S$150"}</definedName>
    <definedName name="ккк" localSheetId="2" hidden="1">{#N/A,#N/A,TRUE,"Лист2"}</definedName>
    <definedName name="ккк" hidden="1">{#N/A,#N/A,TRUE,"Лист2"}</definedName>
    <definedName name="ккккк" localSheetId="2" hidden="1">{"'РП (2)'!$A$5:$S$150"}</definedName>
    <definedName name="ккккк" hidden="1">{"'РП (2)'!$A$5:$S$150"}</definedName>
    <definedName name="кккккккккккк" localSheetId="2" hidden="1">{"'РП (2)'!$A$5:$S$150"}</definedName>
    <definedName name="кккккккккккк" hidden="1">{"'РП (2)'!$A$5:$S$150"}</definedName>
    <definedName name="кл" localSheetId="2" hidden="1">{"'РП (2)'!$A$5:$S$150"}</definedName>
    <definedName name="кл" hidden="1">{"'РП (2)'!$A$5:$S$150"}</definedName>
    <definedName name="км" localSheetId="2" hidden="1">{"'РП (2)'!$A$5:$S$150"}</definedName>
    <definedName name="км" hidden="1">{"'РП (2)'!$A$5:$S$150"}</definedName>
    <definedName name="ко" localSheetId="2" hidden="1">{"'РП (2)'!$A$5:$S$150"}</definedName>
    <definedName name="ко" hidden="1">{"'РП (2)'!$A$5:$S$150"}</definedName>
    <definedName name="козёл" localSheetId="2" hidden="1">{"'РП (2)'!$A$5:$S$150"}</definedName>
    <definedName name="козёл" hidden="1">{"'РП (2)'!$A$5:$S$150"}</definedName>
    <definedName name="конф" localSheetId="2" hidden="1">{"'РП (2)'!$A$5:$S$150"}</definedName>
    <definedName name="конф" hidden="1">{"'РП (2)'!$A$5:$S$150"}</definedName>
    <definedName name="копия" localSheetId="2" hidden="1">{"'РП (2)'!$A$5:$S$150"}</definedName>
    <definedName name="копия" hidden="1">{"'РП (2)'!$A$5:$S$150"}</definedName>
    <definedName name="КРАСНОЯРСК" localSheetId="2" hidden="1">{"'РП (2)'!$A$5:$S$150"}</definedName>
    <definedName name="КРАСНОЯРСК" hidden="1">{"'РП (2)'!$A$5:$S$150"}</definedName>
    <definedName name="лб" localSheetId="2" hidden="1">{"'РП (2)'!$A$5:$S$150"}</definedName>
    <definedName name="лб" hidden="1">{"'РП (2)'!$A$5:$S$150"}</definedName>
    <definedName name="лена" localSheetId="2" hidden="1">{"'РП (2)'!$A$5:$S$150"}</definedName>
    <definedName name="лена" hidden="1">{"'РП (2)'!$A$5:$S$150"}</definedName>
    <definedName name="ленинград" localSheetId="2" hidden="1">{"'РП (2)'!$A$5:$S$150"}</definedName>
    <definedName name="ленинград" hidden="1">{"'РП (2)'!$A$5:$S$150"}</definedName>
    <definedName name="ленинск" localSheetId="2" hidden="1">{"'РП (2)'!$A$5:$S$150"}</definedName>
    <definedName name="ленинск" hidden="1">{"'РП (2)'!$A$5:$S$150"}</definedName>
    <definedName name="ллл" localSheetId="2" hidden="1">{"'РП (2)'!$A$5:$S$150"}</definedName>
    <definedName name="ллл" hidden="1">{"'РП (2)'!$A$5:$S$150"}</definedName>
    <definedName name="ллллллллллллллллллллллл" localSheetId="2" hidden="1">{"'РП (2)'!$A$5:$S$150"}</definedName>
    <definedName name="ллллллллллллллллллллллл" hidden="1">{"'РП (2)'!$A$5:$S$150"}</definedName>
    <definedName name="ллллт" localSheetId="2" hidden="1">{"'РП (2)'!$A$5:$S$150"}</definedName>
    <definedName name="ллллт" hidden="1">{"'РП (2)'!$A$5:$S$150"}</definedName>
    <definedName name="лн" localSheetId="2" hidden="1">{"'РП (2)'!$A$5:$S$150"}</definedName>
    <definedName name="лн" hidden="1">{"'РП (2)'!$A$5:$S$150"}</definedName>
    <definedName name="ло" localSheetId="2" hidden="1">{"'РП (2)'!$A$5:$S$150"}</definedName>
    <definedName name="ло" hidden="1">{"'РП (2)'!$A$5:$S$150"}</definedName>
    <definedName name="лол" localSheetId="2" hidden="1">{"'РП (2)'!$A$5:$S$150"}</definedName>
    <definedName name="лол" hidden="1">{"'РП (2)'!$A$5:$S$150"}</definedName>
    <definedName name="лор" localSheetId="2" hidden="1">{"'РП (2)'!$A$5:$S$150"}</definedName>
    <definedName name="лор" hidden="1">{"'РП (2)'!$A$5:$S$150"}</definedName>
    <definedName name="лр" localSheetId="2" hidden="1">{"'РП (2)'!$A$5:$S$150"}</definedName>
    <definedName name="лр" hidden="1">{"'РП (2)'!$A$5:$S$150"}</definedName>
    <definedName name="лс" localSheetId="2" hidden="1">{#N/A,#N/A,TRUE,"Лист2"}</definedName>
    <definedName name="лс" hidden="1">{#N/A,#N/A,TRUE,"Лист2"}</definedName>
    <definedName name="мм" localSheetId="2" hidden="1">{"'РП (2)'!$A$5:$S$150"}</definedName>
    <definedName name="мм" hidden="1">{"'РП (2)'!$A$5:$S$150"}</definedName>
    <definedName name="ммм" localSheetId="2" hidden="1">{"'РП (2)'!$A$5:$S$150"}</definedName>
    <definedName name="ммм" hidden="1">{"'РП (2)'!$A$5:$S$150"}</definedName>
    <definedName name="мммм" localSheetId="2" hidden="1">{"'РП (2)'!$A$5:$S$150"}</definedName>
    <definedName name="мммм" hidden="1">{"'РП (2)'!$A$5:$S$150"}</definedName>
    <definedName name="мммммммммммммммммммм" localSheetId="2" hidden="1">{"'РП (2)'!$A$5:$S$150"}</definedName>
    <definedName name="мммммммммммммммммммм" hidden="1">{"'РП (2)'!$A$5:$S$150"}</definedName>
    <definedName name="ммммммммммммммммммммммммм" localSheetId="2" hidden="1">{"'РП (2)'!$A$5:$S$150"}</definedName>
    <definedName name="ммммммммммммммммммммммммм" hidden="1">{"'РП (2)'!$A$5:$S$150"}</definedName>
    <definedName name="москва" localSheetId="2" hidden="1">{"'РП (2)'!$A$5:$S$150"}</definedName>
    <definedName name="москва" hidden="1">{"'РП (2)'!$A$5:$S$150"}</definedName>
    <definedName name="мы" localSheetId="2" hidden="1">{"'РП (2)'!$A$5:$S$150"}</definedName>
    <definedName name="мы" hidden="1">{"'РП (2)'!$A$5:$S$150"}</definedName>
    <definedName name="н" localSheetId="2" hidden="1">{"'РП (2)'!$A$5:$S$150"}</definedName>
    <definedName name="н" hidden="1">{"'РП (2)'!$A$5:$S$150"}</definedName>
    <definedName name="Назарово" localSheetId="2" hidden="1">{"'РП (2)'!$A$5:$S$150"}</definedName>
    <definedName name="Назарово" hidden="1">{"'РП (2)'!$A$5:$S$150"}</definedName>
    <definedName name="Назарово_1151" localSheetId="2" hidden="1">{"'РП (2)'!$A$5:$S$150"}</definedName>
    <definedName name="Назарово_1151" hidden="1">{"'РП (2)'!$A$5:$S$150"}</definedName>
    <definedName name="назаровский" localSheetId="2" hidden="1">{"'РП (2)'!$A$5:$S$150"}</definedName>
    <definedName name="назаровский" hidden="1">{"'РП (2)'!$A$5:$S$150"}</definedName>
    <definedName name="нарастание" localSheetId="2" hidden="1">{"'РП (2)'!$A$5:$S$150"}</definedName>
    <definedName name="нарастание" hidden="1">{"'РП (2)'!$A$5:$S$150"}</definedName>
    <definedName name="нет" localSheetId="2" hidden="1">{"'РП (2)'!$A$5:$S$150"}</definedName>
    <definedName name="нет" hidden="1">{"'РП (2)'!$A$5:$S$150"}</definedName>
    <definedName name="нк" localSheetId="2" hidden="1">{"'РП (2)'!$A$5:$S$150"}</definedName>
    <definedName name="нк" hidden="1">{"'РП (2)'!$A$5:$S$150"}</definedName>
    <definedName name="нннннннннннн" localSheetId="2" hidden="1">{"'РП (2)'!$A$5:$S$150"}</definedName>
    <definedName name="нннннннннннн" hidden="1">{"'РП (2)'!$A$5:$S$150"}</definedName>
    <definedName name="_xlnm.Print_Area" localSheetId="0">'Данные -Карьерный самосвал'!$A$3:$O$32</definedName>
    <definedName name="Общеж." localSheetId="2" hidden="1">{"'РП (2)'!$A$5:$S$150"}</definedName>
    <definedName name="Общеж." hidden="1">{"'РП (2)'!$A$5:$S$150"}</definedName>
    <definedName name="оля" localSheetId="1" hidden="1">#REF!</definedName>
    <definedName name="оля" hidden="1">#REF!</definedName>
    <definedName name="оо" localSheetId="2" hidden="1">{"'РП (2)'!$A$5:$S$150"}</definedName>
    <definedName name="оо" hidden="1">{"'РП (2)'!$A$5:$S$150"}</definedName>
    <definedName name="оолдж" localSheetId="2" hidden="1">{"'РП (2)'!$A$5:$S$150"}</definedName>
    <definedName name="оолдж" hidden="1">{"'РП (2)'!$A$5:$S$150"}</definedName>
    <definedName name="ооод" localSheetId="2" hidden="1">{"'РП (2)'!$A$5:$S$150"}</definedName>
    <definedName name="ооод" hidden="1">{"'РП (2)'!$A$5:$S$150"}</definedName>
    <definedName name="ооож" localSheetId="2" hidden="1">{"'РП (2)'!$A$5:$S$150"}</definedName>
    <definedName name="ооож" hidden="1">{"'РП (2)'!$A$5:$S$150"}</definedName>
    <definedName name="оооо" localSheetId="2" hidden="1">{#N/A,#N/A,TRUE,"Лист2"}</definedName>
    <definedName name="оооо" hidden="1">{#N/A,#N/A,TRUE,"Лист2"}</definedName>
    <definedName name="ооооооооо" localSheetId="2" hidden="1">{"'РП (2)'!$A$5:$S$150"}</definedName>
    <definedName name="ооооооооо" hidden="1">{"'РП (2)'!$A$5:$S$150"}</definedName>
    <definedName name="оооооооооооооооооо" localSheetId="2" hidden="1">{"'РП (2)'!$A$5:$S$150"}</definedName>
    <definedName name="оооооооооооооооооо" hidden="1">{"'РП (2)'!$A$5:$S$150"}</definedName>
    <definedName name="оооэхз" localSheetId="2" hidden="1">{"'РП (2)'!$A$5:$S$150"}</definedName>
    <definedName name="оооэхз" hidden="1">{"'РП (2)'!$A$5:$S$150"}</definedName>
    <definedName name="оштлош" localSheetId="2" hidden="1">{"'РП (2)'!$A$5:$S$150"}</definedName>
    <definedName name="оштлош" hidden="1">{"'РП (2)'!$A$5:$S$150"}</definedName>
    <definedName name="ощлщл" localSheetId="2" hidden="1">{"'РП (2)'!$A$5:$S$150"}</definedName>
    <definedName name="ощлщл" hidden="1">{"'РП (2)'!$A$5:$S$150"}</definedName>
    <definedName name="па" localSheetId="2" hidden="1">{"'РП (2)'!$A$5:$S$150"}</definedName>
    <definedName name="па" hidden="1">{"'РП (2)'!$A$5:$S$150"}</definedName>
    <definedName name="палрмапоапол" localSheetId="1" hidden="1">#REF!,#REF!</definedName>
    <definedName name="палрмапоапол" hidden="1">#REF!,#REF!</definedName>
    <definedName name="пе" localSheetId="2" hidden="1">{"'РП (2)'!$A$5:$S$150"}</definedName>
    <definedName name="пе" hidden="1">{"'РП (2)'!$A$5:$S$150"}</definedName>
    <definedName name="План" localSheetId="2" hidden="1">{"'РП (2)'!$A$5:$S$150"}</definedName>
    <definedName name="План" hidden="1">{"'РП (2)'!$A$5:$S$150"}</definedName>
    <definedName name="пп" localSheetId="2" hidden="1">{"'РП (2)'!$A$5:$S$150"}</definedName>
    <definedName name="пп" hidden="1">{"'РП (2)'!$A$5:$S$150"}</definedName>
    <definedName name="пппп" localSheetId="2" hidden="1">{#N/A,#N/A,TRUE,"Лист2"}</definedName>
    <definedName name="пппп" hidden="1">{#N/A,#N/A,TRUE,"Лист2"}</definedName>
    <definedName name="ппппппп" localSheetId="2" hidden="1">{"'РП (2)'!$A$5:$S$150"}</definedName>
    <definedName name="ппппппп" hidden="1">{"'РП (2)'!$A$5:$S$150"}</definedName>
    <definedName name="пппппппппппппппппппппппп" localSheetId="2" hidden="1">{"'РП (2)'!$A$5:$S$150"}</definedName>
    <definedName name="пппппппппппппппппппппппп" hidden="1">{"'РП (2)'!$A$5:$S$150"}</definedName>
    <definedName name="прибыль" localSheetId="2" hidden="1">{"'РП (2)'!$A$5:$S$150"}</definedName>
    <definedName name="прибыль" hidden="1">{"'РП (2)'!$A$5:$S$150"}</definedName>
    <definedName name="пром" localSheetId="2" hidden="1">{"'РП (2)'!$A$5:$S$150"}</definedName>
    <definedName name="пром" hidden="1">{"'РП (2)'!$A$5:$S$150"}</definedName>
    <definedName name="прпрп" localSheetId="1" hidden="1">#REF!,#REF!</definedName>
    <definedName name="прпрп" hidden="1">#REF!,#REF!</definedName>
    <definedName name="пту1" localSheetId="2" hidden="1">{"'РП (2)'!$A$5:$S$150"}</definedName>
    <definedName name="пту1" hidden="1">{"'РП (2)'!$A$5:$S$150"}</definedName>
    <definedName name="пыпыппывапа" localSheetId="1" hidden="1">#REF!,#REF!,#REF!</definedName>
    <definedName name="пыпыппывапа" hidden="1">#REF!,#REF!,#REF!</definedName>
    <definedName name="ПЭБ" localSheetId="2" hidden="1">{"'РП (2)'!$A$5:$S$150"}</definedName>
    <definedName name="ПЭБ" hidden="1">{"'РП (2)'!$A$5:$S$150"}</definedName>
    <definedName name="Рабочие" localSheetId="2" hidden="1">{"'РП (2)'!$A$5:$S$150"}</definedName>
    <definedName name="Рабочие" hidden="1">{"'РП (2)'!$A$5:$S$150"}</definedName>
    <definedName name="расчет" localSheetId="2" hidden="1">{"'РП (2)'!$A$5:$S$150"}</definedName>
    <definedName name="расчет" hidden="1">{"'РП (2)'!$A$5:$S$150"}</definedName>
    <definedName name="рл" localSheetId="2" hidden="1">{"'РП (2)'!$A$5:$S$150"}</definedName>
    <definedName name="рл" hidden="1">{"'РП (2)'!$A$5:$S$150"}</definedName>
    <definedName name="ролдж" localSheetId="2" hidden="1">{"'РП (2)'!$A$5:$S$150"}</definedName>
    <definedName name="ролдж" hidden="1">{"'РП (2)'!$A$5:$S$150"}</definedName>
    <definedName name="рпо" localSheetId="2" hidden="1">{"'РП (2)'!$A$5:$S$150"}</definedName>
    <definedName name="рпо" hidden="1">{"'РП (2)'!$A$5:$S$150"}</definedName>
    <definedName name="рр" localSheetId="2" hidden="1">{"'РП (2)'!$A$5:$S$150"}</definedName>
    <definedName name="рр" hidden="1">{"'РП (2)'!$A$5:$S$150"}</definedName>
    <definedName name="рролдж" localSheetId="2" hidden="1">{"'РП (2)'!$A$5:$S$150"}</definedName>
    <definedName name="рролдж" hidden="1">{"'РП (2)'!$A$5:$S$150"}</definedName>
    <definedName name="рроророророр" localSheetId="2" hidden="1">{"'РП (2)'!$A$5:$S$150"}</definedName>
    <definedName name="рроророророр" hidden="1">{"'РП (2)'!$A$5:$S$150"}</definedName>
    <definedName name="ррр" localSheetId="2" hidden="1">{"'РП (2)'!$A$5:$S$150"}</definedName>
    <definedName name="ррр" hidden="1">{"'РП (2)'!$A$5:$S$150"}</definedName>
    <definedName name="рррр" localSheetId="2" hidden="1">{#N/A,#N/A,TRUE,"Лист2"}</definedName>
    <definedName name="рррр" hidden="1">{#N/A,#N/A,TRUE,"Лист2"}</definedName>
    <definedName name="ррррр" localSheetId="2" hidden="1">{"'РП (2)'!$A$5:$S$150"}</definedName>
    <definedName name="ррррр" hidden="1">{"'РП (2)'!$A$5:$S$150"}</definedName>
    <definedName name="ррррррр" localSheetId="2" hidden="1">{"'РП (2)'!$A$5:$S$150"}</definedName>
    <definedName name="ррррррр" hidden="1">{"'РП (2)'!$A$5:$S$150"}</definedName>
    <definedName name="рррррррр" localSheetId="2" hidden="1">{"'РП (2)'!$A$5:$S$150"}</definedName>
    <definedName name="рррррррр" hidden="1">{"'РП (2)'!$A$5:$S$150"}</definedName>
    <definedName name="ррррррррррррррр" localSheetId="2" hidden="1">{"'РП (2)'!$A$5:$S$150"}</definedName>
    <definedName name="ррррррррррррррр" hidden="1">{"'РП (2)'!$A$5:$S$150"}</definedName>
    <definedName name="руков" localSheetId="2" hidden="1">{"'РП (2)'!$A$5:$S$150"}</definedName>
    <definedName name="руков" hidden="1">{"'РП (2)'!$A$5:$S$150"}</definedName>
    <definedName name="с" localSheetId="2" hidden="1">{#N/A,#N/A,TRUE,"Лист2"}</definedName>
    <definedName name="с" hidden="1">{#N/A,#N/A,TRUE,"Лист2"}</definedName>
    <definedName name="совм" localSheetId="2" hidden="1">{"'РП (2)'!$A$5:$S$150"}</definedName>
    <definedName name="совм" hidden="1">{"'РП (2)'!$A$5:$S$150"}</definedName>
    <definedName name="справочник" localSheetId="2" hidden="1">{#N/A,#N/A,TRUE,"Лист2"}</definedName>
    <definedName name="справочник" hidden="1">{#N/A,#N/A,TRUE,"Лист2"}</definedName>
    <definedName name="сс" localSheetId="2" hidden="1">{"'РП (2)'!$A$5:$S$150"}</definedName>
    <definedName name="сс" hidden="1">{"'РП (2)'!$A$5:$S$150"}</definedName>
    <definedName name="сссс" localSheetId="2" hidden="1">{"'РП (2)'!$A$5:$S$150"}</definedName>
    <definedName name="сссс" hidden="1">{"'РП (2)'!$A$5:$S$150"}</definedName>
    <definedName name="сссссс" localSheetId="2" hidden="1">{"'РП (2)'!$A$5:$S$150"}</definedName>
    <definedName name="сссссс" hidden="1">{"'РП (2)'!$A$5:$S$150"}</definedName>
    <definedName name="сссссссссссммммммммммм" localSheetId="2" hidden="1">{"'РП (2)'!$A$5:$S$150"}</definedName>
    <definedName name="сссссссссссммммммммммм" hidden="1">{"'РП (2)'!$A$5:$S$150"}</definedName>
    <definedName name="сссссссссссссс" localSheetId="2" hidden="1">{"'РП (2)'!$A$5:$S$150"}</definedName>
    <definedName name="сссссссссссссс" hidden="1">{"'РП (2)'!$A$5:$S$150"}</definedName>
    <definedName name="сссссссссссссссссссссс" localSheetId="2" hidden="1">{"'РП (2)'!$A$5:$S$150"}</definedName>
    <definedName name="сссссссссссссссссссссс" hidden="1">{"'РП (2)'!$A$5:$S$150"}</definedName>
    <definedName name="т" localSheetId="2" hidden="1">{"'РП (2)'!$A$5:$S$150"}</definedName>
    <definedName name="т" hidden="1">{"'РП (2)'!$A$5:$S$150"}</definedName>
    <definedName name="тмт" localSheetId="2" hidden="1">{"'РП (2)'!$A$5:$S$150"}</definedName>
    <definedName name="тмт" hidden="1">{"'РП (2)'!$A$5:$S$150"}</definedName>
    <definedName name="томск" localSheetId="2" hidden="1">{"'РП (2)'!$A$5:$S$150"}</definedName>
    <definedName name="томск" hidden="1">{"'РП (2)'!$A$5:$S$150"}</definedName>
    <definedName name="тттт" localSheetId="2" hidden="1">{"'РП (2)'!$A$5:$S$150"}</definedName>
    <definedName name="тттт" hidden="1">{"'РП (2)'!$A$5:$S$150"}</definedName>
    <definedName name="тттттт" localSheetId="2" hidden="1">{"'РП (2)'!$A$5:$S$150"}</definedName>
    <definedName name="тттттт" hidden="1">{"'РП (2)'!$A$5:$S$150"}</definedName>
    <definedName name="ттттттттттттт" localSheetId="2" hidden="1">{"'РП (2)'!$A$5:$S$150"}</definedName>
    <definedName name="ттттттттттттт" hidden="1">{"'РП (2)'!$A$5:$S$150"}</definedName>
    <definedName name="тттттттттттттттттттттт" localSheetId="2" hidden="1">{"'РП (2)'!$A$5:$S$150"}</definedName>
    <definedName name="тттттттттттттттттттттт" hidden="1">{"'РП (2)'!$A$5:$S$150"}</definedName>
    <definedName name="тьб" localSheetId="2" hidden="1">{"'РП (2)'!$A$5:$S$150"}</definedName>
    <definedName name="тьб" hidden="1">{"'РП (2)'!$A$5:$S$150"}</definedName>
    <definedName name="тьтьтьтьт" localSheetId="2" hidden="1">{"'РП (2)'!$A$5:$S$150"}</definedName>
    <definedName name="тьтьтьтьт" hidden="1">{"'РП (2)'!$A$5:$S$150"}</definedName>
    <definedName name="тьтьтььтм" localSheetId="2" hidden="1">{"'РП (2)'!$A$5:$S$150"}</definedName>
    <definedName name="тьтьтььтм" hidden="1">{"'РП (2)'!$A$5:$S$150"}</definedName>
    <definedName name="тэп" localSheetId="2" hidden="1">{"'РП (2)'!$A$5:$S$150"}</definedName>
    <definedName name="тэп" hidden="1">{"'РП (2)'!$A$5:$S$150"}</definedName>
    <definedName name="у" localSheetId="2" hidden="1">{"'РП (2)'!$A$5:$S$150"}</definedName>
    <definedName name="у" hidden="1">{"'РП (2)'!$A$5:$S$150"}</definedName>
    <definedName name="уу" localSheetId="2" hidden="1">{"'РП (2)'!$A$5:$S$150"}</definedName>
    <definedName name="уу" hidden="1">{"'РП (2)'!$A$5:$S$150"}</definedName>
    <definedName name="уууууу" localSheetId="2" hidden="1">{"'РП (2)'!$A$5:$S$150"}</definedName>
    <definedName name="уууууу" hidden="1">{"'РП (2)'!$A$5:$S$150"}</definedName>
    <definedName name="ууууууууууууу" localSheetId="2" hidden="1">{"'РП (2)'!$A$5:$S$150"}</definedName>
    <definedName name="ууууууууууууу" hidden="1">{"'РП (2)'!$A$5:$S$150"}</definedName>
    <definedName name="ф" localSheetId="2" hidden="1">{"'РП (2)'!$A$5:$S$150"}</definedName>
    <definedName name="ф" hidden="1">{"'РП (2)'!$A$5:$S$150"}</definedName>
    <definedName name="факт" localSheetId="2" hidden="1">{"'РП (2)'!$A$5:$S$150"}</definedName>
    <definedName name="факт" hidden="1">{"'РП (2)'!$A$5:$S$150"}</definedName>
    <definedName name="фв" localSheetId="2" hidden="1">{"'РП (2)'!$A$5:$S$150"}</definedName>
    <definedName name="фв" hidden="1">{"'РП (2)'!$A$5:$S$150"}</definedName>
    <definedName name="фф" localSheetId="2" hidden="1">{"'РП (2)'!$A$5:$S$150"}</definedName>
    <definedName name="фф" hidden="1">{"'РП (2)'!$A$5:$S$150"}</definedName>
    <definedName name="ффф" localSheetId="2" hidden="1">{"'РП (2)'!$A$5:$S$150"}</definedName>
    <definedName name="ффф" hidden="1">{"'РП (2)'!$A$5:$S$150"}</definedName>
    <definedName name="фффф" localSheetId="2" hidden="1">{"'РП (2)'!$A$5:$S$150"}</definedName>
    <definedName name="фффф" hidden="1">{"'РП (2)'!$A$5:$S$150"}</definedName>
    <definedName name="ффффффффффффф" localSheetId="2" hidden="1">{"'РП (2)'!$A$5:$S$150"}</definedName>
    <definedName name="ффффффффффффф" hidden="1">{"'РП (2)'!$A$5:$S$150"}</definedName>
    <definedName name="фц" localSheetId="2" hidden="1">{"'РП (2)'!$A$5:$S$150"}</definedName>
    <definedName name="фц" hidden="1">{"'РП (2)'!$A$5:$S$150"}</definedName>
    <definedName name="ххх" localSheetId="2" hidden="1">{"'РП (2)'!$A$5:$S$150"}</definedName>
    <definedName name="ххх" hidden="1">{"'РП (2)'!$A$5:$S$150"}</definedName>
    <definedName name="ххх_" localSheetId="2" hidden="1">{"'РП (2)'!$A$5:$S$150"}</definedName>
    <definedName name="ххх_" hidden="1">{"'РП (2)'!$A$5:$S$150"}</definedName>
    <definedName name="ххххх" localSheetId="2" hidden="1">{"'РП (2)'!$A$5:$S$150"}</definedName>
    <definedName name="ххххх" hidden="1">{"'РП (2)'!$A$5:$S$150"}</definedName>
    <definedName name="ххххххх" localSheetId="2" hidden="1">{"'РП (2)'!$A$5:$S$150"}</definedName>
    <definedName name="ххххххх" hidden="1">{"'РП (2)'!$A$5:$S$150"}</definedName>
    <definedName name="хххххххххххххххххххх" localSheetId="2" hidden="1">{"'РП (2)'!$A$5:$S$150"}</definedName>
    <definedName name="хххххххххххххххххххх" hidden="1">{"'РП (2)'!$A$5:$S$150"}</definedName>
    <definedName name="це" localSheetId="2" hidden="1">{"'РП (2)'!$A$5:$S$150"}</definedName>
    <definedName name="це" hidden="1">{"'РП (2)'!$A$5:$S$150"}</definedName>
    <definedName name="цк" localSheetId="2" hidden="1">{"'РП (2)'!$A$5:$S$150"}</definedName>
    <definedName name="цк" hidden="1">{"'РП (2)'!$A$5:$S$150"}</definedName>
    <definedName name="цф" localSheetId="2" hidden="1">{"'РП (2)'!$A$5:$S$150"}</definedName>
    <definedName name="цф" hidden="1">{"'РП (2)'!$A$5:$S$150"}</definedName>
    <definedName name="цц" localSheetId="2" hidden="1">{"'РП (2)'!$A$5:$S$150"}</definedName>
    <definedName name="цц" hidden="1">{"'РП (2)'!$A$5:$S$150"}</definedName>
    <definedName name="ццц" localSheetId="2" hidden="1">{#N/A,#N/A,TRUE,"Лист2"}</definedName>
    <definedName name="ццц" hidden="1">{#N/A,#N/A,TRUE,"Лист2"}</definedName>
    <definedName name="ццццц" localSheetId="2" hidden="1">{"'РП (2)'!$A$5:$S$150"}</definedName>
    <definedName name="ццццц" hidden="1">{"'РП (2)'!$A$5:$S$150"}</definedName>
    <definedName name="цццццц" localSheetId="2" hidden="1">{"'РП (2)'!$A$5:$S$150"}</definedName>
    <definedName name="цццццц" hidden="1">{"'РП (2)'!$A$5:$S$150"}</definedName>
    <definedName name="ццццццццццццццццц" localSheetId="2" hidden="1">{"'РП (2)'!$A$5:$S$150"}</definedName>
    <definedName name="ццццццццццццццццц" hidden="1">{"'РП (2)'!$A$5:$S$150"}</definedName>
    <definedName name="ч" localSheetId="2" hidden="1">{"'РП (2)'!$A$5:$S$150"}</definedName>
    <definedName name="ч" hidden="1">{"'РП (2)'!$A$5:$S$150"}</definedName>
    <definedName name="Численность" localSheetId="2" hidden="1">{"'РП (2)'!$A$5:$S$150"}</definedName>
    <definedName name="Численность" hidden="1">{"'РП (2)'!$A$5:$S$150"}</definedName>
    <definedName name="чт" localSheetId="2" hidden="1">{"'РП (2)'!$A$5:$S$150"}</definedName>
    <definedName name="чт" hidden="1">{"'РП (2)'!$A$5:$S$150"}</definedName>
    <definedName name="чч" localSheetId="2" hidden="1">{"'РП (2)'!$A$5:$S$150"}</definedName>
    <definedName name="чч" hidden="1">{"'РП (2)'!$A$5:$S$150"}</definedName>
    <definedName name="ччч" localSheetId="2" hidden="1">{"'РП (2)'!$A$5:$S$150"}</definedName>
    <definedName name="ччч" hidden="1">{"'РП (2)'!$A$5:$S$150"}</definedName>
    <definedName name="чччч" localSheetId="2" hidden="1">{"'РП (2)'!$A$5:$S$150"}</definedName>
    <definedName name="чччч" hidden="1">{"'РП (2)'!$A$5:$S$150"}</definedName>
    <definedName name="ччччччч" localSheetId="2" hidden="1">{"'РП (2)'!$A$5:$S$150"}</definedName>
    <definedName name="ччччччч" hidden="1">{"'РП (2)'!$A$5:$S$150"}</definedName>
    <definedName name="ччччччччччччччч" localSheetId="2" hidden="1">{"'РП (2)'!$A$5:$S$150"}</definedName>
    <definedName name="ччччччччччччччч" hidden="1">{"'РП (2)'!$A$5:$S$150"}</definedName>
    <definedName name="чччччччччччччччччч" localSheetId="2" hidden="1">{"'РП (2)'!$A$5:$S$150"}</definedName>
    <definedName name="чччччччччччччччччч" hidden="1">{"'РП (2)'!$A$5:$S$150"}</definedName>
    <definedName name="шгзлхз" localSheetId="2" hidden="1">{"'РП (2)'!$A$5:$S$150"}</definedName>
    <definedName name="шгзлхз" hidden="1">{"'РП (2)'!$A$5:$S$150"}</definedName>
    <definedName name="шгзщш" localSheetId="2" hidden="1">{"'РП (2)'!$A$5:$S$150"}</definedName>
    <definedName name="шгзщш" hidden="1">{"'РП (2)'!$A$5:$S$150"}</definedName>
    <definedName name="шгн" localSheetId="2" hidden="1">{"'РП (2)'!$A$5:$S$150"}</definedName>
    <definedName name="шгн" hidden="1">{"'РП (2)'!$A$5:$S$150"}</definedName>
    <definedName name="шгшгшг" localSheetId="2" hidden="1">{"'РП (2)'!$A$5:$S$150"}</definedName>
    <definedName name="шгшгшг" hidden="1">{"'РП (2)'!$A$5:$S$150"}</definedName>
    <definedName name="шн" localSheetId="2" hidden="1">{"'РП (2)'!$A$5:$S$150"}</definedName>
    <definedName name="шн" hidden="1">{"'РП (2)'!$A$5:$S$150"}</definedName>
    <definedName name="шшрш" localSheetId="2" hidden="1">{"'РП (2)'!$A$5:$S$150"}</definedName>
    <definedName name="шшрш" hidden="1">{"'РП (2)'!$A$5:$S$150"}</definedName>
    <definedName name="шшшшш" localSheetId="2" hidden="1">{"'РП (2)'!$A$5:$S$150"}</definedName>
    <definedName name="шшшшш" hidden="1">{"'РП (2)'!$A$5:$S$150"}</definedName>
    <definedName name="шшшшшшшшшшшшшш" localSheetId="2" hidden="1">{"'РП (2)'!$A$5:$S$150"}</definedName>
    <definedName name="шшшшшшшшшшшшшш" hidden="1">{"'РП (2)'!$A$5:$S$150"}</definedName>
    <definedName name="щ" localSheetId="2" hidden="1">{"'РП (2)'!$A$5:$S$150"}</definedName>
    <definedName name="щ" hidden="1">{"'РП (2)'!$A$5:$S$150"}</definedName>
    <definedName name="щр" localSheetId="2" hidden="1">{"'РП (2)'!$A$5:$S$150"}</definedName>
    <definedName name="щр" hidden="1">{"'РП (2)'!$A$5:$S$150"}</definedName>
    <definedName name="щшоджл" localSheetId="2" hidden="1">{"'РП (2)'!$A$5:$S$150"}</definedName>
    <definedName name="щшоджл" hidden="1">{"'РП (2)'!$A$5:$S$150"}</definedName>
    <definedName name="щщ" localSheetId="2" hidden="1">{"'РП (2)'!$A$5:$S$150"}</definedName>
    <definedName name="щщ" hidden="1">{"'РП (2)'!$A$5:$S$150"}</definedName>
    <definedName name="щщощщ" localSheetId="2" hidden="1">{"'РП (2)'!$A$5:$S$150"}</definedName>
    <definedName name="щщощщ" hidden="1">{"'РП (2)'!$A$5:$S$150"}</definedName>
    <definedName name="щщщщщ" localSheetId="2" hidden="1">{"'РП (2)'!$A$5:$S$150"}</definedName>
    <definedName name="щщщщщ" hidden="1">{"'РП (2)'!$A$5:$S$150"}</definedName>
    <definedName name="щщщщщщщщщщщщ" localSheetId="2" hidden="1">{"'РП (2)'!$A$5:$S$150"}</definedName>
    <definedName name="щщщщщщщщщщщщ" hidden="1">{"'РП (2)'!$A$5:$S$150"}</definedName>
    <definedName name="ъ" localSheetId="2" hidden="1">{"'РП (2)'!$A$5:$S$150"}</definedName>
    <definedName name="ъ" hidden="1">{"'РП (2)'!$A$5:$S$150"}</definedName>
    <definedName name="ъжъждоп" localSheetId="2" hidden="1">{"'РП (2)'!$A$5:$S$150"}</definedName>
    <definedName name="ъжъждоп" hidden="1">{"'РП (2)'!$A$5:$S$150"}</definedName>
    <definedName name="ъхз" localSheetId="2" hidden="1">{"'РП (2)'!$A$5:$S$150"}</definedName>
    <definedName name="ъхз" hidden="1">{"'РП (2)'!$A$5:$S$150"}</definedName>
    <definedName name="ъъъъъ" localSheetId="2" hidden="1">{"'РП (2)'!$A$5:$S$150"}</definedName>
    <definedName name="ъъъъъ" hidden="1">{"'РП (2)'!$A$5:$S$150"}</definedName>
    <definedName name="ъъъъъъ" localSheetId="2" hidden="1">{"'РП (2)'!$A$5:$S$150"}</definedName>
    <definedName name="ъъъъъъ" hidden="1">{"'РП (2)'!$A$5:$S$150"}</definedName>
    <definedName name="ъъъъъъъъъъъъъъъъъ" localSheetId="2" hidden="1">{"'РП (2)'!$A$5:$S$150"}</definedName>
    <definedName name="ъъъъъъъъъъъъъъъъъ" hidden="1">{"'РП (2)'!$A$5:$S$150"}</definedName>
    <definedName name="ы" localSheetId="2" hidden="1">{"'РП (2)'!$A$5:$S$150"}</definedName>
    <definedName name="ы" hidden="1">{"'РП (2)'!$A$5:$S$150"}</definedName>
    <definedName name="ыы" localSheetId="2" hidden="1">{"'РП (2)'!$A$5:$S$150"}</definedName>
    <definedName name="ыы" hidden="1">{"'РП (2)'!$A$5:$S$150"}</definedName>
    <definedName name="ыывв" localSheetId="2" hidden="1">{"'РП (2)'!$A$5:$S$150"}</definedName>
    <definedName name="ыывв" hidden="1">{"'РП (2)'!$A$5:$S$150"}</definedName>
    <definedName name="ыыы" localSheetId="2" hidden="1">{"'РП (2)'!$A$5:$S$150"}</definedName>
    <definedName name="ыыы" hidden="1">{"'РП (2)'!$A$5:$S$150"}</definedName>
    <definedName name="ыыыыыыыыыы" localSheetId="2" hidden="1">{"'РП (2)'!$A$5:$S$150"}</definedName>
    <definedName name="ыыыыыыыыыы" hidden="1">{"'РП (2)'!$A$5:$S$150"}</definedName>
    <definedName name="ыыыыыыыыыыввввввввввввв" localSheetId="2" hidden="1">{"'РП (2)'!$A$5:$S$150"}</definedName>
    <definedName name="ыыыыыыыыыыввввввввввввв" hidden="1">{"'РП (2)'!$A$5:$S$150"}</definedName>
    <definedName name="ьь" localSheetId="2" hidden="1">{"'РП (2)'!$A$5:$S$150"}</definedName>
    <definedName name="ьь" hidden="1">{"'РП (2)'!$A$5:$S$150"}</definedName>
    <definedName name="ьььььььььььбб" localSheetId="2" hidden="1">{"'РП (2)'!$A$5:$S$150"}</definedName>
    <definedName name="ьььььььььььбб" hidden="1">{"'РП (2)'!$A$5:$S$150"}</definedName>
    <definedName name="ььььььььььььььь" localSheetId="2" hidden="1">{"'РП (2)'!$A$5:$S$150"}</definedName>
    <definedName name="ььььььььььььььь" hidden="1">{"'РП (2)'!$A$5:$S$150"}</definedName>
    <definedName name="ььььььььььььььььььььь" localSheetId="2" hidden="1">{"'РП (2)'!$A$5:$S$150"}</definedName>
    <definedName name="ььььььььььььььььььььь" hidden="1">{"'РП (2)'!$A$5:$S$150"}</definedName>
    <definedName name="э" localSheetId="2" hidden="1">{"'РП (2)'!$A$5:$S$150"}</definedName>
    <definedName name="э" hidden="1">{"'РП (2)'!$A$5:$S$150"}</definedName>
    <definedName name="эж" localSheetId="2" hidden="1">{"'РП (2)'!$A$5:$S$150"}</definedName>
    <definedName name="эж" hidden="1">{"'РП (2)'!$A$5:$S$150"}</definedName>
    <definedName name="эжд" localSheetId="2" hidden="1">{"'РП (2)'!$A$5:$S$150"}</definedName>
    <definedName name="эжд" hidden="1">{"'РП (2)'!$A$5:$S$150"}</definedName>
    <definedName name="эзп" localSheetId="2" hidden="1">{"'РП (2)'!$A$5:$S$150"}</definedName>
    <definedName name="эзп" hidden="1">{"'РП (2)'!$A$5:$S$150"}</definedName>
    <definedName name="ээ" localSheetId="2" hidden="1">{"'РП (2)'!$A$5:$S$150"}</definedName>
    <definedName name="ээ" hidden="1">{"'РП (2)'!$A$5:$S$150"}</definedName>
    <definedName name="эээээ" localSheetId="2" hidden="1">{"'РП (2)'!$A$5:$S$150"}</definedName>
    <definedName name="эээээ" hidden="1">{"'РП (2)'!$A$5:$S$150"}</definedName>
    <definedName name="ээээээ" localSheetId="2" hidden="1">{"'РП (2)'!$A$5:$S$150"}</definedName>
    <definedName name="ээээээ" hidden="1">{"'РП (2)'!$A$5:$S$150"}</definedName>
    <definedName name="ээээээээ" localSheetId="2" hidden="1">{"'РП (2)'!$A$5:$S$150"}</definedName>
    <definedName name="ээээээээ" hidden="1">{"'РП (2)'!$A$5:$S$150"}</definedName>
    <definedName name="ээээээээээ" localSheetId="2" hidden="1">{"'РП (2)'!$A$5:$S$150"}</definedName>
    <definedName name="ээээээээээ" hidden="1">{"'РП (2)'!$A$5:$S$150"}</definedName>
    <definedName name="юю" localSheetId="2" hidden="1">{"'РП (2)'!$A$5:$S$150"}</definedName>
    <definedName name="юю" hidden="1">{"'РП (2)'!$A$5:$S$150"}</definedName>
    <definedName name="юююю" localSheetId="2" hidden="1">{"'РП (2)'!$A$5:$S$150"}</definedName>
    <definedName name="юююю" hidden="1">{"'РП (2)'!$A$5:$S$150"}</definedName>
    <definedName name="ююююю" localSheetId="2" hidden="1">{"'РП (2)'!$A$5:$S$150"}</definedName>
    <definedName name="ююююю" hidden="1">{"'РП (2)'!$A$5:$S$150"}</definedName>
    <definedName name="юююююю" localSheetId="2" hidden="1">{"'РП (2)'!$A$5:$S$150"}</definedName>
    <definedName name="юююююю" hidden="1">{"'РП (2)'!$A$5:$S$150"}</definedName>
    <definedName name="ююююююююююююю" localSheetId="2" hidden="1">{"'РП (2)'!$A$5:$S$150"}</definedName>
    <definedName name="ююююююююююююю" hidden="1">{"'РП (2)'!$A$5:$S$150"}</definedName>
    <definedName name="я" localSheetId="2" hidden="1">{"'РП (2)'!$A$5:$S$150"}</definedName>
    <definedName name="я" hidden="1">{"'РП (2)'!$A$5:$S$150"}</definedName>
    <definedName name="яя" localSheetId="2" hidden="1">{"'РП (2)'!$A$5:$S$150"}</definedName>
    <definedName name="яя" hidden="1">{"'РП (2)'!$A$5:$S$150"}</definedName>
    <definedName name="яяя" localSheetId="2" hidden="1">{"'РП (2)'!$A$5:$S$150"}</definedName>
    <definedName name="яяя" hidden="1">{"'РП (2)'!$A$5:$S$150"}</definedName>
    <definedName name="яяяя" localSheetId="2" hidden="1">{"'РП (2)'!$A$5:$S$150"}</definedName>
    <definedName name="яяяя" hidden="1">{"'РП (2)'!$A$5:$S$150"}</definedName>
    <definedName name="яяяяя" localSheetId="2" hidden="1">{"'РП (2)'!$A$5:$S$150"}</definedName>
    <definedName name="яяяяя" hidden="1">{"'РП (2)'!$A$5:$S$150"}</definedName>
    <definedName name="яяяяяяяяяяяяяяя" localSheetId="2" hidden="1">{"'РП (2)'!$A$5:$S$150"}</definedName>
    <definedName name="яяяяяяяяяяяяяяя" hidden="1">{"'РП (2)'!$A$5:$S$150"}</definedName>
    <definedName name="яяяяяяяяяяяяяяяяяя" localSheetId="2" hidden="1">{"'РП (2)'!$A$5:$S$150"}</definedName>
    <definedName name="яяяяяяяяяяяяяяяяяя" hidden="1">{"'РП (2)'!$A$5:$S$150"}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6" i="3" l="1"/>
  <c r="C85" i="3"/>
  <c r="C83" i="3"/>
  <c r="C81" i="3"/>
  <c r="C80" i="3"/>
  <c r="C79" i="3"/>
  <c r="C77" i="3"/>
  <c r="C76" i="3"/>
  <c r="C74" i="3"/>
  <c r="C73" i="3"/>
  <c r="C72" i="3"/>
  <c r="C71" i="3"/>
  <c r="C70" i="3"/>
  <c r="C69" i="3"/>
  <c r="C68" i="3"/>
  <c r="C67" i="3"/>
  <c r="C66" i="3"/>
  <c r="C65" i="3"/>
  <c r="C64" i="3"/>
  <c r="O57" i="3"/>
  <c r="N57" i="3"/>
  <c r="M57" i="3"/>
  <c r="M11" i="3" s="1"/>
  <c r="L57" i="3"/>
  <c r="K57" i="3"/>
  <c r="J57" i="3"/>
  <c r="J11" i="3" s="1"/>
  <c r="I57" i="3"/>
  <c r="H57" i="3"/>
  <c r="G57" i="3"/>
  <c r="G11" i="3" s="1"/>
  <c r="F57" i="3"/>
  <c r="E53" i="3"/>
  <c r="C53" i="3"/>
  <c r="E52" i="3"/>
  <c r="D52" i="3"/>
  <c r="E51" i="3"/>
  <c r="D51" i="3"/>
  <c r="C51" i="3"/>
  <c r="D50" i="3"/>
  <c r="D49" i="3"/>
  <c r="D48" i="3"/>
  <c r="F25" i="3"/>
  <c r="D47" i="3"/>
  <c r="I24" i="3"/>
  <c r="D46" i="3"/>
  <c r="D45" i="3"/>
  <c r="D44" i="3"/>
  <c r="C44" i="3"/>
  <c r="E43" i="3"/>
  <c r="D43" i="3"/>
  <c r="C43" i="3"/>
  <c r="D42" i="3"/>
  <c r="C42" i="3"/>
  <c r="D41" i="3"/>
  <c r="D40" i="3"/>
  <c r="D39" i="3"/>
  <c r="I23" i="3"/>
  <c r="D38" i="3"/>
  <c r="D37" i="3"/>
  <c r="C37" i="3"/>
  <c r="D36" i="3"/>
  <c r="G22" i="3"/>
  <c r="F22" i="3"/>
  <c r="D35" i="3"/>
  <c r="D34" i="3"/>
  <c r="F20" i="3"/>
  <c r="D33" i="3"/>
  <c r="D32" i="3"/>
  <c r="E31" i="3"/>
  <c r="K29" i="3"/>
  <c r="J29" i="3"/>
  <c r="H29" i="3"/>
  <c r="F29" i="3"/>
  <c r="E28" i="3"/>
  <c r="E42" i="3" s="1"/>
  <c r="F24" i="3"/>
  <c r="M22" i="3"/>
  <c r="G21" i="3"/>
  <c r="F21" i="3"/>
  <c r="G20" i="3"/>
  <c r="O18" i="3"/>
  <c r="N18" i="3"/>
  <c r="M18" i="3"/>
  <c r="L18" i="3"/>
  <c r="K18" i="3"/>
  <c r="J18" i="3"/>
  <c r="I18" i="3"/>
  <c r="H18" i="3"/>
  <c r="G18" i="3"/>
  <c r="F18" i="3"/>
  <c r="O16" i="3"/>
  <c r="O29" i="3" s="1"/>
  <c r="N16" i="3"/>
  <c r="N29" i="3" s="1"/>
  <c r="M16" i="3"/>
  <c r="M29" i="3" s="1"/>
  <c r="L16" i="3"/>
  <c r="L29" i="3" s="1"/>
  <c r="K16" i="3"/>
  <c r="J16" i="3"/>
  <c r="I16" i="3"/>
  <c r="I29" i="3" s="1"/>
  <c r="H16" i="3"/>
  <c r="G16" i="3"/>
  <c r="G29" i="3" s="1"/>
  <c r="F16" i="3"/>
  <c r="O11" i="3"/>
  <c r="N11" i="3"/>
  <c r="L11" i="3"/>
  <c r="K11" i="3"/>
  <c r="I11" i="3"/>
  <c r="H11" i="3"/>
  <c r="F11" i="3"/>
  <c r="I7" i="3"/>
  <c r="I22" i="3" s="1"/>
  <c r="H7" i="3"/>
  <c r="G7" i="3"/>
  <c r="H6" i="3"/>
  <c r="G6" i="3"/>
  <c r="D3" i="3"/>
  <c r="C3" i="3"/>
  <c r="C66" i="2"/>
  <c r="E65" i="2"/>
  <c r="D65" i="2"/>
  <c r="E63" i="2"/>
  <c r="D63" i="2"/>
  <c r="C62" i="2"/>
  <c r="E61" i="2"/>
  <c r="D61" i="2"/>
  <c r="C60" i="2"/>
  <c r="C59" i="2"/>
  <c r="C58" i="2"/>
  <c r="C57" i="2"/>
  <c r="E56" i="2"/>
  <c r="D56" i="2"/>
  <c r="C55" i="2"/>
  <c r="E54" i="2"/>
  <c r="D54" i="2"/>
  <c r="C53" i="2"/>
  <c r="G52" i="2"/>
  <c r="C52" i="2"/>
  <c r="C51" i="2"/>
  <c r="C50" i="2"/>
  <c r="G49" i="2"/>
  <c r="C49" i="2"/>
  <c r="C48" i="2"/>
  <c r="C47" i="2"/>
  <c r="C46" i="2"/>
  <c r="C45" i="2"/>
  <c r="C44" i="2"/>
  <c r="C43" i="2"/>
  <c r="C42" i="2"/>
  <c r="J41" i="2"/>
  <c r="C41" i="2"/>
  <c r="C40" i="2"/>
  <c r="C39" i="2"/>
  <c r="E38" i="2"/>
  <c r="D38" i="2"/>
  <c r="E36" i="2"/>
  <c r="D36" i="2"/>
  <c r="F35" i="2"/>
  <c r="C35" i="2"/>
  <c r="C34" i="2"/>
  <c r="C33" i="2"/>
  <c r="C32" i="2"/>
  <c r="C31" i="2"/>
  <c r="C30" i="2"/>
  <c r="C29" i="2"/>
  <c r="C28" i="2"/>
  <c r="C27" i="2"/>
  <c r="C26" i="2"/>
  <c r="Q21" i="2"/>
  <c r="C21" i="2" s="1"/>
  <c r="O21" i="2"/>
  <c r="O66" i="2" s="1"/>
  <c r="N21" i="2"/>
  <c r="N66" i="2" s="1"/>
  <c r="M21" i="2"/>
  <c r="M66" i="2" s="1"/>
  <c r="J21" i="2"/>
  <c r="J66" i="2" s="1"/>
  <c r="G21" i="2"/>
  <c r="G66" i="2" s="1"/>
  <c r="Q20" i="2"/>
  <c r="C20" i="2" s="1"/>
  <c r="O20" i="2" s="1"/>
  <c r="M20" i="2"/>
  <c r="J20" i="2"/>
  <c r="G20" i="2"/>
  <c r="Q19" i="2"/>
  <c r="C19" i="2" s="1"/>
  <c r="Q18" i="2"/>
  <c r="C18" i="2"/>
  <c r="J18" i="2" s="1"/>
  <c r="Q17" i="2"/>
  <c r="C17" i="2" s="1"/>
  <c r="N17" i="2"/>
  <c r="N55" i="2" s="1"/>
  <c r="M17" i="2"/>
  <c r="M55" i="2" s="1"/>
  <c r="Q16" i="2"/>
  <c r="J16" i="2"/>
  <c r="J52" i="2" s="1"/>
  <c r="G16" i="2"/>
  <c r="G44" i="2" s="1"/>
  <c r="C16" i="2"/>
  <c r="Q15" i="2"/>
  <c r="C15" i="2" s="1"/>
  <c r="Q14" i="2"/>
  <c r="F14" i="2"/>
  <c r="F32" i="2" s="1"/>
  <c r="C14" i="2"/>
  <c r="F6" i="2"/>
  <c r="K4" i="2"/>
  <c r="L4" i="2" s="1"/>
  <c r="M4" i="2" s="1"/>
  <c r="N4" i="2" s="1"/>
  <c r="O4" i="2" s="1"/>
  <c r="F4" i="2"/>
  <c r="G4" i="2" s="1"/>
  <c r="H4" i="2" s="1"/>
  <c r="I4" i="2" s="1"/>
  <c r="J4" i="2" s="1"/>
  <c r="C2" i="2"/>
  <c r="B2" i="2"/>
  <c r="D40" i="1"/>
  <c r="D39" i="1"/>
  <c r="N20" i="1"/>
  <c r="M20" i="1"/>
  <c r="L20" i="1"/>
  <c r="K20" i="1"/>
  <c r="J20" i="1"/>
  <c r="I20" i="1"/>
  <c r="H20" i="1"/>
  <c r="G20" i="1"/>
  <c r="F20" i="1"/>
  <c r="E20" i="1"/>
  <c r="A12" i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6" i="1"/>
  <c r="A7" i="1" s="1"/>
  <c r="A8" i="1" s="1"/>
  <c r="A9" i="1" s="1"/>
  <c r="A10" i="1" s="1"/>
  <c r="A11" i="1" s="1"/>
  <c r="A5" i="1"/>
  <c r="J4" i="1"/>
  <c r="K4" i="1" s="1"/>
  <c r="L4" i="1" s="1"/>
  <c r="M4" i="1" s="1"/>
  <c r="N4" i="1" s="1"/>
  <c r="E4" i="1"/>
  <c r="F4" i="1" s="1"/>
  <c r="G4" i="1" s="1"/>
  <c r="H4" i="1" s="1"/>
  <c r="I4" i="1" s="1"/>
  <c r="L15" i="2" l="1"/>
  <c r="K15" i="2"/>
  <c r="I15" i="2"/>
  <c r="F15" i="2"/>
  <c r="N15" i="2"/>
  <c r="M15" i="2"/>
  <c r="J15" i="2"/>
  <c r="H15" i="2"/>
  <c r="G15" i="2"/>
  <c r="L19" i="2"/>
  <c r="L62" i="2" s="1"/>
  <c r="K19" i="2"/>
  <c r="K62" i="2" s="1"/>
  <c r="I19" i="2"/>
  <c r="I62" i="2" s="1"/>
  <c r="H19" i="2"/>
  <c r="H62" i="2" s="1"/>
  <c r="F19" i="2"/>
  <c r="F62" i="2" s="1"/>
  <c r="O19" i="2"/>
  <c r="O62" i="2" s="1"/>
  <c r="N19" i="2"/>
  <c r="N62" i="2" s="1"/>
  <c r="M19" i="2"/>
  <c r="M62" i="2" s="1"/>
  <c r="L17" i="2"/>
  <c r="L55" i="2" s="1"/>
  <c r="K17" i="2"/>
  <c r="K55" i="2" s="1"/>
  <c r="I17" i="2"/>
  <c r="I55" i="2" s="1"/>
  <c r="H17" i="2"/>
  <c r="H55" i="2" s="1"/>
  <c r="F17" i="2"/>
  <c r="F55" i="2" s="1"/>
  <c r="J17" i="2"/>
  <c r="J55" i="2" s="1"/>
  <c r="G17" i="2"/>
  <c r="G55" i="2" s="1"/>
  <c r="O17" i="2"/>
  <c r="O55" i="2" s="1"/>
  <c r="J57" i="2"/>
  <c r="J59" i="2"/>
  <c r="J60" i="2"/>
  <c r="J58" i="2"/>
  <c r="G19" i="2"/>
  <c r="G62" i="2" s="1"/>
  <c r="G5" i="2"/>
  <c r="G6" i="2"/>
  <c r="O15" i="2"/>
  <c r="J19" i="2"/>
  <c r="J62" i="2" s="1"/>
  <c r="L16" i="2"/>
  <c r="K16" i="2"/>
  <c r="I16" i="2"/>
  <c r="H16" i="2"/>
  <c r="F16" i="2"/>
  <c r="J49" i="2"/>
  <c r="G42" i="2"/>
  <c r="G43" i="2"/>
  <c r="G45" i="2"/>
  <c r="G48" i="2"/>
  <c r="G46" i="2"/>
  <c r="G50" i="2"/>
  <c r="G51" i="2"/>
  <c r="G53" i="2"/>
  <c r="G39" i="2"/>
  <c r="F29" i="2"/>
  <c r="J44" i="2"/>
  <c r="I20" i="3"/>
  <c r="M16" i="2"/>
  <c r="G18" i="2"/>
  <c r="L21" i="2"/>
  <c r="L66" i="2" s="1"/>
  <c r="K21" i="2"/>
  <c r="K66" i="2" s="1"/>
  <c r="I21" i="2"/>
  <c r="I66" i="2" s="1"/>
  <c r="H21" i="2"/>
  <c r="H66" i="2" s="1"/>
  <c r="F21" i="2"/>
  <c r="F66" i="2" s="1"/>
  <c r="G40" i="2"/>
  <c r="J6" i="3"/>
  <c r="J7" i="3"/>
  <c r="F23" i="3"/>
  <c r="H23" i="3"/>
  <c r="I25" i="3"/>
  <c r="N16" i="2"/>
  <c r="F31" i="2"/>
  <c r="L18" i="2"/>
  <c r="K18" i="2"/>
  <c r="I18" i="2"/>
  <c r="H18" i="2"/>
  <c r="F18" i="2"/>
  <c r="O16" i="2"/>
  <c r="M18" i="2"/>
  <c r="F30" i="3"/>
  <c r="J45" i="2"/>
  <c r="J48" i="2"/>
  <c r="J46" i="2"/>
  <c r="J50" i="2"/>
  <c r="J51" i="2"/>
  <c r="J53" i="2"/>
  <c r="J39" i="2"/>
  <c r="J40" i="2"/>
  <c r="J42" i="2"/>
  <c r="N18" i="2"/>
  <c r="F26" i="3"/>
  <c r="O18" i="2"/>
  <c r="N20" i="2"/>
  <c r="I21" i="3"/>
  <c r="G41" i="2"/>
  <c r="J43" i="2"/>
  <c r="F62" i="3"/>
  <c r="F12" i="3" s="1"/>
  <c r="F30" i="2"/>
  <c r="F34" i="2"/>
  <c r="F28" i="2"/>
  <c r="F33" i="2"/>
  <c r="F27" i="2"/>
  <c r="L20" i="2"/>
  <c r="K20" i="2"/>
  <c r="I20" i="2"/>
  <c r="H20" i="2"/>
  <c r="F20" i="2"/>
  <c r="F26" i="2"/>
  <c r="H20" i="3"/>
  <c r="H21" i="3"/>
  <c r="H22" i="3"/>
  <c r="H26" i="3"/>
  <c r="G26" i="3"/>
  <c r="E44" i="3"/>
  <c r="E45" i="3"/>
  <c r="E46" i="3"/>
  <c r="E47" i="3"/>
  <c r="E48" i="3"/>
  <c r="E49" i="3"/>
  <c r="E50" i="3"/>
  <c r="I6" i="3"/>
  <c r="F19" i="3"/>
  <c r="F17" i="3" s="1"/>
  <c r="F9" i="3" s="1"/>
  <c r="E14" i="1" s="1"/>
  <c r="G24" i="3"/>
  <c r="G25" i="3"/>
  <c r="G19" i="3"/>
  <c r="H24" i="3"/>
  <c r="H25" i="3"/>
  <c r="E36" i="3"/>
  <c r="E32" i="3"/>
  <c r="E33" i="3"/>
  <c r="F13" i="3" s="1"/>
  <c r="E23" i="1" s="1"/>
  <c r="E34" i="3"/>
  <c r="E35" i="3"/>
  <c r="E37" i="3"/>
  <c r="E38" i="3"/>
  <c r="E39" i="3"/>
  <c r="E40" i="3"/>
  <c r="E41" i="3"/>
  <c r="G23" i="3"/>
  <c r="E35" i="1" l="1"/>
  <c r="E36" i="1" s="1"/>
  <c r="I26" i="3"/>
  <c r="H5" i="2"/>
  <c r="H6" i="2"/>
  <c r="F10" i="3"/>
  <c r="E21" i="1"/>
  <c r="G13" i="2"/>
  <c r="G7" i="2" s="1"/>
  <c r="F13" i="1" s="1"/>
  <c r="G37" i="2"/>
  <c r="G10" i="2"/>
  <c r="F22" i="1" s="1"/>
  <c r="M50" i="2"/>
  <c r="M51" i="2"/>
  <c r="M53" i="2"/>
  <c r="M39" i="2"/>
  <c r="M40" i="2"/>
  <c r="M42" i="2"/>
  <c r="M43" i="2"/>
  <c r="M45" i="2"/>
  <c r="M48" i="2"/>
  <c r="M52" i="2"/>
  <c r="M44" i="2"/>
  <c r="M49" i="2"/>
  <c r="M46" i="2"/>
  <c r="M41" i="2"/>
  <c r="N57" i="2"/>
  <c r="N58" i="2"/>
  <c r="N60" i="2"/>
  <c r="N59" i="2"/>
  <c r="O52" i="2"/>
  <c r="O53" i="2"/>
  <c r="O39" i="2"/>
  <c r="O41" i="2"/>
  <c r="O42" i="2"/>
  <c r="O44" i="2"/>
  <c r="O45" i="2"/>
  <c r="O49" i="2"/>
  <c r="O48" i="2"/>
  <c r="O50" i="2"/>
  <c r="O40" i="2"/>
  <c r="O46" i="2"/>
  <c r="O51" i="2"/>
  <c r="O43" i="2"/>
  <c r="J25" i="3"/>
  <c r="J24" i="3"/>
  <c r="J26" i="3"/>
  <c r="J23" i="3"/>
  <c r="J22" i="3"/>
  <c r="J21" i="3"/>
  <c r="J20" i="3"/>
  <c r="K7" i="3"/>
  <c r="K6" i="3"/>
  <c r="M13" i="2"/>
  <c r="M7" i="2" s="1"/>
  <c r="L13" i="1" s="1"/>
  <c r="M37" i="2"/>
  <c r="M10" i="2"/>
  <c r="L22" i="1" s="1"/>
  <c r="L33" i="1" s="1"/>
  <c r="L34" i="1" s="1"/>
  <c r="O58" i="2"/>
  <c r="O59" i="2"/>
  <c r="O60" i="2"/>
  <c r="O57" i="2"/>
  <c r="H13" i="2"/>
  <c r="H7" i="2" s="1"/>
  <c r="G13" i="1" s="1"/>
  <c r="H37" i="2"/>
  <c r="H10" i="2"/>
  <c r="G22" i="1" s="1"/>
  <c r="F41" i="2"/>
  <c r="F42" i="2"/>
  <c r="F44" i="2"/>
  <c r="F45" i="2"/>
  <c r="F49" i="2"/>
  <c r="F50" i="2"/>
  <c r="F52" i="2"/>
  <c r="F51" i="2"/>
  <c r="F39" i="2"/>
  <c r="F53" i="2"/>
  <c r="F43" i="2"/>
  <c r="F48" i="2"/>
  <c r="F40" i="2"/>
  <c r="F46" i="2"/>
  <c r="N13" i="2"/>
  <c r="N7" i="2" s="1"/>
  <c r="M13" i="1" s="1"/>
  <c r="N37" i="2"/>
  <c r="N10" i="2"/>
  <c r="M22" i="1" s="1"/>
  <c r="M33" i="1" s="1"/>
  <c r="M34" i="1" s="1"/>
  <c r="G62" i="3"/>
  <c r="G12" i="3" s="1"/>
  <c r="M57" i="2"/>
  <c r="M59" i="2"/>
  <c r="M60" i="2"/>
  <c r="M58" i="2"/>
  <c r="N51" i="2"/>
  <c r="N52" i="2"/>
  <c r="N40" i="2"/>
  <c r="N41" i="2"/>
  <c r="N43" i="2"/>
  <c r="N44" i="2"/>
  <c r="N48" i="2"/>
  <c r="N46" i="2"/>
  <c r="N53" i="2"/>
  <c r="N45" i="2"/>
  <c r="N50" i="2"/>
  <c r="N42" i="2"/>
  <c r="N49" i="2"/>
  <c r="N39" i="2"/>
  <c r="F60" i="2"/>
  <c r="F58" i="2"/>
  <c r="F57" i="2"/>
  <c r="F59" i="2"/>
  <c r="I62" i="3"/>
  <c r="I12" i="3" s="1"/>
  <c r="H43" i="2"/>
  <c r="H44" i="2"/>
  <c r="H48" i="2"/>
  <c r="H46" i="2"/>
  <c r="H49" i="2"/>
  <c r="H51" i="2"/>
  <c r="H52" i="2"/>
  <c r="H40" i="2"/>
  <c r="H41" i="2"/>
  <c r="H53" i="2"/>
  <c r="H45" i="2"/>
  <c r="H50" i="2"/>
  <c r="H42" i="2"/>
  <c r="H39" i="2"/>
  <c r="F10" i="2"/>
  <c r="E22" i="1" s="1"/>
  <c r="F13" i="2"/>
  <c r="F7" i="2" s="1"/>
  <c r="E13" i="1" s="1"/>
  <c r="F37" i="2"/>
  <c r="F24" i="2" s="1"/>
  <c r="F9" i="2" s="1"/>
  <c r="O10" i="2"/>
  <c r="N22" i="1" s="1"/>
  <c r="O37" i="2"/>
  <c r="O13" i="2"/>
  <c r="O7" i="2" s="1"/>
  <c r="N13" i="1" s="1"/>
  <c r="G30" i="3"/>
  <c r="H19" i="3"/>
  <c r="H17" i="3" s="1"/>
  <c r="H9" i="3" s="1"/>
  <c r="G14" i="1" s="1"/>
  <c r="H30" i="3"/>
  <c r="H57" i="2"/>
  <c r="H58" i="2"/>
  <c r="H60" i="2"/>
  <c r="H59" i="2"/>
  <c r="I44" i="2"/>
  <c r="I45" i="2"/>
  <c r="I49" i="2"/>
  <c r="I50" i="2"/>
  <c r="I52" i="2"/>
  <c r="I53" i="2"/>
  <c r="I39" i="2"/>
  <c r="I41" i="2"/>
  <c r="I46" i="2"/>
  <c r="I43" i="2"/>
  <c r="I48" i="2"/>
  <c r="I42" i="2"/>
  <c r="I40" i="2"/>
  <c r="I51" i="2"/>
  <c r="I10" i="2"/>
  <c r="H22" i="1" s="1"/>
  <c r="H33" i="1" s="1"/>
  <c r="H34" i="1" s="1"/>
  <c r="I13" i="2"/>
  <c r="I7" i="2" s="1"/>
  <c r="H13" i="1" s="1"/>
  <c r="I37" i="2"/>
  <c r="H62" i="3"/>
  <c r="H12" i="3" s="1"/>
  <c r="L58" i="2"/>
  <c r="L59" i="2"/>
  <c r="L57" i="2"/>
  <c r="L60" i="2"/>
  <c r="G13" i="3"/>
  <c r="F23" i="1" s="1"/>
  <c r="F35" i="1" s="1"/>
  <c r="F36" i="1" s="1"/>
  <c r="I13" i="3"/>
  <c r="H23" i="1" s="1"/>
  <c r="H35" i="1" s="1"/>
  <c r="H36" i="1" s="1"/>
  <c r="J37" i="2"/>
  <c r="J24" i="2" s="1"/>
  <c r="J9" i="2" s="1"/>
  <c r="J10" i="2"/>
  <c r="I22" i="1" s="1"/>
  <c r="J13" i="2"/>
  <c r="J7" i="2" s="1"/>
  <c r="I13" i="1" s="1"/>
  <c r="I19" i="3"/>
  <c r="I17" i="3" s="1"/>
  <c r="I9" i="3" s="1"/>
  <c r="H14" i="1" s="1"/>
  <c r="I30" i="3"/>
  <c r="I58" i="2"/>
  <c r="I59" i="2"/>
  <c r="I57" i="2"/>
  <c r="I60" i="2"/>
  <c r="K48" i="2"/>
  <c r="K46" i="2"/>
  <c r="K49" i="2"/>
  <c r="K51" i="2"/>
  <c r="K52" i="2"/>
  <c r="K40" i="2"/>
  <c r="K41" i="2"/>
  <c r="K43" i="2"/>
  <c r="K44" i="2"/>
  <c r="K53" i="2"/>
  <c r="K45" i="2"/>
  <c r="K50" i="2"/>
  <c r="K42" i="2"/>
  <c r="K39" i="2"/>
  <c r="K10" i="2"/>
  <c r="J22" i="1" s="1"/>
  <c r="K13" i="2"/>
  <c r="K7" i="2" s="1"/>
  <c r="J13" i="1" s="1"/>
  <c r="K37" i="2"/>
  <c r="G17" i="3"/>
  <c r="G9" i="3" s="1"/>
  <c r="F14" i="1" s="1"/>
  <c r="K57" i="2"/>
  <c r="K58" i="2"/>
  <c r="K60" i="2"/>
  <c r="K59" i="2"/>
  <c r="H13" i="3"/>
  <c r="G23" i="1" s="1"/>
  <c r="G35" i="1" s="1"/>
  <c r="G36" i="1" s="1"/>
  <c r="G57" i="2"/>
  <c r="G59" i="2"/>
  <c r="G60" i="2"/>
  <c r="G58" i="2"/>
  <c r="L49" i="2"/>
  <c r="L50" i="2"/>
  <c r="L52" i="2"/>
  <c r="L53" i="2"/>
  <c r="L39" i="2"/>
  <c r="L41" i="2"/>
  <c r="L42" i="2"/>
  <c r="L44" i="2"/>
  <c r="L43" i="2"/>
  <c r="L51" i="2"/>
  <c r="L48" i="2"/>
  <c r="L45" i="2"/>
  <c r="L40" i="2"/>
  <c r="L46" i="2"/>
  <c r="L37" i="2"/>
  <c r="L10" i="2"/>
  <c r="K22" i="1" s="1"/>
  <c r="K33" i="1" s="1"/>
  <c r="K34" i="1" s="1"/>
  <c r="L13" i="2"/>
  <c r="L7" i="2" s="1"/>
  <c r="K13" i="1" s="1"/>
  <c r="E19" i="1" l="1"/>
  <c r="E18" i="1" s="1"/>
  <c r="F8" i="2"/>
  <c r="E33" i="1"/>
  <c r="E34" i="1" s="1"/>
  <c r="F21" i="1"/>
  <c r="G10" i="3"/>
  <c r="I5" i="2"/>
  <c r="I6" i="2"/>
  <c r="N24" i="2"/>
  <c r="N9" i="2" s="1"/>
  <c r="M24" i="2"/>
  <c r="M9" i="2" s="1"/>
  <c r="J19" i="3"/>
  <c r="J17" i="3" s="1"/>
  <c r="J9" i="3" s="1"/>
  <c r="I14" i="1" s="1"/>
  <c r="J30" i="3"/>
  <c r="G21" i="1"/>
  <c r="H10" i="3"/>
  <c r="H21" i="1"/>
  <c r="I10" i="3"/>
  <c r="I15" i="1"/>
  <c r="K24" i="2"/>
  <c r="K9" i="2" s="1"/>
  <c r="I33" i="1"/>
  <c r="I34" i="1" s="1"/>
  <c r="H15" i="1"/>
  <c r="H12" i="1" s="1"/>
  <c r="O24" i="2"/>
  <c r="O9" i="2" s="1"/>
  <c r="G33" i="1"/>
  <c r="G34" i="1" s="1"/>
  <c r="J62" i="3"/>
  <c r="J12" i="3" s="1"/>
  <c r="L24" i="2"/>
  <c r="L9" i="2" s="1"/>
  <c r="I24" i="2"/>
  <c r="I9" i="2" s="1"/>
  <c r="J8" i="2"/>
  <c r="I19" i="1"/>
  <c r="N33" i="1"/>
  <c r="N34" i="1" s="1"/>
  <c r="H24" i="2"/>
  <c r="H9" i="2" s="1"/>
  <c r="K25" i="3"/>
  <c r="K24" i="3"/>
  <c r="L6" i="3"/>
  <c r="K23" i="3"/>
  <c r="K22" i="3"/>
  <c r="K21" i="3"/>
  <c r="K20" i="3"/>
  <c r="K62" i="3"/>
  <c r="K12" i="3" s="1"/>
  <c r="L7" i="3"/>
  <c r="F33" i="1"/>
  <c r="F34" i="1" s="1"/>
  <c r="E15" i="1"/>
  <c r="E12" i="1"/>
  <c r="F15" i="1"/>
  <c r="F12" i="1" s="1"/>
  <c r="J33" i="1"/>
  <c r="J34" i="1" s="1"/>
  <c r="G15" i="1"/>
  <c r="G12" i="1" s="1"/>
  <c r="G24" i="2"/>
  <c r="G9" i="2" s="1"/>
  <c r="J13" i="3"/>
  <c r="I23" i="1" s="1"/>
  <c r="I35" i="1" s="1"/>
  <c r="I36" i="1" s="1"/>
  <c r="I12" i="1" l="1"/>
  <c r="J4" i="3"/>
  <c r="J3" i="2"/>
  <c r="I4" i="3"/>
  <c r="I3" i="2"/>
  <c r="H3" i="2"/>
  <c r="H4" i="3"/>
  <c r="G4" i="3"/>
  <c r="G3" i="2"/>
  <c r="K19" i="1"/>
  <c r="L8" i="2"/>
  <c r="L19" i="1"/>
  <c r="M8" i="2"/>
  <c r="J21" i="1"/>
  <c r="I21" i="1"/>
  <c r="J10" i="3"/>
  <c r="M19" i="1"/>
  <c r="N8" i="2"/>
  <c r="K30" i="3"/>
  <c r="K19" i="3"/>
  <c r="K13" i="3"/>
  <c r="J23" i="1" s="1"/>
  <c r="J5" i="2"/>
  <c r="J6" i="2"/>
  <c r="N19" i="1"/>
  <c r="O8" i="2"/>
  <c r="G8" i="2"/>
  <c r="F19" i="1"/>
  <c r="F18" i="1" s="1"/>
  <c r="H8" i="2"/>
  <c r="G19" i="1"/>
  <c r="G18" i="1" s="1"/>
  <c r="I8" i="2"/>
  <c r="H19" i="1"/>
  <c r="H18" i="1" s="1"/>
  <c r="F4" i="3"/>
  <c r="F3" i="2"/>
  <c r="M6" i="3"/>
  <c r="M7" i="3"/>
  <c r="L21" i="3"/>
  <c r="L25" i="3"/>
  <c r="L23" i="3"/>
  <c r="L22" i="3"/>
  <c r="L20" i="3"/>
  <c r="L24" i="3"/>
  <c r="K26" i="3"/>
  <c r="I18" i="1"/>
  <c r="J19" i="1"/>
  <c r="K8" i="2"/>
  <c r="K17" i="3" l="1"/>
  <c r="K9" i="3" s="1"/>
  <c r="J14" i="1" s="1"/>
  <c r="L19" i="3"/>
  <c r="L30" i="3"/>
  <c r="L13" i="3"/>
  <c r="K23" i="1" s="1"/>
  <c r="L26" i="3"/>
  <c r="M25" i="3"/>
  <c r="M24" i="3"/>
  <c r="M23" i="3"/>
  <c r="M21" i="3"/>
  <c r="M20" i="3"/>
  <c r="N7" i="3"/>
  <c r="N6" i="3"/>
  <c r="K5" i="2"/>
  <c r="K6" i="2"/>
  <c r="J18" i="1"/>
  <c r="L62" i="3"/>
  <c r="L12" i="3" s="1"/>
  <c r="K10" i="3"/>
  <c r="L10" i="3" l="1"/>
  <c r="K21" i="1"/>
  <c r="K18" i="1" s="1"/>
  <c r="M26" i="3"/>
  <c r="L17" i="3"/>
  <c r="L9" i="3" s="1"/>
  <c r="K14" i="1" s="1"/>
  <c r="M19" i="3"/>
  <c r="M17" i="3" s="1"/>
  <c r="M9" i="3" s="1"/>
  <c r="L14" i="1" s="1"/>
  <c r="M30" i="3"/>
  <c r="M13" i="3"/>
  <c r="L23" i="1" s="1"/>
  <c r="L35" i="1" s="1"/>
  <c r="L36" i="1" s="1"/>
  <c r="M62" i="3"/>
  <c r="M12" i="3" s="1"/>
  <c r="J15" i="1"/>
  <c r="J12" i="1" s="1"/>
  <c r="N25" i="3"/>
  <c r="N24" i="3"/>
  <c r="O6" i="3"/>
  <c r="N23" i="3"/>
  <c r="N21" i="3"/>
  <c r="N20" i="3"/>
  <c r="N22" i="3"/>
  <c r="O7" i="3"/>
  <c r="L5" i="2"/>
  <c r="L6" i="2"/>
  <c r="J35" i="1"/>
  <c r="J36" i="1" s="1"/>
  <c r="K4" i="3" l="1"/>
  <c r="K3" i="2"/>
  <c r="L21" i="1"/>
  <c r="L18" i="1" s="1"/>
  <c r="M10" i="3"/>
  <c r="N26" i="3"/>
  <c r="O25" i="3"/>
  <c r="O24" i="3"/>
  <c r="O22" i="3"/>
  <c r="O62" i="3"/>
  <c r="O12" i="3" s="1"/>
  <c r="O21" i="3"/>
  <c r="O23" i="3"/>
  <c r="O20" i="3"/>
  <c r="L15" i="1"/>
  <c r="L12" i="1"/>
  <c r="K15" i="1"/>
  <c r="K12" i="1"/>
  <c r="N62" i="3"/>
  <c r="N12" i="3" s="1"/>
  <c r="N19" i="3"/>
  <c r="N17" i="3" s="1"/>
  <c r="N9" i="3" s="1"/>
  <c r="M14" i="1" s="1"/>
  <c r="N30" i="3"/>
  <c r="N13" i="3"/>
  <c r="M23" i="1" s="1"/>
  <c r="M5" i="2"/>
  <c r="M6" i="2"/>
  <c r="K35" i="1"/>
  <c r="K36" i="1" s="1"/>
  <c r="M35" i="1" l="1"/>
  <c r="M36" i="1" s="1"/>
  <c r="M4" i="3"/>
  <c r="M3" i="2"/>
  <c r="N21" i="1"/>
  <c r="N5" i="2"/>
  <c r="N6" i="2"/>
  <c r="M15" i="1"/>
  <c r="M12" i="1" s="1"/>
  <c r="M21" i="1"/>
  <c r="M18" i="1" s="1"/>
  <c r="N10" i="3"/>
  <c r="O30" i="3"/>
  <c r="O19" i="3"/>
  <c r="O17" i="3" s="1"/>
  <c r="O9" i="3" s="1"/>
  <c r="N14" i="1" s="1"/>
  <c r="O13" i="3"/>
  <c r="N23" i="1" s="1"/>
  <c r="L4" i="3"/>
  <c r="L3" i="2"/>
  <c r="O26" i="3"/>
  <c r="N4" i="3" l="1"/>
  <c r="N3" i="2"/>
  <c r="O6" i="2"/>
  <c r="O5" i="2"/>
  <c r="N15" i="1"/>
  <c r="N12" i="1" s="1"/>
  <c r="O10" i="3"/>
  <c r="N18" i="1"/>
  <c r="N35" i="1"/>
  <c r="N36" i="1" s="1"/>
  <c r="O4" i="3" l="1"/>
  <c r="O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Черкашина Елена Владимировна</author>
  </authors>
  <commentList>
    <comment ref="B18" authorId="0" shapeId="0" xr:uid="{2E0B63C1-6ACF-4E41-BA34-0C7F3720F828}">
      <text>
        <r>
          <rPr>
            <b/>
            <sz val="9"/>
            <color indexed="81"/>
            <rFont val="Tahoma"/>
            <charset val="1"/>
          </rPr>
          <t>Черкашина Елена Владимировна:</t>
        </r>
        <r>
          <rPr>
            <sz val="9"/>
            <color indexed="81"/>
            <rFont val="Tahoma"/>
            <charset val="1"/>
          </rPr>
          <t xml:space="preserve">
поправить наименование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Булгакова Светлана Владимировна</author>
  </authors>
  <commentList>
    <comment ref="E10" authorId="0" shapeId="0" xr:uid="{69F45DF9-67C9-4677-80A0-793E71C9D793}">
      <text>
        <r>
          <rPr>
            <sz val="9"/>
            <color indexed="81"/>
            <rFont val="Tahoma"/>
            <family val="2"/>
            <charset val="204"/>
          </rPr>
          <t>стоимость человеко-часа</t>
        </r>
      </text>
    </comment>
  </commentList>
</comments>
</file>

<file path=xl/sharedStrings.xml><?xml version="1.0" encoding="utf-8"?>
<sst xmlns="http://schemas.openxmlformats.org/spreadsheetml/2006/main" count="330" uniqueCount="199">
  <si>
    <t>ячейки к заполнению поставщиком</t>
  </si>
  <si>
    <t>в действующих ценах</t>
  </si>
  <si>
    <t>Карьерный автосамосвал</t>
  </si>
  <si>
    <t>Марка, модель</t>
  </si>
  <si>
    <t>7531N</t>
  </si>
  <si>
    <t>Примечания</t>
  </si>
  <si>
    <t>Период</t>
  </si>
  <si>
    <t>Ед. изм.</t>
  </si>
  <si>
    <t>Габариты машины</t>
  </si>
  <si>
    <t>Эксплуатационная ширина (по зеркалам)</t>
  </si>
  <si>
    <t>мм</t>
  </si>
  <si>
    <t>Высота по переднему козырьку</t>
  </si>
  <si>
    <t>Габаритная длина</t>
  </si>
  <si>
    <t>Грузоподъемность</t>
  </si>
  <si>
    <t>тн</t>
  </si>
  <si>
    <t>Геометрические параметры кузова (конфигурация, размеры)</t>
  </si>
  <si>
    <r>
      <t>м</t>
    </r>
    <r>
      <rPr>
        <sz val="10"/>
        <rFont val="Calibri"/>
        <family val="2"/>
        <charset val="204"/>
      </rPr>
      <t>³</t>
    </r>
  </si>
  <si>
    <t>не более 2000 кг/куб.м</t>
  </si>
  <si>
    <t>Мощность двигателя</t>
  </si>
  <si>
    <t>л.с.</t>
  </si>
  <si>
    <t>КТГ (сервисный)</t>
  </si>
  <si>
    <t>при применении оборотных агрегатов</t>
  </si>
  <si>
    <t>простои на ТО</t>
  </si>
  <si>
    <t>час</t>
  </si>
  <si>
    <t>простои в ремонтах</t>
  </si>
  <si>
    <t>ежесменный осмотр (20 минут в смену силами водителя)</t>
  </si>
  <si>
    <t>Время подъема кузова с грузом</t>
  </si>
  <si>
    <t>сек</t>
  </si>
  <si>
    <t>Время опускания кузова</t>
  </si>
  <si>
    <t>ТО, ТР, ПР, сервис (включая смазочных), моточас работы</t>
  </si>
  <si>
    <t>тыс.долл/год</t>
  </si>
  <si>
    <t>ТО, включая смазочные</t>
  </si>
  <si>
    <t>тыс.дол./год</t>
  </si>
  <si>
    <t>текущие ремонты</t>
  </si>
  <si>
    <t>планово-предупредительные (капитальные) ремонты</t>
  </si>
  <si>
    <t>сервис (трудозатраты) - ТО</t>
  </si>
  <si>
    <t>сервис (трудозатраты) - ремонты</t>
  </si>
  <si>
    <t>Шины</t>
  </si>
  <si>
    <t>типоразмер</t>
  </si>
  <si>
    <t>46/90R57</t>
  </si>
  <si>
    <t>Цена за единицу</t>
  </si>
  <si>
    <t>$</t>
  </si>
  <si>
    <t>нет данных</t>
  </si>
  <si>
    <t>поставка без шин</t>
  </si>
  <si>
    <t>Топливо</t>
  </si>
  <si>
    <t>Расход - легкие условия</t>
  </si>
  <si>
    <t>л/час</t>
  </si>
  <si>
    <t>90,3-135,4</t>
  </si>
  <si>
    <t>Расход - средние условия</t>
  </si>
  <si>
    <t>135,4-180,6</t>
  </si>
  <si>
    <t>Расход - тяжелые условия</t>
  </si>
  <si>
    <t>180,6-225,7</t>
  </si>
  <si>
    <t>Сроки поставки</t>
  </si>
  <si>
    <t>мес</t>
  </si>
  <si>
    <t>ТО</t>
  </si>
  <si>
    <t>долл в час простоя ТО</t>
  </si>
  <si>
    <t>численность на ТО</t>
  </si>
  <si>
    <t>человека</t>
  </si>
  <si>
    <t>долл в час простоя сервис</t>
  </si>
  <si>
    <t>численность на ремонт</t>
  </si>
  <si>
    <t>стоимость ч/час ТО</t>
  </si>
  <si>
    <t>с транспортными?</t>
  </si>
  <si>
    <t>стоимость ч/час ремонт</t>
  </si>
  <si>
    <t>* все стоимости указаны без НДС</t>
  </si>
  <si>
    <t>**  эксплуатации машин на плече не более 5 км</t>
  </si>
  <si>
    <t>Расчетный КТГ</t>
  </si>
  <si>
    <t>Год службы (год)</t>
  </si>
  <si>
    <t>Наработка на начало года</t>
  </si>
  <si>
    <t>м/час</t>
  </si>
  <si>
    <t>Наработка на конец года</t>
  </si>
  <si>
    <t>длительность простоев на ТО</t>
  </si>
  <si>
    <t>часов</t>
  </si>
  <si>
    <t>Затраты на ТО</t>
  </si>
  <si>
    <t>долларов/год</t>
  </si>
  <si>
    <t>ТО, включая масла и смазки</t>
  </si>
  <si>
    <t>сервис (трудозатраты) на ТО</t>
  </si>
  <si>
    <t>Простои оборудования на ТО</t>
  </si>
  <si>
    <t>Интервал ТО</t>
  </si>
  <si>
    <t>Длительность простоя на одном ТО, час</t>
  </si>
  <si>
    <t>Кол-во ТО в год</t>
  </si>
  <si>
    <t>Занято человек</t>
  </si>
  <si>
    <t>Простоев в год, час</t>
  </si>
  <si>
    <t>всего простоев на ТО, часов</t>
  </si>
  <si>
    <t>простой</t>
  </si>
  <si>
    <t>Н/ч</t>
  </si>
  <si>
    <t>ТО-100 (один раз после обкатки)</t>
  </si>
  <si>
    <t>ТО-1</t>
  </si>
  <si>
    <t>ТО-2</t>
  </si>
  <si>
    <t>ТО-3</t>
  </si>
  <si>
    <t>ТО-каждые 2500 м/ч</t>
  </si>
  <si>
    <t>ТО-каждые 4000 м/ч</t>
  </si>
  <si>
    <t>ТО-каждые 5000 м/ч</t>
  </si>
  <si>
    <t>СО</t>
  </si>
  <si>
    <t>Каталожный номер</t>
  </si>
  <si>
    <t>стоимость за ед., $</t>
  </si>
  <si>
    <t>Кол-во</t>
  </si>
  <si>
    <t>ТО-100</t>
  </si>
  <si>
    <t xml:space="preserve">Масло моторное </t>
  </si>
  <si>
    <t>BELAZG-ProfiMining15W-40</t>
  </si>
  <si>
    <t>Заменить центробежный масляный фильтр ДВС</t>
  </si>
  <si>
    <t>Заменить фильтр масляный полнопоточный ДВС</t>
  </si>
  <si>
    <t>Заменить фильтр топливный грубой очистки ДВС</t>
  </si>
  <si>
    <t>1008088044(1000104480)</t>
  </si>
  <si>
    <t>Заменить фильтр топливный тонкой очистки ДВС</t>
  </si>
  <si>
    <t>1008088046(1000104483)</t>
  </si>
  <si>
    <t>Заменить масло в РМК</t>
  </si>
  <si>
    <t>BELAZ G-Profi TRANS Plus 680</t>
  </si>
  <si>
    <t xml:space="preserve"> добавить смазку в манжеты картера редуктора РМК (100 г в каждую масленку)</t>
  </si>
  <si>
    <t>BELAZ G-Profi Grease MP EP 2 / CLS</t>
  </si>
  <si>
    <t>Произвести замену масла объединенной гидравлической системы</t>
  </si>
  <si>
    <t>BELAZG-ProfiHydraulicHVLP46/32</t>
  </si>
  <si>
    <t>Заменить фильтрующий элемент гидробака</t>
  </si>
  <si>
    <t>EE500600/М5409МК</t>
  </si>
  <si>
    <t>Заменить фильтрующий элемент напорной линии насоса</t>
  </si>
  <si>
    <t>EE502300 (М5402МК)</t>
  </si>
  <si>
    <t>Заменить основной фильтрующий элемент воздушного фильтра</t>
  </si>
  <si>
    <t>ЕЕ100300 (В4305МК)</t>
  </si>
  <si>
    <t>Заменить предохранительный фильтрующий элемент воздушного фильтра</t>
  </si>
  <si>
    <t>ЕЕ100301 (В4305MK-01)</t>
  </si>
  <si>
    <t>Пополнить смазку подшипников (50г в каждый подшипник)</t>
  </si>
  <si>
    <t xml:space="preserve">SKF LGHP </t>
  </si>
  <si>
    <t>Заполнить бачек централизованной системы смазки</t>
  </si>
  <si>
    <t>Смазать подшипники эл. двигателя вентилятора охлаждения тормозной установки УВТР</t>
  </si>
  <si>
    <t>Смазать подшипники ступиц колес передней оси</t>
  </si>
  <si>
    <t>Заменить фильтрующие элементы сапунов бака объединенной гидросистемы</t>
  </si>
  <si>
    <t>EE100310 (4347МК)</t>
  </si>
  <si>
    <t>Заменить фильтрующий элемент в масляном баке гидросистемы</t>
  </si>
  <si>
    <t>EE500600</t>
  </si>
  <si>
    <t>Заменить фильтрующий элемент в напорной линии насоса</t>
  </si>
  <si>
    <t>Провести замену фильтрующих элементов воздухозаборника кабины</t>
  </si>
  <si>
    <t>ЕЕ 148200 (В4701МК)</t>
  </si>
  <si>
    <t>Заменить фильтрующие элементы сапунов редукторов электромотор-колес</t>
  </si>
  <si>
    <t>Заменить ремень привода зарядного генератора</t>
  </si>
  <si>
    <t>612600062561.</t>
  </si>
  <si>
    <t>Заменить ремень компрессора кондиционера</t>
  </si>
  <si>
    <t>Заменить ремень муфты вентилятора</t>
  </si>
  <si>
    <t>Заменить масло в РМК (2 х 105 л)</t>
  </si>
  <si>
    <t>Замена охлаждающей жидкости, очистка радиатора системы охлаждения двигателя</t>
  </si>
  <si>
    <t>BELAZG-PROFIANTIFREEZEGREEN40</t>
  </si>
  <si>
    <t>Ед.изм.</t>
  </si>
  <si>
    <t>1 год</t>
  </si>
  <si>
    <t>2 год</t>
  </si>
  <si>
    <t>3 год</t>
  </si>
  <si>
    <t>4 год</t>
  </si>
  <si>
    <t>5 год</t>
  </si>
  <si>
    <t>6 год</t>
  </si>
  <si>
    <t>7 год</t>
  </si>
  <si>
    <t>8 год</t>
  </si>
  <si>
    <t>9 год</t>
  </si>
  <si>
    <t>10 год</t>
  </si>
  <si>
    <t>Простои в ремонтах</t>
  </si>
  <si>
    <t>Затраты на ТО и ремонты</t>
  </si>
  <si>
    <t>$/год</t>
  </si>
  <si>
    <t>сервис (трудозатраты)</t>
  </si>
  <si>
    <t>Простои в ремонте (час)</t>
  </si>
  <si>
    <t>Вид ремонта</t>
  </si>
  <si>
    <t>Всего простоев</t>
  </si>
  <si>
    <t>Аварийные ремонты</t>
  </si>
  <si>
    <t>ТР ДВС (10000 м/ч)</t>
  </si>
  <si>
    <t>БЕЛАЗ 7531N ТР-1 (6000 м/ч)</t>
  </si>
  <si>
    <t>БЕЛАЗ 7531N ТР-2 (12 000 м/ч)</t>
  </si>
  <si>
    <t>Двигатель кап.ремонт (25 000 м/ч)</t>
  </si>
  <si>
    <t xml:space="preserve">Двигатель кап.ремонт (замена) </t>
  </si>
  <si>
    <t>Тяговый генератор</t>
  </si>
  <si>
    <t>Тяговый мотор</t>
  </si>
  <si>
    <t>Прочие ПР (КР)</t>
  </si>
  <si>
    <t>Трудозатраты на ремонты (ч/час)</t>
  </si>
  <si>
    <t>Ресурс до замены / ремонта, м/ч</t>
  </si>
  <si>
    <t>Стоимость ч/часа</t>
  </si>
  <si>
    <t>Всего ч/часов*</t>
  </si>
  <si>
    <t>ч/часов</t>
  </si>
  <si>
    <t>РМК</t>
  </si>
  <si>
    <t>п.цилиндр. подвески</t>
  </si>
  <si>
    <t>з.цилиндр. подвески</t>
  </si>
  <si>
    <t>Передняя ось</t>
  </si>
  <si>
    <t>Рулевое управление</t>
  </si>
  <si>
    <t>ЦОМ</t>
  </si>
  <si>
    <t>Кулак поворотный со ступицей</t>
  </si>
  <si>
    <t>Корпус тормоза</t>
  </si>
  <si>
    <t>Радиатор</t>
  </si>
  <si>
    <t>Основной насос</t>
  </si>
  <si>
    <t>Автомат разгрузки насоса</t>
  </si>
  <si>
    <t>Пневмогидроаккумулятор</t>
  </si>
  <si>
    <t>Обод</t>
  </si>
  <si>
    <t>ШПСУ (30 000 м/ч)</t>
  </si>
  <si>
    <t>УВТР</t>
  </si>
  <si>
    <t>*- демонтажно-монтажные работы, без цехового ремонта</t>
  </si>
  <si>
    <t>Затраты на ремонты ($)</t>
  </si>
  <si>
    <t>Детализация затрат</t>
  </si>
  <si>
    <t>Стоимость за ед., $</t>
  </si>
  <si>
    <t>Кол-во МТР</t>
  </si>
  <si>
    <t>Текущие ремонты
(если планируются)</t>
  </si>
  <si>
    <t>Стоимость  за ед., $</t>
  </si>
  <si>
    <t>ДВС</t>
  </si>
  <si>
    <t>Силовая передача</t>
  </si>
  <si>
    <t>Гидравлика</t>
  </si>
  <si>
    <t>Шасси</t>
  </si>
  <si>
    <t>Другое</t>
  </si>
  <si>
    <t>*** без учета шин и топлива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</si>
</sst>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#0;[Red]\-#,##0;\-"/>
    <numFmt numFmtId="165" formatCode="0_ ;[Red]\-0\ "/>
    <numFmt numFmtId="166" formatCode="_-* #,##0.00_р_._-;\-* #,##0.00_р_._-;_-* &quot;-&quot;??_р_._-;_-@_-"/>
    <numFmt numFmtId="167" formatCode="_-* #,##0_р_._-;\-* #,##0_р_._-;_-* &quot;-&quot;??_р_._-;_-@_-"/>
    <numFmt numFmtId="168" formatCode="#,##0_ ;[Red]\-#,##0\ "/>
    <numFmt numFmtId="169" formatCode="[$$-409]#,##0"/>
    <numFmt numFmtId="170" formatCode="0.0"/>
    <numFmt numFmtId="171" formatCode="#,##0.0"/>
    <numFmt numFmtId="172" formatCode="_-* #,##0_-;\-* #,##0_-;_-* &quot;-&quot;??_-;_-@_-"/>
    <numFmt numFmtId="173" formatCode="[$$-409]#,##0.00"/>
    <numFmt numFmtId="174" formatCode="_-* #,##0.00\ _₽_-;\-* #,##0.00\ _₽_-;_-* &quot;-&quot;??\ _₽_-;_-@_-"/>
  </numFmts>
  <fonts count="19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"/>
      <family val="2"/>
      <charset val="204"/>
    </font>
    <font>
      <i/>
      <sz val="10"/>
      <color indexed="12"/>
      <name val="Arial"/>
      <family val="2"/>
      <charset val="204"/>
    </font>
    <font>
      <b/>
      <u/>
      <sz val="12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sz val="10"/>
      <name val="Calibri"/>
      <family val="2"/>
      <charset val="204"/>
    </font>
    <font>
      <b/>
      <sz val="9"/>
      <color indexed="81"/>
      <name val="Tahoma"/>
      <charset val="1"/>
    </font>
    <font>
      <sz val="9"/>
      <color indexed="81"/>
      <name val="Tahoma"/>
      <charset val="1"/>
    </font>
    <font>
      <i/>
      <sz val="10"/>
      <name val="Arial"/>
      <family val="2"/>
      <charset val="204"/>
    </font>
    <font>
      <b/>
      <sz val="9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indexed="81"/>
      <name val="Tahoma"/>
      <family val="2"/>
      <charset val="204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0" fontId="8" fillId="0" borderId="0"/>
    <xf numFmtId="0" fontId="3" fillId="0" borderId="0"/>
    <xf numFmtId="0" fontId="2" fillId="0" borderId="0"/>
    <xf numFmtId="0" fontId="3" fillId="0" borderId="0"/>
  </cellStyleXfs>
  <cellXfs count="221">
    <xf numFmtId="0" fontId="0" fillId="0" borderId="0" xfId="0"/>
    <xf numFmtId="0" fontId="3" fillId="0" borderId="0" xfId="1" applyFont="1" applyAlignment="1">
      <alignment vertical="center"/>
    </xf>
    <xf numFmtId="0" fontId="0" fillId="2" borderId="0" xfId="0" applyFill="1" applyAlignment="1">
      <alignment horizontal="left"/>
    </xf>
    <xf numFmtId="0" fontId="3" fillId="0" borderId="0" xfId="1" applyFont="1" applyAlignment="1">
      <alignment horizontal="center" vertical="center"/>
    </xf>
    <xf numFmtId="164" fontId="3" fillId="0" borderId="0" xfId="1" applyNumberFormat="1" applyFont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0" fontId="6" fillId="2" borderId="0" xfId="1" applyFont="1" applyFill="1" applyAlignment="1">
      <alignment horizontal="center" vertical="center"/>
    </xf>
    <xf numFmtId="165" fontId="7" fillId="0" borderId="0" xfId="1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0" fontId="6" fillId="0" borderId="1" xfId="1" applyFont="1" applyBorder="1" applyAlignment="1">
      <alignment horizontal="center" vertical="center" wrapText="1"/>
    </xf>
    <xf numFmtId="2" fontId="3" fillId="0" borderId="1" xfId="1" applyNumberFormat="1" applyFont="1" applyBorder="1" applyAlignment="1">
      <alignment horizontal="left" vertical="center" wrapText="1"/>
    </xf>
    <xf numFmtId="167" fontId="6" fillId="0" borderId="0" xfId="2" applyNumberFormat="1" applyFont="1" applyFill="1" applyAlignment="1">
      <alignment vertical="center"/>
    </xf>
    <xf numFmtId="0" fontId="6" fillId="0" borderId="0" xfId="1" applyFont="1" applyAlignment="1">
      <alignment vertical="center"/>
    </xf>
    <xf numFmtId="1" fontId="3" fillId="0" borderId="1" xfId="3" applyNumberFormat="1" applyFont="1" applyBorder="1" applyAlignment="1">
      <alignment horizontal="right" wrapText="1"/>
    </xf>
    <xf numFmtId="0" fontId="3" fillId="0" borderId="1" xfId="3" applyFont="1" applyBorder="1" applyAlignment="1">
      <alignment horizontal="center" wrapText="1"/>
    </xf>
    <xf numFmtId="0" fontId="6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167" fontId="3" fillId="0" borderId="0" xfId="2" applyNumberFormat="1" applyFont="1" applyFill="1" applyAlignment="1">
      <alignment vertical="center"/>
    </xf>
    <xf numFmtId="4" fontId="6" fillId="0" borderId="1" xfId="1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right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" fontId="3" fillId="0" borderId="1" xfId="1" applyNumberFormat="1" applyFont="1" applyBorder="1" applyAlignment="1">
      <alignment horizontal="center" vertical="center" wrapText="1"/>
    </xf>
    <xf numFmtId="1" fontId="3" fillId="0" borderId="1" xfId="4" applyNumberFormat="1" applyBorder="1" applyAlignment="1">
      <alignment horizontal="center" vertical="center" wrapText="1"/>
    </xf>
    <xf numFmtId="168" fontId="6" fillId="0" borderId="1" xfId="1" applyNumberFormat="1" applyFont="1" applyBorder="1" applyAlignment="1">
      <alignment horizontal="center" vertical="center" wrapText="1"/>
    </xf>
    <xf numFmtId="168" fontId="3" fillId="0" borderId="0" xfId="1" applyNumberFormat="1" applyFont="1" applyAlignment="1">
      <alignment vertical="center"/>
    </xf>
    <xf numFmtId="4" fontId="3" fillId="0" borderId="0" xfId="1" applyNumberFormat="1" applyFont="1" applyAlignment="1">
      <alignment vertical="center"/>
    </xf>
    <xf numFmtId="164" fontId="3" fillId="0" borderId="1" xfId="1" applyNumberFormat="1" applyFont="1" applyBorder="1" applyAlignment="1">
      <alignment horizontal="center" vertical="center" wrapText="1"/>
    </xf>
    <xf numFmtId="1" fontId="6" fillId="0" borderId="1" xfId="4" applyNumberFormat="1" applyFont="1" applyBorder="1" applyAlignment="1">
      <alignment horizontal="left" vertical="center" wrapText="1"/>
    </xf>
    <xf numFmtId="3" fontId="3" fillId="0" borderId="1" xfId="1" applyNumberFormat="1" applyFont="1" applyBorder="1" applyAlignment="1">
      <alignment horizontal="center" vertical="center"/>
    </xf>
    <xf numFmtId="1" fontId="3" fillId="0" borderId="1" xfId="4" applyNumberFormat="1" applyBorder="1" applyAlignment="1">
      <alignment horizontal="right" vertical="center" wrapText="1"/>
    </xf>
    <xf numFmtId="0" fontId="0" fillId="2" borderId="1" xfId="0" applyFill="1" applyBorder="1" applyAlignment="1">
      <alignment horizontal="center"/>
    </xf>
    <xf numFmtId="3" fontId="3" fillId="0" borderId="1" xfId="5" applyNumberFormat="1" applyFont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164" fontId="3" fillId="0" borderId="1" xfId="1" applyNumberFormat="1" applyFont="1" applyBorder="1" applyAlignment="1">
      <alignment horizontal="center" vertical="center"/>
    </xf>
    <xf numFmtId="1" fontId="3" fillId="2" borderId="1" xfId="4" applyNumberForma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0" borderId="1" xfId="1" applyFont="1" applyBorder="1" applyAlignment="1">
      <alignment vertical="center"/>
    </xf>
    <xf numFmtId="0" fontId="3" fillId="0" borderId="0" xfId="1" applyFont="1" applyAlignment="1">
      <alignment vertical="center" wrapText="1"/>
    </xf>
    <xf numFmtId="164" fontId="3" fillId="4" borderId="0" xfId="1" applyNumberFormat="1" applyFont="1" applyFill="1" applyAlignment="1">
      <alignment horizontal="center" vertical="center"/>
    </xf>
    <xf numFmtId="164" fontId="3" fillId="0" borderId="0" xfId="1" applyNumberFormat="1" applyFont="1" applyAlignment="1">
      <alignment horizontal="left" vertical="center"/>
    </xf>
    <xf numFmtId="0" fontId="1" fillId="0" borderId="0" xfId="0" applyFont="1"/>
    <xf numFmtId="0" fontId="1" fillId="0" borderId="0" xfId="0" applyFont="1" applyAlignment="1">
      <alignment horizontal="center"/>
    </xf>
    <xf numFmtId="4" fontId="0" fillId="0" borderId="0" xfId="0" applyNumberFormat="1" applyAlignment="1">
      <alignment horizontal="center"/>
    </xf>
    <xf numFmtId="0" fontId="1" fillId="5" borderId="2" xfId="0" applyFont="1" applyFill="1" applyBorder="1"/>
    <xf numFmtId="0" fontId="6" fillId="5" borderId="3" xfId="1" applyFont="1" applyFill="1" applyBorder="1" applyAlignment="1">
      <alignment horizontal="center" vertical="center" wrapText="1"/>
    </xf>
    <xf numFmtId="0" fontId="0" fillId="5" borderId="4" xfId="0" applyFill="1" applyBorder="1"/>
    <xf numFmtId="0" fontId="0" fillId="5" borderId="5" xfId="0" applyFill="1" applyBorder="1"/>
    <xf numFmtId="0" fontId="0" fillId="5" borderId="6" xfId="0" applyFill="1" applyBorder="1" applyAlignment="1">
      <alignment horizontal="center"/>
    </xf>
    <xf numFmtId="0" fontId="6" fillId="5" borderId="4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0" fillId="0" borderId="7" xfId="0" applyBorder="1"/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center"/>
    </xf>
    <xf numFmtId="0" fontId="0" fillId="0" borderId="1" xfId="0" applyBorder="1"/>
    <xf numFmtId="0" fontId="0" fillId="0" borderId="14" xfId="0" applyBorder="1"/>
    <xf numFmtId="3" fontId="3" fillId="0" borderId="15" xfId="1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0" fontId="3" fillId="0" borderId="12" xfId="1" applyFont="1" applyBorder="1" applyAlignment="1">
      <alignment horizontal="right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3" fontId="3" fillId="0" borderId="0" xfId="1" applyNumberFormat="1" applyFont="1" applyAlignment="1">
      <alignment horizontal="center" vertical="center" wrapText="1"/>
    </xf>
    <xf numFmtId="0" fontId="6" fillId="0" borderId="12" xfId="1" applyFont="1" applyBorder="1" applyAlignment="1">
      <alignment vertical="center" wrapText="1"/>
    </xf>
    <xf numFmtId="1" fontId="3" fillId="0" borderId="13" xfId="4" applyNumberFormat="1" applyBorder="1" applyAlignment="1">
      <alignment horizontal="center" vertical="center" wrapText="1"/>
    </xf>
    <xf numFmtId="3" fontId="6" fillId="0" borderId="1" xfId="1" applyNumberFormat="1" applyFont="1" applyBorder="1" applyAlignment="1">
      <alignment horizontal="center" vertical="center" wrapText="1"/>
    </xf>
    <xf numFmtId="3" fontId="6" fillId="0" borderId="0" xfId="1" applyNumberFormat="1" applyFont="1" applyAlignment="1">
      <alignment horizontal="center" vertical="center" wrapText="1"/>
    </xf>
    <xf numFmtId="0" fontId="12" fillId="0" borderId="12" xfId="1" applyFont="1" applyBorder="1" applyAlignment="1">
      <alignment horizontal="right" vertical="center" wrapText="1"/>
    </xf>
    <xf numFmtId="1" fontId="12" fillId="0" borderId="13" xfId="4" applyNumberFormat="1" applyFont="1" applyBorder="1" applyAlignment="1">
      <alignment horizontal="center" vertical="center" wrapText="1"/>
    </xf>
    <xf numFmtId="1" fontId="12" fillId="0" borderId="1" xfId="4" applyNumberFormat="1" applyFont="1" applyBorder="1" applyAlignment="1">
      <alignment horizontal="center" vertical="center" wrapText="1"/>
    </xf>
    <xf numFmtId="1" fontId="3" fillId="0" borderId="14" xfId="4" applyNumberFormat="1" applyBorder="1" applyAlignment="1">
      <alignment horizontal="center" vertical="center" wrapText="1"/>
    </xf>
    <xf numFmtId="1" fontId="3" fillId="0" borderId="15" xfId="4" applyNumberFormat="1" applyBorder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12" fillId="0" borderId="16" xfId="1" applyFont="1" applyBorder="1" applyAlignment="1">
      <alignment horizontal="right" vertical="center" wrapText="1"/>
    </xf>
    <xf numFmtId="1" fontId="12" fillId="0" borderId="17" xfId="4" applyNumberFormat="1" applyFont="1" applyBorder="1" applyAlignment="1">
      <alignment horizontal="center" vertical="center" wrapText="1"/>
    </xf>
    <xf numFmtId="1" fontId="12" fillId="0" borderId="18" xfId="4" applyNumberFormat="1" applyFont="1" applyBorder="1" applyAlignment="1">
      <alignment horizontal="center" vertical="center" wrapText="1"/>
    </xf>
    <xf numFmtId="1" fontId="3" fillId="0" borderId="19" xfId="4" applyNumberFormat="1" applyBorder="1" applyAlignment="1">
      <alignment horizontal="center" vertical="center" wrapText="1"/>
    </xf>
    <xf numFmtId="169" fontId="3" fillId="2" borderId="20" xfId="4" applyNumberFormat="1" applyFill="1" applyBorder="1" applyAlignment="1">
      <alignment horizontal="center" vertical="center" wrapText="1"/>
    </xf>
    <xf numFmtId="164" fontId="3" fillId="0" borderId="18" xfId="1" applyNumberFormat="1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5" borderId="23" xfId="1" applyFont="1" applyFill="1" applyBorder="1" applyAlignment="1">
      <alignment horizontal="center" vertical="center" wrapText="1"/>
    </xf>
    <xf numFmtId="1" fontId="13" fillId="5" borderId="24" xfId="4" applyNumberFormat="1" applyFont="1" applyFill="1" applyBorder="1" applyAlignment="1">
      <alignment horizontal="center" vertical="center" wrapText="1"/>
    </xf>
    <xf numFmtId="1" fontId="13" fillId="5" borderId="25" xfId="4" applyNumberFormat="1" applyFont="1" applyFill="1" applyBorder="1" applyAlignment="1">
      <alignment horizontal="center" vertical="center" wrapText="1"/>
    </xf>
    <xf numFmtId="1" fontId="13" fillId="5" borderId="26" xfId="4" applyNumberFormat="1" applyFont="1" applyFill="1" applyBorder="1" applyAlignment="1">
      <alignment horizontal="center" vertical="center" wrapText="1"/>
    </xf>
    <xf numFmtId="1" fontId="13" fillId="5" borderId="27" xfId="4" applyNumberFormat="1" applyFont="1" applyFill="1" applyBorder="1" applyAlignment="1">
      <alignment horizontal="center" vertical="center" wrapText="1"/>
    </xf>
    <xf numFmtId="0" fontId="13" fillId="5" borderId="28" xfId="1" applyFont="1" applyFill="1" applyBorder="1" applyAlignment="1">
      <alignment horizontal="center" vertical="center" wrapText="1"/>
    </xf>
    <xf numFmtId="0" fontId="13" fillId="0" borderId="0" xfId="1" applyFont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1" fontId="6" fillId="0" borderId="13" xfId="4" applyNumberFormat="1" applyFont="1" applyBorder="1" applyAlignment="1">
      <alignment horizontal="center" vertical="center" wrapText="1"/>
    </xf>
    <xf numFmtId="1" fontId="6" fillId="0" borderId="29" xfId="4" applyNumberFormat="1" applyFont="1" applyBorder="1" applyAlignment="1">
      <alignment horizontal="center" vertical="center" wrapText="1"/>
    </xf>
    <xf numFmtId="1" fontId="6" fillId="0" borderId="30" xfId="4" applyNumberFormat="1" applyFont="1" applyBorder="1" applyAlignment="1">
      <alignment horizontal="center" vertical="center" wrapText="1"/>
    </xf>
    <xf numFmtId="0" fontId="0" fillId="0" borderId="31" xfId="0" applyBorder="1"/>
    <xf numFmtId="1" fontId="6" fillId="0" borderId="29" xfId="1" applyNumberFormat="1" applyFont="1" applyBorder="1" applyAlignment="1">
      <alignment horizontal="center" vertical="center" wrapText="1"/>
    </xf>
    <xf numFmtId="1" fontId="6" fillId="0" borderId="0" xfId="1" applyNumberFormat="1" applyFont="1" applyAlignment="1">
      <alignment horizontal="center" vertical="center" wrapText="1"/>
    </xf>
    <xf numFmtId="0" fontId="3" fillId="2" borderId="12" xfId="1" applyFont="1" applyFill="1" applyBorder="1" applyAlignment="1">
      <alignment horizontal="right" vertical="center" wrapText="1"/>
    </xf>
    <xf numFmtId="3" fontId="0" fillId="2" borderId="13" xfId="0" applyNumberFormat="1" applyFill="1" applyBorder="1"/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70" fontId="0" fillId="2" borderId="1" xfId="0" applyNumberFormat="1" applyFill="1" applyBorder="1" applyAlignment="1">
      <alignment horizontal="center"/>
    </xf>
    <xf numFmtId="170" fontId="0" fillId="0" borderId="0" xfId="0" applyNumberFormat="1" applyAlignment="1">
      <alignment horizontal="center"/>
    </xf>
    <xf numFmtId="0" fontId="3" fillId="2" borderId="32" xfId="1" applyFont="1" applyFill="1" applyBorder="1" applyAlignment="1">
      <alignment horizontal="right" vertical="center" wrapText="1"/>
    </xf>
    <xf numFmtId="3" fontId="0" fillId="2" borderId="33" xfId="0" applyNumberFormat="1" applyFill="1" applyBorder="1"/>
    <xf numFmtId="0" fontId="0" fillId="2" borderId="30" xfId="0" applyFill="1" applyBorder="1" applyAlignment="1">
      <alignment horizontal="center"/>
    </xf>
    <xf numFmtId="170" fontId="0" fillId="2" borderId="29" xfId="0" applyNumberFormat="1" applyFill="1" applyBorder="1" applyAlignment="1">
      <alignment horizontal="center"/>
    </xf>
    <xf numFmtId="2" fontId="0" fillId="2" borderId="30" xfId="0" applyNumberFormat="1" applyFill="1" applyBorder="1" applyAlignment="1">
      <alignment horizontal="center"/>
    </xf>
    <xf numFmtId="0" fontId="3" fillId="2" borderId="16" xfId="1" applyFont="1" applyFill="1" applyBorder="1" applyAlignment="1">
      <alignment horizontal="right" vertical="center" wrapText="1"/>
    </xf>
    <xf numFmtId="3" fontId="0" fillId="2" borderId="17" xfId="0" applyNumberFormat="1" applyFill="1" applyBorder="1"/>
    <xf numFmtId="170" fontId="0" fillId="2" borderId="19" xfId="0" applyNumberForma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170" fontId="0" fillId="2" borderId="18" xfId="0" applyNumberFormat="1" applyFill="1" applyBorder="1" applyAlignment="1">
      <alignment horizontal="center"/>
    </xf>
    <xf numFmtId="0" fontId="6" fillId="5" borderId="23" xfId="1" applyFont="1" applyFill="1" applyBorder="1" applyAlignment="1">
      <alignment horizontal="center" vertical="center" wrapText="1"/>
    </xf>
    <xf numFmtId="0" fontId="6" fillId="5" borderId="24" xfId="1" applyFont="1" applyFill="1" applyBorder="1" applyAlignment="1">
      <alignment horizontal="center" vertical="center" wrapText="1"/>
    </xf>
    <xf numFmtId="0" fontId="6" fillId="5" borderId="25" xfId="1" applyFont="1" applyFill="1" applyBorder="1" applyAlignment="1">
      <alignment horizontal="center" vertical="center" wrapText="1"/>
    </xf>
    <xf numFmtId="0" fontId="6" fillId="5" borderId="26" xfId="1" applyFont="1" applyFill="1" applyBorder="1" applyAlignment="1">
      <alignment horizontal="center" vertical="center" wrapText="1"/>
    </xf>
    <xf numFmtId="0" fontId="6" fillId="5" borderId="27" xfId="1" applyFont="1" applyFill="1" applyBorder="1" applyAlignment="1">
      <alignment horizontal="center" vertical="center" wrapText="1"/>
    </xf>
    <xf numFmtId="0" fontId="1" fillId="5" borderId="2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34" xfId="1" applyFont="1" applyBorder="1" applyAlignment="1">
      <alignment horizontal="center" vertical="center" wrapText="1"/>
    </xf>
    <xf numFmtId="0" fontId="6" fillId="0" borderId="35" xfId="1" applyFont="1" applyBorder="1" applyAlignment="1">
      <alignment horizontal="center" vertical="center" wrapText="1"/>
    </xf>
    <xf numFmtId="4" fontId="6" fillId="0" borderId="0" xfId="1" applyNumberFormat="1" applyFont="1" applyAlignment="1">
      <alignment horizontal="center" vertical="center" wrapText="1"/>
    </xf>
    <xf numFmtId="0" fontId="6" fillId="0" borderId="36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6" borderId="12" xfId="0" applyFont="1" applyFill="1" applyBorder="1" applyAlignment="1">
      <alignment horizontal="left" indent="2"/>
    </xf>
    <xf numFmtId="0" fontId="1" fillId="6" borderId="13" xfId="0" applyFont="1" applyFill="1" applyBorder="1" applyAlignment="1">
      <alignment horizontal="left" indent="2"/>
    </xf>
    <xf numFmtId="4" fontId="6" fillId="6" borderId="1" xfId="1" applyNumberFormat="1" applyFont="1" applyFill="1" applyBorder="1" applyAlignment="1">
      <alignment horizontal="center" vertical="center" wrapText="1"/>
    </xf>
    <xf numFmtId="3" fontId="6" fillId="6" borderId="37" xfId="1" applyNumberFormat="1" applyFont="1" applyFill="1" applyBorder="1" applyAlignment="1">
      <alignment horizontal="center" vertical="center" wrapText="1"/>
    </xf>
    <xf numFmtId="171" fontId="3" fillId="6" borderId="1" xfId="1" applyNumberFormat="1" applyFont="1" applyFill="1" applyBorder="1" applyAlignment="1">
      <alignment horizontal="center" vertical="center" wrapText="1"/>
    </xf>
    <xf numFmtId="3" fontId="0" fillId="6" borderId="1" xfId="0" applyNumberFormat="1" applyFill="1" applyBorder="1"/>
    <xf numFmtId="3" fontId="0" fillId="0" borderId="0" xfId="0" applyNumberFormat="1"/>
    <xf numFmtId="0" fontId="0" fillId="0" borderId="12" xfId="0" applyBorder="1" applyAlignment="1">
      <alignment horizontal="right" wrapText="1" indent="2"/>
    </xf>
    <xf numFmtId="0" fontId="0" fillId="2" borderId="13" xfId="0" applyFill="1" applyBorder="1" applyAlignment="1">
      <alignment horizontal="center"/>
    </xf>
    <xf numFmtId="4" fontId="3" fillId="5" borderId="1" xfId="1" applyNumberFormat="1" applyFont="1" applyFill="1" applyBorder="1" applyAlignment="1">
      <alignment horizontal="center" vertical="center" wrapText="1"/>
    </xf>
    <xf numFmtId="3" fontId="3" fillId="5" borderId="37" xfId="1" applyNumberFormat="1" applyFont="1" applyFill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172" fontId="0" fillId="0" borderId="1" xfId="0" applyNumberFormat="1" applyBorder="1"/>
    <xf numFmtId="172" fontId="0" fillId="0" borderId="0" xfId="0" applyNumberFormat="1"/>
    <xf numFmtId="4" fontId="3" fillId="5" borderId="37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4" fillId="2" borderId="1" xfId="0" applyFont="1" applyFill="1" applyBorder="1" applyAlignment="1">
      <alignment horizontal="center" vertical="center" wrapText="1"/>
    </xf>
    <xf numFmtId="3" fontId="3" fillId="0" borderId="37" xfId="1" applyNumberFormat="1" applyFont="1" applyBorder="1" applyAlignment="1">
      <alignment horizontal="center" vertical="center" wrapText="1"/>
    </xf>
    <xf numFmtId="0" fontId="15" fillId="0" borderId="37" xfId="6" applyFont="1" applyBorder="1" applyAlignment="1">
      <alignment horizontal="left" vertical="top" wrapText="1"/>
    </xf>
    <xf numFmtId="0" fontId="0" fillId="0" borderId="12" xfId="0" applyBorder="1" applyAlignment="1">
      <alignment horizontal="left" indent="2"/>
    </xf>
    <xf numFmtId="0" fontId="0" fillId="0" borderId="1" xfId="0" applyBorder="1" applyAlignment="1">
      <alignment horizontal="left" vertical="center" wrapText="1"/>
    </xf>
    <xf numFmtId="0" fontId="0" fillId="7" borderId="1" xfId="0" applyFill="1" applyBorder="1" applyAlignment="1">
      <alignment horizontal="left" vertical="center" wrapText="1"/>
    </xf>
    <xf numFmtId="0" fontId="0" fillId="0" borderId="29" xfId="0" applyBorder="1" applyAlignment="1">
      <alignment vertical="center" wrapText="1"/>
    </xf>
    <xf numFmtId="4" fontId="6" fillId="6" borderId="37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29" xfId="0" applyBorder="1" applyAlignment="1">
      <alignment horizontal="left" vertical="center" wrapText="1"/>
    </xf>
    <xf numFmtId="0" fontId="0" fillId="0" borderId="38" xfId="0" applyBorder="1" applyAlignment="1">
      <alignment horizontal="left" vertical="center" wrapText="1"/>
    </xf>
    <xf numFmtId="3" fontId="0" fillId="0" borderId="1" xfId="0" applyNumberFormat="1" applyBorder="1"/>
    <xf numFmtId="0" fontId="0" fillId="7" borderId="1" xfId="0" applyFill="1" applyBorder="1" applyAlignment="1">
      <alignment vertical="center" wrapText="1"/>
    </xf>
    <xf numFmtId="0" fontId="0" fillId="2" borderId="0" xfId="0" applyFill="1" applyAlignment="1">
      <alignment horizontal="center"/>
    </xf>
    <xf numFmtId="0" fontId="1" fillId="5" borderId="24" xfId="0" applyFont="1" applyFill="1" applyBorder="1" applyAlignment="1">
      <alignment horizontal="center" vertical="center"/>
    </xf>
    <xf numFmtId="0" fontId="17" fillId="5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3" xfId="0" applyBorder="1"/>
    <xf numFmtId="0" fontId="0" fillId="0" borderId="1" xfId="0" applyBorder="1" applyAlignment="1">
      <alignment horizontal="center"/>
    </xf>
    <xf numFmtId="3" fontId="0" fillId="0" borderId="14" xfId="0" applyNumberFormat="1" applyBorder="1"/>
    <xf numFmtId="0" fontId="0" fillId="0" borderId="17" xfId="0" applyBorder="1"/>
    <xf numFmtId="0" fontId="0" fillId="0" borderId="18" xfId="0" applyBorder="1" applyAlignment="1">
      <alignment horizontal="center"/>
    </xf>
    <xf numFmtId="0" fontId="0" fillId="0" borderId="18" xfId="0" applyBorder="1"/>
    <xf numFmtId="3" fontId="3" fillId="0" borderId="18" xfId="1" applyNumberFormat="1" applyFont="1" applyBorder="1" applyAlignment="1">
      <alignment horizontal="center" vertical="center" wrapText="1"/>
    </xf>
    <xf numFmtId="3" fontId="0" fillId="0" borderId="18" xfId="0" applyNumberFormat="1" applyBorder="1"/>
    <xf numFmtId="3" fontId="0" fillId="0" borderId="19" xfId="0" applyNumberFormat="1" applyBorder="1"/>
    <xf numFmtId="0" fontId="3" fillId="5" borderId="24" xfId="1" applyFont="1" applyFill="1" applyBorder="1" applyAlignment="1">
      <alignment horizontal="right" vertical="center" wrapText="1"/>
    </xf>
    <xf numFmtId="0" fontId="3" fillId="5" borderId="25" xfId="1" applyFont="1" applyFill="1" applyBorder="1" applyAlignment="1">
      <alignment horizontal="center" vertical="center" wrapText="1"/>
    </xf>
    <xf numFmtId="3" fontId="3" fillId="5" borderId="25" xfId="1" applyNumberFormat="1" applyFont="1" applyFill="1" applyBorder="1" applyAlignment="1">
      <alignment horizontal="center" vertical="center" wrapText="1"/>
    </xf>
    <xf numFmtId="0" fontId="6" fillId="0" borderId="13" xfId="1" applyFont="1" applyBorder="1" applyAlignment="1">
      <alignment vertical="center" wrapText="1"/>
    </xf>
    <xf numFmtId="1" fontId="6" fillId="0" borderId="1" xfId="4" applyNumberFormat="1" applyFont="1" applyBorder="1" applyAlignment="1">
      <alignment horizontal="center" vertical="center" wrapText="1"/>
    </xf>
    <xf numFmtId="0" fontId="3" fillId="0" borderId="13" xfId="1" applyFont="1" applyBorder="1" applyAlignment="1">
      <alignment horizontal="right" vertical="center" wrapText="1"/>
    </xf>
    <xf numFmtId="0" fontId="3" fillId="0" borderId="17" xfId="1" applyFont="1" applyBorder="1" applyAlignment="1">
      <alignment horizontal="right" vertical="center" wrapText="1"/>
    </xf>
    <xf numFmtId="1" fontId="3" fillId="0" borderId="18" xfId="4" applyNumberFormat="1" applyBorder="1" applyAlignment="1">
      <alignment horizontal="center" vertical="center" wrapText="1"/>
    </xf>
    <xf numFmtId="0" fontId="12" fillId="0" borderId="0" xfId="1" applyFont="1" applyAlignment="1">
      <alignment horizontal="right" vertical="center" wrapText="1"/>
    </xf>
    <xf numFmtId="1" fontId="3" fillId="0" borderId="0" xfId="4" applyNumberFormat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3" fillId="5" borderId="25" xfId="4" applyNumberFormat="1" applyFill="1" applyBorder="1" applyAlignment="1">
      <alignment horizontal="center" vertical="center" wrapText="1"/>
    </xf>
    <xf numFmtId="164" fontId="6" fillId="5" borderId="25" xfId="1" applyNumberFormat="1" applyFont="1" applyFill="1" applyBorder="1" applyAlignment="1">
      <alignment horizontal="center" vertical="center" wrapText="1"/>
    </xf>
    <xf numFmtId="164" fontId="6" fillId="0" borderId="1" xfId="1" applyNumberFormat="1" applyFont="1" applyBorder="1" applyAlignment="1">
      <alignment horizontal="center" vertical="center" wrapText="1"/>
    </xf>
    <xf numFmtId="0" fontId="0" fillId="2" borderId="13" xfId="0" applyFill="1" applyBorder="1" applyAlignment="1">
      <alignment horizontal="right" wrapText="1"/>
    </xf>
    <xf numFmtId="164" fontId="3" fillId="2" borderId="29" xfId="1" applyNumberFormat="1" applyFont="1" applyFill="1" applyBorder="1" applyAlignment="1">
      <alignment horizontal="center" vertical="center" wrapText="1"/>
    </xf>
    <xf numFmtId="3" fontId="3" fillId="2" borderId="13" xfId="1" applyNumberFormat="1" applyFont="1" applyFill="1" applyBorder="1" applyAlignment="1">
      <alignment horizontal="right" vertical="center" wrapText="1"/>
    </xf>
    <xf numFmtId="3" fontId="3" fillId="2" borderId="17" xfId="1" applyNumberFormat="1" applyFont="1" applyFill="1" applyBorder="1" applyAlignment="1">
      <alignment horizontal="right" vertical="center" wrapText="1"/>
    </xf>
    <xf numFmtId="1" fontId="3" fillId="2" borderId="18" xfId="4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/>
    </xf>
    <xf numFmtId="164" fontId="3" fillId="2" borderId="18" xfId="1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7" fillId="0" borderId="0" xfId="0" applyFont="1" applyAlignment="1">
      <alignment horizontal="left"/>
    </xf>
    <xf numFmtId="173" fontId="0" fillId="0" borderId="0" xfId="0" applyNumberFormat="1" applyAlignment="1">
      <alignment horizontal="center"/>
    </xf>
    <xf numFmtId="0" fontId="6" fillId="5" borderId="1" xfId="1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right" wrapText="1"/>
    </xf>
    <xf numFmtId="3" fontId="3" fillId="2" borderId="1" xfId="1" applyNumberFormat="1" applyFont="1" applyFill="1" applyBorder="1" applyAlignment="1">
      <alignment horizontal="center" vertical="center" wrapText="1"/>
    </xf>
    <xf numFmtId="173" fontId="0" fillId="0" borderId="1" xfId="0" applyNumberFormat="1" applyBorder="1" applyAlignment="1">
      <alignment horizontal="center"/>
    </xf>
    <xf numFmtId="174" fontId="0" fillId="2" borderId="1" xfId="0" applyNumberFormat="1" applyFill="1" applyBorder="1" applyAlignment="1">
      <alignment horizontal="center"/>
    </xf>
    <xf numFmtId="3" fontId="3" fillId="2" borderId="1" xfId="1" applyNumberFormat="1" applyFont="1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/>
    </xf>
    <xf numFmtId="0" fontId="6" fillId="0" borderId="13" xfId="1" applyFont="1" applyBorder="1" applyAlignment="1">
      <alignment horizontal="center" vertical="center" wrapText="1"/>
    </xf>
    <xf numFmtId="169" fontId="3" fillId="2" borderId="1" xfId="1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horizontal="left" indent="2"/>
    </xf>
    <xf numFmtId="0" fontId="0" fillId="2" borderId="37" xfId="0" applyFill="1" applyBorder="1" applyAlignment="1">
      <alignment horizontal="center"/>
    </xf>
    <xf numFmtId="169" fontId="0" fillId="2" borderId="37" xfId="0" applyNumberFormat="1" applyFill="1" applyBorder="1" applyAlignment="1">
      <alignment horizontal="center"/>
    </xf>
    <xf numFmtId="0" fontId="0" fillId="2" borderId="13" xfId="0" applyFill="1" applyBorder="1" applyAlignment="1">
      <alignment horizontal="right"/>
    </xf>
    <xf numFmtId="169" fontId="3" fillId="0" borderId="1" xfId="1" applyNumberFormat="1" applyFont="1" applyBorder="1" applyAlignment="1">
      <alignment horizontal="center" vertical="center" wrapText="1"/>
    </xf>
    <xf numFmtId="169" fontId="0" fillId="0" borderId="37" xfId="0" applyNumberFormat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</cellXfs>
  <cellStyles count="7">
    <cellStyle name="Normal 3" xfId="6" xr:uid="{68C51648-11B2-4801-A04B-37AA80E74FDE}"/>
    <cellStyle name="Обычный" xfId="0" builtinId="0"/>
    <cellStyle name="Обычный 13 4" xfId="1" xr:uid="{F8617DFF-C92F-4152-8816-C2DBCB51B6A3}"/>
    <cellStyle name="Обычный_Карточка. Балансировка АС-2009, 06.06.08-факт.КТГ 2 2" xfId="5" xr:uid="{FB66C0F1-DE6D-4749-85DB-1BC716BB0DBC}"/>
    <cellStyle name="Обычный_Приложение 6.  Карточка  и План управления проектом, 21 мар.07" xfId="3" xr:uid="{B5A7410D-0EF3-4A63-8D82-1F0825DC63F1}"/>
    <cellStyle name="Обычный_Расчет 1 вариант (в БП с внеш фин)" xfId="4" xr:uid="{E6E2A068-6202-45E2-B6C9-2CE5282ABA98}"/>
    <cellStyle name="Финансовый 2 2" xfId="2" xr:uid="{29F52842-1CD5-4D12-8E5C-EA7844487A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.shtolbert\Desktop\&#1058;&#1080;&#1087;&#1086;&#1074;&#1086;&#1081;%20&#1079;&#1072;&#1087;&#1088;&#1086;&#1089;%20&#1041;&#1058;&#1051;%20&#1085;&#1072;%207531%20-%2010%20&#1083;&#1077;&#1090;.xlsx" TargetMode="External"/><Relationship Id="rId1" Type="http://schemas.openxmlformats.org/officeDocument/2006/relationships/externalLinkPath" Target="&#1058;&#1080;&#1087;&#1086;&#1074;&#1086;&#1081;%20&#1079;&#1072;&#1087;&#1088;&#1086;&#1089;%20&#1041;&#1058;&#1051;%20&#1085;&#1072;%207531%20-%2010%20&#1083;&#1077;&#109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Данные -Карьерный самосвал"/>
      <sheetName val="ТО"/>
      <sheetName val="Ремонты "/>
      <sheetName val="Прайс-лист"/>
    </sheetNames>
    <sheetDataSet>
      <sheetData sheetId="0"/>
      <sheetData sheetId="1"/>
      <sheetData sheetId="2"/>
      <sheetData sheetId="3">
        <row r="5">
          <cell r="C5" t="str">
            <v>BELAZG-ProfiMining15W-40</v>
          </cell>
          <cell r="D5">
            <v>3</v>
          </cell>
          <cell r="E5">
            <v>380</v>
          </cell>
          <cell r="G5">
            <v>183.63</v>
          </cell>
          <cell r="H5">
            <v>2.4500000000000002</v>
          </cell>
          <cell r="J5">
            <v>3.43</v>
          </cell>
        </row>
        <row r="6">
          <cell r="C6">
            <v>1005008511</v>
          </cell>
          <cell r="E6">
            <v>2</v>
          </cell>
          <cell r="H6">
            <v>3.8629411764705885</v>
          </cell>
          <cell r="J6">
            <v>5.6785235294117653</v>
          </cell>
        </row>
        <row r="7">
          <cell r="C7">
            <v>1013032300</v>
          </cell>
          <cell r="E7">
            <v>5</v>
          </cell>
          <cell r="H7">
            <v>109.08352941176472</v>
          </cell>
          <cell r="J7">
            <v>160.35278823529413</v>
          </cell>
        </row>
        <row r="8">
          <cell r="C8" t="str">
            <v>1008088044(1000104480)</v>
          </cell>
          <cell r="E8">
            <v>1</v>
          </cell>
          <cell r="H8">
            <v>137.69470588235293</v>
          </cell>
          <cell r="J8">
            <v>202.41121764705881</v>
          </cell>
        </row>
        <row r="9">
          <cell r="C9" t="str">
            <v>1008088046(1000104483)</v>
          </cell>
          <cell r="E9">
            <v>3</v>
          </cell>
          <cell r="H9">
            <v>100.33411764705882</v>
          </cell>
          <cell r="J9">
            <v>147.49115294117647</v>
          </cell>
        </row>
        <row r="10">
          <cell r="C10" t="str">
            <v>BELAZ G-Profi TRANS Plus 680</v>
          </cell>
          <cell r="E10">
            <v>210</v>
          </cell>
          <cell r="G10">
            <v>805.68</v>
          </cell>
          <cell r="H10">
            <v>10.74</v>
          </cell>
          <cell r="J10">
            <v>15.036</v>
          </cell>
        </row>
        <row r="11">
          <cell r="C11" t="str">
            <v>BELAZ G-Profi Grease MP EP 2 / CLS</v>
          </cell>
          <cell r="E11">
            <v>0.6</v>
          </cell>
          <cell r="G11">
            <v>591.98</v>
          </cell>
          <cell r="H11">
            <v>7.89</v>
          </cell>
          <cell r="J11">
            <v>11.045999999999999</v>
          </cell>
        </row>
        <row r="12">
          <cell r="C12" t="str">
            <v>BELAZG-ProfiHydraulicHVLP46/32</v>
          </cell>
          <cell r="E12">
            <v>790</v>
          </cell>
          <cell r="G12">
            <v>165.17</v>
          </cell>
          <cell r="H12">
            <v>2.2000000000000002</v>
          </cell>
          <cell r="J12">
            <v>3.08</v>
          </cell>
        </row>
        <row r="13">
          <cell r="C13" t="str">
            <v>EE500600/М5409МК</v>
          </cell>
          <cell r="E13">
            <v>1</v>
          </cell>
          <cell r="H13">
            <v>61.906666666666666</v>
          </cell>
          <cell r="J13">
            <v>86.669333333333327</v>
          </cell>
        </row>
        <row r="14">
          <cell r="C14" t="str">
            <v>EE502300 (М5402МК)</v>
          </cell>
          <cell r="E14">
            <v>1</v>
          </cell>
          <cell r="H14">
            <v>14.24</v>
          </cell>
          <cell r="J14">
            <v>19.936</v>
          </cell>
        </row>
        <row r="15">
          <cell r="E15" t="e">
            <v>#N/A</v>
          </cell>
        </row>
        <row r="17">
          <cell r="E17" t="e">
            <v>#N/A</v>
          </cell>
        </row>
        <row r="18">
          <cell r="C18" t="str">
            <v>BELAZ G-Profi Grease MP EP 2 / CLS</v>
          </cell>
          <cell r="E18">
            <v>9</v>
          </cell>
          <cell r="G18">
            <v>591.98</v>
          </cell>
          <cell r="H18">
            <v>7.89</v>
          </cell>
          <cell r="J18">
            <v>11.045999999999999</v>
          </cell>
        </row>
        <row r="19">
          <cell r="C19" t="str">
            <v>BELAZ G-Profi Grease MP EP 2 / CLS</v>
          </cell>
          <cell r="E19">
            <v>0.6</v>
          </cell>
          <cell r="G19">
            <v>591.98</v>
          </cell>
          <cell r="H19">
            <v>7.89</v>
          </cell>
          <cell r="J19">
            <v>11.045999999999999</v>
          </cell>
        </row>
        <row r="20">
          <cell r="C20">
            <v>1005008511</v>
          </cell>
          <cell r="E20">
            <v>2</v>
          </cell>
          <cell r="H20">
            <v>3.8629411764705885</v>
          </cell>
          <cell r="J20">
            <v>5.6785235294117653</v>
          </cell>
        </row>
        <row r="21">
          <cell r="C21">
            <v>1013032300</v>
          </cell>
          <cell r="E21">
            <v>5</v>
          </cell>
          <cell r="H21">
            <v>109.08352941176472</v>
          </cell>
          <cell r="J21">
            <v>160.35278823529413</v>
          </cell>
        </row>
        <row r="22">
          <cell r="C22" t="str">
            <v>1008088044(1000104480)</v>
          </cell>
          <cell r="E22">
            <v>1</v>
          </cell>
          <cell r="H22">
            <v>137.69470588235293</v>
          </cell>
          <cell r="J22">
            <v>202.41121764705881</v>
          </cell>
        </row>
        <row r="23">
          <cell r="C23" t="str">
            <v>1008088046(1000104483)</v>
          </cell>
          <cell r="E23">
            <v>3</v>
          </cell>
          <cell r="H23">
            <v>100.33411764705882</v>
          </cell>
          <cell r="J23">
            <v>147.49115294117647</v>
          </cell>
        </row>
        <row r="24">
          <cell r="C24" t="str">
            <v>ЕЕ100300 (В4305МК)</v>
          </cell>
          <cell r="E24">
            <v>4</v>
          </cell>
          <cell r="H24">
            <v>48.28</v>
          </cell>
          <cell r="J24">
            <v>67.591999999999999</v>
          </cell>
        </row>
        <row r="25">
          <cell r="C25" t="str">
            <v>ЕЕ100301 (В4305MK-01)</v>
          </cell>
          <cell r="E25">
            <v>4</v>
          </cell>
          <cell r="H25">
            <v>19.186666666666667</v>
          </cell>
          <cell r="J25">
            <v>26.861333333333334</v>
          </cell>
        </row>
        <row r="26">
          <cell r="C26" t="str">
            <v xml:space="preserve">SKF LGHP </v>
          </cell>
          <cell r="E26">
            <v>0.2</v>
          </cell>
          <cell r="H26">
            <v>33.194117647058825</v>
          </cell>
          <cell r="J26">
            <v>46.47176470588235</v>
          </cell>
        </row>
        <row r="27">
          <cell r="C27" t="str">
            <v>BELAZ G-Profi Grease MP EP 2 / CLS</v>
          </cell>
          <cell r="E27">
            <v>0.2</v>
          </cell>
          <cell r="G27">
            <v>591.98</v>
          </cell>
          <cell r="H27">
            <v>7.89</v>
          </cell>
          <cell r="J27">
            <v>11.045999999999999</v>
          </cell>
        </row>
        <row r="28">
          <cell r="C28" t="str">
            <v>BELAZ G-Profi Grease MP EP 2 / CLS</v>
          </cell>
          <cell r="E28">
            <v>0.6</v>
          </cell>
          <cell r="G28">
            <v>591.98</v>
          </cell>
          <cell r="H28">
            <v>7.89</v>
          </cell>
          <cell r="J28">
            <v>11.045999999999999</v>
          </cell>
        </row>
        <row r="29">
          <cell r="C29" t="str">
            <v>EE100310 (4347МК)</v>
          </cell>
          <cell r="E29">
            <v>2</v>
          </cell>
          <cell r="H29">
            <v>2.8533333333333331</v>
          </cell>
          <cell r="J29">
            <v>3.9946666666666659</v>
          </cell>
        </row>
        <row r="30">
          <cell r="C30" t="str">
            <v>EE500600</v>
          </cell>
          <cell r="E30">
            <v>1</v>
          </cell>
          <cell r="H30">
            <v>61.906666666666666</v>
          </cell>
          <cell r="J30">
            <v>86.669333333333327</v>
          </cell>
        </row>
        <row r="31">
          <cell r="C31" t="str">
            <v>EE502300 (М5402МК)</v>
          </cell>
          <cell r="E31">
            <v>2</v>
          </cell>
          <cell r="H31">
            <v>14.24</v>
          </cell>
          <cell r="J31">
            <v>19.936</v>
          </cell>
        </row>
        <row r="32">
          <cell r="C32" t="str">
            <v>ЕЕ 148200 (В4701МК)</v>
          </cell>
          <cell r="E32">
            <v>2</v>
          </cell>
          <cell r="H32">
            <v>12.306666666666667</v>
          </cell>
          <cell r="J32">
            <v>17.229333333333333</v>
          </cell>
        </row>
        <row r="33">
          <cell r="E33" t="e">
            <v>#N/A</v>
          </cell>
        </row>
        <row r="34">
          <cell r="C34" t="str">
            <v>EE100310 (4347МК)</v>
          </cell>
          <cell r="E34">
            <v>2</v>
          </cell>
          <cell r="H34">
            <v>2.8533333333333331</v>
          </cell>
          <cell r="J34">
            <v>3.9946666666666659</v>
          </cell>
        </row>
        <row r="35">
          <cell r="E35" t="e">
            <v>#N/A</v>
          </cell>
        </row>
        <row r="36">
          <cell r="C36" t="str">
            <v>612600062561.</v>
          </cell>
          <cell r="E36">
            <v>1</v>
          </cell>
          <cell r="H36">
            <v>21.606509803921572</v>
          </cell>
          <cell r="J36">
            <v>31.761569411764711</v>
          </cell>
        </row>
        <row r="37">
          <cell r="C37">
            <v>1001318212</v>
          </cell>
          <cell r="E37">
            <v>1</v>
          </cell>
          <cell r="H37">
            <v>20.159686274509802</v>
          </cell>
          <cell r="J37">
            <v>29.63473882352941</v>
          </cell>
        </row>
        <row r="38">
          <cell r="C38">
            <v>1004430807</v>
          </cell>
          <cell r="E38">
            <v>1</v>
          </cell>
          <cell r="H38">
            <v>144.4323529411765</v>
          </cell>
          <cell r="J38">
            <v>212.31555882352944</v>
          </cell>
        </row>
        <row r="39">
          <cell r="C39" t="str">
            <v>BELAZ G-Profi TRANS Plus 680</v>
          </cell>
          <cell r="E39">
            <v>210</v>
          </cell>
          <cell r="G39">
            <v>805.68</v>
          </cell>
          <cell r="H39">
            <v>10.74</v>
          </cell>
          <cell r="J39">
            <v>15.036</v>
          </cell>
        </row>
        <row r="40">
          <cell r="E40" t="e">
            <v>#N/A</v>
          </cell>
        </row>
        <row r="41">
          <cell r="C41" t="str">
            <v>BELAZG-PROFIANTIFREEZEGREEN40</v>
          </cell>
          <cell r="E41">
            <v>830</v>
          </cell>
          <cell r="G41">
            <v>121.74</v>
          </cell>
          <cell r="H41">
            <v>1.62</v>
          </cell>
          <cell r="J41">
            <v>2.2679999999999998</v>
          </cell>
        </row>
        <row r="42">
          <cell r="E42" t="e">
            <v>#N/A</v>
          </cell>
        </row>
        <row r="44">
          <cell r="E44" t="e">
            <v>#N/A</v>
          </cell>
        </row>
        <row r="45">
          <cell r="C45" t="str">
            <v>BELAZG-ProfiHydraulicHVLP46/32</v>
          </cell>
          <cell r="E45">
            <v>790</v>
          </cell>
          <cell r="G45">
            <v>165.17</v>
          </cell>
          <cell r="H45">
            <v>2.2000000000000002</v>
          </cell>
          <cell r="J45">
            <v>3.08</v>
          </cell>
        </row>
        <row r="47">
          <cell r="B47" t="str">
            <v>Двигатель кап.ремонт (25 000 м/ч)</v>
          </cell>
          <cell r="E47" t="str">
            <v>юань</v>
          </cell>
          <cell r="F47">
            <v>2380000</v>
          </cell>
          <cell r="H47">
            <v>350000</v>
          </cell>
          <cell r="J47">
            <v>385875</v>
          </cell>
        </row>
        <row r="48">
          <cell r="B48" t="str">
            <v xml:space="preserve">Двигатель кап.ремонт (замена) </v>
          </cell>
          <cell r="E48" t="str">
            <v>юань</v>
          </cell>
          <cell r="F48">
            <v>2380001</v>
          </cell>
          <cell r="H48">
            <v>350000.14705882355</v>
          </cell>
          <cell r="J48">
            <v>455000.19117647066</v>
          </cell>
        </row>
        <row r="49">
          <cell r="B49" t="str">
            <v>РМК</v>
          </cell>
          <cell r="C49" t="str">
            <v xml:space="preserve">75310 -2405010 </v>
          </cell>
          <cell r="H49">
            <v>114559.65</v>
          </cell>
          <cell r="J49">
            <v>84201.342749999996</v>
          </cell>
        </row>
        <row r="50">
          <cell r="B50" t="str">
            <v>п.цилиндр. подвески</v>
          </cell>
          <cell r="C50" t="str">
            <v>7521 -2907020-35</v>
          </cell>
          <cell r="H50">
            <v>13011.2</v>
          </cell>
          <cell r="J50">
            <v>14344.848</v>
          </cell>
        </row>
        <row r="51">
          <cell r="B51" t="str">
            <v>з.цилиндр. подвески</v>
          </cell>
          <cell r="C51" t="str">
            <v xml:space="preserve">7521 -2917021-35 /7521 -2917020-35 </v>
          </cell>
          <cell r="H51">
            <v>13011.2</v>
          </cell>
          <cell r="J51">
            <v>14344.848</v>
          </cell>
        </row>
        <row r="52">
          <cell r="B52" t="str">
            <v>Передняя ось</v>
          </cell>
          <cell r="C52" t="str">
            <v xml:space="preserve">75315 -3001005 / </v>
          </cell>
          <cell r="H52">
            <v>34989</v>
          </cell>
          <cell r="J52">
            <v>38575.372499999998</v>
          </cell>
        </row>
        <row r="53">
          <cell r="B53" t="str">
            <v>Рулевое управление</v>
          </cell>
          <cell r="C53" t="str">
            <v>75306 -3429010-01</v>
          </cell>
          <cell r="H53">
            <v>3538.49</v>
          </cell>
          <cell r="J53">
            <v>3901.1852249999997</v>
          </cell>
        </row>
        <row r="54">
          <cell r="B54" t="str">
            <v>ЦОМ</v>
          </cell>
          <cell r="C54" t="str">
            <v>75306 -8603010</v>
          </cell>
          <cell r="H54">
            <v>10296.17</v>
          </cell>
          <cell r="J54">
            <v>11351.527425</v>
          </cell>
        </row>
        <row r="55">
          <cell r="B55" t="str">
            <v>Кулак поворотный со ступицей</v>
          </cell>
          <cell r="C55" t="str">
            <v>75312 -3001008-10</v>
          </cell>
          <cell r="H55">
            <v>52905.21</v>
          </cell>
          <cell r="J55">
            <v>38885.32935</v>
          </cell>
        </row>
        <row r="56">
          <cell r="B56" t="str">
            <v>Корпус тормоза</v>
          </cell>
          <cell r="H56">
            <v>1063.1600000000001</v>
          </cell>
          <cell r="J56">
            <v>1172.1339000000003</v>
          </cell>
        </row>
        <row r="57">
          <cell r="B57" t="str">
            <v>Радиатор</v>
          </cell>
          <cell r="C57" t="str">
            <v>75306 -1301010 /75306 -1301010</v>
          </cell>
          <cell r="H57">
            <v>5444.16</v>
          </cell>
          <cell r="J57">
            <v>2400.8745599999997</v>
          </cell>
        </row>
        <row r="58">
          <cell r="B58" t="str">
            <v>Силовая передача</v>
          </cell>
          <cell r="J58">
            <v>0</v>
          </cell>
        </row>
        <row r="59">
          <cell r="B59" t="str">
            <v>Тяговый генератор</v>
          </cell>
          <cell r="H59">
            <v>20000</v>
          </cell>
          <cell r="J59">
            <v>22050</v>
          </cell>
        </row>
        <row r="60">
          <cell r="B60" t="str">
            <v>Тяговый мотор</v>
          </cell>
          <cell r="H60">
            <v>22000</v>
          </cell>
          <cell r="J60">
            <v>24255</v>
          </cell>
        </row>
        <row r="61">
          <cell r="B61" t="str">
            <v>Гидравлика</v>
          </cell>
          <cell r="J61">
            <v>0</v>
          </cell>
        </row>
        <row r="62">
          <cell r="B62" t="str">
            <v>Основной насос</v>
          </cell>
          <cell r="C62" t="str">
            <v xml:space="preserve">75306 -8604011-10 </v>
          </cell>
          <cell r="H62">
            <v>23347.4</v>
          </cell>
          <cell r="J62">
            <v>34320.678</v>
          </cell>
        </row>
        <row r="63">
          <cell r="B63" t="str">
            <v>Автомат разгрузки насоса</v>
          </cell>
          <cell r="C63" t="str">
            <v>75131-3428010</v>
          </cell>
          <cell r="H63">
            <v>567.31999999999994</v>
          </cell>
          <cell r="J63">
            <v>833.96039999999994</v>
          </cell>
        </row>
        <row r="64">
          <cell r="B64" t="str">
            <v>Пневмогидроаккумулятор</v>
          </cell>
          <cell r="C64" t="str">
            <v xml:space="preserve">75137-3415010 </v>
          </cell>
          <cell r="H64">
            <v>2144.16</v>
          </cell>
          <cell r="J64">
            <v>2363.9364</v>
          </cell>
        </row>
        <row r="65">
          <cell r="B65" t="str">
            <v>Шасси</v>
          </cell>
          <cell r="J65">
            <v>0</v>
          </cell>
        </row>
        <row r="66">
          <cell r="B66" t="str">
            <v>Обод</v>
          </cell>
          <cell r="C66" t="str">
            <v>75310 -3101012-02</v>
          </cell>
          <cell r="H66">
            <v>15000</v>
          </cell>
          <cell r="J66">
            <v>22050</v>
          </cell>
        </row>
        <row r="67">
          <cell r="B67" t="str">
            <v>Другое</v>
          </cell>
          <cell r="J67">
            <v>0</v>
          </cell>
        </row>
        <row r="68">
          <cell r="B68" t="str">
            <v>ШПСУ (30 000 м/ч)</v>
          </cell>
          <cell r="H68">
            <v>12000</v>
          </cell>
          <cell r="J68">
            <v>13230</v>
          </cell>
        </row>
        <row r="69">
          <cell r="B69" t="str">
            <v>УВТР</v>
          </cell>
          <cell r="C69" t="str">
            <v>75306 -2126004-18</v>
          </cell>
          <cell r="H69">
            <v>76399.189999999988</v>
          </cell>
          <cell r="J69">
            <v>56153.404649999989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6D9EF-9FA7-48A4-B8D3-809B28DBE64F}">
  <sheetPr>
    <pageSetUpPr fitToPage="1"/>
  </sheetPr>
  <dimension ref="A2:R44"/>
  <sheetViews>
    <sheetView showGridLines="0" tabSelected="1" topLeftCell="A17" zoomScale="115" zoomScaleNormal="115" zoomScaleSheetLayoutView="100" workbookViewId="0">
      <selection activeCell="B47" sqref="B47"/>
    </sheetView>
  </sheetViews>
  <sheetFormatPr defaultColWidth="9.15234375" defaultRowHeight="12.45" x14ac:dyDescent="0.4"/>
  <cols>
    <col min="1" max="1" width="6" style="1" customWidth="1"/>
    <col min="2" max="2" width="43.53515625" style="42" customWidth="1"/>
    <col min="3" max="3" width="17" style="3" customWidth="1"/>
    <col min="4" max="4" width="17.69140625" style="3" customWidth="1"/>
    <col min="5" max="5" width="10.765625" style="4" customWidth="1"/>
    <col min="6" max="6" width="9.23046875" style="4" customWidth="1"/>
    <col min="7" max="7" width="8.69140625" style="4" customWidth="1"/>
    <col min="8" max="12" width="8.61328125" style="4" bestFit="1" customWidth="1"/>
    <col min="13" max="14" width="8.3046875" style="4" customWidth="1"/>
    <col min="15" max="15" width="21.3828125" style="1" customWidth="1"/>
    <col min="16" max="16" width="14" style="1" bestFit="1" customWidth="1"/>
    <col min="17" max="17" width="17.3046875" style="1" customWidth="1"/>
    <col min="18" max="18" width="9.84375" style="1" bestFit="1" customWidth="1"/>
    <col min="19" max="16384" width="9.15234375" style="1"/>
  </cols>
  <sheetData>
    <row r="2" spans="1:16" ht="14.6" x14ac:dyDescent="0.4">
      <c r="B2" s="2" t="s">
        <v>0</v>
      </c>
      <c r="P2" s="5" t="s">
        <v>1</v>
      </c>
    </row>
    <row r="3" spans="1:16" s="6" customFormat="1" ht="27" customHeight="1" x14ac:dyDescent="0.4">
      <c r="B3" s="7" t="s">
        <v>2</v>
      </c>
      <c r="C3" s="8" t="s">
        <v>3</v>
      </c>
      <c r="D3" s="8" t="s">
        <v>4</v>
      </c>
      <c r="E3" s="9"/>
      <c r="F3" s="9"/>
      <c r="G3" s="9"/>
      <c r="H3" s="9"/>
      <c r="I3" s="9"/>
      <c r="J3" s="9"/>
      <c r="K3" s="9"/>
      <c r="L3" s="9"/>
      <c r="M3" s="9"/>
      <c r="N3" s="9"/>
      <c r="O3" s="10" t="s">
        <v>5</v>
      </c>
    </row>
    <row r="4" spans="1:16" s="15" customFormat="1" x14ac:dyDescent="0.4">
      <c r="A4" s="1">
        <v>1</v>
      </c>
      <c r="B4" s="11" t="s">
        <v>6</v>
      </c>
      <c r="C4" s="12" t="s">
        <v>7</v>
      </c>
      <c r="D4" s="12">
        <v>0</v>
      </c>
      <c r="E4" s="12">
        <f>D4+1</f>
        <v>1</v>
      </c>
      <c r="F4" s="12">
        <f>E4+1</f>
        <v>2</v>
      </c>
      <c r="G4" s="12">
        <f t="shared" ref="G4:N4" si="0">F4+1</f>
        <v>3</v>
      </c>
      <c r="H4" s="12">
        <f t="shared" si="0"/>
        <v>4</v>
      </c>
      <c r="I4" s="12">
        <f t="shared" si="0"/>
        <v>5</v>
      </c>
      <c r="J4" s="12">
        <f t="shared" si="0"/>
        <v>6</v>
      </c>
      <c r="K4" s="12">
        <f t="shared" si="0"/>
        <v>7</v>
      </c>
      <c r="L4" s="12">
        <f t="shared" si="0"/>
        <v>8</v>
      </c>
      <c r="M4" s="12">
        <f t="shared" si="0"/>
        <v>9</v>
      </c>
      <c r="N4" s="12">
        <f t="shared" si="0"/>
        <v>10</v>
      </c>
      <c r="O4" s="13"/>
      <c r="P4" s="14"/>
    </row>
    <row r="5" spans="1:16" s="15" customFormat="1" x14ac:dyDescent="0.4">
      <c r="A5" s="1">
        <f>A4+1</f>
        <v>2</v>
      </c>
      <c r="B5" s="11" t="s">
        <v>8</v>
      </c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3"/>
      <c r="P5" s="14"/>
    </row>
    <row r="6" spans="1:16" s="15" customFormat="1" x14ac:dyDescent="0.3">
      <c r="A6" s="1">
        <f t="shared" ref="A6:A10" si="1">A5+1</f>
        <v>3</v>
      </c>
      <c r="B6" s="16" t="s">
        <v>9</v>
      </c>
      <c r="C6" s="17" t="s">
        <v>10</v>
      </c>
      <c r="D6" s="18"/>
      <c r="E6" s="19">
        <v>8400</v>
      </c>
      <c r="F6" s="19">
        <v>8400</v>
      </c>
      <c r="G6" s="19">
        <v>8400</v>
      </c>
      <c r="H6" s="19">
        <v>8400</v>
      </c>
      <c r="I6" s="19">
        <v>8400</v>
      </c>
      <c r="J6" s="19">
        <v>8400</v>
      </c>
      <c r="K6" s="19">
        <v>8400</v>
      </c>
      <c r="L6" s="19">
        <v>8400</v>
      </c>
      <c r="M6" s="19">
        <v>8400</v>
      </c>
      <c r="N6" s="19">
        <v>8400</v>
      </c>
      <c r="O6" s="13"/>
      <c r="P6" s="14"/>
    </row>
    <row r="7" spans="1:16" s="15" customFormat="1" x14ac:dyDescent="0.3">
      <c r="A7" s="1">
        <f t="shared" si="1"/>
        <v>4</v>
      </c>
      <c r="B7" s="16" t="s">
        <v>11</v>
      </c>
      <c r="C7" s="17" t="s">
        <v>10</v>
      </c>
      <c r="D7" s="18"/>
      <c r="E7" s="19">
        <v>6720</v>
      </c>
      <c r="F7" s="19">
        <v>6720</v>
      </c>
      <c r="G7" s="19">
        <v>6720</v>
      </c>
      <c r="H7" s="19">
        <v>6720</v>
      </c>
      <c r="I7" s="19">
        <v>6720</v>
      </c>
      <c r="J7" s="19">
        <v>6720</v>
      </c>
      <c r="K7" s="19">
        <v>6720</v>
      </c>
      <c r="L7" s="19">
        <v>6720</v>
      </c>
      <c r="M7" s="19">
        <v>6720</v>
      </c>
      <c r="N7" s="19">
        <v>6720</v>
      </c>
      <c r="O7" s="13"/>
      <c r="P7" s="14"/>
    </row>
    <row r="8" spans="1:16" s="15" customFormat="1" x14ac:dyDescent="0.3">
      <c r="A8" s="1">
        <f t="shared" si="1"/>
        <v>5</v>
      </c>
      <c r="B8" s="16" t="s">
        <v>12</v>
      </c>
      <c r="C8" s="17" t="s">
        <v>10</v>
      </c>
      <c r="D8" s="18"/>
      <c r="E8" s="19">
        <v>13390</v>
      </c>
      <c r="F8" s="19">
        <v>13390</v>
      </c>
      <c r="G8" s="19">
        <v>13390</v>
      </c>
      <c r="H8" s="19">
        <v>13390</v>
      </c>
      <c r="I8" s="19">
        <v>13390</v>
      </c>
      <c r="J8" s="19">
        <v>13390</v>
      </c>
      <c r="K8" s="19">
        <v>13390</v>
      </c>
      <c r="L8" s="19">
        <v>13390</v>
      </c>
      <c r="M8" s="19">
        <v>13390</v>
      </c>
      <c r="N8" s="19">
        <v>13390</v>
      </c>
      <c r="O8" s="13"/>
      <c r="P8" s="14"/>
    </row>
    <row r="9" spans="1:16" s="15" customFormat="1" x14ac:dyDescent="0.3">
      <c r="A9" s="1">
        <f t="shared" si="1"/>
        <v>6</v>
      </c>
      <c r="B9" s="11" t="s">
        <v>13</v>
      </c>
      <c r="C9" s="17" t="s">
        <v>14</v>
      </c>
      <c r="D9" s="18"/>
      <c r="E9" s="19">
        <v>240</v>
      </c>
      <c r="F9" s="19">
        <v>240</v>
      </c>
      <c r="G9" s="19">
        <v>240</v>
      </c>
      <c r="H9" s="19">
        <v>240</v>
      </c>
      <c r="I9" s="19">
        <v>240</v>
      </c>
      <c r="J9" s="19">
        <v>240</v>
      </c>
      <c r="K9" s="19">
        <v>240</v>
      </c>
      <c r="L9" s="19">
        <v>240</v>
      </c>
      <c r="M9" s="19">
        <v>240</v>
      </c>
      <c r="N9" s="19">
        <v>240</v>
      </c>
      <c r="O9" s="13"/>
      <c r="P9" s="14"/>
    </row>
    <row r="10" spans="1:16" ht="24.9" x14ac:dyDescent="0.4">
      <c r="A10" s="1">
        <f t="shared" si="1"/>
        <v>7</v>
      </c>
      <c r="B10" s="11" t="s">
        <v>15</v>
      </c>
      <c r="C10" s="19" t="s">
        <v>16</v>
      </c>
      <c r="D10" s="18"/>
      <c r="E10" s="19">
        <v>141</v>
      </c>
      <c r="F10" s="19">
        <v>141</v>
      </c>
      <c r="G10" s="19">
        <v>141</v>
      </c>
      <c r="H10" s="19">
        <v>141</v>
      </c>
      <c r="I10" s="19">
        <v>141</v>
      </c>
      <c r="J10" s="19">
        <v>141</v>
      </c>
      <c r="K10" s="19">
        <v>141</v>
      </c>
      <c r="L10" s="19">
        <v>141</v>
      </c>
      <c r="M10" s="19">
        <v>141</v>
      </c>
      <c r="N10" s="19">
        <v>141</v>
      </c>
      <c r="O10" s="13" t="s">
        <v>17</v>
      </c>
      <c r="P10" s="20"/>
    </row>
    <row r="11" spans="1:16" ht="18.75" customHeight="1" x14ac:dyDescent="0.4">
      <c r="A11" s="1">
        <f>A10+1</f>
        <v>8</v>
      </c>
      <c r="B11" s="11" t="s">
        <v>18</v>
      </c>
      <c r="C11" s="19" t="s">
        <v>19</v>
      </c>
      <c r="D11" s="18"/>
      <c r="E11" s="19">
        <v>2535</v>
      </c>
      <c r="F11" s="19">
        <v>2535</v>
      </c>
      <c r="G11" s="19">
        <v>2535</v>
      </c>
      <c r="H11" s="19">
        <v>2535</v>
      </c>
      <c r="I11" s="19">
        <v>2535</v>
      </c>
      <c r="J11" s="19">
        <v>2535</v>
      </c>
      <c r="K11" s="19">
        <v>2535</v>
      </c>
      <c r="L11" s="19">
        <v>2535</v>
      </c>
      <c r="M11" s="19">
        <v>2535</v>
      </c>
      <c r="N11" s="19">
        <v>2535</v>
      </c>
      <c r="O11" s="13"/>
      <c r="P11" s="20"/>
    </row>
    <row r="12" spans="1:16" ht="29.25" customHeight="1" x14ac:dyDescent="0.4">
      <c r="A12" s="1">
        <f>A11+1</f>
        <v>9</v>
      </c>
      <c r="B12" s="11" t="s">
        <v>20</v>
      </c>
      <c r="C12" s="19"/>
      <c r="D12" s="19"/>
      <c r="E12" s="21">
        <f>(8760-E13-E14-E15)/8760</f>
        <v>0.9307834141933029</v>
      </c>
      <c r="F12" s="21">
        <f>(8760-F13-F14-F15)/8760</f>
        <v>0.90792065417300871</v>
      </c>
      <c r="G12" s="21">
        <f>(8760-G13-G14-G15)/8760</f>
        <v>0.8994118599906985</v>
      </c>
      <c r="H12" s="21">
        <f t="shared" ref="H12:M12" si="2">(8760-H13-H14-H15)/8760</f>
        <v>0.88050753900304413</v>
      </c>
      <c r="I12" s="21">
        <f t="shared" si="2"/>
        <v>0.9011506135844749</v>
      </c>
      <c r="J12" s="21">
        <f t="shared" si="2"/>
        <v>0.87025999122695752</v>
      </c>
      <c r="K12" s="21">
        <f>(8760-K13-K14-K15-300)/8760</f>
        <v>0.85058935026636229</v>
      </c>
      <c r="L12" s="21">
        <f>(8760-L13-L14-L15)/8760</f>
        <v>0.89171695046930488</v>
      </c>
      <c r="M12" s="21">
        <f t="shared" si="2"/>
        <v>0.85775576325469305</v>
      </c>
      <c r="N12" s="21">
        <f>(8760-N13-N14-N15)/8760</f>
        <v>0.85228053917216307</v>
      </c>
      <c r="O12" s="13" t="s">
        <v>21</v>
      </c>
    </row>
    <row r="13" spans="1:16" ht="21.75" customHeight="1" x14ac:dyDescent="0.4">
      <c r="A13" s="1">
        <f t="shared" ref="A13:A31" si="3">A12+1</f>
        <v>10</v>
      </c>
      <c r="B13" s="22" t="s">
        <v>22</v>
      </c>
      <c r="C13" s="19" t="s">
        <v>23</v>
      </c>
      <c r="D13" s="19"/>
      <c r="E13" s="23">
        <f>ТО!F7</f>
        <v>238.37549999999996</v>
      </c>
      <c r="F13" s="23">
        <f>ТО!G7</f>
        <v>238.37549999999996</v>
      </c>
      <c r="G13" s="23">
        <f>ТО!H7</f>
        <v>238.37549999999996</v>
      </c>
      <c r="H13" s="23">
        <f>ТО!I7</f>
        <v>238.37549999999996</v>
      </c>
      <c r="I13" s="23">
        <f>ТО!J7</f>
        <v>238.37549999999996</v>
      </c>
      <c r="J13" s="23">
        <f>ТО!K7</f>
        <v>238.37549999999996</v>
      </c>
      <c r="K13" s="23">
        <f>ТО!L7</f>
        <v>238.37549999999996</v>
      </c>
      <c r="L13" s="23">
        <f>ТО!M7</f>
        <v>238.37549999999996</v>
      </c>
      <c r="M13" s="23">
        <f>ТО!N7</f>
        <v>238.37549999999996</v>
      </c>
      <c r="N13" s="23">
        <f>ТО!O7</f>
        <v>238.37549999999996</v>
      </c>
      <c r="O13" s="13"/>
    </row>
    <row r="14" spans="1:16" ht="21.75" customHeight="1" x14ac:dyDescent="0.4">
      <c r="A14" s="1">
        <f t="shared" si="3"/>
        <v>11</v>
      </c>
      <c r="B14" s="22" t="s">
        <v>24</v>
      </c>
      <c r="C14" s="19" t="s">
        <v>23</v>
      </c>
      <c r="D14" s="19"/>
      <c r="E14" s="23">
        <f>'Ремонты '!F9</f>
        <v>135</v>
      </c>
      <c r="F14" s="23">
        <f>'Ремонты '!G9</f>
        <v>341</v>
      </c>
      <c r="G14" s="23">
        <f>'Ремонты '!H9</f>
        <v>417.66666666666663</v>
      </c>
      <c r="H14" s="23">
        <f>'Ремонты '!I9</f>
        <v>588</v>
      </c>
      <c r="I14" s="23">
        <f>'Ремонты '!J9</f>
        <v>402</v>
      </c>
      <c r="J14" s="23">
        <f>'Ремонты '!K9</f>
        <v>680.33333333333337</v>
      </c>
      <c r="K14" s="23">
        <f>'Ремонты '!L9</f>
        <v>549</v>
      </c>
      <c r="L14" s="23">
        <f>'Ремонты '!M9</f>
        <v>487</v>
      </c>
      <c r="M14" s="23">
        <f>'Ремонты '!N9</f>
        <v>793</v>
      </c>
      <c r="N14" s="23">
        <f>'Ремонты '!O9</f>
        <v>842.33333333333337</v>
      </c>
      <c r="O14" s="13"/>
    </row>
    <row r="15" spans="1:16" ht="21.75" customHeight="1" x14ac:dyDescent="0.4">
      <c r="A15" s="1">
        <f t="shared" si="3"/>
        <v>12</v>
      </c>
      <c r="B15" s="22" t="s">
        <v>25</v>
      </c>
      <c r="C15" s="19" t="s">
        <v>23</v>
      </c>
      <c r="D15" s="19"/>
      <c r="E15" s="23">
        <f>(8760-E13-E14)/12*20/60</f>
        <v>232.96179166666664</v>
      </c>
      <c r="F15" s="23">
        <f t="shared" ref="F15:N15" si="4">(8760-F13-F14)/12*20/60</f>
        <v>227.23956944444444</v>
      </c>
      <c r="G15" s="23">
        <f t="shared" si="4"/>
        <v>225.10993981481479</v>
      </c>
      <c r="H15" s="23">
        <f t="shared" si="4"/>
        <v>220.3784583333333</v>
      </c>
      <c r="I15" s="23">
        <f t="shared" si="4"/>
        <v>225.54512499999998</v>
      </c>
      <c r="J15" s="23">
        <f t="shared" si="4"/>
        <v>217.81364351851852</v>
      </c>
      <c r="K15" s="23">
        <f t="shared" si="4"/>
        <v>221.46179166666664</v>
      </c>
      <c r="L15" s="23">
        <f t="shared" si="4"/>
        <v>223.1840138888889</v>
      </c>
      <c r="M15" s="23">
        <f t="shared" si="4"/>
        <v>214.6840138888889</v>
      </c>
      <c r="N15" s="23">
        <f t="shared" si="4"/>
        <v>213.31364351851852</v>
      </c>
      <c r="O15" s="13"/>
    </row>
    <row r="16" spans="1:16" ht="16.5" customHeight="1" x14ac:dyDescent="0.4">
      <c r="A16" s="1">
        <f t="shared" si="3"/>
        <v>13</v>
      </c>
      <c r="B16" s="11" t="s">
        <v>26</v>
      </c>
      <c r="C16" s="19" t="s">
        <v>27</v>
      </c>
      <c r="D16" s="24"/>
      <c r="E16" s="25">
        <v>22</v>
      </c>
      <c r="F16" s="25">
        <v>22</v>
      </c>
      <c r="G16" s="25">
        <v>22</v>
      </c>
      <c r="H16" s="25">
        <v>22</v>
      </c>
      <c r="I16" s="25">
        <v>22</v>
      </c>
      <c r="J16" s="25">
        <v>22</v>
      </c>
      <c r="K16" s="25">
        <v>22</v>
      </c>
      <c r="L16" s="25">
        <v>22</v>
      </c>
      <c r="M16" s="25">
        <v>22</v>
      </c>
      <c r="N16" s="25">
        <v>22</v>
      </c>
      <c r="O16" s="13"/>
    </row>
    <row r="17" spans="1:18" ht="16.5" customHeight="1" x14ac:dyDescent="0.4">
      <c r="A17" s="1">
        <f t="shared" si="3"/>
        <v>14</v>
      </c>
      <c r="B17" s="11" t="s">
        <v>28</v>
      </c>
      <c r="C17" s="19" t="s">
        <v>27</v>
      </c>
      <c r="D17" s="24"/>
      <c r="E17" s="25">
        <v>33</v>
      </c>
      <c r="F17" s="25">
        <v>33</v>
      </c>
      <c r="G17" s="25">
        <v>33</v>
      </c>
      <c r="H17" s="25">
        <v>33</v>
      </c>
      <c r="I17" s="25">
        <v>33</v>
      </c>
      <c r="J17" s="25">
        <v>33</v>
      </c>
      <c r="K17" s="25">
        <v>33</v>
      </c>
      <c r="L17" s="25">
        <v>33</v>
      </c>
      <c r="M17" s="25">
        <v>33</v>
      </c>
      <c r="N17" s="25">
        <v>33</v>
      </c>
      <c r="O17" s="13"/>
    </row>
    <row r="18" spans="1:18" ht="30.75" customHeight="1" x14ac:dyDescent="0.4">
      <c r="A18" s="1">
        <f t="shared" si="3"/>
        <v>15</v>
      </c>
      <c r="B18" s="11" t="s">
        <v>29</v>
      </c>
      <c r="C18" s="26" t="s">
        <v>30</v>
      </c>
      <c r="D18" s="26"/>
      <c r="E18" s="27">
        <f>SUM(E19:E23)</f>
        <v>128.64439823756862</v>
      </c>
      <c r="F18" s="27">
        <f t="shared" ref="F18:N18" si="5">SUM(F19:F23)</f>
        <v>209.0123796395294</v>
      </c>
      <c r="G18" s="27">
        <f t="shared" si="5"/>
        <v>615.43665081952929</v>
      </c>
      <c r="H18" s="27">
        <f t="shared" si="5"/>
        <v>911.52058893952938</v>
      </c>
      <c r="I18" s="27">
        <f t="shared" si="5"/>
        <v>364.66373933952946</v>
      </c>
      <c r="J18" s="27">
        <f t="shared" si="5"/>
        <v>636.96468201952939</v>
      </c>
      <c r="K18" s="27">
        <f t="shared" si="5"/>
        <v>323.46017843952939</v>
      </c>
      <c r="L18" s="27">
        <f t="shared" si="5"/>
        <v>971.72701011599997</v>
      </c>
      <c r="M18" s="27">
        <f t="shared" si="5"/>
        <v>805.29884171952949</v>
      </c>
      <c r="N18" s="27">
        <f t="shared" si="5"/>
        <v>335.15355463952937</v>
      </c>
      <c r="O18" s="13"/>
      <c r="P18" s="28"/>
      <c r="Q18" s="28"/>
      <c r="R18" s="29"/>
    </row>
    <row r="19" spans="1:18" ht="19.5" customHeight="1" x14ac:dyDescent="0.4">
      <c r="A19" s="1">
        <f t="shared" si="3"/>
        <v>16</v>
      </c>
      <c r="B19" s="22" t="s">
        <v>31</v>
      </c>
      <c r="C19" s="26" t="s">
        <v>32</v>
      </c>
      <c r="D19" s="26"/>
      <c r="E19" s="30">
        <f>ТО!F9/1000</f>
        <v>49.599955737568621</v>
      </c>
      <c r="F19" s="30">
        <f>ТО!G9/1000</f>
        <v>41.134557139529406</v>
      </c>
      <c r="G19" s="30">
        <f>ТО!H9/1000</f>
        <v>41.134557139529406</v>
      </c>
      <c r="H19" s="30">
        <f>ТО!I9/1000</f>
        <v>41.134557139529406</v>
      </c>
      <c r="I19" s="30">
        <f>ТО!J9/1000</f>
        <v>41.134557139529406</v>
      </c>
      <c r="J19" s="30">
        <f>ТО!K9/1000</f>
        <v>41.134557139529406</v>
      </c>
      <c r="K19" s="30">
        <f>ТО!L9/1000</f>
        <v>41.134557139529406</v>
      </c>
      <c r="L19" s="30">
        <f>ТО!M9/1000</f>
        <v>41.134557139529406</v>
      </c>
      <c r="M19" s="30">
        <f>ТО!N9/1000</f>
        <v>41.134557139529406</v>
      </c>
      <c r="N19" s="30">
        <f>ТО!O9/1000</f>
        <v>41.134557139529406</v>
      </c>
      <c r="O19" s="13"/>
      <c r="Q19" s="28"/>
    </row>
    <row r="20" spans="1:18" ht="19.5" customHeight="1" x14ac:dyDescent="0.4">
      <c r="A20" s="1">
        <f t="shared" si="3"/>
        <v>17</v>
      </c>
      <c r="B20" s="22" t="s">
        <v>33</v>
      </c>
      <c r="C20" s="26" t="s">
        <v>32</v>
      </c>
      <c r="D20" s="26"/>
      <c r="E20" s="30">
        <f>'Ремонты '!F11/1000</f>
        <v>15.01122</v>
      </c>
      <c r="F20" s="30">
        <f>'Ремонты '!G11/1000</f>
        <v>77.064600000000013</v>
      </c>
      <c r="G20" s="30">
        <f>'Ремонты '!H11/1000</f>
        <v>50.720669999999998</v>
      </c>
      <c r="H20" s="30">
        <f>'Ремонты '!I11/1000</f>
        <v>89.861000000000004</v>
      </c>
      <c r="I20" s="30">
        <f>'Ремонты '!J11/1000</f>
        <v>60.140949999999997</v>
      </c>
      <c r="J20" s="30">
        <f>'Ремонты '!K11/1000</f>
        <v>102.8737</v>
      </c>
      <c r="K20" s="30">
        <f>'Ремонты '!L11/1000</f>
        <v>80.547399999999996</v>
      </c>
      <c r="L20" s="30">
        <f>'Ремонты '!M11/1000</f>
        <v>64.172229999999999</v>
      </c>
      <c r="M20" s="30">
        <f>'Ремонты '!N11/1000</f>
        <v>74.322850000000003</v>
      </c>
      <c r="N20" s="30">
        <f>'Ремонты '!O11/1000</f>
        <v>90.365774999999999</v>
      </c>
      <c r="O20" s="13"/>
    </row>
    <row r="21" spans="1:18" ht="24.9" x14ac:dyDescent="0.4">
      <c r="A21" s="1">
        <f t="shared" si="3"/>
        <v>18</v>
      </c>
      <c r="B21" s="22" t="s">
        <v>34</v>
      </c>
      <c r="C21" s="26" t="s">
        <v>32</v>
      </c>
      <c r="D21" s="26"/>
      <c r="E21" s="30">
        <f>'Ремонты '!F12/1000</f>
        <v>0</v>
      </c>
      <c r="F21" s="30">
        <f>'Ремонты '!G12/1000</f>
        <v>0</v>
      </c>
      <c r="G21" s="30">
        <f>'Ремонты '!H12/1000</f>
        <v>410.92820117999997</v>
      </c>
      <c r="H21" s="30">
        <f>'Ремонты '!I12/1000</f>
        <v>652.53180929999996</v>
      </c>
      <c r="I21" s="30">
        <f>'Ремонты '!J12/1000</f>
        <v>158.40500970000002</v>
      </c>
      <c r="J21" s="30">
        <f>'Ремонты '!K12/1000</f>
        <v>339.48320237999997</v>
      </c>
      <c r="K21" s="30">
        <f>'Ремонты '!L12/1000</f>
        <v>71.444998800000008</v>
      </c>
      <c r="L21" s="30">
        <f>'Ремонты '!M12/1000</f>
        <v>721.65700047647056</v>
      </c>
      <c r="M21" s="30">
        <f>'Ремонты '!N12/1000</f>
        <v>497.88821208000002</v>
      </c>
      <c r="N21" s="30">
        <f>'Ремонты '!O12/1000</f>
        <v>0</v>
      </c>
      <c r="O21" s="13"/>
    </row>
    <row r="22" spans="1:18" ht="16.5" customHeight="1" x14ac:dyDescent="0.4">
      <c r="A22" s="1">
        <f t="shared" si="3"/>
        <v>19</v>
      </c>
      <c r="B22" s="22" t="s">
        <v>35</v>
      </c>
      <c r="C22" s="26" t="s">
        <v>32</v>
      </c>
      <c r="D22" s="26"/>
      <c r="E22" s="30">
        <f>ТО!F10/1000</f>
        <v>46.483222499999989</v>
      </c>
      <c r="F22" s="30">
        <f>ТО!G10/1000</f>
        <v>46.483222499999989</v>
      </c>
      <c r="G22" s="30">
        <f>ТО!H10/1000</f>
        <v>46.483222499999989</v>
      </c>
      <c r="H22" s="30">
        <f>ТО!I10/1000</f>
        <v>46.483222499999989</v>
      </c>
      <c r="I22" s="30">
        <f>ТО!J10/1000</f>
        <v>46.483222499999989</v>
      </c>
      <c r="J22" s="30">
        <f>ТО!K10/1000</f>
        <v>46.483222499999989</v>
      </c>
      <c r="K22" s="30">
        <f>ТО!L10/1000</f>
        <v>46.483222499999989</v>
      </c>
      <c r="L22" s="30">
        <f>ТО!M10/1000</f>
        <v>46.483222499999989</v>
      </c>
      <c r="M22" s="30">
        <f>ТО!N10/1000</f>
        <v>46.483222499999989</v>
      </c>
      <c r="N22" s="30">
        <f>ТО!O10/1000</f>
        <v>46.483222499999989</v>
      </c>
      <c r="O22" s="13"/>
    </row>
    <row r="23" spans="1:18" ht="16.5" customHeight="1" x14ac:dyDescent="0.4">
      <c r="A23" s="1">
        <f t="shared" si="3"/>
        <v>20</v>
      </c>
      <c r="B23" s="22" t="s">
        <v>36</v>
      </c>
      <c r="C23" s="26" t="s">
        <v>32</v>
      </c>
      <c r="D23" s="26"/>
      <c r="E23" s="30">
        <f>'Ремонты '!F13/1000</f>
        <v>17.55</v>
      </c>
      <c r="F23" s="30">
        <f>'Ремонты '!G13/1000</f>
        <v>44.33</v>
      </c>
      <c r="G23" s="30">
        <f>'Ремонты '!H13/1000</f>
        <v>66.17</v>
      </c>
      <c r="H23" s="30">
        <f>'Ремонты '!I13/1000</f>
        <v>81.510000000000005</v>
      </c>
      <c r="I23" s="30">
        <f>'Ремонты '!J13/1000</f>
        <v>58.5</v>
      </c>
      <c r="J23" s="30">
        <f>'Ремонты '!K13/1000</f>
        <v>106.99</v>
      </c>
      <c r="K23" s="30">
        <f>'Ремонты '!L13/1000</f>
        <v>83.85</v>
      </c>
      <c r="L23" s="30">
        <f>'Ремонты '!M13/1000</f>
        <v>98.28</v>
      </c>
      <c r="M23" s="30">
        <f>'Ремонты '!N13/1000</f>
        <v>145.47</v>
      </c>
      <c r="N23" s="30">
        <f>'Ремонты '!O13/1000</f>
        <v>157.16999999999999</v>
      </c>
      <c r="O23" s="13"/>
    </row>
    <row r="24" spans="1:18" ht="19.5" customHeight="1" x14ac:dyDescent="0.4">
      <c r="A24" s="1">
        <f t="shared" si="3"/>
        <v>21</v>
      </c>
      <c r="B24" s="31" t="s">
        <v>37</v>
      </c>
      <c r="C24" s="26"/>
      <c r="D24" s="26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13"/>
    </row>
    <row r="25" spans="1:18" ht="15" customHeight="1" x14ac:dyDescent="0.4">
      <c r="A25" s="1">
        <f t="shared" si="3"/>
        <v>22</v>
      </c>
      <c r="B25" s="33" t="s">
        <v>38</v>
      </c>
      <c r="C25" s="26"/>
      <c r="D25" s="34" t="s">
        <v>39</v>
      </c>
      <c r="E25" s="35" t="s">
        <v>39</v>
      </c>
      <c r="F25" s="35"/>
      <c r="G25" s="35"/>
      <c r="H25" s="35"/>
      <c r="I25" s="35"/>
      <c r="J25" s="35"/>
      <c r="K25" s="35"/>
      <c r="L25" s="35"/>
      <c r="M25" s="35"/>
      <c r="N25" s="35"/>
      <c r="O25" s="13"/>
    </row>
    <row r="26" spans="1:18" ht="14.6" x14ac:dyDescent="0.4">
      <c r="A26" s="1">
        <f t="shared" si="3"/>
        <v>23</v>
      </c>
      <c r="B26" s="33" t="s">
        <v>40</v>
      </c>
      <c r="C26" s="26"/>
      <c r="D26" s="36" t="s">
        <v>41</v>
      </c>
      <c r="E26" s="37" t="s">
        <v>42</v>
      </c>
      <c r="F26" s="37"/>
      <c r="G26" s="37"/>
      <c r="H26" s="37"/>
      <c r="I26" s="37"/>
      <c r="J26" s="37"/>
      <c r="K26" s="37"/>
      <c r="L26" s="37"/>
      <c r="M26" s="37"/>
      <c r="N26" s="37"/>
      <c r="O26" s="13" t="s">
        <v>43</v>
      </c>
    </row>
    <row r="27" spans="1:18" x14ac:dyDescent="0.4">
      <c r="A27" s="1">
        <f t="shared" si="3"/>
        <v>24</v>
      </c>
      <c r="B27" s="31" t="s">
        <v>44</v>
      </c>
      <c r="C27" s="26"/>
      <c r="D27" s="26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13"/>
    </row>
    <row r="28" spans="1:18" x14ac:dyDescent="0.4">
      <c r="A28" s="1">
        <f t="shared" si="3"/>
        <v>25</v>
      </c>
      <c r="B28" s="33" t="s">
        <v>45</v>
      </c>
      <c r="C28" s="26" t="s">
        <v>46</v>
      </c>
      <c r="D28" s="38"/>
      <c r="E28" s="37" t="s">
        <v>47</v>
      </c>
      <c r="F28" s="37"/>
      <c r="G28" s="37"/>
      <c r="H28" s="37"/>
      <c r="I28" s="37"/>
      <c r="J28" s="37"/>
      <c r="K28" s="37"/>
      <c r="L28" s="37"/>
      <c r="M28" s="37"/>
      <c r="N28" s="37"/>
      <c r="O28" s="13"/>
    </row>
    <row r="29" spans="1:18" x14ac:dyDescent="0.4">
      <c r="A29" s="1">
        <f t="shared" si="3"/>
        <v>26</v>
      </c>
      <c r="B29" s="33" t="s">
        <v>48</v>
      </c>
      <c r="C29" s="26" t="s">
        <v>46</v>
      </c>
      <c r="D29" s="38"/>
      <c r="E29" s="37" t="s">
        <v>49</v>
      </c>
      <c r="F29" s="37"/>
      <c r="G29" s="37"/>
      <c r="H29" s="37"/>
      <c r="I29" s="37"/>
      <c r="J29" s="37"/>
      <c r="K29" s="37"/>
      <c r="L29" s="37"/>
      <c r="M29" s="37"/>
      <c r="N29" s="37"/>
      <c r="O29" s="13"/>
    </row>
    <row r="30" spans="1:18" x14ac:dyDescent="0.4">
      <c r="A30" s="1">
        <f t="shared" si="3"/>
        <v>27</v>
      </c>
      <c r="B30" s="33" t="s">
        <v>50</v>
      </c>
      <c r="C30" s="26" t="s">
        <v>46</v>
      </c>
      <c r="D30" s="38"/>
      <c r="E30" s="37" t="s">
        <v>51</v>
      </c>
      <c r="F30" s="37"/>
      <c r="G30" s="37"/>
      <c r="H30" s="37"/>
      <c r="I30" s="37"/>
      <c r="J30" s="37"/>
      <c r="K30" s="37"/>
      <c r="L30" s="37"/>
      <c r="M30" s="37"/>
      <c r="N30" s="37"/>
      <c r="O30" s="13"/>
    </row>
    <row r="31" spans="1:18" ht="18" customHeight="1" x14ac:dyDescent="0.4">
      <c r="A31" s="1">
        <f t="shared" si="3"/>
        <v>28</v>
      </c>
      <c r="B31" s="11" t="s">
        <v>52</v>
      </c>
      <c r="C31" s="39" t="s">
        <v>53</v>
      </c>
      <c r="D31" s="40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41"/>
    </row>
    <row r="32" spans="1:18" hidden="1" x14ac:dyDescent="0.4"/>
    <row r="33" spans="2:15" hidden="1" x14ac:dyDescent="0.4">
      <c r="B33" s="42" t="s">
        <v>54</v>
      </c>
      <c r="D33" s="3" t="s">
        <v>55</v>
      </c>
      <c r="E33" s="4">
        <f>E22/E13*1000</f>
        <v>194.99999999999997</v>
      </c>
      <c r="F33" s="4">
        <f t="shared" ref="F33:N33" si="6">F22/F13*1000</f>
        <v>194.99999999999997</v>
      </c>
      <c r="G33" s="4">
        <f t="shared" si="6"/>
        <v>194.99999999999997</v>
      </c>
      <c r="H33" s="4">
        <f t="shared" si="6"/>
        <v>194.99999999999997</v>
      </c>
      <c r="I33" s="4">
        <f t="shared" si="6"/>
        <v>194.99999999999997</v>
      </c>
      <c r="J33" s="4">
        <f t="shared" si="6"/>
        <v>194.99999999999997</v>
      </c>
      <c r="K33" s="4">
        <f t="shared" si="6"/>
        <v>194.99999999999997</v>
      </c>
      <c r="L33" s="4">
        <f t="shared" si="6"/>
        <v>194.99999999999997</v>
      </c>
      <c r="M33" s="4">
        <f t="shared" si="6"/>
        <v>194.99999999999997</v>
      </c>
      <c r="N33" s="4">
        <f t="shared" si="6"/>
        <v>194.99999999999997</v>
      </c>
    </row>
    <row r="34" spans="2:15" hidden="1" x14ac:dyDescent="0.4">
      <c r="D34" s="3" t="s">
        <v>56</v>
      </c>
      <c r="E34" s="4">
        <f>E33/ТО!$E$10</f>
        <v>2.9999999999999996</v>
      </c>
      <c r="F34" s="4">
        <f>F33/ТО!$E$10</f>
        <v>2.9999999999999996</v>
      </c>
      <c r="G34" s="4">
        <f>G33/ТО!$E$10</f>
        <v>2.9999999999999996</v>
      </c>
      <c r="H34" s="4">
        <f>H33/ТО!$E$10</f>
        <v>2.9999999999999996</v>
      </c>
      <c r="I34" s="4">
        <f>I33/ТО!$E$10</f>
        <v>2.9999999999999996</v>
      </c>
      <c r="J34" s="4">
        <f>J33/ТО!$E$10</f>
        <v>2.9999999999999996</v>
      </c>
      <c r="K34" s="4">
        <f>K33/ТО!$E$10</f>
        <v>2.9999999999999996</v>
      </c>
      <c r="L34" s="4">
        <f>L33/ТО!$E$10</f>
        <v>2.9999999999999996</v>
      </c>
      <c r="M34" s="4">
        <f>M33/ТО!$E$10</f>
        <v>2.9999999999999996</v>
      </c>
      <c r="N34" s="4">
        <f>N33/ТО!$E$10</f>
        <v>2.9999999999999996</v>
      </c>
      <c r="O34" s="1" t="s">
        <v>57</v>
      </c>
    </row>
    <row r="35" spans="2:15" hidden="1" x14ac:dyDescent="0.4">
      <c r="D35" s="3" t="s">
        <v>58</v>
      </c>
      <c r="E35" s="4">
        <f>E23/E14*1000</f>
        <v>130</v>
      </c>
      <c r="F35" s="4">
        <f t="shared" ref="F35:N35" si="7">F23/F14*1000</f>
        <v>130</v>
      </c>
      <c r="G35" s="4">
        <f t="shared" si="7"/>
        <v>158.42777334397448</v>
      </c>
      <c r="H35" s="4">
        <f t="shared" si="7"/>
        <v>138.62244897959184</v>
      </c>
      <c r="I35" s="4">
        <f t="shared" si="7"/>
        <v>145.52238805970148</v>
      </c>
      <c r="J35" s="4">
        <f t="shared" si="7"/>
        <v>157.26114649681529</v>
      </c>
      <c r="K35" s="4">
        <f t="shared" si="7"/>
        <v>152.73224043715848</v>
      </c>
      <c r="L35" s="4">
        <f t="shared" si="7"/>
        <v>201.80698151950719</v>
      </c>
      <c r="M35" s="4">
        <f t="shared" si="7"/>
        <v>183.44262295081967</v>
      </c>
      <c r="N35" s="4">
        <f t="shared" si="7"/>
        <v>186.58884052235851</v>
      </c>
    </row>
    <row r="36" spans="2:15" hidden="1" x14ac:dyDescent="0.4">
      <c r="D36" s="3" t="s">
        <v>59</v>
      </c>
      <c r="E36" s="4" t="e">
        <f>E35/#REF!</f>
        <v>#REF!</v>
      </c>
      <c r="F36" s="4" t="e">
        <f>F35/#REF!</f>
        <v>#REF!</v>
      </c>
      <c r="G36" s="4" t="e">
        <f>G35/#REF!</f>
        <v>#REF!</v>
      </c>
      <c r="H36" s="43" t="e">
        <f>H35/#REF!</f>
        <v>#REF!</v>
      </c>
      <c r="I36" s="4" t="e">
        <f>I35/#REF!</f>
        <v>#REF!</v>
      </c>
      <c r="J36" s="4" t="e">
        <f>J35/#REF!</f>
        <v>#REF!</v>
      </c>
      <c r="K36" s="4" t="e">
        <f>K35/#REF!</f>
        <v>#REF!</v>
      </c>
      <c r="L36" s="4" t="e">
        <f>L35/#REF!</f>
        <v>#REF!</v>
      </c>
      <c r="M36" s="4" t="e">
        <f>M35/#REF!</f>
        <v>#REF!</v>
      </c>
      <c r="N36" s="43" t="e">
        <f>N35/#REF!</f>
        <v>#REF!</v>
      </c>
    </row>
    <row r="37" spans="2:15" hidden="1" x14ac:dyDescent="0.4"/>
    <row r="38" spans="2:15" hidden="1" x14ac:dyDescent="0.4"/>
    <row r="39" spans="2:15" hidden="1" x14ac:dyDescent="0.4">
      <c r="C39" s="3" t="s">
        <v>60</v>
      </c>
      <c r="D39" s="3">
        <f>ТО!E10</f>
        <v>65</v>
      </c>
      <c r="E39" s="44" t="s">
        <v>61</v>
      </c>
    </row>
    <row r="40" spans="2:15" hidden="1" x14ac:dyDescent="0.4">
      <c r="C40" s="3" t="s">
        <v>62</v>
      </c>
      <c r="D40" s="3" t="e">
        <f>#REF!</f>
        <v>#REF!</v>
      </c>
    </row>
    <row r="41" spans="2:15" hidden="1" x14ac:dyDescent="0.4"/>
    <row r="42" spans="2:15" x14ac:dyDescent="0.4">
      <c r="B42" s="42" t="s">
        <v>63</v>
      </c>
    </row>
    <row r="43" spans="2:15" x14ac:dyDescent="0.4">
      <c r="B43" s="218" t="s">
        <v>64</v>
      </c>
      <c r="C43" s="218"/>
      <c r="D43" s="218"/>
    </row>
    <row r="44" spans="2:15" x14ac:dyDescent="0.4">
      <c r="B44" s="42" t="s">
        <v>198</v>
      </c>
    </row>
  </sheetData>
  <mergeCells count="1">
    <mergeCell ref="B43:D43"/>
  </mergeCells>
  <pageMargins left="0" right="0" top="0.31496062992125984" bottom="0.39370078740157483" header="0.15748031496062992" footer="0.15748031496062992"/>
  <pageSetup paperSize="9" scale="70" orientation="landscape" r:id="rId1"/>
  <headerFooter alignWithMargins="0">
    <oddFooter>&amp;R&amp;"Arial Cyr,полужирный курсив"&amp;12&amp;A,  стр.&amp;P из &amp;N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D6552-37F7-432C-A5A3-38EEE1574E7E}">
  <sheetPr>
    <pageSetUpPr fitToPage="1"/>
  </sheetPr>
  <dimension ref="A2:R66"/>
  <sheetViews>
    <sheetView zoomScale="85" zoomScaleNormal="85" workbookViewId="0">
      <pane xSplit="4" ySplit="4" topLeftCell="E5" activePane="bottomRight" state="frozen"/>
      <selection activeCell="B43" sqref="B43:D43"/>
      <selection pane="topRight" activeCell="B43" sqref="B43:D43"/>
      <selection pane="bottomLeft" activeCell="B43" sqref="B43:D43"/>
      <selection pane="bottomRight" activeCell="B43" sqref="B43:D43"/>
    </sheetView>
  </sheetViews>
  <sheetFormatPr defaultRowHeight="14.6" x14ac:dyDescent="0.4"/>
  <cols>
    <col min="1" max="1" width="48.15234375" customWidth="1"/>
    <col min="2" max="2" width="33.3828125" customWidth="1"/>
    <col min="3" max="3" width="14.69140625" customWidth="1"/>
    <col min="4" max="4" width="14" customWidth="1"/>
    <col min="5" max="5" width="9.3046875" bestFit="1" customWidth="1"/>
    <col min="6" max="16" width="10" customWidth="1"/>
  </cols>
  <sheetData>
    <row r="2" spans="1:18" x14ac:dyDescent="0.4">
      <c r="A2" s="2" t="s">
        <v>0</v>
      </c>
      <c r="B2" s="45" t="str">
        <f>'Данные -Карьерный самосвал'!C3</f>
        <v>Марка, модель</v>
      </c>
      <c r="C2" s="46" t="str">
        <f>'Данные -Карьерный самосвал'!D3</f>
        <v>7531N</v>
      </c>
    </row>
    <row r="3" spans="1:18" ht="15" thickBot="1" x14ac:dyDescent="0.45">
      <c r="A3" t="s">
        <v>65</v>
      </c>
      <c r="F3" s="47">
        <f>'Данные -Карьерный самосвал'!E12</f>
        <v>0.9307834141933029</v>
      </c>
      <c r="G3" s="47">
        <f>'Данные -Карьерный самосвал'!F12</f>
        <v>0.90792065417300871</v>
      </c>
      <c r="H3" s="47">
        <f>'Данные -Карьерный самосвал'!G12</f>
        <v>0.8994118599906985</v>
      </c>
      <c r="I3" s="47">
        <f>'Данные -Карьерный самосвал'!H12</f>
        <v>0.88050753900304413</v>
      </c>
      <c r="J3" s="47">
        <f>'Данные -Карьерный самосвал'!I12</f>
        <v>0.9011506135844749</v>
      </c>
      <c r="K3" s="47">
        <f>'Данные -Карьерный самосвал'!J12</f>
        <v>0.87025999122695752</v>
      </c>
      <c r="L3" s="47">
        <f>'Данные -Карьерный самосвал'!K12</f>
        <v>0.85058935026636229</v>
      </c>
      <c r="M3" s="47">
        <f>'Данные -Карьерный самосвал'!L12</f>
        <v>0.89171695046930488</v>
      </c>
      <c r="N3" s="47">
        <f>'Данные -Карьерный самосвал'!M12</f>
        <v>0.85775576325469305</v>
      </c>
      <c r="O3" s="47">
        <f>'Данные -Карьерный самосвал'!N12</f>
        <v>0.85228053917216307</v>
      </c>
      <c r="P3" s="47"/>
    </row>
    <row r="4" spans="1:18" ht="22.2" customHeight="1" thickBot="1" x14ac:dyDescent="0.45">
      <c r="A4" s="48" t="s">
        <v>66</v>
      </c>
      <c r="B4" s="49" t="s">
        <v>7</v>
      </c>
      <c r="C4" s="50"/>
      <c r="D4" s="51"/>
      <c r="E4" s="52"/>
      <c r="F4" s="53">
        <f>D4+1</f>
        <v>1</v>
      </c>
      <c r="G4" s="53">
        <f>F4+1</f>
        <v>2</v>
      </c>
      <c r="H4" s="53">
        <f t="shared" ref="H4:O4" si="0">G4+1</f>
        <v>3</v>
      </c>
      <c r="I4" s="53">
        <f t="shared" si="0"/>
        <v>4</v>
      </c>
      <c r="J4" s="53">
        <f t="shared" si="0"/>
        <v>5</v>
      </c>
      <c r="K4" s="53">
        <f t="shared" si="0"/>
        <v>6</v>
      </c>
      <c r="L4" s="53">
        <f t="shared" si="0"/>
        <v>7</v>
      </c>
      <c r="M4" s="53">
        <f t="shared" si="0"/>
        <v>8</v>
      </c>
      <c r="N4" s="53">
        <f t="shared" si="0"/>
        <v>9</v>
      </c>
      <c r="O4" s="53">
        <f t="shared" si="0"/>
        <v>10</v>
      </c>
      <c r="P4" s="54"/>
    </row>
    <row r="5" spans="1:18" x14ac:dyDescent="0.4">
      <c r="A5" s="55" t="s">
        <v>67</v>
      </c>
      <c r="B5" s="56" t="s">
        <v>68</v>
      </c>
      <c r="C5" s="57"/>
      <c r="D5" s="58"/>
      <c r="E5" s="59"/>
      <c r="F5" s="60">
        <v>0</v>
      </c>
      <c r="G5" s="60">
        <f>F6+1</f>
        <v>7001</v>
      </c>
      <c r="H5" s="60">
        <f t="shared" ref="H5:O5" si="1">G6+1</f>
        <v>14001</v>
      </c>
      <c r="I5" s="60">
        <f t="shared" si="1"/>
        <v>21001</v>
      </c>
      <c r="J5" s="60">
        <f t="shared" si="1"/>
        <v>28001</v>
      </c>
      <c r="K5" s="60">
        <f t="shared" si="1"/>
        <v>35001</v>
      </c>
      <c r="L5" s="60">
        <f t="shared" si="1"/>
        <v>42001</v>
      </c>
      <c r="M5" s="60">
        <f t="shared" si="1"/>
        <v>49001</v>
      </c>
      <c r="N5" s="60">
        <f t="shared" si="1"/>
        <v>56001</v>
      </c>
      <c r="O5" s="60">
        <f t="shared" si="1"/>
        <v>63001</v>
      </c>
      <c r="P5" s="61"/>
    </row>
    <row r="6" spans="1:18" x14ac:dyDescent="0.4">
      <c r="A6" s="62" t="s">
        <v>69</v>
      </c>
      <c r="B6" s="63" t="s">
        <v>68</v>
      </c>
      <c r="C6" s="64"/>
      <c r="D6" s="65"/>
      <c r="E6" s="66">
        <v>7000</v>
      </c>
      <c r="F6" s="67">
        <f>E6</f>
        <v>7000</v>
      </c>
      <c r="G6" s="67">
        <f t="shared" ref="G6:O6" si="2">F6+$E6</f>
        <v>14000</v>
      </c>
      <c r="H6" s="67">
        <f t="shared" si="2"/>
        <v>21000</v>
      </c>
      <c r="I6" s="67">
        <f t="shared" si="2"/>
        <v>28000</v>
      </c>
      <c r="J6" s="67">
        <f t="shared" si="2"/>
        <v>35000</v>
      </c>
      <c r="K6" s="67">
        <f t="shared" si="2"/>
        <v>42000</v>
      </c>
      <c r="L6" s="67">
        <f t="shared" si="2"/>
        <v>49000</v>
      </c>
      <c r="M6" s="67">
        <f t="shared" si="2"/>
        <v>56000</v>
      </c>
      <c r="N6" s="67">
        <f t="shared" si="2"/>
        <v>63000</v>
      </c>
      <c r="O6" s="67">
        <f t="shared" si="2"/>
        <v>70000</v>
      </c>
      <c r="P6" s="61"/>
    </row>
    <row r="7" spans="1:18" ht="21.75" customHeight="1" x14ac:dyDescent="0.4">
      <c r="A7" s="68" t="s">
        <v>70</v>
      </c>
      <c r="B7" s="69" t="s">
        <v>71</v>
      </c>
      <c r="C7" s="19"/>
      <c r="D7" s="70"/>
      <c r="E7" s="71"/>
      <c r="F7" s="23">
        <f>F13</f>
        <v>238.37549999999996</v>
      </c>
      <c r="G7" s="23">
        <f t="shared" ref="G7:O7" si="3">G13</f>
        <v>238.37549999999996</v>
      </c>
      <c r="H7" s="23">
        <f t="shared" si="3"/>
        <v>238.37549999999996</v>
      </c>
      <c r="I7" s="23">
        <f t="shared" si="3"/>
        <v>238.37549999999996</v>
      </c>
      <c r="J7" s="23">
        <f t="shared" si="3"/>
        <v>238.37549999999996</v>
      </c>
      <c r="K7" s="23">
        <f t="shared" si="3"/>
        <v>238.37549999999996</v>
      </c>
      <c r="L7" s="23">
        <f t="shared" si="3"/>
        <v>238.37549999999996</v>
      </c>
      <c r="M7" s="23">
        <f t="shared" si="3"/>
        <v>238.37549999999996</v>
      </c>
      <c r="N7" s="23">
        <f t="shared" si="3"/>
        <v>238.37549999999996</v>
      </c>
      <c r="O7" s="23">
        <f t="shared" si="3"/>
        <v>238.37549999999996</v>
      </c>
      <c r="P7" s="72"/>
    </row>
    <row r="8" spans="1:18" ht="21" customHeight="1" x14ac:dyDescent="0.4">
      <c r="A8" s="73" t="s">
        <v>72</v>
      </c>
      <c r="B8" s="74" t="s">
        <v>73</v>
      </c>
      <c r="C8" s="26"/>
      <c r="D8" s="70"/>
      <c r="E8" s="71"/>
      <c r="F8" s="75">
        <f t="shared" ref="F8:O8" si="4">SUM(F9:F10)</f>
        <v>96083.178237568616</v>
      </c>
      <c r="G8" s="75">
        <f t="shared" si="4"/>
        <v>87617.779639529384</v>
      </c>
      <c r="H8" s="75">
        <f t="shared" si="4"/>
        <v>87617.779639529384</v>
      </c>
      <c r="I8" s="75">
        <f t="shared" si="4"/>
        <v>87617.779639529384</v>
      </c>
      <c r="J8" s="75">
        <f t="shared" si="4"/>
        <v>87617.779639529384</v>
      </c>
      <c r="K8" s="75">
        <f t="shared" si="4"/>
        <v>87617.779639529384</v>
      </c>
      <c r="L8" s="75">
        <f t="shared" si="4"/>
        <v>87617.779639529384</v>
      </c>
      <c r="M8" s="75">
        <f t="shared" si="4"/>
        <v>87617.779639529384</v>
      </c>
      <c r="N8" s="75">
        <f t="shared" si="4"/>
        <v>87617.779639529384</v>
      </c>
      <c r="O8" s="75">
        <f t="shared" si="4"/>
        <v>87617.779639529384</v>
      </c>
      <c r="P8" s="76"/>
    </row>
    <row r="9" spans="1:18" ht="20.25" customHeight="1" x14ac:dyDescent="0.4">
      <c r="A9" s="77" t="s">
        <v>74</v>
      </c>
      <c r="B9" s="78" t="s">
        <v>73</v>
      </c>
      <c r="C9" s="79"/>
      <c r="D9" s="80"/>
      <c r="E9" s="81"/>
      <c r="F9" s="30">
        <f>F24</f>
        <v>49599.95573756862</v>
      </c>
      <c r="G9" s="30">
        <f>G24</f>
        <v>41134.557139529403</v>
      </c>
      <c r="H9" s="30">
        <f t="shared" ref="H9:O9" si="5">H24</f>
        <v>41134.557139529403</v>
      </c>
      <c r="I9" s="30">
        <f t="shared" si="5"/>
        <v>41134.557139529403</v>
      </c>
      <c r="J9" s="30">
        <f t="shared" si="5"/>
        <v>41134.557139529403</v>
      </c>
      <c r="K9" s="30">
        <f t="shared" si="5"/>
        <v>41134.557139529403</v>
      </c>
      <c r="L9" s="30">
        <f t="shared" si="5"/>
        <v>41134.557139529403</v>
      </c>
      <c r="M9" s="30">
        <f t="shared" si="5"/>
        <v>41134.557139529403</v>
      </c>
      <c r="N9" s="30">
        <f t="shared" si="5"/>
        <v>41134.557139529403</v>
      </c>
      <c r="O9" s="30">
        <f t="shared" si="5"/>
        <v>41134.557139529403</v>
      </c>
      <c r="P9" s="82"/>
    </row>
    <row r="10" spans="1:18" ht="23.25" customHeight="1" thickBot="1" x14ac:dyDescent="0.45">
      <c r="A10" s="83" t="s">
        <v>75</v>
      </c>
      <c r="B10" s="84" t="s">
        <v>73</v>
      </c>
      <c r="C10" s="85"/>
      <c r="D10" s="86"/>
      <c r="E10" s="87">
        <v>65</v>
      </c>
      <c r="F10" s="88">
        <f t="shared" ref="F10:O10" si="6">SUMPRODUCT(F15:F21,$E$15:$E$21)*$E10</f>
        <v>46483.222499999989</v>
      </c>
      <c r="G10" s="88">
        <f t="shared" si="6"/>
        <v>46483.222499999989</v>
      </c>
      <c r="H10" s="88">
        <f t="shared" si="6"/>
        <v>46483.222499999989</v>
      </c>
      <c r="I10" s="88">
        <f t="shared" si="6"/>
        <v>46483.222499999989</v>
      </c>
      <c r="J10" s="88">
        <f t="shared" si="6"/>
        <v>46483.222499999989</v>
      </c>
      <c r="K10" s="88">
        <f t="shared" si="6"/>
        <v>46483.222499999989</v>
      </c>
      <c r="L10" s="88">
        <f t="shared" si="6"/>
        <v>46483.222499999989</v>
      </c>
      <c r="M10" s="88">
        <f t="shared" si="6"/>
        <v>46483.222499999989</v>
      </c>
      <c r="N10" s="88">
        <f t="shared" si="6"/>
        <v>46483.222499999989</v>
      </c>
      <c r="O10" s="88">
        <f t="shared" si="6"/>
        <v>46483.222499999989</v>
      </c>
      <c r="P10" s="82"/>
    </row>
    <row r="11" spans="1:18" ht="15" thickBot="1" x14ac:dyDescent="0.45">
      <c r="A11" s="219"/>
      <c r="B11" s="220"/>
      <c r="C11" s="220"/>
      <c r="D11" s="220"/>
      <c r="E11" s="220"/>
      <c r="F11" s="220"/>
      <c r="G11" s="220"/>
      <c r="H11" s="220"/>
      <c r="I11" s="220"/>
      <c r="J11" s="220"/>
      <c r="K11" s="220"/>
      <c r="L11" s="220"/>
      <c r="M11" s="220"/>
      <c r="N11" s="220"/>
      <c r="O11" s="220"/>
      <c r="P11" s="89"/>
    </row>
    <row r="12" spans="1:18" ht="34.75" x14ac:dyDescent="0.4">
      <c r="A12" s="90" t="s">
        <v>76</v>
      </c>
      <c r="B12" s="91" t="s">
        <v>77</v>
      </c>
      <c r="C12" s="92" t="s">
        <v>78</v>
      </c>
      <c r="D12" s="93" t="s">
        <v>79</v>
      </c>
      <c r="E12" s="94" t="s">
        <v>80</v>
      </c>
      <c r="F12" s="95" t="s">
        <v>81</v>
      </c>
      <c r="G12" s="95" t="s">
        <v>81</v>
      </c>
      <c r="H12" s="95" t="s">
        <v>81</v>
      </c>
      <c r="I12" s="95" t="s">
        <v>81</v>
      </c>
      <c r="J12" s="95" t="s">
        <v>81</v>
      </c>
      <c r="K12" s="95" t="s">
        <v>81</v>
      </c>
      <c r="L12" s="95" t="s">
        <v>81</v>
      </c>
      <c r="M12" s="95" t="s">
        <v>81</v>
      </c>
      <c r="N12" s="95" t="s">
        <v>81</v>
      </c>
      <c r="O12" s="95" t="s">
        <v>81</v>
      </c>
      <c r="P12" s="96"/>
    </row>
    <row r="13" spans="1:18" x14ac:dyDescent="0.4">
      <c r="A13" s="97" t="s">
        <v>82</v>
      </c>
      <c r="B13" s="98"/>
      <c r="C13" s="99"/>
      <c r="D13" s="100"/>
      <c r="E13" s="101"/>
      <c r="F13" s="102">
        <f t="shared" ref="F13:O13" si="7">SUM(F15:F21)</f>
        <v>238.37549999999996</v>
      </c>
      <c r="G13" s="102">
        <f t="shared" si="7"/>
        <v>238.37549999999996</v>
      </c>
      <c r="H13" s="102">
        <f t="shared" si="7"/>
        <v>238.37549999999996</v>
      </c>
      <c r="I13" s="102">
        <f t="shared" si="7"/>
        <v>238.37549999999996</v>
      </c>
      <c r="J13" s="102">
        <f t="shared" si="7"/>
        <v>238.37549999999996</v>
      </c>
      <c r="K13" s="102">
        <f t="shared" si="7"/>
        <v>238.37549999999996</v>
      </c>
      <c r="L13" s="102">
        <f t="shared" si="7"/>
        <v>238.37549999999996</v>
      </c>
      <c r="M13" s="102">
        <f t="shared" si="7"/>
        <v>238.37549999999996</v>
      </c>
      <c r="N13" s="102">
        <f t="shared" si="7"/>
        <v>238.37549999999996</v>
      </c>
      <c r="O13" s="102">
        <f t="shared" si="7"/>
        <v>238.37549999999996</v>
      </c>
      <c r="P13" s="103"/>
      <c r="Q13" t="s">
        <v>83</v>
      </c>
      <c r="R13" t="s">
        <v>84</v>
      </c>
    </row>
    <row r="14" spans="1:18" x14ac:dyDescent="0.4">
      <c r="A14" s="104" t="s">
        <v>85</v>
      </c>
      <c r="B14" s="105">
        <v>100</v>
      </c>
      <c r="C14" s="34">
        <f>Q14</f>
        <v>11.02</v>
      </c>
      <c r="D14" s="106">
        <v>1</v>
      </c>
      <c r="E14" s="107">
        <v>3</v>
      </c>
      <c r="F14" s="108">
        <f t="shared" ref="F14:O21" si="8">$D14*$C14</f>
        <v>11.02</v>
      </c>
      <c r="G14" s="108"/>
      <c r="H14" s="108"/>
      <c r="I14" s="108"/>
      <c r="J14" s="108"/>
      <c r="K14" s="108"/>
      <c r="L14" s="108"/>
      <c r="M14" s="108"/>
      <c r="N14" s="108"/>
      <c r="O14" s="108"/>
      <c r="P14" s="109"/>
      <c r="Q14">
        <f>ROUND(R14/3,2)</f>
        <v>11.02</v>
      </c>
      <c r="R14">
        <v>33.049999999999997</v>
      </c>
    </row>
    <row r="15" spans="1:18" x14ac:dyDescent="0.4">
      <c r="A15" s="104" t="s">
        <v>86</v>
      </c>
      <c r="B15" s="105">
        <v>250</v>
      </c>
      <c r="C15" s="34">
        <f t="shared" ref="C15:C21" si="9">Q15</f>
        <v>0.47</v>
      </c>
      <c r="D15" s="106">
        <v>14</v>
      </c>
      <c r="E15" s="107">
        <v>3</v>
      </c>
      <c r="F15" s="108">
        <f t="shared" si="8"/>
        <v>6.58</v>
      </c>
      <c r="G15" s="108">
        <f t="shared" si="8"/>
        <v>6.58</v>
      </c>
      <c r="H15" s="108">
        <f>$D15*$C15</f>
        <v>6.58</v>
      </c>
      <c r="I15" s="108">
        <f t="shared" si="8"/>
        <v>6.58</v>
      </c>
      <c r="J15" s="108">
        <f t="shared" si="8"/>
        <v>6.58</v>
      </c>
      <c r="K15" s="108">
        <f t="shared" si="8"/>
        <v>6.58</v>
      </c>
      <c r="L15" s="108">
        <f t="shared" si="8"/>
        <v>6.58</v>
      </c>
      <c r="M15" s="108">
        <f t="shared" si="8"/>
        <v>6.58</v>
      </c>
      <c r="N15" s="108">
        <f t="shared" si="8"/>
        <v>6.58</v>
      </c>
      <c r="O15" s="108">
        <f t="shared" si="8"/>
        <v>6.58</v>
      </c>
      <c r="P15" s="109"/>
      <c r="Q15">
        <f t="shared" ref="Q15:Q21" si="10">ROUND(R15/3,2)</f>
        <v>0.47</v>
      </c>
      <c r="R15">
        <v>1.4</v>
      </c>
    </row>
    <row r="16" spans="1:18" x14ac:dyDescent="0.4">
      <c r="A16" s="104" t="s">
        <v>87</v>
      </c>
      <c r="B16" s="105">
        <v>500</v>
      </c>
      <c r="C16" s="34">
        <f t="shared" si="9"/>
        <v>10.9</v>
      </c>
      <c r="D16" s="106">
        <v>7</v>
      </c>
      <c r="E16" s="107">
        <v>3</v>
      </c>
      <c r="F16" s="108">
        <f t="shared" si="8"/>
        <v>76.3</v>
      </c>
      <c r="G16" s="108">
        <f t="shared" si="8"/>
        <v>76.3</v>
      </c>
      <c r="H16" s="108">
        <f t="shared" si="8"/>
        <v>76.3</v>
      </c>
      <c r="I16" s="108">
        <f t="shared" si="8"/>
        <v>76.3</v>
      </c>
      <c r="J16" s="108">
        <f t="shared" si="8"/>
        <v>76.3</v>
      </c>
      <c r="K16" s="108">
        <f t="shared" si="8"/>
        <v>76.3</v>
      </c>
      <c r="L16" s="108">
        <f t="shared" si="8"/>
        <v>76.3</v>
      </c>
      <c r="M16" s="108">
        <f t="shared" si="8"/>
        <v>76.3</v>
      </c>
      <c r="N16" s="108">
        <f t="shared" si="8"/>
        <v>76.3</v>
      </c>
      <c r="O16" s="108">
        <f t="shared" si="8"/>
        <v>76.3</v>
      </c>
      <c r="P16" s="109"/>
      <c r="Q16">
        <f t="shared" si="10"/>
        <v>10.9</v>
      </c>
      <c r="R16">
        <v>32.700000000000003</v>
      </c>
    </row>
    <row r="17" spans="1:18" x14ac:dyDescent="0.4">
      <c r="A17" s="104" t="s">
        <v>88</v>
      </c>
      <c r="B17" s="105">
        <v>1000</v>
      </c>
      <c r="C17" s="34">
        <f t="shared" si="9"/>
        <v>18.079999999999998</v>
      </c>
      <c r="D17" s="106">
        <v>7</v>
      </c>
      <c r="E17" s="107">
        <v>3</v>
      </c>
      <c r="F17" s="108">
        <f t="shared" si="8"/>
        <v>126.55999999999999</v>
      </c>
      <c r="G17" s="108">
        <f t="shared" si="8"/>
        <v>126.55999999999999</v>
      </c>
      <c r="H17" s="108">
        <f t="shared" si="8"/>
        <v>126.55999999999999</v>
      </c>
      <c r="I17" s="108">
        <f t="shared" si="8"/>
        <v>126.55999999999999</v>
      </c>
      <c r="J17" s="108">
        <f t="shared" si="8"/>
        <v>126.55999999999999</v>
      </c>
      <c r="K17" s="108">
        <f t="shared" si="8"/>
        <v>126.55999999999999</v>
      </c>
      <c r="L17" s="108">
        <f t="shared" si="8"/>
        <v>126.55999999999999</v>
      </c>
      <c r="M17" s="108">
        <f t="shared" si="8"/>
        <v>126.55999999999999</v>
      </c>
      <c r="N17" s="108">
        <f t="shared" si="8"/>
        <v>126.55999999999999</v>
      </c>
      <c r="O17" s="108">
        <f t="shared" si="8"/>
        <v>126.55999999999999</v>
      </c>
      <c r="P17" s="109"/>
      <c r="Q17">
        <f t="shared" si="10"/>
        <v>18.079999999999998</v>
      </c>
      <c r="R17">
        <v>54.25</v>
      </c>
    </row>
    <row r="18" spans="1:18" x14ac:dyDescent="0.4">
      <c r="A18" s="110" t="s">
        <v>89</v>
      </c>
      <c r="B18" s="111">
        <v>2500</v>
      </c>
      <c r="C18" s="34">
        <f t="shared" si="9"/>
        <v>1.47</v>
      </c>
      <c r="D18" s="112">
        <v>2.8</v>
      </c>
      <c r="E18" s="107">
        <v>3</v>
      </c>
      <c r="F18" s="113">
        <f t="shared" si="8"/>
        <v>4.1159999999999997</v>
      </c>
      <c r="G18" s="108">
        <f t="shared" si="8"/>
        <v>4.1159999999999997</v>
      </c>
      <c r="H18" s="108">
        <f t="shared" si="8"/>
        <v>4.1159999999999997</v>
      </c>
      <c r="I18" s="108">
        <f t="shared" si="8"/>
        <v>4.1159999999999997</v>
      </c>
      <c r="J18" s="108">
        <f t="shared" si="8"/>
        <v>4.1159999999999997</v>
      </c>
      <c r="K18" s="108">
        <f t="shared" si="8"/>
        <v>4.1159999999999997</v>
      </c>
      <c r="L18" s="108">
        <f t="shared" si="8"/>
        <v>4.1159999999999997</v>
      </c>
      <c r="M18" s="108">
        <f t="shared" si="8"/>
        <v>4.1159999999999997</v>
      </c>
      <c r="N18" s="108">
        <f t="shared" si="8"/>
        <v>4.1159999999999997</v>
      </c>
      <c r="O18" s="108">
        <f t="shared" si="8"/>
        <v>4.1159999999999997</v>
      </c>
      <c r="P18" s="109"/>
      <c r="Q18">
        <f t="shared" si="10"/>
        <v>1.47</v>
      </c>
      <c r="R18">
        <v>4.4000000000000004</v>
      </c>
    </row>
    <row r="19" spans="1:18" x14ac:dyDescent="0.4">
      <c r="A19" s="110" t="s">
        <v>90</v>
      </c>
      <c r="B19" s="111">
        <v>4000</v>
      </c>
      <c r="C19" s="34">
        <f t="shared" si="9"/>
        <v>2.33</v>
      </c>
      <c r="D19" s="114">
        <v>1.75</v>
      </c>
      <c r="E19" s="107">
        <v>3</v>
      </c>
      <c r="F19" s="113">
        <f t="shared" si="8"/>
        <v>4.0775000000000006</v>
      </c>
      <c r="G19" s="108">
        <f t="shared" si="8"/>
        <v>4.0775000000000006</v>
      </c>
      <c r="H19" s="108">
        <f t="shared" si="8"/>
        <v>4.0775000000000006</v>
      </c>
      <c r="I19" s="108">
        <f t="shared" si="8"/>
        <v>4.0775000000000006</v>
      </c>
      <c r="J19" s="108">
        <f t="shared" si="8"/>
        <v>4.0775000000000006</v>
      </c>
      <c r="K19" s="108">
        <f t="shared" si="8"/>
        <v>4.0775000000000006</v>
      </c>
      <c r="L19" s="108">
        <f t="shared" si="8"/>
        <v>4.0775000000000006</v>
      </c>
      <c r="M19" s="108">
        <f t="shared" si="8"/>
        <v>4.0775000000000006</v>
      </c>
      <c r="N19" s="108">
        <f t="shared" si="8"/>
        <v>4.0775000000000006</v>
      </c>
      <c r="O19" s="108">
        <f t="shared" si="8"/>
        <v>4.0775000000000006</v>
      </c>
      <c r="P19" s="109"/>
      <c r="Q19">
        <f t="shared" si="10"/>
        <v>2.33</v>
      </c>
      <c r="R19">
        <v>7</v>
      </c>
    </row>
    <row r="20" spans="1:18" x14ac:dyDescent="0.4">
      <c r="A20" s="110" t="s">
        <v>91</v>
      </c>
      <c r="B20" s="111">
        <v>5000</v>
      </c>
      <c r="C20" s="34">
        <f t="shared" si="9"/>
        <v>2.4300000000000002</v>
      </c>
      <c r="D20" s="112">
        <v>1.4</v>
      </c>
      <c r="E20" s="107">
        <v>3</v>
      </c>
      <c r="F20" s="113">
        <f t="shared" si="8"/>
        <v>3.4020000000000001</v>
      </c>
      <c r="G20" s="108">
        <f t="shared" si="8"/>
        <v>3.4020000000000001</v>
      </c>
      <c r="H20" s="108">
        <f t="shared" si="8"/>
        <v>3.4020000000000001</v>
      </c>
      <c r="I20" s="108">
        <f t="shared" si="8"/>
        <v>3.4020000000000001</v>
      </c>
      <c r="J20" s="108">
        <f t="shared" si="8"/>
        <v>3.4020000000000001</v>
      </c>
      <c r="K20" s="108">
        <f t="shared" si="8"/>
        <v>3.4020000000000001</v>
      </c>
      <c r="L20" s="108">
        <f t="shared" si="8"/>
        <v>3.4020000000000001</v>
      </c>
      <c r="M20" s="108">
        <f t="shared" si="8"/>
        <v>3.4020000000000001</v>
      </c>
      <c r="N20" s="108">
        <f t="shared" si="8"/>
        <v>3.4020000000000001</v>
      </c>
      <c r="O20" s="108">
        <f t="shared" si="8"/>
        <v>3.4020000000000001</v>
      </c>
      <c r="P20" s="109"/>
      <c r="Q20">
        <f t="shared" si="10"/>
        <v>2.4300000000000002</v>
      </c>
      <c r="R20">
        <v>7.3</v>
      </c>
    </row>
    <row r="21" spans="1:18" ht="15" thickBot="1" x14ac:dyDescent="0.45">
      <c r="A21" s="115" t="s">
        <v>92</v>
      </c>
      <c r="B21" s="116">
        <v>3500</v>
      </c>
      <c r="C21" s="34">
        <f t="shared" si="9"/>
        <v>8.67</v>
      </c>
      <c r="D21" s="117">
        <v>2</v>
      </c>
      <c r="E21" s="118">
        <v>3</v>
      </c>
      <c r="F21" s="119">
        <f t="shared" si="8"/>
        <v>17.34</v>
      </c>
      <c r="G21" s="119">
        <f t="shared" si="8"/>
        <v>17.34</v>
      </c>
      <c r="H21" s="119">
        <f t="shared" si="8"/>
        <v>17.34</v>
      </c>
      <c r="I21" s="119">
        <f t="shared" si="8"/>
        <v>17.34</v>
      </c>
      <c r="J21" s="119">
        <f t="shared" si="8"/>
        <v>17.34</v>
      </c>
      <c r="K21" s="119">
        <f t="shared" si="8"/>
        <v>17.34</v>
      </c>
      <c r="L21" s="119">
        <f t="shared" si="8"/>
        <v>17.34</v>
      </c>
      <c r="M21" s="119">
        <f t="shared" si="8"/>
        <v>17.34</v>
      </c>
      <c r="N21" s="119">
        <f t="shared" si="8"/>
        <v>17.34</v>
      </c>
      <c r="O21" s="119">
        <f t="shared" si="8"/>
        <v>17.34</v>
      </c>
      <c r="P21" s="109"/>
      <c r="Q21">
        <f t="shared" si="10"/>
        <v>8.67</v>
      </c>
      <c r="R21">
        <v>26</v>
      </c>
    </row>
    <row r="22" spans="1:18" ht="15" thickBot="1" x14ac:dyDescent="0.45">
      <c r="A22" s="219"/>
      <c r="B22" s="220"/>
      <c r="C22" s="220"/>
      <c r="D22" s="220"/>
      <c r="E22" s="220"/>
      <c r="F22" s="220"/>
      <c r="G22" s="220"/>
      <c r="H22" s="220"/>
      <c r="I22" s="220"/>
      <c r="J22" s="220"/>
      <c r="K22" s="220"/>
      <c r="L22" s="220"/>
      <c r="M22" s="220"/>
      <c r="N22" s="220"/>
      <c r="O22" s="220"/>
      <c r="P22" s="89"/>
    </row>
    <row r="23" spans="1:18" ht="24.9" x14ac:dyDescent="0.4">
      <c r="A23" s="120" t="s">
        <v>72</v>
      </c>
      <c r="B23" s="121" t="s">
        <v>93</v>
      </c>
      <c r="C23" s="122" t="s">
        <v>94</v>
      </c>
      <c r="D23" s="123" t="s">
        <v>95</v>
      </c>
      <c r="E23" s="124" t="s">
        <v>79</v>
      </c>
      <c r="F23" s="125" t="s">
        <v>41</v>
      </c>
      <c r="G23" s="125" t="s">
        <v>41</v>
      </c>
      <c r="H23" s="125" t="s">
        <v>41</v>
      </c>
      <c r="I23" s="125" t="s">
        <v>41</v>
      </c>
      <c r="J23" s="125" t="s">
        <v>41</v>
      </c>
      <c r="K23" s="125" t="s">
        <v>41</v>
      </c>
      <c r="L23" s="125" t="s">
        <v>41</v>
      </c>
      <c r="M23" s="125" t="s">
        <v>41</v>
      </c>
      <c r="N23" s="125" t="s">
        <v>41</v>
      </c>
      <c r="O23" s="125" t="s">
        <v>41</v>
      </c>
      <c r="P23" s="126"/>
    </row>
    <row r="24" spans="1:18" x14ac:dyDescent="0.4">
      <c r="A24" s="127" t="s">
        <v>54</v>
      </c>
      <c r="B24" s="128"/>
      <c r="C24" s="129"/>
      <c r="D24" s="130"/>
      <c r="E24" s="131"/>
      <c r="F24" s="132">
        <f t="shared" ref="F24:O24" si="11">SUM(F25:F66)</f>
        <v>49599.95573756862</v>
      </c>
      <c r="G24" s="132">
        <f t="shared" si="11"/>
        <v>41134.557139529403</v>
      </c>
      <c r="H24" s="132">
        <f t="shared" si="11"/>
        <v>41134.557139529403</v>
      </c>
      <c r="I24" s="132">
        <f t="shared" si="11"/>
        <v>41134.557139529403</v>
      </c>
      <c r="J24" s="132">
        <f t="shared" si="11"/>
        <v>41134.557139529403</v>
      </c>
      <c r="K24" s="132">
        <f t="shared" si="11"/>
        <v>41134.557139529403</v>
      </c>
      <c r="L24" s="132">
        <f t="shared" si="11"/>
        <v>41134.557139529403</v>
      </c>
      <c r="M24" s="132">
        <f t="shared" si="11"/>
        <v>41134.557139529403</v>
      </c>
      <c r="N24" s="132">
        <f t="shared" si="11"/>
        <v>41134.557139529403</v>
      </c>
      <c r="O24" s="132">
        <f t="shared" si="11"/>
        <v>41134.557139529403</v>
      </c>
      <c r="P24" s="133"/>
    </row>
    <row r="25" spans="1:18" x14ac:dyDescent="0.4">
      <c r="A25" s="134" t="s">
        <v>96</v>
      </c>
      <c r="B25" s="135"/>
      <c r="C25" s="136"/>
      <c r="D25" s="137">
        <v>100</v>
      </c>
      <c r="E25" s="138">
        <v>1</v>
      </c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</row>
    <row r="26" spans="1:18" x14ac:dyDescent="0.4">
      <c r="A26" s="141" t="s">
        <v>97</v>
      </c>
      <c r="B26" s="142" t="s">
        <v>98</v>
      </c>
      <c r="C26" s="143">
        <f>VLOOKUP(B26,'[1]Прайс-лист'!$C$5:$J$45,8,FALSE)</f>
        <v>3.43</v>
      </c>
      <c r="D26" s="144">
        <v>380</v>
      </c>
      <c r="E26" s="145"/>
      <c r="F26" s="146">
        <f>IF(F$14=0,0,F$14/$C$14*$D26*$C26)</f>
        <v>1303.4000000000001</v>
      </c>
      <c r="G26" s="146"/>
      <c r="H26" s="146"/>
      <c r="I26" s="146"/>
      <c r="J26" s="146"/>
      <c r="K26" s="146"/>
      <c r="L26" s="146"/>
      <c r="M26" s="146"/>
      <c r="N26" s="146"/>
      <c r="O26" s="146"/>
      <c r="P26" s="147"/>
    </row>
    <row r="27" spans="1:18" x14ac:dyDescent="0.4">
      <c r="A27" s="141" t="s">
        <v>99</v>
      </c>
      <c r="B27" s="142">
        <v>1005008511</v>
      </c>
      <c r="C27" s="143">
        <f>VLOOKUP(B27,'[1]Прайс-лист'!$C$5:$J$45,8,FALSE)</f>
        <v>5.6785235294117653</v>
      </c>
      <c r="D27" s="148">
        <v>2</v>
      </c>
      <c r="E27" s="145"/>
      <c r="F27" s="146">
        <f t="shared" ref="F27:F35" si="12">IF(F$14=0,0,F$14/$C$14*$D27*$C27)</f>
        <v>11.357047058823531</v>
      </c>
      <c r="G27" s="146"/>
      <c r="H27" s="146"/>
      <c r="I27" s="146"/>
      <c r="J27" s="146"/>
      <c r="K27" s="146"/>
      <c r="L27" s="146"/>
      <c r="M27" s="146"/>
      <c r="N27" s="146"/>
      <c r="O27" s="146"/>
      <c r="P27" s="147"/>
    </row>
    <row r="28" spans="1:18" x14ac:dyDescent="0.4">
      <c r="A28" s="141" t="s">
        <v>100</v>
      </c>
      <c r="B28" s="142">
        <v>1013032300</v>
      </c>
      <c r="C28" s="143">
        <f>VLOOKUP(B28,'[1]Прайс-лист'!$C$5:$J$45,8,FALSE)</f>
        <v>160.35278823529413</v>
      </c>
      <c r="D28" s="148">
        <v>5</v>
      </c>
      <c r="E28" s="145"/>
      <c r="F28" s="146">
        <f t="shared" si="12"/>
        <v>801.76394117647067</v>
      </c>
      <c r="G28" s="146"/>
      <c r="H28" s="146"/>
      <c r="I28" s="146"/>
      <c r="J28" s="146"/>
      <c r="K28" s="146"/>
      <c r="L28" s="146"/>
      <c r="M28" s="146"/>
      <c r="N28" s="146"/>
      <c r="O28" s="146"/>
      <c r="P28" s="147"/>
    </row>
    <row r="29" spans="1:18" x14ac:dyDescent="0.4">
      <c r="A29" s="141" t="s">
        <v>101</v>
      </c>
      <c r="B29" s="142" t="s">
        <v>102</v>
      </c>
      <c r="C29" s="143">
        <f>VLOOKUP(B29,'[1]Прайс-лист'!$C$5:$J$45,8,FALSE)</f>
        <v>202.41121764705881</v>
      </c>
      <c r="D29" s="148">
        <v>1</v>
      </c>
      <c r="E29" s="145"/>
      <c r="F29" s="146">
        <f t="shared" si="12"/>
        <v>202.41121764705881</v>
      </c>
      <c r="G29" s="146"/>
      <c r="H29" s="146"/>
      <c r="I29" s="146"/>
      <c r="J29" s="146"/>
      <c r="K29" s="146"/>
      <c r="L29" s="146"/>
      <c r="M29" s="146"/>
      <c r="N29" s="146"/>
      <c r="O29" s="146"/>
      <c r="P29" s="147"/>
    </row>
    <row r="30" spans="1:18" x14ac:dyDescent="0.4">
      <c r="A30" s="141" t="s">
        <v>103</v>
      </c>
      <c r="B30" s="142" t="s">
        <v>104</v>
      </c>
      <c r="C30" s="143">
        <f>VLOOKUP(B30,'[1]Прайс-лист'!$C$5:$J$45,8,FALSE)</f>
        <v>147.49115294117647</v>
      </c>
      <c r="D30" s="148">
        <v>3</v>
      </c>
      <c r="E30" s="145"/>
      <c r="F30" s="146">
        <f t="shared" si="12"/>
        <v>442.47345882352943</v>
      </c>
      <c r="G30" s="146"/>
      <c r="H30" s="146"/>
      <c r="I30" s="146"/>
      <c r="J30" s="146"/>
      <c r="K30" s="146"/>
      <c r="L30" s="146"/>
      <c r="M30" s="146"/>
      <c r="N30" s="146"/>
      <c r="O30" s="146"/>
      <c r="P30" s="147"/>
    </row>
    <row r="31" spans="1:18" x14ac:dyDescent="0.4">
      <c r="A31" s="141" t="s">
        <v>105</v>
      </c>
      <c r="B31" s="142" t="s">
        <v>106</v>
      </c>
      <c r="C31" s="143">
        <f>VLOOKUP(B31,'[1]Прайс-лист'!$C$5:$J$45,8,FALSE)</f>
        <v>15.036</v>
      </c>
      <c r="D31" s="148">
        <v>210</v>
      </c>
      <c r="E31" s="145"/>
      <c r="F31" s="146">
        <f t="shared" si="12"/>
        <v>3157.56</v>
      </c>
      <c r="G31" s="146"/>
      <c r="H31" s="146"/>
      <c r="I31" s="146"/>
      <c r="J31" s="146"/>
      <c r="K31" s="146"/>
      <c r="L31" s="146"/>
      <c r="M31" s="146"/>
      <c r="N31" s="146"/>
      <c r="O31" s="146"/>
      <c r="P31" s="147"/>
    </row>
    <row r="32" spans="1:18" ht="29.15" x14ac:dyDescent="0.4">
      <c r="A32" s="141" t="s">
        <v>107</v>
      </c>
      <c r="B32" s="142" t="s">
        <v>108</v>
      </c>
      <c r="C32" s="143">
        <f>VLOOKUP(B32,'[1]Прайс-лист'!$C$5:$J$45,8,FALSE)</f>
        <v>11.045999999999999</v>
      </c>
      <c r="D32" s="148">
        <v>0.6</v>
      </c>
      <c r="E32" s="145"/>
      <c r="F32" s="146">
        <f t="shared" si="12"/>
        <v>6.6275999999999993</v>
      </c>
      <c r="G32" s="146"/>
      <c r="H32" s="146"/>
      <c r="I32" s="146"/>
      <c r="J32" s="146"/>
      <c r="K32" s="146"/>
      <c r="L32" s="146"/>
      <c r="M32" s="146"/>
      <c r="N32" s="146"/>
      <c r="O32" s="146"/>
      <c r="P32" s="147"/>
    </row>
    <row r="33" spans="1:16" ht="29.15" x14ac:dyDescent="0.4">
      <c r="A33" s="149" t="s">
        <v>109</v>
      </c>
      <c r="B33" s="150" t="s">
        <v>110</v>
      </c>
      <c r="C33" s="143">
        <f>VLOOKUP(B33,'[1]Прайс-лист'!$C$5:$J$45,8,FALSE)</f>
        <v>3.08</v>
      </c>
      <c r="D33" s="148">
        <v>790</v>
      </c>
      <c r="E33" s="145"/>
      <c r="F33" s="146">
        <f t="shared" si="12"/>
        <v>2433.2000000000003</v>
      </c>
      <c r="G33" s="146"/>
      <c r="H33" s="146"/>
      <c r="I33" s="146"/>
      <c r="J33" s="146"/>
      <c r="K33" s="146"/>
      <c r="L33" s="146"/>
      <c r="M33" s="146"/>
      <c r="N33" s="146"/>
      <c r="O33" s="146"/>
      <c r="P33" s="147"/>
    </row>
    <row r="34" spans="1:16" x14ac:dyDescent="0.4">
      <c r="A34" s="141" t="s">
        <v>111</v>
      </c>
      <c r="B34" s="142" t="s">
        <v>112</v>
      </c>
      <c r="C34" s="143">
        <f>VLOOKUP(B34,'[1]Прайс-лист'!$C$5:$J$45,8,FALSE)</f>
        <v>86.669333333333327</v>
      </c>
      <c r="D34" s="148">
        <v>1</v>
      </c>
      <c r="E34" s="145"/>
      <c r="F34" s="146">
        <f t="shared" si="12"/>
        <v>86.669333333333327</v>
      </c>
      <c r="G34" s="146"/>
      <c r="H34" s="146"/>
      <c r="I34" s="146"/>
      <c r="J34" s="146"/>
      <c r="K34" s="146"/>
      <c r="L34" s="146"/>
      <c r="M34" s="146"/>
      <c r="N34" s="146"/>
      <c r="O34" s="146"/>
      <c r="P34" s="147"/>
    </row>
    <row r="35" spans="1:16" ht="29.15" x14ac:dyDescent="0.4">
      <c r="A35" s="141" t="s">
        <v>113</v>
      </c>
      <c r="B35" s="142" t="s">
        <v>114</v>
      </c>
      <c r="C35" s="143">
        <f>VLOOKUP(B35,'[1]Прайс-лист'!$C$5:$J$45,8,FALSE)</f>
        <v>19.936</v>
      </c>
      <c r="D35" s="148">
        <v>1</v>
      </c>
      <c r="E35" s="145"/>
      <c r="F35" s="146">
        <f t="shared" si="12"/>
        <v>19.936</v>
      </c>
      <c r="G35" s="146"/>
      <c r="H35" s="146"/>
      <c r="I35" s="146"/>
      <c r="J35" s="146"/>
      <c r="K35" s="146"/>
      <c r="L35" s="146"/>
      <c r="M35" s="146"/>
      <c r="N35" s="146"/>
      <c r="O35" s="146"/>
      <c r="P35" s="147"/>
    </row>
    <row r="36" spans="1:16" x14ac:dyDescent="0.4">
      <c r="A36" s="134" t="s">
        <v>86</v>
      </c>
      <c r="B36" s="135"/>
      <c r="C36" s="136"/>
      <c r="D36" s="137">
        <f>VLOOKUP($A36,$A$15:$B$21,2,FALSE)</f>
        <v>250</v>
      </c>
      <c r="E36" s="138">
        <f>VLOOKUP($A36,$A$15:$D$21,4,)</f>
        <v>14</v>
      </c>
      <c r="F36" s="139"/>
      <c r="G36" s="139"/>
      <c r="H36" s="139"/>
      <c r="I36" s="139"/>
      <c r="J36" s="139"/>
      <c r="K36" s="139"/>
      <c r="L36" s="139"/>
      <c r="M36" s="139"/>
      <c r="N36" s="139"/>
      <c r="O36" s="139"/>
      <c r="P36" s="140"/>
    </row>
    <row r="37" spans="1:16" x14ac:dyDescent="0.4">
      <c r="A37" s="141"/>
      <c r="B37" s="63"/>
      <c r="C37" s="25"/>
      <c r="D37" s="151"/>
      <c r="E37" s="145"/>
      <c r="F37" s="146">
        <f t="shared" ref="F37:O37" si="13">IF(F$15=0,0,F$15/$C$15*$D37*$C37)</f>
        <v>0</v>
      </c>
      <c r="G37" s="146">
        <f t="shared" si="13"/>
        <v>0</v>
      </c>
      <c r="H37" s="146">
        <f t="shared" si="13"/>
        <v>0</v>
      </c>
      <c r="I37" s="146">
        <f t="shared" si="13"/>
        <v>0</v>
      </c>
      <c r="J37" s="146">
        <f t="shared" si="13"/>
        <v>0</v>
      </c>
      <c r="K37" s="146">
        <f t="shared" si="13"/>
        <v>0</v>
      </c>
      <c r="L37" s="146">
        <f t="shared" si="13"/>
        <v>0</v>
      </c>
      <c r="M37" s="146">
        <f t="shared" si="13"/>
        <v>0</v>
      </c>
      <c r="N37" s="146">
        <f t="shared" si="13"/>
        <v>0</v>
      </c>
      <c r="O37" s="146">
        <f t="shared" si="13"/>
        <v>0</v>
      </c>
      <c r="P37" s="147"/>
    </row>
    <row r="38" spans="1:16" x14ac:dyDescent="0.4">
      <c r="A38" s="134" t="s">
        <v>87</v>
      </c>
      <c r="B38" s="135"/>
      <c r="C38" s="136"/>
      <c r="D38" s="137">
        <f>VLOOKUP($A38,$A$15:$B$21,2,FALSE)</f>
        <v>500</v>
      </c>
      <c r="E38" s="138">
        <f>VLOOKUP($A38,$A$15:$D$21,4,FALSE)</f>
        <v>7</v>
      </c>
      <c r="F38" s="139"/>
      <c r="G38" s="139"/>
      <c r="H38" s="139"/>
      <c r="I38" s="139"/>
      <c r="J38" s="139"/>
      <c r="K38" s="139"/>
      <c r="L38" s="139"/>
      <c r="M38" s="139"/>
      <c r="N38" s="139"/>
      <c r="O38" s="139"/>
      <c r="P38" s="140"/>
    </row>
    <row r="39" spans="1:16" x14ac:dyDescent="0.4">
      <c r="A39" s="141" t="s">
        <v>97</v>
      </c>
      <c r="B39" s="142" t="s">
        <v>98</v>
      </c>
      <c r="C39" s="143">
        <f>VLOOKUP(B39,'[1]Прайс-лист'!$C$5:$J$45,8,FALSE)</f>
        <v>3.43</v>
      </c>
      <c r="D39" s="144">
        <v>380</v>
      </c>
      <c r="E39" s="23"/>
      <c r="F39" s="146">
        <f>IF(F$16=0,0,F$16/$C$16*$D39*$C39)</f>
        <v>9123.7999999999993</v>
      </c>
      <c r="G39" s="146">
        <f t="shared" ref="G39:O39" si="14">IF(G$16=0,0,G$16/$C$16*$D39*$C39)</f>
        <v>9123.7999999999993</v>
      </c>
      <c r="H39" s="146">
        <f t="shared" si="14"/>
        <v>9123.7999999999993</v>
      </c>
      <c r="I39" s="146">
        <f t="shared" si="14"/>
        <v>9123.7999999999993</v>
      </c>
      <c r="J39" s="146">
        <f t="shared" si="14"/>
        <v>9123.7999999999993</v>
      </c>
      <c r="K39" s="146">
        <f t="shared" si="14"/>
        <v>9123.7999999999993</v>
      </c>
      <c r="L39" s="146">
        <f t="shared" si="14"/>
        <v>9123.7999999999993</v>
      </c>
      <c r="M39" s="146">
        <f t="shared" si="14"/>
        <v>9123.7999999999993</v>
      </c>
      <c r="N39" s="146">
        <f t="shared" si="14"/>
        <v>9123.7999999999993</v>
      </c>
      <c r="O39" s="146">
        <f t="shared" si="14"/>
        <v>9123.7999999999993</v>
      </c>
      <c r="P39" s="147"/>
    </row>
    <row r="40" spans="1:16" x14ac:dyDescent="0.4">
      <c r="A40" s="141" t="s">
        <v>99</v>
      </c>
      <c r="B40" s="142">
        <v>1005008511</v>
      </c>
      <c r="C40" s="143">
        <f>VLOOKUP(B40,'[1]Прайс-лист'!$C$5:$J$45,8,FALSE)</f>
        <v>5.6785235294117653</v>
      </c>
      <c r="D40" s="148">
        <v>2</v>
      </c>
      <c r="E40" s="23"/>
      <c r="F40" s="146">
        <f t="shared" ref="F40:O53" si="15">IF(F$16=0,0,F$16/$C$16*$D40*$C40)</f>
        <v>79.499329411764705</v>
      </c>
      <c r="G40" s="146">
        <f t="shared" si="15"/>
        <v>79.499329411764705</v>
      </c>
      <c r="H40" s="146">
        <f t="shared" si="15"/>
        <v>79.499329411764705</v>
      </c>
      <c r="I40" s="146">
        <f t="shared" si="15"/>
        <v>79.499329411764705</v>
      </c>
      <c r="J40" s="146">
        <f t="shared" si="15"/>
        <v>79.499329411764705</v>
      </c>
      <c r="K40" s="146">
        <f t="shared" si="15"/>
        <v>79.499329411764705</v>
      </c>
      <c r="L40" s="146">
        <f t="shared" si="15"/>
        <v>79.499329411764705</v>
      </c>
      <c r="M40" s="146">
        <f t="shared" si="15"/>
        <v>79.499329411764705</v>
      </c>
      <c r="N40" s="146">
        <f t="shared" si="15"/>
        <v>79.499329411764705</v>
      </c>
      <c r="O40" s="146">
        <f t="shared" si="15"/>
        <v>79.499329411764705</v>
      </c>
      <c r="P40" s="147"/>
    </row>
    <row r="41" spans="1:16" x14ac:dyDescent="0.4">
      <c r="A41" s="149" t="s">
        <v>100</v>
      </c>
      <c r="B41" s="142">
        <v>1013032300</v>
      </c>
      <c r="C41" s="143">
        <f>VLOOKUP(B41,'[1]Прайс-лист'!$C$5:$J$45,8,FALSE)</f>
        <v>160.35278823529413</v>
      </c>
      <c r="D41" s="148">
        <v>5</v>
      </c>
      <c r="E41" s="23"/>
      <c r="F41" s="146">
        <f t="shared" si="15"/>
        <v>5612.3475882352932</v>
      </c>
      <c r="G41" s="146">
        <f t="shared" si="15"/>
        <v>5612.3475882352932</v>
      </c>
      <c r="H41" s="146">
        <f t="shared" si="15"/>
        <v>5612.3475882352932</v>
      </c>
      <c r="I41" s="146">
        <f t="shared" si="15"/>
        <v>5612.3475882352932</v>
      </c>
      <c r="J41" s="146">
        <f t="shared" si="15"/>
        <v>5612.3475882352932</v>
      </c>
      <c r="K41" s="146">
        <f t="shared" si="15"/>
        <v>5612.3475882352932</v>
      </c>
      <c r="L41" s="146">
        <f t="shared" si="15"/>
        <v>5612.3475882352932</v>
      </c>
      <c r="M41" s="146">
        <f t="shared" si="15"/>
        <v>5612.3475882352932</v>
      </c>
      <c r="N41" s="146">
        <f t="shared" si="15"/>
        <v>5612.3475882352932</v>
      </c>
      <c r="O41" s="146">
        <f t="shared" si="15"/>
        <v>5612.3475882352932</v>
      </c>
      <c r="P41" s="147"/>
    </row>
    <row r="42" spans="1:16" x14ac:dyDescent="0.4">
      <c r="A42" s="149" t="s">
        <v>101</v>
      </c>
      <c r="B42" s="142" t="s">
        <v>102</v>
      </c>
      <c r="C42" s="143">
        <f>VLOOKUP(B42,'[1]Прайс-лист'!$C$5:$J$45,8,FALSE)</f>
        <v>202.41121764705881</v>
      </c>
      <c r="D42" s="148">
        <v>1</v>
      </c>
      <c r="E42" s="23"/>
      <c r="F42" s="146">
        <f t="shared" si="15"/>
        <v>1416.8785235294115</v>
      </c>
      <c r="G42" s="146">
        <f t="shared" si="15"/>
        <v>1416.8785235294115</v>
      </c>
      <c r="H42" s="146">
        <f t="shared" si="15"/>
        <v>1416.8785235294115</v>
      </c>
      <c r="I42" s="146">
        <f t="shared" si="15"/>
        <v>1416.8785235294115</v>
      </c>
      <c r="J42" s="146">
        <f t="shared" si="15"/>
        <v>1416.8785235294115</v>
      </c>
      <c r="K42" s="146">
        <f t="shared" si="15"/>
        <v>1416.8785235294115</v>
      </c>
      <c r="L42" s="146">
        <f t="shared" si="15"/>
        <v>1416.8785235294115</v>
      </c>
      <c r="M42" s="146">
        <f t="shared" si="15"/>
        <v>1416.8785235294115</v>
      </c>
      <c r="N42" s="146">
        <f t="shared" si="15"/>
        <v>1416.8785235294115</v>
      </c>
      <c r="O42" s="146">
        <f t="shared" si="15"/>
        <v>1416.8785235294115</v>
      </c>
      <c r="P42" s="147"/>
    </row>
    <row r="43" spans="1:16" x14ac:dyDescent="0.4">
      <c r="A43" s="149" t="s">
        <v>103</v>
      </c>
      <c r="B43" s="142" t="s">
        <v>104</v>
      </c>
      <c r="C43" s="143">
        <f>VLOOKUP(B43,'[1]Прайс-лист'!$C$5:$J$45,8,FALSE)</f>
        <v>147.49115294117647</v>
      </c>
      <c r="D43" s="148">
        <v>3</v>
      </c>
      <c r="E43" s="23"/>
      <c r="F43" s="146">
        <f t="shared" si="15"/>
        <v>3097.3142117647053</v>
      </c>
      <c r="G43" s="146">
        <f t="shared" si="15"/>
        <v>3097.3142117647053</v>
      </c>
      <c r="H43" s="146">
        <f t="shared" si="15"/>
        <v>3097.3142117647053</v>
      </c>
      <c r="I43" s="146">
        <f t="shared" si="15"/>
        <v>3097.3142117647053</v>
      </c>
      <c r="J43" s="146">
        <f t="shared" si="15"/>
        <v>3097.3142117647053</v>
      </c>
      <c r="K43" s="146">
        <f t="shared" si="15"/>
        <v>3097.3142117647053</v>
      </c>
      <c r="L43" s="146">
        <f t="shared" si="15"/>
        <v>3097.3142117647053</v>
      </c>
      <c r="M43" s="146">
        <f t="shared" si="15"/>
        <v>3097.3142117647053</v>
      </c>
      <c r="N43" s="146">
        <f t="shared" si="15"/>
        <v>3097.3142117647053</v>
      </c>
      <c r="O43" s="146">
        <f t="shared" si="15"/>
        <v>3097.3142117647053</v>
      </c>
      <c r="P43" s="147"/>
    </row>
    <row r="44" spans="1:16" ht="29.15" x14ac:dyDescent="0.4">
      <c r="A44" s="152" t="s">
        <v>115</v>
      </c>
      <c r="B44" s="142" t="s">
        <v>116</v>
      </c>
      <c r="C44" s="143">
        <f>VLOOKUP(B44,'[1]Прайс-лист'!$C$5:$J$45,8,FALSE)</f>
        <v>67.591999999999999</v>
      </c>
      <c r="D44" s="148">
        <v>4</v>
      </c>
      <c r="E44" s="23"/>
      <c r="F44" s="146">
        <f t="shared" si="15"/>
        <v>1892.5759999999998</v>
      </c>
      <c r="G44" s="146">
        <f t="shared" si="15"/>
        <v>1892.5759999999998</v>
      </c>
      <c r="H44" s="146">
        <f t="shared" si="15"/>
        <v>1892.5759999999998</v>
      </c>
      <c r="I44" s="146">
        <f t="shared" si="15"/>
        <v>1892.5759999999998</v>
      </c>
      <c r="J44" s="146">
        <f t="shared" si="15"/>
        <v>1892.5759999999998</v>
      </c>
      <c r="K44" s="146">
        <f t="shared" si="15"/>
        <v>1892.5759999999998</v>
      </c>
      <c r="L44" s="146">
        <f t="shared" si="15"/>
        <v>1892.5759999999998</v>
      </c>
      <c r="M44" s="146">
        <f t="shared" si="15"/>
        <v>1892.5759999999998</v>
      </c>
      <c r="N44" s="146">
        <f t="shared" si="15"/>
        <v>1892.5759999999998</v>
      </c>
      <c r="O44" s="146">
        <f t="shared" si="15"/>
        <v>1892.5759999999998</v>
      </c>
      <c r="P44" s="147"/>
    </row>
    <row r="45" spans="1:16" ht="29.15" x14ac:dyDescent="0.4">
      <c r="A45" s="152" t="s">
        <v>117</v>
      </c>
      <c r="B45" s="142" t="s">
        <v>118</v>
      </c>
      <c r="C45" s="143">
        <f>VLOOKUP(B45,'[1]Прайс-лист'!$C$5:$J$45,8,FALSE)</f>
        <v>26.861333333333334</v>
      </c>
      <c r="D45" s="148">
        <v>4</v>
      </c>
      <c r="E45" s="23"/>
      <c r="F45" s="146">
        <f t="shared" si="15"/>
        <v>752.11733333333325</v>
      </c>
      <c r="G45" s="146">
        <f t="shared" si="15"/>
        <v>752.11733333333325</v>
      </c>
      <c r="H45" s="146">
        <f t="shared" si="15"/>
        <v>752.11733333333325</v>
      </c>
      <c r="I45" s="146">
        <f t="shared" si="15"/>
        <v>752.11733333333325</v>
      </c>
      <c r="J45" s="146">
        <f t="shared" si="15"/>
        <v>752.11733333333325</v>
      </c>
      <c r="K45" s="146">
        <f t="shared" si="15"/>
        <v>752.11733333333325</v>
      </c>
      <c r="L45" s="146">
        <f t="shared" si="15"/>
        <v>752.11733333333325</v>
      </c>
      <c r="M45" s="146">
        <f t="shared" si="15"/>
        <v>752.11733333333325</v>
      </c>
      <c r="N45" s="146">
        <f t="shared" si="15"/>
        <v>752.11733333333325</v>
      </c>
      <c r="O45" s="146">
        <f t="shared" si="15"/>
        <v>752.11733333333325</v>
      </c>
      <c r="P45" s="147"/>
    </row>
    <row r="46" spans="1:16" x14ac:dyDescent="0.4">
      <c r="A46" s="153" t="s">
        <v>119</v>
      </c>
      <c r="B46" s="150" t="s">
        <v>120</v>
      </c>
      <c r="C46" s="143">
        <f>VLOOKUP(B46,'[1]Прайс-лист'!$C$5:$J$45,8,FALSE)</f>
        <v>46.47176470588235</v>
      </c>
      <c r="D46" s="148">
        <v>0.28000000000000003</v>
      </c>
      <c r="E46" s="23"/>
      <c r="F46" s="146">
        <f t="shared" si="15"/>
        <v>91.084658823529409</v>
      </c>
      <c r="G46" s="146">
        <f t="shared" si="15"/>
        <v>91.084658823529409</v>
      </c>
      <c r="H46" s="146">
        <f t="shared" si="15"/>
        <v>91.084658823529409</v>
      </c>
      <c r="I46" s="146">
        <f t="shared" si="15"/>
        <v>91.084658823529409</v>
      </c>
      <c r="J46" s="146">
        <f t="shared" si="15"/>
        <v>91.084658823529409</v>
      </c>
      <c r="K46" s="146">
        <f t="shared" si="15"/>
        <v>91.084658823529409</v>
      </c>
      <c r="L46" s="146">
        <f t="shared" si="15"/>
        <v>91.084658823529409</v>
      </c>
      <c r="M46" s="146">
        <f t="shared" si="15"/>
        <v>91.084658823529409</v>
      </c>
      <c r="N46" s="146">
        <f t="shared" si="15"/>
        <v>91.084658823529409</v>
      </c>
      <c r="O46" s="146">
        <f t="shared" si="15"/>
        <v>91.084658823529409</v>
      </c>
      <c r="P46" s="147"/>
    </row>
    <row r="47" spans="1:16" x14ac:dyDescent="0.4">
      <c r="A47" s="154" t="s">
        <v>121</v>
      </c>
      <c r="B47" s="142" t="s">
        <v>108</v>
      </c>
      <c r="C47" s="143">
        <f>VLOOKUP(B47,'[1]Прайс-лист'!$C$5:$J$45,8,FALSE)</f>
        <v>11.045999999999999</v>
      </c>
      <c r="D47" s="144">
        <v>9</v>
      </c>
      <c r="E47" s="23"/>
      <c r="F47" s="146"/>
      <c r="G47" s="146"/>
      <c r="H47" s="146"/>
      <c r="I47" s="146"/>
      <c r="J47" s="146"/>
      <c r="K47" s="146"/>
      <c r="L47" s="146"/>
      <c r="M47" s="146"/>
      <c r="N47" s="146"/>
      <c r="O47" s="146"/>
      <c r="P47" s="147"/>
    </row>
    <row r="48" spans="1:16" ht="29.15" x14ac:dyDescent="0.4">
      <c r="A48" s="154" t="s">
        <v>122</v>
      </c>
      <c r="B48" s="142" t="s">
        <v>108</v>
      </c>
      <c r="C48" s="143">
        <f>VLOOKUP(B48,'[1]Прайс-лист'!$C$5:$J$45,8,FALSE)</f>
        <v>11.045999999999999</v>
      </c>
      <c r="D48" s="148">
        <v>0.2</v>
      </c>
      <c r="E48" s="23"/>
      <c r="F48" s="146">
        <f t="shared" si="15"/>
        <v>15.464399999999998</v>
      </c>
      <c r="G48" s="146">
        <f t="shared" si="15"/>
        <v>15.464399999999998</v>
      </c>
      <c r="H48" s="146">
        <f t="shared" si="15"/>
        <v>15.464399999999998</v>
      </c>
      <c r="I48" s="146">
        <f t="shared" si="15"/>
        <v>15.464399999999998</v>
      </c>
      <c r="J48" s="146">
        <f t="shared" si="15"/>
        <v>15.464399999999998</v>
      </c>
      <c r="K48" s="146">
        <f t="shared" si="15"/>
        <v>15.464399999999998</v>
      </c>
      <c r="L48" s="146">
        <f t="shared" si="15"/>
        <v>15.464399999999998</v>
      </c>
      <c r="M48" s="146">
        <f t="shared" si="15"/>
        <v>15.464399999999998</v>
      </c>
      <c r="N48" s="146">
        <f t="shared" si="15"/>
        <v>15.464399999999998</v>
      </c>
      <c r="O48" s="146">
        <f t="shared" si="15"/>
        <v>15.464399999999998</v>
      </c>
      <c r="P48" s="147"/>
    </row>
    <row r="49" spans="1:16" x14ac:dyDescent="0.4">
      <c r="A49" s="154" t="s">
        <v>123</v>
      </c>
      <c r="B49" s="142" t="s">
        <v>108</v>
      </c>
      <c r="C49" s="143">
        <f>VLOOKUP(B49,'[1]Прайс-лист'!$C$5:$J$45,8,FALSE)</f>
        <v>11.045999999999999</v>
      </c>
      <c r="D49" s="148">
        <v>0.6</v>
      </c>
      <c r="E49" s="23"/>
      <c r="F49" s="146">
        <f t="shared" si="15"/>
        <v>46.393199999999986</v>
      </c>
      <c r="G49" s="146">
        <f t="shared" si="15"/>
        <v>46.393199999999986</v>
      </c>
      <c r="H49" s="146">
        <f t="shared" si="15"/>
        <v>46.393199999999986</v>
      </c>
      <c r="I49" s="146">
        <f t="shared" si="15"/>
        <v>46.393199999999986</v>
      </c>
      <c r="J49" s="146">
        <f t="shared" si="15"/>
        <v>46.393199999999986</v>
      </c>
      <c r="K49" s="146">
        <f t="shared" si="15"/>
        <v>46.393199999999986</v>
      </c>
      <c r="L49" s="146">
        <f t="shared" si="15"/>
        <v>46.393199999999986</v>
      </c>
      <c r="M49" s="146">
        <f t="shared" si="15"/>
        <v>46.393199999999986</v>
      </c>
      <c r="N49" s="146">
        <f t="shared" si="15"/>
        <v>46.393199999999986</v>
      </c>
      <c r="O49" s="146">
        <f t="shared" si="15"/>
        <v>46.393199999999986</v>
      </c>
      <c r="P49" s="147"/>
    </row>
    <row r="50" spans="1:16" ht="29.15" x14ac:dyDescent="0.4">
      <c r="A50" s="155" t="s">
        <v>124</v>
      </c>
      <c r="B50" s="142" t="s">
        <v>125</v>
      </c>
      <c r="C50" s="143">
        <f>VLOOKUP(B50,'[1]Прайс-лист'!$C$5:$J$45,8,FALSE)</f>
        <v>3.9946666666666659</v>
      </c>
      <c r="D50" s="144">
        <v>2</v>
      </c>
      <c r="E50" s="23"/>
      <c r="F50" s="146">
        <f t="shared" si="15"/>
        <v>55.925333333333313</v>
      </c>
      <c r="G50" s="146">
        <f t="shared" si="15"/>
        <v>55.925333333333313</v>
      </c>
      <c r="H50" s="146">
        <f t="shared" si="15"/>
        <v>55.925333333333313</v>
      </c>
      <c r="I50" s="146">
        <f t="shared" si="15"/>
        <v>55.925333333333313</v>
      </c>
      <c r="J50" s="146">
        <f t="shared" si="15"/>
        <v>55.925333333333313</v>
      </c>
      <c r="K50" s="146">
        <f t="shared" si="15"/>
        <v>55.925333333333313</v>
      </c>
      <c r="L50" s="146">
        <f t="shared" si="15"/>
        <v>55.925333333333313</v>
      </c>
      <c r="M50" s="146">
        <f t="shared" si="15"/>
        <v>55.925333333333313</v>
      </c>
      <c r="N50" s="146">
        <f t="shared" si="15"/>
        <v>55.925333333333313</v>
      </c>
      <c r="O50" s="146">
        <f t="shared" si="15"/>
        <v>55.925333333333313</v>
      </c>
      <c r="P50" s="147"/>
    </row>
    <row r="51" spans="1:16" ht="29.15" x14ac:dyDescent="0.4">
      <c r="A51" s="155" t="s">
        <v>126</v>
      </c>
      <c r="B51" s="142" t="s">
        <v>127</v>
      </c>
      <c r="C51" s="143">
        <f>VLOOKUP(B51,'[1]Прайс-лист'!$C$5:$J$45,8,FALSE)</f>
        <v>86.669333333333327</v>
      </c>
      <c r="D51" s="148">
        <v>1</v>
      </c>
      <c r="E51" s="23"/>
      <c r="F51" s="146">
        <f t="shared" si="15"/>
        <v>606.68533333333323</v>
      </c>
      <c r="G51" s="146">
        <f t="shared" si="15"/>
        <v>606.68533333333323</v>
      </c>
      <c r="H51" s="146">
        <f t="shared" si="15"/>
        <v>606.68533333333323</v>
      </c>
      <c r="I51" s="146">
        <f t="shared" si="15"/>
        <v>606.68533333333323</v>
      </c>
      <c r="J51" s="146">
        <f t="shared" si="15"/>
        <v>606.68533333333323</v>
      </c>
      <c r="K51" s="146">
        <f t="shared" si="15"/>
        <v>606.68533333333323</v>
      </c>
      <c r="L51" s="146">
        <f t="shared" si="15"/>
        <v>606.68533333333323</v>
      </c>
      <c r="M51" s="146">
        <f t="shared" si="15"/>
        <v>606.68533333333323</v>
      </c>
      <c r="N51" s="146">
        <f t="shared" si="15"/>
        <v>606.68533333333323</v>
      </c>
      <c r="O51" s="146">
        <f t="shared" si="15"/>
        <v>606.68533333333323</v>
      </c>
      <c r="P51" s="147"/>
    </row>
    <row r="52" spans="1:16" x14ac:dyDescent="0.4">
      <c r="A52" s="153" t="s">
        <v>128</v>
      </c>
      <c r="B52" s="142" t="s">
        <v>114</v>
      </c>
      <c r="C52" s="143">
        <f>VLOOKUP(B52,'[1]Прайс-лист'!$C$5:$J$45,8,FALSE)</f>
        <v>19.936</v>
      </c>
      <c r="D52" s="148">
        <v>2</v>
      </c>
      <c r="E52" s="23"/>
      <c r="F52" s="146">
        <f t="shared" si="15"/>
        <v>279.10399999999998</v>
      </c>
      <c r="G52" s="146">
        <f t="shared" si="15"/>
        <v>279.10399999999998</v>
      </c>
      <c r="H52" s="146">
        <f t="shared" si="15"/>
        <v>279.10399999999998</v>
      </c>
      <c r="I52" s="146">
        <f t="shared" si="15"/>
        <v>279.10399999999998</v>
      </c>
      <c r="J52" s="146">
        <f t="shared" si="15"/>
        <v>279.10399999999998</v>
      </c>
      <c r="K52" s="146">
        <f t="shared" si="15"/>
        <v>279.10399999999998</v>
      </c>
      <c r="L52" s="146">
        <f t="shared" si="15"/>
        <v>279.10399999999998</v>
      </c>
      <c r="M52" s="146">
        <f t="shared" si="15"/>
        <v>279.10399999999998</v>
      </c>
      <c r="N52" s="146">
        <f t="shared" si="15"/>
        <v>279.10399999999998</v>
      </c>
      <c r="O52" s="146">
        <f t="shared" si="15"/>
        <v>279.10399999999998</v>
      </c>
      <c r="P52" s="147"/>
    </row>
    <row r="53" spans="1:16" ht="29.15" x14ac:dyDescent="0.4">
      <c r="A53" s="156" t="s">
        <v>129</v>
      </c>
      <c r="B53" s="142" t="s">
        <v>130</v>
      </c>
      <c r="C53" s="143">
        <f>VLOOKUP(B53,'[1]Прайс-лист'!$C$5:$J$45,8,FALSE)</f>
        <v>17.229333333333333</v>
      </c>
      <c r="D53" s="148">
        <v>2</v>
      </c>
      <c r="E53" s="23"/>
      <c r="F53" s="146">
        <f t="shared" si="15"/>
        <v>241.21066666666664</v>
      </c>
      <c r="G53" s="146">
        <f t="shared" si="15"/>
        <v>241.21066666666664</v>
      </c>
      <c r="H53" s="146">
        <f t="shared" si="15"/>
        <v>241.21066666666664</v>
      </c>
      <c r="I53" s="146">
        <f t="shared" si="15"/>
        <v>241.21066666666664</v>
      </c>
      <c r="J53" s="146">
        <f t="shared" si="15"/>
        <v>241.21066666666664</v>
      </c>
      <c r="K53" s="146">
        <f t="shared" si="15"/>
        <v>241.21066666666664</v>
      </c>
      <c r="L53" s="146">
        <f t="shared" si="15"/>
        <v>241.21066666666664</v>
      </c>
      <c r="M53" s="146">
        <f t="shared" si="15"/>
        <v>241.21066666666664</v>
      </c>
      <c r="N53" s="146">
        <f t="shared" si="15"/>
        <v>241.21066666666664</v>
      </c>
      <c r="O53" s="146">
        <f t="shared" si="15"/>
        <v>241.21066666666664</v>
      </c>
      <c r="P53" s="147"/>
    </row>
    <row r="54" spans="1:16" x14ac:dyDescent="0.4">
      <c r="A54" s="134" t="s">
        <v>88</v>
      </c>
      <c r="B54" s="135"/>
      <c r="C54" s="136"/>
      <c r="D54" s="157">
        <f>VLOOKUP($A54,$A$15:$B$21,2,FALSE)</f>
        <v>1000</v>
      </c>
      <c r="E54" s="138">
        <f>VLOOKUP($A54,$A$15:$D$21,4,FALSE)</f>
        <v>7</v>
      </c>
      <c r="F54" s="139"/>
      <c r="G54" s="139"/>
      <c r="H54" s="139"/>
      <c r="I54" s="139"/>
      <c r="J54" s="139"/>
      <c r="K54" s="139"/>
      <c r="L54" s="139"/>
      <c r="M54" s="139"/>
      <c r="N54" s="139"/>
      <c r="O54" s="139"/>
      <c r="P54" s="140"/>
    </row>
    <row r="55" spans="1:16" ht="29.15" x14ac:dyDescent="0.4">
      <c r="A55" s="158" t="s">
        <v>131</v>
      </c>
      <c r="B55" s="142" t="s">
        <v>125</v>
      </c>
      <c r="C55" s="143">
        <f>VLOOKUP(B55,'[1]Прайс-лист'!$C$5:$J$45,8,FALSE)</f>
        <v>3.9946666666666659</v>
      </c>
      <c r="D55" s="148">
        <v>2</v>
      </c>
      <c r="E55" s="23"/>
      <c r="F55" s="146">
        <f>IF(F$17=0,0,F$17/$C$17*$D55*$C55)</f>
        <v>55.92533333333332</v>
      </c>
      <c r="G55" s="146">
        <f t="shared" ref="G55:O55" si="16">IF(G$17=0,0,G$17/$C$17*$D55*$C55)</f>
        <v>55.92533333333332</v>
      </c>
      <c r="H55" s="146">
        <f t="shared" si="16"/>
        <v>55.92533333333332</v>
      </c>
      <c r="I55" s="146">
        <f t="shared" si="16"/>
        <v>55.92533333333332</v>
      </c>
      <c r="J55" s="146">
        <f t="shared" si="16"/>
        <v>55.92533333333332</v>
      </c>
      <c r="K55" s="146">
        <f t="shared" si="16"/>
        <v>55.92533333333332</v>
      </c>
      <c r="L55" s="146">
        <f t="shared" si="16"/>
        <v>55.92533333333332</v>
      </c>
      <c r="M55" s="146">
        <f t="shared" si="16"/>
        <v>55.92533333333332</v>
      </c>
      <c r="N55" s="146">
        <f t="shared" si="16"/>
        <v>55.92533333333332</v>
      </c>
      <c r="O55" s="146">
        <f t="shared" si="16"/>
        <v>55.92533333333332</v>
      </c>
      <c r="P55" s="147"/>
    </row>
    <row r="56" spans="1:16" x14ac:dyDescent="0.4">
      <c r="A56" s="134" t="s">
        <v>89</v>
      </c>
      <c r="B56" s="135"/>
      <c r="C56" s="136"/>
      <c r="D56" s="137">
        <f>VLOOKUP($A56,$A$14:$B$21,2,FALSE)</f>
        <v>2500</v>
      </c>
      <c r="E56" s="138">
        <f>VLOOKUP($A56,$A$15:$D$21,4,FALSE)</f>
        <v>2.8</v>
      </c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40"/>
    </row>
    <row r="57" spans="1:16" x14ac:dyDescent="0.4">
      <c r="A57" s="154" t="s">
        <v>132</v>
      </c>
      <c r="B57" s="142" t="s">
        <v>133</v>
      </c>
      <c r="C57" s="143">
        <f>VLOOKUP(B57,'[1]Прайс-лист'!$C$5:$J$45,8,FALSE)</f>
        <v>31.761569411764711</v>
      </c>
      <c r="D57" s="148">
        <v>1</v>
      </c>
      <c r="E57" s="23"/>
      <c r="F57" s="146">
        <f t="shared" ref="F57:H60" si="17">IF(F$18=0,0,F$18/$C$18*$D57*$C57)</f>
        <v>88.932394352941188</v>
      </c>
      <c r="G57" s="146">
        <f t="shared" si="17"/>
        <v>88.932394352941188</v>
      </c>
      <c r="H57" s="146">
        <f>IF(H$18=0,0,H$18/$C$18*$D57*$C57)</f>
        <v>88.932394352941188</v>
      </c>
      <c r="I57" s="146">
        <f t="shared" ref="I57:O60" si="18">IF(I$18=0,0,I$18/$C$18*$D57*$C57)</f>
        <v>88.932394352941188</v>
      </c>
      <c r="J57" s="146">
        <f t="shared" si="18"/>
        <v>88.932394352941188</v>
      </c>
      <c r="K57" s="146">
        <f t="shared" si="18"/>
        <v>88.932394352941188</v>
      </c>
      <c r="L57" s="146">
        <f t="shared" si="18"/>
        <v>88.932394352941188</v>
      </c>
      <c r="M57" s="146">
        <f t="shared" si="18"/>
        <v>88.932394352941188</v>
      </c>
      <c r="N57" s="146">
        <f t="shared" si="18"/>
        <v>88.932394352941188</v>
      </c>
      <c r="O57" s="146">
        <f t="shared" si="18"/>
        <v>88.932394352941188</v>
      </c>
      <c r="P57" s="147"/>
    </row>
    <row r="58" spans="1:16" x14ac:dyDescent="0.4">
      <c r="A58" s="154" t="s">
        <v>134</v>
      </c>
      <c r="B58" s="142">
        <v>1001318212</v>
      </c>
      <c r="C58" s="143">
        <f>VLOOKUP(B58,'[1]Прайс-лист'!$C$5:$J$45,8,FALSE)</f>
        <v>29.63473882352941</v>
      </c>
      <c r="D58" s="148">
        <v>1</v>
      </c>
      <c r="E58" s="23"/>
      <c r="F58" s="146">
        <f t="shared" si="17"/>
        <v>82.977268705882338</v>
      </c>
      <c r="G58" s="146">
        <f t="shared" si="17"/>
        <v>82.977268705882338</v>
      </c>
      <c r="H58" s="146">
        <f t="shared" si="17"/>
        <v>82.977268705882338</v>
      </c>
      <c r="I58" s="146">
        <f t="shared" si="18"/>
        <v>82.977268705882338</v>
      </c>
      <c r="J58" s="146">
        <f t="shared" si="18"/>
        <v>82.977268705882338</v>
      </c>
      <c r="K58" s="146">
        <f t="shared" si="18"/>
        <v>82.977268705882338</v>
      </c>
      <c r="L58" s="146">
        <f t="shared" si="18"/>
        <v>82.977268705882338</v>
      </c>
      <c r="M58" s="146">
        <f t="shared" si="18"/>
        <v>82.977268705882338</v>
      </c>
      <c r="N58" s="146">
        <f t="shared" si="18"/>
        <v>82.977268705882338</v>
      </c>
      <c r="O58" s="146">
        <f t="shared" si="18"/>
        <v>82.977268705882338</v>
      </c>
      <c r="P58" s="147"/>
    </row>
    <row r="59" spans="1:16" x14ac:dyDescent="0.4">
      <c r="A59" s="154" t="s">
        <v>135</v>
      </c>
      <c r="B59" s="142">
        <v>1004430807</v>
      </c>
      <c r="C59" s="143">
        <f>VLOOKUP(B59,'[1]Прайс-лист'!$C$5:$J$45,8,FALSE)</f>
        <v>212.31555882352944</v>
      </c>
      <c r="D59" s="148">
        <v>1</v>
      </c>
      <c r="E59" s="23"/>
      <c r="F59" s="146">
        <f t="shared" si="17"/>
        <v>594.48356470588237</v>
      </c>
      <c r="G59" s="146">
        <f t="shared" si="17"/>
        <v>594.48356470588237</v>
      </c>
      <c r="H59" s="146">
        <f t="shared" si="17"/>
        <v>594.48356470588237</v>
      </c>
      <c r="I59" s="146">
        <f t="shared" si="18"/>
        <v>594.48356470588237</v>
      </c>
      <c r="J59" s="146">
        <f t="shared" si="18"/>
        <v>594.48356470588237</v>
      </c>
      <c r="K59" s="146">
        <f t="shared" si="18"/>
        <v>594.48356470588237</v>
      </c>
      <c r="L59" s="146">
        <f t="shared" si="18"/>
        <v>594.48356470588237</v>
      </c>
      <c r="M59" s="146">
        <f t="shared" si="18"/>
        <v>594.48356470588237</v>
      </c>
      <c r="N59" s="146">
        <f t="shared" si="18"/>
        <v>594.48356470588237</v>
      </c>
      <c r="O59" s="146">
        <f t="shared" si="18"/>
        <v>594.48356470588237</v>
      </c>
      <c r="P59" s="147"/>
    </row>
    <row r="60" spans="1:16" x14ac:dyDescent="0.4">
      <c r="A60" s="159" t="s">
        <v>136</v>
      </c>
      <c r="B60" s="142" t="s">
        <v>106</v>
      </c>
      <c r="C60" s="143">
        <f>VLOOKUP(B60,'[1]Прайс-лист'!$C$5:$J$45,8,FALSE)</f>
        <v>15.036</v>
      </c>
      <c r="D60" s="148">
        <v>210</v>
      </c>
      <c r="E60" s="23"/>
      <c r="F60" s="146">
        <f t="shared" si="17"/>
        <v>8841.1679999999997</v>
      </c>
      <c r="G60" s="146">
        <f t="shared" si="17"/>
        <v>8841.1679999999997</v>
      </c>
      <c r="H60" s="146">
        <f t="shared" si="17"/>
        <v>8841.1679999999997</v>
      </c>
      <c r="I60" s="146">
        <f t="shared" si="18"/>
        <v>8841.1679999999997</v>
      </c>
      <c r="J60" s="146">
        <f t="shared" si="18"/>
        <v>8841.1679999999997</v>
      </c>
      <c r="K60" s="146">
        <f t="shared" si="18"/>
        <v>8841.1679999999997</v>
      </c>
      <c r="L60" s="146">
        <f t="shared" si="18"/>
        <v>8841.1679999999997</v>
      </c>
      <c r="M60" s="146">
        <f t="shared" si="18"/>
        <v>8841.1679999999997</v>
      </c>
      <c r="N60" s="146">
        <f t="shared" si="18"/>
        <v>8841.1679999999997</v>
      </c>
      <c r="O60" s="146">
        <f t="shared" si="18"/>
        <v>8841.1679999999997</v>
      </c>
      <c r="P60" s="147"/>
    </row>
    <row r="61" spans="1:16" x14ac:dyDescent="0.4">
      <c r="A61" s="134" t="s">
        <v>90</v>
      </c>
      <c r="B61" s="135"/>
      <c r="C61" s="136"/>
      <c r="D61" s="137">
        <f>VLOOKUP($A61,$A$14:$B$21,2,FALSE)</f>
        <v>4000</v>
      </c>
      <c r="E61" s="138">
        <f>VLOOKUP($A61,$A$15:$D$21,4,FALSE)</f>
        <v>1.75</v>
      </c>
      <c r="F61" s="139"/>
      <c r="G61" s="139"/>
      <c r="H61" s="139"/>
      <c r="I61" s="139"/>
      <c r="J61" s="139"/>
      <c r="K61" s="139"/>
      <c r="L61" s="139"/>
      <c r="M61" s="139"/>
      <c r="N61" s="139"/>
      <c r="O61" s="139"/>
      <c r="P61" s="140"/>
    </row>
    <row r="62" spans="1:16" x14ac:dyDescent="0.4">
      <c r="A62" s="153" t="s">
        <v>137</v>
      </c>
      <c r="B62" s="142" t="s">
        <v>138</v>
      </c>
      <c r="C62" s="143">
        <f>VLOOKUP(B62,'[1]Прайс-лист'!$C$5:$J$45,8,FALSE)</f>
        <v>2.2679999999999998</v>
      </c>
      <c r="D62" s="148">
        <v>830</v>
      </c>
      <c r="E62" s="23"/>
      <c r="F62" s="146">
        <f t="shared" ref="F62:G62" si="19">IF(F$19=0,0,F$19/$C$19*$D62*$C62)</f>
        <v>3294.2700000000004</v>
      </c>
      <c r="G62" s="146">
        <f t="shared" si="19"/>
        <v>3294.2700000000004</v>
      </c>
      <c r="H62" s="146">
        <f>IF(H$19=0,0,H$19/$C$19*$D62*$C62)</f>
        <v>3294.2700000000004</v>
      </c>
      <c r="I62" s="146">
        <f t="shared" ref="I62:O62" si="20">IF(I$19=0,0,I$19/$C$19*$D62*$C62)</f>
        <v>3294.2700000000004</v>
      </c>
      <c r="J62" s="146">
        <f t="shared" si="20"/>
        <v>3294.2700000000004</v>
      </c>
      <c r="K62" s="146">
        <f t="shared" si="20"/>
        <v>3294.2700000000004</v>
      </c>
      <c r="L62" s="146">
        <f t="shared" si="20"/>
        <v>3294.2700000000004</v>
      </c>
      <c r="M62" s="146">
        <f t="shared" si="20"/>
        <v>3294.2700000000004</v>
      </c>
      <c r="N62" s="146">
        <f t="shared" si="20"/>
        <v>3294.2700000000004</v>
      </c>
      <c r="O62" s="146">
        <f t="shared" si="20"/>
        <v>3294.2700000000004</v>
      </c>
      <c r="P62" s="147"/>
    </row>
    <row r="63" spans="1:16" x14ac:dyDescent="0.4">
      <c r="A63" s="134" t="s">
        <v>91</v>
      </c>
      <c r="B63" s="135"/>
      <c r="C63" s="136"/>
      <c r="D63" s="137">
        <f>VLOOKUP($A63,$A$14:$B$21,2,FALSE)</f>
        <v>5000</v>
      </c>
      <c r="E63" s="138">
        <f>VLOOKUP($A63,$A$15:$D$21,4,FALSE)</f>
        <v>1.4</v>
      </c>
      <c r="F63" s="139"/>
      <c r="G63" s="139"/>
      <c r="H63" s="139"/>
      <c r="I63" s="139"/>
      <c r="J63" s="139"/>
      <c r="K63" s="139"/>
      <c r="L63" s="139"/>
      <c r="M63" s="139"/>
      <c r="N63" s="139"/>
      <c r="O63" s="139"/>
      <c r="P63" s="140"/>
    </row>
    <row r="64" spans="1:16" x14ac:dyDescent="0.4">
      <c r="A64" s="160"/>
      <c r="B64" s="160"/>
      <c r="C64" s="160"/>
      <c r="D64" s="160"/>
      <c r="E64" s="23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40"/>
    </row>
    <row r="65" spans="1:16" ht="14.15" customHeight="1" x14ac:dyDescent="0.4">
      <c r="A65" s="134" t="s">
        <v>92</v>
      </c>
      <c r="B65" s="135"/>
      <c r="C65" s="136"/>
      <c r="D65" s="137">
        <f>VLOOKUP($A65,$A$15:$B$21,2,FALSE)</f>
        <v>3500</v>
      </c>
      <c r="E65" s="138">
        <f>VLOOKUP($A65,$A$15:$D$21,4,FALSE)</f>
        <v>2</v>
      </c>
      <c r="F65" s="139"/>
      <c r="G65" s="139"/>
      <c r="H65" s="139"/>
      <c r="I65" s="139"/>
      <c r="J65" s="139"/>
      <c r="K65" s="139"/>
      <c r="L65" s="139"/>
      <c r="M65" s="139"/>
      <c r="N65" s="139"/>
      <c r="O65" s="139"/>
      <c r="P65" s="140"/>
    </row>
    <row r="66" spans="1:16" ht="29.15" x14ac:dyDescent="0.4">
      <c r="A66" s="162" t="s">
        <v>109</v>
      </c>
      <c r="B66" s="142" t="s">
        <v>110</v>
      </c>
      <c r="C66" s="143">
        <f>VLOOKUP(B66,'[1]Прайс-лист'!$C$5:$J$45,8,FALSE)</f>
        <v>3.08</v>
      </c>
      <c r="D66" s="148">
        <v>790</v>
      </c>
      <c r="E66" s="145"/>
      <c r="F66" s="146">
        <f t="shared" ref="F66:G66" si="21">IF(F$21=0,0,F$21/$C$21*$D66*$C66)</f>
        <v>4866.4000000000005</v>
      </c>
      <c r="G66" s="146">
        <f t="shared" si="21"/>
        <v>4866.4000000000005</v>
      </c>
      <c r="H66" s="146">
        <f>IF(H$21=0,0,H$21/$C$21*$D66*$C66)</f>
        <v>4866.4000000000005</v>
      </c>
      <c r="I66" s="146">
        <f t="shared" ref="I66:O66" si="22">IF(I$21=0,0,I$21/$C$21*$D66*$C66)</f>
        <v>4866.4000000000005</v>
      </c>
      <c r="J66" s="146">
        <f t="shared" si="22"/>
        <v>4866.4000000000005</v>
      </c>
      <c r="K66" s="146">
        <f t="shared" si="22"/>
        <v>4866.4000000000005</v>
      </c>
      <c r="L66" s="146">
        <f t="shared" si="22"/>
        <v>4866.4000000000005</v>
      </c>
      <c r="M66" s="146">
        <f t="shared" si="22"/>
        <v>4866.4000000000005</v>
      </c>
      <c r="N66" s="146">
        <f t="shared" si="22"/>
        <v>4866.4000000000005</v>
      </c>
      <c r="O66" s="146">
        <f t="shared" si="22"/>
        <v>4866.4000000000005</v>
      </c>
      <c r="P66" s="147"/>
    </row>
  </sheetData>
  <mergeCells count="2">
    <mergeCell ref="A11:O11"/>
    <mergeCell ref="A22:O22"/>
  </mergeCells>
  <pageMargins left="0" right="0" top="0.74803149606299213" bottom="0.74803149606299213" header="0.31496062992125984" footer="0.31496062992125984"/>
  <pageSetup paperSize="8" scale="6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8033-F02D-4AE3-937C-50302FAEA606}">
  <dimension ref="B3:O86"/>
  <sheetViews>
    <sheetView zoomScaleNormal="100" zoomScaleSheetLayoutView="85" workbookViewId="0">
      <pane xSplit="2" ySplit="7" topLeftCell="C59" activePane="bottomRight" state="frozen"/>
      <selection activeCell="B43" sqref="B43:D43"/>
      <selection pane="topRight" activeCell="B43" sqref="B43:D43"/>
      <selection pane="bottomLeft" activeCell="B43" sqref="B43:D43"/>
      <selection pane="bottomRight" activeCell="C74" sqref="C74"/>
    </sheetView>
  </sheetViews>
  <sheetFormatPr defaultRowHeight="14.6" x14ac:dyDescent="0.4"/>
  <cols>
    <col min="1" max="1" width="5.3828125" customWidth="1"/>
    <col min="2" max="2" width="58.69140625" customWidth="1"/>
    <col min="3" max="3" width="15.61328125" customWidth="1"/>
    <col min="4" max="4" width="17.3828125" customWidth="1"/>
    <col min="5" max="5" width="11.3828125" customWidth="1"/>
    <col min="6" max="15" width="11.15234375" customWidth="1"/>
    <col min="16" max="16" width="6.84375" customWidth="1"/>
  </cols>
  <sheetData>
    <row r="3" spans="2:15" x14ac:dyDescent="0.4">
      <c r="B3" s="163" t="s">
        <v>0</v>
      </c>
      <c r="C3" s="45" t="str">
        <f>'Данные -Карьерный самосвал'!C3</f>
        <v>Марка, модель</v>
      </c>
      <c r="D3" s="46" t="str">
        <f>'Данные -Карьерный самосвал'!D3</f>
        <v>7531N</v>
      </c>
    </row>
    <row r="4" spans="2:15" ht="15" thickBot="1" x14ac:dyDescent="0.45">
      <c r="B4" t="s">
        <v>65</v>
      </c>
      <c r="F4" s="47">
        <f>'Данные -Карьерный самосвал'!E12</f>
        <v>0.9307834141933029</v>
      </c>
      <c r="G4" s="47">
        <f>'Данные -Карьерный самосвал'!F12</f>
        <v>0.90792065417300871</v>
      </c>
      <c r="H4" s="47">
        <f>'Данные -Карьерный самосвал'!G12</f>
        <v>0.8994118599906985</v>
      </c>
      <c r="I4" s="47">
        <f>'Данные -Карьерный самосвал'!H12</f>
        <v>0.88050753900304413</v>
      </c>
      <c r="J4" s="47">
        <f>'Данные -Карьерный самосвал'!I12</f>
        <v>0.9011506135844749</v>
      </c>
      <c r="K4" s="47">
        <f>'Данные -Карьерный самосвал'!J12</f>
        <v>0.87025999122695752</v>
      </c>
      <c r="L4" s="47">
        <f>'Данные -Карьерный самосвал'!K12</f>
        <v>0.85058935026636229</v>
      </c>
      <c r="M4" s="47">
        <f>'Данные -Карьерный самосвал'!L12</f>
        <v>0.89171695046930488</v>
      </c>
      <c r="N4" s="47">
        <f>'Данные -Карьерный самосвал'!M12</f>
        <v>0.85775576325469305</v>
      </c>
      <c r="O4" s="47">
        <f>'Данные -Карьерный самосвал'!N12</f>
        <v>0.85228053917216307</v>
      </c>
    </row>
    <row r="5" spans="2:15" s="166" customFormat="1" ht="22.95" customHeight="1" x14ac:dyDescent="0.4">
      <c r="B5" s="164" t="s">
        <v>66</v>
      </c>
      <c r="C5" s="165" t="s">
        <v>139</v>
      </c>
      <c r="D5" s="125"/>
      <c r="E5" s="125"/>
      <c r="F5" s="122" t="s">
        <v>140</v>
      </c>
      <c r="G5" s="122" t="s">
        <v>141</v>
      </c>
      <c r="H5" s="122" t="s">
        <v>142</v>
      </c>
      <c r="I5" s="122" t="s">
        <v>143</v>
      </c>
      <c r="J5" s="122" t="s">
        <v>144</v>
      </c>
      <c r="K5" s="122" t="s">
        <v>145</v>
      </c>
      <c r="L5" s="122" t="s">
        <v>146</v>
      </c>
      <c r="M5" s="122" t="s">
        <v>147</v>
      </c>
      <c r="N5" s="122" t="s">
        <v>148</v>
      </c>
      <c r="O5" s="122" t="s">
        <v>149</v>
      </c>
    </row>
    <row r="6" spans="2:15" x14ac:dyDescent="0.4">
      <c r="B6" s="167" t="s">
        <v>67</v>
      </c>
      <c r="C6" s="168" t="s">
        <v>68</v>
      </c>
      <c r="D6" s="64"/>
      <c r="E6" s="168"/>
      <c r="F6" s="161">
        <v>0</v>
      </c>
      <c r="G6" s="161">
        <f>F7+1</f>
        <v>7001</v>
      </c>
      <c r="H6" s="161">
        <f t="shared" ref="H6:O6" si="0">G7+1</f>
        <v>14001</v>
      </c>
      <c r="I6" s="161">
        <f t="shared" si="0"/>
        <v>21001</v>
      </c>
      <c r="J6" s="161">
        <f t="shared" si="0"/>
        <v>28001</v>
      </c>
      <c r="K6" s="161">
        <f t="shared" si="0"/>
        <v>35001</v>
      </c>
      <c r="L6" s="161">
        <f t="shared" si="0"/>
        <v>42001</v>
      </c>
      <c r="M6" s="161">
        <f t="shared" si="0"/>
        <v>49001</v>
      </c>
      <c r="N6" s="161">
        <f t="shared" si="0"/>
        <v>56001</v>
      </c>
      <c r="O6" s="169">
        <f t="shared" si="0"/>
        <v>63001</v>
      </c>
    </row>
    <row r="7" spans="2:15" ht="15" thickBot="1" x14ac:dyDescent="0.45">
      <c r="B7" s="170" t="s">
        <v>69</v>
      </c>
      <c r="C7" s="171" t="s">
        <v>68</v>
      </c>
      <c r="D7" s="172"/>
      <c r="E7" s="173"/>
      <c r="F7" s="174">
        <v>7000</v>
      </c>
      <c r="G7" s="174">
        <f>F7+F7</f>
        <v>14000</v>
      </c>
      <c r="H7" s="174">
        <f>F7+G7</f>
        <v>21000</v>
      </c>
      <c r="I7" s="174">
        <f>H7+F7</f>
        <v>28000</v>
      </c>
      <c r="J7" s="174">
        <f>I7+$F$7</f>
        <v>35000</v>
      </c>
      <c r="K7" s="174">
        <f>J7+$F$7</f>
        <v>42000</v>
      </c>
      <c r="L7" s="174">
        <f t="shared" ref="L7:O7" si="1">K7+$F$7</f>
        <v>49000</v>
      </c>
      <c r="M7" s="174">
        <f t="shared" si="1"/>
        <v>56000</v>
      </c>
      <c r="N7" s="174">
        <f t="shared" si="1"/>
        <v>63000</v>
      </c>
      <c r="O7" s="175">
        <f t="shared" si="1"/>
        <v>70000</v>
      </c>
    </row>
    <row r="8" spans="2:15" ht="15" thickBot="1" x14ac:dyDescent="0.45"/>
    <row r="9" spans="2:15" ht="21.75" customHeight="1" x14ac:dyDescent="0.4">
      <c r="B9" s="176" t="s">
        <v>150</v>
      </c>
      <c r="C9" s="177" t="s">
        <v>71</v>
      </c>
      <c r="D9" s="177"/>
      <c r="E9" s="177"/>
      <c r="F9" s="178">
        <f>F17</f>
        <v>135</v>
      </c>
      <c r="G9" s="178">
        <f t="shared" ref="G9:O9" si="2">G17</f>
        <v>341</v>
      </c>
      <c r="H9" s="178">
        <f t="shared" si="2"/>
        <v>417.66666666666663</v>
      </c>
      <c r="I9" s="178">
        <f t="shared" si="2"/>
        <v>588</v>
      </c>
      <c r="J9" s="178">
        <f t="shared" si="2"/>
        <v>402</v>
      </c>
      <c r="K9" s="178">
        <f t="shared" si="2"/>
        <v>680.33333333333337</v>
      </c>
      <c r="L9" s="178">
        <f t="shared" si="2"/>
        <v>549</v>
      </c>
      <c r="M9" s="178">
        <f t="shared" si="2"/>
        <v>487</v>
      </c>
      <c r="N9" s="178">
        <f t="shared" si="2"/>
        <v>793</v>
      </c>
      <c r="O9" s="178">
        <f t="shared" si="2"/>
        <v>842.33333333333337</v>
      </c>
    </row>
    <row r="10" spans="2:15" ht="21" customHeight="1" x14ac:dyDescent="0.4">
      <c r="B10" s="179" t="s">
        <v>151</v>
      </c>
      <c r="C10" s="180" t="s">
        <v>152</v>
      </c>
      <c r="D10" s="19"/>
      <c r="E10" s="19"/>
      <c r="F10" s="75">
        <f>SUM(F11:F13)</f>
        <v>32561.22</v>
      </c>
      <c r="G10" s="75">
        <f t="shared" ref="G10:O10" si="3">SUM(G11:G13)</f>
        <v>121394.6</v>
      </c>
      <c r="H10" s="75">
        <f t="shared" si="3"/>
        <v>527818.87118000002</v>
      </c>
      <c r="I10" s="75">
        <f t="shared" si="3"/>
        <v>823902.80929999996</v>
      </c>
      <c r="J10" s="75">
        <f t="shared" si="3"/>
        <v>277045.95970000001</v>
      </c>
      <c r="K10" s="75">
        <f t="shared" si="3"/>
        <v>549346.90237999998</v>
      </c>
      <c r="L10" s="75">
        <f t="shared" si="3"/>
        <v>235842.3988</v>
      </c>
      <c r="M10" s="75">
        <f t="shared" si="3"/>
        <v>884109.23047647055</v>
      </c>
      <c r="N10" s="75">
        <f t="shared" si="3"/>
        <v>717681.06208000006</v>
      </c>
      <c r="O10" s="75">
        <f t="shared" si="3"/>
        <v>247535.77499999999</v>
      </c>
    </row>
    <row r="11" spans="2:15" ht="18.75" customHeight="1" x14ac:dyDescent="0.4">
      <c r="B11" s="181" t="s">
        <v>33</v>
      </c>
      <c r="C11" s="26" t="s">
        <v>152</v>
      </c>
      <c r="D11" s="26"/>
      <c r="E11" s="26"/>
      <c r="F11" s="30">
        <f>F57</f>
        <v>15011.22</v>
      </c>
      <c r="G11" s="30">
        <f t="shared" ref="G11:O11" si="4">G57</f>
        <v>77064.600000000006</v>
      </c>
      <c r="H11" s="30">
        <f t="shared" si="4"/>
        <v>50720.67</v>
      </c>
      <c r="I11" s="30">
        <f t="shared" si="4"/>
        <v>89861</v>
      </c>
      <c r="J11" s="30">
        <f t="shared" si="4"/>
        <v>60140.95</v>
      </c>
      <c r="K11" s="30">
        <f t="shared" si="4"/>
        <v>102873.7</v>
      </c>
      <c r="L11" s="30">
        <f t="shared" si="4"/>
        <v>80547.399999999994</v>
      </c>
      <c r="M11" s="30">
        <f t="shared" si="4"/>
        <v>64172.23</v>
      </c>
      <c r="N11" s="30">
        <f t="shared" si="4"/>
        <v>74322.850000000006</v>
      </c>
      <c r="O11" s="30">
        <f t="shared" si="4"/>
        <v>90365.774999999994</v>
      </c>
    </row>
    <row r="12" spans="2:15" ht="18.75" customHeight="1" x14ac:dyDescent="0.4">
      <c r="B12" s="181" t="s">
        <v>34</v>
      </c>
      <c r="C12" s="26" t="s">
        <v>152</v>
      </c>
      <c r="D12" s="26"/>
      <c r="E12" s="26"/>
      <c r="F12" s="30">
        <f>F62</f>
        <v>0</v>
      </c>
      <c r="G12" s="30">
        <f t="shared" ref="G12:O12" si="5">G62</f>
        <v>0</v>
      </c>
      <c r="H12" s="30">
        <f t="shared" si="5"/>
        <v>410928.20117999997</v>
      </c>
      <c r="I12" s="30">
        <f t="shared" si="5"/>
        <v>652531.80929999996</v>
      </c>
      <c r="J12" s="30">
        <f t="shared" si="5"/>
        <v>158405.00970000002</v>
      </c>
      <c r="K12" s="30">
        <f t="shared" si="5"/>
        <v>339483.20237999997</v>
      </c>
      <c r="L12" s="30">
        <f t="shared" si="5"/>
        <v>71444.998800000001</v>
      </c>
      <c r="M12" s="30">
        <f t="shared" si="5"/>
        <v>721657.00047647057</v>
      </c>
      <c r="N12" s="30">
        <f t="shared" si="5"/>
        <v>497888.21208000003</v>
      </c>
      <c r="O12" s="30">
        <f t="shared" si="5"/>
        <v>0</v>
      </c>
    </row>
    <row r="13" spans="2:15" ht="18.75" customHeight="1" thickBot="1" x14ac:dyDescent="0.45">
      <c r="B13" s="182" t="s">
        <v>153</v>
      </c>
      <c r="C13" s="183" t="s">
        <v>152</v>
      </c>
      <c r="D13" s="183"/>
      <c r="E13" s="183"/>
      <c r="F13" s="88">
        <f t="shared" ref="F13:O13" si="6">SUMPRODUCT($E31:$E53,F$31:F$53)</f>
        <v>17550</v>
      </c>
      <c r="G13" s="88">
        <f t="shared" si="6"/>
        <v>44330</v>
      </c>
      <c r="H13" s="88">
        <f t="shared" si="6"/>
        <v>66170</v>
      </c>
      <c r="I13" s="88">
        <f t="shared" si="6"/>
        <v>81510</v>
      </c>
      <c r="J13" s="88">
        <f t="shared" si="6"/>
        <v>58500</v>
      </c>
      <c r="K13" s="88">
        <f t="shared" si="6"/>
        <v>106990</v>
      </c>
      <c r="L13" s="88">
        <f t="shared" si="6"/>
        <v>83850</v>
      </c>
      <c r="M13" s="88">
        <f t="shared" si="6"/>
        <v>98280</v>
      </c>
      <c r="N13" s="88">
        <f t="shared" si="6"/>
        <v>145470</v>
      </c>
      <c r="O13" s="88">
        <f t="shared" si="6"/>
        <v>157170</v>
      </c>
    </row>
    <row r="14" spans="2:15" ht="18" customHeight="1" x14ac:dyDescent="0.4">
      <c r="B14" s="184"/>
      <c r="C14" s="185"/>
      <c r="D14" s="185"/>
      <c r="E14" s="185"/>
      <c r="F14" s="82"/>
      <c r="G14" s="82"/>
      <c r="H14" s="82"/>
      <c r="I14" s="82"/>
      <c r="J14" s="82"/>
      <c r="K14" s="82"/>
      <c r="L14" s="82"/>
      <c r="M14" s="82"/>
      <c r="N14" s="82"/>
      <c r="O14" s="82"/>
    </row>
    <row r="15" spans="2:15" ht="23.25" customHeight="1" thickBot="1" x14ac:dyDescent="0.45">
      <c r="B15" s="186" t="s">
        <v>154</v>
      </c>
      <c r="C15" s="185"/>
      <c r="D15" s="185"/>
      <c r="E15" s="185"/>
      <c r="F15" s="82"/>
      <c r="G15" s="82"/>
      <c r="H15" s="82"/>
      <c r="I15" s="82"/>
      <c r="J15" s="82"/>
      <c r="K15" s="82"/>
      <c r="L15" s="82"/>
      <c r="M15" s="82"/>
      <c r="N15" s="82"/>
      <c r="O15" s="82"/>
    </row>
    <row r="16" spans="2:15" ht="16.5" customHeight="1" x14ac:dyDescent="0.4">
      <c r="B16" s="121" t="s">
        <v>155</v>
      </c>
      <c r="C16" s="165" t="s">
        <v>139</v>
      </c>
      <c r="D16" s="187"/>
      <c r="E16" s="187"/>
      <c r="F16" s="188" t="str">
        <f>F5</f>
        <v>1 год</v>
      </c>
      <c r="G16" s="188" t="str">
        <f t="shared" ref="G16:O16" si="7">G5</f>
        <v>2 год</v>
      </c>
      <c r="H16" s="188" t="str">
        <f t="shared" si="7"/>
        <v>3 год</v>
      </c>
      <c r="I16" s="188" t="str">
        <f t="shared" si="7"/>
        <v>4 год</v>
      </c>
      <c r="J16" s="188" t="str">
        <f t="shared" si="7"/>
        <v>5 год</v>
      </c>
      <c r="K16" s="188" t="str">
        <f t="shared" si="7"/>
        <v>6 год</v>
      </c>
      <c r="L16" s="188" t="str">
        <f t="shared" si="7"/>
        <v>7 год</v>
      </c>
      <c r="M16" s="188" t="str">
        <f t="shared" si="7"/>
        <v>8 год</v>
      </c>
      <c r="N16" s="188" t="str">
        <f t="shared" si="7"/>
        <v>9 год</v>
      </c>
      <c r="O16" s="188" t="str">
        <f t="shared" si="7"/>
        <v>10 год</v>
      </c>
    </row>
    <row r="17" spans="2:15" ht="16.5" customHeight="1" x14ac:dyDescent="0.4">
      <c r="B17" s="179" t="s">
        <v>156</v>
      </c>
      <c r="C17" s="11"/>
      <c r="D17" s="26"/>
      <c r="E17" s="26"/>
      <c r="F17" s="189">
        <f t="shared" ref="F17:O17" si="8">SUM(F18:F26)</f>
        <v>135</v>
      </c>
      <c r="G17" s="189">
        <f t="shared" si="8"/>
        <v>341</v>
      </c>
      <c r="H17" s="189">
        <f t="shared" si="8"/>
        <v>417.66666666666663</v>
      </c>
      <c r="I17" s="189">
        <f t="shared" si="8"/>
        <v>588</v>
      </c>
      <c r="J17" s="189">
        <f t="shared" si="8"/>
        <v>402</v>
      </c>
      <c r="K17" s="189">
        <f t="shared" si="8"/>
        <v>680.33333333333337</v>
      </c>
      <c r="L17" s="189">
        <f t="shared" si="8"/>
        <v>549</v>
      </c>
      <c r="M17" s="189">
        <f t="shared" si="8"/>
        <v>487</v>
      </c>
      <c r="N17" s="189">
        <f t="shared" si="8"/>
        <v>793</v>
      </c>
      <c r="O17" s="189">
        <f t="shared" si="8"/>
        <v>842.33333333333337</v>
      </c>
    </row>
    <row r="18" spans="2:15" ht="16.5" customHeight="1" x14ac:dyDescent="0.4">
      <c r="B18" s="190" t="s">
        <v>157</v>
      </c>
      <c r="C18" s="23" t="s">
        <v>71</v>
      </c>
      <c r="D18" s="38"/>
      <c r="E18" s="38"/>
      <c r="F18" s="191">
        <f>F31/2</f>
        <v>45</v>
      </c>
      <c r="G18" s="191">
        <f t="shared" ref="G18:H18" si="9">G31/2</f>
        <v>72</v>
      </c>
      <c r="H18" s="191">
        <f t="shared" si="9"/>
        <v>90</v>
      </c>
      <c r="I18" s="191">
        <f t="shared" ref="I18:O18" si="10">I31/3</f>
        <v>90</v>
      </c>
      <c r="J18" s="191">
        <f t="shared" si="10"/>
        <v>120</v>
      </c>
      <c r="K18" s="191">
        <f t="shared" si="10"/>
        <v>150</v>
      </c>
      <c r="L18" s="191">
        <f t="shared" si="10"/>
        <v>216</v>
      </c>
      <c r="M18" s="191">
        <f t="shared" si="10"/>
        <v>270</v>
      </c>
      <c r="N18" s="191">
        <f t="shared" si="10"/>
        <v>300</v>
      </c>
      <c r="O18" s="191">
        <f t="shared" si="10"/>
        <v>733.33333333333337</v>
      </c>
    </row>
    <row r="19" spans="2:15" ht="16.5" customHeight="1" x14ac:dyDescent="0.4">
      <c r="B19" s="190" t="s">
        <v>158</v>
      </c>
      <c r="C19" s="23" t="s">
        <v>71</v>
      </c>
      <c r="D19" s="38"/>
      <c r="E19" s="38"/>
      <c r="F19" s="191">
        <f t="shared" ref="F19:O23" si="11">F32/2</f>
        <v>0</v>
      </c>
      <c r="G19" s="191">
        <f t="shared" si="11"/>
        <v>19</v>
      </c>
      <c r="H19" s="191">
        <f t="shared" si="11"/>
        <v>19</v>
      </c>
      <c r="I19" s="191">
        <f t="shared" si="11"/>
        <v>0</v>
      </c>
      <c r="J19" s="191">
        <f t="shared" si="11"/>
        <v>19</v>
      </c>
      <c r="K19" s="191">
        <f t="shared" si="11"/>
        <v>19</v>
      </c>
      <c r="L19" s="191">
        <f t="shared" si="11"/>
        <v>0</v>
      </c>
      <c r="M19" s="191">
        <f t="shared" si="11"/>
        <v>19</v>
      </c>
      <c r="N19" s="191">
        <f t="shared" si="11"/>
        <v>19</v>
      </c>
      <c r="O19" s="191">
        <f t="shared" si="11"/>
        <v>19</v>
      </c>
    </row>
    <row r="20" spans="2:15" ht="16.5" customHeight="1" x14ac:dyDescent="0.4">
      <c r="B20" s="192" t="s">
        <v>159</v>
      </c>
      <c r="C20" s="23" t="s">
        <v>71</v>
      </c>
      <c r="D20" s="38"/>
      <c r="E20" s="38"/>
      <c r="F20" s="191">
        <f t="shared" si="11"/>
        <v>90</v>
      </c>
      <c r="G20" s="191">
        <f t="shared" si="11"/>
        <v>90</v>
      </c>
      <c r="H20" s="191">
        <f>H33/2</f>
        <v>90</v>
      </c>
      <c r="I20" s="191">
        <f t="shared" si="11"/>
        <v>90</v>
      </c>
      <c r="J20" s="191">
        <f t="shared" si="11"/>
        <v>90</v>
      </c>
      <c r="K20" s="191">
        <f t="shared" si="11"/>
        <v>180</v>
      </c>
      <c r="L20" s="191">
        <f t="shared" si="11"/>
        <v>90</v>
      </c>
      <c r="M20" s="191">
        <f t="shared" si="11"/>
        <v>90</v>
      </c>
      <c r="N20" s="191">
        <f t="shared" si="11"/>
        <v>90</v>
      </c>
      <c r="O20" s="191">
        <f t="shared" si="11"/>
        <v>90</v>
      </c>
    </row>
    <row r="21" spans="2:15" ht="16.5" customHeight="1" x14ac:dyDescent="0.4">
      <c r="B21" s="192" t="s">
        <v>160</v>
      </c>
      <c r="C21" s="23" t="s">
        <v>71</v>
      </c>
      <c r="D21" s="38"/>
      <c r="E21" s="38"/>
      <c r="F21" s="191">
        <f t="shared" si="11"/>
        <v>0</v>
      </c>
      <c r="G21" s="191">
        <f t="shared" si="11"/>
        <v>160</v>
      </c>
      <c r="H21" s="191">
        <f>H34/2</f>
        <v>0</v>
      </c>
      <c r="I21" s="191">
        <f t="shared" si="11"/>
        <v>160</v>
      </c>
      <c r="J21" s="191">
        <f t="shared" si="11"/>
        <v>0</v>
      </c>
      <c r="K21" s="191">
        <f t="shared" si="11"/>
        <v>160</v>
      </c>
      <c r="L21" s="191">
        <f t="shared" si="11"/>
        <v>160</v>
      </c>
      <c r="M21" s="191">
        <f t="shared" si="11"/>
        <v>0</v>
      </c>
      <c r="N21" s="191">
        <f t="shared" si="11"/>
        <v>160</v>
      </c>
      <c r="O21" s="191">
        <f t="shared" si="11"/>
        <v>0</v>
      </c>
    </row>
    <row r="22" spans="2:15" ht="16.5" customHeight="1" x14ac:dyDescent="0.4">
      <c r="B22" s="192" t="s">
        <v>161</v>
      </c>
      <c r="C22" s="23" t="s">
        <v>71</v>
      </c>
      <c r="D22" s="38"/>
      <c r="E22" s="34">
        <v>1</v>
      </c>
      <c r="F22" s="191">
        <f t="shared" si="11"/>
        <v>0</v>
      </c>
      <c r="G22" s="191">
        <f t="shared" si="11"/>
        <v>0</v>
      </c>
      <c r="H22" s="191">
        <f>H35/2</f>
        <v>0</v>
      </c>
      <c r="I22" s="191">
        <f t="shared" si="11"/>
        <v>140</v>
      </c>
      <c r="J22" s="191">
        <f t="shared" si="11"/>
        <v>0</v>
      </c>
      <c r="K22" s="191">
        <f t="shared" si="11"/>
        <v>0</v>
      </c>
      <c r="L22" s="191">
        <f t="shared" si="11"/>
        <v>0</v>
      </c>
      <c r="M22" s="191">
        <f t="shared" si="11"/>
        <v>0</v>
      </c>
      <c r="N22" s="191">
        <f t="shared" si="11"/>
        <v>0</v>
      </c>
      <c r="O22" s="191">
        <f t="shared" si="11"/>
        <v>0</v>
      </c>
    </row>
    <row r="23" spans="2:15" ht="16.5" customHeight="1" x14ac:dyDescent="0.4">
      <c r="B23" s="192" t="s">
        <v>162</v>
      </c>
      <c r="C23" s="23" t="s">
        <v>71</v>
      </c>
      <c r="D23" s="38"/>
      <c r="E23" s="34">
        <v>1</v>
      </c>
      <c r="F23" s="191">
        <f t="shared" si="11"/>
        <v>0</v>
      </c>
      <c r="G23" s="191">
        <f t="shared" si="11"/>
        <v>0</v>
      </c>
      <c r="H23" s="191">
        <f>H36/2</f>
        <v>0</v>
      </c>
      <c r="I23" s="191">
        <f t="shared" ref="I23:O23" si="12">I38/2</f>
        <v>0</v>
      </c>
      <c r="J23" s="191">
        <f t="shared" si="12"/>
        <v>12</v>
      </c>
      <c r="K23" s="191">
        <f t="shared" si="12"/>
        <v>0</v>
      </c>
      <c r="L23" s="191">
        <f t="shared" si="12"/>
        <v>12</v>
      </c>
      <c r="M23" s="191">
        <f t="shared" si="12"/>
        <v>0</v>
      </c>
      <c r="N23" s="191">
        <f t="shared" si="12"/>
        <v>12</v>
      </c>
      <c r="O23" s="191">
        <f t="shared" si="12"/>
        <v>0</v>
      </c>
    </row>
    <row r="24" spans="2:15" ht="16.5" customHeight="1" x14ac:dyDescent="0.4">
      <c r="B24" s="192" t="s">
        <v>163</v>
      </c>
      <c r="C24" s="23"/>
      <c r="D24" s="38"/>
      <c r="E24" s="34">
        <v>1</v>
      </c>
      <c r="F24" s="191">
        <f>F46/2</f>
        <v>0</v>
      </c>
      <c r="G24" s="191">
        <f t="shared" ref="G24:O25" si="13">G46/2</f>
        <v>0</v>
      </c>
      <c r="H24" s="191">
        <f t="shared" si="13"/>
        <v>0</v>
      </c>
      <c r="I24" s="191">
        <f t="shared" si="13"/>
        <v>6</v>
      </c>
      <c r="J24" s="191">
        <f t="shared" si="13"/>
        <v>0</v>
      </c>
      <c r="K24" s="191">
        <f t="shared" si="13"/>
        <v>0</v>
      </c>
      <c r="L24" s="191">
        <f t="shared" si="13"/>
        <v>0</v>
      </c>
      <c r="M24" s="191">
        <f t="shared" si="13"/>
        <v>6</v>
      </c>
      <c r="N24" s="191">
        <f t="shared" si="13"/>
        <v>0</v>
      </c>
      <c r="O24" s="191">
        <f t="shared" si="13"/>
        <v>0</v>
      </c>
    </row>
    <row r="25" spans="2:15" ht="16.5" customHeight="1" x14ac:dyDescent="0.4">
      <c r="B25" s="192" t="s">
        <v>164</v>
      </c>
      <c r="C25" s="23" t="s">
        <v>71</v>
      </c>
      <c r="D25" s="38"/>
      <c r="E25" s="34">
        <v>2</v>
      </c>
      <c r="F25" s="191">
        <f>F47/2</f>
        <v>0</v>
      </c>
      <c r="G25" s="191">
        <f t="shared" si="13"/>
        <v>0</v>
      </c>
      <c r="H25" s="191">
        <f t="shared" si="13"/>
        <v>12</v>
      </c>
      <c r="I25" s="191">
        <f t="shared" si="13"/>
        <v>0</v>
      </c>
      <c r="J25" s="191">
        <f t="shared" si="13"/>
        <v>0</v>
      </c>
      <c r="K25" s="191">
        <f t="shared" si="13"/>
        <v>12</v>
      </c>
      <c r="L25" s="191">
        <f t="shared" si="13"/>
        <v>0</v>
      </c>
      <c r="M25" s="191">
        <f t="shared" si="13"/>
        <v>0</v>
      </c>
      <c r="N25" s="191">
        <f t="shared" si="13"/>
        <v>12</v>
      </c>
      <c r="O25" s="191">
        <f t="shared" si="13"/>
        <v>0</v>
      </c>
    </row>
    <row r="26" spans="2:15" ht="16.5" customHeight="1" thickBot="1" x14ac:dyDescent="0.45">
      <c r="B26" s="193" t="s">
        <v>165</v>
      </c>
      <c r="C26" s="173" t="s">
        <v>71</v>
      </c>
      <c r="D26" s="194"/>
      <c r="E26" s="195"/>
      <c r="F26" s="196">
        <f>(F41+F42+F44+F45+F48+F49+F50+F51+F52+F53+F43+F40+F39+F38+F37)/2</f>
        <v>0</v>
      </c>
      <c r="G26" s="196">
        <f t="shared" ref="G26:O26" si="14">(G41+G42+G44+G45+G46+G47+G48+G49+G50+G51+G52+G53+G43+G40+G39+G38+G37)/2</f>
        <v>0</v>
      </c>
      <c r="H26" s="196">
        <f>(H41+H42+H44+H45+H46+H47+H48+H49+H50+H51+H52+H53+H43+H40+H39+H38+H37)/3</f>
        <v>206.66666666666666</v>
      </c>
      <c r="I26" s="196">
        <f t="shared" si="14"/>
        <v>102</v>
      </c>
      <c r="J26" s="196">
        <f t="shared" si="14"/>
        <v>161</v>
      </c>
      <c r="K26" s="196">
        <f>(K41+K42+K44+K45+K46+K47+K48+K49+K50+K51+K52+K53+K43+K40+K39+K38+K37)/3</f>
        <v>159.33333333333334</v>
      </c>
      <c r="L26" s="196">
        <f t="shared" si="14"/>
        <v>71</v>
      </c>
      <c r="M26" s="196">
        <f t="shared" si="14"/>
        <v>102</v>
      </c>
      <c r="N26" s="196">
        <f>(N41+N42+N44+N45+N46+N47+N48+N49+N50+N51+N52+N53+N43+N40+N39+N38+N37)/4</f>
        <v>200</v>
      </c>
      <c r="O26" s="196">
        <f t="shared" si="14"/>
        <v>0</v>
      </c>
    </row>
    <row r="27" spans="2:15" ht="16.5" customHeight="1" x14ac:dyDescent="0.4">
      <c r="B27" s="184"/>
      <c r="C27" s="197"/>
      <c r="D27" s="185"/>
      <c r="E27" s="185"/>
      <c r="F27" s="82"/>
      <c r="G27" s="82"/>
      <c r="H27" s="82"/>
      <c r="I27" s="82"/>
      <c r="J27" s="82"/>
      <c r="K27" s="82"/>
      <c r="L27" s="82"/>
      <c r="M27" s="82"/>
      <c r="N27" s="82"/>
      <c r="O27" s="82"/>
    </row>
    <row r="28" spans="2:15" ht="16.5" customHeight="1" x14ac:dyDescent="0.4">
      <c r="B28" s="198" t="s">
        <v>166</v>
      </c>
      <c r="C28" s="197"/>
      <c r="D28" s="199"/>
      <c r="E28" s="199">
        <f>ТО!E10</f>
        <v>65</v>
      </c>
      <c r="F28" s="82"/>
      <c r="G28" s="82"/>
      <c r="H28" s="82"/>
      <c r="I28" s="82"/>
      <c r="J28" s="82"/>
      <c r="K28" s="82"/>
      <c r="L28" s="82"/>
      <c r="M28" s="82"/>
      <c r="N28" s="82"/>
      <c r="O28" s="82"/>
    </row>
    <row r="29" spans="2:15" ht="42" customHeight="1" x14ac:dyDescent="0.4">
      <c r="B29" s="200" t="s">
        <v>155</v>
      </c>
      <c r="C29" s="201" t="s">
        <v>139</v>
      </c>
      <c r="D29" s="200" t="s">
        <v>167</v>
      </c>
      <c r="E29" s="202" t="s">
        <v>168</v>
      </c>
      <c r="F29" s="203" t="str">
        <f t="shared" ref="F29:O29" si="15">F16</f>
        <v>1 год</v>
      </c>
      <c r="G29" s="203" t="str">
        <f t="shared" si="15"/>
        <v>2 год</v>
      </c>
      <c r="H29" s="203" t="str">
        <f t="shared" si="15"/>
        <v>3 год</v>
      </c>
      <c r="I29" s="203" t="str">
        <f t="shared" si="15"/>
        <v>4 год</v>
      </c>
      <c r="J29" s="203" t="str">
        <f t="shared" si="15"/>
        <v>5 год</v>
      </c>
      <c r="K29" s="203" t="str">
        <f t="shared" si="15"/>
        <v>6 год</v>
      </c>
      <c r="L29" s="203" t="str">
        <f t="shared" si="15"/>
        <v>7 год</v>
      </c>
      <c r="M29" s="203" t="str">
        <f t="shared" si="15"/>
        <v>8 год</v>
      </c>
      <c r="N29" s="203" t="str">
        <f t="shared" si="15"/>
        <v>9 год</v>
      </c>
      <c r="O29" s="203" t="str">
        <f t="shared" si="15"/>
        <v>10 год</v>
      </c>
    </row>
    <row r="30" spans="2:15" ht="15" customHeight="1" x14ac:dyDescent="0.4">
      <c r="B30" s="11" t="s">
        <v>169</v>
      </c>
      <c r="C30" s="75" t="s">
        <v>170</v>
      </c>
      <c r="D30" s="12"/>
      <c r="E30" s="26"/>
      <c r="F30" s="189">
        <f t="shared" ref="F30:O30" si="16">SUM(F31:F53)</f>
        <v>270</v>
      </c>
      <c r="G30" s="189">
        <f t="shared" si="16"/>
        <v>682</v>
      </c>
      <c r="H30" s="189">
        <f t="shared" si="16"/>
        <v>1018</v>
      </c>
      <c r="I30" s="189">
        <f t="shared" si="16"/>
        <v>1254</v>
      </c>
      <c r="J30" s="189">
        <f t="shared" si="16"/>
        <v>900</v>
      </c>
      <c r="K30" s="189">
        <f t="shared" si="16"/>
        <v>1646</v>
      </c>
      <c r="L30" s="189">
        <f t="shared" si="16"/>
        <v>1290</v>
      </c>
      <c r="M30" s="189">
        <f t="shared" si="16"/>
        <v>1512</v>
      </c>
      <c r="N30" s="189">
        <f t="shared" si="16"/>
        <v>2238</v>
      </c>
      <c r="O30" s="189">
        <f t="shared" si="16"/>
        <v>2418</v>
      </c>
    </row>
    <row r="31" spans="2:15" ht="16.5" customHeight="1" x14ac:dyDescent="0.4">
      <c r="B31" s="204" t="s">
        <v>157</v>
      </c>
      <c r="C31" s="205"/>
      <c r="D31" s="205"/>
      <c r="E31" s="206">
        <f>$E$28</f>
        <v>65</v>
      </c>
      <c r="F31" s="205">
        <v>90</v>
      </c>
      <c r="G31" s="205">
        <v>144</v>
      </c>
      <c r="H31" s="205">
        <v>180</v>
      </c>
      <c r="I31" s="205">
        <v>270</v>
      </c>
      <c r="J31" s="205">
        <v>360</v>
      </c>
      <c r="K31" s="205">
        <v>450</v>
      </c>
      <c r="L31" s="205">
        <v>648</v>
      </c>
      <c r="M31" s="205">
        <v>810</v>
      </c>
      <c r="N31" s="205">
        <v>900</v>
      </c>
      <c r="O31" s="205">
        <v>2200</v>
      </c>
    </row>
    <row r="32" spans="2:15" ht="16.5" customHeight="1" x14ac:dyDescent="0.4">
      <c r="B32" s="204" t="s">
        <v>158</v>
      </c>
      <c r="C32" s="205">
        <v>38</v>
      </c>
      <c r="D32" s="205">
        <f t="shared" ref="D32:D52" si="17">VLOOKUP(B32,$B$58:$D$86,3,FALSE)</f>
        <v>10000</v>
      </c>
      <c r="E32" s="206">
        <f t="shared" ref="E32:E53" si="18">$E$28</f>
        <v>65</v>
      </c>
      <c r="F32" s="207">
        <v>0</v>
      </c>
      <c r="G32" s="207">
        <v>38</v>
      </c>
      <c r="H32" s="207">
        <v>38</v>
      </c>
      <c r="I32" s="207">
        <v>0</v>
      </c>
      <c r="J32" s="207">
        <v>38</v>
      </c>
      <c r="K32" s="207">
        <v>38</v>
      </c>
      <c r="L32" s="207">
        <v>0</v>
      </c>
      <c r="M32" s="207">
        <v>38</v>
      </c>
      <c r="N32" s="207">
        <v>38</v>
      </c>
      <c r="O32" s="207">
        <v>38</v>
      </c>
    </row>
    <row r="33" spans="2:15" ht="16.5" customHeight="1" x14ac:dyDescent="0.4">
      <c r="B33" s="208" t="s">
        <v>159</v>
      </c>
      <c r="C33" s="205">
        <v>180</v>
      </c>
      <c r="D33" s="205">
        <f t="shared" si="17"/>
        <v>6000</v>
      </c>
      <c r="E33" s="206">
        <f t="shared" si="18"/>
        <v>65</v>
      </c>
      <c r="F33" s="207">
        <v>180</v>
      </c>
      <c r="G33" s="207">
        <v>180</v>
      </c>
      <c r="H33" s="207">
        <v>180</v>
      </c>
      <c r="I33" s="207">
        <v>180</v>
      </c>
      <c r="J33" s="207">
        <v>180</v>
      </c>
      <c r="K33" s="207">
        <v>360</v>
      </c>
      <c r="L33" s="207">
        <v>180</v>
      </c>
      <c r="M33" s="207">
        <v>180</v>
      </c>
      <c r="N33" s="207">
        <v>180</v>
      </c>
      <c r="O33" s="207">
        <v>180</v>
      </c>
    </row>
    <row r="34" spans="2:15" ht="16.5" customHeight="1" x14ac:dyDescent="0.4">
      <c r="B34" s="208" t="s">
        <v>160</v>
      </c>
      <c r="C34" s="205">
        <v>320</v>
      </c>
      <c r="D34" s="205">
        <f t="shared" si="17"/>
        <v>12000</v>
      </c>
      <c r="E34" s="206">
        <f t="shared" si="18"/>
        <v>65</v>
      </c>
      <c r="F34" s="207">
        <v>0</v>
      </c>
      <c r="G34" s="207">
        <v>320</v>
      </c>
      <c r="H34" s="207">
        <v>0</v>
      </c>
      <c r="I34" s="207">
        <v>320</v>
      </c>
      <c r="J34" s="207">
        <v>0</v>
      </c>
      <c r="K34" s="207">
        <v>320</v>
      </c>
      <c r="L34" s="207">
        <v>320</v>
      </c>
      <c r="M34" s="207">
        <v>0</v>
      </c>
      <c r="N34" s="207">
        <v>320</v>
      </c>
      <c r="O34" s="207">
        <v>0</v>
      </c>
    </row>
    <row r="35" spans="2:15" ht="16.5" customHeight="1" x14ac:dyDescent="0.4">
      <c r="B35" s="208" t="s">
        <v>161</v>
      </c>
      <c r="C35" s="205">
        <v>280</v>
      </c>
      <c r="D35" s="205">
        <f t="shared" si="17"/>
        <v>25000</v>
      </c>
      <c r="E35" s="206">
        <f t="shared" si="18"/>
        <v>65</v>
      </c>
      <c r="F35" s="207">
        <v>0</v>
      </c>
      <c r="G35" s="207">
        <v>0</v>
      </c>
      <c r="H35" s="207">
        <v>0</v>
      </c>
      <c r="I35" s="207">
        <v>280</v>
      </c>
      <c r="J35" s="207">
        <v>0</v>
      </c>
      <c r="K35" s="207">
        <v>0</v>
      </c>
      <c r="L35" s="207">
        <v>0</v>
      </c>
      <c r="M35" s="207"/>
      <c r="N35" s="207">
        <v>0</v>
      </c>
      <c r="O35" s="207">
        <v>0</v>
      </c>
    </row>
    <row r="36" spans="2:15" ht="16.5" customHeight="1" x14ac:dyDescent="0.4">
      <c r="B36" s="208" t="s">
        <v>162</v>
      </c>
      <c r="C36" s="205">
        <v>280</v>
      </c>
      <c r="D36" s="205">
        <f t="shared" si="17"/>
        <v>50000</v>
      </c>
      <c r="E36" s="206">
        <f t="shared" si="18"/>
        <v>65</v>
      </c>
      <c r="F36" s="207">
        <v>0</v>
      </c>
      <c r="G36" s="207">
        <v>0</v>
      </c>
      <c r="H36" s="207">
        <v>0</v>
      </c>
      <c r="I36" s="207">
        <v>0</v>
      </c>
      <c r="J36" s="207">
        <v>0</v>
      </c>
      <c r="K36" s="207">
        <v>0</v>
      </c>
      <c r="L36" s="207">
        <v>0</v>
      </c>
      <c r="M36" s="207">
        <v>280</v>
      </c>
      <c r="N36" s="207">
        <v>0</v>
      </c>
      <c r="O36" s="207">
        <v>0</v>
      </c>
    </row>
    <row r="37" spans="2:15" ht="16.5" customHeight="1" x14ac:dyDescent="0.4">
      <c r="B37" s="209" t="s">
        <v>171</v>
      </c>
      <c r="C37" s="205">
        <f>96*2</f>
        <v>192</v>
      </c>
      <c r="D37" s="205">
        <f t="shared" si="17"/>
        <v>20000</v>
      </c>
      <c r="E37" s="206">
        <f t="shared" si="18"/>
        <v>65</v>
      </c>
      <c r="F37" s="207">
        <v>0</v>
      </c>
      <c r="G37" s="207">
        <v>0</v>
      </c>
      <c r="H37" s="207">
        <v>192</v>
      </c>
      <c r="I37" s="207">
        <v>0</v>
      </c>
      <c r="J37" s="207">
        <v>0</v>
      </c>
      <c r="K37" s="207">
        <v>192</v>
      </c>
      <c r="L37" s="207">
        <v>0</v>
      </c>
      <c r="M37" s="207">
        <v>0</v>
      </c>
      <c r="N37" s="207">
        <v>192</v>
      </c>
      <c r="O37" s="207">
        <v>0</v>
      </c>
    </row>
    <row r="38" spans="2:15" ht="16.5" customHeight="1" x14ac:dyDescent="0.4">
      <c r="B38" s="209" t="s">
        <v>172</v>
      </c>
      <c r="C38" s="205">
        <v>24</v>
      </c>
      <c r="D38" s="205">
        <f t="shared" si="17"/>
        <v>15000</v>
      </c>
      <c r="E38" s="206">
        <f t="shared" si="18"/>
        <v>65</v>
      </c>
      <c r="F38" s="207">
        <v>0</v>
      </c>
      <c r="G38" s="207">
        <v>0</v>
      </c>
      <c r="H38" s="207">
        <v>24</v>
      </c>
      <c r="I38" s="207">
        <v>0</v>
      </c>
      <c r="J38" s="207">
        <v>24</v>
      </c>
      <c r="K38" s="207">
        <v>0</v>
      </c>
      <c r="L38" s="207">
        <v>24</v>
      </c>
      <c r="M38" s="207">
        <v>0</v>
      </c>
      <c r="N38" s="207">
        <v>24</v>
      </c>
      <c r="O38" s="207">
        <v>0</v>
      </c>
    </row>
    <row r="39" spans="2:15" ht="16.5" customHeight="1" x14ac:dyDescent="0.4">
      <c r="B39" s="209" t="s">
        <v>173</v>
      </c>
      <c r="C39" s="205">
        <v>22</v>
      </c>
      <c r="D39" s="205">
        <f t="shared" si="17"/>
        <v>15000</v>
      </c>
      <c r="E39" s="206">
        <f t="shared" si="18"/>
        <v>65</v>
      </c>
      <c r="F39" s="207">
        <v>0</v>
      </c>
      <c r="G39" s="207">
        <v>0</v>
      </c>
      <c r="H39" s="207">
        <v>22</v>
      </c>
      <c r="I39" s="207">
        <v>0</v>
      </c>
      <c r="J39" s="207">
        <v>22</v>
      </c>
      <c r="K39" s="207">
        <v>0</v>
      </c>
      <c r="L39" s="207">
        <v>22</v>
      </c>
      <c r="M39" s="207">
        <v>0</v>
      </c>
      <c r="N39" s="207">
        <v>22</v>
      </c>
      <c r="O39" s="207">
        <v>0</v>
      </c>
    </row>
    <row r="40" spans="2:15" ht="16.5" customHeight="1" x14ac:dyDescent="0.4">
      <c r="B40" s="209" t="s">
        <v>174</v>
      </c>
      <c r="C40" s="205">
        <v>120</v>
      </c>
      <c r="D40" s="205">
        <f t="shared" si="17"/>
        <v>30000</v>
      </c>
      <c r="E40" s="206">
        <f t="shared" si="18"/>
        <v>65</v>
      </c>
      <c r="F40" s="207">
        <v>0</v>
      </c>
      <c r="G40" s="207">
        <v>0</v>
      </c>
      <c r="H40" s="207">
        <v>0</v>
      </c>
      <c r="I40" s="207">
        <v>0</v>
      </c>
      <c r="J40" s="207">
        <v>120</v>
      </c>
      <c r="K40" s="207">
        <v>0</v>
      </c>
      <c r="L40" s="207">
        <v>0</v>
      </c>
      <c r="M40" s="207">
        <v>0</v>
      </c>
      <c r="N40" s="207">
        <v>120</v>
      </c>
      <c r="O40" s="207">
        <v>0</v>
      </c>
    </row>
    <row r="41" spans="2:15" ht="16.5" customHeight="1" x14ac:dyDescent="0.4">
      <c r="B41" s="209" t="s">
        <v>175</v>
      </c>
      <c r="C41" s="205">
        <v>32</v>
      </c>
      <c r="D41" s="205">
        <f t="shared" si="17"/>
        <v>20000</v>
      </c>
      <c r="E41" s="206">
        <f t="shared" si="18"/>
        <v>65</v>
      </c>
      <c r="F41" s="207">
        <v>0</v>
      </c>
      <c r="G41" s="207">
        <v>0</v>
      </c>
      <c r="H41" s="207">
        <v>32</v>
      </c>
      <c r="I41" s="207">
        <v>0</v>
      </c>
      <c r="J41" s="207">
        <v>0</v>
      </c>
      <c r="K41" s="207">
        <v>32</v>
      </c>
      <c r="L41" s="207">
        <v>0</v>
      </c>
      <c r="M41" s="207">
        <v>0</v>
      </c>
      <c r="N41" s="207">
        <v>32</v>
      </c>
      <c r="O41" s="207">
        <v>0</v>
      </c>
    </row>
    <row r="42" spans="2:15" ht="16.5" customHeight="1" x14ac:dyDescent="0.4">
      <c r="B42" s="209" t="s">
        <v>176</v>
      </c>
      <c r="C42" s="205">
        <f>19*2</f>
        <v>38</v>
      </c>
      <c r="D42" s="205">
        <f t="shared" si="17"/>
        <v>20000</v>
      </c>
      <c r="E42" s="206">
        <f t="shared" si="18"/>
        <v>65</v>
      </c>
      <c r="F42" s="207">
        <v>0</v>
      </c>
      <c r="G42" s="207">
        <v>0</v>
      </c>
      <c r="H42" s="207">
        <v>38</v>
      </c>
      <c r="I42" s="207">
        <v>0</v>
      </c>
      <c r="J42" s="207">
        <v>0</v>
      </c>
      <c r="K42" s="207">
        <v>38</v>
      </c>
      <c r="L42" s="207">
        <v>0</v>
      </c>
      <c r="M42" s="207">
        <v>0</v>
      </c>
      <c r="N42" s="207">
        <v>38</v>
      </c>
      <c r="O42" s="207">
        <v>0</v>
      </c>
    </row>
    <row r="43" spans="2:15" ht="16.5" customHeight="1" x14ac:dyDescent="0.4">
      <c r="B43" s="209" t="s">
        <v>177</v>
      </c>
      <c r="C43" s="205">
        <f>78*2</f>
        <v>156</v>
      </c>
      <c r="D43" s="205">
        <f t="shared" si="17"/>
        <v>20000</v>
      </c>
      <c r="E43" s="206">
        <f t="shared" si="18"/>
        <v>65</v>
      </c>
      <c r="F43" s="207">
        <v>0</v>
      </c>
      <c r="G43" s="207">
        <v>0</v>
      </c>
      <c r="H43" s="207">
        <v>156</v>
      </c>
      <c r="I43" s="207">
        <v>0</v>
      </c>
      <c r="J43" s="207">
        <v>0</v>
      </c>
      <c r="K43" s="207">
        <v>156</v>
      </c>
      <c r="L43" s="207">
        <v>0</v>
      </c>
      <c r="M43" s="207">
        <v>0</v>
      </c>
      <c r="N43" s="207">
        <v>156</v>
      </c>
      <c r="O43" s="207">
        <v>0</v>
      </c>
    </row>
    <row r="44" spans="2:15" ht="16.5" customHeight="1" x14ac:dyDescent="0.4">
      <c r="B44" s="209" t="s">
        <v>178</v>
      </c>
      <c r="C44" s="205">
        <f>8*12</f>
        <v>96</v>
      </c>
      <c r="D44" s="205">
        <f t="shared" si="17"/>
        <v>15000</v>
      </c>
      <c r="E44" s="206">
        <f t="shared" si="18"/>
        <v>65</v>
      </c>
      <c r="F44" s="207">
        <v>0</v>
      </c>
      <c r="G44" s="207">
        <v>0</v>
      </c>
      <c r="H44" s="207">
        <v>96</v>
      </c>
      <c r="I44" s="207">
        <v>0</v>
      </c>
      <c r="J44" s="207">
        <v>96</v>
      </c>
      <c r="K44" s="207">
        <v>0</v>
      </c>
      <c r="L44" s="207">
        <v>96</v>
      </c>
      <c r="M44" s="207">
        <v>0</v>
      </c>
      <c r="N44" s="207">
        <v>96</v>
      </c>
      <c r="O44" s="207">
        <v>0</v>
      </c>
    </row>
    <row r="45" spans="2:15" ht="16.5" customHeight="1" x14ac:dyDescent="0.4">
      <c r="B45" s="209" t="s">
        <v>179</v>
      </c>
      <c r="C45" s="205">
        <v>18</v>
      </c>
      <c r="D45" s="205">
        <f t="shared" si="17"/>
        <v>20000</v>
      </c>
      <c r="E45" s="206">
        <f t="shared" si="18"/>
        <v>65</v>
      </c>
      <c r="F45" s="207">
        <v>0</v>
      </c>
      <c r="G45" s="207">
        <v>0</v>
      </c>
      <c r="H45" s="207">
        <v>18</v>
      </c>
      <c r="I45" s="207">
        <v>0</v>
      </c>
      <c r="J45" s="207">
        <v>0</v>
      </c>
      <c r="K45" s="207">
        <v>18</v>
      </c>
      <c r="L45" s="207">
        <v>0</v>
      </c>
      <c r="M45" s="207">
        <v>0</v>
      </c>
      <c r="N45" s="207">
        <v>18</v>
      </c>
      <c r="O45" s="207">
        <v>0</v>
      </c>
    </row>
    <row r="46" spans="2:15" ht="16.5" customHeight="1" x14ac:dyDescent="0.4">
      <c r="B46" s="208" t="s">
        <v>163</v>
      </c>
      <c r="C46" s="205">
        <v>12</v>
      </c>
      <c r="D46" s="205">
        <f t="shared" si="17"/>
        <v>25000</v>
      </c>
      <c r="E46" s="206">
        <f t="shared" si="18"/>
        <v>65</v>
      </c>
      <c r="F46" s="207">
        <v>0</v>
      </c>
      <c r="G46" s="207">
        <v>0</v>
      </c>
      <c r="H46" s="207">
        <v>0</v>
      </c>
      <c r="I46" s="207">
        <v>12</v>
      </c>
      <c r="J46" s="207">
        <v>0</v>
      </c>
      <c r="K46" s="207">
        <v>0</v>
      </c>
      <c r="L46" s="207">
        <v>0</v>
      </c>
      <c r="M46" s="207">
        <v>12</v>
      </c>
      <c r="N46" s="207">
        <v>0</v>
      </c>
      <c r="O46" s="207">
        <v>0</v>
      </c>
    </row>
    <row r="47" spans="2:15" ht="16.5" customHeight="1" x14ac:dyDescent="0.4">
      <c r="B47" s="208" t="s">
        <v>164</v>
      </c>
      <c r="C47" s="205">
        <v>24</v>
      </c>
      <c r="D47" s="205">
        <f t="shared" si="17"/>
        <v>20000</v>
      </c>
      <c r="E47" s="206">
        <f t="shared" si="18"/>
        <v>65</v>
      </c>
      <c r="F47" s="207">
        <v>0</v>
      </c>
      <c r="G47" s="207">
        <v>0</v>
      </c>
      <c r="H47" s="207">
        <v>24</v>
      </c>
      <c r="I47" s="207">
        <v>0</v>
      </c>
      <c r="J47" s="207">
        <v>0</v>
      </c>
      <c r="K47" s="207">
        <v>24</v>
      </c>
      <c r="L47" s="207">
        <v>0</v>
      </c>
      <c r="M47" s="207">
        <v>0</v>
      </c>
      <c r="N47" s="207">
        <v>24</v>
      </c>
      <c r="O47" s="207">
        <v>0</v>
      </c>
    </row>
    <row r="48" spans="2:15" ht="16.5" customHeight="1" x14ac:dyDescent="0.4">
      <c r="B48" s="204" t="s">
        <v>180</v>
      </c>
      <c r="C48" s="205">
        <v>8</v>
      </c>
      <c r="D48" s="205">
        <f t="shared" si="17"/>
        <v>30000</v>
      </c>
      <c r="E48" s="206">
        <f t="shared" si="18"/>
        <v>65</v>
      </c>
      <c r="F48" s="207">
        <v>0</v>
      </c>
      <c r="G48" s="207">
        <v>0</v>
      </c>
      <c r="H48" s="207">
        <v>0</v>
      </c>
      <c r="I48" s="207">
        <v>0</v>
      </c>
      <c r="J48" s="207">
        <v>8</v>
      </c>
      <c r="K48" s="207">
        <v>0</v>
      </c>
      <c r="L48" s="207">
        <v>0</v>
      </c>
      <c r="M48" s="207">
        <v>0</v>
      </c>
      <c r="N48" s="207">
        <v>8</v>
      </c>
      <c r="O48" s="207">
        <v>0</v>
      </c>
    </row>
    <row r="49" spans="2:15" ht="16.5" customHeight="1" x14ac:dyDescent="0.4">
      <c r="B49" s="209" t="s">
        <v>181</v>
      </c>
      <c r="C49" s="205">
        <v>4</v>
      </c>
      <c r="D49" s="205">
        <f t="shared" si="17"/>
        <v>30000</v>
      </c>
      <c r="E49" s="206">
        <f t="shared" si="18"/>
        <v>65</v>
      </c>
      <c r="F49" s="207">
        <v>0</v>
      </c>
      <c r="G49" s="207">
        <v>0</v>
      </c>
      <c r="H49" s="207">
        <v>0</v>
      </c>
      <c r="I49" s="207">
        <v>0</v>
      </c>
      <c r="J49" s="207">
        <v>4</v>
      </c>
      <c r="K49" s="207">
        <v>0</v>
      </c>
      <c r="L49" s="207">
        <v>0</v>
      </c>
      <c r="M49" s="207">
        <v>0</v>
      </c>
      <c r="N49" s="207">
        <v>4</v>
      </c>
      <c r="O49" s="207">
        <v>0</v>
      </c>
    </row>
    <row r="50" spans="2:15" ht="16.5" customHeight="1" x14ac:dyDescent="0.4">
      <c r="B50" s="204" t="s">
        <v>182</v>
      </c>
      <c r="C50" s="205">
        <v>18</v>
      </c>
      <c r="D50" s="205">
        <f t="shared" si="17"/>
        <v>20000</v>
      </c>
      <c r="E50" s="206">
        <f t="shared" si="18"/>
        <v>65</v>
      </c>
      <c r="F50" s="207">
        <v>0</v>
      </c>
      <c r="G50" s="207">
        <v>0</v>
      </c>
      <c r="H50" s="207">
        <v>18</v>
      </c>
      <c r="I50" s="207">
        <v>0</v>
      </c>
      <c r="J50" s="207">
        <v>0</v>
      </c>
      <c r="K50" s="207">
        <v>18</v>
      </c>
      <c r="L50" s="207">
        <v>0</v>
      </c>
      <c r="M50" s="207">
        <v>0</v>
      </c>
      <c r="N50" s="207">
        <v>18</v>
      </c>
      <c r="O50" s="207">
        <v>0</v>
      </c>
    </row>
    <row r="51" spans="2:15" ht="16.5" customHeight="1" x14ac:dyDescent="0.4">
      <c r="B51" s="209" t="s">
        <v>183</v>
      </c>
      <c r="C51" s="205">
        <f>24*6</f>
        <v>144</v>
      </c>
      <c r="D51" s="205">
        <f t="shared" si="17"/>
        <v>25000</v>
      </c>
      <c r="E51" s="206">
        <f t="shared" si="18"/>
        <v>65</v>
      </c>
      <c r="F51" s="207">
        <v>0</v>
      </c>
      <c r="G51" s="207">
        <v>0</v>
      </c>
      <c r="H51" s="207">
        <v>0</v>
      </c>
      <c r="I51" s="207">
        <v>144</v>
      </c>
      <c r="J51" s="207">
        <v>0</v>
      </c>
      <c r="K51" s="207">
        <v>0</v>
      </c>
      <c r="L51" s="207">
        <v>0</v>
      </c>
      <c r="M51" s="207">
        <v>144</v>
      </c>
      <c r="N51" s="207">
        <v>0</v>
      </c>
      <c r="O51" s="207">
        <v>0</v>
      </c>
    </row>
    <row r="52" spans="2:15" ht="16.5" customHeight="1" x14ac:dyDescent="0.4">
      <c r="B52" s="208" t="s">
        <v>184</v>
      </c>
      <c r="C52" s="205">
        <v>48</v>
      </c>
      <c r="D52" s="205">
        <f t="shared" si="17"/>
        <v>30000</v>
      </c>
      <c r="E52" s="206">
        <f t="shared" si="18"/>
        <v>65</v>
      </c>
      <c r="F52" s="207">
        <v>0</v>
      </c>
      <c r="G52" s="207">
        <v>0</v>
      </c>
      <c r="H52" s="207">
        <v>0</v>
      </c>
      <c r="I52" s="207">
        <v>0</v>
      </c>
      <c r="J52" s="207">
        <v>48</v>
      </c>
      <c r="K52" s="207">
        <v>0</v>
      </c>
      <c r="L52" s="207">
        <v>0</v>
      </c>
      <c r="M52" s="207">
        <v>0</v>
      </c>
      <c r="N52" s="207">
        <v>48</v>
      </c>
      <c r="O52" s="207">
        <v>0</v>
      </c>
    </row>
    <row r="53" spans="2:15" ht="16.5" customHeight="1" x14ac:dyDescent="0.4">
      <c r="B53" s="209" t="s">
        <v>185</v>
      </c>
      <c r="C53" s="205">
        <f>24*2</f>
        <v>48</v>
      </c>
      <c r="D53" s="205">
        <v>25000</v>
      </c>
      <c r="E53" s="206">
        <f t="shared" si="18"/>
        <v>65</v>
      </c>
      <c r="F53" s="207">
        <v>0</v>
      </c>
      <c r="G53" s="207">
        <v>0</v>
      </c>
      <c r="H53" s="207">
        <v>0</v>
      </c>
      <c r="I53" s="207">
        <v>48</v>
      </c>
      <c r="J53" s="207">
        <v>0</v>
      </c>
      <c r="K53" s="207">
        <v>0</v>
      </c>
      <c r="L53" s="207">
        <v>0</v>
      </c>
      <c r="M53" s="207">
        <v>48</v>
      </c>
      <c r="N53" s="207">
        <v>0</v>
      </c>
      <c r="O53" s="207">
        <v>0</v>
      </c>
    </row>
    <row r="54" spans="2:15" x14ac:dyDescent="0.4">
      <c r="B54" s="184" t="s">
        <v>186</v>
      </c>
      <c r="E54" s="72"/>
      <c r="F54" s="140"/>
      <c r="G54" s="140"/>
      <c r="H54" s="140"/>
      <c r="I54" s="140"/>
      <c r="J54" s="140"/>
      <c r="K54" s="140"/>
      <c r="L54" s="140"/>
      <c r="M54" s="140"/>
      <c r="N54" s="140"/>
      <c r="O54" s="140"/>
    </row>
    <row r="55" spans="2:15" ht="15" thickBot="1" x14ac:dyDescent="0.45">
      <c r="B55" s="186" t="s">
        <v>187</v>
      </c>
      <c r="F55" s="140"/>
    </row>
    <row r="56" spans="2:15" ht="43.5" customHeight="1" x14ac:dyDescent="0.4">
      <c r="B56" s="121" t="s">
        <v>188</v>
      </c>
      <c r="C56" s="122" t="s">
        <v>189</v>
      </c>
      <c r="D56" s="122" t="s">
        <v>167</v>
      </c>
      <c r="E56" s="122" t="s">
        <v>190</v>
      </c>
      <c r="F56" s="125" t="s">
        <v>41</v>
      </c>
      <c r="G56" s="125" t="s">
        <v>41</v>
      </c>
      <c r="H56" s="125" t="s">
        <v>41</v>
      </c>
      <c r="I56" s="125" t="s">
        <v>41</v>
      </c>
      <c r="J56" s="125" t="s">
        <v>41</v>
      </c>
      <c r="K56" s="125" t="s">
        <v>41</v>
      </c>
      <c r="L56" s="125" t="s">
        <v>41</v>
      </c>
      <c r="M56" s="125" t="s">
        <v>41</v>
      </c>
      <c r="N56" s="125" t="s">
        <v>41</v>
      </c>
      <c r="O56" s="125" t="s">
        <v>41</v>
      </c>
    </row>
    <row r="57" spans="2:15" ht="28.5" customHeight="1" x14ac:dyDescent="0.4">
      <c r="B57" s="210" t="s">
        <v>191</v>
      </c>
      <c r="C57" s="12"/>
      <c r="D57" s="12"/>
      <c r="E57" s="12"/>
      <c r="F57" s="132">
        <f t="shared" ref="F57:O57" si="19">SUM(F58:F61)</f>
        <v>15011.22</v>
      </c>
      <c r="G57" s="132">
        <f t="shared" si="19"/>
        <v>77064.600000000006</v>
      </c>
      <c r="H57" s="132">
        <f t="shared" si="19"/>
        <v>50720.67</v>
      </c>
      <c r="I57" s="132">
        <f t="shared" si="19"/>
        <v>89861</v>
      </c>
      <c r="J57" s="132">
        <f t="shared" si="19"/>
        <v>60140.95</v>
      </c>
      <c r="K57" s="132">
        <f t="shared" si="19"/>
        <v>102873.7</v>
      </c>
      <c r="L57" s="132">
        <f t="shared" si="19"/>
        <v>80547.399999999994</v>
      </c>
      <c r="M57" s="132">
        <f t="shared" si="19"/>
        <v>64172.23</v>
      </c>
      <c r="N57" s="132">
        <f t="shared" si="19"/>
        <v>74322.850000000006</v>
      </c>
      <c r="O57" s="132">
        <f t="shared" si="19"/>
        <v>90365.774999999994</v>
      </c>
    </row>
    <row r="58" spans="2:15" x14ac:dyDescent="0.4">
      <c r="B58" s="190" t="s">
        <v>157</v>
      </c>
      <c r="C58" s="211"/>
      <c r="D58" s="205"/>
      <c r="E58" s="24">
        <v>1</v>
      </c>
      <c r="F58" s="205">
        <v>437.21999999999997</v>
      </c>
      <c r="G58" s="205">
        <v>2244.6</v>
      </c>
      <c r="H58" s="205">
        <v>5531.67</v>
      </c>
      <c r="I58" s="205">
        <v>15041</v>
      </c>
      <c r="J58" s="205">
        <v>14951.95</v>
      </c>
      <c r="K58" s="205">
        <v>13479.7</v>
      </c>
      <c r="L58" s="205">
        <v>5727.4000000000005</v>
      </c>
      <c r="M58" s="205">
        <v>18983.230000000003</v>
      </c>
      <c r="N58" s="205">
        <v>30117.850000000002</v>
      </c>
      <c r="O58" s="205">
        <v>45176.775000000001</v>
      </c>
    </row>
    <row r="59" spans="2:15" x14ac:dyDescent="0.4">
      <c r="B59" s="190" t="s">
        <v>158</v>
      </c>
      <c r="C59" s="211">
        <v>125000</v>
      </c>
      <c r="D59" s="205">
        <v>10000</v>
      </c>
      <c r="E59" s="24">
        <v>1</v>
      </c>
      <c r="F59" s="205">
        <v>0</v>
      </c>
      <c r="G59" s="205">
        <v>30615</v>
      </c>
      <c r="H59" s="205">
        <v>30615</v>
      </c>
      <c r="I59" s="205">
        <v>30615</v>
      </c>
      <c r="J59" s="205">
        <v>30615</v>
      </c>
      <c r="K59" s="205">
        <v>30615</v>
      </c>
      <c r="L59" s="205">
        <v>30615</v>
      </c>
      <c r="M59" s="205">
        <v>30615</v>
      </c>
      <c r="N59" s="205">
        <v>0</v>
      </c>
      <c r="O59" s="205">
        <v>30615</v>
      </c>
    </row>
    <row r="60" spans="2:15" x14ac:dyDescent="0.4">
      <c r="B60" s="192" t="s">
        <v>159</v>
      </c>
      <c r="C60" s="211">
        <v>22880.399999999998</v>
      </c>
      <c r="D60" s="205">
        <v>6000</v>
      </c>
      <c r="E60" s="24">
        <v>1</v>
      </c>
      <c r="F60" s="205">
        <v>14574</v>
      </c>
      <c r="G60" s="205">
        <v>14574</v>
      </c>
      <c r="H60" s="205">
        <v>14574</v>
      </c>
      <c r="I60" s="205">
        <v>14574</v>
      </c>
      <c r="J60" s="205">
        <v>14574</v>
      </c>
      <c r="K60" s="205">
        <v>29148</v>
      </c>
      <c r="L60" s="205">
        <v>14574</v>
      </c>
      <c r="M60" s="205">
        <v>14574</v>
      </c>
      <c r="N60" s="205">
        <v>14574</v>
      </c>
      <c r="O60" s="205">
        <v>14574</v>
      </c>
    </row>
    <row r="61" spans="2:15" x14ac:dyDescent="0.4">
      <c r="B61" s="192" t="s">
        <v>160</v>
      </c>
      <c r="C61" s="211">
        <v>38996.300000000003</v>
      </c>
      <c r="D61" s="205">
        <v>12000</v>
      </c>
      <c r="E61" s="24">
        <v>1</v>
      </c>
      <c r="F61" s="205">
        <v>0</v>
      </c>
      <c r="G61" s="205">
        <v>29631</v>
      </c>
      <c r="H61" s="205">
        <v>0</v>
      </c>
      <c r="I61" s="205">
        <v>29631</v>
      </c>
      <c r="J61" s="205">
        <v>0</v>
      </c>
      <c r="K61" s="205">
        <v>29631</v>
      </c>
      <c r="L61" s="205">
        <v>29631</v>
      </c>
      <c r="M61" s="205">
        <v>0</v>
      </c>
      <c r="N61" s="205">
        <v>29631</v>
      </c>
      <c r="O61" s="205">
        <v>0</v>
      </c>
    </row>
    <row r="62" spans="2:15" ht="47.25" customHeight="1" x14ac:dyDescent="0.4">
      <c r="B62" s="210" t="s">
        <v>34</v>
      </c>
      <c r="C62" s="12" t="s">
        <v>192</v>
      </c>
      <c r="D62" s="12" t="s">
        <v>167</v>
      </c>
      <c r="E62" s="12" t="s">
        <v>190</v>
      </c>
      <c r="F62" s="132">
        <f t="shared" ref="F62:O62" si="20">SUM(F63:F86)</f>
        <v>0</v>
      </c>
      <c r="G62" s="132">
        <f t="shared" si="20"/>
        <v>0</v>
      </c>
      <c r="H62" s="132">
        <f t="shared" si="20"/>
        <v>410928.20117999997</v>
      </c>
      <c r="I62" s="132">
        <f t="shared" si="20"/>
        <v>652531.80929999996</v>
      </c>
      <c r="J62" s="132">
        <f t="shared" si="20"/>
        <v>158405.00970000002</v>
      </c>
      <c r="K62" s="132">
        <f t="shared" si="20"/>
        <v>339483.20237999997</v>
      </c>
      <c r="L62" s="132">
        <f t="shared" si="20"/>
        <v>71444.998800000001</v>
      </c>
      <c r="M62" s="132">
        <f t="shared" si="20"/>
        <v>721657.00047647057</v>
      </c>
      <c r="N62" s="132">
        <f t="shared" si="20"/>
        <v>497888.21208000003</v>
      </c>
      <c r="O62" s="132">
        <f t="shared" si="20"/>
        <v>0</v>
      </c>
    </row>
    <row r="63" spans="2:15" x14ac:dyDescent="0.4">
      <c r="B63" s="212" t="s">
        <v>193</v>
      </c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</row>
    <row r="64" spans="2:15" x14ac:dyDescent="0.4">
      <c r="B64" s="192" t="s">
        <v>161</v>
      </c>
      <c r="C64" s="211">
        <f>VLOOKUP(B64,'[1]Прайс-лист'!$B$47:$J$69,9,0)</f>
        <v>385875</v>
      </c>
      <c r="D64" s="36">
        <v>25000</v>
      </c>
      <c r="E64" s="213">
        <v>1</v>
      </c>
      <c r="F64" s="214">
        <v>0</v>
      </c>
      <c r="G64" s="214">
        <v>0</v>
      </c>
      <c r="H64" s="214">
        <v>0</v>
      </c>
      <c r="I64" s="214">
        <v>385875</v>
      </c>
      <c r="J64" s="214">
        <v>0</v>
      </c>
      <c r="K64" s="214">
        <v>0</v>
      </c>
      <c r="L64" s="214">
        <v>0</v>
      </c>
      <c r="M64" s="214"/>
      <c r="N64" s="214">
        <v>0</v>
      </c>
      <c r="O64" s="214">
        <v>0</v>
      </c>
    </row>
    <row r="65" spans="2:15" x14ac:dyDescent="0.4">
      <c r="B65" s="192" t="s">
        <v>162</v>
      </c>
      <c r="C65" s="211">
        <f>VLOOKUP(B65,'[1]Прайс-лист'!$B$47:$J$69,9,0)</f>
        <v>455000.19117647066</v>
      </c>
      <c r="D65" s="36">
        <v>50000</v>
      </c>
      <c r="E65" s="213">
        <v>1</v>
      </c>
      <c r="F65" s="214">
        <v>0</v>
      </c>
      <c r="G65" s="214">
        <v>0</v>
      </c>
      <c r="H65" s="214">
        <v>0</v>
      </c>
      <c r="I65" s="214"/>
      <c r="J65" s="214">
        <v>0</v>
      </c>
      <c r="K65" s="214">
        <v>0</v>
      </c>
      <c r="L65" s="214">
        <v>0</v>
      </c>
      <c r="M65" s="214">
        <v>455000.19117647066</v>
      </c>
      <c r="N65" s="214">
        <v>0</v>
      </c>
      <c r="O65" s="214">
        <v>0</v>
      </c>
    </row>
    <row r="66" spans="2:15" x14ac:dyDescent="0.4">
      <c r="B66" s="215" t="s">
        <v>171</v>
      </c>
      <c r="C66" s="211">
        <f>VLOOKUP(B66,'[1]Прайс-лист'!$B$47:$J$69,9,0)</f>
        <v>84201.342749999996</v>
      </c>
      <c r="D66" s="36">
        <v>20000</v>
      </c>
      <c r="E66" s="34">
        <v>2</v>
      </c>
      <c r="F66" s="214">
        <v>0</v>
      </c>
      <c r="G66" s="214">
        <v>0</v>
      </c>
      <c r="H66" s="214">
        <v>168402.68549999999</v>
      </c>
      <c r="I66" s="214">
        <v>0</v>
      </c>
      <c r="J66" s="214">
        <v>0</v>
      </c>
      <c r="K66" s="214">
        <v>168402.68549999999</v>
      </c>
      <c r="L66" s="214">
        <v>0</v>
      </c>
      <c r="M66" s="214">
        <v>0</v>
      </c>
      <c r="N66" s="214">
        <v>168402.68549999999</v>
      </c>
      <c r="O66" s="214">
        <v>0</v>
      </c>
    </row>
    <row r="67" spans="2:15" x14ac:dyDescent="0.4">
      <c r="B67" s="215" t="s">
        <v>172</v>
      </c>
      <c r="C67" s="211">
        <f>VLOOKUP(B67,'[1]Прайс-лист'!$B$47:$J$69,9,0)</f>
        <v>14344.848</v>
      </c>
      <c r="D67" s="36">
        <v>15000</v>
      </c>
      <c r="E67" s="34">
        <v>2</v>
      </c>
      <c r="F67" s="214">
        <v>0</v>
      </c>
      <c r="G67" s="214">
        <v>0</v>
      </c>
      <c r="H67" s="214">
        <v>28689.696</v>
      </c>
      <c r="I67" s="214">
        <v>0</v>
      </c>
      <c r="J67" s="214">
        <v>28689.696</v>
      </c>
      <c r="K67" s="214">
        <v>0</v>
      </c>
      <c r="L67" s="214">
        <v>28689.696</v>
      </c>
      <c r="M67" s="214">
        <v>0</v>
      </c>
      <c r="N67" s="214">
        <v>28689.696</v>
      </c>
      <c r="O67" s="214">
        <v>0</v>
      </c>
    </row>
    <row r="68" spans="2:15" x14ac:dyDescent="0.4">
      <c r="B68" s="215" t="s">
        <v>173</v>
      </c>
      <c r="C68" s="211">
        <f>VLOOKUP(B68,'[1]Прайс-лист'!$B$47:$J$69,9,0)</f>
        <v>14344.848</v>
      </c>
      <c r="D68" s="36">
        <v>15000</v>
      </c>
      <c r="E68" s="34">
        <v>2</v>
      </c>
      <c r="F68" s="214">
        <v>0</v>
      </c>
      <c r="G68" s="214">
        <v>0</v>
      </c>
      <c r="H68" s="214">
        <v>28689.696</v>
      </c>
      <c r="I68" s="214">
        <v>0</v>
      </c>
      <c r="J68" s="214">
        <v>28689.696</v>
      </c>
      <c r="K68" s="214">
        <v>0</v>
      </c>
      <c r="L68" s="214">
        <v>28689.696</v>
      </c>
      <c r="M68" s="214">
        <v>0</v>
      </c>
      <c r="N68" s="214">
        <v>28689.696</v>
      </c>
      <c r="O68" s="214">
        <v>0</v>
      </c>
    </row>
    <row r="69" spans="2:15" x14ac:dyDescent="0.4">
      <c r="B69" s="215" t="s">
        <v>174</v>
      </c>
      <c r="C69" s="211">
        <f>VLOOKUP(B69,'[1]Прайс-лист'!$B$47:$J$69,9,0)</f>
        <v>38575.372499999998</v>
      </c>
      <c r="D69" s="36">
        <v>30000</v>
      </c>
      <c r="E69" s="34">
        <v>1</v>
      </c>
      <c r="F69" s="214">
        <v>0</v>
      </c>
      <c r="G69" s="214">
        <v>0</v>
      </c>
      <c r="H69" s="214">
        <v>0</v>
      </c>
      <c r="I69" s="214">
        <v>0</v>
      </c>
      <c r="J69" s="214">
        <v>38575.372499999998</v>
      </c>
      <c r="K69" s="214">
        <v>0</v>
      </c>
      <c r="L69" s="214">
        <v>0</v>
      </c>
      <c r="M69" s="214">
        <v>0</v>
      </c>
      <c r="N69" s="214">
        <v>38575.372499999998</v>
      </c>
      <c r="O69" s="214">
        <v>0</v>
      </c>
    </row>
    <row r="70" spans="2:15" x14ac:dyDescent="0.4">
      <c r="B70" s="215" t="s">
        <v>175</v>
      </c>
      <c r="C70" s="211">
        <f>VLOOKUP(B70,'[1]Прайс-лист'!$B$47:$J$69,9,0)</f>
        <v>3901.1852249999997</v>
      </c>
      <c r="D70" s="36">
        <v>20000</v>
      </c>
      <c r="E70" s="34">
        <v>2</v>
      </c>
      <c r="F70" s="214">
        <v>0</v>
      </c>
      <c r="G70" s="214">
        <v>0</v>
      </c>
      <c r="H70" s="214">
        <v>7802.3704499999994</v>
      </c>
      <c r="I70" s="214">
        <v>0</v>
      </c>
      <c r="J70" s="214">
        <v>0</v>
      </c>
      <c r="K70" s="214">
        <v>7802.3704499999994</v>
      </c>
      <c r="L70" s="214">
        <v>0</v>
      </c>
      <c r="M70" s="214">
        <v>0</v>
      </c>
      <c r="N70" s="214">
        <v>7802.3704499999994</v>
      </c>
      <c r="O70" s="214">
        <v>0</v>
      </c>
    </row>
    <row r="71" spans="2:15" x14ac:dyDescent="0.4">
      <c r="B71" s="215" t="s">
        <v>176</v>
      </c>
      <c r="C71" s="211">
        <f>VLOOKUP(B71,'[1]Прайс-лист'!$B$47:$J$69,9,0)</f>
        <v>11351.527425</v>
      </c>
      <c r="D71" s="36">
        <v>20000</v>
      </c>
      <c r="E71" s="34">
        <v>2</v>
      </c>
      <c r="F71" s="214">
        <v>0</v>
      </c>
      <c r="G71" s="214">
        <v>0</v>
      </c>
      <c r="H71" s="214">
        <v>22703.05485</v>
      </c>
      <c r="I71" s="214">
        <v>0</v>
      </c>
      <c r="J71" s="214">
        <v>0</v>
      </c>
      <c r="K71" s="214">
        <v>22703.05485</v>
      </c>
      <c r="L71" s="214">
        <v>0</v>
      </c>
      <c r="M71" s="214">
        <v>0</v>
      </c>
      <c r="N71" s="214">
        <v>22703.05485</v>
      </c>
      <c r="O71" s="214">
        <v>0</v>
      </c>
    </row>
    <row r="72" spans="2:15" x14ac:dyDescent="0.4">
      <c r="B72" s="215" t="s">
        <v>177</v>
      </c>
      <c r="C72" s="211">
        <f>VLOOKUP(B72,'[1]Прайс-лист'!$B$47:$J$69,9,0)</f>
        <v>38885.32935</v>
      </c>
      <c r="D72" s="36">
        <v>20000</v>
      </c>
      <c r="E72" s="34">
        <v>2</v>
      </c>
      <c r="F72" s="214">
        <v>0</v>
      </c>
      <c r="G72" s="214">
        <v>0</v>
      </c>
      <c r="H72" s="214">
        <v>77770.6587</v>
      </c>
      <c r="I72" s="214">
        <v>0</v>
      </c>
      <c r="J72" s="214">
        <v>0</v>
      </c>
      <c r="K72" s="214">
        <v>77770.6587</v>
      </c>
      <c r="L72" s="214">
        <v>0</v>
      </c>
      <c r="M72" s="214">
        <v>0</v>
      </c>
      <c r="N72" s="214">
        <v>77770.6587</v>
      </c>
      <c r="O72" s="214">
        <v>0</v>
      </c>
    </row>
    <row r="73" spans="2:15" x14ac:dyDescent="0.4">
      <c r="B73" s="215" t="s">
        <v>178</v>
      </c>
      <c r="C73" s="211">
        <f>VLOOKUP(B73,'[1]Прайс-лист'!$B$47:$J$69,9,0)</f>
        <v>1172.1339000000003</v>
      </c>
      <c r="D73" s="36">
        <v>15000</v>
      </c>
      <c r="E73" s="34">
        <v>12</v>
      </c>
      <c r="F73" s="214">
        <v>0</v>
      </c>
      <c r="G73" s="214">
        <v>0</v>
      </c>
      <c r="H73" s="214">
        <v>14065.606800000003</v>
      </c>
      <c r="I73" s="214">
        <v>0</v>
      </c>
      <c r="J73" s="214">
        <v>14065.606800000003</v>
      </c>
      <c r="K73" s="214">
        <v>0</v>
      </c>
      <c r="L73" s="214">
        <v>14065.606800000003</v>
      </c>
      <c r="M73" s="214">
        <v>0</v>
      </c>
      <c r="N73" s="214">
        <v>14065.606800000003</v>
      </c>
      <c r="O73" s="214">
        <v>0</v>
      </c>
    </row>
    <row r="74" spans="2:15" x14ac:dyDescent="0.4">
      <c r="B74" s="215" t="s">
        <v>179</v>
      </c>
      <c r="C74" s="211">
        <f>VLOOKUP(B74,'[1]Прайс-лист'!$B$47:$J$69,9,0)</f>
        <v>2400.8745599999997</v>
      </c>
      <c r="D74" s="36">
        <v>20000</v>
      </c>
      <c r="E74" s="34">
        <v>3</v>
      </c>
      <c r="F74" s="214">
        <v>0</v>
      </c>
      <c r="G74" s="214">
        <v>0</v>
      </c>
      <c r="H74" s="214">
        <v>7202.6236799999988</v>
      </c>
      <c r="I74" s="214">
        <v>0</v>
      </c>
      <c r="J74" s="214">
        <v>0</v>
      </c>
      <c r="K74" s="214">
        <v>7202.6236799999988</v>
      </c>
      <c r="L74" s="214">
        <v>0</v>
      </c>
      <c r="M74" s="214">
        <v>0</v>
      </c>
      <c r="N74" s="214">
        <v>7202.6236799999988</v>
      </c>
      <c r="O74" s="214">
        <v>0</v>
      </c>
    </row>
    <row r="75" spans="2:15" x14ac:dyDescent="0.4">
      <c r="B75" s="212" t="s">
        <v>194</v>
      </c>
      <c r="C75" s="216"/>
      <c r="D75" s="64"/>
      <c r="E75" s="168"/>
      <c r="F75" s="217"/>
      <c r="G75" s="217"/>
      <c r="H75" s="217"/>
      <c r="I75" s="217"/>
      <c r="J75" s="217"/>
      <c r="K75" s="217"/>
      <c r="L75" s="217"/>
      <c r="M75" s="217"/>
      <c r="N75" s="217"/>
      <c r="O75" s="217"/>
    </row>
    <row r="76" spans="2:15" x14ac:dyDescent="0.4">
      <c r="B76" s="192" t="s">
        <v>163</v>
      </c>
      <c r="C76" s="211">
        <f>VLOOKUP(B76,'[1]Прайс-лист'!$B$47:$J$69,9,0)</f>
        <v>22050</v>
      </c>
      <c r="D76" s="36">
        <v>25000</v>
      </c>
      <c r="E76" s="34">
        <v>1</v>
      </c>
      <c r="F76" s="214">
        <v>0</v>
      </c>
      <c r="G76" s="214">
        <v>0</v>
      </c>
      <c r="H76" s="214">
        <v>0</v>
      </c>
      <c r="I76" s="214">
        <v>22050</v>
      </c>
      <c r="J76" s="214">
        <v>0</v>
      </c>
      <c r="K76" s="214">
        <v>0</v>
      </c>
      <c r="L76" s="214">
        <v>0</v>
      </c>
      <c r="M76" s="214">
        <v>22050</v>
      </c>
      <c r="N76" s="214">
        <v>0</v>
      </c>
      <c r="O76" s="214">
        <v>0</v>
      </c>
    </row>
    <row r="77" spans="2:15" x14ac:dyDescent="0.4">
      <c r="B77" s="192" t="s">
        <v>164</v>
      </c>
      <c r="C77" s="211">
        <f>VLOOKUP(B77,'[1]Прайс-лист'!$B$47:$J$69,9,0)</f>
        <v>24255</v>
      </c>
      <c r="D77" s="36">
        <v>20000</v>
      </c>
      <c r="E77" s="34">
        <v>2</v>
      </c>
      <c r="F77" s="214">
        <v>0</v>
      </c>
      <c r="G77" s="214">
        <v>0</v>
      </c>
      <c r="H77" s="214">
        <v>48510</v>
      </c>
      <c r="I77" s="214">
        <v>0</v>
      </c>
      <c r="J77" s="214">
        <v>0</v>
      </c>
      <c r="K77" s="214">
        <v>48510</v>
      </c>
      <c r="L77" s="214">
        <v>0</v>
      </c>
      <c r="M77" s="214">
        <v>0</v>
      </c>
      <c r="N77" s="214">
        <v>48510</v>
      </c>
      <c r="O77" s="214">
        <v>0</v>
      </c>
    </row>
    <row r="78" spans="2:15" x14ac:dyDescent="0.4">
      <c r="B78" s="212" t="s">
        <v>195</v>
      </c>
      <c r="C78" s="216"/>
      <c r="D78" s="64"/>
      <c r="E78" s="168"/>
      <c r="F78" s="217"/>
      <c r="G78" s="217"/>
      <c r="H78" s="217"/>
      <c r="I78" s="217"/>
      <c r="J78" s="217"/>
      <c r="K78" s="217"/>
      <c r="L78" s="217"/>
      <c r="M78" s="217"/>
      <c r="N78" s="217"/>
      <c r="O78" s="217"/>
    </row>
    <row r="79" spans="2:15" x14ac:dyDescent="0.4">
      <c r="B79" s="190" t="s">
        <v>180</v>
      </c>
      <c r="C79" s="211">
        <f>VLOOKUP(B79,'[1]Прайс-лист'!$B$47:$J$69,9,0)</f>
        <v>34320.678</v>
      </c>
      <c r="D79" s="36">
        <v>30000</v>
      </c>
      <c r="E79" s="34">
        <v>1</v>
      </c>
      <c r="F79" s="214">
        <v>0</v>
      </c>
      <c r="G79" s="214">
        <v>0</v>
      </c>
      <c r="H79" s="214">
        <v>0</v>
      </c>
      <c r="I79" s="214">
        <v>0</v>
      </c>
      <c r="J79" s="214">
        <v>34320.678</v>
      </c>
      <c r="K79" s="214">
        <v>0</v>
      </c>
      <c r="L79" s="214">
        <v>0</v>
      </c>
      <c r="M79" s="214">
        <v>0</v>
      </c>
      <c r="N79" s="214">
        <v>34320.678</v>
      </c>
      <c r="O79" s="214">
        <v>0</v>
      </c>
    </row>
    <row r="80" spans="2:15" x14ac:dyDescent="0.4">
      <c r="B80" s="215" t="s">
        <v>181</v>
      </c>
      <c r="C80" s="211">
        <f>VLOOKUP(B80,'[1]Прайс-лист'!$B$47:$J$69,9,0)</f>
        <v>833.96039999999994</v>
      </c>
      <c r="D80" s="36">
        <v>30000</v>
      </c>
      <c r="E80" s="34">
        <v>1</v>
      </c>
      <c r="F80" s="214">
        <v>0</v>
      </c>
      <c r="G80" s="214">
        <v>0</v>
      </c>
      <c r="H80" s="214">
        <v>0</v>
      </c>
      <c r="I80" s="214">
        <v>0</v>
      </c>
      <c r="J80" s="214">
        <v>833.96039999999994</v>
      </c>
      <c r="K80" s="214">
        <v>0</v>
      </c>
      <c r="L80" s="214">
        <v>0</v>
      </c>
      <c r="M80" s="214">
        <v>0</v>
      </c>
      <c r="N80" s="214">
        <v>833.96039999999994</v>
      </c>
      <c r="O80" s="214">
        <v>0</v>
      </c>
    </row>
    <row r="81" spans="2:15" x14ac:dyDescent="0.4">
      <c r="B81" s="190" t="s">
        <v>182</v>
      </c>
      <c r="C81" s="211">
        <f>VLOOKUP(B81,'[1]Прайс-лист'!$B$47:$J$69,9,0)</f>
        <v>2363.9364</v>
      </c>
      <c r="D81" s="36">
        <v>20000</v>
      </c>
      <c r="E81" s="34">
        <v>3</v>
      </c>
      <c r="F81" s="214">
        <v>0</v>
      </c>
      <c r="G81" s="214">
        <v>0</v>
      </c>
      <c r="H81" s="214">
        <v>7091.8091999999997</v>
      </c>
      <c r="I81" s="214">
        <v>0</v>
      </c>
      <c r="J81" s="214">
        <v>0</v>
      </c>
      <c r="K81" s="214">
        <v>7091.8091999999997</v>
      </c>
      <c r="L81" s="214">
        <v>0</v>
      </c>
      <c r="M81" s="214">
        <v>0</v>
      </c>
      <c r="N81" s="214">
        <v>7091.8091999999997</v>
      </c>
      <c r="O81" s="214">
        <v>0</v>
      </c>
    </row>
    <row r="82" spans="2:15" x14ac:dyDescent="0.4">
      <c r="B82" s="212" t="s">
        <v>196</v>
      </c>
      <c r="C82" s="216"/>
      <c r="D82" s="64"/>
      <c r="E82" s="168"/>
      <c r="F82" s="217"/>
      <c r="G82" s="217"/>
      <c r="H82" s="217"/>
      <c r="I82" s="217"/>
      <c r="J82" s="217"/>
      <c r="K82" s="217"/>
      <c r="L82" s="217"/>
      <c r="M82" s="217"/>
      <c r="N82" s="217"/>
      <c r="O82" s="217"/>
    </row>
    <row r="83" spans="2:15" x14ac:dyDescent="0.4">
      <c r="B83" s="215" t="s">
        <v>183</v>
      </c>
      <c r="C83" s="211">
        <f>VLOOKUP(B83,'[1]Прайс-лист'!$B$47:$J$69,9,0)</f>
        <v>22050</v>
      </c>
      <c r="D83" s="36">
        <v>25000</v>
      </c>
      <c r="E83" s="34">
        <v>6</v>
      </c>
      <c r="F83" s="214">
        <v>0</v>
      </c>
      <c r="G83" s="214">
        <v>0</v>
      </c>
      <c r="H83" s="214">
        <v>0</v>
      </c>
      <c r="I83" s="214">
        <v>132300</v>
      </c>
      <c r="J83" s="214">
        <v>0</v>
      </c>
      <c r="K83" s="214">
        <v>0</v>
      </c>
      <c r="L83" s="214">
        <v>0</v>
      </c>
      <c r="M83" s="214">
        <v>132300</v>
      </c>
      <c r="N83" s="214">
        <v>0</v>
      </c>
      <c r="O83" s="214">
        <v>0</v>
      </c>
    </row>
    <row r="84" spans="2:15" x14ac:dyDescent="0.4">
      <c r="B84" s="212" t="s">
        <v>197</v>
      </c>
      <c r="C84" s="216"/>
      <c r="D84" s="67"/>
      <c r="E84" s="168"/>
      <c r="F84" s="217"/>
      <c r="G84" s="217"/>
      <c r="H84" s="217"/>
      <c r="I84" s="217"/>
      <c r="J84" s="217"/>
      <c r="K84" s="217"/>
      <c r="L84" s="217"/>
      <c r="M84" s="217"/>
      <c r="N84" s="217"/>
      <c r="O84" s="217"/>
    </row>
    <row r="85" spans="2:15" x14ac:dyDescent="0.4">
      <c r="B85" s="192" t="s">
        <v>184</v>
      </c>
      <c r="C85" s="211">
        <f>VLOOKUP(B85,'[1]Прайс-лист'!$B$47:$J$69,9,0)</f>
        <v>13230</v>
      </c>
      <c r="D85" s="36">
        <v>30000</v>
      </c>
      <c r="E85" s="34">
        <v>1</v>
      </c>
      <c r="F85" s="214">
        <v>0</v>
      </c>
      <c r="G85" s="214">
        <v>0</v>
      </c>
      <c r="H85" s="214">
        <v>0</v>
      </c>
      <c r="I85" s="214">
        <v>0</v>
      </c>
      <c r="J85" s="214">
        <v>13230</v>
      </c>
      <c r="K85" s="214">
        <v>0</v>
      </c>
      <c r="L85" s="214">
        <v>0</v>
      </c>
      <c r="M85" s="214">
        <v>0</v>
      </c>
      <c r="N85" s="214">
        <v>13230</v>
      </c>
      <c r="O85" s="214">
        <v>0</v>
      </c>
    </row>
    <row r="86" spans="2:15" x14ac:dyDescent="0.4">
      <c r="B86" s="215" t="s">
        <v>185</v>
      </c>
      <c r="C86" s="211">
        <f>VLOOKUP(B86,'[1]Прайс-лист'!$B$47:$J$69,9,0)</f>
        <v>56153.404649999989</v>
      </c>
      <c r="D86" s="36">
        <v>25000</v>
      </c>
      <c r="E86" s="34">
        <v>2</v>
      </c>
      <c r="F86" s="214">
        <v>0</v>
      </c>
      <c r="G86" s="214">
        <v>0</v>
      </c>
      <c r="H86" s="214">
        <v>0</v>
      </c>
      <c r="I86" s="214">
        <v>112306.80929999998</v>
      </c>
      <c r="J86" s="214">
        <v>0</v>
      </c>
      <c r="K86" s="214">
        <v>0</v>
      </c>
      <c r="L86" s="214">
        <v>0</v>
      </c>
      <c r="M86" s="214">
        <v>112306.80929999998</v>
      </c>
      <c r="N86" s="214">
        <v>0</v>
      </c>
      <c r="O86" s="214">
        <v>0</v>
      </c>
    </row>
  </sheetData>
  <printOptions horizontalCentered="1"/>
  <pageMargins left="0.31496062992125984" right="0.31496062992125984" top="0.55118110236220474" bottom="0.55118110236220474" header="0.31496062992125984" footer="0.31496062992125984"/>
  <pageSetup paperSize="8" scale="4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Данные -Карьерный самосвал</vt:lpstr>
      <vt:lpstr>ТО</vt:lpstr>
      <vt:lpstr>Ремонты </vt:lpstr>
      <vt:lpstr>'Данные -Карьерный самосвал'!Область_печати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Штольберт</dc:creator>
  <cp:lastModifiedBy>Андрей Штольберт</cp:lastModifiedBy>
  <dcterms:created xsi:type="dcterms:W3CDTF">2026-07-22T09:21:44Z</dcterms:created>
  <dcterms:modified xsi:type="dcterms:W3CDTF">2026-07-22T11:45:43Z</dcterms:modified>
</cp:coreProperties>
</file>