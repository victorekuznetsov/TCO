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Методика" sheetId="1" state="visible" r:id="rId1"/>
    <sheet name="Дашборд" sheetId="2" state="visible" r:id="rId2"/>
    <sheet name="Параметры" sheetId="3" state="visible" r:id="rId3"/>
    <sheet name="Ввод данных" sheetId="4" state="visible" r:id="rId4"/>
    <sheet name="Поставщик 1" sheetId="5" state="visible" r:id="rId5"/>
    <sheet name="Поставщик 2" sheetId="6" state="visible" r:id="rId6"/>
    <sheet name="Поставщик 3" sheetId="7" state="visible" r:id="rId7"/>
    <sheet name="Поставщик 4" sheetId="8" state="visible" r:id="rId8"/>
    <sheet name="Поставщик 5" sheetId="9" state="visible" r:id="rId9"/>
    <sheet name="Поставщик 6" sheetId="10" state="visible" r:id="rId10"/>
    <sheet name="Данные по годам" sheetId="11" state="visible" r:id="rId11"/>
    <sheet name="Производительность" sheetId="12" state="visible" r:id="rId12"/>
    <sheet name="Денежный поток" sheetId="13" state="visible" r:id="rId13"/>
    <sheet name="Расчёт аннуитета" sheetId="14" state="visible" r:id="rId14"/>
    <sheet name="Сравнение" sheetId="15" state="visible" r:id="rId15"/>
    <sheet name="Аналитика" sheetId="16" state="visible" r:id="rId16"/>
    <sheet name="Чувствительность" sheetId="17" state="visible" r:id="rId17"/>
    <sheet name="Справочник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2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FFFFFF"/>
      <sz val="10"/>
    </font>
    <font>
      <b val="1"/>
      <color rgb="00FFFFFF"/>
      <sz val="11"/>
    </font>
    <font>
      <b val="1"/>
      <color rgb="001F3864"/>
      <sz val="9"/>
    </font>
    <font>
      <sz val="10"/>
    </font>
    <font>
      <b val="1"/>
      <sz val="10"/>
    </font>
    <font>
      <i val="1"/>
      <color rgb="00808080"/>
      <sz val="8"/>
    </font>
    <font>
      <b val="1"/>
      <color rgb="001F3864"/>
      <sz val="10"/>
    </font>
    <font>
      <b val="1"/>
      <color rgb="00C55A11"/>
      <sz val="9"/>
    </font>
    <font>
      <b val="1"/>
      <color rgb="001F3864"/>
    </font>
    <font>
      <i val="1"/>
      <color rgb="00808080"/>
      <sz val="9"/>
    </font>
    <font>
      <i val="1"/>
      <color rgb="00C55A11"/>
      <sz val="9"/>
    </font>
    <font>
      <b val="1"/>
      <color rgb="001F3864"/>
      <sz val="12"/>
    </font>
    <font>
      <b val="1"/>
      <color rgb="00006100"/>
      <sz val="12"/>
    </font>
    <font>
      <b val="1"/>
      <color rgb="00FFFFFF"/>
      <sz val="9"/>
    </font>
    <font>
      <b val="1"/>
      <color rgb="001F3864"/>
      <sz val="14"/>
    </font>
    <font>
      <b val="1"/>
      <color rgb="00006100"/>
    </font>
    <font>
      <b val="1"/>
      <color rgb="00C55A11"/>
    </font>
    <font>
      <b val="1"/>
      <color rgb="00006100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DCE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5" borderId="1" pivotButton="0" quotePrefix="0" xfId="0"/>
    <xf numFmtId="0" fontId="5" fillId="0" borderId="0" pivotButton="0" quotePrefix="0" xfId="0"/>
    <xf numFmtId="0" fontId="0" fillId="6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4" fontId="16" fillId="8" borderId="1" applyAlignment="1" pivotButton="0" quotePrefix="0" xfId="0">
      <alignment horizontal="center" vertical="center" wrapText="1"/>
    </xf>
    <xf numFmtId="3" fontId="16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4" fontId="6" fillId="8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4" fontId="8" fillId="6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0" fontId="6" fillId="0" borderId="1" pivotButton="0" quotePrefix="0" xfId="0"/>
    <xf numFmtId="0" fontId="5" fillId="0" borderId="1" pivotButton="0" quotePrefix="0" xfId="0"/>
    <xf numFmtId="164" fontId="5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4" borderId="1" pivotButton="0" quotePrefix="0" xfId="0"/>
    <xf numFmtId="0" fontId="19" fillId="8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8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4" fontId="0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4" fontId="1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4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руб/ткм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'Сравнение'!$D$12:$I$12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Траектория аннуитета по годам, руб/ткм</a:t>
            </a:r>
          </a:p>
        </rich>
      </tx>
    </title>
    <plotArea>
      <lineChart>
        <grouping val="standard"/>
        <ser>
          <idx val="0"/>
          <order val="0"/>
          <tx>
            <strRef>
              <f>'Ввод данных'!D$7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поток'!$E$28:$N$28</f>
            </numRef>
          </val>
        </ser>
        <ser>
          <idx val="1"/>
          <order val="1"/>
          <tx>
            <strRef>
              <f>'Ввод данных'!E$7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поток'!$E$50:$N$50</f>
            </numRef>
          </val>
        </ser>
        <ser>
          <idx val="2"/>
          <order val="2"/>
          <tx>
            <strRef>
              <f>'Ввод данных'!F$7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поток'!$E$72:$N$72</f>
            </numRef>
          </val>
        </ser>
        <ser>
          <idx val="3"/>
          <order val="3"/>
          <tx>
            <strRef>
              <f>'Ввод данных'!G$7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поток'!$E$94:$N$94</f>
            </numRef>
          </val>
        </ser>
        <ser>
          <idx val="4"/>
          <order val="4"/>
          <tx>
            <strRef>
              <f>'Ввод данных'!H$7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поток'!$E$116:$N$116</f>
            </numRef>
          </val>
        </ser>
        <ser>
          <idx val="5"/>
          <order val="5"/>
          <tx>
            <strRef>
              <f>'Ввод данных'!I$7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'Денежный поток'!$E$4:$N$4</f>
            </numRef>
          </cat>
          <val>
            <numRef>
              <f>'Денежный поток'!$E$138:$N$138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Год эксплуатации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аннуитета, руб/ткм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'Сравнение'!$B$22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'Сравнение'!$D$22:$I$22</f>
            </numRef>
          </val>
        </ser>
        <ser>
          <idx val="1"/>
          <order val="1"/>
          <tx>
            <strRef>
              <f>'Сравнение'!$B$23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'Сравнение'!$D$23:$I$23</f>
            </numRef>
          </val>
        </ser>
        <ser>
          <idx val="2"/>
          <order val="2"/>
          <tx>
            <strRef>
              <f>'Сравнение'!$B$24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'Сравнение'!$D$24:$I$24</f>
            </numRef>
          </val>
        </ser>
        <ser>
          <idx val="3"/>
          <order val="3"/>
          <tx>
            <strRef>
              <f>'Сравнение'!$B$25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'Сравнение'!$D$25:$I$25</f>
            </numRef>
          </val>
        </ser>
        <ser>
          <idx val="4"/>
          <order val="4"/>
          <tx>
            <strRef>
              <f>'Сравнение'!$B$26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'Сравнение'!$D$26:$I$26</f>
            </numRef>
          </val>
        </ser>
        <ser>
          <idx val="5"/>
          <order val="5"/>
          <tx>
            <strRef>
              <f>'Сравнение'!$B$27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'Сравнение'!$D$27:$I$27</f>
            </numRef>
          </val>
        </ser>
        <ser>
          <idx val="6"/>
          <order val="6"/>
          <tx>
            <strRef>
              <f>'Сравнение'!$B$28</f>
            </strRef>
          </tx>
          <spPr>
            <a:ln>
              <a:prstDash val="solid"/>
            </a:ln>
          </spPr>
          <cat>
            <numRef>
              <f>'Сравнение'!$D$21:$I$21</f>
            </numRef>
          </cat>
          <val>
            <numRef>
              <f>'Сравнение'!$D$28:$I$28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Общий аннуитет, руб/ткм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'Сравнение'!$D$12:$I$12</f>
            </numRef>
          </val>
        </ser>
        <dLbls>
          <numFmt formatCode="0.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Стоимость самосвала, тыс.руб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'Сравнение'!$D$4:$I$4</f>
            </numRef>
          </cat>
          <val>
            <numRef>
              <f>'Сравнение'!$D$5:$I$5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Аннуитет vs производительность</a:t>
            </a:r>
          </a:p>
        </rich>
      </tx>
    </title>
    <plotArea>
      <scatterChart>
        <ser>
          <idx val="0"/>
          <order val="0"/>
          <tx>
            <v>варианты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'Аналитика'!$D$7:$I$7</f>
            </numRef>
          </xVal>
          <yVal>
            <numRef>
              <f>'Аналитика'!$D$9:$I$9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Годовой грузооборот, тыс.ткм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Аннуитет, руб/ткм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Диапазон риска аннуитета, руб/ткм</a:t>
            </a:r>
          </a:p>
        </rich>
      </tx>
    </title>
    <plotArea>
      <barChart>
        <barDir val="col"/>
        <grouping val="clustered"/>
        <ser>
          <idx val="0"/>
          <order val="0"/>
          <tx>
            <v>оптимистичный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'Аналитика'!$D$24:$I$24</f>
            </numRef>
          </val>
        </ser>
        <ser>
          <idx val="1"/>
          <order val="1"/>
          <tx>
            <v>базовый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'Аналитика'!$D$25:$I$25</f>
            </numRef>
          </val>
        </ser>
        <ser>
          <idx val="2"/>
          <order val="2"/>
          <tx>
            <v>пессимистичный</v>
          </tx>
          <spPr>
            <a:ln>
              <a:prstDash val="solid"/>
            </a:ln>
          </spPr>
          <cat>
            <numRef>
              <f>'Аналитика'!$D$4:$I$4</f>
            </numRef>
          </cat>
          <val>
            <numRef>
              <f>'Аналитика'!$D$26:$I$26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руб/ткм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Торнадо: отклонение аннуитета, руб/ткм</a:t>
            </a:r>
          </a:p>
        </rich>
      </tx>
    </title>
    <plotArea>
      <barChart>
        <barDir val="bar"/>
        <grouping val="stacked"/>
        <ser>
          <idx val="0"/>
          <order val="0"/>
          <spPr>
            <a:solidFill>
              <a:srgbClr val="70AD47"/>
            </a:solidFill>
            <a:ln>
              <a:prstDash val="solid"/>
            </a:ln>
          </spPr>
          <cat>
            <numRef>
              <f>'Чувствительность'!$B$22:$B$26</f>
            </numRef>
          </cat>
          <val>
            <numRef>
              <f>'Чувствительность'!$I$22:$I$26</f>
            </numRef>
          </val>
        </ser>
        <ser>
          <idx val="1"/>
          <order val="1"/>
          <spPr>
            <a:solidFill>
              <a:srgbClr val="C55A11"/>
            </a:solidFill>
            <a:ln>
              <a:prstDash val="solid"/>
            </a:ln>
          </spPr>
          <cat>
            <numRef>
              <f>'Чувствительность'!$B$22:$B$26</f>
            </numRef>
          </cat>
          <val>
            <numRef>
              <f>'Чувствительность'!$J$22:$J$26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39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19</col>
      <colOff>0</colOff>
      <row>22</row>
      <rowOff>0</rowOff>
    </from>
    <ext cx="39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122" customWidth="1" min="3" max="3"/>
  </cols>
  <sheetData>
    <row r="1">
      <c r="B1" s="1" t="inlineStr">
        <is>
          <t>МЕТОДИКА: АННУИТЕТ ЗАТРАТ (РУБ/ТКМ) НА ВЛАДЕНИЕ АВТОСАМОСВАЛАМИ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Пост-налоговый погодовой дисконтированный аннуитет жизненного цикла.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4" t="n"/>
      <c r="C4" s="5" t="inlineStr">
        <is>
          <t>1. НАЗНАЧЕНИЕ</t>
        </is>
      </c>
    </row>
    <row r="5" ht="50" customHeight="1">
      <c r="C5" s="6" t="inlineStr">
        <is>
          <t>Экономическое сравнение карьерных автосамосвалов одного класса по удельному аннуитету затрат (руб/ткм грузооборота, а также руб/т перевезённой массы) за полный срок эксплуатации. Метрика корректно сопоставляет самосвалы с разной ценой, грузоподъёмностью и производительностью. Лучший вариант — минимум руб/ткм.</t>
        </is>
      </c>
    </row>
    <row r="6">
      <c r="B6" s="4" t="n"/>
      <c r="C6" s="5" t="inlineStr">
        <is>
          <t>2. ПРОИЗВОДИТЕЛЬНОСТЬ (транспортный цикл из файла «Производительность»)</t>
        </is>
      </c>
    </row>
    <row r="7" ht="70" customHeight="1">
      <c r="C7" s="6" t="inlineStr">
        <is>
          <t>Время рейса = (подход + погрузка + разгрузка + прочее) + время движения; время движения = 2 × плечо / скорость × 60 (гружёный + порожний ход). Рейсов/час = 60 / время рейса. Часовая производительность (т/эфф.час) = рейсов/час × грузоподъёмность × КИГ. КИО = КТГ × (1 − простои_смены/(60 × смена)); эффективное время = КФВ × КИО. Годовой объём (тыс.т) = часовая × эффективное время; грузооборот (тыс.ткм) = объём × плечо; пробег = рейсы × 2 × плечо.</t>
        </is>
      </c>
    </row>
    <row r="8">
      <c r="B8" s="4" t="n"/>
      <c r="C8" s="5" t="inlineStr">
        <is>
          <t>3. ПОГОДОВОЙ ДЕНЕЖНЫЙ ПОТОК (10 лет)</t>
        </is>
      </c>
    </row>
    <row r="9" ht="65" customHeight="1">
      <c r="C9" s="6" t="inlineStr">
        <is>
          <t>Для каждого года считаются: топливо (грузооборот × г/ткм × цена), ТОиР и сервис (задаются ПО ГОДАМ на листах «Поставщик N» — ТО, текущие и капитальные ремонты; годы капремонтов дают всплеск затрат), шины (пробег × удельный расход × цена), персонал, транспортный налог. Добавляются амортизация (НУ) и налог на прибыль (щит). Операционный поток = база + налог − амортизация. Инвестиции — в год 0, остаточная стоимость — в конце срока.</t>
        </is>
      </c>
    </row>
    <row r="10">
      <c r="B10" s="4" t="n"/>
      <c r="C10" s="5" t="inlineStr">
        <is>
          <t>4. АННУИТЕТ (ЯДРО)</t>
        </is>
      </c>
    </row>
    <row r="11" ht="65" customHeight="1">
      <c r="C11" s="6" t="inlineStr">
        <is>
          <t>Потоки дисконтируются и преобразуются в эквивалентный годовой платёж: Аннуитет = NPV затрат / Σ(дисконт-факторов). Инвестиционный аннуитет = (Цена − дисконт. остаточная стоимость) / Σ(дисконт-факторов). Операционный аннуитет — приведённые эксплуатационные затраты после налога. Общий = инвестиционный + операционный. Удельный аннуитет (руб/ткм) = общий аннуитет / средний годовой грузооборот; руб/т = руб/ткм × плечо.</t>
        </is>
      </c>
    </row>
    <row r="12">
      <c r="B12" s="4" t="n"/>
      <c r="C12" s="5" t="inlineStr">
        <is>
          <t>5. ПОРЯДОК РАБОТЫ</t>
        </is>
      </c>
    </row>
    <row r="13" ht="70" customHeight="1">
      <c r="C13" s="6" t="inlineStr">
        <is>
          <t>«Параметры» → «Ввод данных» (цена, грузоподъёмность, мощность двигателя, персонал) → листы «Поставщик 1…6»: по каждой машине задаются КТГ, простои и затраты ТОиР по годам — КТГ и ИТОГО ТОиР считаются автоматически. Сводка «Данные по годам» тянет итоги сама → авторасчёт «Производительность», «Денежный поток», «Расчёт аннуитета» → «Дашборд», «Сравнение», «Аналитика», «Чувствительность». Правки — в листах «Поставщик N» и «Ввод данных».</t>
        </is>
      </c>
    </row>
    <row r="14">
      <c r="B14" s="4" t="n"/>
      <c r="C14" s="5" t="inlineStr">
        <is>
          <t>6. ДОПУЩЕНИЯ</t>
        </is>
      </c>
    </row>
    <row r="15">
      <c r="C15" s="6" t="inlineStr">
        <is>
          <t>• Самосвалы сравниваются в одном классе и одной задаче; разница в производительности учтена через руб/ткм и руб/т.</t>
        </is>
      </c>
    </row>
    <row r="16">
      <c r="C16" s="6" t="inlineStr">
        <is>
          <t>• Данные примера — «в расчёте» из корпоративного файла 000_БСЛ-2027. Автосамосвалы (карьер «Сухой Лог»), горизонт 10 лет.</t>
        </is>
      </c>
    </row>
    <row r="17">
      <c r="C17" s="6" t="inlineStr">
        <is>
          <t>• Цена самосвалов в файле поставщика не указана — подставлена ОЦЕНКА, требует уточнения (жёлтые ячейки «Ввод данных»).</t>
        </is>
      </c>
    </row>
    <row r="18" ht="30" customHeight="1">
      <c r="C18" s="6" t="inlineStr">
        <is>
          <t>• Расход топлива (г/ткм), шины и КИГ — общие параметры; уточняются по данным поставщика/факту эксплуатации.</t>
        </is>
      </c>
    </row>
    <row r="20">
      <c r="C20" s="7" t="inlineStr">
        <is>
          <t>Обозначения:</t>
        </is>
      </c>
    </row>
    <row r="21">
      <c r="B21" s="8" t="n"/>
      <c r="C21" s="9" t="inlineStr">
        <is>
          <t>жёлтые ячейки — ввод данных</t>
        </is>
      </c>
    </row>
    <row r="22">
      <c r="B22" s="10" t="n"/>
      <c r="C22" s="9" t="inlineStr">
        <is>
          <t>зелёные ячейки — итоговые показатели / лучший вариант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6" customWidth="1" min="6" max="6"/>
    <col width="13" customWidth="1" min="7" max="7"/>
    <col width="13" customWidth="1" min="8" max="8"/>
    <col width="15" customWidth="1" min="9" max="9"/>
    <col width="13" customWidth="1" min="10" max="10"/>
  </cols>
  <sheetData>
    <row r="1">
      <c r="B1" s="1" t="inlineStr">
        <is>
          <t>ИТОГОВЫЙ ДАШБОРД — СРАВНЕНИЕ АВТОСАМОСВАЛОВ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ВЕРСИЯ «ДАННЫЕ ПОСТАВЩИКА» (по ТКП: срок ~10 лет, КТГ и ТОиР как заявлено). Ключевые показатели и графики; данные обновляются автоматически.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" t="inlineStr">
        <is>
          <t>КЛЮЧЕВЫЕ ПОКАЗАТЕЛИ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B5" s="11" t="inlineStr">
        <is>
          <t>Лучший вариант</t>
        </is>
      </c>
      <c r="C5" s="11" t="inlineStr">
        <is>
          <t>Мин. аннуитет, руб/ткм</t>
        </is>
      </c>
      <c r="D5" s="11" t="inlineStr">
        <is>
          <t>Мин. NPV владения, тыс.руб</t>
        </is>
      </c>
      <c r="E5" s="11" t="inlineStr">
        <is>
          <t>Разброс аннуитета, руб/ткм</t>
        </is>
      </c>
    </row>
    <row r="6">
      <c r="B6" s="12" t="str">
        <f>INDEX('Ввод данных'!D7:I7,MATCH(MIN('Расчёт аннуитета'!D26:I26),'Расчёт аннуитета'!D26:I26,0))</f>
        <v>NHL NTE 240</v>
      </c>
      <c r="C6" s="13">
        <f>MIN('Расчёт аннуитета'!D26:I26)</f>
        <v>13.630247042916345</v>
      </c>
      <c r="D6" s="14">
        <f>MIN('Расчёт аннуитета'!D14:I14)</f>
        <v>795701.6085175072</v>
      </c>
      <c r="E6" s="13">
        <f>MAX('Расчёт аннуитета'!D26:I26)-MIN('Расчёт аннуитета'!D26:I26)</f>
        <v>1.7631543019675249</v>
      </c>
    </row>
    <row r="8">
      <c r="B8" s="5" t="inlineStr">
        <is>
          <t>РЕЙТИНГ ПО УДЕЛЬНОМУ АННУИТЕТУ (руб/ткм)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B9" s="15" t="inlineStr">
        <is>
          <t>Место</t>
        </is>
      </c>
      <c r="C9" s="15" t="inlineStr">
        <is>
          <t>Автосамосвал</t>
        </is>
      </c>
      <c r="D9" s="16" t="n"/>
      <c r="E9" s="16" t="n"/>
      <c r="F9" s="17" t="n"/>
      <c r="G9" s="15" t="inlineStr">
        <is>
          <t>руб/ткм</t>
        </is>
      </c>
      <c r="H9" s="17" t="n"/>
      <c r="I9" s="15" t="inlineStr">
        <is>
          <t>руб/т</t>
        </is>
      </c>
    </row>
    <row r="10">
      <c r="B10" s="18" t="n">
        <v>1</v>
      </c>
      <c r="C10" s="19" t="str">
        <f>INDEX('Ввод данных'!D7:I7,MATCH(SMALL('Расчёт аннуитета'!D26:I26,1),'Расчёт аннуитета'!D26:I26,0))</f>
        <v>NHL NTE 240</v>
      </c>
      <c r="G10" s="20">
        <f>SMALL('Расчёт аннуитета'!D26:I26,1)</f>
        <v>13.630247042916345</v>
      </c>
      <c r="I10" s="21">
        <f>INDEX('Расчёт аннуитета'!$D$28:$I$28,MATCH(SMALL('Расчёт аннуитета'!D26:I26,1),'Расчёт аннуитета'!D26:I26,0))</f>
        <v>57.969440673523216</v>
      </c>
    </row>
    <row r="11">
      <c r="B11" s="18" t="n">
        <v>2</v>
      </c>
      <c r="C11" s="22" t="str">
        <f>INDEX('Ввод данных'!D7:I7,MATCH(SMALL('Расчёт аннуитета'!D26:I26,2),'Расчёт аннуитета'!D26:I26,0))</f>
        <v>БелАЗ 7531
(ГПФК)</v>
      </c>
      <c r="G11" s="21">
        <f>SMALL('Расчёт аннуитета'!D26:I26,2)</f>
        <v>14.253055832624998</v>
      </c>
      <c r="I11" s="21">
        <f>INDEX('Расчёт аннуитета'!$D$28:$I$28,MATCH(SMALL('Расчёт аннуитета'!D26:I26,2),'Расчёт аннуитета'!D26:I26,0))</f>
        <v>60.546981176991</v>
      </c>
    </row>
    <row r="12">
      <c r="B12" s="18" t="n">
        <v>3</v>
      </c>
      <c r="C12" s="22" t="str">
        <f>INDEX('Ввод данных'!D7:I7,MATCH(SMALL('Расчёт аннуитета'!D26:I26,3),'Расчёт аннуитета'!D26:I26,0))</f>
        <v>БелАЗ 7531
(БТЛ)</v>
      </c>
      <c r="G12" s="21">
        <f>SMALL('Расчёт аннуитета'!D26:I26,3)</f>
        <v>14.266905692150914</v>
      </c>
      <c r="I12" s="21">
        <f>INDEX('Расчёт аннуитета'!$D$28:$I$28,MATCH(SMALL('Расчёт аннуитета'!D26:I26,3),'Расчёт аннуитета'!D26:I26,0))</f>
        <v>60.605815380257084</v>
      </c>
    </row>
    <row r="13">
      <c r="B13" s="18" t="n">
        <v>4</v>
      </c>
      <c r="C13" s="22" t="str">
        <f>INDEX('Ввод данных'!D7:I7,MATCH(SMALL('Расчёт аннуитета'!D26:I26,4),'Расчёт аннуитета'!D26:I26,0))</f>
        <v>TZCO TZE240</v>
      </c>
      <c r="G13" s="21">
        <f>SMALL('Расчёт аннуитета'!D26:I26,4)</f>
        <v>15.217859982245452</v>
      </c>
      <c r="I13" s="21">
        <f>INDEX('Расчёт аннуитета'!$D$28:$I$28,MATCH(SMALL('Расчёт аннуитета'!D26:I26,4),'Расчёт аннуитета'!D26:I26,0))</f>
        <v>62.0736508675792</v>
      </c>
    </row>
    <row r="14">
      <c r="B14" s="18" t="n">
        <v>5</v>
      </c>
      <c r="C14" s="22" t="str">
        <f>INDEX('Ввод данных'!D7:I7,MATCH(SMALL('Расчёт аннуитета'!D26:I26,5),'Расчёт аннуитета'!D26:I26,0))</f>
        <v>SANY SET240S</v>
      </c>
      <c r="G14" s="21">
        <f>SMALL('Расчёт аннуитета'!D26:I26,5)</f>
        <v>15.331779764730044</v>
      </c>
      <c r="I14" s="21">
        <f>INDEX('Расчёт аннуитета'!$D$28:$I$28,MATCH(SMALL('Расчёт аннуитета'!D26:I26,5),'Расчёт аннуитета'!D26:I26,0))</f>
        <v>65.12940044057324</v>
      </c>
    </row>
    <row r="15">
      <c r="B15" s="18" t="n">
        <v>6</v>
      </c>
      <c r="C15" s="22" t="str">
        <f>INDEX('Ввод данных'!D7:I7,MATCH(SMALL('Расчёт аннуитета'!D26:I26,6),'Расчёт аннуитета'!D26:I26,0))</f>
        <v>Estar ESDE240
(ГПБ К)</v>
      </c>
      <c r="G15" s="21">
        <f>SMALL('Расчёт аннуитета'!D26:I26,6)</f>
        <v>15.39340134488387</v>
      </c>
      <c r="I15" s="21">
        <f>INDEX('Расчёт аннуитета'!$D$28:$I$28,MATCH(SMALL('Расчёт аннуитета'!D26:I26,6),'Расчёт аннуитета'!D26:I26,0))</f>
        <v>65.4681359197911</v>
      </c>
    </row>
  </sheetData>
  <mergeCells count="18">
    <mergeCell ref="C13:F13"/>
    <mergeCell ref="C9:F9"/>
    <mergeCell ref="G12:H12"/>
    <mergeCell ref="B1:N1"/>
    <mergeCell ref="C14:F14"/>
    <mergeCell ref="G15:H15"/>
    <mergeCell ref="G10:H10"/>
    <mergeCell ref="G11:H11"/>
    <mergeCell ref="C12:F12"/>
    <mergeCell ref="B8:J8"/>
    <mergeCell ref="G14:H14"/>
    <mergeCell ref="B4:J4"/>
    <mergeCell ref="C11:F11"/>
    <mergeCell ref="C10:F10"/>
    <mergeCell ref="G9:H9"/>
    <mergeCell ref="C15:F15"/>
    <mergeCell ref="B2:N2"/>
    <mergeCell ref="G13:H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13" customWidth="1" min="3" max="3"/>
    <col width="12" customWidth="1" min="4" max="4"/>
    <col width="54" customWidth="1" min="5" max="5"/>
  </cols>
  <sheetData>
    <row r="1">
      <c r="B1" s="1" t="inlineStr">
        <is>
          <t>ГЛОБАЛЬНЫЕ ПАРАМЕТРЫ МОДЕЛИ</t>
        </is>
      </c>
      <c r="C1" s="2" t="n"/>
      <c r="D1" s="2" t="n"/>
      <c r="E1" s="2" t="n"/>
      <c r="F1" s="2" t="n"/>
    </row>
    <row r="2">
      <c r="B2" s="3" t="inlineStr">
        <is>
          <t>Единые допущения для всех вариантов. Жёлтые ячейки — ввод.</t>
        </is>
      </c>
      <c r="C2" s="2" t="n"/>
      <c r="D2" s="2" t="n"/>
      <c r="E2" s="2" t="n"/>
      <c r="F2" s="2" t="n"/>
    </row>
    <row r="4">
      <c r="B4" s="5" t="inlineStr">
        <is>
          <t>Финансовые допущения</t>
        </is>
      </c>
      <c r="C4" s="4" t="n"/>
      <c r="D4" s="4" t="n"/>
      <c r="E4" s="4" t="n"/>
    </row>
    <row r="5">
      <c r="B5" s="15" t="inlineStr">
        <is>
          <t>Параметр</t>
        </is>
      </c>
      <c r="C5" s="15" t="inlineStr">
        <is>
          <t>Значение</t>
        </is>
      </c>
      <c r="D5" s="15" t="inlineStr">
        <is>
          <t>Ед.</t>
        </is>
      </c>
      <c r="E5" s="15" t="inlineStr">
        <is>
          <t>Комментарий</t>
        </is>
      </c>
    </row>
    <row r="6">
      <c r="B6" s="22" t="inlineStr">
        <is>
          <t>Ставка дисконтирования (WACC)</t>
        </is>
      </c>
      <c r="C6" s="23" t="n">
        <v>0.12</v>
      </c>
      <c r="D6" s="24" t="inlineStr">
        <is>
          <t>%/год</t>
        </is>
      </c>
      <c r="E6" s="25" t="inlineStr">
        <is>
          <t>Стоимость капитала для приведения к текущей стоимости</t>
        </is>
      </c>
    </row>
    <row r="7">
      <c r="B7" s="22" t="inlineStr">
        <is>
          <t>Налог на прибыль</t>
        </is>
      </c>
      <c r="C7" s="23" t="n">
        <v>0.25</v>
      </c>
      <c r="D7" s="24" t="inlineStr">
        <is>
          <t>%</t>
        </is>
      </c>
      <c r="E7" s="25" t="inlineStr">
        <is>
          <t>Формирует налоговый щит на затраты и амортизацию</t>
        </is>
      </c>
    </row>
    <row r="8">
      <c r="B8" s="22" t="inlineStr">
        <is>
          <t>Срок эксплуатации (горизонт)</t>
        </is>
      </c>
      <c r="C8" s="26" t="n">
        <v>10</v>
      </c>
      <c r="D8" s="24" t="inlineStr">
        <is>
          <t>лет</t>
        </is>
      </c>
      <c r="E8" s="25" t="inlineStr">
        <is>
          <t>Фиксирован = 10 лет в погодовом движке</t>
        </is>
      </c>
    </row>
    <row r="9">
      <c r="B9" s="22" t="inlineStr">
        <is>
          <t>Срок амортизации (налоговый учёт)</t>
        </is>
      </c>
      <c r="C9" s="27" t="n">
        <v>5.083</v>
      </c>
      <c r="D9" s="24" t="inlineStr">
        <is>
          <t>лет</t>
        </is>
      </c>
      <c r="E9" s="25" t="inlineStr">
        <is>
          <t>Линейная; 61 мес ≈ 5,08 года</t>
        </is>
      </c>
    </row>
    <row r="10">
      <c r="B10" s="22" t="inlineStr">
        <is>
          <t>Цена дизельного топлива</t>
        </is>
      </c>
      <c r="C10" s="28" t="n">
        <v>66.01900000000001</v>
      </c>
      <c r="D10" s="24" t="inlineStr">
        <is>
          <t>тыс.руб/т</t>
        </is>
      </c>
      <c r="E10" s="25" t="inlineStr">
        <is>
          <t>СЛ 2025: 1 274 749,9 тыс.руб / 19 308,86 т</t>
        </is>
      </c>
    </row>
    <row r="12">
      <c r="B12" s="5" t="inlineStr">
        <is>
          <t>Эскалация цен (реальный/номинальный рост)</t>
        </is>
      </c>
      <c r="C12" s="4" t="n"/>
      <c r="D12" s="4" t="n"/>
      <c r="E12" s="4" t="n"/>
    </row>
    <row r="13">
      <c r="B13" s="15" t="inlineStr">
        <is>
          <t>Параметр</t>
        </is>
      </c>
      <c r="C13" s="15" t="inlineStr">
        <is>
          <t>Значение</t>
        </is>
      </c>
      <c r="D13" s="15" t="inlineStr">
        <is>
          <t>Ед.</t>
        </is>
      </c>
      <c r="E13" s="15" t="inlineStr">
        <is>
          <t>Комментарий</t>
        </is>
      </c>
    </row>
    <row r="14">
      <c r="B14" s="22" t="inlineStr">
        <is>
          <t>Эскалация цены топлива</t>
        </is>
      </c>
      <c r="C14" s="23" t="n">
        <v>0</v>
      </c>
      <c r="D14" s="24" t="inlineStr">
        <is>
          <t>%/год</t>
        </is>
      </c>
      <c r="E14" s="25" t="inlineStr">
        <is>
          <t>0 = данные уже с учётом инфляции</t>
        </is>
      </c>
    </row>
    <row r="15">
      <c r="B15" s="22" t="inlineStr">
        <is>
          <t>Эскалация ЗЧ/шин/расходников</t>
        </is>
      </c>
      <c r="C15" s="23" t="n">
        <v>0</v>
      </c>
      <c r="D15" s="24" t="inlineStr">
        <is>
          <t>%/год</t>
        </is>
      </c>
      <c r="E15" s="25" t="inlineStr">
        <is>
          <t>ТОиР задаётся по годам напрямую</t>
        </is>
      </c>
    </row>
    <row r="16">
      <c r="B16" s="22" t="inlineStr">
        <is>
          <t>Эскалация оплаты труда</t>
        </is>
      </c>
      <c r="C16" s="23" t="n">
        <v>0</v>
      </c>
      <c r="D16" s="24" t="inlineStr">
        <is>
          <t>%/год</t>
        </is>
      </c>
      <c r="E16" s="25" t="inlineStr">
        <is>
          <t>Рост ФОТ экипажей</t>
        </is>
      </c>
    </row>
    <row r="18">
      <c r="B18" s="5" t="inlineStr">
        <is>
          <t>Курсы валют</t>
        </is>
      </c>
      <c r="C18" s="4" t="n"/>
      <c r="D18" s="4" t="n"/>
      <c r="E18" s="4" t="n"/>
    </row>
    <row r="19">
      <c r="B19" s="15" t="inlineStr">
        <is>
          <t>Параметр</t>
        </is>
      </c>
      <c r="C19" s="15" t="inlineStr">
        <is>
          <t>Значение</t>
        </is>
      </c>
      <c r="D19" s="15" t="inlineStr">
        <is>
          <t>Ед.</t>
        </is>
      </c>
      <c r="E19" s="15" t="inlineStr">
        <is>
          <t>Комментарий</t>
        </is>
      </c>
    </row>
    <row r="20">
      <c r="B20" s="22" t="inlineStr">
        <is>
          <t>Курс юаня (CNY)</t>
        </is>
      </c>
      <c r="C20" s="28" t="n">
        <v>12.7702</v>
      </c>
      <c r="D20" s="24" t="inlineStr">
        <is>
          <t>руб</t>
        </is>
      </c>
      <c r="E20" s="25" t="inlineStr">
        <is>
          <t>Для оборудования из Китая</t>
        </is>
      </c>
    </row>
    <row r="21">
      <c r="B21" s="22" t="inlineStr">
        <is>
          <t>Курс доллара (USD)</t>
        </is>
      </c>
      <c r="C21" s="28" t="n">
        <v>94.0485</v>
      </c>
      <c r="D21" s="24" t="inlineStr">
        <is>
          <t>руб</t>
        </is>
      </c>
      <c r="E21" s="25" t="inlineStr"/>
    </row>
    <row r="22">
      <c r="B22" s="22" t="inlineStr">
        <is>
          <t>Курс евро (EUR)</t>
        </is>
      </c>
      <c r="C22" s="28" t="n">
        <v>100</v>
      </c>
      <c r="D22" s="24" t="inlineStr">
        <is>
          <t>руб</t>
        </is>
      </c>
      <c r="E22" s="25" t="inlineStr"/>
    </row>
    <row r="24">
      <c r="B24" s="5" t="inlineStr">
        <is>
          <t>Параметры производительности (транспортный цикл)</t>
        </is>
      </c>
      <c r="C24" s="4" t="n"/>
      <c r="D24" s="4" t="n"/>
      <c r="E24" s="4" t="n"/>
    </row>
    <row r="25">
      <c r="B25" s="15" t="inlineStr">
        <is>
          <t>Параметр</t>
        </is>
      </c>
      <c r="C25" s="15" t="inlineStr">
        <is>
          <t>Значение</t>
        </is>
      </c>
      <c r="D25" s="15" t="inlineStr">
        <is>
          <t>Ед.</t>
        </is>
      </c>
      <c r="E25" s="15" t="inlineStr">
        <is>
          <t>Комментарий</t>
        </is>
      </c>
    </row>
    <row r="26">
      <c r="B26" s="22" t="inlineStr">
        <is>
          <t>Календарный фонд времени</t>
        </is>
      </c>
      <c r="C26" s="26" t="n">
        <v>8760</v>
      </c>
      <c r="D26" s="24" t="inlineStr">
        <is>
          <t>час/год</t>
        </is>
      </c>
      <c r="E26" s="25" t="inlineStr">
        <is>
          <t>24 ч × 365 дн</t>
        </is>
      </c>
    </row>
    <row r="27">
      <c r="B27" s="22" t="inlineStr">
        <is>
          <t>Длительность смены</t>
        </is>
      </c>
      <c r="C27" s="26" t="n">
        <v>12</v>
      </c>
      <c r="D27" s="24" t="inlineStr">
        <is>
          <t>час</t>
        </is>
      </c>
      <c r="E27" s="25" t="inlineStr">
        <is>
          <t>Для пересчёта простоев</t>
        </is>
      </c>
    </row>
    <row r="28">
      <c r="B28" s="22" t="inlineStr">
        <is>
          <t>Расстояние транспортировки (плечо)</t>
        </is>
      </c>
      <c r="C28" s="28" t="n">
        <v>3.0396</v>
      </c>
      <c r="D28" s="24" t="inlineStr">
        <is>
          <t>км</t>
        </is>
      </c>
      <c r="E28" s="25" t="inlineStr">
        <is>
          <t>Среднее плечо откатки (гружёный ход)</t>
        </is>
      </c>
    </row>
    <row r="29">
      <c r="B29" s="22" t="inlineStr">
        <is>
          <t>Средняя техническая скорость</t>
        </is>
      </c>
      <c r="C29" s="27" t="n">
        <v>22.46</v>
      </c>
      <c r="D29" s="24" t="inlineStr">
        <is>
          <t>км/час</t>
        </is>
      </c>
      <c r="E29" s="25" t="inlineStr">
        <is>
          <t>С учётом профиля трассы</t>
        </is>
      </c>
    </row>
    <row r="30">
      <c r="B30" s="22" t="inlineStr">
        <is>
          <t>КИГ (использование грузоподъёмности)</t>
        </is>
      </c>
      <c r="C30" s="28" t="n">
        <v>0.9837</v>
      </c>
      <c r="D30" s="24" t="inlineStr">
        <is>
          <t>коэф.</t>
        </is>
      </c>
      <c r="E30" s="25" t="inlineStr">
        <is>
          <t>Доля номинальной грузоподъёмности (факт NTE)</t>
        </is>
      </c>
    </row>
    <row r="31">
      <c r="B31" s="22" t="inlineStr">
        <is>
          <t>Фикс. время рейса (подход+погр+разгр+прочее)</t>
        </is>
      </c>
      <c r="C31" s="29" t="n">
        <v>8.4</v>
      </c>
      <c r="D31" s="24" t="inlineStr">
        <is>
          <t>мин</t>
        </is>
      </c>
      <c r="E31" s="25" t="inlineStr">
        <is>
          <t>Подход/погрузка/разгрузка 7,9 + прочие 0,5</t>
        </is>
      </c>
    </row>
    <row r="32">
      <c r="B32" s="22" t="inlineStr">
        <is>
          <t>Удельный расход топлива</t>
        </is>
      </c>
      <c r="C32" s="26" t="n">
        <v>78.40000000000001</v>
      </c>
      <c r="D32" s="24" t="inlineStr">
        <is>
          <t>г/ткм</t>
        </is>
      </c>
      <c r="E32" s="25" t="inlineStr">
        <is>
          <t>На тонно-километр грузооборота</t>
        </is>
      </c>
    </row>
    <row r="34">
      <c r="B34" s="5" t="inlineStr">
        <is>
          <t>Шины</t>
        </is>
      </c>
      <c r="C34" s="4" t="n"/>
      <c r="D34" s="4" t="n"/>
      <c r="E34" s="4" t="n"/>
    </row>
    <row r="35">
      <c r="B35" s="15" t="inlineStr">
        <is>
          <t>Параметр</t>
        </is>
      </c>
      <c r="C35" s="15" t="inlineStr">
        <is>
          <t>Значение</t>
        </is>
      </c>
      <c r="D35" s="15" t="inlineStr">
        <is>
          <t>Ед.</t>
        </is>
      </c>
      <c r="E35" s="15" t="inlineStr">
        <is>
          <t>Комментарий</t>
        </is>
      </c>
    </row>
    <row r="36">
      <c r="B36" s="22" t="inlineStr">
        <is>
          <t>Удельный расход шин</t>
        </is>
      </c>
      <c r="C36" s="28" t="n">
        <v>0.0563</v>
      </c>
      <c r="D36" s="24" t="inlineStr">
        <is>
          <t>шт./тыс.км</t>
        </is>
      </c>
      <c r="E36" s="25" t="inlineStr">
        <is>
          <t>Комплект/износ на пробег</t>
        </is>
      </c>
    </row>
    <row r="37">
      <c r="B37" s="22" t="inlineStr">
        <is>
          <t>Цена шины</t>
        </is>
      </c>
      <c r="C37" s="27" t="n">
        <v>2985.38</v>
      </c>
      <c r="D37" s="24" t="inlineStr">
        <is>
          <t>тыс.руб/шт</t>
        </is>
      </c>
      <c r="E37" s="25" t="inlineStr">
        <is>
          <t>DDP, без НДС (типоразмер 50/80R57 и аналоги)</t>
        </is>
      </c>
    </row>
    <row r="39">
      <c r="B39" s="5" t="inlineStr">
        <is>
          <t>Транспортный налог и персонал</t>
        </is>
      </c>
      <c r="C39" s="4" t="n"/>
      <c r="D39" s="4" t="n"/>
      <c r="E39" s="4" t="n"/>
    </row>
    <row r="40">
      <c r="B40" s="15" t="inlineStr">
        <is>
          <t>Параметр</t>
        </is>
      </c>
      <c r="C40" s="15" t="inlineStr">
        <is>
          <t>Значение</t>
        </is>
      </c>
      <c r="D40" s="15" t="inlineStr">
        <is>
          <t>Ед.</t>
        </is>
      </c>
      <c r="E40" s="15" t="inlineStr">
        <is>
          <t>Комментарий</t>
        </is>
      </c>
    </row>
    <row r="41">
      <c r="B41" s="22" t="inlineStr">
        <is>
          <t>Ставка транспортного налога</t>
        </is>
      </c>
      <c r="C41" s="26" t="n">
        <v>85</v>
      </c>
      <c r="D41" s="24" t="inlineStr">
        <is>
          <t>руб/л.с.</t>
        </is>
      </c>
      <c r="E41" s="25" t="inlineStr">
        <is>
          <t>Иркутская область</t>
        </is>
      </c>
    </row>
    <row r="43">
      <c r="B43" s="5" t="inlineStr">
        <is>
          <t>Расчётные финансовые коэффициенты</t>
        </is>
      </c>
      <c r="C43" s="4" t="n"/>
      <c r="D43" s="4" t="n"/>
      <c r="E43" s="4" t="n"/>
    </row>
    <row r="44">
      <c r="B44" s="15" t="inlineStr">
        <is>
          <t>Параметр</t>
        </is>
      </c>
      <c r="C44" s="15" t="inlineStr">
        <is>
          <t>Значение</t>
        </is>
      </c>
      <c r="D44" s="15" t="inlineStr">
        <is>
          <t>Ед.</t>
        </is>
      </c>
      <c r="E44" s="15" t="inlineStr">
        <is>
          <t>Комментарий</t>
        </is>
      </c>
    </row>
    <row r="45">
      <c r="B45" s="22" t="inlineStr">
        <is>
          <t>Коэф. аннуитета Σдиск.факторов (r, N)</t>
        </is>
      </c>
      <c r="C45" s="30">
        <f>IF('Параметры'!C6=0,'Параметры'!C8,(1-(1+'Параметры'!C6)^-'Параметры'!C8)/'Параметры'!C6)</f>
        <v>5.650223028410867</v>
      </c>
      <c r="D45" s="24" t="inlineStr">
        <is>
          <t>коэф.</t>
        </is>
      </c>
      <c r="E45" s="25" t="inlineStr">
        <is>
          <t>Сумма дисконт-факторов за срок службы</t>
        </is>
      </c>
    </row>
    <row r="46">
      <c r="B46" s="22" t="inlineStr">
        <is>
          <t>Коэф. приведённой амортизации</t>
        </is>
      </c>
      <c r="C46" s="30">
        <f>(1/'Параметры'!C9)*((1-(1+'Параметры'!C6)^-INT('Параметры'!C9))/'Параметры'!C6+('Параметры'!C9-INT('Параметры'!C9))*(1+'Параметры'!C6)^-(INT('Параметры'!C9)+1))</f>
        <v>0.7174555548697079</v>
      </c>
      <c r="D46" s="24" t="inlineStr">
        <is>
          <t>коэф.</t>
        </is>
      </c>
      <c r="E46" s="25" t="inlineStr">
        <is>
          <t>Приведённая амортизация на 1 руб. цены (налог. щит)</t>
        </is>
      </c>
    </row>
    <row r="48">
      <c r="B48" s="7" t="inlineStr">
        <is>
          <t>Легенда:</t>
        </is>
      </c>
      <c r="C48" s="8" t="n"/>
      <c r="D48" s="9" t="inlineStr">
        <is>
          <t>— ввод данных</t>
        </is>
      </c>
    </row>
    <row r="49">
      <c r="C49" s="10" t="n"/>
      <c r="D49" s="9" t="inlineStr">
        <is>
          <t>— расчётные показатели</t>
        </is>
      </c>
    </row>
  </sheetData>
  <mergeCells count="11">
    <mergeCell ref="B18:E18"/>
    <mergeCell ref="B4:E4"/>
    <mergeCell ref="B2:F2"/>
    <mergeCell ref="B43:E43"/>
    <mergeCell ref="B12:E12"/>
    <mergeCell ref="D49:E49"/>
    <mergeCell ref="B39:E39"/>
    <mergeCell ref="B24:E24"/>
    <mergeCell ref="B1:F1"/>
    <mergeCell ref="B34:E34"/>
    <mergeCell ref="D48:E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2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34" customWidth="1" min="11" max="11"/>
  </cols>
  <sheetData>
    <row r="1">
      <c r="B1" s="1" t="inlineStr">
        <is>
          <t>ВВОД ИСХОДНЫХ ДАННЫХ ПО АВТОСАМОСВАЛАМ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Сравнение до 6 машин одного класса. Пример: самосвалы класса 220–240 т, карьер «Сухой Лог».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inlineStr">
        <is>
          <t>Самосвал 1</t>
        </is>
      </c>
      <c r="E4" s="15" t="inlineStr">
        <is>
          <t>Самосвал 2</t>
        </is>
      </c>
      <c r="F4" s="15" t="inlineStr">
        <is>
          <t>Самосвал 3</t>
        </is>
      </c>
      <c r="G4" s="15" t="inlineStr">
        <is>
          <t>Самосвал 4</t>
        </is>
      </c>
      <c r="H4" s="15" t="inlineStr">
        <is>
          <t>Самосвал 5</t>
        </is>
      </c>
      <c r="I4" s="15" t="inlineStr">
        <is>
          <t>Самосвал 6</t>
        </is>
      </c>
      <c r="K4" s="15" t="inlineStr">
        <is>
          <t>Пояснение</t>
        </is>
      </c>
    </row>
    <row r="6">
      <c r="B6" s="5" t="inlineStr">
        <is>
          <t>A. ИДЕНТИФИКАЦИЯ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22" t="inlineStr">
        <is>
          <t>Наименование / модель</t>
        </is>
      </c>
      <c r="C7" s="24" t="inlineStr">
        <is>
          <t>—</t>
        </is>
      </c>
      <c r="D7" s="31" t="inlineStr">
        <is>
          <t>NHL NTE 240</t>
        </is>
      </c>
      <c r="E7" s="31" t="inlineStr">
        <is>
          <t>Estar ESDE240
(ГПБ К)</t>
        </is>
      </c>
      <c r="F7" s="31" t="inlineStr">
        <is>
          <t>SANY SET240S</t>
        </is>
      </c>
      <c r="G7" s="31" t="inlineStr">
        <is>
          <t>TZCO TZE240</t>
        </is>
      </c>
      <c r="H7" s="31" t="inlineStr">
        <is>
          <t>БелАЗ 7531
(ГПФК)</t>
        </is>
      </c>
      <c r="I7" s="31" t="inlineStr">
        <is>
          <t>БелАЗ 7531
(БТЛ)</t>
        </is>
      </c>
      <c r="K7" s="25" t="inlineStr">
        <is>
          <t>Название варианта</t>
        </is>
      </c>
    </row>
    <row r="8">
      <c r="B8" s="22" t="inlineStr">
        <is>
          <t>Поставщик</t>
        </is>
      </c>
      <c r="C8" s="24" t="inlineStr">
        <is>
          <t>—</t>
        </is>
      </c>
      <c r="D8" s="31" t="inlineStr">
        <is>
          <t>Горная Евразия</t>
        </is>
      </c>
      <c r="E8" s="31" t="inlineStr">
        <is>
          <t>ГПБ</t>
        </is>
      </c>
      <c r="F8" s="31" t="inlineStr">
        <is>
          <t>ИСТК</t>
        </is>
      </c>
      <c r="G8" s="31" t="inlineStr">
        <is>
          <t>ИСТК</t>
        </is>
      </c>
      <c r="H8" s="31" t="inlineStr">
        <is>
          <t>ГПФК</t>
        </is>
      </c>
      <c r="I8" s="31" t="inlineStr">
        <is>
          <t>БТЛ</t>
        </is>
      </c>
      <c r="K8" s="25" t="inlineStr"/>
    </row>
    <row r="9">
      <c r="B9" s="22" t="inlineStr">
        <is>
          <t>Двигатель / привод</t>
        </is>
      </c>
      <c r="C9" s="24" t="inlineStr">
        <is>
          <t>—</t>
        </is>
      </c>
      <c r="D9" s="31" t="inlineStr">
        <is>
          <t>электро (2500 л.с.)</t>
        </is>
      </c>
      <c r="E9" s="31" t="inlineStr">
        <is>
          <t>1864 л.с.</t>
        </is>
      </c>
      <c r="F9" s="31" t="inlineStr">
        <is>
          <t>2843 л.с.</t>
        </is>
      </c>
      <c r="G9" s="31" t="inlineStr">
        <is>
          <t>2500 л.с.</t>
        </is>
      </c>
      <c r="H9" s="31" t="inlineStr">
        <is>
          <t>2535 л.с.</t>
        </is>
      </c>
      <c r="I9" s="31" t="inlineStr">
        <is>
          <t>2535 л.с.</t>
        </is>
      </c>
      <c r="K9" s="25" t="inlineStr"/>
    </row>
    <row r="10">
      <c r="B10" s="5" t="inlineStr">
        <is>
          <t>B. СТОИМОСТЬ И ОСТАТОЧНАЯ ЦЕНА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22" t="inlineStr">
        <is>
          <t>Цена за единицу</t>
        </is>
      </c>
      <c r="C11" s="24" t="inlineStr">
        <is>
          <t>тыс.вал.</t>
        </is>
      </c>
      <c r="D11" s="32" t="n">
        <v>312568.63</v>
      </c>
      <c r="E11" s="32" t="n">
        <v>319027.49</v>
      </c>
      <c r="F11" s="32" t="n">
        <v>296085.09</v>
      </c>
      <c r="G11" s="32" t="n">
        <v>302883.56</v>
      </c>
      <c r="H11" s="32" t="n">
        <v>287367.57</v>
      </c>
      <c r="I11" s="32" t="n">
        <v>287367.58</v>
      </c>
      <c r="K11" s="25" t="inlineStr">
        <is>
          <t>⚠ В файле поставщика цена не указана — ОЦЕНКА, уточнить</t>
        </is>
      </c>
    </row>
    <row r="12">
      <c r="B12" s="22" t="inlineStr">
        <is>
          <t>Валюта цены</t>
        </is>
      </c>
      <c r="C12" s="24" t="inlineStr">
        <is>
          <t>—</t>
        </is>
      </c>
      <c r="D12" s="31" t="inlineStr">
        <is>
          <t>RUB</t>
        </is>
      </c>
      <c r="E12" s="31" t="inlineStr">
        <is>
          <t>RUB</t>
        </is>
      </c>
      <c r="F12" s="31" t="inlineStr">
        <is>
          <t>RUB</t>
        </is>
      </c>
      <c r="G12" s="31" t="inlineStr">
        <is>
          <t>RUB</t>
        </is>
      </c>
      <c r="H12" s="31" t="inlineStr">
        <is>
          <t>RUB</t>
        </is>
      </c>
      <c r="I12" s="31" t="inlineStr">
        <is>
          <t>RUB</t>
        </is>
      </c>
      <c r="K12" s="25" t="inlineStr">
        <is>
          <t>CNY / USD / EUR / RUB</t>
        </is>
      </c>
    </row>
    <row r="13">
      <c r="B13" s="22" t="inlineStr">
        <is>
          <t>Доставка, ПНР, шеф-монтаж</t>
        </is>
      </c>
      <c r="C13" s="24" t="inlineStr">
        <is>
          <t>тыс.руб</t>
        </is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0</v>
      </c>
      <c r="I13" s="32" t="n">
        <v>0</v>
      </c>
      <c r="K13" s="25" t="inlineStr">
        <is>
          <t>Дополнительно к цене</t>
        </is>
      </c>
    </row>
    <row r="14">
      <c r="B14" s="22" t="inlineStr">
        <is>
          <t>Остаточная стоимость</t>
        </is>
      </c>
      <c r="C14" s="24" t="inlineStr">
        <is>
          <t>% от цены</t>
        </is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K14" s="25" t="inlineStr">
        <is>
          <t>Реализация в конце срока (0 = не учитывать)</t>
        </is>
      </c>
    </row>
    <row r="15">
      <c r="B15" s="22" t="inlineStr">
        <is>
          <t>Срок службы (завод-изготовитель)</t>
        </is>
      </c>
      <c r="C15" s="24" t="inlineStr">
        <is>
          <t>лет</t>
        </is>
      </c>
      <c r="D15" s="32" t="n">
        <v>10</v>
      </c>
      <c r="E15" s="32" t="n">
        <v>10</v>
      </c>
      <c r="F15" s="32" t="n">
        <v>10</v>
      </c>
      <c r="G15" s="32" t="n">
        <v>8</v>
      </c>
      <c r="H15" s="32" t="n">
        <v>10</v>
      </c>
      <c r="I15" s="32" t="n">
        <v>10</v>
      </c>
      <c r="K15" s="25" t="inlineStr">
        <is>
          <t>Инвестиц. аннуитет (EAC) считается по этому сроку; влияет на чувствительность</t>
        </is>
      </c>
    </row>
    <row r="16">
      <c r="B16" s="5" t="inlineStr">
        <is>
          <t>C. ПРОИЗВОДИТЕЛЬНОСТЬ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22" t="inlineStr">
        <is>
          <t>Грузоподъёмность (в расчёте)</t>
        </is>
      </c>
      <c r="C17" s="24" t="inlineStr">
        <is>
          <t>т</t>
        </is>
      </c>
      <c r="D17" s="34" t="n">
        <v>227.8</v>
      </c>
      <c r="E17" s="34" t="n">
        <v>211.392</v>
      </c>
      <c r="F17" s="34" t="n">
        <v>216.362</v>
      </c>
      <c r="G17" s="34" t="n">
        <v>222</v>
      </c>
      <c r="H17" s="34" t="n">
        <v>226.5</v>
      </c>
      <c r="I17" s="34" t="n">
        <v>226.5</v>
      </c>
      <c r="K17" s="25" t="inlineStr">
        <is>
          <t>× КИГ (лист «Параметры») = фактическая загрузка</t>
        </is>
      </c>
    </row>
    <row r="18">
      <c r="B18" s="22" t="inlineStr">
        <is>
          <t>Эффективное плечо откатки (за срок службы)</t>
        </is>
      </c>
      <c r="C18" s="24" t="inlineStr">
        <is>
          <t>км</t>
        </is>
      </c>
      <c r="D18" s="35" t="n">
        <v>4.253</v>
      </c>
      <c r="E18" s="35" t="n">
        <v>4.253</v>
      </c>
      <c r="F18" s="35" t="n">
        <v>4.248</v>
      </c>
      <c r="G18" s="35" t="n">
        <v>4.079</v>
      </c>
      <c r="H18" s="35" t="n">
        <v>4.248</v>
      </c>
      <c r="I18" s="35" t="n">
        <v>4.248</v>
      </c>
      <c r="K18" s="25" t="inlineStr">
        <is>
          <t>Средневзвешенное по годам плечо за срок службы машины</t>
        </is>
      </c>
    </row>
    <row r="19">
      <c r="B19" s="5" t="inlineStr">
        <is>
          <t>D. ПРОЧИЕ ГОДОВЫЕ ЗАТРАТЫ И ПАРАМЕТРЫ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B20" s="22" t="inlineStr">
        <is>
          <t>Расходы на персонал (экипаж)</t>
        </is>
      </c>
      <c r="C20" s="24" t="inlineStr">
        <is>
          <t>тыс.руб/год</t>
        </is>
      </c>
      <c r="D20" s="34" t="n">
        <v>18475.6</v>
      </c>
      <c r="E20" s="34" t="n">
        <v>18475.6</v>
      </c>
      <c r="F20" s="34" t="n">
        <v>18475.6</v>
      </c>
      <c r="G20" s="34" t="n">
        <v>18475.6</v>
      </c>
      <c r="H20" s="34" t="n">
        <v>18475.6</v>
      </c>
      <c r="I20" s="34" t="n">
        <v>18475.6</v>
      </c>
      <c r="K20" s="25" t="inlineStr">
        <is>
          <t>ФОТ+отчисления+прочее на 1 машину</t>
        </is>
      </c>
    </row>
    <row r="21">
      <c r="B21" s="22" t="inlineStr">
        <is>
          <t>Мощность двигателя (транспортный налог)</t>
        </is>
      </c>
      <c r="C21" s="24" t="inlineStr">
        <is>
          <t>л.с.</t>
        </is>
      </c>
      <c r="D21" s="32" t="n">
        <v>2500</v>
      </c>
      <c r="E21" s="32" t="n">
        <v>2500</v>
      </c>
      <c r="F21" s="32" t="n">
        <v>2843</v>
      </c>
      <c r="G21" s="32" t="n">
        <v>2500</v>
      </c>
      <c r="H21" s="32" t="n">
        <v>2535</v>
      </c>
      <c r="I21" s="32" t="n">
        <v>2535</v>
      </c>
      <c r="K21" s="25" t="inlineStr">
        <is>
          <t>× ставку налога (руб/л.с.)</t>
        </is>
      </c>
    </row>
    <row r="22">
      <c r="B22" s="36" t="inlineStr">
        <is>
          <t>ℹ  КТГ, простои и затраты на ТОиР (ТО/ТР/капремонты/сервис) задаются ПО ГОДАМ на листах «Поставщик 1…6». Расход топлива (г/ткм), шины и КИГ — общие на листе «Параметры». Сводка — на листе «Данные по годам».</t>
        </is>
      </c>
    </row>
  </sheetData>
  <mergeCells count="7">
    <mergeCell ref="B1:K1"/>
    <mergeCell ref="B22:K22"/>
    <mergeCell ref="B2:K2"/>
    <mergeCell ref="B6:K6"/>
    <mergeCell ref="B16:K16"/>
    <mergeCell ref="B10:K10"/>
    <mergeCell ref="B19:K19"/>
  </mergeCells>
  <dataValidations count="1">
    <dataValidation sqref="D12:I12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1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данных'!D7</f>
        <v>NHL NTE 240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139</v>
      </c>
      <c r="F9" s="32" t="n">
        <v>175</v>
      </c>
      <c r="G9" s="32" t="n">
        <v>289</v>
      </c>
      <c r="H9" s="32" t="n">
        <v>373</v>
      </c>
      <c r="I9" s="32" t="n">
        <v>177</v>
      </c>
      <c r="J9" s="32" t="n">
        <v>253</v>
      </c>
      <c r="K9" s="32" t="n">
        <v>167</v>
      </c>
      <c r="L9" s="32" t="n">
        <v>377</v>
      </c>
      <c r="M9" s="32" t="n">
        <v>295</v>
      </c>
      <c r="N9" s="32" t="n">
        <v>187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230.107</v>
      </c>
      <c r="F10" s="41">
        <f>('Параметры'!C26-F8-F9)/'Параметры'!C27*20/60</f>
        <v>229.107</v>
      </c>
      <c r="G10" s="41">
        <f>('Параметры'!C26-G8-G9)/'Параметры'!C27*20/60</f>
        <v>225.94033333333334</v>
      </c>
      <c r="H10" s="41">
        <f>('Параметры'!C26-H8-H9)/'Параметры'!C27*20/60</f>
        <v>223.607</v>
      </c>
      <c r="I10" s="41">
        <f>('Параметры'!C26-I8-I9)/'Параметры'!C27*20/60</f>
        <v>229.05144444444446</v>
      </c>
      <c r="J10" s="41">
        <f>('Параметры'!C26-J8-J9)/'Параметры'!C27*20/60</f>
        <v>226.94033333333334</v>
      </c>
      <c r="K10" s="41">
        <f>('Параметры'!C26-K8-K9)/'Параметры'!C27*20/60</f>
        <v>229.32922222222226</v>
      </c>
      <c r="L10" s="41">
        <f>('Параметры'!C26-L8-L9)/'Параметры'!C27*20/60</f>
        <v>223.49588888888894</v>
      </c>
      <c r="M10" s="41">
        <f>('Параметры'!C26-M8-M9)/'Параметры'!C27*20/60</f>
        <v>225.77366666666666</v>
      </c>
      <c r="N10" s="41">
        <f>('Параметры'!C26-N8-N9)/'Параметры'!C27*20/60</f>
        <v>228.77366666666666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0.8824</v>
      </c>
      <c r="F11" s="33" t="n">
        <v>0.8756</v>
      </c>
      <c r="G11" s="33" t="n">
        <v>0.8667</v>
      </c>
      <c r="H11" s="33" t="n">
        <v>0.8549</v>
      </c>
      <c r="I11" s="33" t="n">
        <v>0.8784</v>
      </c>
      <c r="J11" s="33" t="n">
        <v>0.8675</v>
      </c>
      <c r="K11" s="33" t="n">
        <v>0.8764999999999999</v>
      </c>
      <c r="L11" s="33" t="n">
        <v>0.8575</v>
      </c>
      <c r="M11" s="33" t="n">
        <v>0.8631</v>
      </c>
      <c r="N11" s="33" t="n">
        <v>0.8773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2.1689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1866.5548671797999</v>
      </c>
      <c r="F18" s="42">
        <f>(F12+F13+F16)*$E$17</f>
        <v>2390.9133365398</v>
      </c>
      <c r="G18" s="42">
        <f>(G12+G13+G16)*$E$17</f>
        <v>9432.4605412328</v>
      </c>
      <c r="H18" s="42">
        <f>(H12+H13+H16)*$E$17</f>
        <v>4236.5987182468</v>
      </c>
      <c r="I18" s="42">
        <f>(I12+I13+I16)*$E$17</f>
        <v>2282.8074223658</v>
      </c>
      <c r="J18" s="42">
        <f>(J12+J13+J16)*$E$17</f>
        <v>9561.7826352068</v>
      </c>
      <c r="K18" s="42">
        <f>(K12+K13+K16)*$E$17</f>
        <v>1978.8642830657998</v>
      </c>
      <c r="L18" s="42">
        <f>(L12+L13+L16)*$E$17</f>
        <v>4519.3256777468005</v>
      </c>
      <c r="M18" s="42">
        <f>(M12+M13+M16)*$E$17</f>
        <v>9453.6767210328</v>
      </c>
      <c r="N18" s="42">
        <f>(N12+N13+N16)*$E$17</f>
        <v>2390.9133365398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2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данных'!E7</f>
        <v>Estar ESDE240
(ГПБ К)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420</v>
      </c>
      <c r="F9" s="32" t="n">
        <v>505</v>
      </c>
      <c r="G9" s="32" t="n">
        <v>905</v>
      </c>
      <c r="H9" s="32" t="n">
        <v>1287</v>
      </c>
      <c r="I9" s="32" t="n">
        <v>455</v>
      </c>
      <c r="J9" s="32" t="n">
        <v>1132</v>
      </c>
      <c r="K9" s="32" t="n">
        <v>485</v>
      </c>
      <c r="L9" s="32" t="n">
        <v>1290</v>
      </c>
      <c r="M9" s="32" t="n">
        <v>782</v>
      </c>
      <c r="N9" s="32" t="n">
        <v>1155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222.30144444444446</v>
      </c>
      <c r="F10" s="41">
        <f>('Параметры'!C26-F8-F9)/'Параметры'!C27*20/60</f>
        <v>219.94033333333334</v>
      </c>
      <c r="G10" s="41">
        <f>('Параметры'!C26-G8-G9)/'Параметры'!C27*20/60</f>
        <v>208.82922222222226</v>
      </c>
      <c r="H10" s="41">
        <f>('Параметры'!C26-H8-H9)/'Параметры'!C27*20/60</f>
        <v>198.21811111111114</v>
      </c>
      <c r="I10" s="41">
        <f>('Параметры'!C26-I8-I9)/'Параметры'!C27*20/60</f>
        <v>221.32922222222226</v>
      </c>
      <c r="J10" s="41">
        <f>('Параметры'!C26-J8-J9)/'Параметры'!C27*20/60</f>
        <v>202.52366666666666</v>
      </c>
      <c r="K10" s="41">
        <f>('Параметры'!C26-K8-K9)/'Параметры'!C27*20/60</f>
        <v>220.49588888888894</v>
      </c>
      <c r="L10" s="41">
        <f>('Параметры'!C26-L8-L9)/'Параметры'!C27*20/60</f>
        <v>198.1347777777778</v>
      </c>
      <c r="M10" s="41">
        <f>('Параметры'!C26-M8-M9)/'Параметры'!C27*20/60</f>
        <v>212.24588888888894</v>
      </c>
      <c r="N10" s="41">
        <f>('Параметры'!C26-N8-N9)/'Параметры'!C27*20/60</f>
        <v>201.8847777777778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0.9038</v>
      </c>
      <c r="F11" s="33" t="n">
        <v>0.888</v>
      </c>
      <c r="G11" s="33" t="n">
        <v>0.8421</v>
      </c>
      <c r="H11" s="33" t="n">
        <v>0.7991</v>
      </c>
      <c r="I11" s="33" t="n">
        <v>0.8913</v>
      </c>
      <c r="J11" s="33" t="n">
        <v>0.8151</v>
      </c>
      <c r="K11" s="33" t="n">
        <v>0.881</v>
      </c>
      <c r="L11" s="33" t="n">
        <v>0.8038</v>
      </c>
      <c r="M11" s="33" t="n">
        <v>0.8489</v>
      </c>
      <c r="N11" s="33" t="n">
        <v>0.8269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2.5286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2176.1126087652</v>
      </c>
      <c r="F18" s="42">
        <f>(F12+F13+F16)*$E$17</f>
        <v>2787.4330134052</v>
      </c>
      <c r="G18" s="42">
        <f>(G12+G13+G16)*$E$17</f>
        <v>10996.781651787202</v>
      </c>
      <c r="H18" s="42">
        <f>(H12+H13+H16)*$E$17</f>
        <v>4939.215048623199</v>
      </c>
      <c r="I18" s="42">
        <f>(I12+I13+I16)*$E$17</f>
        <v>2661.3983347292</v>
      </c>
      <c r="J18" s="42">
        <f>(J12+J13+J16)*$E$17</f>
        <v>11147.5510956632</v>
      </c>
      <c r="K18" s="42">
        <f>(K12+K13+K16)*$E$17</f>
        <v>2307.0479165292</v>
      </c>
      <c r="L18" s="42">
        <f>(L12+L13+L16)*$E$17</f>
        <v>5268.8307016232</v>
      </c>
      <c r="M18" s="42">
        <f>(M12+M13+M16)*$E$17</f>
        <v>11021.5164169872</v>
      </c>
      <c r="N18" s="42">
        <f>(N12+N13+N16)*$E$17</f>
        <v>2787.4330134052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3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данных'!F7</f>
        <v>SANY SET240S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280</v>
      </c>
      <c r="F9" s="32" t="n">
        <v>570</v>
      </c>
      <c r="G9" s="32" t="n">
        <v>750</v>
      </c>
      <c r="H9" s="32" t="n">
        <v>505</v>
      </c>
      <c r="I9" s="32" t="n">
        <v>930</v>
      </c>
      <c r="J9" s="32" t="n">
        <v>505</v>
      </c>
      <c r="K9" s="32" t="n">
        <v>750</v>
      </c>
      <c r="L9" s="32" t="n">
        <v>505</v>
      </c>
      <c r="M9" s="32" t="n">
        <v>930</v>
      </c>
      <c r="N9" s="32" t="n">
        <v>660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226.19033333333334</v>
      </c>
      <c r="F10" s="41">
        <f>('Параметры'!C26-F8-F9)/'Параметры'!C27*20/60</f>
        <v>218.1347777777778</v>
      </c>
      <c r="G10" s="41">
        <f>('Параметры'!C26-G8-G9)/'Параметры'!C27*20/60</f>
        <v>213.1347777777778</v>
      </c>
      <c r="H10" s="41">
        <f>('Параметры'!C26-H8-H9)/'Параметры'!C27*20/60</f>
        <v>219.94033333333334</v>
      </c>
      <c r="I10" s="41">
        <f>('Параметры'!C26-I8-I9)/'Параметры'!C27*20/60</f>
        <v>208.1347777777778</v>
      </c>
      <c r="J10" s="41">
        <f>('Параметры'!C26-J8-J9)/'Параметры'!C27*20/60</f>
        <v>219.94033333333334</v>
      </c>
      <c r="K10" s="41">
        <f>('Параметры'!C26-K8-K9)/'Параметры'!C27*20/60</f>
        <v>213.1347777777778</v>
      </c>
      <c r="L10" s="41">
        <f>('Параметры'!C26-L8-L9)/'Параметры'!C27*20/60</f>
        <v>219.94033333333334</v>
      </c>
      <c r="M10" s="41">
        <f>('Параметры'!C26-M8-M9)/'Параметры'!C27*20/60</f>
        <v>208.1347777777778</v>
      </c>
      <c r="N10" s="41">
        <f>('Параметры'!C26-N8-N9)/'Параметры'!C27*20/60</f>
        <v>215.6347777777778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0.7598</v>
      </c>
      <c r="F11" s="33" t="n">
        <v>0.7329</v>
      </c>
      <c r="G11" s="33" t="n">
        <v>0.7030999999999999</v>
      </c>
      <c r="H11" s="33" t="n">
        <v>0.734</v>
      </c>
      <c r="I11" s="33" t="n">
        <v>0.6902</v>
      </c>
      <c r="J11" s="33" t="n">
        <v>0.734</v>
      </c>
      <c r="K11" s="33" t="n">
        <v>0.7030999999999999</v>
      </c>
      <c r="L11" s="33" t="n">
        <v>0.734</v>
      </c>
      <c r="M11" s="33" t="n">
        <v>0.6902</v>
      </c>
      <c r="N11" s="33" t="n">
        <v>0.7186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1.9481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1676.5344353142</v>
      </c>
      <c r="F18" s="42">
        <f>(F12+F13+F16)*$E$17</f>
        <v>2147.5117667542</v>
      </c>
      <c r="G18" s="42">
        <f>(G12+G13+G16)*$E$17</f>
        <v>8472.210051351201</v>
      </c>
      <c r="H18" s="42">
        <f>(H12+H13+H16)*$E$17</f>
        <v>3805.3012877571996</v>
      </c>
      <c r="I18" s="42">
        <f>(I12+I13+I16)*$E$17</f>
        <v>2050.4113327082</v>
      </c>
      <c r="J18" s="42">
        <f>(J12+J13+J16)*$E$17</f>
        <v>8588.366799597201</v>
      </c>
      <c r="K18" s="42">
        <f>(K12+K13+K16)*$E$17</f>
        <v>1777.4104430082</v>
      </c>
      <c r="L18" s="42">
        <f>(L12+L13+L16)*$E$17</f>
        <v>4059.2458632572</v>
      </c>
      <c r="M18" s="42">
        <f>(M12+M13+M16)*$E$17</f>
        <v>8491.2663655512</v>
      </c>
      <c r="N18" s="42">
        <f>(N12+N13+N16)*$E$17</f>
        <v>2147.5117667542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4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данных'!G7</f>
        <v>TZCO TZE240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425</v>
      </c>
      <c r="F9" s="32" t="n">
        <v>690</v>
      </c>
      <c r="G9" s="32" t="n">
        <v>1600</v>
      </c>
      <c r="H9" s="32" t="n">
        <v>690</v>
      </c>
      <c r="I9" s="32" t="n">
        <v>425</v>
      </c>
      <c r="J9" s="32" t="n">
        <v>1800</v>
      </c>
      <c r="K9" s="32" t="n">
        <v>425</v>
      </c>
      <c r="L9" s="32" t="n">
        <v>690</v>
      </c>
      <c r="M9" s="32" t="n">
        <v>425</v>
      </c>
      <c r="N9" s="32" t="n">
        <v>690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222.1625555555556</v>
      </c>
      <c r="F10" s="41">
        <f>('Параметры'!C26-F8-F9)/'Параметры'!C27*20/60</f>
        <v>214.80144444444446</v>
      </c>
      <c r="G10" s="41">
        <f>('Параметры'!C26-G8-G9)/'Параметры'!C27*20/60</f>
        <v>189.52366666666666</v>
      </c>
      <c r="H10" s="41">
        <f>('Параметры'!C26-H8-H9)/'Параметры'!C27*20/60</f>
        <v>214.80144444444446</v>
      </c>
      <c r="I10" s="41">
        <f>('Параметры'!C26-I8-I9)/'Параметры'!C27*20/60</f>
        <v>222.1625555555556</v>
      </c>
      <c r="J10" s="41">
        <f>('Параметры'!C26-J8-J9)/'Параметры'!C27*20/60</f>
        <v>183.96811111111114</v>
      </c>
      <c r="K10" s="41">
        <f>('Параметры'!C26-K8-K9)/'Параметры'!C27*20/60</f>
        <v>222.1625555555556</v>
      </c>
      <c r="L10" s="41">
        <f>('Параметры'!C26-L8-L9)/'Параметры'!C27*20/60</f>
        <v>214.80144444444446</v>
      </c>
      <c r="M10" s="41">
        <f>('Параметры'!C26-M8-M9)/'Параметры'!C27*20/60</f>
        <v>222.1625555555556</v>
      </c>
      <c r="N10" s="41">
        <f>('Параметры'!C26-N8-N9)/'Параметры'!C27*20/60</f>
        <v>214.80144444444446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0.8994</v>
      </c>
      <c r="F11" s="33" t="n">
        <v>0.8743</v>
      </c>
      <c r="G11" s="33" t="n">
        <v>0.7653</v>
      </c>
      <c r="H11" s="33" t="n">
        <v>0.8743</v>
      </c>
      <c r="I11" s="33" t="n">
        <v>0.8994</v>
      </c>
      <c r="J11" s="33" t="n">
        <v>0.7396</v>
      </c>
      <c r="K11" s="33" t="n">
        <v>0.8994</v>
      </c>
      <c r="L11" s="33" t="n">
        <v>0.8743</v>
      </c>
      <c r="M11" s="33" t="n">
        <v>0.8994</v>
      </c>
      <c r="N11" s="33" t="n">
        <v>0.8743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2.5172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2166.3017712503997</v>
      </c>
      <c r="F18" s="42">
        <f>(F12+F13+F16)*$E$17</f>
        <v>2774.8660845304003</v>
      </c>
      <c r="G18" s="42">
        <f>(G12+G13+G16)*$E$17</f>
        <v>10947.203501494401</v>
      </c>
      <c r="H18" s="42">
        <f>(H12+H13+H16)*$E$17</f>
        <v>4916.9469747664</v>
      </c>
      <c r="I18" s="42">
        <f>(I12+I13+I16)*$E$17</f>
        <v>2649.3996235784</v>
      </c>
      <c r="J18" s="42">
        <f>(J12+J13+J16)*$E$17</f>
        <v>11097.2932128464</v>
      </c>
      <c r="K18" s="42">
        <f>(K12+K13+K16)*$E$17</f>
        <v>2296.6467671784</v>
      </c>
      <c r="L18" s="42">
        <f>(L12+L13+L16)*$E$17</f>
        <v>5245.0765807664</v>
      </c>
      <c r="M18" s="42">
        <f>(M12+M13+M16)*$E$17</f>
        <v>10971.826751894401</v>
      </c>
      <c r="N18" s="42">
        <f>(N12+N13+N16)*$E$17</f>
        <v>2774.8660845304003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5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данных'!H7</f>
        <v>БелАЗ 7531
(ГПФК)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135</v>
      </c>
      <c r="F9" s="32" t="n">
        <v>341</v>
      </c>
      <c r="G9" s="32" t="n">
        <v>417.667</v>
      </c>
      <c r="H9" s="32" t="n">
        <v>588</v>
      </c>
      <c r="I9" s="32" t="n">
        <v>402</v>
      </c>
      <c r="J9" s="32" t="n">
        <v>680.333</v>
      </c>
      <c r="K9" s="32" t="n">
        <v>549</v>
      </c>
      <c r="L9" s="32" t="n">
        <v>487</v>
      </c>
      <c r="M9" s="32" t="n">
        <v>793</v>
      </c>
      <c r="N9" s="32" t="n">
        <v>842.333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230.21811111111114</v>
      </c>
      <c r="F10" s="41">
        <f>('Параметры'!C26-F8-F9)/'Параметры'!C27*20/60</f>
        <v>224.49588888888894</v>
      </c>
      <c r="G10" s="41">
        <f>('Параметры'!C26-G8-G9)/'Параметры'!C27*20/60</f>
        <v>222.36625</v>
      </c>
      <c r="H10" s="41">
        <f>('Параметры'!C26-H8-H9)/'Параметры'!C27*20/60</f>
        <v>217.6347777777778</v>
      </c>
      <c r="I10" s="41">
        <f>('Параметры'!C26-I8-I9)/'Параметры'!C27*20/60</f>
        <v>222.80144444444446</v>
      </c>
      <c r="J10" s="41">
        <f>('Параметры'!C26-J8-J9)/'Параметры'!C27*20/60</f>
        <v>215.06997222222225</v>
      </c>
      <c r="K10" s="41">
        <f>('Параметры'!C26-K8-K9)/'Параметры'!C27*20/60</f>
        <v>218.71811111111114</v>
      </c>
      <c r="L10" s="41">
        <f>('Параметры'!C26-L8-L9)/'Параметры'!C27*20/60</f>
        <v>220.44033333333334</v>
      </c>
      <c r="M10" s="41">
        <f>('Параметры'!C26-M8-M9)/'Параметры'!C27*20/60</f>
        <v>211.94033333333334</v>
      </c>
      <c r="N10" s="41">
        <f>('Параметры'!C26-N8-N9)/'Параметры'!C27*20/60</f>
        <v>210.56997222222225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0.7503</v>
      </c>
      <c r="F11" s="33" t="n">
        <v>0.7317</v>
      </c>
      <c r="G11" s="33" t="n">
        <v>0.7141999999999999</v>
      </c>
      <c r="H11" s="33" t="n">
        <v>0.7226</v>
      </c>
      <c r="I11" s="33" t="n">
        <v>0.728</v>
      </c>
      <c r="J11" s="33" t="n">
        <v>0.6992</v>
      </c>
      <c r="K11" s="33" t="n">
        <v>0.7411</v>
      </c>
      <c r="L11" s="33" t="n">
        <v>0.706</v>
      </c>
      <c r="M11" s="33" t="n">
        <v>0.6955</v>
      </c>
      <c r="N11" s="33" t="n">
        <v>0.7113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1.7355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1493.570921661</v>
      </c>
      <c r="F18" s="42">
        <f>(F12+F13+F16)*$E$17</f>
        <v>1913.1495668610003</v>
      </c>
      <c r="G18" s="42">
        <f>(G12+G13+G16)*$E$17</f>
        <v>7547.621037996001</v>
      </c>
      <c r="H18" s="42">
        <f>(H12+H13+H16)*$E$17</f>
        <v>3390.021243726</v>
      </c>
      <c r="I18" s="42">
        <f>(I12+I13+I16)*$E$17</f>
        <v>1826.6458949310002</v>
      </c>
      <c r="J18" s="42">
        <f>(J12+J13+J16)*$E$17</f>
        <v>7651.1013709260005</v>
      </c>
      <c r="K18" s="42">
        <f>(K12+K13+K16)*$E$17</f>
        <v>1583.438131431</v>
      </c>
      <c r="L18" s="42">
        <f>(L12+L13+L16)*$E$17</f>
        <v>3616.2523462260006</v>
      </c>
      <c r="M18" s="42">
        <f>(M12+M13+M16)*$E$17</f>
        <v>7564.597698996001</v>
      </c>
      <c r="N18" s="42">
        <f>(N12+N13+N16)*$E$17</f>
        <v>1913.1495668610003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12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7" customWidth="1" min="16" max="16"/>
  </cols>
  <sheetData>
    <row r="1">
      <c r="B1" s="1" t="inlineStr">
        <is>
          <t>ДАННЫЕ ПОСТАВЩИКА — ВАРИАНТ 6 (ТО и Ремонты — модель по узлам)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B2" s="3" t="inlineStr">
        <is>
          <t>Жёлтое — ввод. Зелёное — авто (снизу вверх). ИТОГО ТОиР = (ЗЧ ТО + ЗЧ капремонтов + сервис) × коэф.калибровки; тянется в «Данные по годам».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>
      <c r="B4" s="7" t="inlineStr">
        <is>
          <t>Автосамосвал:</t>
        </is>
      </c>
      <c r="E4" s="37" t="str">
        <f>'Ввод данных'!I7</f>
        <v>БелАЗ 7531
(БТЛ)</v>
      </c>
    </row>
    <row r="5">
      <c r="B5" s="9" t="inlineStr">
        <is>
          <t>Валюта затрат ТОиР:</t>
        </is>
      </c>
      <c r="D5" s="38" t="inlineStr">
        <is>
          <t>CNY</t>
        </is>
      </c>
    </row>
    <row r="6">
      <c r="B6" s="15" t="inlineStr">
        <is>
          <t>Показатель</t>
        </is>
      </c>
      <c r="C6" s="15" t="inlineStr">
        <is>
          <t>Ед.</t>
        </is>
      </c>
      <c r="D6" s="15" t="n"/>
      <c r="E6" s="15" t="inlineStr">
        <is>
          <t>год 1</t>
        </is>
      </c>
      <c r="F6" s="15" t="inlineStr">
        <is>
          <t>год 2</t>
        </is>
      </c>
      <c r="G6" s="15" t="inlineStr">
        <is>
          <t>год 3</t>
        </is>
      </c>
      <c r="H6" s="15" t="inlineStr">
        <is>
          <t>год 4</t>
        </is>
      </c>
      <c r="I6" s="15" t="inlineStr">
        <is>
          <t>год 5</t>
        </is>
      </c>
      <c r="J6" s="15" t="inlineStr">
        <is>
          <t>год 6</t>
        </is>
      </c>
      <c r="K6" s="15" t="inlineStr">
        <is>
          <t>год 7</t>
        </is>
      </c>
      <c r="L6" s="15" t="inlineStr">
        <is>
          <t>год 8</t>
        </is>
      </c>
      <c r="M6" s="15" t="inlineStr">
        <is>
          <t>год 9</t>
        </is>
      </c>
      <c r="N6" s="15" t="inlineStr">
        <is>
          <t>год 10</t>
        </is>
      </c>
    </row>
    <row r="7">
      <c r="B7" s="5" t="inlineStr">
        <is>
          <t>СВОДКА ПО ГОДАМ (зелёное — авто снизу вверх; тянется в расчёт)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B8" s="39" t="inlineStr">
        <is>
          <t>Простои на ТО (авто из интервалов)</t>
        </is>
      </c>
      <c r="C8" s="24" t="inlineStr">
        <is>
          <t>ч/год</t>
        </is>
      </c>
      <c r="E8" s="40">
        <f>E37</f>
        <v>337.148</v>
      </c>
      <c r="F8" s="40">
        <f>F37</f>
        <v>337.148</v>
      </c>
      <c r="G8" s="40">
        <f>G37</f>
        <v>337.148</v>
      </c>
      <c r="H8" s="40">
        <f>H37</f>
        <v>337.148</v>
      </c>
      <c r="I8" s="40">
        <f>I37</f>
        <v>337.148</v>
      </c>
      <c r="J8" s="40">
        <f>J37</f>
        <v>337.148</v>
      </c>
      <c r="K8" s="40">
        <f>K37</f>
        <v>337.148</v>
      </c>
      <c r="L8" s="40">
        <f>L37</f>
        <v>337.148</v>
      </c>
      <c r="M8" s="40">
        <f>M37</f>
        <v>337.148</v>
      </c>
      <c r="N8" s="40">
        <f>N37</f>
        <v>337.148</v>
      </c>
    </row>
    <row r="9">
      <c r="B9" s="22" t="inlineStr">
        <is>
          <t>Простои в ремонтах (справочно)</t>
        </is>
      </c>
      <c r="C9" s="24" t="inlineStr">
        <is>
          <t>ч/год</t>
        </is>
      </c>
      <c r="E9" s="32" t="n">
        <v>135</v>
      </c>
      <c r="F9" s="32" t="n">
        <v>341</v>
      </c>
      <c r="G9" s="32" t="n">
        <v>417.667</v>
      </c>
      <c r="H9" s="32" t="n">
        <v>588</v>
      </c>
      <c r="I9" s="32" t="n">
        <v>402</v>
      </c>
      <c r="J9" s="32" t="n">
        <v>680.333</v>
      </c>
      <c r="K9" s="32" t="n">
        <v>549</v>
      </c>
      <c r="L9" s="32" t="n">
        <v>487</v>
      </c>
      <c r="M9" s="32" t="n">
        <v>793</v>
      </c>
      <c r="N9" s="32" t="n">
        <v>842.333</v>
      </c>
    </row>
    <row r="10">
      <c r="B10" s="39" t="inlineStr">
        <is>
          <t>Ежесменный осмотр (20 мин/смену), справочно</t>
        </is>
      </c>
      <c r="C10" s="24" t="inlineStr">
        <is>
          <t>ч/год</t>
        </is>
      </c>
      <c r="E10" s="41">
        <f>('Параметры'!C26-E8-E9)/'Параметры'!C27*20/60</f>
        <v>230.21811111111114</v>
      </c>
      <c r="F10" s="41">
        <f>('Параметры'!C26-F8-F9)/'Параметры'!C27*20/60</f>
        <v>224.49588888888894</v>
      </c>
      <c r="G10" s="41">
        <f>('Параметры'!C26-G8-G9)/'Параметры'!C27*20/60</f>
        <v>222.36625</v>
      </c>
      <c r="H10" s="41">
        <f>('Параметры'!C26-H8-H9)/'Параметры'!C27*20/60</f>
        <v>217.6347777777778</v>
      </c>
      <c r="I10" s="41">
        <f>('Параметры'!C26-I8-I9)/'Параметры'!C27*20/60</f>
        <v>222.80144444444446</v>
      </c>
      <c r="J10" s="41">
        <f>('Параметры'!C26-J8-J9)/'Параметры'!C27*20/60</f>
        <v>215.06997222222225</v>
      </c>
      <c r="K10" s="41">
        <f>('Параметры'!C26-K8-K9)/'Параметры'!C27*20/60</f>
        <v>218.71811111111114</v>
      </c>
      <c r="L10" s="41">
        <f>('Параметры'!C26-L8-L9)/'Параметры'!C27*20/60</f>
        <v>220.44033333333334</v>
      </c>
      <c r="M10" s="41">
        <f>('Параметры'!C26-M8-M9)/'Параметры'!C27*20/60</f>
        <v>211.94033333333334</v>
      </c>
      <c r="N10" s="41">
        <f>('Параметры'!C26-N8-N9)/'Параметры'!C27*20/60</f>
        <v>210.56997222222225</v>
      </c>
    </row>
    <row r="11">
      <c r="B11" s="22" t="inlineStr">
        <is>
          <t>КТГ (техготовность, ВВОД) → «Данные по годам»</t>
        </is>
      </c>
      <c r="C11" s="24" t="inlineStr">
        <is>
          <t>коэф.</t>
        </is>
      </c>
      <c r="E11" s="33" t="n">
        <v>0.7573</v>
      </c>
      <c r="F11" s="33" t="n">
        <v>0.7393999999999999</v>
      </c>
      <c r="G11" s="33" t="n">
        <v>0.7321</v>
      </c>
      <c r="H11" s="33" t="n">
        <v>0.7174</v>
      </c>
      <c r="I11" s="33" t="n">
        <v>0.7337</v>
      </c>
      <c r="J11" s="33" t="n">
        <v>0.7084</v>
      </c>
      <c r="K11" s="33" t="n">
        <v>0.6929999999999999</v>
      </c>
      <c r="L11" s="33" t="n">
        <v>0.7264</v>
      </c>
      <c r="M11" s="33" t="n">
        <v>0.6987</v>
      </c>
      <c r="N11" s="33" t="n">
        <v>0.6938</v>
      </c>
    </row>
    <row r="12">
      <c r="B12" s="39" t="inlineStr">
        <is>
          <t>Затраты на ЗЧ ТО (авто из каталога)</t>
        </is>
      </c>
      <c r="C12" s="24" t="inlineStr">
        <is>
          <t>тыс.вал/г</t>
        </is>
      </c>
      <c r="E12" s="42">
        <f>E73</f>
        <v>615.85391</v>
      </c>
      <c r="F12" s="42">
        <f>F73</f>
        <v>615.85391</v>
      </c>
      <c r="G12" s="42">
        <f>G73</f>
        <v>615.85391</v>
      </c>
      <c r="H12" s="42">
        <f>H73</f>
        <v>615.85391</v>
      </c>
      <c r="I12" s="42">
        <f>I73</f>
        <v>615.85391</v>
      </c>
      <c r="J12" s="42">
        <f>J73</f>
        <v>615.85391</v>
      </c>
      <c r="K12" s="42">
        <f>K73</f>
        <v>615.85391</v>
      </c>
      <c r="L12" s="42">
        <f>L73</f>
        <v>615.85391</v>
      </c>
      <c r="M12" s="42">
        <f>M73</f>
        <v>615.85391</v>
      </c>
      <c r="N12" s="42">
        <f>N73</f>
        <v>615.85391</v>
      </c>
    </row>
    <row r="13">
      <c r="B13" s="39" t="inlineStr">
        <is>
          <t>Затраты на ЗЧ капремонтов (авто по ресурсу)</t>
        </is>
      </c>
      <c r="C13" s="24" t="inlineStr">
        <is>
          <t>тыс.вал/г</t>
        </is>
      </c>
      <c r="E13" s="42">
        <f>E96</f>
        <v>0.0</v>
      </c>
      <c r="F13" s="42">
        <f>F96</f>
        <v>151.6104</v>
      </c>
      <c r="G13" s="42">
        <f>G96</f>
        <v>3293.54077</v>
      </c>
      <c r="H13" s="42">
        <f>H96</f>
        <v>894.4820299999999</v>
      </c>
      <c r="I13" s="42">
        <f>I96</f>
        <v>99.85674</v>
      </c>
      <c r="J13" s="42">
        <f>J96</f>
        <v>3353.16643</v>
      </c>
      <c r="K13" s="42">
        <f>K96</f>
        <v>47.96174</v>
      </c>
      <c r="L13" s="42">
        <f>L96</f>
        <v>938.5050299999999</v>
      </c>
      <c r="M13" s="42">
        <f>M96</f>
        <v>3301.4127700000004</v>
      </c>
      <c r="N13" s="42">
        <f>N96</f>
        <v>151.6104</v>
      </c>
    </row>
    <row r="14">
      <c r="B14" s="39" t="inlineStr">
        <is>
          <t>Трудозатраты ТО (авто)</t>
        </is>
      </c>
      <c r="C14" s="24" t="inlineStr">
        <is>
          <t>ч-час/г</t>
        </is>
      </c>
      <c r="E14" s="40">
        <f>E44</f>
        <v>1281.392</v>
      </c>
      <c r="F14" s="40">
        <f>F44</f>
        <v>1281.392</v>
      </c>
      <c r="G14" s="40">
        <f>G44</f>
        <v>1281.392</v>
      </c>
      <c r="H14" s="40">
        <f>H44</f>
        <v>1281.392</v>
      </c>
      <c r="I14" s="40">
        <f>I44</f>
        <v>1281.392</v>
      </c>
      <c r="J14" s="40">
        <f>J44</f>
        <v>1281.392</v>
      </c>
      <c r="K14" s="40">
        <f>K44</f>
        <v>1281.392</v>
      </c>
      <c r="L14" s="40">
        <f>L44</f>
        <v>1281.392</v>
      </c>
      <c r="M14" s="40">
        <f>M44</f>
        <v>1281.392</v>
      </c>
      <c r="N14" s="40">
        <f>N44</f>
        <v>1281.392</v>
      </c>
    </row>
    <row r="15">
      <c r="B15" s="39" t="inlineStr">
        <is>
          <t>Трудозатраты капремонтов (авто)</t>
        </is>
      </c>
      <c r="C15" s="24" t="inlineStr">
        <is>
          <t>ч-час/г</t>
        </is>
      </c>
      <c r="E15" s="40">
        <f>E119</f>
        <v>0.0</v>
      </c>
      <c r="F15" s="40">
        <f>F119</f>
        <v>472.0</v>
      </c>
      <c r="G15" s="40">
        <f>G119</f>
        <v>1020.0</v>
      </c>
      <c r="H15" s="40">
        <f>H119</f>
        <v>1038.0</v>
      </c>
      <c r="I15" s="40">
        <f>I119</f>
        <v>482.0</v>
      </c>
      <c r="J15" s="40">
        <f>J119</f>
        <v>1020.0</v>
      </c>
      <c r="K15" s="40">
        <f>K119</f>
        <v>20.0</v>
      </c>
      <c r="L15" s="40">
        <f>L119</f>
        <v>1490.0</v>
      </c>
      <c r="M15" s="40">
        <f>M119</f>
        <v>1030.0</v>
      </c>
      <c r="N15" s="40">
        <f>N119</f>
        <v>472.0</v>
      </c>
    </row>
    <row r="16">
      <c r="B16" s="39" t="inlineStr">
        <is>
          <t>Сервис (трудозатраты) ТО+капремонты</t>
        </is>
      </c>
      <c r="C16" s="24" t="inlineStr">
        <is>
          <t>тыс.вал/г</t>
        </is>
      </c>
      <c r="E16" s="42">
        <f>(E14+E15)*$E$21/1000</f>
        <v>244.745872</v>
      </c>
      <c r="F16" s="42">
        <f>(F14+F15)*$E$21/1000</f>
        <v>334.897872</v>
      </c>
      <c r="G16" s="42">
        <f>(G14+G15)*$E$21/1000</f>
        <v>439.56587199999996</v>
      </c>
      <c r="H16" s="42">
        <f>(H14+H15)*$E$21/1000</f>
        <v>443.003872</v>
      </c>
      <c r="I16" s="42">
        <f>(I14+I15)*$E$21/1000</f>
        <v>336.80787200000003</v>
      </c>
      <c r="J16" s="42">
        <f>(J14+J15)*$E$21/1000</f>
        <v>439.56587199999996</v>
      </c>
      <c r="K16" s="42">
        <f>(K14+K15)*$E$21/1000</f>
        <v>248.565872</v>
      </c>
      <c r="L16" s="42">
        <f>(L14+L15)*$E$21/1000</f>
        <v>529.335872</v>
      </c>
      <c r="M16" s="42">
        <f>(M14+M15)*$E$21/1000</f>
        <v>441.475872</v>
      </c>
      <c r="N16" s="42">
        <f>(N14+N15)*$E$21/1000</f>
        <v>334.897872</v>
      </c>
    </row>
    <row r="17">
      <c r="B17" s="22" t="inlineStr">
        <is>
          <t>Коэффициент калибровки ИТОГО под ТКП</t>
        </is>
      </c>
      <c r="C17" s="24" t="inlineStr">
        <is>
          <t>коэф.</t>
        </is>
      </c>
      <c r="E17" s="27" t="n">
        <v>1.7355</v>
      </c>
    </row>
    <row r="18">
      <c r="B18" s="39" t="inlineStr">
        <is>
          <t>ИТОГО ТОиР → «Данные по годам»</t>
        </is>
      </c>
      <c r="C18" s="24" t="inlineStr">
        <is>
          <t>тыс.вал/г</t>
        </is>
      </c>
      <c r="E18" s="42">
        <f>(E12+E13+E16)*$E$17</f>
        <v>1493.570921661</v>
      </c>
      <c r="F18" s="42">
        <f>(F12+F13+F16)*$E$17</f>
        <v>1913.1495668610003</v>
      </c>
      <c r="G18" s="42">
        <f>(G12+G13+G16)*$E$17</f>
        <v>7547.621037996001</v>
      </c>
      <c r="H18" s="42">
        <f>(H12+H13+H16)*$E$17</f>
        <v>3390.021243726</v>
      </c>
      <c r="I18" s="42">
        <f>(I12+I13+I16)*$E$17</f>
        <v>1826.6458949310002</v>
      </c>
      <c r="J18" s="42">
        <f>(J12+J13+J16)*$E$17</f>
        <v>7651.1013709260005</v>
      </c>
      <c r="K18" s="42">
        <f>(K12+K13+K16)*$E$17</f>
        <v>1583.438131431</v>
      </c>
      <c r="L18" s="42">
        <f>(L12+L13+L16)*$E$17</f>
        <v>3616.2523462260006</v>
      </c>
      <c r="M18" s="42">
        <f>(M12+M13+M16)*$E$17</f>
        <v>7564.597698996001</v>
      </c>
      <c r="N18" s="42">
        <f>(N12+N13+N16)*$E$17</f>
        <v>1913.1495668610003</v>
      </c>
    </row>
    <row r="20">
      <c r="B20" s="5" t="inlineStr">
        <is>
          <t>РАСЧЁТ ТО (по интервалам обслуживания), ПО ГОДАМ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B21" s="22" t="inlineStr">
        <is>
          <t>Ставка сервиса</t>
        </is>
      </c>
      <c r="C21" s="24" t="inlineStr">
        <is>
          <t>вал/ч·час</t>
        </is>
      </c>
      <c r="E21" s="29" t="n">
        <v>191</v>
      </c>
    </row>
    <row r="22">
      <c r="B22" s="22" t="inlineStr">
        <is>
          <t>Наработка по годам</t>
        </is>
      </c>
      <c r="C22" s="24" t="inlineStr">
        <is>
          <t>м/час</t>
        </is>
      </c>
      <c r="E22" s="32" t="n">
        <v>7000</v>
      </c>
      <c r="F22" s="32" t="n">
        <v>7000</v>
      </c>
      <c r="G22" s="32" t="n">
        <v>7000</v>
      </c>
      <c r="H22" s="32" t="n">
        <v>7000</v>
      </c>
      <c r="I22" s="32" t="n">
        <v>7000</v>
      </c>
      <c r="J22" s="32" t="n">
        <v>7000</v>
      </c>
      <c r="K22" s="32" t="n">
        <v>7000</v>
      </c>
      <c r="L22" s="32" t="n">
        <v>7000</v>
      </c>
      <c r="M22" s="32" t="n">
        <v>7000</v>
      </c>
      <c r="N22" s="32" t="n">
        <v>7000</v>
      </c>
    </row>
    <row r="23">
      <c r="B23" s="15" t="inlineStr">
        <is>
          <t>Вид ТО</t>
        </is>
      </c>
      <c r="C23" s="15" t="inlineStr">
        <is>
          <t>интервал, м/ч</t>
        </is>
      </c>
      <c r="D23" s="15" t="inlineStr">
        <is>
          <t>простой/ТО, ч</t>
        </is>
      </c>
      <c r="E23" s="15" t="inlineStr">
        <is>
          <t>персонал</t>
        </is>
      </c>
    </row>
    <row r="24">
      <c r="B24" s="22" t="inlineStr">
        <is>
          <t>ТО-1</t>
        </is>
      </c>
      <c r="C24" s="43" t="n">
        <v>250</v>
      </c>
      <c r="D24" s="44" t="n">
        <v>2.4</v>
      </c>
      <c r="E24" s="43" t="n">
        <v>3</v>
      </c>
    </row>
    <row r="25">
      <c r="B25" s="22" t="inlineStr">
        <is>
          <t>ТО-2</t>
        </is>
      </c>
      <c r="C25" s="43" t="n">
        <v>500</v>
      </c>
      <c r="D25" s="44" t="n">
        <v>8.332000000000001</v>
      </c>
      <c r="E25" s="43" t="n">
        <v>4</v>
      </c>
    </row>
    <row r="26">
      <c r="B26" s="22" t="inlineStr">
        <is>
          <t>ТО-3</t>
        </is>
      </c>
      <c r="C26" s="43" t="n">
        <v>1000</v>
      </c>
      <c r="D26" s="44" t="n">
        <v>9.68</v>
      </c>
      <c r="E26" s="43" t="n">
        <v>4</v>
      </c>
    </row>
    <row r="27">
      <c r="B27" s="22" t="inlineStr">
        <is>
          <t>ТО-4</t>
        </is>
      </c>
      <c r="C27" s="43" t="n">
        <v>2000</v>
      </c>
      <c r="D27" s="44" t="n">
        <v>11.28</v>
      </c>
      <c r="E27" s="43" t="n">
        <v>4</v>
      </c>
    </row>
    <row r="28">
      <c r="B28" s="22" t="inlineStr">
        <is>
          <t>ТО-5</t>
        </is>
      </c>
      <c r="C28" s="43" t="n">
        <v>5000</v>
      </c>
      <c r="D28" s="44" t="n">
        <v>18.6</v>
      </c>
      <c r="E28" s="43" t="n">
        <v>4</v>
      </c>
    </row>
    <row r="29">
      <c r="B29" s="22" t="inlineStr">
        <is>
          <t>ТО-6</t>
        </is>
      </c>
      <c r="C29" s="43" t="n">
        <v>10000</v>
      </c>
      <c r="D29" s="44" t="n">
        <v>28.6</v>
      </c>
      <c r="E29" s="43" t="n">
        <v>4</v>
      </c>
    </row>
    <row r="31">
      <c r="B31" s="39" t="inlineStr">
        <is>
          <t>ТО-1: простои, ч/год</t>
        </is>
      </c>
      <c r="C31" s="24" t="inlineStr">
        <is>
          <t>ч</t>
        </is>
      </c>
      <c r="E31" s="42">
        <f>E$22/$C24*$D24</f>
        <v>67.2</v>
      </c>
      <c r="F31" s="42">
        <f>F$22/$C24*$D24</f>
        <v>67.2</v>
      </c>
      <c r="G31" s="42">
        <f>G$22/$C24*$D24</f>
        <v>67.2</v>
      </c>
      <c r="H31" s="42">
        <f>H$22/$C24*$D24</f>
        <v>67.2</v>
      </c>
      <c r="I31" s="42">
        <f>I$22/$C24*$D24</f>
        <v>67.2</v>
      </c>
      <c r="J31" s="42">
        <f>J$22/$C24*$D24</f>
        <v>67.2</v>
      </c>
      <c r="K31" s="42">
        <f>K$22/$C24*$D24</f>
        <v>67.2</v>
      </c>
      <c r="L31" s="42">
        <f>L$22/$C24*$D24</f>
        <v>67.2</v>
      </c>
      <c r="M31" s="42">
        <f>M$22/$C24*$D24</f>
        <v>67.2</v>
      </c>
      <c r="N31" s="42">
        <f>N$22/$C24*$D24</f>
        <v>67.2</v>
      </c>
    </row>
    <row r="32">
      <c r="B32" s="39" t="inlineStr">
        <is>
          <t>ТО-2: простои, ч/год</t>
        </is>
      </c>
      <c r="C32" s="24" t="inlineStr">
        <is>
          <t>ч</t>
        </is>
      </c>
      <c r="E32" s="42">
        <f>E$22/$C25*$D25</f>
        <v>116.64800000000001</v>
      </c>
      <c r="F32" s="42">
        <f>F$22/$C25*$D25</f>
        <v>116.64800000000001</v>
      </c>
      <c r="G32" s="42">
        <f>G$22/$C25*$D25</f>
        <v>116.64800000000001</v>
      </c>
      <c r="H32" s="42">
        <f>H$22/$C25*$D25</f>
        <v>116.64800000000001</v>
      </c>
      <c r="I32" s="42">
        <f>I$22/$C25*$D25</f>
        <v>116.64800000000001</v>
      </c>
      <c r="J32" s="42">
        <f>J$22/$C25*$D25</f>
        <v>116.64800000000001</v>
      </c>
      <c r="K32" s="42">
        <f>K$22/$C25*$D25</f>
        <v>116.64800000000001</v>
      </c>
      <c r="L32" s="42">
        <f>L$22/$C25*$D25</f>
        <v>116.64800000000001</v>
      </c>
      <c r="M32" s="42">
        <f>M$22/$C25*$D25</f>
        <v>116.64800000000001</v>
      </c>
      <c r="N32" s="42">
        <f>N$22/$C25*$D25</f>
        <v>116.64800000000001</v>
      </c>
    </row>
    <row r="33">
      <c r="B33" s="39" t="inlineStr">
        <is>
          <t>ТО-3: простои, ч/год</t>
        </is>
      </c>
      <c r="C33" s="24" t="inlineStr">
        <is>
          <t>ч</t>
        </is>
      </c>
      <c r="E33" s="42">
        <f>E$22/$C26*$D26</f>
        <v>67.75999999999999</v>
      </c>
      <c r="F33" s="42">
        <f>F$22/$C26*$D26</f>
        <v>67.75999999999999</v>
      </c>
      <c r="G33" s="42">
        <f>G$22/$C26*$D26</f>
        <v>67.75999999999999</v>
      </c>
      <c r="H33" s="42">
        <f>H$22/$C26*$D26</f>
        <v>67.75999999999999</v>
      </c>
      <c r="I33" s="42">
        <f>I$22/$C26*$D26</f>
        <v>67.75999999999999</v>
      </c>
      <c r="J33" s="42">
        <f>J$22/$C26*$D26</f>
        <v>67.75999999999999</v>
      </c>
      <c r="K33" s="42">
        <f>K$22/$C26*$D26</f>
        <v>67.75999999999999</v>
      </c>
      <c r="L33" s="42">
        <f>L$22/$C26*$D26</f>
        <v>67.75999999999999</v>
      </c>
      <c r="M33" s="42">
        <f>M$22/$C26*$D26</f>
        <v>67.75999999999999</v>
      </c>
      <c r="N33" s="42">
        <f>N$22/$C26*$D26</f>
        <v>67.75999999999999</v>
      </c>
    </row>
    <row r="34">
      <c r="B34" s="39" t="inlineStr">
        <is>
          <t>ТО-4: простои, ч/год</t>
        </is>
      </c>
      <c r="C34" s="24" t="inlineStr">
        <is>
          <t>ч</t>
        </is>
      </c>
      <c r="E34" s="42">
        <f>E$22/$C27*$D27</f>
        <v>39.48</v>
      </c>
      <c r="F34" s="42">
        <f>F$22/$C27*$D27</f>
        <v>39.48</v>
      </c>
      <c r="G34" s="42">
        <f>G$22/$C27*$D27</f>
        <v>39.48</v>
      </c>
      <c r="H34" s="42">
        <f>H$22/$C27*$D27</f>
        <v>39.48</v>
      </c>
      <c r="I34" s="42">
        <f>I$22/$C27*$D27</f>
        <v>39.48</v>
      </c>
      <c r="J34" s="42">
        <f>J$22/$C27*$D27</f>
        <v>39.48</v>
      </c>
      <c r="K34" s="42">
        <f>K$22/$C27*$D27</f>
        <v>39.48</v>
      </c>
      <c r="L34" s="42">
        <f>L$22/$C27*$D27</f>
        <v>39.48</v>
      </c>
      <c r="M34" s="42">
        <f>M$22/$C27*$D27</f>
        <v>39.48</v>
      </c>
      <c r="N34" s="42">
        <f>N$22/$C27*$D27</f>
        <v>39.48</v>
      </c>
    </row>
    <row r="35">
      <c r="B35" s="39" t="inlineStr">
        <is>
          <t>ТО-5: простои, ч/год</t>
        </is>
      </c>
      <c r="C35" s="24" t="inlineStr">
        <is>
          <t>ч</t>
        </is>
      </c>
      <c r="E35" s="42">
        <f>E$22/$C28*$D28</f>
        <v>26.04</v>
      </c>
      <c r="F35" s="42">
        <f>F$22/$C28*$D28</f>
        <v>26.04</v>
      </c>
      <c r="G35" s="42">
        <f>G$22/$C28*$D28</f>
        <v>26.04</v>
      </c>
      <c r="H35" s="42">
        <f>H$22/$C28*$D28</f>
        <v>26.04</v>
      </c>
      <c r="I35" s="42">
        <f>I$22/$C28*$D28</f>
        <v>26.04</v>
      </c>
      <c r="J35" s="42">
        <f>J$22/$C28*$D28</f>
        <v>26.04</v>
      </c>
      <c r="K35" s="42">
        <f>K$22/$C28*$D28</f>
        <v>26.04</v>
      </c>
      <c r="L35" s="42">
        <f>L$22/$C28*$D28</f>
        <v>26.04</v>
      </c>
      <c r="M35" s="42">
        <f>M$22/$C28*$D28</f>
        <v>26.04</v>
      </c>
      <c r="N35" s="42">
        <f>N$22/$C28*$D28</f>
        <v>26.04</v>
      </c>
    </row>
    <row r="36">
      <c r="B36" s="39" t="inlineStr">
        <is>
          <t>ТО-6: простои, ч/год</t>
        </is>
      </c>
      <c r="C36" s="24" t="inlineStr">
        <is>
          <t>ч</t>
        </is>
      </c>
      <c r="E36" s="42">
        <f>E$22/$C29*$D29</f>
        <v>20.02</v>
      </c>
      <c r="F36" s="42">
        <f>F$22/$C29*$D29</f>
        <v>20.02</v>
      </c>
      <c r="G36" s="42">
        <f>G$22/$C29*$D29</f>
        <v>20.02</v>
      </c>
      <c r="H36" s="42">
        <f>H$22/$C29*$D29</f>
        <v>20.02</v>
      </c>
      <c r="I36" s="42">
        <f>I$22/$C29*$D29</f>
        <v>20.02</v>
      </c>
      <c r="J36" s="42">
        <f>J$22/$C29*$D29</f>
        <v>20.02</v>
      </c>
      <c r="K36" s="42">
        <f>K$22/$C29*$D29</f>
        <v>20.02</v>
      </c>
      <c r="L36" s="42">
        <f>L$22/$C29*$D29</f>
        <v>20.02</v>
      </c>
      <c r="M36" s="42">
        <f>M$22/$C29*$D29</f>
        <v>20.02</v>
      </c>
      <c r="N36" s="42">
        <f>N$22/$C29*$D29</f>
        <v>20.02</v>
      </c>
    </row>
    <row r="37">
      <c r="B37" s="39" t="inlineStr">
        <is>
          <t>Итого простои ТО</t>
        </is>
      </c>
      <c r="E37" s="42">
        <f>SUM(E31:E36)</f>
        <v>337.148</v>
      </c>
      <c r="F37" s="42">
        <f>SUM(F31:F36)</f>
        <v>337.148</v>
      </c>
      <c r="G37" s="42">
        <f>SUM(G31:G36)</f>
        <v>337.148</v>
      </c>
      <c r="H37" s="42">
        <f>SUM(H31:H36)</f>
        <v>337.148</v>
      </c>
      <c r="I37" s="42">
        <f>SUM(I31:I36)</f>
        <v>337.148</v>
      </c>
      <c r="J37" s="42">
        <f>SUM(J31:J36)</f>
        <v>337.148</v>
      </c>
      <c r="K37" s="42">
        <f>SUM(K31:K36)</f>
        <v>337.148</v>
      </c>
      <c r="L37" s="42">
        <f>SUM(L31:L36)</f>
        <v>337.148</v>
      </c>
      <c r="M37" s="42">
        <f>SUM(M31:M36)</f>
        <v>337.148</v>
      </c>
      <c r="N37" s="42">
        <f>SUM(N31:N36)</f>
        <v>337.148</v>
      </c>
    </row>
    <row r="38">
      <c r="B38" s="39" t="inlineStr">
        <is>
          <t>ТО-1: чел-часы/год</t>
        </is>
      </c>
      <c r="C38" s="24" t="inlineStr">
        <is>
          <t>ч-час</t>
        </is>
      </c>
      <c r="E38" s="42">
        <f>E31*$E24</f>
        <v>201.60000000000002</v>
      </c>
      <c r="F38" s="42">
        <f>F31*$E24</f>
        <v>201.60000000000002</v>
      </c>
      <c r="G38" s="42">
        <f>G31*$E24</f>
        <v>201.60000000000002</v>
      </c>
      <c r="H38" s="42">
        <f>H31*$E24</f>
        <v>201.60000000000002</v>
      </c>
      <c r="I38" s="42">
        <f>I31*$E24</f>
        <v>201.60000000000002</v>
      </c>
      <c r="J38" s="42">
        <f>J31*$E24</f>
        <v>201.60000000000002</v>
      </c>
      <c r="K38" s="42">
        <f>K31*$E24</f>
        <v>201.60000000000002</v>
      </c>
      <c r="L38" s="42">
        <f>L31*$E24</f>
        <v>201.60000000000002</v>
      </c>
      <c r="M38" s="42">
        <f>M31*$E24</f>
        <v>201.60000000000002</v>
      </c>
      <c r="N38" s="42">
        <f>N31*$E24</f>
        <v>201.60000000000002</v>
      </c>
    </row>
    <row r="39">
      <c r="B39" s="39" t="inlineStr">
        <is>
          <t>ТО-2: чел-часы/год</t>
        </is>
      </c>
      <c r="C39" s="24" t="inlineStr">
        <is>
          <t>ч-час</t>
        </is>
      </c>
      <c r="E39" s="42">
        <f>E32*$E25</f>
        <v>466.59200000000004</v>
      </c>
      <c r="F39" s="42">
        <f>F32*$E25</f>
        <v>466.59200000000004</v>
      </c>
      <c r="G39" s="42">
        <f>G32*$E25</f>
        <v>466.59200000000004</v>
      </c>
      <c r="H39" s="42">
        <f>H32*$E25</f>
        <v>466.59200000000004</v>
      </c>
      <c r="I39" s="42">
        <f>I32*$E25</f>
        <v>466.59200000000004</v>
      </c>
      <c r="J39" s="42">
        <f>J32*$E25</f>
        <v>466.59200000000004</v>
      </c>
      <c r="K39" s="42">
        <f>K32*$E25</f>
        <v>466.59200000000004</v>
      </c>
      <c r="L39" s="42">
        <f>L32*$E25</f>
        <v>466.59200000000004</v>
      </c>
      <c r="M39" s="42">
        <f>M32*$E25</f>
        <v>466.59200000000004</v>
      </c>
      <c r="N39" s="42">
        <f>N32*$E25</f>
        <v>466.59200000000004</v>
      </c>
    </row>
    <row r="40">
      <c r="B40" s="39" t="inlineStr">
        <is>
          <t>ТО-3: чел-часы/год</t>
        </is>
      </c>
      <c r="C40" s="24" t="inlineStr">
        <is>
          <t>ч-час</t>
        </is>
      </c>
      <c r="E40" s="42">
        <f>E33*$E26</f>
        <v>271.03999999999996</v>
      </c>
      <c r="F40" s="42">
        <f>F33*$E26</f>
        <v>271.03999999999996</v>
      </c>
      <c r="G40" s="42">
        <f>G33*$E26</f>
        <v>271.03999999999996</v>
      </c>
      <c r="H40" s="42">
        <f>H33*$E26</f>
        <v>271.03999999999996</v>
      </c>
      <c r="I40" s="42">
        <f>I33*$E26</f>
        <v>271.03999999999996</v>
      </c>
      <c r="J40" s="42">
        <f>J33*$E26</f>
        <v>271.03999999999996</v>
      </c>
      <c r="K40" s="42">
        <f>K33*$E26</f>
        <v>271.03999999999996</v>
      </c>
      <c r="L40" s="42">
        <f>L33*$E26</f>
        <v>271.03999999999996</v>
      </c>
      <c r="M40" s="42">
        <f>M33*$E26</f>
        <v>271.03999999999996</v>
      </c>
      <c r="N40" s="42">
        <f>N33*$E26</f>
        <v>271.03999999999996</v>
      </c>
    </row>
    <row r="41">
      <c r="B41" s="39" t="inlineStr">
        <is>
          <t>ТО-4: чел-часы/год</t>
        </is>
      </c>
      <c r="C41" s="24" t="inlineStr">
        <is>
          <t>ч-час</t>
        </is>
      </c>
      <c r="E41" s="42">
        <f>E34*$E27</f>
        <v>157.92</v>
      </c>
      <c r="F41" s="42">
        <f>F34*$E27</f>
        <v>157.92</v>
      </c>
      <c r="G41" s="42">
        <f>G34*$E27</f>
        <v>157.92</v>
      </c>
      <c r="H41" s="42">
        <f>H34*$E27</f>
        <v>157.92</v>
      </c>
      <c r="I41" s="42">
        <f>I34*$E27</f>
        <v>157.92</v>
      </c>
      <c r="J41" s="42">
        <f>J34*$E27</f>
        <v>157.92</v>
      </c>
      <c r="K41" s="42">
        <f>K34*$E27</f>
        <v>157.92</v>
      </c>
      <c r="L41" s="42">
        <f>L34*$E27</f>
        <v>157.92</v>
      </c>
      <c r="M41" s="42">
        <f>M34*$E27</f>
        <v>157.92</v>
      </c>
      <c r="N41" s="42">
        <f>N34*$E27</f>
        <v>157.92</v>
      </c>
    </row>
    <row r="42">
      <c r="B42" s="39" t="inlineStr">
        <is>
          <t>ТО-5: чел-часы/год</t>
        </is>
      </c>
      <c r="C42" s="24" t="inlineStr">
        <is>
          <t>ч-час</t>
        </is>
      </c>
      <c r="E42" s="42">
        <f>E35*$E28</f>
        <v>104.16</v>
      </c>
      <c r="F42" s="42">
        <f>F35*$E28</f>
        <v>104.16</v>
      </c>
      <c r="G42" s="42">
        <f>G35*$E28</f>
        <v>104.16</v>
      </c>
      <c r="H42" s="42">
        <f>H35*$E28</f>
        <v>104.16</v>
      </c>
      <c r="I42" s="42">
        <f>I35*$E28</f>
        <v>104.16</v>
      </c>
      <c r="J42" s="42">
        <f>J35*$E28</f>
        <v>104.16</v>
      </c>
      <c r="K42" s="42">
        <f>K35*$E28</f>
        <v>104.16</v>
      </c>
      <c r="L42" s="42">
        <f>L35*$E28</f>
        <v>104.16</v>
      </c>
      <c r="M42" s="42">
        <f>M35*$E28</f>
        <v>104.16</v>
      </c>
      <c r="N42" s="42">
        <f>N35*$E28</f>
        <v>104.16</v>
      </c>
    </row>
    <row r="43">
      <c r="B43" s="39" t="inlineStr">
        <is>
          <t>ТО-6: чел-часы/год</t>
        </is>
      </c>
      <c r="C43" s="24" t="inlineStr">
        <is>
          <t>ч-час</t>
        </is>
      </c>
      <c r="E43" s="42">
        <f>E36*$E29</f>
        <v>80.08</v>
      </c>
      <c r="F43" s="42">
        <f>F36*$E29</f>
        <v>80.08</v>
      </c>
      <c r="G43" s="42">
        <f>G36*$E29</f>
        <v>80.08</v>
      </c>
      <c r="H43" s="42">
        <f>H36*$E29</f>
        <v>80.08</v>
      </c>
      <c r="I43" s="42">
        <f>I36*$E29</f>
        <v>80.08</v>
      </c>
      <c r="J43" s="42">
        <f>J36*$E29</f>
        <v>80.08</v>
      </c>
      <c r="K43" s="42">
        <f>K36*$E29</f>
        <v>80.08</v>
      </c>
      <c r="L43" s="42">
        <f>L36*$E29</f>
        <v>80.08</v>
      </c>
      <c r="M43" s="42">
        <f>M36*$E29</f>
        <v>80.08</v>
      </c>
      <c r="N43" s="42">
        <f>N36*$E29</f>
        <v>80.08</v>
      </c>
    </row>
    <row r="44">
      <c r="B44" s="39" t="inlineStr">
        <is>
          <t>Итого чел-часы ТО</t>
        </is>
      </c>
      <c r="E44" s="42">
        <f>SUM(E38:E43)</f>
        <v>1281.392</v>
      </c>
      <c r="F44" s="42">
        <f>SUM(F38:F43)</f>
        <v>1281.392</v>
      </c>
      <c r="G44" s="42">
        <f>SUM(G38:G43)</f>
        <v>1281.392</v>
      </c>
      <c r="H44" s="42">
        <f>SUM(H38:H43)</f>
        <v>1281.392</v>
      </c>
      <c r="I44" s="42">
        <f>SUM(I38:I43)</f>
        <v>1281.392</v>
      </c>
      <c r="J44" s="42">
        <f>SUM(J38:J43)</f>
        <v>1281.392</v>
      </c>
      <c r="K44" s="42">
        <f>SUM(K38:K43)</f>
        <v>1281.392</v>
      </c>
      <c r="L44" s="42">
        <f>SUM(L38:L43)</f>
        <v>1281.392</v>
      </c>
      <c r="M44" s="42">
        <f>SUM(M38:M43)</f>
        <v>1281.392</v>
      </c>
      <c r="N44" s="42">
        <f>SUM(N38:N43)</f>
        <v>1281.392</v>
      </c>
    </row>
    <row r="46">
      <c r="B46" s="5" t="inlineStr">
        <is>
          <t>КАТАЛОГ ЗАПЧАСТЕЙ ТО (заполняет подрядчик), ПО ГОДАМ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15" t="inlineStr">
        <is>
          <t>Наименование</t>
        </is>
      </c>
      <c r="C47" s="15" t="inlineStr">
        <is>
          <t>цена за ед</t>
        </is>
      </c>
      <c r="D47" s="15" t="inlineStr">
        <is>
          <t>кол-во/ТО</t>
        </is>
      </c>
      <c r="P47" s="15" t="inlineStr">
        <is>
          <t>№ ТО</t>
        </is>
      </c>
    </row>
    <row r="48">
      <c r="B48" s="22" t="inlineStr">
        <is>
          <t>Фильтр 4323856</t>
        </is>
      </c>
      <c r="C48" s="44" t="n">
        <v>446.41</v>
      </c>
      <c r="D48" s="44" t="n">
        <v>1</v>
      </c>
      <c r="E48" s="42">
        <f>E$22/INDEX($C$24:$C$29,$P48)*D48*C48/1000</f>
        <v>12.499480000000002</v>
      </c>
      <c r="F48" s="42">
        <f>F$22/INDEX($C$24:$C$29,$P48)*D48*C48/1000</f>
        <v>12.499480000000002</v>
      </c>
      <c r="G48" s="42">
        <f>G$22/INDEX($C$24:$C$29,$P48)*D48*C48/1000</f>
        <v>12.499480000000002</v>
      </c>
      <c r="H48" s="42">
        <f>H$22/INDEX($C$24:$C$29,$P48)*D48*C48/1000</f>
        <v>12.499480000000002</v>
      </c>
      <c r="I48" s="42">
        <f>I$22/INDEX($C$24:$C$29,$P48)*D48*C48/1000</f>
        <v>12.499480000000002</v>
      </c>
      <c r="J48" s="42">
        <f>J$22/INDEX($C$24:$C$29,$P48)*D48*C48/1000</f>
        <v>12.499480000000002</v>
      </c>
      <c r="K48" s="42">
        <f>K$22/INDEX($C$24:$C$29,$P48)*D48*C48/1000</f>
        <v>12.499480000000002</v>
      </c>
      <c r="L48" s="42">
        <f>L$22/INDEX($C$24:$C$29,$P48)*D48*C48/1000</f>
        <v>12.499480000000002</v>
      </c>
      <c r="M48" s="42">
        <f>M$22/INDEX($C$24:$C$29,$P48)*D48*C48/1000</f>
        <v>12.499480000000002</v>
      </c>
      <c r="N48" s="42">
        <f>N$22/INDEX($C$24:$C$29,$P48)*D48*C48/1000</f>
        <v>12.499480000000002</v>
      </c>
      <c r="P48" s="43" t="n">
        <v>1</v>
      </c>
    </row>
    <row r="49">
      <c r="B49" s="22" t="inlineStr">
        <is>
          <t>Фильтр 5375337</t>
        </is>
      </c>
      <c r="C49" s="44" t="n">
        <v>1131.08</v>
      </c>
      <c r="D49" s="44" t="n">
        <v>4</v>
      </c>
      <c r="E49" s="42">
        <f>E$22/INDEX($C$24:$C$29,$P49)*D49*C49/1000</f>
        <v>126.68096</v>
      </c>
      <c r="F49" s="42">
        <f>F$22/INDEX($C$24:$C$29,$P49)*D49*C49/1000</f>
        <v>126.68096</v>
      </c>
      <c r="G49" s="42">
        <f>G$22/INDEX($C$24:$C$29,$P49)*D49*C49/1000</f>
        <v>126.68096</v>
      </c>
      <c r="H49" s="42">
        <f>H$22/INDEX($C$24:$C$29,$P49)*D49*C49/1000</f>
        <v>126.68096</v>
      </c>
      <c r="I49" s="42">
        <f>I$22/INDEX($C$24:$C$29,$P49)*D49*C49/1000</f>
        <v>126.68096</v>
      </c>
      <c r="J49" s="42">
        <f>J$22/INDEX($C$24:$C$29,$P49)*D49*C49/1000</f>
        <v>126.68096</v>
      </c>
      <c r="K49" s="42">
        <f>K$22/INDEX($C$24:$C$29,$P49)*D49*C49/1000</f>
        <v>126.68096</v>
      </c>
      <c r="L49" s="42">
        <f>L$22/INDEX($C$24:$C$29,$P49)*D49*C49/1000</f>
        <v>126.68096</v>
      </c>
      <c r="M49" s="42">
        <f>M$22/INDEX($C$24:$C$29,$P49)*D49*C49/1000</f>
        <v>126.68096</v>
      </c>
      <c r="N49" s="42">
        <f>N$22/INDEX($C$24:$C$29,$P49)*D49*C49/1000</f>
        <v>126.68096</v>
      </c>
      <c r="P49" s="43" t="n">
        <v>1</v>
      </c>
    </row>
    <row r="50">
      <c r="B50" s="22" t="inlineStr">
        <is>
          <t>Фильтр 2881458</t>
        </is>
      </c>
      <c r="C50" s="44" t="n">
        <v>1711.91</v>
      </c>
      <c r="D50" s="44" t="n">
        <v>3</v>
      </c>
      <c r="E50" s="42">
        <f>E$22/INDEX($C$24:$C$29,$P50)*D50*C50/1000</f>
        <v>143.80044</v>
      </c>
      <c r="F50" s="42">
        <f>F$22/INDEX($C$24:$C$29,$P50)*D50*C50/1000</f>
        <v>143.80044</v>
      </c>
      <c r="G50" s="42">
        <f>G$22/INDEX($C$24:$C$29,$P50)*D50*C50/1000</f>
        <v>143.80044</v>
      </c>
      <c r="H50" s="42">
        <f>H$22/INDEX($C$24:$C$29,$P50)*D50*C50/1000</f>
        <v>143.80044</v>
      </c>
      <c r="I50" s="42">
        <f>I$22/INDEX($C$24:$C$29,$P50)*D50*C50/1000</f>
        <v>143.80044</v>
      </c>
      <c r="J50" s="42">
        <f>J$22/INDEX($C$24:$C$29,$P50)*D50*C50/1000</f>
        <v>143.80044</v>
      </c>
      <c r="K50" s="42">
        <f>K$22/INDEX($C$24:$C$29,$P50)*D50*C50/1000</f>
        <v>143.80044</v>
      </c>
      <c r="L50" s="42">
        <f>L$22/INDEX($C$24:$C$29,$P50)*D50*C50/1000</f>
        <v>143.80044</v>
      </c>
      <c r="M50" s="42">
        <f>M$22/INDEX($C$24:$C$29,$P50)*D50*C50/1000</f>
        <v>143.80044</v>
      </c>
      <c r="N50" s="42">
        <f>N$22/INDEX($C$24:$C$29,$P50)*D50*C50/1000</f>
        <v>143.80044</v>
      </c>
      <c r="P50" s="43" t="n">
        <v>1</v>
      </c>
    </row>
    <row r="51">
      <c r="B51" s="22" t="inlineStr">
        <is>
          <t>Масло 15W-40</t>
        </is>
      </c>
      <c r="C51" s="44" t="n">
        <v>3</v>
      </c>
      <c r="D51" s="44" t="n">
        <v>280</v>
      </c>
      <c r="E51" s="42">
        <f>E$22/INDEX($C$24:$C$29,$P51)*D51*C51/1000</f>
        <v>23.52</v>
      </c>
      <c r="F51" s="42">
        <f>F$22/INDEX($C$24:$C$29,$P51)*D51*C51/1000</f>
        <v>23.52</v>
      </c>
      <c r="G51" s="42">
        <f>G$22/INDEX($C$24:$C$29,$P51)*D51*C51/1000</f>
        <v>23.52</v>
      </c>
      <c r="H51" s="42">
        <f>H$22/INDEX($C$24:$C$29,$P51)*D51*C51/1000</f>
        <v>23.52</v>
      </c>
      <c r="I51" s="42">
        <f>I$22/INDEX($C$24:$C$29,$P51)*D51*C51/1000</f>
        <v>23.52</v>
      </c>
      <c r="J51" s="42">
        <f>J$22/INDEX($C$24:$C$29,$P51)*D51*C51/1000</f>
        <v>23.52</v>
      </c>
      <c r="K51" s="42">
        <f>K$22/INDEX($C$24:$C$29,$P51)*D51*C51/1000</f>
        <v>23.52</v>
      </c>
      <c r="L51" s="42">
        <f>L$22/INDEX($C$24:$C$29,$P51)*D51*C51/1000</f>
        <v>23.52</v>
      </c>
      <c r="M51" s="42">
        <f>M$22/INDEX($C$24:$C$29,$P51)*D51*C51/1000</f>
        <v>23.52</v>
      </c>
      <c r="N51" s="42">
        <f>N$22/INDEX($C$24:$C$29,$P51)*D51*C51/1000</f>
        <v>23.52</v>
      </c>
      <c r="P51" s="43" t="n">
        <v>1</v>
      </c>
    </row>
    <row r="52">
      <c r="B52" s="22" t="inlineStr">
        <is>
          <t>Смазка 1-100 HD</t>
        </is>
      </c>
      <c r="C52" s="44" t="n">
        <v>3</v>
      </c>
      <c r="D52" s="44" t="n">
        <v>50</v>
      </c>
      <c r="E52" s="42">
        <f>E$22/INDEX($C$24:$C$29,$P52)*D52*C52/1000</f>
        <v>4.2</v>
      </c>
      <c r="F52" s="42">
        <f>F$22/INDEX($C$24:$C$29,$P52)*D52*C52/1000</f>
        <v>4.2</v>
      </c>
      <c r="G52" s="42">
        <f>G$22/INDEX($C$24:$C$29,$P52)*D52*C52/1000</f>
        <v>4.2</v>
      </c>
      <c r="H52" s="42">
        <f>H$22/INDEX($C$24:$C$29,$P52)*D52*C52/1000</f>
        <v>4.2</v>
      </c>
      <c r="I52" s="42">
        <f>I$22/INDEX($C$24:$C$29,$P52)*D52*C52/1000</f>
        <v>4.2</v>
      </c>
      <c r="J52" s="42">
        <f>J$22/INDEX($C$24:$C$29,$P52)*D52*C52/1000</f>
        <v>4.2</v>
      </c>
      <c r="K52" s="42">
        <f>K$22/INDEX($C$24:$C$29,$P52)*D52*C52/1000</f>
        <v>4.2</v>
      </c>
      <c r="L52" s="42">
        <f>L$22/INDEX($C$24:$C$29,$P52)*D52*C52/1000</f>
        <v>4.2</v>
      </c>
      <c r="M52" s="42">
        <f>M$22/INDEX($C$24:$C$29,$P52)*D52*C52/1000</f>
        <v>4.2</v>
      </c>
      <c r="N52" s="42">
        <f>N$22/INDEX($C$24:$C$29,$P52)*D52*C52/1000</f>
        <v>4.2</v>
      </c>
      <c r="P52" s="43" t="n">
        <v>1</v>
      </c>
    </row>
    <row r="53">
      <c r="B53" s="22" t="inlineStr">
        <is>
          <t>Антифриз HD Long Life</t>
        </is>
      </c>
      <c r="C53" s="44" t="n">
        <v>7</v>
      </c>
      <c r="D53" s="44" t="n">
        <v>40</v>
      </c>
      <c r="E53" s="42">
        <f>E$22/INDEX($C$24:$C$29,$P53)*D53*C53/1000</f>
        <v>7.84</v>
      </c>
      <c r="F53" s="42">
        <f>F$22/INDEX($C$24:$C$29,$P53)*D53*C53/1000</f>
        <v>7.84</v>
      </c>
      <c r="G53" s="42">
        <f>G$22/INDEX($C$24:$C$29,$P53)*D53*C53/1000</f>
        <v>7.84</v>
      </c>
      <c r="H53" s="42">
        <f>H$22/INDEX($C$24:$C$29,$P53)*D53*C53/1000</f>
        <v>7.84</v>
      </c>
      <c r="I53" s="42">
        <f>I$22/INDEX($C$24:$C$29,$P53)*D53*C53/1000</f>
        <v>7.84</v>
      </c>
      <c r="J53" s="42">
        <f>J$22/INDEX($C$24:$C$29,$P53)*D53*C53/1000</f>
        <v>7.84</v>
      </c>
      <c r="K53" s="42">
        <f>K$22/INDEX($C$24:$C$29,$P53)*D53*C53/1000</f>
        <v>7.84</v>
      </c>
      <c r="L53" s="42">
        <f>L$22/INDEX($C$24:$C$29,$P53)*D53*C53/1000</f>
        <v>7.84</v>
      </c>
      <c r="M53" s="42">
        <f>M$22/INDEX($C$24:$C$29,$P53)*D53*C53/1000</f>
        <v>7.84</v>
      </c>
      <c r="N53" s="42">
        <f>N$22/INDEX($C$24:$C$29,$P53)*D53*C53/1000</f>
        <v>7.84</v>
      </c>
      <c r="P53" s="43" t="n">
        <v>1</v>
      </c>
    </row>
    <row r="54">
      <c r="B54" s="22" t="inlineStr">
        <is>
          <t>Фильтр 916254/20059910</t>
        </is>
      </c>
      <c r="C54" s="44" t="n">
        <v>1146.86</v>
      </c>
      <c r="D54" s="44" t="n">
        <v>3</v>
      </c>
      <c r="E54" s="42">
        <f>E$22/INDEX($C$24:$C$29,$P54)*D54*C54/1000</f>
        <v>48.168119999999995</v>
      </c>
      <c r="F54" s="42">
        <f>F$22/INDEX($C$24:$C$29,$P54)*D54*C54/1000</f>
        <v>48.168119999999995</v>
      </c>
      <c r="G54" s="42">
        <f>G$22/INDEX($C$24:$C$29,$P54)*D54*C54/1000</f>
        <v>48.168119999999995</v>
      </c>
      <c r="H54" s="42">
        <f>H$22/INDEX($C$24:$C$29,$P54)*D54*C54/1000</f>
        <v>48.168119999999995</v>
      </c>
      <c r="I54" s="42">
        <f>I$22/INDEX($C$24:$C$29,$P54)*D54*C54/1000</f>
        <v>48.168119999999995</v>
      </c>
      <c r="J54" s="42">
        <f>J$22/INDEX($C$24:$C$29,$P54)*D54*C54/1000</f>
        <v>48.168119999999995</v>
      </c>
      <c r="K54" s="42">
        <f>K$22/INDEX($C$24:$C$29,$P54)*D54*C54/1000</f>
        <v>48.168119999999995</v>
      </c>
      <c r="L54" s="42">
        <f>L$22/INDEX($C$24:$C$29,$P54)*D54*C54/1000</f>
        <v>48.168119999999995</v>
      </c>
      <c r="M54" s="42">
        <f>M$22/INDEX($C$24:$C$29,$P54)*D54*C54/1000</f>
        <v>48.168119999999995</v>
      </c>
      <c r="N54" s="42">
        <f>N$22/INDEX($C$24:$C$29,$P54)*D54*C54/1000</f>
        <v>48.168119999999995</v>
      </c>
      <c r="P54" s="43" t="n">
        <v>2</v>
      </c>
    </row>
    <row r="55">
      <c r="B55" s="22" t="inlineStr">
        <is>
          <t>Фильтр 20070596</t>
        </is>
      </c>
      <c r="C55" s="44" t="n">
        <v>5185.61</v>
      </c>
      <c r="D55" s="44" t="n">
        <v>1</v>
      </c>
      <c r="E55" s="42">
        <f>E$22/INDEX($C$24:$C$29,$P55)*D55*C55/1000</f>
        <v>72.59854</v>
      </c>
      <c r="F55" s="42">
        <f>F$22/INDEX($C$24:$C$29,$P55)*D55*C55/1000</f>
        <v>72.59854</v>
      </c>
      <c r="G55" s="42">
        <f>G$22/INDEX($C$24:$C$29,$P55)*D55*C55/1000</f>
        <v>72.59854</v>
      </c>
      <c r="H55" s="42">
        <f>H$22/INDEX($C$24:$C$29,$P55)*D55*C55/1000</f>
        <v>72.59854</v>
      </c>
      <c r="I55" s="42">
        <f>I$22/INDEX($C$24:$C$29,$P55)*D55*C55/1000</f>
        <v>72.59854</v>
      </c>
      <c r="J55" s="42">
        <f>J$22/INDEX($C$24:$C$29,$P55)*D55*C55/1000</f>
        <v>72.59854</v>
      </c>
      <c r="K55" s="42">
        <f>K$22/INDEX($C$24:$C$29,$P55)*D55*C55/1000</f>
        <v>72.59854</v>
      </c>
      <c r="L55" s="42">
        <f>L$22/INDEX($C$24:$C$29,$P55)*D55*C55/1000</f>
        <v>72.59854</v>
      </c>
      <c r="M55" s="42">
        <f>M$22/INDEX($C$24:$C$29,$P55)*D55*C55/1000</f>
        <v>72.59854</v>
      </c>
      <c r="N55" s="42">
        <f>N$22/INDEX($C$24:$C$29,$P55)*D55*C55/1000</f>
        <v>72.59854</v>
      </c>
      <c r="P55" s="43" t="n">
        <v>2</v>
      </c>
    </row>
    <row r="56">
      <c r="B56" s="22" t="inlineStr">
        <is>
          <t>Фильтр 4328043</t>
        </is>
      </c>
      <c r="C56" s="44" t="n">
        <v>2381.38</v>
      </c>
      <c r="D56" s="44" t="n">
        <v>1</v>
      </c>
      <c r="E56" s="42">
        <f>E$22/INDEX($C$24:$C$29,$P56)*D56*C56/1000</f>
        <v>33.33932</v>
      </c>
      <c r="F56" s="42">
        <f>F$22/INDEX($C$24:$C$29,$P56)*D56*C56/1000</f>
        <v>33.33932</v>
      </c>
      <c r="G56" s="42">
        <f>G$22/INDEX($C$24:$C$29,$P56)*D56*C56/1000</f>
        <v>33.33932</v>
      </c>
      <c r="H56" s="42">
        <f>H$22/INDEX($C$24:$C$29,$P56)*D56*C56/1000</f>
        <v>33.33932</v>
      </c>
      <c r="I56" s="42">
        <f>I$22/INDEX($C$24:$C$29,$P56)*D56*C56/1000</f>
        <v>33.33932</v>
      </c>
      <c r="J56" s="42">
        <f>J$22/INDEX($C$24:$C$29,$P56)*D56*C56/1000</f>
        <v>33.33932</v>
      </c>
      <c r="K56" s="42">
        <f>K$22/INDEX($C$24:$C$29,$P56)*D56*C56/1000</f>
        <v>33.33932</v>
      </c>
      <c r="L56" s="42">
        <f>L$22/INDEX($C$24:$C$29,$P56)*D56*C56/1000</f>
        <v>33.33932</v>
      </c>
      <c r="M56" s="42">
        <f>M$22/INDEX($C$24:$C$29,$P56)*D56*C56/1000</f>
        <v>33.33932</v>
      </c>
      <c r="N56" s="42">
        <f>N$22/INDEX($C$24:$C$29,$P56)*D56*C56/1000</f>
        <v>33.33932</v>
      </c>
      <c r="P56" s="43" t="n">
        <v>2</v>
      </c>
    </row>
    <row r="57">
      <c r="B57" s="22" t="inlineStr">
        <is>
          <t>Фильтр 3100308</t>
        </is>
      </c>
      <c r="C57" s="44" t="n">
        <v>133.17</v>
      </c>
      <c r="D57" s="44" t="n">
        <v>2</v>
      </c>
      <c r="E57" s="42">
        <f>E$22/INDEX($C$24:$C$29,$P57)*D57*C57/1000</f>
        <v>3.72876</v>
      </c>
      <c r="F57" s="42">
        <f>F$22/INDEX($C$24:$C$29,$P57)*D57*C57/1000</f>
        <v>3.72876</v>
      </c>
      <c r="G57" s="42">
        <f>G$22/INDEX($C$24:$C$29,$P57)*D57*C57/1000</f>
        <v>3.72876</v>
      </c>
      <c r="H57" s="42">
        <f>H$22/INDEX($C$24:$C$29,$P57)*D57*C57/1000</f>
        <v>3.72876</v>
      </c>
      <c r="I57" s="42">
        <f>I$22/INDEX($C$24:$C$29,$P57)*D57*C57/1000</f>
        <v>3.72876</v>
      </c>
      <c r="J57" s="42">
        <f>J$22/INDEX($C$24:$C$29,$P57)*D57*C57/1000</f>
        <v>3.72876</v>
      </c>
      <c r="K57" s="42">
        <f>K$22/INDEX($C$24:$C$29,$P57)*D57*C57/1000</f>
        <v>3.72876</v>
      </c>
      <c r="L57" s="42">
        <f>L$22/INDEX($C$24:$C$29,$P57)*D57*C57/1000</f>
        <v>3.72876</v>
      </c>
      <c r="M57" s="42">
        <f>M$22/INDEX($C$24:$C$29,$P57)*D57*C57/1000</f>
        <v>3.72876</v>
      </c>
      <c r="N57" s="42">
        <f>N$22/INDEX($C$24:$C$29,$P57)*D57*C57/1000</f>
        <v>3.72876</v>
      </c>
      <c r="P57" s="43" t="n">
        <v>2</v>
      </c>
    </row>
    <row r="58">
      <c r="B58" s="22" t="inlineStr">
        <is>
          <t>Фильтр UR24465</t>
        </is>
      </c>
      <c r="C58" s="44" t="n">
        <v>810</v>
      </c>
      <c r="D58" s="44" t="n">
        <v>2</v>
      </c>
      <c r="E58" s="42">
        <f>E$22/INDEX($C$24:$C$29,$P58)*D58*C58/1000</f>
        <v>11.34</v>
      </c>
      <c r="F58" s="42">
        <f>F$22/INDEX($C$24:$C$29,$P58)*D58*C58/1000</f>
        <v>11.34</v>
      </c>
      <c r="G58" s="42">
        <f>G$22/INDEX($C$24:$C$29,$P58)*D58*C58/1000</f>
        <v>11.34</v>
      </c>
      <c r="H58" s="42">
        <f>H$22/INDEX($C$24:$C$29,$P58)*D58*C58/1000</f>
        <v>11.34</v>
      </c>
      <c r="I58" s="42">
        <f>I$22/INDEX($C$24:$C$29,$P58)*D58*C58/1000</f>
        <v>11.34</v>
      </c>
      <c r="J58" s="42">
        <f>J$22/INDEX($C$24:$C$29,$P58)*D58*C58/1000</f>
        <v>11.34</v>
      </c>
      <c r="K58" s="42">
        <f>K$22/INDEX($C$24:$C$29,$P58)*D58*C58/1000</f>
        <v>11.34</v>
      </c>
      <c r="L58" s="42">
        <f>L$22/INDEX($C$24:$C$29,$P58)*D58*C58/1000</f>
        <v>11.34</v>
      </c>
      <c r="M58" s="42">
        <f>M$22/INDEX($C$24:$C$29,$P58)*D58*C58/1000</f>
        <v>11.34</v>
      </c>
      <c r="N58" s="42">
        <f>N$22/INDEX($C$24:$C$29,$P58)*D58*C58/1000</f>
        <v>11.34</v>
      </c>
      <c r="P58" s="43" t="n">
        <v>3</v>
      </c>
    </row>
    <row r="59">
      <c r="B59" s="22" t="inlineStr">
        <is>
          <t>Фильтр 20042559</t>
        </is>
      </c>
      <c r="C59" s="44" t="n">
        <v>814.95</v>
      </c>
      <c r="D59" s="44" t="n">
        <v>4</v>
      </c>
      <c r="E59" s="42">
        <f>E$22/INDEX($C$24:$C$29,$P59)*D59*C59/1000</f>
        <v>22.818600000000004</v>
      </c>
      <c r="F59" s="42">
        <f>F$22/INDEX($C$24:$C$29,$P59)*D59*C59/1000</f>
        <v>22.818600000000004</v>
      </c>
      <c r="G59" s="42">
        <f>G$22/INDEX($C$24:$C$29,$P59)*D59*C59/1000</f>
        <v>22.818600000000004</v>
      </c>
      <c r="H59" s="42">
        <f>H$22/INDEX($C$24:$C$29,$P59)*D59*C59/1000</f>
        <v>22.818600000000004</v>
      </c>
      <c r="I59" s="42">
        <f>I$22/INDEX($C$24:$C$29,$P59)*D59*C59/1000</f>
        <v>22.818600000000004</v>
      </c>
      <c r="J59" s="42">
        <f>J$22/INDEX($C$24:$C$29,$P59)*D59*C59/1000</f>
        <v>22.818600000000004</v>
      </c>
      <c r="K59" s="42">
        <f>K$22/INDEX($C$24:$C$29,$P59)*D59*C59/1000</f>
        <v>22.818600000000004</v>
      </c>
      <c r="L59" s="42">
        <f>L$22/INDEX($C$24:$C$29,$P59)*D59*C59/1000</f>
        <v>22.818600000000004</v>
      </c>
      <c r="M59" s="42">
        <f>M$22/INDEX($C$24:$C$29,$P59)*D59*C59/1000</f>
        <v>22.818600000000004</v>
      </c>
      <c r="N59" s="42">
        <f>N$22/INDEX($C$24:$C$29,$P59)*D59*C59/1000</f>
        <v>22.818600000000004</v>
      </c>
      <c r="P59" s="43" t="n">
        <v>3</v>
      </c>
    </row>
    <row r="60">
      <c r="B60" s="22" t="inlineStr">
        <is>
          <t>Фильтр 20042560</t>
        </is>
      </c>
      <c r="C60" s="44" t="n">
        <v>1895.1</v>
      </c>
      <c r="D60" s="44" t="n">
        <v>4</v>
      </c>
      <c r="E60" s="42">
        <f>E$22/INDEX($C$24:$C$29,$P60)*D60*C60/1000</f>
        <v>53.062799999999996</v>
      </c>
      <c r="F60" s="42">
        <f>F$22/INDEX($C$24:$C$29,$P60)*D60*C60/1000</f>
        <v>53.062799999999996</v>
      </c>
      <c r="G60" s="42">
        <f>G$22/INDEX($C$24:$C$29,$P60)*D60*C60/1000</f>
        <v>53.062799999999996</v>
      </c>
      <c r="H60" s="42">
        <f>H$22/INDEX($C$24:$C$29,$P60)*D60*C60/1000</f>
        <v>53.062799999999996</v>
      </c>
      <c r="I60" s="42">
        <f>I$22/INDEX($C$24:$C$29,$P60)*D60*C60/1000</f>
        <v>53.062799999999996</v>
      </c>
      <c r="J60" s="42">
        <f>J$22/INDEX($C$24:$C$29,$P60)*D60*C60/1000</f>
        <v>53.062799999999996</v>
      </c>
      <c r="K60" s="42">
        <f>K$22/INDEX($C$24:$C$29,$P60)*D60*C60/1000</f>
        <v>53.062799999999996</v>
      </c>
      <c r="L60" s="42">
        <f>L$22/INDEX($C$24:$C$29,$P60)*D60*C60/1000</f>
        <v>53.062799999999996</v>
      </c>
      <c r="M60" s="42">
        <f>M$22/INDEX($C$24:$C$29,$P60)*D60*C60/1000</f>
        <v>53.062799999999996</v>
      </c>
      <c r="N60" s="42">
        <f>N$22/INDEX($C$24:$C$29,$P60)*D60*C60/1000</f>
        <v>53.062799999999996</v>
      </c>
      <c r="P60" s="43" t="n">
        <v>3</v>
      </c>
    </row>
    <row r="61">
      <c r="B61" s="22" t="inlineStr">
        <is>
          <t>Фильтр 20039876</t>
        </is>
      </c>
      <c r="C61" s="44" t="n">
        <v>3242.88</v>
      </c>
      <c r="D61" s="44" t="n">
        <v>1</v>
      </c>
      <c r="E61" s="42">
        <f>E$22/INDEX($C$24:$C$29,$P61)*D61*C61/1000</f>
        <v>22.70016</v>
      </c>
      <c r="F61" s="42">
        <f>F$22/INDEX($C$24:$C$29,$P61)*D61*C61/1000</f>
        <v>22.70016</v>
      </c>
      <c r="G61" s="42">
        <f>G$22/INDEX($C$24:$C$29,$P61)*D61*C61/1000</f>
        <v>22.70016</v>
      </c>
      <c r="H61" s="42">
        <f>H$22/INDEX($C$24:$C$29,$P61)*D61*C61/1000</f>
        <v>22.70016</v>
      </c>
      <c r="I61" s="42">
        <f>I$22/INDEX($C$24:$C$29,$P61)*D61*C61/1000</f>
        <v>22.70016</v>
      </c>
      <c r="J61" s="42">
        <f>J$22/INDEX($C$24:$C$29,$P61)*D61*C61/1000</f>
        <v>22.70016</v>
      </c>
      <c r="K61" s="42">
        <f>K$22/INDEX($C$24:$C$29,$P61)*D61*C61/1000</f>
        <v>22.70016</v>
      </c>
      <c r="L61" s="42">
        <f>L$22/INDEX($C$24:$C$29,$P61)*D61*C61/1000</f>
        <v>22.70016</v>
      </c>
      <c r="M61" s="42">
        <f>M$22/INDEX($C$24:$C$29,$P61)*D61*C61/1000</f>
        <v>22.70016</v>
      </c>
      <c r="N61" s="42">
        <f>N$22/INDEX($C$24:$C$29,$P61)*D61*C61/1000</f>
        <v>22.70016</v>
      </c>
      <c r="P61" s="43" t="n">
        <v>3</v>
      </c>
    </row>
    <row r="62">
      <c r="B62" s="22" t="inlineStr">
        <is>
          <t>Фильтр 20046992</t>
        </is>
      </c>
      <c r="C62" s="44" t="n">
        <v>64.40000000000001</v>
      </c>
      <c r="D62" s="44" t="n">
        <v>1</v>
      </c>
      <c r="E62" s="42">
        <f>E$22/INDEX($C$24:$C$29,$P62)*D62*C62/1000</f>
        <v>0.4508000000000001</v>
      </c>
      <c r="F62" s="42">
        <f>F$22/INDEX($C$24:$C$29,$P62)*D62*C62/1000</f>
        <v>0.4508000000000001</v>
      </c>
      <c r="G62" s="42">
        <f>G$22/INDEX($C$24:$C$29,$P62)*D62*C62/1000</f>
        <v>0.4508000000000001</v>
      </c>
      <c r="H62" s="42">
        <f>H$22/INDEX($C$24:$C$29,$P62)*D62*C62/1000</f>
        <v>0.4508000000000001</v>
      </c>
      <c r="I62" s="42">
        <f>I$22/INDEX($C$24:$C$29,$P62)*D62*C62/1000</f>
        <v>0.4508000000000001</v>
      </c>
      <c r="J62" s="42">
        <f>J$22/INDEX($C$24:$C$29,$P62)*D62*C62/1000</f>
        <v>0.4508000000000001</v>
      </c>
      <c r="K62" s="42">
        <f>K$22/INDEX($C$24:$C$29,$P62)*D62*C62/1000</f>
        <v>0.4508000000000001</v>
      </c>
      <c r="L62" s="42">
        <f>L$22/INDEX($C$24:$C$29,$P62)*D62*C62/1000</f>
        <v>0.4508000000000001</v>
      </c>
      <c r="M62" s="42">
        <f>M$22/INDEX($C$24:$C$29,$P62)*D62*C62/1000</f>
        <v>0.4508000000000001</v>
      </c>
      <c r="N62" s="42">
        <f>N$22/INDEX($C$24:$C$29,$P62)*D62*C62/1000</f>
        <v>0.4508000000000001</v>
      </c>
      <c r="P62" s="43" t="n">
        <v>3</v>
      </c>
    </row>
    <row r="63">
      <c r="B63" s="22" t="inlineStr">
        <is>
          <t>Фильтр 20046634</t>
        </is>
      </c>
      <c r="C63" s="44" t="n">
        <v>452.98</v>
      </c>
      <c r="D63" s="44" t="n">
        <v>1</v>
      </c>
      <c r="E63" s="42">
        <f>E$22/INDEX($C$24:$C$29,$P63)*D63*C63/1000</f>
        <v>3.1708600000000002</v>
      </c>
      <c r="F63" s="42">
        <f>F$22/INDEX($C$24:$C$29,$P63)*D63*C63/1000</f>
        <v>3.1708600000000002</v>
      </c>
      <c r="G63" s="42">
        <f>G$22/INDEX($C$24:$C$29,$P63)*D63*C63/1000</f>
        <v>3.1708600000000002</v>
      </c>
      <c r="H63" s="42">
        <f>H$22/INDEX($C$24:$C$29,$P63)*D63*C63/1000</f>
        <v>3.1708600000000002</v>
      </c>
      <c r="I63" s="42">
        <f>I$22/INDEX($C$24:$C$29,$P63)*D63*C63/1000</f>
        <v>3.1708600000000002</v>
      </c>
      <c r="J63" s="42">
        <f>J$22/INDEX($C$24:$C$29,$P63)*D63*C63/1000</f>
        <v>3.1708600000000002</v>
      </c>
      <c r="K63" s="42">
        <f>K$22/INDEX($C$24:$C$29,$P63)*D63*C63/1000</f>
        <v>3.1708600000000002</v>
      </c>
      <c r="L63" s="42">
        <f>L$22/INDEX($C$24:$C$29,$P63)*D63*C63/1000</f>
        <v>3.1708600000000002</v>
      </c>
      <c r="M63" s="42">
        <f>M$22/INDEX($C$24:$C$29,$P63)*D63*C63/1000</f>
        <v>3.1708600000000002</v>
      </c>
      <c r="N63" s="42">
        <f>N$22/INDEX($C$24:$C$29,$P63)*D63*C63/1000</f>
        <v>3.1708600000000002</v>
      </c>
      <c r="P63" s="43" t="n">
        <v>3</v>
      </c>
    </row>
    <row r="64">
      <c r="B64" s="22" t="inlineStr">
        <is>
          <t>Фильтр UR24465 (2)</t>
        </is>
      </c>
      <c r="C64" s="44" t="n">
        <v>810</v>
      </c>
      <c r="D64" s="44" t="n">
        <v>2</v>
      </c>
      <c r="E64" s="42">
        <f>E$22/INDEX($C$24:$C$29,$P64)*D64*C64/1000</f>
        <v>11.34</v>
      </c>
      <c r="F64" s="42">
        <f>F$22/INDEX($C$24:$C$29,$P64)*D64*C64/1000</f>
        <v>11.34</v>
      </c>
      <c r="G64" s="42">
        <f>G$22/INDEX($C$24:$C$29,$P64)*D64*C64/1000</f>
        <v>11.34</v>
      </c>
      <c r="H64" s="42">
        <f>H$22/INDEX($C$24:$C$29,$P64)*D64*C64/1000</f>
        <v>11.34</v>
      </c>
      <c r="I64" s="42">
        <f>I$22/INDEX($C$24:$C$29,$P64)*D64*C64/1000</f>
        <v>11.34</v>
      </c>
      <c r="J64" s="42">
        <f>J$22/INDEX($C$24:$C$29,$P64)*D64*C64/1000</f>
        <v>11.34</v>
      </c>
      <c r="K64" s="42">
        <f>K$22/INDEX($C$24:$C$29,$P64)*D64*C64/1000</f>
        <v>11.34</v>
      </c>
      <c r="L64" s="42">
        <f>L$22/INDEX($C$24:$C$29,$P64)*D64*C64/1000</f>
        <v>11.34</v>
      </c>
      <c r="M64" s="42">
        <f>M$22/INDEX($C$24:$C$29,$P64)*D64*C64/1000</f>
        <v>11.34</v>
      </c>
      <c r="N64" s="42">
        <f>N$22/INDEX($C$24:$C$29,$P64)*D64*C64/1000</f>
        <v>11.34</v>
      </c>
      <c r="P64" s="43" t="n">
        <v>3</v>
      </c>
    </row>
    <row r="65">
      <c r="B65" s="22" t="inlineStr">
        <is>
          <t>Масло 680</t>
        </is>
      </c>
      <c r="C65" s="44" t="n">
        <v>0</v>
      </c>
      <c r="D65" s="44" t="n">
        <v>80</v>
      </c>
      <c r="E65" s="42">
        <f>E$22/INDEX($C$24:$C$29,$P65)*D65*C65/1000</f>
        <v>0.0</v>
      </c>
      <c r="F65" s="42">
        <f>F$22/INDEX($C$24:$C$29,$P65)*D65*C65/1000</f>
        <v>0.0</v>
      </c>
      <c r="G65" s="42">
        <f>G$22/INDEX($C$24:$C$29,$P65)*D65*C65/1000</f>
        <v>0.0</v>
      </c>
      <c r="H65" s="42">
        <f>H$22/INDEX($C$24:$C$29,$P65)*D65*C65/1000</f>
        <v>0.0</v>
      </c>
      <c r="I65" s="42">
        <f>I$22/INDEX($C$24:$C$29,$P65)*D65*C65/1000</f>
        <v>0.0</v>
      </c>
      <c r="J65" s="42">
        <f>J$22/INDEX($C$24:$C$29,$P65)*D65*C65/1000</f>
        <v>0.0</v>
      </c>
      <c r="K65" s="42">
        <f>K$22/INDEX($C$24:$C$29,$P65)*D65*C65/1000</f>
        <v>0.0</v>
      </c>
      <c r="L65" s="42">
        <f>L$22/INDEX($C$24:$C$29,$P65)*D65*C65/1000</f>
        <v>0.0</v>
      </c>
      <c r="M65" s="42">
        <f>M$22/INDEX($C$24:$C$29,$P65)*D65*C65/1000</f>
        <v>0.0</v>
      </c>
      <c r="N65" s="42">
        <f>N$22/INDEX($C$24:$C$29,$P65)*D65*C65/1000</f>
        <v>0.0</v>
      </c>
      <c r="P65" s="43" t="n">
        <v>4</v>
      </c>
    </row>
    <row r="66">
      <c r="B66" s="22" t="inlineStr">
        <is>
          <t>Фильтр 20038263</t>
        </is>
      </c>
      <c r="C66" s="44" t="n">
        <v>3851.98</v>
      </c>
      <c r="D66" s="44" t="n">
        <v>1</v>
      </c>
      <c r="E66" s="42">
        <f>E$22/INDEX($C$24:$C$29,$P66)*D66*C66/1000</f>
        <v>5.392772</v>
      </c>
      <c r="F66" s="42">
        <f>F$22/INDEX($C$24:$C$29,$P66)*D66*C66/1000</f>
        <v>5.392772</v>
      </c>
      <c r="G66" s="42">
        <f>G$22/INDEX($C$24:$C$29,$P66)*D66*C66/1000</f>
        <v>5.392772</v>
      </c>
      <c r="H66" s="42">
        <f>H$22/INDEX($C$24:$C$29,$P66)*D66*C66/1000</f>
        <v>5.392772</v>
      </c>
      <c r="I66" s="42">
        <f>I$22/INDEX($C$24:$C$29,$P66)*D66*C66/1000</f>
        <v>5.392772</v>
      </c>
      <c r="J66" s="42">
        <f>J$22/INDEX($C$24:$C$29,$P66)*D66*C66/1000</f>
        <v>5.392772</v>
      </c>
      <c r="K66" s="42">
        <f>K$22/INDEX($C$24:$C$29,$P66)*D66*C66/1000</f>
        <v>5.392772</v>
      </c>
      <c r="L66" s="42">
        <f>L$22/INDEX($C$24:$C$29,$P66)*D66*C66/1000</f>
        <v>5.392772</v>
      </c>
      <c r="M66" s="42">
        <f>M$22/INDEX($C$24:$C$29,$P66)*D66*C66/1000</f>
        <v>5.392772</v>
      </c>
      <c r="N66" s="42">
        <f>N$22/INDEX($C$24:$C$29,$P66)*D66*C66/1000</f>
        <v>5.392772</v>
      </c>
      <c r="P66" s="43" t="n">
        <v>5</v>
      </c>
    </row>
    <row r="67">
      <c r="B67" s="22" t="inlineStr">
        <is>
          <t>Масло Hydraulic Oil 32</t>
        </is>
      </c>
      <c r="C67" s="44" t="n">
        <v>0</v>
      </c>
      <c r="D67" s="44" t="n">
        <v>908</v>
      </c>
      <c r="E67" s="42">
        <f>E$22/INDEX($C$24:$C$29,$P67)*D67*C67/1000</f>
        <v>0.0</v>
      </c>
      <c r="F67" s="42">
        <f>F$22/INDEX($C$24:$C$29,$P67)*D67*C67/1000</f>
        <v>0.0</v>
      </c>
      <c r="G67" s="42">
        <f>G$22/INDEX($C$24:$C$29,$P67)*D67*C67/1000</f>
        <v>0.0</v>
      </c>
      <c r="H67" s="42">
        <f>H$22/INDEX($C$24:$C$29,$P67)*D67*C67/1000</f>
        <v>0.0</v>
      </c>
      <c r="I67" s="42">
        <f>I$22/INDEX($C$24:$C$29,$P67)*D67*C67/1000</f>
        <v>0.0</v>
      </c>
      <c r="J67" s="42">
        <f>J$22/INDEX($C$24:$C$29,$P67)*D67*C67/1000</f>
        <v>0.0</v>
      </c>
      <c r="K67" s="42">
        <f>K$22/INDEX($C$24:$C$29,$P67)*D67*C67/1000</f>
        <v>0.0</v>
      </c>
      <c r="L67" s="42">
        <f>L$22/INDEX($C$24:$C$29,$P67)*D67*C67/1000</f>
        <v>0.0</v>
      </c>
      <c r="M67" s="42">
        <f>M$22/INDEX($C$24:$C$29,$P67)*D67*C67/1000</f>
        <v>0.0</v>
      </c>
      <c r="N67" s="42">
        <f>N$22/INDEX($C$24:$C$29,$P67)*D67*C67/1000</f>
        <v>0.0</v>
      </c>
      <c r="P67" s="43" t="n">
        <v>5</v>
      </c>
    </row>
    <row r="68">
      <c r="B68" s="22" t="inlineStr">
        <is>
          <t>Фильтр 55894</t>
        </is>
      </c>
      <c r="C68" s="44" t="n">
        <v>1901.07</v>
      </c>
      <c r="D68" s="44" t="n">
        <v>1</v>
      </c>
      <c r="E68" s="42">
        <f>E$22/INDEX($C$24:$C$29,$P68)*D68*C68/1000</f>
        <v>2.6614979999999995</v>
      </c>
      <c r="F68" s="42">
        <f>F$22/INDEX($C$24:$C$29,$P68)*D68*C68/1000</f>
        <v>2.6614979999999995</v>
      </c>
      <c r="G68" s="42">
        <f>G$22/INDEX($C$24:$C$29,$P68)*D68*C68/1000</f>
        <v>2.6614979999999995</v>
      </c>
      <c r="H68" s="42">
        <f>H$22/INDEX($C$24:$C$29,$P68)*D68*C68/1000</f>
        <v>2.6614979999999995</v>
      </c>
      <c r="I68" s="42">
        <f>I$22/INDEX($C$24:$C$29,$P68)*D68*C68/1000</f>
        <v>2.6614979999999995</v>
      </c>
      <c r="J68" s="42">
        <f>J$22/INDEX($C$24:$C$29,$P68)*D68*C68/1000</f>
        <v>2.6614979999999995</v>
      </c>
      <c r="K68" s="42">
        <f>K$22/INDEX($C$24:$C$29,$P68)*D68*C68/1000</f>
        <v>2.6614979999999995</v>
      </c>
      <c r="L68" s="42">
        <f>L$22/INDEX($C$24:$C$29,$P68)*D68*C68/1000</f>
        <v>2.6614979999999995</v>
      </c>
      <c r="M68" s="42">
        <f>M$22/INDEX($C$24:$C$29,$P68)*D68*C68/1000</f>
        <v>2.6614979999999995</v>
      </c>
      <c r="N68" s="42">
        <f>N$22/INDEX($C$24:$C$29,$P68)*D68*C68/1000</f>
        <v>2.6614979999999995</v>
      </c>
      <c r="P68" s="43" t="n">
        <v>5</v>
      </c>
    </row>
    <row r="69">
      <c r="B69" s="22" t="inlineStr">
        <is>
          <t>Антифриз HD Long Life (2)</t>
        </is>
      </c>
      <c r="C69" s="44" t="n">
        <v>7</v>
      </c>
      <c r="D69" s="44" t="n">
        <v>662</v>
      </c>
      <c r="E69" s="42">
        <f>E$22/INDEX($C$24:$C$29,$P69)*D69*C69/1000</f>
        <v>6.4876</v>
      </c>
      <c r="F69" s="42">
        <f>F$22/INDEX($C$24:$C$29,$P69)*D69*C69/1000</f>
        <v>6.4876</v>
      </c>
      <c r="G69" s="42">
        <f>G$22/INDEX($C$24:$C$29,$P69)*D69*C69/1000</f>
        <v>6.4876</v>
      </c>
      <c r="H69" s="42">
        <f>H$22/INDEX($C$24:$C$29,$P69)*D69*C69/1000</f>
        <v>6.4876</v>
      </c>
      <c r="I69" s="42">
        <f>I$22/INDEX($C$24:$C$29,$P69)*D69*C69/1000</f>
        <v>6.4876</v>
      </c>
      <c r="J69" s="42">
        <f>J$22/INDEX($C$24:$C$29,$P69)*D69*C69/1000</f>
        <v>6.4876</v>
      </c>
      <c r="K69" s="42">
        <f>K$22/INDEX($C$24:$C$29,$P69)*D69*C69/1000</f>
        <v>6.4876</v>
      </c>
      <c r="L69" s="42">
        <f>L$22/INDEX($C$24:$C$29,$P69)*D69*C69/1000</f>
        <v>6.4876</v>
      </c>
      <c r="M69" s="42">
        <f>M$22/INDEX($C$24:$C$29,$P69)*D69*C69/1000</f>
        <v>6.4876</v>
      </c>
      <c r="N69" s="42">
        <f>N$22/INDEX($C$24:$C$29,$P69)*D69*C69/1000</f>
        <v>6.4876</v>
      </c>
      <c r="P69" s="43" t="n">
        <v>5</v>
      </c>
    </row>
    <row r="70">
      <c r="B70" s="22" t="inlineStr">
        <is>
          <t>Смазка ЕР 1,5-460</t>
        </is>
      </c>
      <c r="C70" s="44" t="n">
        <v>4</v>
      </c>
      <c r="D70" s="44" t="n">
        <v>7</v>
      </c>
      <c r="E70" s="42">
        <f>E$22/INDEX($C$24:$C$29,$P70)*D70*C70/1000</f>
        <v>0.0392</v>
      </c>
      <c r="F70" s="42">
        <f>F$22/INDEX($C$24:$C$29,$P70)*D70*C70/1000</f>
        <v>0.0392</v>
      </c>
      <c r="G70" s="42">
        <f>G$22/INDEX($C$24:$C$29,$P70)*D70*C70/1000</f>
        <v>0.0392</v>
      </c>
      <c r="H70" s="42">
        <f>H$22/INDEX($C$24:$C$29,$P70)*D70*C70/1000</f>
        <v>0.0392</v>
      </c>
      <c r="I70" s="42">
        <f>I$22/INDEX($C$24:$C$29,$P70)*D70*C70/1000</f>
        <v>0.0392</v>
      </c>
      <c r="J70" s="42">
        <f>J$22/INDEX($C$24:$C$29,$P70)*D70*C70/1000</f>
        <v>0.0392</v>
      </c>
      <c r="K70" s="42">
        <f>K$22/INDEX($C$24:$C$29,$P70)*D70*C70/1000</f>
        <v>0.0392</v>
      </c>
      <c r="L70" s="42">
        <f>L$22/INDEX($C$24:$C$29,$P70)*D70*C70/1000</f>
        <v>0.0392</v>
      </c>
      <c r="M70" s="42">
        <f>M$22/INDEX($C$24:$C$29,$P70)*D70*C70/1000</f>
        <v>0.0392</v>
      </c>
      <c r="N70" s="42">
        <f>N$22/INDEX($C$24:$C$29,$P70)*D70*C70/1000</f>
        <v>0.0392</v>
      </c>
      <c r="P70" s="43" t="n">
        <v>5</v>
      </c>
    </row>
    <row r="71">
      <c r="B71" s="22" t="inlineStr">
        <is>
          <t>Смазка ЕР 1,5-460 (2)</t>
        </is>
      </c>
      <c r="C71" s="44" t="n">
        <v>4</v>
      </c>
      <c r="D71" s="44" t="n">
        <v>2.5</v>
      </c>
      <c r="E71" s="42">
        <f>E$22/INDEX($C$24:$C$29,$P71)*D71*C71/1000</f>
        <v>0.014</v>
      </c>
      <c r="F71" s="42">
        <f>F$22/INDEX($C$24:$C$29,$P71)*D71*C71/1000</f>
        <v>0.014</v>
      </c>
      <c r="G71" s="42">
        <f>G$22/INDEX($C$24:$C$29,$P71)*D71*C71/1000</f>
        <v>0.014</v>
      </c>
      <c r="H71" s="42">
        <f>H$22/INDEX($C$24:$C$29,$P71)*D71*C71/1000</f>
        <v>0.014</v>
      </c>
      <c r="I71" s="42">
        <f>I$22/INDEX($C$24:$C$29,$P71)*D71*C71/1000</f>
        <v>0.014</v>
      </c>
      <c r="J71" s="42">
        <f>J$22/INDEX($C$24:$C$29,$P71)*D71*C71/1000</f>
        <v>0.014</v>
      </c>
      <c r="K71" s="42">
        <f>K$22/INDEX($C$24:$C$29,$P71)*D71*C71/1000</f>
        <v>0.014</v>
      </c>
      <c r="L71" s="42">
        <f>L$22/INDEX($C$24:$C$29,$P71)*D71*C71/1000</f>
        <v>0.014</v>
      </c>
      <c r="M71" s="42">
        <f>M$22/INDEX($C$24:$C$29,$P71)*D71*C71/1000</f>
        <v>0.014</v>
      </c>
      <c r="N71" s="42">
        <f>N$22/INDEX($C$24:$C$29,$P71)*D71*C71/1000</f>
        <v>0.014</v>
      </c>
      <c r="P71" s="43" t="n">
        <v>5</v>
      </c>
    </row>
    <row r="72">
      <c r="B72" s="22" t="inlineStr">
        <is>
          <t>Корректировка (прочее)</t>
        </is>
      </c>
      <c r="E72" s="44" t="n">
        <v>0</v>
      </c>
      <c r="F72" s="44" t="n">
        <v>0</v>
      </c>
      <c r="G72" s="44" t="n">
        <v>0</v>
      </c>
      <c r="H72" s="44" t="n">
        <v>0</v>
      </c>
      <c r="I72" s="44" t="n">
        <v>0</v>
      </c>
      <c r="J72" s="44" t="n">
        <v>0</v>
      </c>
      <c r="K72" s="44" t="n">
        <v>0</v>
      </c>
      <c r="L72" s="44" t="n">
        <v>0</v>
      </c>
      <c r="M72" s="44" t="n">
        <v>0</v>
      </c>
      <c r="N72" s="44" t="n">
        <v>0</v>
      </c>
    </row>
    <row r="73">
      <c r="B73" s="39" t="inlineStr">
        <is>
          <t>ИТОГО ЗЧ ТО, тыс.вал/год</t>
        </is>
      </c>
      <c r="E73" s="42">
        <f>SUM(E48:E72)</f>
        <v>615.85391</v>
      </c>
      <c r="F73" s="42">
        <f>SUM(F48:F72)</f>
        <v>615.85391</v>
      </c>
      <c r="G73" s="42">
        <f>SUM(G48:G72)</f>
        <v>615.85391</v>
      </c>
      <c r="H73" s="42">
        <f>SUM(H48:H72)</f>
        <v>615.85391</v>
      </c>
      <c r="I73" s="42">
        <f>SUM(I48:I72)</f>
        <v>615.85391</v>
      </c>
      <c r="J73" s="42">
        <f>SUM(J48:J72)</f>
        <v>615.85391</v>
      </c>
      <c r="K73" s="42">
        <f>SUM(K48:K72)</f>
        <v>615.85391</v>
      </c>
      <c r="L73" s="42">
        <f>SUM(L48:L72)</f>
        <v>615.85391</v>
      </c>
      <c r="M73" s="42">
        <f>SUM(M48:M72)</f>
        <v>615.85391</v>
      </c>
      <c r="N73" s="42">
        <f>SUM(N48:N72)</f>
        <v>615.85391</v>
      </c>
    </row>
    <row r="75">
      <c r="B75" s="5" t="inlineStr">
        <is>
          <t>КАПИТАЛЬНЫЕ РЕМОНТЫ — ЗАТРАТЫ НА ЗЧ (по ресурсу до замены узла)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B76" s="15" t="inlineStr">
        <is>
          <t>Наименование</t>
        </is>
      </c>
      <c r="C76" s="15" t="inlineStr">
        <is>
          <t>стоим.замены,вал</t>
        </is>
      </c>
      <c r="D76" s="15" t="inlineStr">
        <is>
          <t>ресурс, м/ч</t>
        </is>
      </c>
      <c r="E76" s="15" t="inlineStr">
        <is>
          <t>год 1</t>
        </is>
      </c>
      <c r="F76" s="15" t="inlineStr">
        <is>
          <t>год 2</t>
        </is>
      </c>
      <c r="G76" s="15" t="inlineStr">
        <is>
          <t>год 3</t>
        </is>
      </c>
      <c r="H76" s="15" t="inlineStr">
        <is>
          <t>год 4</t>
        </is>
      </c>
      <c r="I76" s="15" t="inlineStr">
        <is>
          <t>год 5</t>
        </is>
      </c>
      <c r="J76" s="15" t="inlineStr">
        <is>
          <t>год 6</t>
        </is>
      </c>
      <c r="K76" s="15" t="inlineStr">
        <is>
          <t>год 7</t>
        </is>
      </c>
      <c r="L76" s="15" t="inlineStr">
        <is>
          <t>год 8</t>
        </is>
      </c>
      <c r="M76" s="15" t="inlineStr">
        <is>
          <t>год 9</t>
        </is>
      </c>
      <c r="N76" s="15" t="inlineStr">
        <is>
          <t>год 10</t>
        </is>
      </c>
    </row>
    <row r="77">
      <c r="B77" s="22" t="inlineStr">
        <is>
          <t>Двигатель</t>
        </is>
      </c>
      <c r="C77" s="44" t="n">
        <v>2327660.9</v>
      </c>
      <c r="D77" s="43" t="n">
        <v>20000</v>
      </c>
      <c r="E77" s="42">
        <f>(INT($E$22*1/$D77)-INT($E$22*(1-1)/$D77))*$C77/1000</f>
        <v>0.0</v>
      </c>
      <c r="F77" s="42">
        <f>(INT($E$22*2/$D77)-INT($E$22*(2-1)/$D77))*$C77/1000</f>
        <v>0.0</v>
      </c>
      <c r="G77" s="42">
        <f>(INT($E$22*3/$D77)-INT($E$22*(3-1)/$D77))*$C77/1000</f>
        <v>2327.6609</v>
      </c>
      <c r="H77" s="42">
        <f>(INT($E$22*4/$D77)-INT($E$22*(4-1)/$D77))*$C77/1000</f>
        <v>0.0</v>
      </c>
      <c r="I77" s="42">
        <f>(INT($E$22*5/$D77)-INT($E$22*(5-1)/$D77))*$C77/1000</f>
        <v>0.0</v>
      </c>
      <c r="J77" s="42">
        <f>(INT($E$22*6/$D77)-INT($E$22*(6-1)/$D77))*$C77/1000</f>
        <v>2327.6609</v>
      </c>
      <c r="K77" s="42">
        <f>(INT($E$22*7/$D77)-INT($E$22*(7-1)/$D77))*$C77/1000</f>
        <v>0.0</v>
      </c>
      <c r="L77" s="42">
        <f>(INT($E$22*8/$D77)-INT($E$22*(8-1)/$D77))*$C77/1000</f>
        <v>0.0</v>
      </c>
      <c r="M77" s="42">
        <f>(INT($E$22*9/$D77)-INT($E$22*(9-1)/$D77))*$C77/1000</f>
        <v>2327.6609</v>
      </c>
      <c r="N77" s="42">
        <f>(INT($E$22*10/$D77)-INT($E$22*(10-1)/$D77))*$C77/1000</f>
        <v>0.0</v>
      </c>
    </row>
    <row r="78">
      <c r="B78" s="22" t="inlineStr">
        <is>
          <t>Турбокомпрессор</t>
        </is>
      </c>
      <c r="C78" s="44" t="n">
        <v>107587.4</v>
      </c>
      <c r="D78" s="43" t="n">
        <v>14000</v>
      </c>
      <c r="E78" s="42">
        <f>(INT($E$22*1/$D78)-INT($E$22*(1-1)/$D78))*$C78/1000</f>
        <v>0.0</v>
      </c>
      <c r="F78" s="42">
        <f>(INT($E$22*2/$D78)-INT($E$22*(2-1)/$D78))*$C78/1000</f>
        <v>107.58739999999999</v>
      </c>
      <c r="G78" s="42">
        <f>(INT($E$22*3/$D78)-INT($E$22*(3-1)/$D78))*$C78/1000</f>
        <v>0.0</v>
      </c>
      <c r="H78" s="42">
        <f>(INT($E$22*4/$D78)-INT($E$22*(4-1)/$D78))*$C78/1000</f>
        <v>107.58739999999999</v>
      </c>
      <c r="I78" s="42">
        <f>(INT($E$22*5/$D78)-INT($E$22*(5-1)/$D78))*$C78/1000</f>
        <v>0.0</v>
      </c>
      <c r="J78" s="42">
        <f>(INT($E$22*6/$D78)-INT($E$22*(6-1)/$D78))*$C78/1000</f>
        <v>107.58739999999999</v>
      </c>
      <c r="K78" s="42">
        <f>(INT($E$22*7/$D78)-INT($E$22*(7-1)/$D78))*$C78/1000</f>
        <v>0.0</v>
      </c>
      <c r="L78" s="42">
        <f>(INT($E$22*8/$D78)-INT($E$22*(8-1)/$D78))*$C78/1000</f>
        <v>107.58739999999999</v>
      </c>
      <c r="M78" s="42">
        <f>(INT($E$22*9/$D78)-INT($E$22*(9-1)/$D78))*$C78/1000</f>
        <v>0.0</v>
      </c>
      <c r="N78" s="42">
        <f>(INT($E$22*10/$D78)-INT($E$22*(10-1)/$D78))*$C78/1000</f>
        <v>107.58739999999999</v>
      </c>
    </row>
    <row r="79">
      <c r="B79" s="22" t="inlineStr">
        <is>
          <t>Блок инжектора</t>
        </is>
      </c>
      <c r="C79" s="44" t="n">
        <v>34579.09</v>
      </c>
      <c r="D79" s="43" t="n">
        <v>20000</v>
      </c>
      <c r="E79" s="42">
        <f>(INT($E$22*1/$D79)-INT($E$22*(1-1)/$D79))*$C79/1000</f>
        <v>0.0</v>
      </c>
      <c r="F79" s="42">
        <f>(INT($E$22*2/$D79)-INT($E$22*(2-1)/$D79))*$C79/1000</f>
        <v>0.0</v>
      </c>
      <c r="G79" s="42">
        <f>(INT($E$22*3/$D79)-INT($E$22*(3-1)/$D79))*$C79/1000</f>
        <v>34.579089999999994</v>
      </c>
      <c r="H79" s="42">
        <f>(INT($E$22*4/$D79)-INT($E$22*(4-1)/$D79))*$C79/1000</f>
        <v>0.0</v>
      </c>
      <c r="I79" s="42">
        <f>(INT($E$22*5/$D79)-INT($E$22*(5-1)/$D79))*$C79/1000</f>
        <v>0.0</v>
      </c>
      <c r="J79" s="42">
        <f>(INT($E$22*6/$D79)-INT($E$22*(6-1)/$D79))*$C79/1000</f>
        <v>34.579089999999994</v>
      </c>
      <c r="K79" s="42">
        <f>(INT($E$22*7/$D79)-INT($E$22*(7-1)/$D79))*$C79/1000</f>
        <v>0.0</v>
      </c>
      <c r="L79" s="42">
        <f>(INT($E$22*8/$D79)-INT($E$22*(8-1)/$D79))*$C79/1000</f>
        <v>0.0</v>
      </c>
      <c r="M79" s="42">
        <f>(INT($E$22*9/$D79)-INT($E$22*(9-1)/$D79))*$C79/1000</f>
        <v>34.579089999999994</v>
      </c>
      <c r="N79" s="42">
        <f>(INT($E$22*10/$D79)-INT($E$22*(10-1)/$D79))*$C79/1000</f>
        <v>0.0</v>
      </c>
    </row>
    <row r="80">
      <c r="B80" s="22" t="inlineStr">
        <is>
          <t>Глушитель</t>
        </is>
      </c>
      <c r="C80" s="44" t="n">
        <v>9439.290000000001</v>
      </c>
      <c r="D80" s="43" t="n">
        <v>20000</v>
      </c>
      <c r="E80" s="42">
        <f>(INT($E$22*1/$D80)-INT($E$22*(1-1)/$D80))*$C80/1000</f>
        <v>0.0</v>
      </c>
      <c r="F80" s="42">
        <f>(INT($E$22*2/$D80)-INT($E$22*(2-1)/$D80))*$C80/1000</f>
        <v>0.0</v>
      </c>
      <c r="G80" s="42">
        <f>(INT($E$22*3/$D80)-INT($E$22*(3-1)/$D80))*$C80/1000</f>
        <v>9.439290000000002</v>
      </c>
      <c r="H80" s="42">
        <f>(INT($E$22*4/$D80)-INT($E$22*(4-1)/$D80))*$C80/1000</f>
        <v>0.0</v>
      </c>
      <c r="I80" s="42">
        <f>(INT($E$22*5/$D80)-INT($E$22*(5-1)/$D80))*$C80/1000</f>
        <v>0.0</v>
      </c>
      <c r="J80" s="42">
        <f>(INT($E$22*6/$D80)-INT($E$22*(6-1)/$D80))*$C80/1000</f>
        <v>9.439290000000002</v>
      </c>
      <c r="K80" s="42">
        <f>(INT($E$22*7/$D80)-INT($E$22*(7-1)/$D80))*$C80/1000</f>
        <v>0.0</v>
      </c>
      <c r="L80" s="42">
        <f>(INT($E$22*8/$D80)-INT($E$22*(8-1)/$D80))*$C80/1000</f>
        <v>0.0</v>
      </c>
      <c r="M80" s="42">
        <f>(INT($E$22*9/$D80)-INT($E$22*(9-1)/$D80))*$C80/1000</f>
        <v>9.439290000000002</v>
      </c>
      <c r="N80" s="42">
        <f>(INT($E$22*10/$D80)-INT($E$22*(10-1)/$D80))*$C80/1000</f>
        <v>0.0</v>
      </c>
    </row>
    <row r="81">
      <c r="B81" s="22" t="inlineStr">
        <is>
          <t>Главный Генератор</t>
        </is>
      </c>
      <c r="C81" s="44" t="n">
        <v>33592.96</v>
      </c>
      <c r="D81" s="43" t="n">
        <v>25000</v>
      </c>
      <c r="E81" s="42">
        <f>(INT($E$22*1/$D81)-INT($E$22*(1-1)/$D81))*$C81/1000</f>
        <v>0.0</v>
      </c>
      <c r="F81" s="42">
        <f>(INT($E$22*2/$D81)-INT($E$22*(2-1)/$D81))*$C81/1000</f>
        <v>0.0</v>
      </c>
      <c r="G81" s="42">
        <f>(INT($E$22*3/$D81)-INT($E$22*(3-1)/$D81))*$C81/1000</f>
        <v>0.0</v>
      </c>
      <c r="H81" s="42">
        <f>(INT($E$22*4/$D81)-INT($E$22*(4-1)/$D81))*$C81/1000</f>
        <v>33.59296</v>
      </c>
      <c r="I81" s="42">
        <f>(INT($E$22*5/$D81)-INT($E$22*(5-1)/$D81))*$C81/1000</f>
        <v>0.0</v>
      </c>
      <c r="J81" s="42">
        <f>(INT($E$22*6/$D81)-INT($E$22*(6-1)/$D81))*$C81/1000</f>
        <v>0.0</v>
      </c>
      <c r="K81" s="42">
        <f>(INT($E$22*7/$D81)-INT($E$22*(7-1)/$D81))*$C81/1000</f>
        <v>0.0</v>
      </c>
      <c r="L81" s="42">
        <f>(INT($E$22*8/$D81)-INT($E$22*(8-1)/$D81))*$C81/1000</f>
        <v>33.59296</v>
      </c>
      <c r="M81" s="42">
        <f>(INT($E$22*9/$D81)-INT($E$22*(9-1)/$D81))*$C81/1000</f>
        <v>0.0</v>
      </c>
      <c r="N81" s="42">
        <f>(INT($E$22*10/$D81)-INT($E$22*(10-1)/$D81))*$C81/1000</f>
        <v>0.0</v>
      </c>
    </row>
    <row r="82">
      <c r="B82" s="22" t="inlineStr">
        <is>
          <t>РМК</t>
        </is>
      </c>
      <c r="C82" s="44" t="n">
        <v>542755.97</v>
      </c>
      <c r="D82" s="43" t="n">
        <v>25000</v>
      </c>
      <c r="E82" s="42">
        <f>(INT($E$22*1/$D82)-INT($E$22*(1-1)/$D82))*$C82/1000</f>
        <v>0.0</v>
      </c>
      <c r="F82" s="42">
        <f>(INT($E$22*2/$D82)-INT($E$22*(2-1)/$D82))*$C82/1000</f>
        <v>0.0</v>
      </c>
      <c r="G82" s="42">
        <f>(INT($E$22*3/$D82)-INT($E$22*(3-1)/$D82))*$C82/1000</f>
        <v>0.0</v>
      </c>
      <c r="H82" s="42">
        <f>(INT($E$22*4/$D82)-INT($E$22*(4-1)/$D82))*$C82/1000</f>
        <v>542.7559699999999</v>
      </c>
      <c r="I82" s="42">
        <f>(INT($E$22*5/$D82)-INT($E$22*(5-1)/$D82))*$C82/1000</f>
        <v>0.0</v>
      </c>
      <c r="J82" s="42">
        <f>(INT($E$22*6/$D82)-INT($E$22*(6-1)/$D82))*$C82/1000</f>
        <v>0.0</v>
      </c>
      <c r="K82" s="42">
        <f>(INT($E$22*7/$D82)-INT($E$22*(7-1)/$D82))*$C82/1000</f>
        <v>0.0</v>
      </c>
      <c r="L82" s="42">
        <f>(INT($E$22*8/$D82)-INT($E$22*(8-1)/$D82))*$C82/1000</f>
        <v>542.7559699999999</v>
      </c>
      <c r="M82" s="42">
        <f>(INT($E$22*9/$D82)-INT($E$22*(9-1)/$D82))*$C82/1000</f>
        <v>0.0</v>
      </c>
      <c r="N82" s="42">
        <f>(INT($E$22*10/$D82)-INT($E$22*(10-1)/$D82))*$C82/1000</f>
        <v>0.0</v>
      </c>
    </row>
    <row r="83">
      <c r="B83" s="22" t="inlineStr">
        <is>
          <t>Ретардер</t>
        </is>
      </c>
      <c r="C83" s="44" t="n">
        <v>128694.84</v>
      </c>
      <c r="D83" s="43" t="n">
        <v>25000</v>
      </c>
      <c r="E83" s="42">
        <f>(INT($E$22*1/$D83)-INT($E$22*(1-1)/$D83))*$C83/1000</f>
        <v>0.0</v>
      </c>
      <c r="F83" s="42">
        <f>(INT($E$22*2/$D83)-INT($E$22*(2-1)/$D83))*$C83/1000</f>
        <v>0.0</v>
      </c>
      <c r="G83" s="42">
        <f>(INT($E$22*3/$D83)-INT($E$22*(3-1)/$D83))*$C83/1000</f>
        <v>0.0</v>
      </c>
      <c r="H83" s="42">
        <f>(INT($E$22*4/$D83)-INT($E$22*(4-1)/$D83))*$C83/1000</f>
        <v>128.69484</v>
      </c>
      <c r="I83" s="42">
        <f>(INT($E$22*5/$D83)-INT($E$22*(5-1)/$D83))*$C83/1000</f>
        <v>0.0</v>
      </c>
      <c r="J83" s="42">
        <f>(INT($E$22*6/$D83)-INT($E$22*(6-1)/$D83))*$C83/1000</f>
        <v>0.0</v>
      </c>
      <c r="K83" s="42">
        <f>(INT($E$22*7/$D83)-INT($E$22*(7-1)/$D83))*$C83/1000</f>
        <v>0.0</v>
      </c>
      <c r="L83" s="42">
        <f>(INT($E$22*8/$D83)-INT($E$22*(8-1)/$D83))*$C83/1000</f>
        <v>128.69484</v>
      </c>
      <c r="M83" s="42">
        <f>(INT($E$22*9/$D83)-INT($E$22*(9-1)/$D83))*$C83/1000</f>
        <v>0.0</v>
      </c>
      <c r="N83" s="42">
        <f>(INT($E$22*10/$D83)-INT($E$22*(10-1)/$D83))*$C83/1000</f>
        <v>0.0</v>
      </c>
    </row>
    <row r="84">
      <c r="B84" s="22" t="inlineStr">
        <is>
          <t>Подвеска (перед. и задняя)</t>
        </is>
      </c>
      <c r="C84" s="44" t="n">
        <v>36095.04</v>
      </c>
      <c r="D84" s="43" t="n">
        <v>20000</v>
      </c>
      <c r="E84" s="42">
        <f>(INT($E$22*1/$D84)-INT($E$22*(1-1)/$D84))*$C84/1000</f>
        <v>0.0</v>
      </c>
      <c r="F84" s="42">
        <f>(INT($E$22*2/$D84)-INT($E$22*(2-1)/$D84))*$C84/1000</f>
        <v>0.0</v>
      </c>
      <c r="G84" s="42">
        <f>(INT($E$22*3/$D84)-INT($E$22*(3-1)/$D84))*$C84/1000</f>
        <v>36.09504</v>
      </c>
      <c r="H84" s="42">
        <f>(INT($E$22*4/$D84)-INT($E$22*(4-1)/$D84))*$C84/1000</f>
        <v>0.0</v>
      </c>
      <c r="I84" s="42">
        <f>(INT($E$22*5/$D84)-INT($E$22*(5-1)/$D84))*$C84/1000</f>
        <v>0.0</v>
      </c>
      <c r="J84" s="42">
        <f>(INT($E$22*6/$D84)-INT($E$22*(6-1)/$D84))*$C84/1000</f>
        <v>36.09504</v>
      </c>
      <c r="K84" s="42">
        <f>(INT($E$22*7/$D84)-INT($E$22*(7-1)/$D84))*$C84/1000</f>
        <v>0.0</v>
      </c>
      <c r="L84" s="42">
        <f>(INT($E$22*8/$D84)-INT($E$22*(8-1)/$D84))*$C84/1000</f>
        <v>0.0</v>
      </c>
      <c r="M84" s="42">
        <f>(INT($E$22*9/$D84)-INT($E$22*(9-1)/$D84))*$C84/1000</f>
        <v>36.09504</v>
      </c>
      <c r="N84" s="42">
        <f>(INT($E$22*10/$D84)-INT($E$22*(10-1)/$D84))*$C84/1000</f>
        <v>0.0</v>
      </c>
    </row>
    <row r="85">
      <c r="B85" s="22" t="inlineStr">
        <is>
          <t>Гидроцилиндры цом</t>
        </is>
      </c>
      <c r="C85" s="44" t="n">
        <v>33889.12</v>
      </c>
      <c r="D85" s="43" t="n">
        <v>25000</v>
      </c>
      <c r="E85" s="42">
        <f>(INT($E$22*1/$D85)-INT($E$22*(1-1)/$D85))*$C85/1000</f>
        <v>0.0</v>
      </c>
      <c r="F85" s="42">
        <f>(INT($E$22*2/$D85)-INT($E$22*(2-1)/$D85))*$C85/1000</f>
        <v>0.0</v>
      </c>
      <c r="G85" s="42">
        <f>(INT($E$22*3/$D85)-INT($E$22*(3-1)/$D85))*$C85/1000</f>
        <v>0.0</v>
      </c>
      <c r="H85" s="42">
        <f>(INT($E$22*4/$D85)-INT($E$22*(4-1)/$D85))*$C85/1000</f>
        <v>33.889120000000005</v>
      </c>
      <c r="I85" s="42">
        <f>(INT($E$22*5/$D85)-INT($E$22*(5-1)/$D85))*$C85/1000</f>
        <v>0.0</v>
      </c>
      <c r="J85" s="42">
        <f>(INT($E$22*6/$D85)-INT($E$22*(6-1)/$D85))*$C85/1000</f>
        <v>0.0</v>
      </c>
      <c r="K85" s="42">
        <f>(INT($E$22*7/$D85)-INT($E$22*(7-1)/$D85))*$C85/1000</f>
        <v>0.0</v>
      </c>
      <c r="L85" s="42">
        <f>(INT($E$22*8/$D85)-INT($E$22*(8-1)/$D85))*$C85/1000</f>
        <v>33.889120000000005</v>
      </c>
      <c r="M85" s="42">
        <f>(INT($E$22*9/$D85)-INT($E$22*(9-1)/$D85))*$C85/1000</f>
        <v>0.0</v>
      </c>
      <c r="N85" s="42">
        <f>(INT($E$22*10/$D85)-INT($E$22*(10-1)/$D85))*$C85/1000</f>
        <v>0.0</v>
      </c>
    </row>
    <row r="86">
      <c r="B86" s="22" t="inlineStr">
        <is>
          <t>Гидроцилиндры рул</t>
        </is>
      </c>
      <c r="C86" s="44" t="n">
        <v>4198.2</v>
      </c>
      <c r="D86" s="43" t="n">
        <v>20000</v>
      </c>
      <c r="E86" s="42">
        <f>(INT($E$22*1/$D86)-INT($E$22*(1-1)/$D86))*$C86/1000</f>
        <v>0.0</v>
      </c>
      <c r="F86" s="42">
        <f>(INT($E$22*2/$D86)-INT($E$22*(2-1)/$D86))*$C86/1000</f>
        <v>0.0</v>
      </c>
      <c r="G86" s="42">
        <f>(INT($E$22*3/$D86)-INT($E$22*(3-1)/$D86))*$C86/1000</f>
        <v>4.1982</v>
      </c>
      <c r="H86" s="42">
        <f>(INT($E$22*4/$D86)-INT($E$22*(4-1)/$D86))*$C86/1000</f>
        <v>0.0</v>
      </c>
      <c r="I86" s="42">
        <f>(INT($E$22*5/$D86)-INT($E$22*(5-1)/$D86))*$C86/1000</f>
        <v>0.0</v>
      </c>
      <c r="J86" s="42">
        <f>(INT($E$22*6/$D86)-INT($E$22*(6-1)/$D86))*$C86/1000</f>
        <v>4.1982</v>
      </c>
      <c r="K86" s="42">
        <f>(INT($E$22*7/$D86)-INT($E$22*(7-1)/$D86))*$C86/1000</f>
        <v>0.0</v>
      </c>
      <c r="L86" s="42">
        <f>(INT($E$22*8/$D86)-INT($E$22*(8-1)/$D86))*$C86/1000</f>
        <v>0.0</v>
      </c>
      <c r="M86" s="42">
        <f>(INT($E$22*9/$D86)-INT($E$22*(9-1)/$D86))*$C86/1000</f>
        <v>4.1982</v>
      </c>
      <c r="N86" s="42">
        <f>(INT($E$22*10/$D86)-INT($E$22*(10-1)/$D86))*$C86/1000</f>
        <v>0.0</v>
      </c>
    </row>
    <row r="87">
      <c r="B87" s="22" t="inlineStr">
        <is>
          <t>Насос гидравлический</t>
        </is>
      </c>
      <c r="C87" s="44" t="n">
        <v>76284.34</v>
      </c>
      <c r="D87" s="43" t="n">
        <v>20000</v>
      </c>
      <c r="E87" s="42">
        <f>(INT($E$22*1/$D87)-INT($E$22*(1-1)/$D87))*$C87/1000</f>
        <v>0.0</v>
      </c>
      <c r="F87" s="42">
        <f>(INT($E$22*2/$D87)-INT($E$22*(2-1)/$D87))*$C87/1000</f>
        <v>0.0</v>
      </c>
      <c r="G87" s="42">
        <f>(INT($E$22*3/$D87)-INT($E$22*(3-1)/$D87))*$C87/1000</f>
        <v>76.28434</v>
      </c>
      <c r="H87" s="42">
        <f>(INT($E$22*4/$D87)-INT($E$22*(4-1)/$D87))*$C87/1000</f>
        <v>0.0</v>
      </c>
      <c r="I87" s="42">
        <f>(INT($E$22*5/$D87)-INT($E$22*(5-1)/$D87))*$C87/1000</f>
        <v>0.0</v>
      </c>
      <c r="J87" s="42">
        <f>(INT($E$22*6/$D87)-INT($E$22*(6-1)/$D87))*$C87/1000</f>
        <v>76.28434</v>
      </c>
      <c r="K87" s="42">
        <f>(INT($E$22*7/$D87)-INT($E$22*(7-1)/$D87))*$C87/1000</f>
        <v>0.0</v>
      </c>
      <c r="L87" s="42">
        <f>(INT($E$22*8/$D87)-INT($E$22*(8-1)/$D87))*$C87/1000</f>
        <v>0.0</v>
      </c>
      <c r="M87" s="42">
        <f>(INT($E$22*9/$D87)-INT($E$22*(9-1)/$D87))*$C87/1000</f>
        <v>76.28434</v>
      </c>
      <c r="N87" s="42">
        <f>(INT($E$22*10/$D87)-INT($E$22*(10-1)/$D87))*$C87/1000</f>
        <v>0.0</v>
      </c>
    </row>
    <row r="88">
      <c r="B88" s="22" t="inlineStr">
        <is>
          <t>Насос рулевой</t>
        </is>
      </c>
      <c r="C88" s="44" t="n">
        <v>49282.33</v>
      </c>
      <c r="D88" s="43" t="n">
        <v>20000</v>
      </c>
      <c r="E88" s="42">
        <f>(INT($E$22*1/$D88)-INT($E$22*(1-1)/$D88))*$C88/1000</f>
        <v>0.0</v>
      </c>
      <c r="F88" s="42">
        <f>(INT($E$22*2/$D88)-INT($E$22*(2-1)/$D88))*$C88/1000</f>
        <v>0.0</v>
      </c>
      <c r="G88" s="42">
        <f>(INT($E$22*3/$D88)-INT($E$22*(3-1)/$D88))*$C88/1000</f>
        <v>49.28233</v>
      </c>
      <c r="H88" s="42">
        <f>(INT($E$22*4/$D88)-INT($E$22*(4-1)/$D88))*$C88/1000</f>
        <v>0.0</v>
      </c>
      <c r="I88" s="42">
        <f>(INT($E$22*5/$D88)-INT($E$22*(5-1)/$D88))*$C88/1000</f>
        <v>0.0</v>
      </c>
      <c r="J88" s="42">
        <f>(INT($E$22*6/$D88)-INT($E$22*(6-1)/$D88))*$C88/1000</f>
        <v>49.28233</v>
      </c>
      <c r="K88" s="42">
        <f>(INT($E$22*7/$D88)-INT($E$22*(7-1)/$D88))*$C88/1000</f>
        <v>0.0</v>
      </c>
      <c r="L88" s="42">
        <f>(INT($E$22*8/$D88)-INT($E$22*(8-1)/$D88))*$C88/1000</f>
        <v>0.0</v>
      </c>
      <c r="M88" s="42">
        <f>(INT($E$22*9/$D88)-INT($E$22*(9-1)/$D88))*$C88/1000</f>
        <v>49.28233</v>
      </c>
      <c r="N88" s="42">
        <f>(INT($E$22*10/$D88)-INT($E$22*(10-1)/$D88))*$C88/1000</f>
        <v>0.0</v>
      </c>
    </row>
    <row r="89">
      <c r="B89" s="22" t="inlineStr">
        <is>
          <t>Радиатор</t>
        </is>
      </c>
      <c r="C89" s="44" t="n">
        <v>504000</v>
      </c>
      <c r="D89" s="43" t="n">
        <v>20000</v>
      </c>
      <c r="E89" s="42">
        <f>(INT($E$22*1/$D89)-INT($E$22*(1-1)/$D89))*$C89/1000</f>
        <v>0.0</v>
      </c>
      <c r="F89" s="42">
        <f>(INT($E$22*2/$D89)-INT($E$22*(2-1)/$D89))*$C89/1000</f>
        <v>0.0</v>
      </c>
      <c r="G89" s="42">
        <f>(INT($E$22*3/$D89)-INT($E$22*(3-1)/$D89))*$C89/1000</f>
        <v>504.0</v>
      </c>
      <c r="H89" s="42">
        <f>(INT($E$22*4/$D89)-INT($E$22*(4-1)/$D89))*$C89/1000</f>
        <v>0.0</v>
      </c>
      <c r="I89" s="42">
        <f>(INT($E$22*5/$D89)-INT($E$22*(5-1)/$D89))*$C89/1000</f>
        <v>0.0</v>
      </c>
      <c r="J89" s="42">
        <f>(INT($E$22*6/$D89)-INT($E$22*(6-1)/$D89))*$C89/1000</f>
        <v>504.0</v>
      </c>
      <c r="K89" s="42">
        <f>(INT($E$22*7/$D89)-INT($E$22*(7-1)/$D89))*$C89/1000</f>
        <v>0.0</v>
      </c>
      <c r="L89" s="42">
        <f>(INT($E$22*8/$D89)-INT($E$22*(8-1)/$D89))*$C89/1000</f>
        <v>0.0</v>
      </c>
      <c r="M89" s="42">
        <f>(INT($E$22*9/$D89)-INT($E$22*(9-1)/$D89))*$C89/1000</f>
        <v>504.0</v>
      </c>
      <c r="N89" s="42">
        <f>(INT($E$22*10/$D89)-INT($E$22*(10-1)/$D89))*$C89/1000</f>
        <v>0.0</v>
      </c>
    </row>
    <row r="90">
      <c r="B90" s="22" t="inlineStr">
        <is>
          <t>Радиатор гидравлический</t>
        </is>
      </c>
      <c r="C90" s="44" t="n">
        <v>7872</v>
      </c>
      <c r="D90" s="43" t="n">
        <v>30000</v>
      </c>
      <c r="E90" s="42">
        <f>(INT($E$22*1/$D90)-INT($E$22*(1-1)/$D90))*$C90/1000</f>
        <v>0.0</v>
      </c>
      <c r="F90" s="42">
        <f>(INT($E$22*2/$D90)-INT($E$22*(2-1)/$D90))*$C90/1000</f>
        <v>0.0</v>
      </c>
      <c r="G90" s="42">
        <f>(INT($E$22*3/$D90)-INT($E$22*(3-1)/$D90))*$C90/1000</f>
        <v>0.0</v>
      </c>
      <c r="H90" s="42">
        <f>(INT($E$22*4/$D90)-INT($E$22*(4-1)/$D90))*$C90/1000</f>
        <v>0.0</v>
      </c>
      <c r="I90" s="42">
        <f>(INT($E$22*5/$D90)-INT($E$22*(5-1)/$D90))*$C90/1000</f>
        <v>7.872</v>
      </c>
      <c r="J90" s="42">
        <f>(INT($E$22*6/$D90)-INT($E$22*(6-1)/$D90))*$C90/1000</f>
        <v>0.0</v>
      </c>
      <c r="K90" s="42">
        <f>(INT($E$22*7/$D90)-INT($E$22*(7-1)/$D90))*$C90/1000</f>
        <v>0.0</v>
      </c>
      <c r="L90" s="42">
        <f>(INT($E$22*8/$D90)-INT($E$22*(8-1)/$D90))*$C90/1000</f>
        <v>0.0</v>
      </c>
      <c r="M90" s="42">
        <f>(INT($E$22*9/$D90)-INT($E$22*(9-1)/$D90))*$C90/1000</f>
        <v>7.872</v>
      </c>
      <c r="N90" s="42">
        <f>(INT($E$22*10/$D90)-INT($E$22*(10-1)/$D90))*$C90/1000</f>
        <v>0.0</v>
      </c>
    </row>
    <row r="91">
      <c r="B91" s="22" t="inlineStr">
        <is>
          <t>Вентилятор</t>
        </is>
      </c>
      <c r="C91" s="44" t="n">
        <v>69523.91</v>
      </c>
      <c r="D91" s="43" t="n">
        <v>20000</v>
      </c>
      <c r="E91" s="42">
        <f>(INT($E$22*1/$D91)-INT($E$22*(1-1)/$D91))*$C91/1000</f>
        <v>0.0</v>
      </c>
      <c r="F91" s="42">
        <f>(INT($E$22*2/$D91)-INT($E$22*(2-1)/$D91))*$C91/1000</f>
        <v>0.0</v>
      </c>
      <c r="G91" s="42">
        <f>(INT($E$22*3/$D91)-INT($E$22*(3-1)/$D91))*$C91/1000</f>
        <v>69.52391</v>
      </c>
      <c r="H91" s="42">
        <f>(INT($E$22*4/$D91)-INT($E$22*(4-1)/$D91))*$C91/1000</f>
        <v>0.0</v>
      </c>
      <c r="I91" s="42">
        <f>(INT($E$22*5/$D91)-INT($E$22*(5-1)/$D91))*$C91/1000</f>
        <v>0.0</v>
      </c>
      <c r="J91" s="42">
        <f>(INT($E$22*6/$D91)-INT($E$22*(6-1)/$D91))*$C91/1000</f>
        <v>69.52391</v>
      </c>
      <c r="K91" s="42">
        <f>(INT($E$22*7/$D91)-INT($E$22*(7-1)/$D91))*$C91/1000</f>
        <v>0.0</v>
      </c>
      <c r="L91" s="42">
        <f>(INT($E$22*8/$D91)-INT($E$22*(8-1)/$D91))*$C91/1000</f>
        <v>0.0</v>
      </c>
      <c r="M91" s="42">
        <f>(INT($E$22*9/$D91)-INT($E$22*(9-1)/$D91))*$C91/1000</f>
        <v>69.52391</v>
      </c>
      <c r="N91" s="42">
        <f>(INT($E$22*10/$D91)-INT($E$22*(10-1)/$D91))*$C91/1000</f>
        <v>0.0</v>
      </c>
    </row>
    <row r="92">
      <c r="B92" s="22" t="inlineStr">
        <is>
          <t>Водяной насос охлаждения</t>
        </is>
      </c>
      <c r="C92" s="44" t="n">
        <v>90492.92999999999</v>
      </c>
      <c r="D92" s="43" t="n">
        <v>20000</v>
      </c>
      <c r="E92" s="42">
        <f>(INT($E$22*1/$D92)-INT($E$22*(1-1)/$D92))*$C92/1000</f>
        <v>0.0</v>
      </c>
      <c r="F92" s="42">
        <f>(INT($E$22*2/$D92)-INT($E$22*(2-1)/$D92))*$C92/1000</f>
        <v>0.0</v>
      </c>
      <c r="G92" s="42">
        <f>(INT($E$22*3/$D92)-INT($E$22*(3-1)/$D92))*$C92/1000</f>
        <v>90.49292999999999</v>
      </c>
      <c r="H92" s="42">
        <f>(INT($E$22*4/$D92)-INT($E$22*(4-1)/$D92))*$C92/1000</f>
        <v>0.0</v>
      </c>
      <c r="I92" s="42">
        <f>(INT($E$22*5/$D92)-INT($E$22*(5-1)/$D92))*$C92/1000</f>
        <v>0.0</v>
      </c>
      <c r="J92" s="42">
        <f>(INT($E$22*6/$D92)-INT($E$22*(6-1)/$D92))*$C92/1000</f>
        <v>90.49292999999999</v>
      </c>
      <c r="K92" s="42">
        <f>(INT($E$22*7/$D92)-INT($E$22*(7-1)/$D92))*$C92/1000</f>
        <v>0.0</v>
      </c>
      <c r="L92" s="42">
        <f>(INT($E$22*8/$D92)-INT($E$22*(8-1)/$D92))*$C92/1000</f>
        <v>0.0</v>
      </c>
      <c r="M92" s="42">
        <f>(INT($E$22*9/$D92)-INT($E$22*(9-1)/$D92))*$C92/1000</f>
        <v>90.49292999999999</v>
      </c>
      <c r="N92" s="42">
        <f>(INT($E$22*10/$D92)-INT($E$22*(10-1)/$D92))*$C92/1000</f>
        <v>0.0</v>
      </c>
    </row>
    <row r="93">
      <c r="B93" s="22" t="inlineStr">
        <is>
          <t>Насос ЦСС</t>
        </is>
      </c>
      <c r="C93" s="44" t="n">
        <v>47961.74</v>
      </c>
      <c r="D93" s="43" t="n">
        <v>15000</v>
      </c>
      <c r="E93" s="42">
        <f>(INT($E$22*1/$D93)-INT($E$22*(1-1)/$D93))*$C93/1000</f>
        <v>0.0</v>
      </c>
      <c r="F93" s="42">
        <f>(INT($E$22*2/$D93)-INT($E$22*(2-1)/$D93))*$C93/1000</f>
        <v>0.0</v>
      </c>
      <c r="G93" s="42">
        <f>(INT($E$22*3/$D93)-INT($E$22*(3-1)/$D93))*$C93/1000</f>
        <v>47.96174</v>
      </c>
      <c r="H93" s="42">
        <f>(INT($E$22*4/$D93)-INT($E$22*(4-1)/$D93))*$C93/1000</f>
        <v>0.0</v>
      </c>
      <c r="I93" s="42">
        <f>(INT($E$22*5/$D93)-INT($E$22*(5-1)/$D93))*$C93/1000</f>
        <v>47.96174</v>
      </c>
      <c r="J93" s="42">
        <f>(INT($E$22*6/$D93)-INT($E$22*(6-1)/$D93))*$C93/1000</f>
        <v>0.0</v>
      </c>
      <c r="K93" s="42">
        <f>(INT($E$22*7/$D93)-INT($E$22*(7-1)/$D93))*$C93/1000</f>
        <v>47.96174</v>
      </c>
      <c r="L93" s="42">
        <f>(INT($E$22*8/$D93)-INT($E$22*(8-1)/$D93))*$C93/1000</f>
        <v>0.0</v>
      </c>
      <c r="M93" s="42">
        <f>(INT($E$22*9/$D93)-INT($E$22*(9-1)/$D93))*$C93/1000</f>
        <v>47.96174</v>
      </c>
      <c r="N93" s="42">
        <f>(INT($E$22*10/$D93)-INT($E$22*(10-1)/$D93))*$C93/1000</f>
        <v>0.0</v>
      </c>
    </row>
    <row r="94">
      <c r="B94" s="22" t="inlineStr">
        <is>
          <t>Подшипники передней оси</t>
        </is>
      </c>
      <c r="C94" s="44" t="n">
        <v>47961.74</v>
      </c>
      <c r="D94" s="43" t="n">
        <v>25000</v>
      </c>
      <c r="E94" s="42">
        <f>(INT($E$22*1/$D94)-INT($E$22*(1-1)/$D94))*$C94/1000</f>
        <v>0.0</v>
      </c>
      <c r="F94" s="42">
        <f>(INT($E$22*2/$D94)-INT($E$22*(2-1)/$D94))*$C94/1000</f>
        <v>0.0</v>
      </c>
      <c r="G94" s="42">
        <f>(INT($E$22*3/$D94)-INT($E$22*(3-1)/$D94))*$C94/1000</f>
        <v>0.0</v>
      </c>
      <c r="H94" s="42">
        <f>(INT($E$22*4/$D94)-INT($E$22*(4-1)/$D94))*$C94/1000</f>
        <v>47.96174</v>
      </c>
      <c r="I94" s="42">
        <f>(INT($E$22*5/$D94)-INT($E$22*(5-1)/$D94))*$C94/1000</f>
        <v>0.0</v>
      </c>
      <c r="J94" s="42">
        <f>(INT($E$22*6/$D94)-INT($E$22*(6-1)/$D94))*$C94/1000</f>
        <v>0.0</v>
      </c>
      <c r="K94" s="42">
        <f>(INT($E$22*7/$D94)-INT($E$22*(7-1)/$D94))*$C94/1000</f>
        <v>0.0</v>
      </c>
      <c r="L94" s="42">
        <f>(INT($E$22*8/$D94)-INT($E$22*(8-1)/$D94))*$C94/1000</f>
        <v>47.96174</v>
      </c>
      <c r="M94" s="42">
        <f>(INT($E$22*9/$D94)-INT($E$22*(9-1)/$D94))*$C94/1000</f>
        <v>0.0</v>
      </c>
      <c r="N94" s="42">
        <f>(INT($E$22*10/$D94)-INT($E$22*(10-1)/$D94))*$C94/1000</f>
        <v>0.0</v>
      </c>
    </row>
    <row r="95">
      <c r="B95" s="22" t="inlineStr">
        <is>
          <t>Ходовая часть + прочие работы</t>
        </is>
      </c>
      <c r="C95" s="44" t="n">
        <v>44023</v>
      </c>
      <c r="D95" s="43" t="n">
        <v>10000</v>
      </c>
      <c r="E95" s="42">
        <f>(INT($E$22*1/$D95)-INT($E$22*(1-1)/$D95))*$C95/1000</f>
        <v>0.0</v>
      </c>
      <c r="F95" s="42">
        <f>(INT($E$22*2/$D95)-INT($E$22*(2-1)/$D95))*$C95/1000</f>
        <v>44.023</v>
      </c>
      <c r="G95" s="42">
        <f>(INT($E$22*3/$D95)-INT($E$22*(3-1)/$D95))*$C95/1000</f>
        <v>44.023</v>
      </c>
      <c r="H95" s="42">
        <f>(INT($E$22*4/$D95)-INT($E$22*(4-1)/$D95))*$C95/1000</f>
        <v>0.0</v>
      </c>
      <c r="I95" s="42">
        <f>(INT($E$22*5/$D95)-INT($E$22*(5-1)/$D95))*$C95/1000</f>
        <v>44.023</v>
      </c>
      <c r="J95" s="42">
        <f>(INT($E$22*6/$D95)-INT($E$22*(6-1)/$D95))*$C95/1000</f>
        <v>44.023</v>
      </c>
      <c r="K95" s="42">
        <f>(INT($E$22*7/$D95)-INT($E$22*(7-1)/$D95))*$C95/1000</f>
        <v>0.0</v>
      </c>
      <c r="L95" s="42">
        <f>(INT($E$22*8/$D95)-INT($E$22*(8-1)/$D95))*$C95/1000</f>
        <v>44.023</v>
      </c>
      <c r="M95" s="42">
        <f>(INT($E$22*9/$D95)-INT($E$22*(9-1)/$D95))*$C95/1000</f>
        <v>44.023</v>
      </c>
      <c r="N95" s="42">
        <f>(INT($E$22*10/$D95)-INT($E$22*(10-1)/$D95))*$C95/1000</f>
        <v>44.023</v>
      </c>
    </row>
    <row r="96">
      <c r="B96" s="45" t="inlineStr">
        <is>
          <t>ИТОГО</t>
        </is>
      </c>
      <c r="E96" s="42">
        <f>SUM(E77:E95)</f>
        <v>0.0</v>
      </c>
      <c r="F96" s="42">
        <f>SUM(F77:F95)</f>
        <v>151.6104</v>
      </c>
      <c r="G96" s="42">
        <f>SUM(G77:G95)</f>
        <v>3293.54077</v>
      </c>
      <c r="H96" s="42">
        <f>SUM(H77:H95)</f>
        <v>894.4820299999999</v>
      </c>
      <c r="I96" s="42">
        <f>SUM(I77:I95)</f>
        <v>99.85674</v>
      </c>
      <c r="J96" s="42">
        <f>SUM(J77:J95)</f>
        <v>3353.16643</v>
      </c>
      <c r="K96" s="42">
        <f>SUM(K77:K95)</f>
        <v>47.96174</v>
      </c>
      <c r="L96" s="42">
        <f>SUM(L77:L95)</f>
        <v>938.5050299999999</v>
      </c>
      <c r="M96" s="42">
        <f>SUM(M77:M95)</f>
        <v>3301.4127700000004</v>
      </c>
      <c r="N96" s="42">
        <f>SUM(N77:N95)</f>
        <v>151.6104</v>
      </c>
    </row>
    <row r="98">
      <c r="B98" s="5" t="inlineStr">
        <is>
          <t>КАПИТАЛЬНЫЕ РЕМОНТЫ — ТРУДОЗАТРАТЫ (по ресурсу до замены узла)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B99" s="15" t="inlineStr">
        <is>
          <t>Наименование</t>
        </is>
      </c>
      <c r="C99" s="15" t="inlineStr">
        <is>
          <t>нормо-час/событие</t>
        </is>
      </c>
      <c r="D99" s="15" t="inlineStr">
        <is>
          <t>ресурс, м/ч</t>
        </is>
      </c>
      <c r="E99" s="15" t="inlineStr">
        <is>
          <t>год 1</t>
        </is>
      </c>
      <c r="F99" s="15" t="inlineStr">
        <is>
          <t>год 2</t>
        </is>
      </c>
      <c r="G99" s="15" t="inlineStr">
        <is>
          <t>год 3</t>
        </is>
      </c>
      <c r="H99" s="15" t="inlineStr">
        <is>
          <t>год 4</t>
        </is>
      </c>
      <c r="I99" s="15" t="inlineStr">
        <is>
          <t>год 5</t>
        </is>
      </c>
      <c r="J99" s="15" t="inlineStr">
        <is>
          <t>год 6</t>
        </is>
      </c>
      <c r="K99" s="15" t="inlineStr">
        <is>
          <t>год 7</t>
        </is>
      </c>
      <c r="L99" s="15" t="inlineStr">
        <is>
          <t>год 8</t>
        </is>
      </c>
      <c r="M99" s="15" t="inlineStr">
        <is>
          <t>год 9</t>
        </is>
      </c>
      <c r="N99" s="15" t="inlineStr">
        <is>
          <t>год 10</t>
        </is>
      </c>
    </row>
    <row r="100">
      <c r="B100" s="22" t="inlineStr">
        <is>
          <t>Двигатель</t>
        </is>
      </c>
      <c r="C100" s="44" t="n">
        <v>450</v>
      </c>
      <c r="D100" s="43" t="n">
        <v>20000</v>
      </c>
      <c r="E100" s="42">
        <f>(INT($E$22*1/$D100)-INT($E$22*(1-1)/$D100))*$C100</f>
        <v>0.0</v>
      </c>
      <c r="F100" s="42">
        <f>(INT($E$22*2/$D100)-INT($E$22*(2-1)/$D100))*$C100</f>
        <v>0.0</v>
      </c>
      <c r="G100" s="42">
        <f>(INT($E$22*3/$D100)-INT($E$22*(3-1)/$D100))*$C100</f>
        <v>450.0</v>
      </c>
      <c r="H100" s="42">
        <f>(INT($E$22*4/$D100)-INT($E$22*(4-1)/$D100))*$C100</f>
        <v>0.0</v>
      </c>
      <c r="I100" s="42">
        <f>(INT($E$22*5/$D100)-INT($E$22*(5-1)/$D100))*$C100</f>
        <v>0.0</v>
      </c>
      <c r="J100" s="42">
        <f>(INT($E$22*6/$D100)-INT($E$22*(6-1)/$D100))*$C100</f>
        <v>450.0</v>
      </c>
      <c r="K100" s="42">
        <f>(INT($E$22*7/$D100)-INT($E$22*(7-1)/$D100))*$C100</f>
        <v>0.0</v>
      </c>
      <c r="L100" s="42">
        <f>(INT($E$22*8/$D100)-INT($E$22*(8-1)/$D100))*$C100</f>
        <v>0.0</v>
      </c>
      <c r="M100" s="42">
        <f>(INT($E$22*9/$D100)-INT($E$22*(9-1)/$D100))*$C100</f>
        <v>450.0</v>
      </c>
      <c r="N100" s="42">
        <f>(INT($E$22*10/$D100)-INT($E$22*(10-1)/$D100))*$C100</f>
        <v>0.0</v>
      </c>
    </row>
    <row r="101">
      <c r="B101" s="22" t="inlineStr">
        <is>
          <t>Турбокомпрессор</t>
        </is>
      </c>
      <c r="C101" s="44" t="n">
        <v>20</v>
      </c>
      <c r="D101" s="43" t="n">
        <v>14000</v>
      </c>
      <c r="E101" s="42">
        <f>(INT($E$22*1/$D101)-INT($E$22*(1-1)/$D101))*$C101</f>
        <v>0.0</v>
      </c>
      <c r="F101" s="42">
        <f>(INT($E$22*2/$D101)-INT($E$22*(2-1)/$D101))*$C101</f>
        <v>20.0</v>
      </c>
      <c r="G101" s="42">
        <f>(INT($E$22*3/$D101)-INT($E$22*(3-1)/$D101))*$C101</f>
        <v>0.0</v>
      </c>
      <c r="H101" s="42">
        <f>(INT($E$22*4/$D101)-INT($E$22*(4-1)/$D101))*$C101</f>
        <v>20.0</v>
      </c>
      <c r="I101" s="42">
        <f>(INT($E$22*5/$D101)-INT($E$22*(5-1)/$D101))*$C101</f>
        <v>0.0</v>
      </c>
      <c r="J101" s="42">
        <f>(INT($E$22*6/$D101)-INT($E$22*(6-1)/$D101))*$C101</f>
        <v>20.0</v>
      </c>
      <c r="K101" s="42">
        <f>(INT($E$22*7/$D101)-INT($E$22*(7-1)/$D101))*$C101</f>
        <v>0.0</v>
      </c>
      <c r="L101" s="42">
        <f>(INT($E$22*8/$D101)-INT($E$22*(8-1)/$D101))*$C101</f>
        <v>20.0</v>
      </c>
      <c r="M101" s="42">
        <f>(INT($E$22*9/$D101)-INT($E$22*(9-1)/$D101))*$C101</f>
        <v>0.0</v>
      </c>
      <c r="N101" s="42">
        <f>(INT($E$22*10/$D101)-INT($E$22*(10-1)/$D101))*$C101</f>
        <v>20.0</v>
      </c>
    </row>
    <row r="102">
      <c r="B102" s="22" t="inlineStr">
        <is>
          <t>Блок инжектора</t>
        </is>
      </c>
      <c r="C102" s="44" t="n">
        <v>6</v>
      </c>
      <c r="D102" s="43" t="n">
        <v>20000</v>
      </c>
      <c r="E102" s="42">
        <f>(INT($E$22*1/$D102)-INT($E$22*(1-1)/$D102))*$C102</f>
        <v>0.0</v>
      </c>
      <c r="F102" s="42">
        <f>(INT($E$22*2/$D102)-INT($E$22*(2-1)/$D102))*$C102</f>
        <v>0.0</v>
      </c>
      <c r="G102" s="42">
        <f>(INT($E$22*3/$D102)-INT($E$22*(3-1)/$D102))*$C102</f>
        <v>6.0</v>
      </c>
      <c r="H102" s="42">
        <f>(INT($E$22*4/$D102)-INT($E$22*(4-1)/$D102))*$C102</f>
        <v>0.0</v>
      </c>
      <c r="I102" s="42">
        <f>(INT($E$22*5/$D102)-INT($E$22*(5-1)/$D102))*$C102</f>
        <v>0.0</v>
      </c>
      <c r="J102" s="42">
        <f>(INT($E$22*6/$D102)-INT($E$22*(6-1)/$D102))*$C102</f>
        <v>6.0</v>
      </c>
      <c r="K102" s="42">
        <f>(INT($E$22*7/$D102)-INT($E$22*(7-1)/$D102))*$C102</f>
        <v>0.0</v>
      </c>
      <c r="L102" s="42">
        <f>(INT($E$22*8/$D102)-INT($E$22*(8-1)/$D102))*$C102</f>
        <v>0.0</v>
      </c>
      <c r="M102" s="42">
        <f>(INT($E$22*9/$D102)-INT($E$22*(9-1)/$D102))*$C102</f>
        <v>6.0</v>
      </c>
      <c r="N102" s="42">
        <f>(INT($E$22*10/$D102)-INT($E$22*(10-1)/$D102))*$C102</f>
        <v>0.0</v>
      </c>
    </row>
    <row r="103">
      <c r="B103" s="22" t="inlineStr">
        <is>
          <t>Глушитель</t>
        </is>
      </c>
      <c r="C103" s="44" t="n">
        <v>4</v>
      </c>
      <c r="D103" s="43" t="n">
        <v>20000</v>
      </c>
      <c r="E103" s="42">
        <f>(INT($E$22*1/$D103)-INT($E$22*(1-1)/$D103))*$C103</f>
        <v>0.0</v>
      </c>
      <c r="F103" s="42">
        <f>(INT($E$22*2/$D103)-INT($E$22*(2-1)/$D103))*$C103</f>
        <v>0.0</v>
      </c>
      <c r="G103" s="42">
        <f>(INT($E$22*3/$D103)-INT($E$22*(3-1)/$D103))*$C103</f>
        <v>4.0</v>
      </c>
      <c r="H103" s="42">
        <f>(INT($E$22*4/$D103)-INT($E$22*(4-1)/$D103))*$C103</f>
        <v>0.0</v>
      </c>
      <c r="I103" s="42">
        <f>(INT($E$22*5/$D103)-INT($E$22*(5-1)/$D103))*$C103</f>
        <v>0.0</v>
      </c>
      <c r="J103" s="42">
        <f>(INT($E$22*6/$D103)-INT($E$22*(6-1)/$D103))*$C103</f>
        <v>4.0</v>
      </c>
      <c r="K103" s="42">
        <f>(INT($E$22*7/$D103)-INT($E$22*(7-1)/$D103))*$C103</f>
        <v>0.0</v>
      </c>
      <c r="L103" s="42">
        <f>(INT($E$22*8/$D103)-INT($E$22*(8-1)/$D103))*$C103</f>
        <v>0.0</v>
      </c>
      <c r="M103" s="42">
        <f>(INT($E$22*9/$D103)-INT($E$22*(9-1)/$D103))*$C103</f>
        <v>4.0</v>
      </c>
      <c r="N103" s="42">
        <f>(INT($E$22*10/$D103)-INT($E$22*(10-1)/$D103))*$C103</f>
        <v>0.0</v>
      </c>
    </row>
    <row r="104">
      <c r="B104" s="22" t="inlineStr">
        <is>
          <t>Главный Генератор</t>
        </is>
      </c>
      <c r="C104" s="44" t="n">
        <v>200</v>
      </c>
      <c r="D104" s="43" t="n">
        <v>25000</v>
      </c>
      <c r="E104" s="42">
        <f>(INT($E$22*1/$D104)-INT($E$22*(1-1)/$D104))*$C104</f>
        <v>0.0</v>
      </c>
      <c r="F104" s="42">
        <f>(INT($E$22*2/$D104)-INT($E$22*(2-1)/$D104))*$C104</f>
        <v>0.0</v>
      </c>
      <c r="G104" s="42">
        <f>(INT($E$22*3/$D104)-INT($E$22*(3-1)/$D104))*$C104</f>
        <v>0.0</v>
      </c>
      <c r="H104" s="42">
        <f>(INT($E$22*4/$D104)-INT($E$22*(4-1)/$D104))*$C104</f>
        <v>200.0</v>
      </c>
      <c r="I104" s="42">
        <f>(INT($E$22*5/$D104)-INT($E$22*(5-1)/$D104))*$C104</f>
        <v>0.0</v>
      </c>
      <c r="J104" s="42">
        <f>(INT($E$22*6/$D104)-INT($E$22*(6-1)/$D104))*$C104</f>
        <v>0.0</v>
      </c>
      <c r="K104" s="42">
        <f>(INT($E$22*7/$D104)-INT($E$22*(7-1)/$D104))*$C104</f>
        <v>0.0</v>
      </c>
      <c r="L104" s="42">
        <f>(INT($E$22*8/$D104)-INT($E$22*(8-1)/$D104))*$C104</f>
        <v>200.0</v>
      </c>
      <c r="M104" s="42">
        <f>(INT($E$22*9/$D104)-INT($E$22*(9-1)/$D104))*$C104</f>
        <v>0.0</v>
      </c>
      <c r="N104" s="42">
        <f>(INT($E$22*10/$D104)-INT($E$22*(10-1)/$D104))*$C104</f>
        <v>0.0</v>
      </c>
    </row>
    <row r="105">
      <c r="B105" s="22" t="inlineStr">
        <is>
          <t>РМК</t>
        </is>
      </c>
      <c r="C105" s="44" t="n">
        <v>700</v>
      </c>
      <c r="D105" s="43" t="n">
        <v>25000</v>
      </c>
      <c r="E105" s="42">
        <f>(INT($E$22*1/$D105)-INT($E$22*(1-1)/$D105))*$C105</f>
        <v>0.0</v>
      </c>
      <c r="F105" s="42">
        <f>(INT($E$22*2/$D105)-INT($E$22*(2-1)/$D105))*$C105</f>
        <v>0.0</v>
      </c>
      <c r="G105" s="42">
        <f>(INT($E$22*3/$D105)-INT($E$22*(3-1)/$D105))*$C105</f>
        <v>0.0</v>
      </c>
      <c r="H105" s="42">
        <f>(INT($E$22*4/$D105)-INT($E$22*(4-1)/$D105))*$C105</f>
        <v>700.0</v>
      </c>
      <c r="I105" s="42">
        <f>(INT($E$22*5/$D105)-INT($E$22*(5-1)/$D105))*$C105</f>
        <v>0.0</v>
      </c>
      <c r="J105" s="42">
        <f>(INT($E$22*6/$D105)-INT($E$22*(6-1)/$D105))*$C105</f>
        <v>0.0</v>
      </c>
      <c r="K105" s="42">
        <f>(INT($E$22*7/$D105)-INT($E$22*(7-1)/$D105))*$C105</f>
        <v>0.0</v>
      </c>
      <c r="L105" s="42">
        <f>(INT($E$22*8/$D105)-INT($E$22*(8-1)/$D105))*$C105</f>
        <v>700.0</v>
      </c>
      <c r="M105" s="42">
        <f>(INT($E$22*9/$D105)-INT($E$22*(9-1)/$D105))*$C105</f>
        <v>0.0</v>
      </c>
      <c r="N105" s="42">
        <f>(INT($E$22*10/$D105)-INT($E$22*(10-1)/$D105))*$C105</f>
        <v>0.0</v>
      </c>
    </row>
    <row r="106">
      <c r="B106" s="22" t="inlineStr">
        <is>
          <t>Ретардер</t>
        </is>
      </c>
      <c r="C106" s="44" t="n">
        <v>80</v>
      </c>
      <c r="D106" s="43" t="n">
        <v>25000</v>
      </c>
      <c r="E106" s="42">
        <f>(INT($E$22*1/$D106)-INT($E$22*(1-1)/$D106))*$C106</f>
        <v>0.0</v>
      </c>
      <c r="F106" s="42">
        <f>(INT($E$22*2/$D106)-INT($E$22*(2-1)/$D106))*$C106</f>
        <v>0.0</v>
      </c>
      <c r="G106" s="42">
        <f>(INT($E$22*3/$D106)-INT($E$22*(3-1)/$D106))*$C106</f>
        <v>0.0</v>
      </c>
      <c r="H106" s="42">
        <f>(INT($E$22*4/$D106)-INT($E$22*(4-1)/$D106))*$C106</f>
        <v>80.0</v>
      </c>
      <c r="I106" s="42">
        <f>(INT($E$22*5/$D106)-INT($E$22*(5-1)/$D106))*$C106</f>
        <v>0.0</v>
      </c>
      <c r="J106" s="42">
        <f>(INT($E$22*6/$D106)-INT($E$22*(6-1)/$D106))*$C106</f>
        <v>0.0</v>
      </c>
      <c r="K106" s="42">
        <f>(INT($E$22*7/$D106)-INT($E$22*(7-1)/$D106))*$C106</f>
        <v>0.0</v>
      </c>
      <c r="L106" s="42">
        <f>(INT($E$22*8/$D106)-INT($E$22*(8-1)/$D106))*$C106</f>
        <v>80.0</v>
      </c>
      <c r="M106" s="42">
        <f>(INT($E$22*9/$D106)-INT($E$22*(9-1)/$D106))*$C106</f>
        <v>0.0</v>
      </c>
      <c r="N106" s="42">
        <f>(INT($E$22*10/$D106)-INT($E$22*(10-1)/$D106))*$C106</f>
        <v>0.0</v>
      </c>
    </row>
    <row r="107">
      <c r="B107" s="22" t="inlineStr">
        <is>
          <t>Подвеска (перед. и задняя)</t>
        </is>
      </c>
      <c r="C107" s="44" t="n">
        <v>20</v>
      </c>
      <c r="D107" s="43" t="n">
        <v>20000</v>
      </c>
      <c r="E107" s="42">
        <f>(INT($E$22*1/$D107)-INT($E$22*(1-1)/$D107))*$C107</f>
        <v>0.0</v>
      </c>
      <c r="F107" s="42">
        <f>(INT($E$22*2/$D107)-INT($E$22*(2-1)/$D107))*$C107</f>
        <v>0.0</v>
      </c>
      <c r="G107" s="42">
        <f>(INT($E$22*3/$D107)-INT($E$22*(3-1)/$D107))*$C107</f>
        <v>20.0</v>
      </c>
      <c r="H107" s="42">
        <f>(INT($E$22*4/$D107)-INT($E$22*(4-1)/$D107))*$C107</f>
        <v>0.0</v>
      </c>
      <c r="I107" s="42">
        <f>(INT($E$22*5/$D107)-INT($E$22*(5-1)/$D107))*$C107</f>
        <v>0.0</v>
      </c>
      <c r="J107" s="42">
        <f>(INT($E$22*6/$D107)-INT($E$22*(6-1)/$D107))*$C107</f>
        <v>20.0</v>
      </c>
      <c r="K107" s="42">
        <f>(INT($E$22*7/$D107)-INT($E$22*(7-1)/$D107))*$C107</f>
        <v>0.0</v>
      </c>
      <c r="L107" s="42">
        <f>(INT($E$22*8/$D107)-INT($E$22*(8-1)/$D107))*$C107</f>
        <v>0.0</v>
      </c>
      <c r="M107" s="42">
        <f>(INT($E$22*9/$D107)-INT($E$22*(9-1)/$D107))*$C107</f>
        <v>20.0</v>
      </c>
      <c r="N107" s="42">
        <f>(INT($E$22*10/$D107)-INT($E$22*(10-1)/$D107))*$C107</f>
        <v>0.0</v>
      </c>
    </row>
    <row r="108">
      <c r="B108" s="22" t="inlineStr">
        <is>
          <t>Гидроцилиндры цом</t>
        </is>
      </c>
      <c r="C108" s="44" t="n">
        <v>22</v>
      </c>
      <c r="D108" s="43" t="n">
        <v>25000</v>
      </c>
      <c r="E108" s="42">
        <f>(INT($E$22*1/$D108)-INT($E$22*(1-1)/$D108))*$C108</f>
        <v>0.0</v>
      </c>
      <c r="F108" s="42">
        <f>(INT($E$22*2/$D108)-INT($E$22*(2-1)/$D108))*$C108</f>
        <v>0.0</v>
      </c>
      <c r="G108" s="42">
        <f>(INT($E$22*3/$D108)-INT($E$22*(3-1)/$D108))*$C108</f>
        <v>0.0</v>
      </c>
      <c r="H108" s="42">
        <f>(INT($E$22*4/$D108)-INT($E$22*(4-1)/$D108))*$C108</f>
        <v>22.0</v>
      </c>
      <c r="I108" s="42">
        <f>(INT($E$22*5/$D108)-INT($E$22*(5-1)/$D108))*$C108</f>
        <v>0.0</v>
      </c>
      <c r="J108" s="42">
        <f>(INT($E$22*6/$D108)-INT($E$22*(6-1)/$D108))*$C108</f>
        <v>0.0</v>
      </c>
      <c r="K108" s="42">
        <f>(INT($E$22*7/$D108)-INT($E$22*(7-1)/$D108))*$C108</f>
        <v>0.0</v>
      </c>
      <c r="L108" s="42">
        <f>(INT($E$22*8/$D108)-INT($E$22*(8-1)/$D108))*$C108</f>
        <v>22.0</v>
      </c>
      <c r="M108" s="42">
        <f>(INT($E$22*9/$D108)-INT($E$22*(9-1)/$D108))*$C108</f>
        <v>0.0</v>
      </c>
      <c r="N108" s="42">
        <f>(INT($E$22*10/$D108)-INT($E$22*(10-1)/$D108))*$C108</f>
        <v>0.0</v>
      </c>
    </row>
    <row r="109">
      <c r="B109" s="22" t="inlineStr">
        <is>
          <t>Гидроцилиндры рул</t>
        </is>
      </c>
      <c r="C109" s="44" t="n">
        <v>8</v>
      </c>
      <c r="D109" s="43" t="n">
        <v>20000</v>
      </c>
      <c r="E109" s="42">
        <f>(INT($E$22*1/$D109)-INT($E$22*(1-1)/$D109))*$C109</f>
        <v>0.0</v>
      </c>
      <c r="F109" s="42">
        <f>(INT($E$22*2/$D109)-INT($E$22*(2-1)/$D109))*$C109</f>
        <v>0.0</v>
      </c>
      <c r="G109" s="42">
        <f>(INT($E$22*3/$D109)-INT($E$22*(3-1)/$D109))*$C109</f>
        <v>8.0</v>
      </c>
      <c r="H109" s="42">
        <f>(INT($E$22*4/$D109)-INT($E$22*(4-1)/$D109))*$C109</f>
        <v>0.0</v>
      </c>
      <c r="I109" s="42">
        <f>(INT($E$22*5/$D109)-INT($E$22*(5-1)/$D109))*$C109</f>
        <v>0.0</v>
      </c>
      <c r="J109" s="42">
        <f>(INT($E$22*6/$D109)-INT($E$22*(6-1)/$D109))*$C109</f>
        <v>8.0</v>
      </c>
      <c r="K109" s="42">
        <f>(INT($E$22*7/$D109)-INT($E$22*(7-1)/$D109))*$C109</f>
        <v>0.0</v>
      </c>
      <c r="L109" s="42">
        <f>(INT($E$22*8/$D109)-INT($E$22*(8-1)/$D109))*$C109</f>
        <v>0.0</v>
      </c>
      <c r="M109" s="42">
        <f>(INT($E$22*9/$D109)-INT($E$22*(9-1)/$D109))*$C109</f>
        <v>8.0</v>
      </c>
      <c r="N109" s="42">
        <f>(INT($E$22*10/$D109)-INT($E$22*(10-1)/$D109))*$C109</f>
        <v>0.0</v>
      </c>
    </row>
    <row r="110">
      <c r="B110" s="22" t="inlineStr">
        <is>
          <t>Насос гидравлический</t>
        </is>
      </c>
      <c r="C110" s="44" t="n">
        <v>8</v>
      </c>
      <c r="D110" s="43" t="n">
        <v>20000</v>
      </c>
      <c r="E110" s="42">
        <f>(INT($E$22*1/$D110)-INT($E$22*(1-1)/$D110))*$C110</f>
        <v>0.0</v>
      </c>
      <c r="F110" s="42">
        <f>(INT($E$22*2/$D110)-INT($E$22*(2-1)/$D110))*$C110</f>
        <v>0.0</v>
      </c>
      <c r="G110" s="42">
        <f>(INT($E$22*3/$D110)-INT($E$22*(3-1)/$D110))*$C110</f>
        <v>8.0</v>
      </c>
      <c r="H110" s="42">
        <f>(INT($E$22*4/$D110)-INT($E$22*(4-1)/$D110))*$C110</f>
        <v>0.0</v>
      </c>
      <c r="I110" s="42">
        <f>(INT($E$22*5/$D110)-INT($E$22*(5-1)/$D110))*$C110</f>
        <v>0.0</v>
      </c>
      <c r="J110" s="42">
        <f>(INT($E$22*6/$D110)-INT($E$22*(6-1)/$D110))*$C110</f>
        <v>8.0</v>
      </c>
      <c r="K110" s="42">
        <f>(INT($E$22*7/$D110)-INT($E$22*(7-1)/$D110))*$C110</f>
        <v>0.0</v>
      </c>
      <c r="L110" s="42">
        <f>(INT($E$22*8/$D110)-INT($E$22*(8-1)/$D110))*$C110</f>
        <v>0.0</v>
      </c>
      <c r="M110" s="42">
        <f>(INT($E$22*9/$D110)-INT($E$22*(9-1)/$D110))*$C110</f>
        <v>8.0</v>
      </c>
      <c r="N110" s="42">
        <f>(INT($E$22*10/$D110)-INT($E$22*(10-1)/$D110))*$C110</f>
        <v>0.0</v>
      </c>
    </row>
    <row r="111">
      <c r="B111" s="22" t="inlineStr">
        <is>
          <t>Насос рулевой</t>
        </is>
      </c>
      <c r="C111" s="44" t="n">
        <v>8</v>
      </c>
      <c r="D111" s="43" t="n">
        <v>20000</v>
      </c>
      <c r="E111" s="42">
        <f>(INT($E$22*1/$D111)-INT($E$22*(1-1)/$D111))*$C111</f>
        <v>0.0</v>
      </c>
      <c r="F111" s="42">
        <f>(INT($E$22*2/$D111)-INT($E$22*(2-1)/$D111))*$C111</f>
        <v>0.0</v>
      </c>
      <c r="G111" s="42">
        <f>(INT($E$22*3/$D111)-INT($E$22*(3-1)/$D111))*$C111</f>
        <v>8.0</v>
      </c>
      <c r="H111" s="42">
        <f>(INT($E$22*4/$D111)-INT($E$22*(4-1)/$D111))*$C111</f>
        <v>0.0</v>
      </c>
      <c r="I111" s="42">
        <f>(INT($E$22*5/$D111)-INT($E$22*(5-1)/$D111))*$C111</f>
        <v>0.0</v>
      </c>
      <c r="J111" s="42">
        <f>(INT($E$22*6/$D111)-INT($E$22*(6-1)/$D111))*$C111</f>
        <v>8.0</v>
      </c>
      <c r="K111" s="42">
        <f>(INT($E$22*7/$D111)-INT($E$22*(7-1)/$D111))*$C111</f>
        <v>0.0</v>
      </c>
      <c r="L111" s="42">
        <f>(INT($E$22*8/$D111)-INT($E$22*(8-1)/$D111))*$C111</f>
        <v>0.0</v>
      </c>
      <c r="M111" s="42">
        <f>(INT($E$22*9/$D111)-INT($E$22*(9-1)/$D111))*$C111</f>
        <v>8.0</v>
      </c>
      <c r="N111" s="42">
        <f>(INT($E$22*10/$D111)-INT($E$22*(10-1)/$D111))*$C111</f>
        <v>0.0</v>
      </c>
    </row>
    <row r="112">
      <c r="B112" s="22" t="inlineStr">
        <is>
          <t>Радиатор</t>
        </is>
      </c>
      <c r="C112" s="44" t="n">
        <v>24</v>
      </c>
      <c r="D112" s="43" t="n">
        <v>20000</v>
      </c>
      <c r="E112" s="42">
        <f>(INT($E$22*1/$D112)-INT($E$22*(1-1)/$D112))*$C112</f>
        <v>0.0</v>
      </c>
      <c r="F112" s="42">
        <f>(INT($E$22*2/$D112)-INT($E$22*(2-1)/$D112))*$C112</f>
        <v>0.0</v>
      </c>
      <c r="G112" s="42">
        <f>(INT($E$22*3/$D112)-INT($E$22*(3-1)/$D112))*$C112</f>
        <v>24.0</v>
      </c>
      <c r="H112" s="42">
        <f>(INT($E$22*4/$D112)-INT($E$22*(4-1)/$D112))*$C112</f>
        <v>0.0</v>
      </c>
      <c r="I112" s="42">
        <f>(INT($E$22*5/$D112)-INT($E$22*(5-1)/$D112))*$C112</f>
        <v>0.0</v>
      </c>
      <c r="J112" s="42">
        <f>(INT($E$22*6/$D112)-INT($E$22*(6-1)/$D112))*$C112</f>
        <v>24.0</v>
      </c>
      <c r="K112" s="42">
        <f>(INT($E$22*7/$D112)-INT($E$22*(7-1)/$D112))*$C112</f>
        <v>0.0</v>
      </c>
      <c r="L112" s="42">
        <f>(INT($E$22*8/$D112)-INT($E$22*(8-1)/$D112))*$C112</f>
        <v>0.0</v>
      </c>
      <c r="M112" s="42">
        <f>(INT($E$22*9/$D112)-INT($E$22*(9-1)/$D112))*$C112</f>
        <v>24.0</v>
      </c>
      <c r="N112" s="42">
        <f>(INT($E$22*10/$D112)-INT($E$22*(10-1)/$D112))*$C112</f>
        <v>0.0</v>
      </c>
    </row>
    <row r="113">
      <c r="B113" s="22" t="inlineStr">
        <is>
          <t>Радиатор гидравлический</t>
        </is>
      </c>
      <c r="C113" s="44" t="n">
        <v>10</v>
      </c>
      <c r="D113" s="43" t="n">
        <v>30000</v>
      </c>
      <c r="E113" s="42">
        <f>(INT($E$22*1/$D113)-INT($E$22*(1-1)/$D113))*$C113</f>
        <v>0.0</v>
      </c>
      <c r="F113" s="42">
        <f>(INT($E$22*2/$D113)-INT($E$22*(2-1)/$D113))*$C113</f>
        <v>0.0</v>
      </c>
      <c r="G113" s="42">
        <f>(INT($E$22*3/$D113)-INT($E$22*(3-1)/$D113))*$C113</f>
        <v>0.0</v>
      </c>
      <c r="H113" s="42">
        <f>(INT($E$22*4/$D113)-INT($E$22*(4-1)/$D113))*$C113</f>
        <v>0.0</v>
      </c>
      <c r="I113" s="42">
        <f>(INT($E$22*5/$D113)-INT($E$22*(5-1)/$D113))*$C113</f>
        <v>10.0</v>
      </c>
      <c r="J113" s="42">
        <f>(INT($E$22*6/$D113)-INT($E$22*(6-1)/$D113))*$C113</f>
        <v>0.0</v>
      </c>
      <c r="K113" s="42">
        <f>(INT($E$22*7/$D113)-INT($E$22*(7-1)/$D113))*$C113</f>
        <v>0.0</v>
      </c>
      <c r="L113" s="42">
        <f>(INT($E$22*8/$D113)-INT($E$22*(8-1)/$D113))*$C113</f>
        <v>0.0</v>
      </c>
      <c r="M113" s="42">
        <f>(INT($E$22*9/$D113)-INT($E$22*(9-1)/$D113))*$C113</f>
        <v>10.0</v>
      </c>
      <c r="N113" s="42">
        <f>(INT($E$22*10/$D113)-INT($E$22*(10-1)/$D113))*$C113</f>
        <v>0.0</v>
      </c>
    </row>
    <row r="114">
      <c r="B114" s="22" t="inlineStr">
        <is>
          <t>Вентилятор</t>
        </is>
      </c>
      <c r="C114" s="44" t="n">
        <v>12</v>
      </c>
      <c r="D114" s="43" t="n">
        <v>20000</v>
      </c>
      <c r="E114" s="42">
        <f>(INT($E$22*1/$D114)-INT($E$22*(1-1)/$D114))*$C114</f>
        <v>0.0</v>
      </c>
      <c r="F114" s="42">
        <f>(INT($E$22*2/$D114)-INT($E$22*(2-1)/$D114))*$C114</f>
        <v>0.0</v>
      </c>
      <c r="G114" s="42">
        <f>(INT($E$22*3/$D114)-INT($E$22*(3-1)/$D114))*$C114</f>
        <v>12.0</v>
      </c>
      <c r="H114" s="42">
        <f>(INT($E$22*4/$D114)-INT($E$22*(4-1)/$D114))*$C114</f>
        <v>0.0</v>
      </c>
      <c r="I114" s="42">
        <f>(INT($E$22*5/$D114)-INT($E$22*(5-1)/$D114))*$C114</f>
        <v>0.0</v>
      </c>
      <c r="J114" s="42">
        <f>(INT($E$22*6/$D114)-INT($E$22*(6-1)/$D114))*$C114</f>
        <v>12.0</v>
      </c>
      <c r="K114" s="42">
        <f>(INT($E$22*7/$D114)-INT($E$22*(7-1)/$D114))*$C114</f>
        <v>0.0</v>
      </c>
      <c r="L114" s="42">
        <f>(INT($E$22*8/$D114)-INT($E$22*(8-1)/$D114))*$C114</f>
        <v>0.0</v>
      </c>
      <c r="M114" s="42">
        <f>(INT($E$22*9/$D114)-INT($E$22*(9-1)/$D114))*$C114</f>
        <v>12.0</v>
      </c>
      <c r="N114" s="42">
        <f>(INT($E$22*10/$D114)-INT($E$22*(10-1)/$D114))*$C114</f>
        <v>0.0</v>
      </c>
    </row>
    <row r="115">
      <c r="B115" s="22" t="inlineStr">
        <is>
          <t>Водяной насос охлаждения</t>
        </is>
      </c>
      <c r="C115" s="44" t="n">
        <v>8</v>
      </c>
      <c r="D115" s="43" t="n">
        <v>20000</v>
      </c>
      <c r="E115" s="42">
        <f>(INT($E$22*1/$D115)-INT($E$22*(1-1)/$D115))*$C115</f>
        <v>0.0</v>
      </c>
      <c r="F115" s="42">
        <f>(INT($E$22*2/$D115)-INT($E$22*(2-1)/$D115))*$C115</f>
        <v>0.0</v>
      </c>
      <c r="G115" s="42">
        <f>(INT($E$22*3/$D115)-INT($E$22*(3-1)/$D115))*$C115</f>
        <v>8.0</v>
      </c>
      <c r="H115" s="42">
        <f>(INT($E$22*4/$D115)-INT($E$22*(4-1)/$D115))*$C115</f>
        <v>0.0</v>
      </c>
      <c r="I115" s="42">
        <f>(INT($E$22*5/$D115)-INT($E$22*(5-1)/$D115))*$C115</f>
        <v>0.0</v>
      </c>
      <c r="J115" s="42">
        <f>(INT($E$22*6/$D115)-INT($E$22*(6-1)/$D115))*$C115</f>
        <v>8.0</v>
      </c>
      <c r="K115" s="42">
        <f>(INT($E$22*7/$D115)-INT($E$22*(7-1)/$D115))*$C115</f>
        <v>0.0</v>
      </c>
      <c r="L115" s="42">
        <f>(INT($E$22*8/$D115)-INT($E$22*(8-1)/$D115))*$C115</f>
        <v>0.0</v>
      </c>
      <c r="M115" s="42">
        <f>(INT($E$22*9/$D115)-INT($E$22*(9-1)/$D115))*$C115</f>
        <v>8.0</v>
      </c>
      <c r="N115" s="42">
        <f>(INT($E$22*10/$D115)-INT($E$22*(10-1)/$D115))*$C115</f>
        <v>0.0</v>
      </c>
    </row>
    <row r="116">
      <c r="B116" s="22" t="inlineStr">
        <is>
          <t>Насос ЦСС</t>
        </is>
      </c>
      <c r="C116" s="44" t="n">
        <v>20</v>
      </c>
      <c r="D116" s="43" t="n">
        <v>15000</v>
      </c>
      <c r="E116" s="42">
        <f>(INT($E$22*1/$D116)-INT($E$22*(1-1)/$D116))*$C116</f>
        <v>0.0</v>
      </c>
      <c r="F116" s="42">
        <f>(INT($E$22*2/$D116)-INT($E$22*(2-1)/$D116))*$C116</f>
        <v>0.0</v>
      </c>
      <c r="G116" s="42">
        <f>(INT($E$22*3/$D116)-INT($E$22*(3-1)/$D116))*$C116</f>
        <v>20.0</v>
      </c>
      <c r="H116" s="42">
        <f>(INT($E$22*4/$D116)-INT($E$22*(4-1)/$D116))*$C116</f>
        <v>0.0</v>
      </c>
      <c r="I116" s="42">
        <f>(INT($E$22*5/$D116)-INT($E$22*(5-1)/$D116))*$C116</f>
        <v>20.0</v>
      </c>
      <c r="J116" s="42">
        <f>(INT($E$22*6/$D116)-INT($E$22*(6-1)/$D116))*$C116</f>
        <v>0.0</v>
      </c>
      <c r="K116" s="42">
        <f>(INT($E$22*7/$D116)-INT($E$22*(7-1)/$D116))*$C116</f>
        <v>20.0</v>
      </c>
      <c r="L116" s="42">
        <f>(INT($E$22*8/$D116)-INT($E$22*(8-1)/$D116))*$C116</f>
        <v>0.0</v>
      </c>
      <c r="M116" s="42">
        <f>(INT($E$22*9/$D116)-INT($E$22*(9-1)/$D116))*$C116</f>
        <v>20.0</v>
      </c>
      <c r="N116" s="42">
        <f>(INT($E$22*10/$D116)-INT($E$22*(10-1)/$D116))*$C116</f>
        <v>0.0</v>
      </c>
    </row>
    <row r="117">
      <c r="B117" s="22" t="inlineStr">
        <is>
          <t>Подшипники передней оси</t>
        </is>
      </c>
      <c r="C117" s="44" t="n">
        <v>16</v>
      </c>
      <c r="D117" s="43" t="n">
        <v>25000</v>
      </c>
      <c r="E117" s="42">
        <f>(INT($E$22*1/$D117)-INT($E$22*(1-1)/$D117))*$C117</f>
        <v>0.0</v>
      </c>
      <c r="F117" s="42">
        <f>(INT($E$22*2/$D117)-INT($E$22*(2-1)/$D117))*$C117</f>
        <v>0.0</v>
      </c>
      <c r="G117" s="42">
        <f>(INT($E$22*3/$D117)-INT($E$22*(3-1)/$D117))*$C117</f>
        <v>0.0</v>
      </c>
      <c r="H117" s="42">
        <f>(INT($E$22*4/$D117)-INT($E$22*(4-1)/$D117))*$C117</f>
        <v>16.0</v>
      </c>
      <c r="I117" s="42">
        <f>(INT($E$22*5/$D117)-INT($E$22*(5-1)/$D117))*$C117</f>
        <v>0.0</v>
      </c>
      <c r="J117" s="42">
        <f>(INT($E$22*6/$D117)-INT($E$22*(6-1)/$D117))*$C117</f>
        <v>0.0</v>
      </c>
      <c r="K117" s="42">
        <f>(INT($E$22*7/$D117)-INT($E$22*(7-1)/$D117))*$C117</f>
        <v>0.0</v>
      </c>
      <c r="L117" s="42">
        <f>(INT($E$22*8/$D117)-INT($E$22*(8-1)/$D117))*$C117</f>
        <v>16.0</v>
      </c>
      <c r="M117" s="42">
        <f>(INT($E$22*9/$D117)-INT($E$22*(9-1)/$D117))*$C117</f>
        <v>0.0</v>
      </c>
      <c r="N117" s="42">
        <f>(INT($E$22*10/$D117)-INT($E$22*(10-1)/$D117))*$C117</f>
        <v>0.0</v>
      </c>
    </row>
    <row r="118">
      <c r="B118" s="22" t="inlineStr">
        <is>
          <t>Ходовая часть + прочие работы</t>
        </is>
      </c>
      <c r="C118" s="44" t="n">
        <v>452</v>
      </c>
      <c r="D118" s="43" t="n">
        <v>10000</v>
      </c>
      <c r="E118" s="42">
        <f>(INT($E$22*1/$D118)-INT($E$22*(1-1)/$D118))*$C118</f>
        <v>0.0</v>
      </c>
      <c r="F118" s="42">
        <f>(INT($E$22*2/$D118)-INT($E$22*(2-1)/$D118))*$C118</f>
        <v>452.0</v>
      </c>
      <c r="G118" s="42">
        <f>(INT($E$22*3/$D118)-INT($E$22*(3-1)/$D118))*$C118</f>
        <v>452.0</v>
      </c>
      <c r="H118" s="42">
        <f>(INT($E$22*4/$D118)-INT($E$22*(4-1)/$D118))*$C118</f>
        <v>0.0</v>
      </c>
      <c r="I118" s="42">
        <f>(INT($E$22*5/$D118)-INT($E$22*(5-1)/$D118))*$C118</f>
        <v>452.0</v>
      </c>
      <c r="J118" s="42">
        <f>(INT($E$22*6/$D118)-INT($E$22*(6-1)/$D118))*$C118</f>
        <v>452.0</v>
      </c>
      <c r="K118" s="42">
        <f>(INT($E$22*7/$D118)-INT($E$22*(7-1)/$D118))*$C118</f>
        <v>0.0</v>
      </c>
      <c r="L118" s="42">
        <f>(INT($E$22*8/$D118)-INT($E$22*(8-1)/$D118))*$C118</f>
        <v>452.0</v>
      </c>
      <c r="M118" s="42">
        <f>(INT($E$22*9/$D118)-INT($E$22*(9-1)/$D118))*$C118</f>
        <v>452.0</v>
      </c>
      <c r="N118" s="42">
        <f>(INT($E$22*10/$D118)-INT($E$22*(10-1)/$D118))*$C118</f>
        <v>452.0</v>
      </c>
    </row>
    <row r="119">
      <c r="B119" s="45" t="inlineStr">
        <is>
          <t>ИТОГО</t>
        </is>
      </c>
      <c r="E119" s="42">
        <f>SUM(E100:E118)</f>
        <v>0.0</v>
      </c>
      <c r="F119" s="42">
        <f>SUM(F100:F118)</f>
        <v>472.0</v>
      </c>
      <c r="G119" s="42">
        <f>SUM(G100:G118)</f>
        <v>1020.0</v>
      </c>
      <c r="H119" s="42">
        <f>SUM(H100:H118)</f>
        <v>1038.0</v>
      </c>
      <c r="I119" s="42">
        <f>SUM(I100:I118)</f>
        <v>482.0</v>
      </c>
      <c r="J119" s="42">
        <f>SUM(J100:J118)</f>
        <v>1020.0</v>
      </c>
      <c r="K119" s="42">
        <f>SUM(K100:K118)</f>
        <v>20.0</v>
      </c>
      <c r="L119" s="42">
        <f>SUM(L100:L118)</f>
        <v>1490.0</v>
      </c>
      <c r="M119" s="42">
        <f>SUM(M100:M118)</f>
        <v>1030.0</v>
      </c>
      <c r="N119" s="42">
        <f>SUM(N100:N118)</f>
        <v>472.0</v>
      </c>
    </row>
    <row r="121">
      <c r="B121" s="46" t="inlineStr">
        <is>
          <t>Модель ТО и Ремонтов — как у экскаваторов: ТО по интервалам обслуживания (простои, чел-часы, каталог ЗЧ по годам) и капремонты ПО ПЕРИОДИЧНОСТИ (у каждого узла — стоимость/трудоёмкость замены и ресурс, м/ч; затрата возникает в годы, когда наработка пересекает кратное ресурсу значение). Каталог узлов детально заполнен по ТКП NHL NTE240 (класс 220–240 т) и принят ШАБЛОНОМ; «Коэффициент калибровки» приводит ИТОГО ТОиР к уровню данных конкретного поставщика (у NHL NTE240 ≈ 1). Замените каталог реальными позициями из ТКП и установите коэффициент = 1. КТГ вводится напрямую (строка 11) и управляет производительностью.</t>
        </is>
      </c>
    </row>
  </sheetData>
  <mergeCells count="9">
    <mergeCell ref="B46:N46"/>
    <mergeCell ref="B98:N98"/>
    <mergeCell ref="B2:P2"/>
    <mergeCell ref="B121:P121"/>
    <mergeCell ref="E4:N4"/>
    <mergeCell ref="B75:N75"/>
    <mergeCell ref="B1:P1"/>
    <mergeCell ref="B7:N7"/>
    <mergeCell ref="B20:N20"/>
  </mergeCells>
  <dataValidations count="1">
    <dataValidation sqref="D5" showDropDown="0" showInputMessage="0" showErrorMessage="0" allowBlank="0" type="list">
      <formula1>"CNY,USD,EUR,RUB"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23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ПОГОДОВЫЕ ДАННЫЕ ЭКСПЛУАТАЦИИ (СВОДКА)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Автоматически из листов «Поставщик 1…6». Правьте данные там, здесь — только просмотр.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47" t="inlineStr">
        <is>
          <t>Значения ТЯНУТСЯ из листов «Поставщик 1…6» (КТГ и ИТОГО ТОиР — авто). Чтобы изменить данные по машине — откройте её лист и правьте жёлтые ячейки; сводка и расчёт обновятся сами.</t>
        </is>
      </c>
    </row>
    <row r="5">
      <c r="B5" s="15" t="inlineStr">
        <is>
          <t>Показатель</t>
        </is>
      </c>
      <c r="C5" s="15" t="inlineStr">
        <is>
          <t>Ед.</t>
        </is>
      </c>
      <c r="D5" s="15" t="inlineStr">
        <is>
          <t>Валюта</t>
        </is>
      </c>
      <c r="E5" s="15" t="inlineStr">
        <is>
          <t>год 1</t>
        </is>
      </c>
      <c r="F5" s="15" t="inlineStr">
        <is>
          <t>год 2</t>
        </is>
      </c>
      <c r="G5" s="15" t="inlineStr">
        <is>
          <t>год 3</t>
        </is>
      </c>
      <c r="H5" s="15" t="inlineStr">
        <is>
          <t>год 4</t>
        </is>
      </c>
      <c r="I5" s="15" t="inlineStr">
        <is>
          <t>год 5</t>
        </is>
      </c>
      <c r="J5" s="15" t="inlineStr">
        <is>
          <t>год 6</t>
        </is>
      </c>
      <c r="K5" s="15" t="inlineStr">
        <is>
          <t>год 7</t>
        </is>
      </c>
      <c r="L5" s="15" t="inlineStr">
        <is>
          <t>год 8</t>
        </is>
      </c>
      <c r="M5" s="15" t="inlineStr">
        <is>
          <t>год 9</t>
        </is>
      </c>
      <c r="N5" s="15" t="inlineStr">
        <is>
          <t>год 10</t>
        </is>
      </c>
    </row>
    <row r="6">
      <c r="B6" s="5" t="str">
        <f>"Вариант 1:  "&amp;'Ввод данных'!D7</f>
        <v>Вариант 1:  NHL NTE 240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B7" s="22" t="inlineStr">
        <is>
          <t>КТГ (техготовность)</t>
        </is>
      </c>
      <c r="C7" s="24" t="inlineStr">
        <is>
          <t>коэф.</t>
        </is>
      </c>
      <c r="E7" s="48">
        <f>'Поставщик 1'!E11</f>
        <v>0.8824</v>
      </c>
      <c r="F7" s="48">
        <f>'Поставщик 1'!F11</f>
        <v>0.8756</v>
      </c>
      <c r="G7" s="48">
        <f>'Поставщик 1'!G11</f>
        <v>0.8667</v>
      </c>
      <c r="H7" s="48">
        <f>'Поставщик 1'!H11</f>
        <v>0.8549</v>
      </c>
      <c r="I7" s="48">
        <f>'Поставщик 1'!I11</f>
        <v>0.8784</v>
      </c>
      <c r="J7" s="48">
        <f>'Поставщик 1'!J11</f>
        <v>0.8675</v>
      </c>
      <c r="K7" s="48">
        <f>'Поставщик 1'!K11</f>
        <v>0.8765</v>
      </c>
      <c r="L7" s="48">
        <f>'Поставщик 1'!L11</f>
        <v>0.8575</v>
      </c>
      <c r="M7" s="48">
        <f>'Поставщик 1'!M11</f>
        <v>0.8631</v>
      </c>
      <c r="N7" s="48">
        <f>'Поставщик 1'!N11</f>
        <v>0.8773</v>
      </c>
    </row>
    <row r="8">
      <c r="B8" s="22" t="inlineStr">
        <is>
          <t>Затраты на ТОиР и сервис</t>
        </is>
      </c>
      <c r="C8" s="24" t="inlineStr">
        <is>
          <t>тыс.вал/г</t>
        </is>
      </c>
      <c r="D8" s="49" t="str">
        <f>'Поставщик 1'!$D$5</f>
        <v>CNY</v>
      </c>
      <c r="E8" s="50">
        <f>'Поставщик 1'!E18</f>
        <v>1866.5548671797999</v>
      </c>
      <c r="F8" s="50">
        <f>'Поставщик 1'!F18</f>
        <v>2390.9133365398</v>
      </c>
      <c r="G8" s="50">
        <f>'Поставщик 1'!G18</f>
        <v>9432.4605412328</v>
      </c>
      <c r="H8" s="50">
        <f>'Поставщик 1'!H18</f>
        <v>4236.5987182468</v>
      </c>
      <c r="I8" s="50">
        <f>'Поставщик 1'!I18</f>
        <v>2282.8074223658</v>
      </c>
      <c r="J8" s="50">
        <f>'Поставщик 1'!J18</f>
        <v>9561.7826352068</v>
      </c>
      <c r="K8" s="50">
        <f>'Поставщик 1'!K18</f>
        <v>1978.8642830657998</v>
      </c>
      <c r="L8" s="50">
        <f>'Поставщик 1'!L18</f>
        <v>4519.3256777468005</v>
      </c>
      <c r="M8" s="50">
        <f>'Поставщик 1'!M18</f>
        <v>9453.6767210328</v>
      </c>
      <c r="N8" s="50">
        <f>'Поставщик 1'!N18</f>
        <v>2390.9133365398</v>
      </c>
    </row>
    <row r="9">
      <c r="B9" s="5" t="str">
        <f>"Вариант 2:  "&amp;'Ввод данных'!E7</f>
        <v>Вариант 2:  Estar ESDE240
(ГПБ К)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B10" s="22" t="inlineStr">
        <is>
          <t>КТГ (техготовность)</t>
        </is>
      </c>
      <c r="C10" s="24" t="inlineStr">
        <is>
          <t>коэф.</t>
        </is>
      </c>
      <c r="E10" s="48">
        <f>'Поставщик 2'!E11</f>
        <v>0.9038</v>
      </c>
      <c r="F10" s="48">
        <f>'Поставщик 2'!F11</f>
        <v>0.888</v>
      </c>
      <c r="G10" s="48">
        <f>'Поставщик 2'!G11</f>
        <v>0.8421</v>
      </c>
      <c r="H10" s="48">
        <f>'Поставщик 2'!H11</f>
        <v>0.7991</v>
      </c>
      <c r="I10" s="48">
        <f>'Поставщик 2'!I11</f>
        <v>0.8913</v>
      </c>
      <c r="J10" s="48">
        <f>'Поставщик 2'!J11</f>
        <v>0.8151</v>
      </c>
      <c r="K10" s="48">
        <f>'Поставщик 2'!K11</f>
        <v>0.881</v>
      </c>
      <c r="L10" s="48">
        <f>'Поставщик 2'!L11</f>
        <v>0.8038</v>
      </c>
      <c r="M10" s="48">
        <f>'Поставщик 2'!M11</f>
        <v>0.8489</v>
      </c>
      <c r="N10" s="48">
        <f>'Поставщик 2'!N11</f>
        <v>0.8269</v>
      </c>
    </row>
    <row r="11">
      <c r="B11" s="22" t="inlineStr">
        <is>
          <t>Затраты на ТОиР и сервис</t>
        </is>
      </c>
      <c r="C11" s="24" t="inlineStr">
        <is>
          <t>тыс.вал/г</t>
        </is>
      </c>
      <c r="D11" s="49" t="str">
        <f>'Поставщик 2'!$D$5</f>
        <v>CNY</v>
      </c>
      <c r="E11" s="50">
        <f>'Поставщик 2'!E18</f>
        <v>2176.1126087652</v>
      </c>
      <c r="F11" s="50">
        <f>'Поставщик 2'!F18</f>
        <v>2787.4330134052</v>
      </c>
      <c r="G11" s="50">
        <f>'Поставщик 2'!G18</f>
        <v>10996.781651787202</v>
      </c>
      <c r="H11" s="50">
        <f>'Поставщик 2'!H18</f>
        <v>4939.215048623199</v>
      </c>
      <c r="I11" s="50">
        <f>'Поставщик 2'!I18</f>
        <v>2661.3983347292</v>
      </c>
      <c r="J11" s="50">
        <f>'Поставщик 2'!J18</f>
        <v>11147.5510956632</v>
      </c>
      <c r="K11" s="50">
        <f>'Поставщик 2'!K18</f>
        <v>2307.0479165292</v>
      </c>
      <c r="L11" s="50">
        <f>'Поставщик 2'!L18</f>
        <v>5268.8307016232</v>
      </c>
      <c r="M11" s="50">
        <f>'Поставщик 2'!M18</f>
        <v>11021.5164169872</v>
      </c>
      <c r="N11" s="50">
        <f>'Поставщик 2'!N18</f>
        <v>2787.4330134052</v>
      </c>
    </row>
    <row r="12">
      <c r="B12" s="5" t="str">
        <f>"Вариант 3:  "&amp;'Ввод данных'!F7</f>
        <v>Вариант 3:  SANY SET240S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B13" s="22" t="inlineStr">
        <is>
          <t>КТГ (техготовность)</t>
        </is>
      </c>
      <c r="C13" s="24" t="inlineStr">
        <is>
          <t>коэф.</t>
        </is>
      </c>
      <c r="E13" s="48">
        <f>'Поставщик 3'!E11</f>
        <v>0.7598</v>
      </c>
      <c r="F13" s="48">
        <f>'Поставщик 3'!F11</f>
        <v>0.7329</v>
      </c>
      <c r="G13" s="48">
        <f>'Поставщик 3'!G11</f>
        <v>0.7031</v>
      </c>
      <c r="H13" s="48">
        <f>'Поставщик 3'!H11</f>
        <v>0.734</v>
      </c>
      <c r="I13" s="48">
        <f>'Поставщик 3'!I11</f>
        <v>0.6902</v>
      </c>
      <c r="J13" s="48">
        <f>'Поставщик 3'!J11</f>
        <v>0.734</v>
      </c>
      <c r="K13" s="48">
        <f>'Поставщик 3'!K11</f>
        <v>0.7031</v>
      </c>
      <c r="L13" s="48">
        <f>'Поставщик 3'!L11</f>
        <v>0.734</v>
      </c>
      <c r="M13" s="48">
        <f>'Поставщик 3'!M11</f>
        <v>0.6902</v>
      </c>
      <c r="N13" s="48">
        <f>'Поставщик 3'!N11</f>
        <v>0.7186</v>
      </c>
    </row>
    <row r="14">
      <c r="B14" s="22" t="inlineStr">
        <is>
          <t>Затраты на ТОиР и сервис</t>
        </is>
      </c>
      <c r="C14" s="24" t="inlineStr">
        <is>
          <t>тыс.вал/г</t>
        </is>
      </c>
      <c r="D14" s="49" t="str">
        <f>'Поставщик 3'!$D$5</f>
        <v>CNY</v>
      </c>
      <c r="E14" s="50">
        <f>'Поставщик 3'!E18</f>
        <v>1676.5344353142</v>
      </c>
      <c r="F14" s="50">
        <f>'Поставщик 3'!F18</f>
        <v>2147.5117667542</v>
      </c>
      <c r="G14" s="50">
        <f>'Поставщик 3'!G18</f>
        <v>8472.210051351201</v>
      </c>
      <c r="H14" s="50">
        <f>'Поставщик 3'!H18</f>
        <v>3805.3012877571996</v>
      </c>
      <c r="I14" s="50">
        <f>'Поставщик 3'!I18</f>
        <v>2050.4113327082</v>
      </c>
      <c r="J14" s="50">
        <f>'Поставщик 3'!J18</f>
        <v>8588.366799597201</v>
      </c>
      <c r="K14" s="50">
        <f>'Поставщик 3'!K18</f>
        <v>1777.4104430082</v>
      </c>
      <c r="L14" s="50">
        <f>'Поставщик 3'!L18</f>
        <v>4059.2458632572</v>
      </c>
      <c r="M14" s="50">
        <f>'Поставщик 3'!M18</f>
        <v>8491.2663655512</v>
      </c>
      <c r="N14" s="50">
        <f>'Поставщик 3'!N18</f>
        <v>2147.5117667542</v>
      </c>
    </row>
    <row r="15">
      <c r="B15" s="5" t="str">
        <f>"Вариант 4:  "&amp;'Ввод данных'!G7</f>
        <v>Вариант 4:  TZCO TZE240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B16" s="22" t="inlineStr">
        <is>
          <t>КТГ (техготовность)</t>
        </is>
      </c>
      <c r="C16" s="24" t="inlineStr">
        <is>
          <t>коэф.</t>
        </is>
      </c>
      <c r="E16" s="48">
        <f>'Поставщик 4'!E11</f>
        <v>0.8994</v>
      </c>
      <c r="F16" s="48">
        <f>'Поставщик 4'!F11</f>
        <v>0.8743</v>
      </c>
      <c r="G16" s="48">
        <f>'Поставщик 4'!G11</f>
        <v>0.7653</v>
      </c>
      <c r="H16" s="48">
        <f>'Поставщик 4'!H11</f>
        <v>0.8743</v>
      </c>
      <c r="I16" s="48">
        <f>'Поставщик 4'!I11</f>
        <v>0.8994</v>
      </c>
      <c r="J16" s="48">
        <f>'Поставщик 4'!J11</f>
        <v>0.7396</v>
      </c>
      <c r="K16" s="48">
        <f>'Поставщик 4'!K11</f>
        <v>0.8994</v>
      </c>
      <c r="L16" s="48">
        <f>'Поставщик 4'!L11</f>
        <v>0.8743</v>
      </c>
      <c r="M16" s="48">
        <f>'Поставщик 4'!M11</f>
        <v>0.8994</v>
      </c>
      <c r="N16" s="48">
        <f>'Поставщик 4'!N11</f>
        <v>0.8743</v>
      </c>
    </row>
    <row r="17">
      <c r="B17" s="22" t="inlineStr">
        <is>
          <t>Затраты на ТОиР и сервис</t>
        </is>
      </c>
      <c r="C17" s="24" t="inlineStr">
        <is>
          <t>тыс.вал/г</t>
        </is>
      </c>
      <c r="D17" s="49" t="str">
        <f>'Поставщик 4'!$D$5</f>
        <v>CNY</v>
      </c>
      <c r="E17" s="50">
        <f>'Поставщик 4'!E18</f>
        <v>2166.3017712503997</v>
      </c>
      <c r="F17" s="50">
        <f>'Поставщик 4'!F18</f>
        <v>2774.8660845304003</v>
      </c>
      <c r="G17" s="50">
        <f>'Поставщик 4'!G18</f>
        <v>10947.203501494401</v>
      </c>
      <c r="H17" s="50">
        <f>'Поставщик 4'!H18</f>
        <v>4916.9469747664</v>
      </c>
      <c r="I17" s="50">
        <f>'Поставщик 4'!I18</f>
        <v>2649.3996235784</v>
      </c>
      <c r="J17" s="50">
        <f>'Поставщик 4'!J18</f>
        <v>11097.2932128464</v>
      </c>
      <c r="K17" s="50">
        <f>'Поставщик 4'!K18</f>
        <v>2296.6467671784</v>
      </c>
      <c r="L17" s="50">
        <f>'Поставщик 4'!L18</f>
        <v>5245.0765807664</v>
      </c>
      <c r="M17" s="50">
        <f>'Поставщик 4'!M18</f>
        <v>10971.826751894401</v>
      </c>
      <c r="N17" s="50">
        <f>'Поставщик 4'!N18</f>
        <v>2774.8660845304003</v>
      </c>
    </row>
    <row r="18">
      <c r="B18" s="5" t="str">
        <f>"Вариант 5:  "&amp;'Ввод данных'!H7</f>
        <v>Вариант 5:  БелАЗ 7531
(ГПФК)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B19" s="22" t="inlineStr">
        <is>
          <t>КТГ (техготовность)</t>
        </is>
      </c>
      <c r="C19" s="24" t="inlineStr">
        <is>
          <t>коэф.</t>
        </is>
      </c>
      <c r="E19" s="48">
        <f>'Поставщик 5'!E11</f>
        <v>0.7503</v>
      </c>
      <c r="F19" s="48">
        <f>'Поставщик 5'!F11</f>
        <v>0.7317</v>
      </c>
      <c r="G19" s="48">
        <f>'Поставщик 5'!G11</f>
        <v>0.7142</v>
      </c>
      <c r="H19" s="48">
        <f>'Поставщик 5'!H11</f>
        <v>0.7226</v>
      </c>
      <c r="I19" s="48">
        <f>'Поставщик 5'!I11</f>
        <v>0.728</v>
      </c>
      <c r="J19" s="48">
        <f>'Поставщик 5'!J11</f>
        <v>0.6992</v>
      </c>
      <c r="K19" s="48">
        <f>'Поставщик 5'!K11</f>
        <v>0.7411</v>
      </c>
      <c r="L19" s="48">
        <f>'Поставщик 5'!L11</f>
        <v>0.706</v>
      </c>
      <c r="M19" s="48">
        <f>'Поставщик 5'!M11</f>
        <v>0.6955</v>
      </c>
      <c r="N19" s="48">
        <f>'Поставщик 5'!N11</f>
        <v>0.7113</v>
      </c>
    </row>
    <row r="20">
      <c r="B20" s="22" t="inlineStr">
        <is>
          <t>Затраты на ТОиР и сервис</t>
        </is>
      </c>
      <c r="C20" s="24" t="inlineStr">
        <is>
          <t>тыс.вал/г</t>
        </is>
      </c>
      <c r="D20" s="49" t="str">
        <f>'Поставщик 5'!$D$5</f>
        <v>CNY</v>
      </c>
      <c r="E20" s="50">
        <f>'Поставщик 5'!E18</f>
        <v>1493.570921661</v>
      </c>
      <c r="F20" s="50">
        <f>'Поставщик 5'!F18</f>
        <v>1913.1495668610003</v>
      </c>
      <c r="G20" s="50">
        <f>'Поставщик 5'!G18</f>
        <v>7547.621037996001</v>
      </c>
      <c r="H20" s="50">
        <f>'Поставщик 5'!H18</f>
        <v>3390.021243726</v>
      </c>
      <c r="I20" s="50">
        <f>'Поставщик 5'!I18</f>
        <v>1826.6458949310002</v>
      </c>
      <c r="J20" s="50">
        <f>'Поставщик 5'!J18</f>
        <v>7651.1013709260005</v>
      </c>
      <c r="K20" s="50">
        <f>'Поставщик 5'!K18</f>
        <v>1583.438131431</v>
      </c>
      <c r="L20" s="50">
        <f>'Поставщик 5'!L18</f>
        <v>3616.2523462260006</v>
      </c>
      <c r="M20" s="50">
        <f>'Поставщик 5'!M18</f>
        <v>7564.597698996001</v>
      </c>
      <c r="N20" s="50">
        <f>'Поставщик 5'!N18</f>
        <v>1913.1495668610003</v>
      </c>
    </row>
    <row r="21">
      <c r="B21" s="5" t="str">
        <f>"Вариант 6:  "&amp;'Ввод данных'!I7</f>
        <v>Вариант 6:  БелАЗ 7531
(БТЛ)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B22" s="22" t="inlineStr">
        <is>
          <t>КТГ (техготовность)</t>
        </is>
      </c>
      <c r="C22" s="24" t="inlineStr">
        <is>
          <t>коэф.</t>
        </is>
      </c>
      <c r="E22" s="48">
        <f>'Поставщик 6'!E11</f>
        <v>0.7573</v>
      </c>
      <c r="F22" s="48">
        <f>'Поставщик 6'!F11</f>
        <v>0.7394</v>
      </c>
      <c r="G22" s="48">
        <f>'Поставщик 6'!G11</f>
        <v>0.7321</v>
      </c>
      <c r="H22" s="48">
        <f>'Поставщик 6'!H11</f>
        <v>0.7174</v>
      </c>
      <c r="I22" s="48">
        <f>'Поставщик 6'!I11</f>
        <v>0.7337</v>
      </c>
      <c r="J22" s="48">
        <f>'Поставщик 6'!J11</f>
        <v>0.7084</v>
      </c>
      <c r="K22" s="48">
        <f>'Поставщик 6'!K11</f>
        <v>0.693</v>
      </c>
      <c r="L22" s="48">
        <f>'Поставщик 6'!L11</f>
        <v>0.7264</v>
      </c>
      <c r="M22" s="48">
        <f>'Поставщик 6'!M11</f>
        <v>0.6987</v>
      </c>
      <c r="N22" s="48">
        <f>'Поставщик 6'!N11</f>
        <v>0.6938</v>
      </c>
    </row>
    <row r="23">
      <c r="B23" s="22" t="inlineStr">
        <is>
          <t>Затраты на ТОиР и сервис</t>
        </is>
      </c>
      <c r="C23" s="24" t="inlineStr">
        <is>
          <t>тыс.вал/г</t>
        </is>
      </c>
      <c r="D23" s="49" t="str">
        <f>'Поставщик 6'!$D$5</f>
        <v>CNY</v>
      </c>
      <c r="E23" s="50">
        <f>'Поставщик 6'!E18</f>
        <v>1493.570921661</v>
      </c>
      <c r="F23" s="50">
        <f>'Поставщик 6'!F18</f>
        <v>1913.1495668610003</v>
      </c>
      <c r="G23" s="50">
        <f>'Поставщик 6'!G18</f>
        <v>7547.621037996001</v>
      </c>
      <c r="H23" s="50">
        <f>'Поставщик 6'!H18</f>
        <v>3390.021243726</v>
      </c>
      <c r="I23" s="50">
        <f>'Поставщик 6'!I18</f>
        <v>1826.6458949310002</v>
      </c>
      <c r="J23" s="50">
        <f>'Поставщик 6'!J18</f>
        <v>7651.1013709260005</v>
      </c>
      <c r="K23" s="50">
        <f>'Поставщик 6'!K18</f>
        <v>1583.438131431</v>
      </c>
      <c r="L23" s="50">
        <f>'Поставщик 6'!L18</f>
        <v>3616.2523462260006</v>
      </c>
      <c r="M23" s="50">
        <f>'Поставщик 6'!M18</f>
        <v>7564.597698996001</v>
      </c>
      <c r="N23" s="50">
        <f>'Поставщик 6'!N18</f>
        <v>1913.1495668610003</v>
      </c>
    </row>
  </sheetData>
  <mergeCells count="9">
    <mergeCell ref="B9:N9"/>
    <mergeCell ref="B1:N1"/>
    <mergeCell ref="B4:N4"/>
    <mergeCell ref="B12:N12"/>
    <mergeCell ref="B18:N18"/>
    <mergeCell ref="B21:N21"/>
    <mergeCell ref="B15:N15"/>
    <mergeCell ref="B6:N6"/>
    <mergeCell ref="B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N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B1" s="1" t="inlineStr">
        <is>
          <t>РАСЧЁТ ПРОИЗВОДИТЕЛЬНОСТИ (транспортный цикл)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Часовая производительность (т/эфф.час) — по времени рейса; полная погодовая таблица — с КТГ по годам.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1" t="inlineStr">
        <is>
          <t>Стоимость в рублях</t>
        </is>
      </c>
      <c r="C5" s="24" t="inlineStr">
        <is>
          <t>тыс.руб</t>
        </is>
      </c>
      <c r="D5" s="52">
        <f>'Ввод данных'!D11*IF('Ввод данных'!D12="CNY",'Параметры'!C20,IF('Ввод данных'!D12="USD",'Параметры'!C21,IF('Ввод данных'!D12="EUR",'Параметры'!C22,1)))+'Ввод данных'!D13</f>
        <v>312568.63</v>
      </c>
      <c r="E5" s="52">
        <f>'Ввод данных'!E11*IF('Ввод данных'!E12="CNY",'Параметры'!C20,IF('Ввод данных'!E12="USD",'Параметры'!C21,IF('Ввод данных'!E12="EUR",'Параметры'!C22,1)))+'Ввод данных'!E13</f>
        <v>319027.49</v>
      </c>
      <c r="F5" s="52">
        <f>'Ввод данных'!F11*IF('Ввод данных'!F12="CNY",'Параметры'!C20,IF('Ввод данных'!F12="USD",'Параметры'!C21,IF('Ввод данных'!F12="EUR",'Параметры'!C22,1)))+'Ввод данных'!F13</f>
        <v>296085.09</v>
      </c>
      <c r="G5" s="52">
        <f>'Ввод данных'!G11*IF('Ввод данных'!G12="CNY",'Параметры'!C20,IF('Ввод данных'!G12="USD",'Параметры'!C21,IF('Ввод данных'!G12="EUR",'Параметры'!C22,1)))+'Ввод данных'!G13</f>
        <v>302883.56</v>
      </c>
      <c r="H5" s="52">
        <f>'Ввод данных'!H11*IF('Ввод данных'!H12="CNY",'Параметры'!C20,IF('Ввод данных'!H12="USD",'Параметры'!C21,IF('Ввод данных'!H12="EUR",'Параметры'!C22,1)))+'Ввод данных'!H13</f>
        <v>287367.57</v>
      </c>
      <c r="I5" s="52">
        <f>'Ввод данных'!I11*IF('Ввод данных'!I12="CNY",'Параметры'!C20,IF('Ввод данных'!I12="USD",'Параметры'!C21,IF('Ввод данных'!I12="EUR",'Параметры'!C22,1)))+'Ввод данных'!I13</f>
        <v>287367.58</v>
      </c>
    </row>
    <row r="6">
      <c r="B6" s="22" t="inlineStr">
        <is>
          <t>Время движения (гружёный+порожний)</t>
        </is>
      </c>
      <c r="C6" s="24" t="inlineStr">
        <is>
          <t>мин</t>
        </is>
      </c>
      <c r="D6" s="53">
        <f>2*'Ввод данных'!D18/'Параметры'!C29*60</f>
        <v>22.72306322350846</v>
      </c>
      <c r="E6" s="53">
        <f>2*'Ввод данных'!E18/'Параметры'!C29*60</f>
        <v>22.72306322350846</v>
      </c>
      <c r="F6" s="53">
        <f>2*'Ввод данных'!F18/'Параметры'!C29*60</f>
        <v>22.696349065004455</v>
      </c>
      <c r="G6" s="53">
        <f>2*'Ввод данных'!G18/'Параметры'!C29*60</f>
        <v>21.793410507569007</v>
      </c>
      <c r="H6" s="53">
        <f>2*'Ввод данных'!H18/'Параметры'!C29*60</f>
        <v>22.696349065004455</v>
      </c>
      <c r="I6" s="53">
        <f>2*'Ввод данных'!I18/'Параметры'!C29*60</f>
        <v>22.696349065004455</v>
      </c>
    </row>
    <row r="7">
      <c r="B7" s="22" t="inlineStr">
        <is>
          <t>Время рейса</t>
        </is>
      </c>
      <c r="C7" s="24" t="inlineStr">
        <is>
          <t>мин</t>
        </is>
      </c>
      <c r="D7" s="53">
        <f>'Параметры'!C31+D6</f>
        <v>31.12306322350846</v>
      </c>
      <c r="E7" s="53">
        <f>'Параметры'!C31+E6</f>
        <v>31.12306322350846</v>
      </c>
      <c r="F7" s="53">
        <f>'Параметры'!C31+F6</f>
        <v>31.096349065004453</v>
      </c>
      <c r="G7" s="53">
        <f>'Параметры'!C31+G6</f>
        <v>30.193410507569006</v>
      </c>
      <c r="H7" s="53">
        <f>'Параметры'!C31+H6</f>
        <v>31.096349065004453</v>
      </c>
      <c r="I7" s="53">
        <f>'Параметры'!C31+I6</f>
        <v>31.096349065004453</v>
      </c>
    </row>
    <row r="8">
      <c r="B8" s="22" t="inlineStr">
        <is>
          <t>Рейсов в час</t>
        </is>
      </c>
      <c r="C8" s="24" t="inlineStr">
        <is>
          <t>рейс/час</t>
        </is>
      </c>
      <c r="D8" s="53">
        <f>60/D7</f>
        <v>1.9278308040925634</v>
      </c>
      <c r="E8" s="53">
        <f>60/E7</f>
        <v>1.9278308040925634</v>
      </c>
      <c r="F8" s="53">
        <f>60/F7</f>
        <v>1.9294869592110235</v>
      </c>
      <c r="G8" s="53">
        <f>60/G7</f>
        <v>1.9871885617214047</v>
      </c>
      <c r="H8" s="53">
        <f>60/H7</f>
        <v>1.9294869592110235</v>
      </c>
      <c r="I8" s="53">
        <f>60/I7</f>
        <v>1.9294869592110235</v>
      </c>
    </row>
    <row r="9">
      <c r="B9" s="39" t="inlineStr">
        <is>
          <t>Часовая производительность</t>
        </is>
      </c>
      <c r="C9" s="24" t="inlineStr">
        <is>
          <t>т/эфф.час</t>
        </is>
      </c>
      <c r="D9" s="54">
        <f>D8*'Ввод данных'!D17*'Параметры'!C30</f>
        <v>432.00155150037773</v>
      </c>
      <c r="E9" s="54">
        <f>E8*'Ввод данных'!E17*'Параметры'!C30</f>
        <v>400.88530278651376</v>
      </c>
      <c r="F9" s="54">
        <f>F8*'Ввод данных'!F17*'Параметры'!C30</f>
        <v>410.6629346520738</v>
      </c>
      <c r="G9" s="54">
        <f>G8*'Ввод данных'!G17*'Параметры'!C30</f>
        <v>433.9650201727068</v>
      </c>
      <c r="H9" s="54">
        <f>H8*'Ввод данных'!H17*'Параметры'!C30</f>
        <v>429.9052268822377</v>
      </c>
      <c r="I9" s="54">
        <f>I8*'Ввод данных'!I17*'Параметры'!C30</f>
        <v>429.9052268822377</v>
      </c>
    </row>
    <row r="10">
      <c r="B10" s="22" t="inlineStr">
        <is>
          <t>КИО (1-й год)</t>
        </is>
      </c>
      <c r="C10" s="24" t="inlineStr">
        <is>
          <t>коэф.</t>
        </is>
      </c>
      <c r="D10" s="55">
        <f>'Данные по годам'!E7*(1-102.38/(60*'Параметры'!C27))</f>
        <v>0.7569276222222222</v>
      </c>
      <c r="E10" s="55">
        <f>'Данные по годам'!E10*(1-102.38/(60*'Параметры'!C27))</f>
        <v>0.7752846611111112</v>
      </c>
      <c r="F10" s="55">
        <f>'Данные по годам'!E13*(1-102.38/(60*'Параметры'!C27))</f>
        <v>0.6517606611111112</v>
      </c>
      <c r="G10" s="55">
        <f>'Данные по годам'!E16*(1-102.38/(60*'Параметры'!C27))</f>
        <v>0.7715103166666667</v>
      </c>
      <c r="H10" s="55">
        <f>'Данные по годам'!E19*(1-102.38/(60*'Параметры'!C27))</f>
        <v>0.6436115083333334</v>
      </c>
      <c r="I10" s="55">
        <f>'Данные по годам'!E22*(1-102.38/(60*'Параметры'!C27))</f>
        <v>0.6496161472222223</v>
      </c>
    </row>
    <row r="12">
      <c r="B12" s="5" t="inlineStr">
        <is>
          <t>ПОГОДОВАЯ ПРОИЗВОДИТЕЛЬНОСТЬ (КТГ по годам из «Данные по годам»; часовая производительность — из цикла выше)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B13" s="15" t="inlineStr">
        <is>
          <t>Показатель</t>
        </is>
      </c>
      <c r="C13" s="15" t="inlineStr">
        <is>
          <t>Ед.</t>
        </is>
      </c>
      <c r="E13" s="15" t="inlineStr">
        <is>
          <t>год 1</t>
        </is>
      </c>
      <c r="F13" s="15" t="inlineStr">
        <is>
          <t>год 2</t>
        </is>
      </c>
      <c r="G13" s="15" t="inlineStr">
        <is>
          <t>год 3</t>
        </is>
      </c>
      <c r="H13" s="15" t="inlineStr">
        <is>
          <t>год 4</t>
        </is>
      </c>
      <c r="I13" s="15" t="inlineStr">
        <is>
          <t>год 5</t>
        </is>
      </c>
      <c r="J13" s="15" t="inlineStr">
        <is>
          <t>год 6</t>
        </is>
      </c>
      <c r="K13" s="15" t="inlineStr">
        <is>
          <t>год 7</t>
        </is>
      </c>
      <c r="L13" s="15" t="inlineStr">
        <is>
          <t>год 8</t>
        </is>
      </c>
      <c r="M13" s="15" t="inlineStr">
        <is>
          <t>год 9</t>
        </is>
      </c>
      <c r="N13" s="15" t="inlineStr">
        <is>
          <t>год 10</t>
        </is>
      </c>
    </row>
    <row r="14">
      <c r="B14" s="5" t="str">
        <f>"Вариант 1:  "&amp;'Ввод данных'!D7</f>
        <v>Вариант 1:  NHL NTE 240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B15" s="39" t="inlineStr">
        <is>
          <t>КТГ (по годам)</t>
        </is>
      </c>
      <c r="C15" s="24" t="inlineStr">
        <is>
          <t>коэф.</t>
        </is>
      </c>
      <c r="E15" s="56">
        <f>'Данные по годам'!E7</f>
        <v>0.8824</v>
      </c>
      <c r="F15" s="56">
        <f>'Данные по годам'!F7</f>
        <v>0.8756</v>
      </c>
      <c r="G15" s="56">
        <f>'Данные по годам'!G7</f>
        <v>0.8667</v>
      </c>
      <c r="H15" s="56">
        <f>'Данные по годам'!H7</f>
        <v>0.8549</v>
      </c>
      <c r="I15" s="56">
        <f>'Данные по годам'!I7</f>
        <v>0.8784</v>
      </c>
      <c r="J15" s="56">
        <f>'Данные по годам'!J7</f>
        <v>0.8675</v>
      </c>
      <c r="K15" s="56">
        <f>'Данные по годам'!K7</f>
        <v>0.8765</v>
      </c>
      <c r="L15" s="56">
        <f>'Данные по годам'!L7</f>
        <v>0.8575</v>
      </c>
      <c r="M15" s="56">
        <f>'Данные по годам'!M7</f>
        <v>0.8631</v>
      </c>
      <c r="N15" s="56">
        <f>'Данные по годам'!N7</f>
        <v>0.8773</v>
      </c>
    </row>
    <row r="16">
      <c r="B16" s="39" t="inlineStr">
        <is>
          <t>КИО</t>
        </is>
      </c>
      <c r="C16" s="24" t="inlineStr">
        <is>
          <t>коэф.</t>
        </is>
      </c>
      <c r="E16" s="56">
        <f>E15*(1-102.38/(60*'Параметры'!C27))</f>
        <v>0.7569276222222222</v>
      </c>
      <c r="F16" s="56">
        <f>F15*(1-102.38/(60*'Параметры'!C27))</f>
        <v>0.7510945444444446</v>
      </c>
      <c r="G16" s="56">
        <f>G15*(1-102.38/(60*'Параметры'!C27))</f>
        <v>0.7434600750000001</v>
      </c>
      <c r="H16" s="56">
        <f>H15*(1-102.38/(60*'Параметры'!C27))</f>
        <v>0.7333379694444445</v>
      </c>
      <c r="I16" s="56">
        <f>I15*(1-102.38/(60*'Параметры'!C27))</f>
        <v>0.7534964</v>
      </c>
      <c r="J16" s="56">
        <f>J15*(1-102.38/(60*'Параметры'!C27))</f>
        <v>0.7441463194444445</v>
      </c>
      <c r="K16" s="56">
        <f>K15*(1-102.38/(60*'Параметры'!C27))</f>
        <v>0.7518665694444444</v>
      </c>
      <c r="L16" s="56">
        <f>L15*(1-102.38/(60*'Параметры'!C27))</f>
        <v>0.735568263888889</v>
      </c>
      <c r="M16" s="56">
        <f>M15*(1-102.38/(60*'Параметры'!C27))</f>
        <v>0.7403719750000001</v>
      </c>
      <c r="N16" s="56">
        <f>N15*(1-102.38/(60*'Параметры'!C27))</f>
        <v>0.752552813888889</v>
      </c>
    </row>
    <row r="17">
      <c r="B17" s="39" t="inlineStr">
        <is>
          <t>Эффективное время</t>
        </is>
      </c>
      <c r="C17" s="24" t="inlineStr">
        <is>
          <t>час/год</t>
        </is>
      </c>
      <c r="E17" s="41">
        <f>'Параметры'!C26*E16</f>
        <v>6630.685970666666</v>
      </c>
      <c r="F17" s="41">
        <f>'Параметры'!C26*F16</f>
        <v>6579.588209333335</v>
      </c>
      <c r="G17" s="41">
        <f>'Параметры'!C26*G16</f>
        <v>6512.710257000001</v>
      </c>
      <c r="H17" s="41">
        <f>'Параметры'!C26*H16</f>
        <v>6424.040612333334</v>
      </c>
      <c r="I17" s="41">
        <f>'Параметры'!C26*I16</f>
        <v>6600.628463999999</v>
      </c>
      <c r="J17" s="41">
        <f>'Параметры'!C26*J16</f>
        <v>6518.721758333334</v>
      </c>
      <c r="K17" s="41">
        <f>'Параметры'!C26*K16</f>
        <v>6586.351148333333</v>
      </c>
      <c r="L17" s="41">
        <f>'Параметры'!C26*L16</f>
        <v>6443.577991666667</v>
      </c>
      <c r="M17" s="41">
        <f>'Параметры'!C26*M16</f>
        <v>6485.658501000001</v>
      </c>
      <c r="N17" s="41">
        <f>'Параметры'!C26*N16</f>
        <v>6592.3626496666675</v>
      </c>
    </row>
    <row r="18">
      <c r="B18" s="39" t="inlineStr">
        <is>
          <t>Объём перевозки</t>
        </is>
      </c>
      <c r="C18" s="24" t="inlineStr">
        <is>
          <t>тыс.т</t>
        </is>
      </c>
      <c r="E18" s="41">
        <f>'Производительность'!D9*E17/1000</f>
        <v>2864.466626839788</v>
      </c>
      <c r="F18" s="41">
        <f>'Производительность'!D9*F17/1000</f>
        <v>2842.392314665593</v>
      </c>
      <c r="G18" s="41">
        <f>'Производительность'!D9*G17/1000</f>
        <v>2813.500935496424</v>
      </c>
      <c r="H18" s="41">
        <f>'Производительность'!D9*H17/1000</f>
        <v>2775.195511429437</v>
      </c>
      <c r="I18" s="41">
        <f>'Производительность'!D9*I17/1000</f>
        <v>2851.4817373255546</v>
      </c>
      <c r="J18" s="41">
        <f>'Производительность'!D9*J17/1000</f>
        <v>2816.0979133992705</v>
      </c>
      <c r="K18" s="41">
        <f>'Производительность'!D9*K17/1000</f>
        <v>2845.313914806294</v>
      </c>
      <c r="L18" s="41">
        <f>'Производительность'!D9*L17/1000</f>
        <v>2783.635689613688</v>
      </c>
      <c r="M18" s="41">
        <f>'Производительность'!D9*M17/1000</f>
        <v>2801.8145349336146</v>
      </c>
      <c r="N18" s="41">
        <f>'Производительность'!D9*N17/1000</f>
        <v>2847.9108927091415</v>
      </c>
    </row>
    <row r="19">
      <c r="B19" s="39" t="inlineStr">
        <is>
          <t>Грузооборот</t>
        </is>
      </c>
      <c r="C19" s="24" t="inlineStr">
        <is>
          <t>тыс.ткм</t>
        </is>
      </c>
      <c r="E19" s="41">
        <f>E18*'Ввод данных'!D18</f>
        <v>12182.57656394962</v>
      </c>
      <c r="F19" s="41">
        <f>F18*'Ввод данных'!D18</f>
        <v>12088.694514272767</v>
      </c>
      <c r="G19" s="41">
        <f>G18*'Ввод данных'!D18</f>
        <v>11965.819478666292</v>
      </c>
      <c r="H19" s="41">
        <f>H18*'Ввод данных'!D18</f>
        <v>11802.906510109395</v>
      </c>
      <c r="I19" s="41">
        <f>I18*'Ввод данных'!D18</f>
        <v>12127.351828845583</v>
      </c>
      <c r="J19" s="41">
        <f>J18*'Ввод данных'!D18</f>
        <v>11976.864425687098</v>
      </c>
      <c r="K19" s="41">
        <f>K18*'Ввод данных'!D18</f>
        <v>12101.12007967117</v>
      </c>
      <c r="L19" s="41">
        <f>L18*'Ввод данных'!D18</f>
        <v>11838.802587927015</v>
      </c>
      <c r="M19" s="41">
        <f>M18*'Ввод данных'!D18</f>
        <v>11916.117217072664</v>
      </c>
      <c r="N19" s="41">
        <f>N18*'Ввод данных'!D18</f>
        <v>12112.165026691979</v>
      </c>
    </row>
    <row r="20">
      <c r="B20" s="39" t="inlineStr">
        <is>
          <t>Пробег</t>
        </is>
      </c>
      <c r="C20" s="24" t="inlineStr">
        <is>
          <t>тыс.км</t>
        </is>
      </c>
      <c r="E20" s="41">
        <f>'Производительность'!D8*E17*2*'Ввод данных'!D18/1000</f>
        <v>108.73084270938169</v>
      </c>
      <c r="F20" s="41">
        <f>'Производительность'!D8*F17*2*'Ввод данных'!D18/1000</f>
        <v>107.89293503664396</v>
      </c>
      <c r="G20" s="41">
        <f>'Производительность'!D8*G17*2*'Ввод данных'!D18/1000</f>
        <v>106.79626175909011</v>
      </c>
      <c r="H20" s="41">
        <f>'Производительность'!D8*H17*2*'Ввод данных'!D18/1000</f>
        <v>105.34224550345694</v>
      </c>
      <c r="I20" s="41">
        <f>'Производительность'!D8*I17*2*'Ввод данных'!D18/1000</f>
        <v>108.23795584306535</v>
      </c>
      <c r="J20" s="41">
        <f>'Производительность'!D8*J17*2*'Ввод данных'!D18/1000</f>
        <v>106.89483913235338</v>
      </c>
      <c r="K20" s="41">
        <f>'Производительность'!D8*K17*2*'Ввод данных'!D18/1000</f>
        <v>108.00383458156512</v>
      </c>
      <c r="L20" s="41">
        <f>'Производительность'!D8*L17*2*'Ввод данных'!D18/1000</f>
        <v>105.66262196656255</v>
      </c>
      <c r="M20" s="41">
        <f>'Производительность'!D8*M17*2*'Ввод данных'!D18/1000</f>
        <v>106.35266357940542</v>
      </c>
      <c r="N20" s="41">
        <f>'Производительность'!D8*N17*2*'Ввод данных'!D18/1000</f>
        <v>108.1024119548284</v>
      </c>
    </row>
    <row r="22">
      <c r="B22" s="5" t="str">
        <f>"Вариант 2:  "&amp;'Ввод данных'!E7</f>
        <v>Вариант 2:  Estar ESDE240
(ГПБ К)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B23" s="39" t="inlineStr">
        <is>
          <t>КТГ (по годам)</t>
        </is>
      </c>
      <c r="C23" s="24" t="inlineStr">
        <is>
          <t>коэф.</t>
        </is>
      </c>
      <c r="E23" s="56">
        <f>'Данные по годам'!E10</f>
        <v>0.9038</v>
      </c>
      <c r="F23" s="56">
        <f>'Данные по годам'!F10</f>
        <v>0.888</v>
      </c>
      <c r="G23" s="56">
        <f>'Данные по годам'!G10</f>
        <v>0.8421</v>
      </c>
      <c r="H23" s="56">
        <f>'Данные по годам'!H10</f>
        <v>0.7991</v>
      </c>
      <c r="I23" s="56">
        <f>'Данные по годам'!I10</f>
        <v>0.8913</v>
      </c>
      <c r="J23" s="56">
        <f>'Данные по годам'!J10</f>
        <v>0.8151</v>
      </c>
      <c r="K23" s="56">
        <f>'Данные по годам'!K10</f>
        <v>0.881</v>
      </c>
      <c r="L23" s="56">
        <f>'Данные по годам'!L10</f>
        <v>0.8038</v>
      </c>
      <c r="M23" s="56">
        <f>'Данные по годам'!M10</f>
        <v>0.8489</v>
      </c>
      <c r="N23" s="56">
        <f>'Данные по годам'!N10</f>
        <v>0.8269</v>
      </c>
    </row>
    <row r="24">
      <c r="B24" s="39" t="inlineStr">
        <is>
          <t>КИО</t>
        </is>
      </c>
      <c r="C24" s="24" t="inlineStr">
        <is>
          <t>коэф.</t>
        </is>
      </c>
      <c r="E24" s="56">
        <f>E23*(1-102.38/(60*'Параметры'!C27))</f>
        <v>0.7752846611111112</v>
      </c>
      <c r="F24" s="56">
        <f>F23*(1-102.38/(60*'Параметры'!C27))</f>
        <v>0.7617313333333334</v>
      </c>
      <c r="G24" s="56">
        <f>G23*(1-102.38/(60*'Параметры'!C27))</f>
        <v>0.7223580583333333</v>
      </c>
      <c r="H24" s="56">
        <f>H23*(1-102.38/(60*'Параметры'!C27))</f>
        <v>0.6854724194444445</v>
      </c>
      <c r="I24" s="56">
        <f>I23*(1-102.38/(60*'Параметры'!C27))</f>
        <v>0.7645620916666667</v>
      </c>
      <c r="J24" s="56">
        <f>J23*(1-102.38/(60*'Параметры'!C27))</f>
        <v>0.6991973083333334</v>
      </c>
      <c r="K24" s="56">
        <f>K23*(1-102.38/(60*'Параметры'!C27))</f>
        <v>0.7557266944444445</v>
      </c>
      <c r="L24" s="56">
        <f>L23*(1-102.38/(60*'Параметры'!C27))</f>
        <v>0.6895041055555555</v>
      </c>
      <c r="M24" s="56">
        <f>M23*(1-102.38/(60*'Параметры'!C27))</f>
        <v>0.7281911361111112</v>
      </c>
      <c r="N24" s="56">
        <f>N23*(1-102.38/(60*'Параметры'!C27))</f>
        <v>0.7093194138888889</v>
      </c>
    </row>
    <row r="25">
      <c r="B25" s="39" t="inlineStr">
        <is>
          <t>Эффективное время</t>
        </is>
      </c>
      <c r="C25" s="24" t="inlineStr">
        <is>
          <t>час/год</t>
        </is>
      </c>
      <c r="E25" s="41">
        <f>'Параметры'!C26*E24</f>
        <v>6791.493631333334</v>
      </c>
      <c r="F25" s="41">
        <f>'Параметры'!C26*F24</f>
        <v>6672.766480000001</v>
      </c>
      <c r="G25" s="41">
        <f>'Параметры'!C26*G24</f>
        <v>6327.856591</v>
      </c>
      <c r="H25" s="41">
        <f>'Параметры'!C26*H24</f>
        <v>6004.738394333333</v>
      </c>
      <c r="I25" s="41">
        <f>'Параметры'!C26*I24</f>
        <v>6697.563923</v>
      </c>
      <c r="J25" s="41">
        <f>'Параметры'!C26*J24</f>
        <v>6124.9684210000005</v>
      </c>
      <c r="K25" s="41">
        <f>'Параметры'!C26*K24</f>
        <v>6620.165843333334</v>
      </c>
      <c r="L25" s="41">
        <f>'Параметры'!C26*L24</f>
        <v>6040.055964666666</v>
      </c>
      <c r="M25" s="41">
        <f>'Параметры'!C26*M24</f>
        <v>6378.954352333334</v>
      </c>
      <c r="N25" s="41">
        <f>'Параметры'!C26*N24</f>
        <v>6213.638065666666</v>
      </c>
    </row>
    <row r="26">
      <c r="B26" s="39" t="inlineStr">
        <is>
          <t>Объём перевозки</t>
        </is>
      </c>
      <c r="C26" s="24" t="inlineStr">
        <is>
          <t>тыс.т</t>
        </is>
      </c>
      <c r="E26" s="41">
        <f>'Производительность'!E9*E25/1000</f>
        <v>2722.6099807697433</v>
      </c>
      <c r="F26" s="41">
        <f>'Производительность'!E9*F25/1000</f>
        <v>2675.0140107585003</v>
      </c>
      <c r="G26" s="41">
        <f>'Производительность'!E9*G25/1000</f>
        <v>2536.7447054726717</v>
      </c>
      <c r="H26" s="41">
        <f>'Производительность'!E9*H25/1000</f>
        <v>2407.2113693661227</v>
      </c>
      <c r="I26" s="41">
        <f>'Производительность'!E9*I25/1000</f>
        <v>2684.954941203886</v>
      </c>
      <c r="J26" s="41">
        <f>'Производительность'!E9*J25/1000</f>
        <v>2455.4098200104204</v>
      </c>
      <c r="K26" s="41">
        <f>'Производительность'!E9*K25/1000</f>
        <v>2653.92718860162</v>
      </c>
      <c r="L26" s="41">
        <f>'Производительность'!E9*L25/1000</f>
        <v>2421.369664242885</v>
      </c>
      <c r="M26" s="41">
        <f>'Производительность'!E9*M25/1000</f>
        <v>2557.2290469964983</v>
      </c>
      <c r="N26" s="41">
        <f>'Производительность'!E9*N25/1000</f>
        <v>2490.956177360589</v>
      </c>
    </row>
    <row r="27">
      <c r="B27" s="39" t="inlineStr">
        <is>
          <t>Грузооборот</t>
        </is>
      </c>
      <c r="C27" s="24" t="inlineStr">
        <is>
          <t>тыс.ткм</t>
        </is>
      </c>
      <c r="E27" s="41">
        <f>E26*'Ввод данных'!E18</f>
        <v>11579.260248213719</v>
      </c>
      <c r="F27" s="41">
        <f>F26*'Ввод данных'!E18</f>
        <v>11376.834587755902</v>
      </c>
      <c r="G27" s="41">
        <f>G26*'Ввод данных'!E18</f>
        <v>10788.775232375274</v>
      </c>
      <c r="H27" s="41">
        <f>H26*'Ввод данных'!E18</f>
        <v>10237.86995391412</v>
      </c>
      <c r="I27" s="41">
        <f>I26*'Ввод данных'!E18</f>
        <v>11419.113364940127</v>
      </c>
      <c r="J27" s="41">
        <f>J26*'Ввод данных'!E18</f>
        <v>10442.857964504317</v>
      </c>
      <c r="K27" s="41">
        <f>K26*'Ввод данных'!E18</f>
        <v>11287.15233312269</v>
      </c>
      <c r="L27" s="41">
        <f>L26*'Ввод данных'!E18</f>
        <v>10298.08518202499</v>
      </c>
      <c r="M27" s="41">
        <f>M26*'Ввод данных'!E18</f>
        <v>10875.895136876108</v>
      </c>
      <c r="N27" s="41">
        <f>N26*'Ввод данных'!E18</f>
        <v>10594.036622314587</v>
      </c>
    </row>
    <row r="28">
      <c r="B28" s="39" t="inlineStr">
        <is>
          <t>Пробег</t>
        </is>
      </c>
      <c r="C28" s="24" t="inlineStr">
        <is>
          <t>тыс.км</t>
        </is>
      </c>
      <c r="E28" s="41">
        <f>'Производительность'!E8*E25*2*'Ввод данных'!E18/1000</f>
        <v>111.36778744417404</v>
      </c>
      <c r="F28" s="41">
        <f>'Производительность'!E8*F25*2*'Ввод данных'!E18/1000</f>
        <v>109.42088432222457</v>
      </c>
      <c r="G28" s="41">
        <f>'Производительность'!E8*G25*2*'Ввод данных'!E18/1000</f>
        <v>103.76500753124469</v>
      </c>
      <c r="H28" s="41">
        <f>'Производительность'!E8*H25*2*'Ввод данных'!E18/1000</f>
        <v>98.46647371834419</v>
      </c>
      <c r="I28" s="41">
        <f>'Производительность'!E8*I25*2*'Ввод данных'!E18/1000</f>
        <v>109.82751598693551</v>
      </c>
      <c r="J28" s="41">
        <f>'Производительность'!E8*J25*2*'Ввод данных'!E18/1000</f>
        <v>100.4380211836095</v>
      </c>
      <c r="K28" s="41">
        <f>'Производительность'!E8*K25*2*'Ввод данных'!E18/1000</f>
        <v>108.55833230617098</v>
      </c>
      <c r="L28" s="41">
        <f>'Производительность'!E8*L25*2*'Ввод данных'!E18/1000</f>
        <v>99.04561578626586</v>
      </c>
      <c r="M28" s="41">
        <f>'Производительность'!E8*M25*2*'Ввод данных'!E18/1000</f>
        <v>104.60291520398245</v>
      </c>
      <c r="N28" s="41">
        <f>'Производительность'!E8*N25*2*'Ввод данных'!E18/1000</f>
        <v>101.89203743924264</v>
      </c>
    </row>
    <row r="30">
      <c r="B30" s="5" t="str">
        <f>"Вариант 3:  "&amp;'Ввод данных'!F7</f>
        <v>Вариант 3:  SANY SET240S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B31" s="39" t="inlineStr">
        <is>
          <t>КТГ (по годам)</t>
        </is>
      </c>
      <c r="C31" s="24" t="inlineStr">
        <is>
          <t>коэф.</t>
        </is>
      </c>
      <c r="E31" s="56">
        <f>'Данные по годам'!E13</f>
        <v>0.7598</v>
      </c>
      <c r="F31" s="56">
        <f>'Данные по годам'!F13</f>
        <v>0.7329</v>
      </c>
      <c r="G31" s="56">
        <f>'Данные по годам'!G13</f>
        <v>0.7031</v>
      </c>
      <c r="H31" s="56">
        <f>'Данные по годам'!H13</f>
        <v>0.734</v>
      </c>
      <c r="I31" s="56">
        <f>'Данные по годам'!I13</f>
        <v>0.6902</v>
      </c>
      <c r="J31" s="56">
        <f>'Данные по годам'!J13</f>
        <v>0.734</v>
      </c>
      <c r="K31" s="56">
        <f>'Данные по годам'!K13</f>
        <v>0.7031</v>
      </c>
      <c r="L31" s="56">
        <f>'Данные по годам'!L13</f>
        <v>0.734</v>
      </c>
      <c r="M31" s="56">
        <f>'Данные по годам'!M13</f>
        <v>0.6902</v>
      </c>
      <c r="N31" s="56">
        <f>'Данные по годам'!N13</f>
        <v>0.7186</v>
      </c>
    </row>
    <row r="32">
      <c r="B32" s="39" t="inlineStr">
        <is>
          <t>КИО</t>
        </is>
      </c>
      <c r="C32" s="24" t="inlineStr">
        <is>
          <t>коэф.</t>
        </is>
      </c>
      <c r="E32" s="56">
        <f>E31*(1-102.38/(60*'Параметры'!C27))</f>
        <v>0.6517606611111112</v>
      </c>
      <c r="F32" s="56">
        <f>F31*(1-102.38/(60*'Параметры'!C27))</f>
        <v>0.6286856916666667</v>
      </c>
      <c r="G32" s="56">
        <f>G31*(1-102.38/(60*'Параметры'!C27))</f>
        <v>0.6031230861111111</v>
      </c>
      <c r="H32" s="56">
        <f>H31*(1-102.38/(60*'Параметры'!C27))</f>
        <v>0.6296292777777778</v>
      </c>
      <c r="I32" s="56">
        <f>I31*(1-102.38/(60*'Параметры'!C27))</f>
        <v>0.5920573944444445</v>
      </c>
      <c r="J32" s="56">
        <f>J31*(1-102.38/(60*'Параметры'!C27))</f>
        <v>0.6296292777777778</v>
      </c>
      <c r="K32" s="56">
        <f>K31*(1-102.38/(60*'Параметры'!C27))</f>
        <v>0.6031230861111111</v>
      </c>
      <c r="L32" s="56">
        <f>L31*(1-102.38/(60*'Параметры'!C27))</f>
        <v>0.6296292777777778</v>
      </c>
      <c r="M32" s="56">
        <f>M31*(1-102.38/(60*'Параметры'!C27))</f>
        <v>0.5920573944444445</v>
      </c>
      <c r="N32" s="56">
        <f>N31*(1-102.38/(60*'Параметры'!C27))</f>
        <v>0.6164190722222223</v>
      </c>
    </row>
    <row r="33">
      <c r="B33" s="39" t="inlineStr">
        <is>
          <t>Эффективное время</t>
        </is>
      </c>
      <c r="C33" s="24" t="inlineStr">
        <is>
          <t>час/год</t>
        </is>
      </c>
      <c r="E33" s="41">
        <f>'Параметры'!C26*E32</f>
        <v>5709.423391333334</v>
      </c>
      <c r="F33" s="41">
        <f>'Параметры'!C26*F32</f>
        <v>5507.286659</v>
      </c>
      <c r="G33" s="41">
        <f>'Параметры'!C26*G32</f>
        <v>5283.358234333333</v>
      </c>
      <c r="H33" s="41">
        <f>'Параметры'!C26*H32</f>
        <v>5515.552473333333</v>
      </c>
      <c r="I33" s="41">
        <f>'Параметры'!C26*I32</f>
        <v>5186.422775333333</v>
      </c>
      <c r="J33" s="41">
        <f>'Параметры'!C26*J32</f>
        <v>5515.552473333333</v>
      </c>
      <c r="K33" s="41">
        <f>'Параметры'!C26*K32</f>
        <v>5283.358234333333</v>
      </c>
      <c r="L33" s="41">
        <f>'Параметры'!C26*L32</f>
        <v>5515.552473333333</v>
      </c>
      <c r="M33" s="41">
        <f>'Параметры'!C26*M32</f>
        <v>5186.422775333333</v>
      </c>
      <c r="N33" s="41">
        <f>'Параметры'!C26*N32</f>
        <v>5399.831072666667</v>
      </c>
    </row>
    <row r="34">
      <c r="B34" s="39" t="inlineStr">
        <is>
          <t>Объём перевозки</t>
        </is>
      </c>
      <c r="C34" s="24" t="inlineStr">
        <is>
          <t>тыс.т</t>
        </is>
      </c>
      <c r="E34" s="41">
        <f>'Производительность'!F9*E33/1000</f>
        <v>2344.6485650561426</v>
      </c>
      <c r="F34" s="41">
        <f>'Производительность'!F9*F33/1000</f>
        <v>2261.638501355155</v>
      </c>
      <c r="G34" s="41">
        <f>'Производительность'!F9*G33/1000</f>
        <v>2169.6793973295253</v>
      </c>
      <c r="H34" s="41">
        <f>'Производительность'!F9*H33/1000</f>
        <v>2265.0329649265705</v>
      </c>
      <c r="I34" s="41">
        <f>'Производительность'!F9*I33/1000</f>
        <v>2129.8715972647396</v>
      </c>
      <c r="J34" s="41">
        <f>'Производительность'!F9*J33/1000</f>
        <v>2265.0329649265705</v>
      </c>
      <c r="K34" s="41">
        <f>'Производительность'!F9*K33/1000</f>
        <v>2169.6793973295253</v>
      </c>
      <c r="L34" s="41">
        <f>'Производительность'!F9*L33/1000</f>
        <v>2265.0329649265705</v>
      </c>
      <c r="M34" s="41">
        <f>'Производительность'!F9*M33/1000</f>
        <v>2129.8715972647396</v>
      </c>
      <c r="N34" s="41">
        <f>'Производительность'!F9*N33/1000</f>
        <v>2217.510474926749</v>
      </c>
    </row>
    <row r="35">
      <c r="B35" s="39" t="inlineStr">
        <is>
          <t>Грузооборот</t>
        </is>
      </c>
      <c r="C35" s="24" t="inlineStr">
        <is>
          <t>тыс.ткм</t>
        </is>
      </c>
      <c r="E35" s="41">
        <f>E34*'Ввод данных'!F18</f>
        <v>9960.067104358493</v>
      </c>
      <c r="F35" s="41">
        <f>F34*'Ввод данных'!F18</f>
        <v>9607.440353756698</v>
      </c>
      <c r="G35" s="41">
        <f>G34*'Ввод данных'!F18</f>
        <v>9216.798079855824</v>
      </c>
      <c r="H35" s="41">
        <f>H34*'Ввод данных'!F18</f>
        <v>9621.860035008072</v>
      </c>
      <c r="I35" s="41">
        <f>I34*'Ввод данных'!F18</f>
        <v>9047.694545180615</v>
      </c>
      <c r="J35" s="41">
        <f>J34*'Ввод данных'!F18</f>
        <v>9621.860035008072</v>
      </c>
      <c r="K35" s="41">
        <f>K34*'Ввод данных'!F18</f>
        <v>9216.798079855824</v>
      </c>
      <c r="L35" s="41">
        <f>L34*'Ввод данных'!F18</f>
        <v>9621.860035008072</v>
      </c>
      <c r="M35" s="41">
        <f>M34*'Ввод данных'!F18</f>
        <v>9047.694545180615</v>
      </c>
      <c r="N35" s="41">
        <f>N34*'Ввод данных'!F18</f>
        <v>9419.98449748883</v>
      </c>
    </row>
    <row r="36">
      <c r="B36" s="39" t="inlineStr">
        <is>
          <t>Пробег</t>
        </is>
      </c>
      <c r="C36" s="24" t="inlineStr">
        <is>
          <t>тыс.км</t>
        </is>
      </c>
      <c r="E36" s="41">
        <f>'Производительность'!F8*E33*2*'Ввод данных'!F18/1000</f>
        <v>93.5941277827196</v>
      </c>
      <c r="F36" s="41">
        <f>'Производительность'!F8*F33*2*'Ввод данных'!F18/1000</f>
        <v>90.28051625685075</v>
      </c>
      <c r="G36" s="41">
        <f>'Производительность'!F8*G33*2*'Ввод данных'!F18/1000</f>
        <v>86.60967523562799</v>
      </c>
      <c r="H36" s="41">
        <f>'Производительность'!F8*H33*2*'Ввод данных'!F18/1000</f>
        <v>90.41601709991602</v>
      </c>
      <c r="I36" s="41">
        <f>'Производительность'!F8*I33*2*'Ввод данных'!F18/1000</f>
        <v>85.0206198942262</v>
      </c>
      <c r="J36" s="41">
        <f>'Производительность'!F8*J33*2*'Ввод данных'!F18/1000</f>
        <v>90.41601709991602</v>
      </c>
      <c r="K36" s="41">
        <f>'Производительность'!F8*K33*2*'Ввод данных'!F18/1000</f>
        <v>86.60967523562799</v>
      </c>
      <c r="L36" s="41">
        <f>'Производительность'!F8*L33*2*'Ввод данных'!F18/1000</f>
        <v>90.41601709991602</v>
      </c>
      <c r="M36" s="41">
        <f>'Производительность'!F8*M33*2*'Ввод данных'!F18/1000</f>
        <v>85.0206198942262</v>
      </c>
      <c r="N36" s="41">
        <f>'Производительность'!F8*N33*2*'Ввод данных'!F18/1000</f>
        <v>88.51900529700225</v>
      </c>
    </row>
    <row r="38">
      <c r="B38" s="5" t="str">
        <f>"Вариант 4:  "&amp;'Ввод данных'!G7</f>
        <v>Вариант 4:  TZCO TZE240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B39" s="39" t="inlineStr">
        <is>
          <t>КТГ (по годам)</t>
        </is>
      </c>
      <c r="C39" s="24" t="inlineStr">
        <is>
          <t>коэф.</t>
        </is>
      </c>
      <c r="E39" s="56">
        <f>'Данные по годам'!E16</f>
        <v>0.8994</v>
      </c>
      <c r="F39" s="56">
        <f>'Данные по годам'!F16</f>
        <v>0.8743</v>
      </c>
      <c r="G39" s="56">
        <f>'Данные по годам'!G16</f>
        <v>0.7653</v>
      </c>
      <c r="H39" s="56">
        <f>'Данные по годам'!H16</f>
        <v>0.8743</v>
      </c>
      <c r="I39" s="56">
        <f>'Данные по годам'!I16</f>
        <v>0.8994</v>
      </c>
      <c r="J39" s="56">
        <f>'Данные по годам'!J16</f>
        <v>0.7396</v>
      </c>
      <c r="K39" s="56">
        <f>'Данные по годам'!K16</f>
        <v>0.8994</v>
      </c>
      <c r="L39" s="56">
        <f>'Данные по годам'!L16</f>
        <v>0.8743</v>
      </c>
      <c r="M39" s="56">
        <f>'Данные по годам'!M16</f>
        <v>0.8994</v>
      </c>
      <c r="N39" s="56">
        <f>'Данные по годам'!N16</f>
        <v>0.8743</v>
      </c>
    </row>
    <row r="40">
      <c r="B40" s="39" t="inlineStr">
        <is>
          <t>КИО</t>
        </is>
      </c>
      <c r="C40" s="24" t="inlineStr">
        <is>
          <t>коэф.</t>
        </is>
      </c>
      <c r="E40" s="56">
        <f>E39*(1-102.38/(60*'Параметры'!C27))</f>
        <v>0.7715103166666667</v>
      </c>
      <c r="F40" s="56">
        <f>F39*(1-102.38/(60*'Параметры'!C27))</f>
        <v>0.7499793972222222</v>
      </c>
      <c r="G40" s="56">
        <f>G39*(1-102.38/(60*'Параметры'!C27))</f>
        <v>0.6564785916666667</v>
      </c>
      <c r="H40" s="56">
        <f>H39*(1-102.38/(60*'Параметры'!C27))</f>
        <v>0.7499793972222222</v>
      </c>
      <c r="I40" s="56">
        <f>I39*(1-102.38/(60*'Параметры'!C27))</f>
        <v>0.7715103166666667</v>
      </c>
      <c r="J40" s="56">
        <f>J39*(1-102.38/(60*'Параметры'!C27))</f>
        <v>0.634432988888889</v>
      </c>
      <c r="K40" s="56">
        <f>K39*(1-102.38/(60*'Параметры'!C27))</f>
        <v>0.7715103166666667</v>
      </c>
      <c r="L40" s="56">
        <f>L39*(1-102.38/(60*'Параметры'!C27))</f>
        <v>0.7499793972222222</v>
      </c>
      <c r="M40" s="56">
        <f>M39*(1-102.38/(60*'Параметры'!C27))</f>
        <v>0.7715103166666667</v>
      </c>
      <c r="N40" s="56">
        <f>N39*(1-102.38/(60*'Параметры'!C27))</f>
        <v>0.7499793972222222</v>
      </c>
    </row>
    <row r="41">
      <c r="B41" s="39" t="inlineStr">
        <is>
          <t>Эффективное время</t>
        </is>
      </c>
      <c r="C41" s="24" t="inlineStr">
        <is>
          <t>час/год</t>
        </is>
      </c>
      <c r="E41" s="41">
        <f>'Параметры'!C26*E40</f>
        <v>6758.4303740000005</v>
      </c>
      <c r="F41" s="41">
        <f>'Параметры'!C26*F40</f>
        <v>6569.819519666667</v>
      </c>
      <c r="G41" s="41">
        <f>'Параметры'!C26*G40</f>
        <v>5750.752463</v>
      </c>
      <c r="H41" s="41">
        <f>'Параметры'!C26*H40</f>
        <v>6569.819519666667</v>
      </c>
      <c r="I41" s="41">
        <f>'Параметры'!C26*I40</f>
        <v>6758.4303740000005</v>
      </c>
      <c r="J41" s="41">
        <f>'Параметры'!C26*J40</f>
        <v>5557.632982666668</v>
      </c>
      <c r="K41" s="41">
        <f>'Параметры'!C26*K40</f>
        <v>6758.4303740000005</v>
      </c>
      <c r="L41" s="41">
        <f>'Параметры'!C26*L40</f>
        <v>6569.819519666667</v>
      </c>
      <c r="M41" s="41">
        <f>'Параметры'!C26*M40</f>
        <v>6758.4303740000005</v>
      </c>
      <c r="N41" s="41">
        <f>'Параметры'!C26*N40</f>
        <v>6569.819519666667</v>
      </c>
    </row>
    <row r="42">
      <c r="B42" s="39" t="inlineStr">
        <is>
          <t>Объём перевозки</t>
        </is>
      </c>
      <c r="C42" s="24" t="inlineStr">
        <is>
          <t>тыс.т</t>
        </is>
      </c>
      <c r="E42" s="41">
        <f>'Производительность'!G9*E41/1000</f>
        <v>2932.9223735887444</v>
      </c>
      <c r="F42" s="41">
        <f>'Производительность'!G9*F41/1000</f>
        <v>2851.071860383188</v>
      </c>
      <c r="G42" s="41">
        <f>'Производительность'!G9*G41/1000</f>
        <v>2495.625408614038</v>
      </c>
      <c r="H42" s="41">
        <f>'Производительность'!G9*H41/1000</f>
        <v>2851.071860383188</v>
      </c>
      <c r="I42" s="41">
        <f>'Производительность'!G9*I41/1000</f>
        <v>2932.9223735887444</v>
      </c>
      <c r="J42" s="41">
        <f>'Производительность'!G9*J41/1000</f>
        <v>2411.8183094354413</v>
      </c>
      <c r="K42" s="41">
        <f>'Производительность'!G9*K41/1000</f>
        <v>2932.9223735887444</v>
      </c>
      <c r="L42" s="41">
        <f>'Производительность'!G9*L41/1000</f>
        <v>2851.071860383188</v>
      </c>
      <c r="M42" s="41">
        <f>'Производительность'!G9*M41/1000</f>
        <v>2932.9223735887444</v>
      </c>
      <c r="N42" s="41">
        <f>'Производительность'!G9*N41/1000</f>
        <v>2851.071860383188</v>
      </c>
    </row>
    <row r="43">
      <c r="B43" s="39" t="inlineStr">
        <is>
          <t>Грузооборот</t>
        </is>
      </c>
      <c r="C43" s="24" t="inlineStr">
        <is>
          <t>тыс.ткм</t>
        </is>
      </c>
      <c r="E43" s="41">
        <f>E42*'Ввод данных'!G18</f>
        <v>11963.390361868487</v>
      </c>
      <c r="F43" s="41">
        <f>F42*'Ввод данных'!G18</f>
        <v>11629.522118503022</v>
      </c>
      <c r="G43" s="41">
        <f>G42*'Ввод данных'!G18</f>
        <v>10179.65604173666</v>
      </c>
      <c r="H43" s="41">
        <f>H42*'Ввод данных'!G18</f>
        <v>11629.522118503022</v>
      </c>
      <c r="I43" s="41">
        <f>I42*'Ввод данных'!G18</f>
        <v>11963.390361868487</v>
      </c>
      <c r="J43" s="41">
        <f>J42*'Ввод данных'!G18</f>
        <v>9837.806884187165</v>
      </c>
      <c r="K43" s="41">
        <f>K42*'Ввод данных'!G18</f>
        <v>11963.390361868487</v>
      </c>
      <c r="L43" s="41">
        <f>L42*'Ввод данных'!G18</f>
        <v>11629.522118503022</v>
      </c>
      <c r="M43" s="41">
        <f>M42*'Ввод данных'!G18</f>
        <v>11963.390361868487</v>
      </c>
      <c r="N43" s="41">
        <f>N42*'Ввод данных'!G18</f>
        <v>11629.522118503022</v>
      </c>
    </row>
    <row r="44">
      <c r="B44" s="39" t="inlineStr">
        <is>
          <t>Пробег</t>
        </is>
      </c>
      <c r="C44" s="24" t="inlineStr">
        <is>
          <t>тыс.км</t>
        </is>
      </c>
      <c r="E44" s="41">
        <f>'Производительность'!G8*E41*2*'Ввод данных'!G18/1000</f>
        <v>109.56418780966224</v>
      </c>
      <c r="F44" s="41">
        <f>'Производительность'!G8*F41*2*'Ввод данных'!G18/1000</f>
        <v>106.50652590836967</v>
      </c>
      <c r="G44" s="41">
        <f>'Производительность'!G8*G41*2*'Ввод данных'!G18/1000</f>
        <v>93.2282331896092</v>
      </c>
      <c r="H44" s="41">
        <f>'Производительность'!G8*H41*2*'Ввод данных'!G18/1000</f>
        <v>106.50652590836967</v>
      </c>
      <c r="I44" s="41">
        <f>'Производительность'!G8*I41*2*'Ввод данных'!G18/1000</f>
        <v>109.56418780966224</v>
      </c>
      <c r="J44" s="41">
        <f>'Производительность'!G8*J41*2*'Ввод данных'!G18/1000</f>
        <v>90.09747976876385</v>
      </c>
      <c r="K44" s="41">
        <f>'Производительность'!G8*K41*2*'Ввод данных'!G18/1000</f>
        <v>109.56418780966224</v>
      </c>
      <c r="L44" s="41">
        <f>'Производительность'!G8*L41*2*'Ввод данных'!G18/1000</f>
        <v>106.50652590836967</v>
      </c>
      <c r="M44" s="41">
        <f>'Производительность'!G8*M41*2*'Ввод данных'!G18/1000</f>
        <v>109.56418780966224</v>
      </c>
      <c r="N44" s="41">
        <f>'Производительность'!G8*N41*2*'Ввод данных'!G18/1000</f>
        <v>106.50652590836967</v>
      </c>
    </row>
    <row r="46">
      <c r="B46" s="5" t="str">
        <f>"Вариант 5:  "&amp;'Ввод данных'!H7</f>
        <v>Вариант 5:  БелАЗ 7531
(ГПФК)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B47" s="39" t="inlineStr">
        <is>
          <t>КТГ (по годам)</t>
        </is>
      </c>
      <c r="C47" s="24" t="inlineStr">
        <is>
          <t>коэф.</t>
        </is>
      </c>
      <c r="E47" s="56">
        <f>'Данные по годам'!E19</f>
        <v>0.7503</v>
      </c>
      <c r="F47" s="56">
        <f>'Данные по годам'!F19</f>
        <v>0.7317</v>
      </c>
      <c r="G47" s="56">
        <f>'Данные по годам'!G19</f>
        <v>0.7142</v>
      </c>
      <c r="H47" s="56">
        <f>'Данные по годам'!H19</f>
        <v>0.7226</v>
      </c>
      <c r="I47" s="56">
        <f>'Данные по годам'!I19</f>
        <v>0.728</v>
      </c>
      <c r="J47" s="56">
        <f>'Данные по годам'!J19</f>
        <v>0.6992</v>
      </c>
      <c r="K47" s="56">
        <f>'Данные по годам'!K19</f>
        <v>0.7411</v>
      </c>
      <c r="L47" s="56">
        <f>'Данные по годам'!L19</f>
        <v>0.706</v>
      </c>
      <c r="M47" s="56">
        <f>'Данные по годам'!M19</f>
        <v>0.6955</v>
      </c>
      <c r="N47" s="56">
        <f>'Данные по годам'!N19</f>
        <v>0.7113</v>
      </c>
    </row>
    <row r="48">
      <c r="B48" s="39" t="inlineStr">
        <is>
          <t>КИО</t>
        </is>
      </c>
      <c r="C48" s="24" t="inlineStr">
        <is>
          <t>коэф.</t>
        </is>
      </c>
      <c r="E48" s="56">
        <f>E47*(1-102.38/(60*'Параметры'!C27))</f>
        <v>0.6436115083333334</v>
      </c>
      <c r="F48" s="56">
        <f>F47*(1-102.38/(60*'Параметры'!C27))</f>
        <v>0.627656325</v>
      </c>
      <c r="G48" s="56">
        <f>G47*(1-102.38/(60*'Параметры'!C27))</f>
        <v>0.6126447277777778</v>
      </c>
      <c r="H48" s="56">
        <f>H47*(1-102.38/(60*'Параметры'!C27))</f>
        <v>0.6198502944444445</v>
      </c>
      <c r="I48" s="56">
        <f>I47*(1-102.38/(60*'Параметры'!C27))</f>
        <v>0.6244824444444445</v>
      </c>
      <c r="J48" s="56">
        <f>J47*(1-102.38/(60*'Параметры'!C27))</f>
        <v>0.5997776444444445</v>
      </c>
      <c r="K48" s="56">
        <f>K47*(1-102.38/(60*'Параметры'!C27))</f>
        <v>0.6357196972222222</v>
      </c>
      <c r="L48" s="56">
        <f>L47*(1-102.38/(60*'Параметры'!C27))</f>
        <v>0.6056107222222222</v>
      </c>
      <c r="M48" s="56">
        <f>M47*(1-102.38/(60*'Параметры'!C27))</f>
        <v>0.5966037638888889</v>
      </c>
      <c r="N48" s="56">
        <f>N47*(1-102.38/(60*'Параметры'!C27))</f>
        <v>0.6101570916666668</v>
      </c>
    </row>
    <row r="49">
      <c r="B49" s="39" t="inlineStr">
        <is>
          <t>Эффективное время</t>
        </is>
      </c>
      <c r="C49" s="24" t="inlineStr">
        <is>
          <t>час/год</t>
        </is>
      </c>
      <c r="E49" s="41">
        <f>'Параметры'!C26*E48</f>
        <v>5638.036813000001</v>
      </c>
      <c r="F49" s="41">
        <f>'Параметры'!C26*F48</f>
        <v>5498.269407</v>
      </c>
      <c r="G49" s="41">
        <f>'Параметры'!C26*G48</f>
        <v>5366.767815333334</v>
      </c>
      <c r="H49" s="41">
        <f>'Параметры'!C26*H48</f>
        <v>5429.888579333334</v>
      </c>
      <c r="I49" s="41">
        <f>'Параметры'!C26*I48</f>
        <v>5470.466213333333</v>
      </c>
      <c r="J49" s="41">
        <f>'Параметры'!C26*J48</f>
        <v>5254.0521653333335</v>
      </c>
      <c r="K49" s="41">
        <f>'Параметры'!C26*K48</f>
        <v>5568.904547666667</v>
      </c>
      <c r="L49" s="41">
        <f>'Параметры'!C26*L48</f>
        <v>5305.149926666667</v>
      </c>
      <c r="M49" s="41">
        <f>'Параметры'!C26*M48</f>
        <v>5226.248971666667</v>
      </c>
      <c r="N49" s="41">
        <f>'Параметры'!C26*N48</f>
        <v>5344.976123000001</v>
      </c>
    </row>
    <row r="50">
      <c r="B50" s="39" t="inlineStr">
        <is>
          <t>Объём перевозки</t>
        </is>
      </c>
      <c r="C50" s="24" t="inlineStr">
        <is>
          <t>тыс.т</t>
        </is>
      </c>
      <c r="E50" s="41">
        <f>'Производительность'!H9*E49/1000</f>
        <v>2423.821495263174</v>
      </c>
      <c r="F50" s="41">
        <f>'Производительность'!H9*F49/1000</f>
        <v>2363.734756876001</v>
      </c>
      <c r="G50" s="41">
        <f>'Производительность'!H9*G49/1000</f>
        <v>2307.2015352751678</v>
      </c>
      <c r="H50" s="41">
        <f>'Производительность'!H9*H49/1000</f>
        <v>2334.3374816435685</v>
      </c>
      <c r="I50" s="41">
        <f>'Производительность'!H9*I49/1000</f>
        <v>2351.782018594682</v>
      </c>
      <c r="J50" s="41">
        <f>'Производительность'!H9*J49/1000</f>
        <v>2258.744488188739</v>
      </c>
      <c r="K50" s="41">
        <f>'Производительность'!H9*K49/1000</f>
        <v>2394.1011730501637</v>
      </c>
      <c r="L50" s="41">
        <f>'Производительность'!H9*L49/1000</f>
        <v>2280.71168286792</v>
      </c>
      <c r="M50" s="41">
        <f>'Производительность'!H9*M49/1000</f>
        <v>2246.79174990742</v>
      </c>
      <c r="N50" s="41">
        <f>'Производительность'!H9*N49/1000</f>
        <v>2297.8331728384587</v>
      </c>
    </row>
    <row r="51">
      <c r="B51" s="39" t="inlineStr">
        <is>
          <t>Грузооборот</t>
        </is>
      </c>
      <c r="C51" s="24" t="inlineStr">
        <is>
          <t>тыс.ткм</t>
        </is>
      </c>
      <c r="E51" s="41">
        <f>E50*'Ввод данных'!H18</f>
        <v>10296.393711877963</v>
      </c>
      <c r="F51" s="41">
        <f>F50*'Ввод данных'!H18</f>
        <v>10041.145247209253</v>
      </c>
      <c r="G51" s="41">
        <f>G50*'Ввод данных'!H18</f>
        <v>9800.992121848913</v>
      </c>
      <c r="H51" s="41">
        <f>H50*'Ввод данных'!H18</f>
        <v>9916.26562202188</v>
      </c>
      <c r="I51" s="41">
        <f>I50*'Ввод данных'!H18</f>
        <v>9990.37001499021</v>
      </c>
      <c r="J51" s="41">
        <f>J50*'Ввод данных'!H18</f>
        <v>9595.146585825763</v>
      </c>
      <c r="K51" s="41">
        <f>K50*'Ввод данных'!H18</f>
        <v>10170.141783117097</v>
      </c>
      <c r="L51" s="41">
        <f>L50*'Ввод данных'!H18</f>
        <v>9688.463228822924</v>
      </c>
      <c r="M51" s="41">
        <f>M50*'Ввод данных'!H18</f>
        <v>9544.37135360672</v>
      </c>
      <c r="N51" s="41">
        <f>N50*'Ввод данных'!H18</f>
        <v>9761.195318217773</v>
      </c>
    </row>
    <row r="52">
      <c r="B52" s="39" t="inlineStr">
        <is>
          <t>Пробег</t>
        </is>
      </c>
      <c r="C52" s="24" t="inlineStr">
        <is>
          <t>тыс.км</t>
        </is>
      </c>
      <c r="E52" s="41">
        <f>'Производительность'!H8*E49*2*'Ввод данных'!H18/1000</f>
        <v>92.42389322897411</v>
      </c>
      <c r="F52" s="41">
        <f>'Производительность'!H8*F49*2*'Ввод данных'!H18/1000</f>
        <v>90.13269715532499</v>
      </c>
      <c r="G52" s="41">
        <f>'Производительность'!H8*G49*2*'Ввод данных'!H18/1000</f>
        <v>87.97700192474117</v>
      </c>
      <c r="H52" s="41">
        <f>'Производительность'!H8*H49*2*'Ввод данных'!H18/1000</f>
        <v>89.01173563542142</v>
      </c>
      <c r="I52" s="41">
        <f>'Производительность'!H8*I49*2*'Ввод данных'!H18/1000</f>
        <v>89.67692159228727</v>
      </c>
      <c r="J52" s="41">
        <f>'Производительность'!H8*J49*2*'Ввод данных'!H18/1000</f>
        <v>86.12926315566932</v>
      </c>
      <c r="K52" s="41">
        <f>'Производительность'!H8*K49*2*'Ввод данных'!H18/1000</f>
        <v>91.29061345061002</v>
      </c>
      <c r="L52" s="41">
        <f>'Производительность'!H8*L49*2*'Ввод данных'!H18/1000</f>
        <v>86.9669047309819</v>
      </c>
      <c r="M52" s="41">
        <f>'Производительность'!H8*M49*2*'Ввод данных'!H18/1000</f>
        <v>85.67348759263159</v>
      </c>
      <c r="N52" s="41">
        <f>'Производительность'!H8*N49*2*'Ввод данных'!H18/1000</f>
        <v>87.6197724293873</v>
      </c>
    </row>
    <row r="54">
      <c r="B54" s="5" t="str">
        <f>"Вариант 6:  "&amp;'Ввод данных'!I7</f>
        <v>Вариант 6:  БелАЗ 7531
(БТЛ)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B55" s="39" t="inlineStr">
        <is>
          <t>КТГ (по годам)</t>
        </is>
      </c>
      <c r="C55" s="24" t="inlineStr">
        <is>
          <t>коэф.</t>
        </is>
      </c>
      <c r="E55" s="56">
        <f>'Данные по годам'!E22</f>
        <v>0.7573</v>
      </c>
      <c r="F55" s="56">
        <f>'Данные по годам'!F22</f>
        <v>0.7394</v>
      </c>
      <c r="G55" s="56">
        <f>'Данные по годам'!G22</f>
        <v>0.7321</v>
      </c>
      <c r="H55" s="56">
        <f>'Данные по годам'!H22</f>
        <v>0.7174</v>
      </c>
      <c r="I55" s="56">
        <f>'Данные по годам'!I22</f>
        <v>0.7337</v>
      </c>
      <c r="J55" s="56">
        <f>'Данные по годам'!J22</f>
        <v>0.7084</v>
      </c>
      <c r="K55" s="56">
        <f>'Данные по годам'!K22</f>
        <v>0.693</v>
      </c>
      <c r="L55" s="56">
        <f>'Данные по годам'!L22</f>
        <v>0.7264</v>
      </c>
      <c r="M55" s="56">
        <f>'Данные по годам'!M22</f>
        <v>0.6987</v>
      </c>
      <c r="N55" s="56">
        <f>'Данные по годам'!N22</f>
        <v>0.6938</v>
      </c>
    </row>
    <row r="56">
      <c r="B56" s="39" t="inlineStr">
        <is>
          <t>КИО</t>
        </is>
      </c>
      <c r="C56" s="24" t="inlineStr">
        <is>
          <t>коэф.</t>
        </is>
      </c>
      <c r="E56" s="56">
        <f>E55*(1-102.38/(60*'Параметры'!C27))</f>
        <v>0.6496161472222223</v>
      </c>
      <c r="F56" s="56">
        <f>F55*(1-102.38/(60*'Параметры'!C27))</f>
        <v>0.6342614277777777</v>
      </c>
      <c r="G56" s="56">
        <f>G55*(1-102.38/(60*'Параметры'!C27))</f>
        <v>0.6279994472222222</v>
      </c>
      <c r="H56" s="56">
        <f>H55*(1-102.38/(60*'Параметры'!C27))</f>
        <v>0.6153897055555556</v>
      </c>
      <c r="I56" s="56">
        <f>I55*(1-102.38/(60*'Параметры'!C27))</f>
        <v>0.6293719361111112</v>
      </c>
      <c r="J56" s="56">
        <f>J55*(1-102.38/(60*'Параметры'!C27))</f>
        <v>0.6076694555555556</v>
      </c>
      <c r="K56" s="56">
        <f>K55*(1-102.38/(60*'Параметры'!C27))</f>
        <v>0.59445925</v>
      </c>
      <c r="L56" s="56">
        <f>L55*(1-102.38/(60*'Параметры'!C27))</f>
        <v>0.6231099555555556</v>
      </c>
      <c r="M56" s="56">
        <f>M55*(1-102.38/(60*'Параметры'!C27))</f>
        <v>0.5993487416666667</v>
      </c>
      <c r="N56" s="56">
        <f>N55*(1-102.38/(60*'Параметры'!C27))</f>
        <v>0.5951454944444444</v>
      </c>
    </row>
    <row r="57">
      <c r="B57" s="39" t="inlineStr">
        <is>
          <t>Эффективное время</t>
        </is>
      </c>
      <c r="C57" s="24" t="inlineStr">
        <is>
          <t>час/год</t>
        </is>
      </c>
      <c r="E57" s="41">
        <f>'Параметры'!C26*E56</f>
        <v>5690.637449666667</v>
      </c>
      <c r="F57" s="41">
        <f>'Параметры'!C26*F56</f>
        <v>5556.1301073333325</v>
      </c>
      <c r="G57" s="41">
        <f>'Параметры'!C26*G56</f>
        <v>5501.275157666667</v>
      </c>
      <c r="H57" s="41">
        <f>'Параметры'!C26*H56</f>
        <v>5390.813820666667</v>
      </c>
      <c r="I57" s="41">
        <f>'Параметры'!C26*I56</f>
        <v>5513.298160333334</v>
      </c>
      <c r="J57" s="41">
        <f>'Параметры'!C26*J56</f>
        <v>5323.184430666667</v>
      </c>
      <c r="K57" s="41">
        <f>'Параметры'!C26*K56</f>
        <v>5207.46303</v>
      </c>
      <c r="L57" s="41">
        <f>'Параметры'!C26*L56</f>
        <v>5458.443210666667</v>
      </c>
      <c r="M57" s="41">
        <f>'Параметры'!C26*M56</f>
        <v>5250.2949770000005</v>
      </c>
      <c r="N57" s="41">
        <f>'Параметры'!C26*N56</f>
        <v>5213.474531333333</v>
      </c>
    </row>
    <row r="58">
      <c r="B58" s="39" t="inlineStr">
        <is>
          <t>Объём перевозки</t>
        </is>
      </c>
      <c r="C58" s="24" t="inlineStr">
        <is>
          <t>тыс.т</t>
        </is>
      </c>
      <c r="E58" s="41">
        <f>'Производительность'!I9*E57/1000</f>
        <v>2446.4347839035067</v>
      </c>
      <c r="F58" s="41">
        <f>'Производительность'!I9*F57/1000</f>
        <v>2388.6093743803676</v>
      </c>
      <c r="G58" s="41">
        <f>'Производительность'!I9*G57/1000</f>
        <v>2365.0269447983064</v>
      </c>
      <c r="H58" s="41">
        <f>'Производительность'!I9*H57/1000</f>
        <v>2317.539038653606</v>
      </c>
      <c r="I58" s="41">
        <f>'Производительность'!I9*I57/1000</f>
        <v>2370.1956964875253</v>
      </c>
      <c r="J58" s="41">
        <f>'Производительность'!I9*J57/1000</f>
        <v>2288.4648104017488</v>
      </c>
      <c r="K58" s="41">
        <f>'Производительность'!I9*K57/1000</f>
        <v>2238.715575393015</v>
      </c>
      <c r="L58" s="41">
        <f>'Производительность'!I9*L57/1000</f>
        <v>2346.613266905463</v>
      </c>
      <c r="M58" s="41">
        <f>'Производительность'!I9*M57/1000</f>
        <v>2257.1292532858583</v>
      </c>
      <c r="N58" s="41">
        <f>'Производительность'!I9*N57/1000</f>
        <v>2241.2999512376246</v>
      </c>
    </row>
    <row r="59">
      <c r="B59" s="39" t="inlineStr">
        <is>
          <t>Грузооборот</t>
        </is>
      </c>
      <c r="C59" s="24" t="inlineStr">
        <is>
          <t>тыс.ткм</t>
        </is>
      </c>
      <c r="E59" s="41">
        <f>E58*'Ввод данных'!I18</f>
        <v>10392.454962022097</v>
      </c>
      <c r="F59" s="41">
        <f>F58*'Ввод данных'!I18</f>
        <v>10146.812622367803</v>
      </c>
      <c r="G59" s="41">
        <f>G58*'Ввод данных'!I18</f>
        <v>10046.634461503207</v>
      </c>
      <c r="H59" s="41">
        <f>H58*'Ввод данных'!I18</f>
        <v>9844.905836200518</v>
      </c>
      <c r="I59" s="41">
        <f>I58*'Ввод данных'!I18</f>
        <v>10068.591318679008</v>
      </c>
      <c r="J59" s="41">
        <f>J58*'Ввод данных'!I18</f>
        <v>9721.39851458663</v>
      </c>
      <c r="K59" s="41">
        <f>K58*'Ввод данных'!I18</f>
        <v>9510.06376426953</v>
      </c>
      <c r="L59" s="41">
        <f>L58*'Ввод данных'!I18</f>
        <v>9968.413157814408</v>
      </c>
      <c r="M59" s="41">
        <f>M58*'Ввод данных'!I18</f>
        <v>9588.285067958326</v>
      </c>
      <c r="N59" s="41">
        <f>N58*'Ввод данных'!I18</f>
        <v>9521.042192857429</v>
      </c>
    </row>
    <row r="60">
      <c r="B60" s="39" t="inlineStr">
        <is>
          <t>Пробег</t>
        </is>
      </c>
      <c r="C60" s="24" t="inlineStr">
        <is>
          <t>тыс.км</t>
        </is>
      </c>
      <c r="E60" s="41">
        <f>'Производительность'!I8*E57*2*'Ввод данных'!I18/1000</f>
        <v>93.28617132120763</v>
      </c>
      <c r="F60" s="41">
        <f>'Производительность'!I8*F57*2*'Ввод данных'!I18/1000</f>
        <v>91.08120305678186</v>
      </c>
      <c r="G60" s="41">
        <f>'Производительность'!I8*G57*2*'Ввод данных'!I18/1000</f>
        <v>90.18197018916692</v>
      </c>
      <c r="H60" s="41">
        <f>'Производительность'!I8*H57*2*'Ввод данных'!I18/1000</f>
        <v>88.37118619547651</v>
      </c>
      <c r="I60" s="41">
        <f>'Производительность'!I8*I57*2*'Ввод данных'!I18/1000</f>
        <v>90.37906232453457</v>
      </c>
      <c r="J60" s="41">
        <f>'Производительность'!I8*J57*2*'Ввод данных'!I18/1000</f>
        <v>87.26254293403339</v>
      </c>
      <c r="K60" s="41">
        <f>'Производительность'!I8*K57*2*'Ввод данных'!I18/1000</f>
        <v>85.36553113111961</v>
      </c>
      <c r="L60" s="41">
        <f>'Производительность'!I8*L57*2*'Ввод данных'!I18/1000</f>
        <v>89.47982945691962</v>
      </c>
      <c r="M60" s="41">
        <f>'Производительность'!I8*M57*2*'Ввод данных'!I18/1000</f>
        <v>86.06767186336693</v>
      </c>
      <c r="N60" s="41">
        <f>'Производительность'!I8*N57*2*'Ввод данных'!I18/1000</f>
        <v>85.46407719880344</v>
      </c>
    </row>
  </sheetData>
  <mergeCells count="9">
    <mergeCell ref="B46:N46"/>
    <mergeCell ref="B22:N22"/>
    <mergeCell ref="B14:N14"/>
    <mergeCell ref="B1:N1"/>
    <mergeCell ref="B12:N12"/>
    <mergeCell ref="B30:N30"/>
    <mergeCell ref="B54:N54"/>
    <mergeCell ref="B38:N38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N13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B1" s="1" t="inlineStr">
        <is>
          <t>ПОГОДОВОЙ ДЕНЕЖНЫЙ ПОТОК И АННУИТЕТ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B2" s="3" t="inlineStr">
        <is>
          <t>Пост-налоговый жизненный цикл по годам: период 0 — инвестиции, 1–10 — эксплуатация.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57" t="inlineStr">
        <is>
          <t>Период</t>
        </is>
      </c>
      <c r="D4" s="58" t="n">
        <v>0</v>
      </c>
      <c r="E4" s="58" t="n">
        <v>1</v>
      </c>
      <c r="F4" s="58" t="n">
        <v>2</v>
      </c>
      <c r="G4" s="58" t="n">
        <v>3</v>
      </c>
      <c r="H4" s="58" t="n">
        <v>4</v>
      </c>
      <c r="I4" s="58" t="n">
        <v>5</v>
      </c>
      <c r="J4" s="58" t="n">
        <v>6</v>
      </c>
      <c r="K4" s="58" t="n">
        <v>7</v>
      </c>
      <c r="L4" s="58" t="n">
        <v>8</v>
      </c>
      <c r="M4" s="58" t="n">
        <v>9</v>
      </c>
      <c r="N4" s="58" t="n">
        <v>10</v>
      </c>
    </row>
    <row r="5">
      <c r="B5" s="59" t="inlineStr">
        <is>
          <t>Календарный год</t>
        </is>
      </c>
      <c r="D5" s="24" t="n">
        <v>2027</v>
      </c>
      <c r="E5" s="24" t="n">
        <v>2028</v>
      </c>
      <c r="F5" s="24" t="n">
        <v>2029</v>
      </c>
      <c r="G5" s="24" t="n">
        <v>2030</v>
      </c>
      <c r="H5" s="24" t="n">
        <v>2031</v>
      </c>
      <c r="I5" s="24" t="n">
        <v>2032</v>
      </c>
      <c r="J5" s="24" t="n">
        <v>2033</v>
      </c>
      <c r="K5" s="24" t="n">
        <v>2034</v>
      </c>
      <c r="L5" s="24" t="n">
        <v>2035</v>
      </c>
      <c r="M5" s="24" t="n">
        <v>2036</v>
      </c>
      <c r="N5" s="24" t="n">
        <v>2037</v>
      </c>
    </row>
    <row r="6">
      <c r="B6" s="57" t="inlineStr">
        <is>
          <t>Дисконт-фактор</t>
        </is>
      </c>
      <c r="D6" s="60">
        <f>1/(1+'Параметры'!C6)^D$4</f>
        <v>1.0</v>
      </c>
      <c r="E6" s="60">
        <f>1/(1+'Параметры'!C6)^E$4</f>
        <v>0.8928571428571428</v>
      </c>
      <c r="F6" s="60">
        <f>1/(1+'Параметры'!C6)^F$4</f>
        <v>0.7971938775510203</v>
      </c>
      <c r="G6" s="60">
        <f>1/(1+'Параметры'!C6)^G$4</f>
        <v>0.7117802478134109</v>
      </c>
      <c r="H6" s="60">
        <f>1/(1+'Параметры'!C6)^H$4</f>
        <v>0.6355180784048311</v>
      </c>
      <c r="I6" s="60">
        <f>1/(1+'Параметры'!C6)^I$4</f>
        <v>0.5674268557185992</v>
      </c>
      <c r="J6" s="60">
        <f>1/(1+'Параметры'!C6)^J$4</f>
        <v>0.5066311211773206</v>
      </c>
      <c r="K6" s="60">
        <f>1/(1+'Параметры'!C6)^K$4</f>
        <v>0.4523492153368934</v>
      </c>
      <c r="L6" s="60">
        <f>1/(1+'Параметры'!C6)^L$4</f>
        <v>0.40388322797936904</v>
      </c>
      <c r="M6" s="60">
        <f>1/(1+'Параметры'!C6)^M$4</f>
        <v>0.36061002498157946</v>
      </c>
      <c r="N6" s="60">
        <f>1/(1+'Параметры'!C6)^N$4</f>
        <v>0.32197323659069593</v>
      </c>
    </row>
    <row r="8">
      <c r="B8" s="5" t="str">
        <f>"Вариант 1:  "&amp;'Ввод данных'!D7</f>
        <v>Вариант 1:  NHL NTE 240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B9" s="22" t="inlineStr">
        <is>
          <t>КТГ</t>
        </is>
      </c>
      <c r="C9" s="24" t="inlineStr">
        <is>
          <t>коэф.</t>
        </is>
      </c>
      <c r="D9" s="55" t="n"/>
      <c r="E9" s="55">
        <f>'Данные по годам'!E7</f>
        <v>0.8824</v>
      </c>
      <c r="F9" s="55">
        <f>'Данные по годам'!F7</f>
        <v>0.8756</v>
      </c>
      <c r="G9" s="55">
        <f>'Данные по годам'!G7</f>
        <v>0.8667</v>
      </c>
      <c r="H9" s="55">
        <f>'Данные по годам'!H7</f>
        <v>0.8549</v>
      </c>
      <c r="I9" s="55">
        <f>'Данные по годам'!I7</f>
        <v>0.8784</v>
      </c>
      <c r="J9" s="55">
        <f>'Данные по годам'!J7</f>
        <v>0.8675</v>
      </c>
      <c r="K9" s="55">
        <f>'Данные по годам'!K7</f>
        <v>0.8765</v>
      </c>
      <c r="L9" s="55">
        <f>'Данные по годам'!L7</f>
        <v>0.8575</v>
      </c>
      <c r="M9" s="55">
        <f>'Данные по годам'!M7</f>
        <v>0.8631</v>
      </c>
      <c r="N9" s="55">
        <f>'Данные по годам'!N7</f>
        <v>0.8773</v>
      </c>
    </row>
    <row r="10">
      <c r="B10" s="22" t="inlineStr">
        <is>
          <t>Эффективное время</t>
        </is>
      </c>
      <c r="C10" s="24" t="inlineStr">
        <is>
          <t>час/год</t>
        </is>
      </c>
      <c r="D10" s="52" t="n"/>
      <c r="E10" s="52">
        <f>'Параметры'!C26*E9*(1-102.38/(60*'Параметры'!C27))</f>
        <v>6630.685970666666</v>
      </c>
      <c r="F10" s="52">
        <f>'Параметры'!C26*F9*(1-102.38/(60*'Параметры'!C27))</f>
        <v>6579.588209333334</v>
      </c>
      <c r="G10" s="52">
        <f>'Параметры'!C26*G9*(1-102.38/(60*'Параметры'!C27))</f>
        <v>6512.710257000001</v>
      </c>
      <c r="H10" s="52">
        <f>'Параметры'!C26*H9*(1-102.38/(60*'Параметры'!C27))</f>
        <v>6424.040612333333</v>
      </c>
      <c r="I10" s="52">
        <f>'Параметры'!C26*I9*(1-102.38/(60*'Параметры'!C27))</f>
        <v>6600.628464</v>
      </c>
      <c r="J10" s="52">
        <f>'Параметры'!C26*J9*(1-102.38/(60*'Параметры'!C27))</f>
        <v>6518.721758333334</v>
      </c>
      <c r="K10" s="52">
        <f>'Параметры'!C26*K9*(1-102.38/(60*'Параметры'!C27))</f>
        <v>6586.351148333333</v>
      </c>
      <c r="L10" s="52">
        <f>'Параметры'!C26*L9*(1-102.38/(60*'Параметры'!C27))</f>
        <v>6443.577991666668</v>
      </c>
      <c r="M10" s="52">
        <f>'Параметры'!C26*M9*(1-102.38/(60*'Параметры'!C27))</f>
        <v>6485.658501</v>
      </c>
      <c r="N10" s="52">
        <f>'Параметры'!C26*N9*(1-102.38/(60*'Параметры'!C27))</f>
        <v>6592.3626496666675</v>
      </c>
    </row>
    <row r="11">
      <c r="B11" s="22" t="inlineStr">
        <is>
          <t>Объём перевозки</t>
        </is>
      </c>
      <c r="C11" s="24" t="inlineStr">
        <is>
          <t>тыс.т</t>
        </is>
      </c>
      <c r="D11" s="52" t="n"/>
      <c r="E11" s="52">
        <f>'Производительность'!D9*E10/1000</f>
        <v>2864.466626839788</v>
      </c>
      <c r="F11" s="52">
        <f>'Производительность'!D9*F10/1000</f>
        <v>2842.3923146655925</v>
      </c>
      <c r="G11" s="52">
        <f>'Производительность'!D9*G10/1000</f>
        <v>2813.500935496424</v>
      </c>
      <c r="H11" s="52">
        <f>'Производительность'!D9*H10/1000</f>
        <v>2775.1955114294365</v>
      </c>
      <c r="I11" s="52">
        <f>'Производительность'!D9*I10/1000</f>
        <v>2851.481737325555</v>
      </c>
      <c r="J11" s="52">
        <f>'Производительность'!D9*J10/1000</f>
        <v>2816.0979133992705</v>
      </c>
      <c r="K11" s="52">
        <f>'Производительность'!D9*K10/1000</f>
        <v>2845.313914806294</v>
      </c>
      <c r="L11" s="52">
        <f>'Производительность'!D9*L10/1000</f>
        <v>2783.6356896136886</v>
      </c>
      <c r="M11" s="52">
        <f>'Производительность'!D9*M10/1000</f>
        <v>2801.814534933614</v>
      </c>
      <c r="N11" s="52">
        <f>'Производительность'!D9*N10/1000</f>
        <v>2847.9108927091415</v>
      </c>
    </row>
    <row r="12">
      <c r="B12" s="22" t="inlineStr">
        <is>
          <t>Грузооборот</t>
        </is>
      </c>
      <c r="C12" s="24" t="inlineStr">
        <is>
          <t>тыс.ткм</t>
        </is>
      </c>
      <c r="D12" s="52" t="n"/>
      <c r="E12" s="52">
        <f>E11*'Ввод данных'!D18</f>
        <v>12182.57656394962</v>
      </c>
      <c r="F12" s="52">
        <f>F11*'Ввод данных'!D18</f>
        <v>12088.694514272765</v>
      </c>
      <c r="G12" s="52">
        <f>G11*'Ввод данных'!D18</f>
        <v>11965.819478666292</v>
      </c>
      <c r="H12" s="52">
        <f>H11*'Ввод данных'!D18</f>
        <v>11802.906510109393</v>
      </c>
      <c r="I12" s="52">
        <f>I11*'Ввод данных'!D18</f>
        <v>12127.351828845585</v>
      </c>
      <c r="J12" s="52">
        <f>J11*'Ввод данных'!D18</f>
        <v>11976.864425687098</v>
      </c>
      <c r="K12" s="52">
        <f>K11*'Ввод данных'!D18</f>
        <v>12101.12007967117</v>
      </c>
      <c r="L12" s="52">
        <f>L11*'Ввод данных'!D18</f>
        <v>11838.802587927017</v>
      </c>
      <c r="M12" s="52">
        <f>M11*'Ввод данных'!D18</f>
        <v>11916.11721707266</v>
      </c>
      <c r="N12" s="52">
        <f>N11*'Ввод данных'!D18</f>
        <v>12112.165026691979</v>
      </c>
    </row>
    <row r="13">
      <c r="B13" s="22" t="inlineStr">
        <is>
          <t>Пробег</t>
        </is>
      </c>
      <c r="C13" s="24" t="inlineStr">
        <is>
          <t>тыс.км</t>
        </is>
      </c>
      <c r="D13" s="52" t="n"/>
      <c r="E13" s="52">
        <f>'Производительность'!D8*E10*2*'Ввод данных'!D18/1000</f>
        <v>108.73084270938169</v>
      </c>
      <c r="F13" s="52">
        <f>'Производительность'!D8*F10*2*'Ввод данных'!D18/1000</f>
        <v>107.89293503664393</v>
      </c>
      <c r="G13" s="52">
        <f>'Производительность'!D8*G10*2*'Ввод данных'!D18/1000</f>
        <v>106.79626175909011</v>
      </c>
      <c r="H13" s="52">
        <f>'Производительность'!D8*H10*2*'Ввод данных'!D18/1000</f>
        <v>105.34224550345692</v>
      </c>
      <c r="I13" s="52">
        <f>'Производительность'!D8*I10*2*'Ввод данных'!D18/1000</f>
        <v>108.23795584306536</v>
      </c>
      <c r="J13" s="52">
        <f>'Производительность'!D8*J10*2*'Ввод данных'!D18/1000</f>
        <v>106.89483913235338</v>
      </c>
      <c r="K13" s="52">
        <f>'Производительность'!D8*K10*2*'Ввод данных'!D18/1000</f>
        <v>108.00383458156512</v>
      </c>
      <c r="L13" s="52">
        <f>'Производительность'!D8*L10*2*'Ввод данных'!D18/1000</f>
        <v>105.66262196656257</v>
      </c>
      <c r="M13" s="52">
        <f>'Производительность'!D8*M10*2*'Ввод данных'!D18/1000</f>
        <v>106.3526635794054</v>
      </c>
      <c r="N13" s="52">
        <f>'Производительность'!D8*N10*2*'Ввод данных'!D18/1000</f>
        <v>108.1024119548284</v>
      </c>
    </row>
    <row r="14">
      <c r="B14" s="22" t="inlineStr">
        <is>
          <t>Топливо</t>
        </is>
      </c>
      <c r="C14" s="24" t="inlineStr">
        <is>
          <t>тыс.руб</t>
        </is>
      </c>
      <c r="D14" s="52" t="n"/>
      <c r="E14" s="52">
        <f>E12*'Параметры'!C32/1000*'Параметры'!C10*(1+'Параметры'!C14)^(E$4-1)</f>
        <v>63055.67133855059</v>
      </c>
      <c r="F14" s="52">
        <f>F12*'Параметры'!C32/1000*'Параметры'!C10*(1+'Параметры'!C14)^(F$4-1)</f>
        <v>62569.74821400146</v>
      </c>
      <c r="G14" s="52">
        <f>G12*'Параметры'!C32/1000*'Параметры'!C10*(1+'Параметры'!C14)^(G$4-1)</f>
        <v>61933.760595106294</v>
      </c>
      <c r="H14" s="52">
        <f>H12*'Параметры'!C32/1000*'Параметры'!C10*(1+'Параметры'!C14)^(H$4-1)</f>
        <v>61090.54105544751</v>
      </c>
      <c r="I14" s="52">
        <f>I12*'Параметры'!C32/1000*'Параметры'!C10*(1+'Параметры'!C14)^(I$4-1)</f>
        <v>62769.83420646285</v>
      </c>
      <c r="J14" s="52">
        <f>J12*'Параметры'!C32/1000*'Параметры'!C10*(1+'Параметры'!C14)^(J$4-1)</f>
        <v>61990.928021523825</v>
      </c>
      <c r="K14" s="52">
        <f>K12*'Параметры'!C32/1000*'Параметры'!C10*(1+'Параметры'!C14)^(K$4-1)</f>
        <v>62634.06156872118</v>
      </c>
      <c r="L14" s="52">
        <f>L12*'Параметры'!C32/1000*'Параметры'!C10*(1+'Параметры'!C14)^(L$4-1)</f>
        <v>61276.33519130454</v>
      </c>
      <c r="M14" s="52">
        <f>M12*'Параметры'!C32/1000*'Параметры'!C10*(1+'Параметры'!C14)^(M$4-1)</f>
        <v>61676.50717622734</v>
      </c>
      <c r="N14" s="52">
        <f>N12*'Параметры'!C32/1000*'Параметры'!C10*(1+'Параметры'!C14)^(N$4-1)</f>
        <v>62691.22899513875</v>
      </c>
    </row>
    <row r="15">
      <c r="B15" s="22" t="inlineStr">
        <is>
          <t>ТОиР и сервис (по годам)</t>
        </is>
      </c>
      <c r="C15" s="24" t="inlineStr">
        <is>
          <t>тыс.руб</t>
        </is>
      </c>
      <c r="D15" s="52" t="n"/>
      <c r="E15" s="52">
        <f>'Данные по годам'!E8*IF('Данные по годам'!$D$8="CNY",'Параметры'!C20,IF('Данные по годам'!$D$8="USD",'Параметры'!C21,IF('Данные по годам'!$D$8="EUR",'Параметры'!C22,1)))</f>
        <v>23836.27896485948</v>
      </c>
      <c r="F15" s="52">
        <f>'Данные по годам'!F8*IF('Данные по годам'!$D$8="CNY",'Параметры'!C20,IF('Данные по годам'!$D$8="USD",'Параметры'!C21,IF('Данные по годам'!$D$8="EUR",'Параметры'!C22,1)))</f>
        <v>30532.44149028056</v>
      </c>
      <c r="G15" s="52">
        <f>'Данные по годам'!G8*IF('Данные по годам'!$D$8="CNY",'Параметры'!C20,IF('Данные по годам'!$D$8="USD",'Параметры'!C21,IF('Данные по годам'!$D$8="EUR",'Параметры'!C22,1)))</f>
        <v>120454.40760365111</v>
      </c>
      <c r="H15" s="52">
        <f>'Данные по годам'!H8*IF('Данные по годам'!$D$8="CNY",'Параметры'!C20,IF('Данные по годам'!$D$8="USD",'Параметры'!C21,IF('Данные по годам'!$D$8="EUR",'Параметры'!C22,1)))</f>
        <v>54102.21295175529</v>
      </c>
      <c r="I15" s="52">
        <f>'Данные по годам'!I8*IF('Данные по годам'!$D$8="CNY",'Параметры'!C20,IF('Данные по годам'!$D$8="USD",'Параметры'!C21,IF('Данные по годам'!$D$8="EUR",'Параметры'!C22,1)))</f>
        <v>29151.90734509574</v>
      </c>
      <c r="J15" s="52">
        <f>'Данные по годам'!J8*IF('Данные по годам'!$D$8="CNY",'Параметры'!C20,IF('Данные по годам'!$D$8="USD",'Параметры'!C21,IF('Данные по годам'!$D$8="EUR",'Параметры'!C22,1)))</f>
        <v>122105.87660811789</v>
      </c>
      <c r="K15" s="52">
        <f>'Данные по годам'!K8*IF('Данные по годам'!$D$8="CNY",'Параметры'!C20,IF('Данные по годам'!$D$8="USD",'Параметры'!C21,IF('Данные по годам'!$D$8="EUR",'Параметры'!C22,1)))</f>
        <v>25270.49266760688</v>
      </c>
      <c r="L15" s="52">
        <f>'Данные по годам'!L8*IF('Данные по годам'!$D$8="CNY",'Параметры'!C20,IF('Данные по годам'!$D$8="USD",'Параметры'!C21,IF('Данные по годам'!$D$8="EUR",'Параметры'!C22,1)))</f>
        <v>57712.692769962196</v>
      </c>
      <c r="M15" s="52">
        <f>'Данные по годам'!M8*IF('Данные по годам'!$D$8="CNY",'Параметры'!C20,IF('Данные по годам'!$D$8="USD",'Параметры'!C21,IF('Данные по годам'!$D$8="EUR",'Параметры'!C22,1)))</f>
        <v>120725.34246293307</v>
      </c>
      <c r="N15" s="52">
        <f>'Данные по годам'!N8*IF('Данные по годам'!$D$8="CNY",'Параметры'!C20,IF('Данные по годам'!$D$8="USD",'Параметры'!C21,IF('Данные по годам'!$D$8="EUR",'Параметры'!C22,1)))</f>
        <v>30532.44149028056</v>
      </c>
    </row>
    <row r="16">
      <c r="B16" s="22" t="inlineStr">
        <is>
          <t>Шины</t>
        </is>
      </c>
      <c r="C16" s="24" t="inlineStr">
        <is>
          <t>тыс.руб</t>
        </is>
      </c>
      <c r="D16" s="52" t="n"/>
      <c r="E16" s="52">
        <f>E13*'Параметры'!C36*'Параметры'!C37*(1+'Параметры'!C15)^(E$4-1)</f>
        <v>18275.14232459542</v>
      </c>
      <c r="F16" s="52">
        <f>F13*'Параметры'!C36*'Параметры'!C37*(1+'Параметры'!C15)^(F$4-1)</f>
        <v>18134.30940550289</v>
      </c>
      <c r="G16" s="52">
        <f>G13*'Параметры'!C36*'Параметры'!C37*(1+'Параметры'!C15)^(G$4-1)</f>
        <v>17949.983967278844</v>
      </c>
      <c r="H16" s="52">
        <f>H13*'Параметры'!C36*'Параметры'!C37*(1+'Параметры'!C15)^(H$4-1)</f>
        <v>17705.597431206505</v>
      </c>
      <c r="I16" s="52">
        <f>I13*'Параметры'!C36*'Параметры'!C37*(1+'Параметры'!C15)^(I$4-1)</f>
        <v>18192.29943101158</v>
      </c>
      <c r="J16" s="52">
        <f>J13*'Параметры'!C36*'Параметры'!C37*(1+'Параметры'!C15)^(J$4-1)</f>
        <v>17966.552545995615</v>
      </c>
      <c r="K16" s="52">
        <f>K13*'Параметры'!C36*'Параметры'!C37*(1+'Параметры'!C15)^(K$4-1)</f>
        <v>18152.949056559257</v>
      </c>
      <c r="L16" s="52">
        <f>L13*'Параметры'!C36*'Параметры'!C37*(1+'Параметры'!C15)^(L$4-1)</f>
        <v>17759.44531203601</v>
      </c>
      <c r="M16" s="52">
        <f>M13*'Параметры'!C36*'Параметры'!C37*(1+'Параметры'!C15)^(M$4-1)</f>
        <v>17875.425363053382</v>
      </c>
      <c r="N16" s="52">
        <f>N13*'Параметры'!C36*'Параметры'!C37*(1+'Параметры'!C15)^(N$4-1)</f>
        <v>18169.517635276028</v>
      </c>
    </row>
    <row r="17">
      <c r="B17" s="22" t="inlineStr">
        <is>
          <t>Персонал</t>
        </is>
      </c>
      <c r="C17" s="24" t="inlineStr">
        <is>
          <t>тыс.руб</t>
        </is>
      </c>
      <c r="D17" s="52" t="n"/>
      <c r="E17" s="52">
        <f>'Ввод данных'!D20*(1+'Параметры'!C16)^(E$4-1)</f>
        <v>18475.6</v>
      </c>
      <c r="F17" s="52">
        <f>'Ввод данных'!D20*(1+'Параметры'!C16)^(F$4-1)</f>
        <v>18475.6</v>
      </c>
      <c r="G17" s="52">
        <f>'Ввод данных'!D20*(1+'Параметры'!C16)^(G$4-1)</f>
        <v>18475.6</v>
      </c>
      <c r="H17" s="52">
        <f>'Ввод данных'!D20*(1+'Параметры'!C16)^(H$4-1)</f>
        <v>18475.6</v>
      </c>
      <c r="I17" s="52">
        <f>'Ввод данных'!D20*(1+'Параметры'!C16)^(I$4-1)</f>
        <v>18475.6</v>
      </c>
      <c r="J17" s="52">
        <f>'Ввод данных'!D20*(1+'Параметры'!C16)^(J$4-1)</f>
        <v>18475.6</v>
      </c>
      <c r="K17" s="52">
        <f>'Ввод данных'!D20*(1+'Параметры'!C16)^(K$4-1)</f>
        <v>18475.6</v>
      </c>
      <c r="L17" s="52">
        <f>'Ввод данных'!D20*(1+'Параметры'!C16)^(L$4-1)</f>
        <v>18475.6</v>
      </c>
      <c r="M17" s="52">
        <f>'Ввод данных'!D20*(1+'Параметры'!C16)^(M$4-1)</f>
        <v>18475.6</v>
      </c>
      <c r="N17" s="52">
        <f>'Ввод данных'!D20*(1+'Параметры'!C16)^(N$4-1)</f>
        <v>18475.6</v>
      </c>
    </row>
    <row r="18">
      <c r="B18" s="22" t="inlineStr">
        <is>
          <t>Транспортный налог</t>
        </is>
      </c>
      <c r="C18" s="24" t="inlineStr">
        <is>
          <t>тыс.руб</t>
        </is>
      </c>
      <c r="D18" s="52" t="n"/>
      <c r="E18" s="52">
        <f>'Ввод данных'!D21*'Параметры'!C41/1000</f>
        <v>212.5</v>
      </c>
      <c r="F18" s="52">
        <f>'Ввод данных'!D21*'Параметры'!C41/1000</f>
        <v>212.5</v>
      </c>
      <c r="G18" s="52">
        <f>'Ввод данных'!D21*'Параметры'!C41/1000</f>
        <v>212.5</v>
      </c>
      <c r="H18" s="52">
        <f>'Ввод данных'!D21*'Параметры'!C41/1000</f>
        <v>212.5</v>
      </c>
      <c r="I18" s="52">
        <f>'Ввод данных'!D21*'Параметры'!C41/1000</f>
        <v>212.5</v>
      </c>
      <c r="J18" s="52">
        <f>'Ввод данных'!D21*'Параметры'!C41/1000</f>
        <v>212.5</v>
      </c>
      <c r="K18" s="52">
        <f>'Ввод данных'!D21*'Параметры'!C41/1000</f>
        <v>212.5</v>
      </c>
      <c r="L18" s="52">
        <f>'Ввод данных'!D21*'Параметры'!C41/1000</f>
        <v>212.5</v>
      </c>
      <c r="M18" s="52">
        <f>'Ввод данных'!D21*'Параметры'!C41/1000</f>
        <v>212.5</v>
      </c>
      <c r="N18" s="52">
        <f>'Ввод данных'!D21*'Параметры'!C41/1000</f>
        <v>212.5</v>
      </c>
    </row>
    <row r="19">
      <c r="B19" s="22" t="inlineStr">
        <is>
          <t>Итого денежные затраты</t>
        </is>
      </c>
      <c r="C19" s="24" t="inlineStr">
        <is>
          <t>тыс.руб</t>
        </is>
      </c>
      <c r="D19" s="52" t="n"/>
      <c r="E19" s="61">
        <f>E14+E15+E16+E17+E18</f>
        <v>123855.19262800549</v>
      </c>
      <c r="F19" s="61">
        <f>F14+F15+F16+F17+F18</f>
        <v>129924.5991097849</v>
      </c>
      <c r="G19" s="61">
        <f>G14+G15+G16+G17+G18</f>
        <v>219026.25216603625</v>
      </c>
      <c r="H19" s="61">
        <f>H14+H15+H16+H17+H18</f>
        <v>151586.4514384093</v>
      </c>
      <c r="I19" s="61">
        <f>I14+I15+I16+I17+I18</f>
        <v>128802.14098257016</v>
      </c>
      <c r="J19" s="61">
        <f>J14+J15+J16+J17+J18</f>
        <v>220751.45717563733</v>
      </c>
      <c r="K19" s="61">
        <f>K14+K15+K16+K17+K18</f>
        <v>124745.6032928873</v>
      </c>
      <c r="L19" s="61">
        <f>L14+L15+L16+L17+L18</f>
        <v>155436.57327330275</v>
      </c>
      <c r="M19" s="61">
        <f>M14+M15+M16+M17+M18</f>
        <v>218965.3750022138</v>
      </c>
      <c r="N19" s="61">
        <f>N14+N15+N16+N17+N18</f>
        <v>130081.28812069533</v>
      </c>
    </row>
    <row r="20">
      <c r="B20" s="22" t="inlineStr">
        <is>
          <t>Амортизация (НУ)</t>
        </is>
      </c>
      <c r="C20" s="24" t="inlineStr">
        <is>
          <t>тыс.руб</t>
        </is>
      </c>
      <c r="D20" s="52" t="n"/>
      <c r="E20" s="52">
        <f>IF(E$4&lt;=INT('Параметры'!C9),'Производительность'!D5/'Параметры'!C9,IF(E$4=INT('Параметры'!C9)+1,'Производительность'!D5*('Параметры'!C9-INT('Параметры'!C9))/'Параметры'!C9,0))</f>
        <v>61492.94314381271</v>
      </c>
      <c r="F20" s="52">
        <f>IF(F$4&lt;=INT('Параметры'!C9),'Производительность'!D5/'Параметры'!C9,IF(F$4=INT('Параметры'!C9)+1,'Производительность'!D5*('Параметры'!C9-INT('Параметры'!C9))/'Параметры'!C9,0))</f>
        <v>61492.94314381271</v>
      </c>
      <c r="G20" s="52">
        <f>IF(G$4&lt;=INT('Параметры'!C9),'Производительность'!D5/'Параметры'!C9,IF(G$4=INT('Параметры'!C9)+1,'Производительность'!D5*('Параметры'!C9-INT('Параметры'!C9))/'Параметры'!C9,0))</f>
        <v>61492.94314381271</v>
      </c>
      <c r="H20" s="52">
        <f>IF(H$4&lt;=INT('Параметры'!C9),'Производительность'!D5/'Параметры'!C9,IF(H$4=INT('Параметры'!C9)+1,'Производительность'!D5*('Параметры'!C9-INT('Параметры'!C9))/'Параметры'!C9,0))</f>
        <v>61492.94314381271</v>
      </c>
      <c r="I20" s="52">
        <f>IF(I$4&lt;=INT('Параметры'!C9),'Производительность'!D5/'Параметры'!C9,IF(I$4=INT('Параметры'!C9)+1,'Производительность'!D5*('Параметры'!C9-INT('Параметры'!C9))/'Параметры'!C9,0))</f>
        <v>61492.94314381271</v>
      </c>
      <c r="J20" s="52">
        <f>IF(J$4&lt;=INT('Параметры'!C9),'Производительность'!D5/'Параметры'!C9,IF(J$4=INT('Параметры'!C9)+1,'Производительность'!D5*('Параметры'!C9-INT('Параметры'!C9))/'Параметры'!C9,0))</f>
        <v>5103.914280936466</v>
      </c>
      <c r="K20" s="52">
        <f>IF(K$4&lt;=INT('Параметры'!C9),'Производительность'!D5/'Параметры'!C9,IF(K$4=INT('Параметры'!C9)+1,'Производительность'!D5*('Параметры'!C9-INT('Параметры'!C9))/'Параметры'!C9,0))</f>
        <v>0.0</v>
      </c>
      <c r="L20" s="52">
        <f>IF(L$4&lt;=INT('Параметры'!C9),'Производительность'!D5/'Параметры'!C9,IF(L$4=INT('Параметры'!C9)+1,'Производительность'!D5*('Параметры'!C9-INT('Параметры'!C9))/'Параметры'!C9,0))</f>
        <v>0.0</v>
      </c>
      <c r="M20" s="52">
        <f>IF(M$4&lt;=INT('Параметры'!C9),'Производительность'!D5/'Параметры'!C9,IF(M$4=INT('Параметры'!C9)+1,'Производительность'!D5*('Параметры'!C9-INT('Параметры'!C9))/'Параметры'!C9,0))</f>
        <v>0.0</v>
      </c>
      <c r="N20" s="52">
        <f>IF(N$4&lt;=INT('Параметры'!C9),'Производительность'!D5/'Параметры'!C9,IF(N$4=INT('Параметры'!C9)+1,'Производительность'!D5*('Параметры'!C9-INT('Параметры'!C9))/'Параметры'!C9,0))</f>
        <v>0.0</v>
      </c>
    </row>
    <row r="21">
      <c r="B21" s="22" t="inlineStr">
        <is>
          <t>Налогооблагаемая база</t>
        </is>
      </c>
      <c r="C21" s="24" t="inlineStr">
        <is>
          <t>тыс.руб</t>
        </is>
      </c>
      <c r="D21" s="52" t="n"/>
      <c r="E21" s="52">
        <f>E19+E20</f>
        <v>185348.1357718182</v>
      </c>
      <c r="F21" s="52">
        <f>F19+F20</f>
        <v>191417.5422535976</v>
      </c>
      <c r="G21" s="52">
        <f>G19+G20</f>
        <v>280519.195309849</v>
      </c>
      <c r="H21" s="52">
        <f>H19+H20</f>
        <v>213079.394582222</v>
      </c>
      <c r="I21" s="52">
        <f>I19+I20</f>
        <v>190295.08412638286</v>
      </c>
      <c r="J21" s="52">
        <f>J19+J20</f>
        <v>225855.3714565738</v>
      </c>
      <c r="K21" s="52">
        <f>K19+K20</f>
        <v>124745.6032928873</v>
      </c>
      <c r="L21" s="52">
        <f>L19+L20</f>
        <v>155436.57327330275</v>
      </c>
      <c r="M21" s="52">
        <f>M19+M20</f>
        <v>218965.3750022138</v>
      </c>
      <c r="N21" s="52">
        <f>N19+N20</f>
        <v>130081.28812069533</v>
      </c>
    </row>
    <row r="22">
      <c r="B22" s="22" t="inlineStr">
        <is>
          <t>Налог на прибыль (щит)</t>
        </is>
      </c>
      <c r="C22" s="24" t="inlineStr">
        <is>
          <t>тыс.руб</t>
        </is>
      </c>
      <c r="D22" s="52" t="n"/>
      <c r="E22" s="52">
        <f>-E21*'Параметры'!C7</f>
        <v>-46337.03394295455</v>
      </c>
      <c r="F22" s="52">
        <f>-F21*'Параметры'!C7</f>
        <v>-47854.3855633994</v>
      </c>
      <c r="G22" s="52">
        <f>-G21*'Параметры'!C7</f>
        <v>-70129.79882746225</v>
      </c>
      <c r="H22" s="52">
        <f>-H21*'Параметры'!C7</f>
        <v>-53269.8486455555</v>
      </c>
      <c r="I22" s="52">
        <f>-I21*'Параметры'!C7</f>
        <v>-47573.771031595716</v>
      </c>
      <c r="J22" s="52">
        <f>-J21*'Параметры'!C7</f>
        <v>-56463.84286414345</v>
      </c>
      <c r="K22" s="52">
        <f>-K21*'Параметры'!C7</f>
        <v>-31186.400823221826</v>
      </c>
      <c r="L22" s="52">
        <f>-L21*'Параметры'!C7</f>
        <v>-38859.14331832569</v>
      </c>
      <c r="M22" s="52">
        <f>-M21*'Параметры'!C7</f>
        <v>-54741.34375055345</v>
      </c>
      <c r="N22" s="52">
        <f>-N21*'Параметры'!C7</f>
        <v>-32520.322030173833</v>
      </c>
    </row>
    <row r="23">
      <c r="B23" s="22" t="inlineStr">
        <is>
          <t>Операц. денежный поток</t>
        </is>
      </c>
      <c r="C23" s="24" t="inlineStr">
        <is>
          <t>тыс.руб</t>
        </is>
      </c>
      <c r="D23" s="52" t="n"/>
      <c r="E23" s="61">
        <f>E21+E22-E20</f>
        <v>77518.15868505093</v>
      </c>
      <c r="F23" s="61">
        <f>F21+F22-F20</f>
        <v>82070.2135463855</v>
      </c>
      <c r="G23" s="61">
        <f>G21+G22-G20</f>
        <v>148896.45333857404</v>
      </c>
      <c r="H23" s="61">
        <f>H21+H22-H20</f>
        <v>98316.60279285381</v>
      </c>
      <c r="I23" s="61">
        <f>I21+I22-I20</f>
        <v>81228.36995097445</v>
      </c>
      <c r="J23" s="61">
        <f>J21+J22-J20</f>
        <v>164287.61431149387</v>
      </c>
      <c r="K23" s="61">
        <f>K21+K22-K20</f>
        <v>93559.20246966547</v>
      </c>
      <c r="L23" s="61">
        <f>L21+L22-L20</f>
        <v>116577.42995497707</v>
      </c>
      <c r="M23" s="61">
        <f>M21+M22-M20</f>
        <v>164224.03125166037</v>
      </c>
      <c r="N23" s="61">
        <f>N21+N22-N20</f>
        <v>97560.9660905215</v>
      </c>
    </row>
    <row r="24">
      <c r="B24" s="22" t="inlineStr">
        <is>
          <t>Инвестиции / остаточная ст-ть</t>
        </is>
      </c>
      <c r="C24" s="24" t="inlineStr">
        <is>
          <t>тыс.руб</t>
        </is>
      </c>
      <c r="D24" s="52">
        <f>IF(D$4=0,'Производительность'!D5,IF(D$4='Параметры'!C8,-'Ввод данных'!D14*'Производительность'!D5,0))</f>
        <v>312568.63</v>
      </c>
      <c r="E24" s="52">
        <f>IF(E$4=0,'Производительность'!D5,IF(E$4='Параметры'!C8,-'Ввод данных'!D14*'Производительность'!D5,0))</f>
        <v>0.0</v>
      </c>
      <c r="F24" s="52">
        <f>IF(F$4=0,'Производительность'!D5,IF(F$4='Параметры'!C8,-'Ввод данных'!D14*'Производительность'!D5,0))</f>
        <v>0.0</v>
      </c>
      <c r="G24" s="52">
        <f>IF(G$4=0,'Производительность'!D5,IF(G$4='Параметры'!C8,-'Ввод данных'!D14*'Производительность'!D5,0))</f>
        <v>0.0</v>
      </c>
      <c r="H24" s="52">
        <f>IF(H$4=0,'Производительность'!D5,IF(H$4='Параметры'!C8,-'Ввод данных'!D14*'Производительность'!D5,0))</f>
        <v>0.0</v>
      </c>
      <c r="I24" s="52">
        <f>IF(I$4=0,'Производительность'!D5,IF(I$4='Параметры'!C8,-'Ввод данных'!D14*'Производительность'!D5,0))</f>
        <v>0.0</v>
      </c>
      <c r="J24" s="52">
        <f>IF(J$4=0,'Производительность'!D5,IF(J$4='Параметры'!C8,-'Ввод данных'!D14*'Производительность'!D5,0))</f>
        <v>0.0</v>
      </c>
      <c r="K24" s="52">
        <f>IF(K$4=0,'Производительность'!D5,IF(K$4='Параметры'!C8,-'Ввод данных'!D14*'Производительность'!D5,0))</f>
        <v>0.0</v>
      </c>
      <c r="L24" s="52">
        <f>IF(L$4=0,'Производительность'!D5,IF(L$4='Параметры'!C8,-'Ввод данных'!D14*'Производительность'!D5,0))</f>
        <v>0.0</v>
      </c>
      <c r="M24" s="52">
        <f>IF(M$4=0,'Производительность'!D5,IF(M$4='Параметры'!C8,-'Ввод данных'!D14*'Производительность'!D5,0))</f>
        <v>0.0</v>
      </c>
      <c r="N24" s="52">
        <f>IF(N$4=0,'Производительность'!D5,IF(N$4='Параметры'!C8,-'Ввод данных'!D14*'Производительность'!D5,0))</f>
        <v>-0.0</v>
      </c>
    </row>
    <row r="25">
      <c r="B25" s="22" t="inlineStr">
        <is>
          <t>Чистый денежный поток</t>
        </is>
      </c>
      <c r="C25" s="24" t="inlineStr">
        <is>
          <t>тыс.руб</t>
        </is>
      </c>
      <c r="D25" s="61">
        <f>0+D24</f>
        <v>312568.63</v>
      </c>
      <c r="E25" s="61">
        <f>E23+E24</f>
        <v>77518.15868505093</v>
      </c>
      <c r="F25" s="61">
        <f>F23+F24</f>
        <v>82070.2135463855</v>
      </c>
      <c r="G25" s="61">
        <f>G23+G24</f>
        <v>148896.45333857404</v>
      </c>
      <c r="H25" s="61">
        <f>H23+H24</f>
        <v>98316.60279285381</v>
      </c>
      <c r="I25" s="61">
        <f>I23+I24</f>
        <v>81228.36995097445</v>
      </c>
      <c r="J25" s="61">
        <f>J23+J24</f>
        <v>164287.61431149387</v>
      </c>
      <c r="K25" s="61">
        <f>K23+K24</f>
        <v>93559.20246966547</v>
      </c>
      <c r="L25" s="61">
        <f>L23+L24</f>
        <v>116577.42995497707</v>
      </c>
      <c r="M25" s="61">
        <f>M23+M24</f>
        <v>164224.03125166037</v>
      </c>
      <c r="N25" s="61">
        <f>N23+N24</f>
        <v>97560.9660905215</v>
      </c>
    </row>
    <row r="26">
      <c r="B26" s="22" t="inlineStr">
        <is>
          <t>Дисконтированный поток</t>
        </is>
      </c>
      <c r="C26" s="24" t="inlineStr">
        <is>
          <t>тыс.руб</t>
        </is>
      </c>
      <c r="D26" s="52">
        <f>D25*D$6</f>
        <v>312568.63</v>
      </c>
      <c r="E26" s="52">
        <f>E25*E$6</f>
        <v>69212.64168308118</v>
      </c>
      <c r="F26" s="52">
        <f>F25*F$6</f>
        <v>65425.871768483325</v>
      </c>
      <c r="G26" s="52">
        <f>G25*G$6</f>
        <v>105981.5544558682</v>
      </c>
      <c r="H26" s="52">
        <f>H25*H$6</f>
        <v>62481.9784822055</v>
      </c>
      <c r="I26" s="52">
        <f>I25*I$6</f>
        <v>46091.15855642858</v>
      </c>
      <c r="J26" s="52">
        <f>J25*J$6</f>
        <v>83233.21823417935</v>
      </c>
      <c r="K26" s="52">
        <f>K25*K$6</f>
        <v>42321.43182469871</v>
      </c>
      <c r="L26" s="52">
        <f>L25*L$6</f>
        <v>47083.668719754925</v>
      </c>
      <c r="M26" s="52">
        <f>M25*M$6</f>
        <v>59220.83201223693</v>
      </c>
      <c r="N26" s="52">
        <f>N25*N$6</f>
        <v>31412.02001708034</v>
      </c>
    </row>
    <row r="27">
      <c r="B27" s="22" t="inlineStr">
        <is>
          <t>Кумул. дисконт. поток</t>
        </is>
      </c>
      <c r="C27" s="24" t="inlineStr">
        <is>
          <t>тыс.руб</t>
        </is>
      </c>
      <c r="D27" s="52">
        <f>SUM($D26:D26)</f>
        <v>312568.63</v>
      </c>
      <c r="E27" s="52">
        <f>SUM($D26:E26)</f>
        <v>381781.27168308117</v>
      </c>
      <c r="F27" s="52">
        <f>SUM($D26:F26)</f>
        <v>447207.1434515645</v>
      </c>
      <c r="G27" s="52">
        <f>SUM($D26:G26)</f>
        <v>553188.6979074327</v>
      </c>
      <c r="H27" s="52">
        <f>SUM($D26:H26)</f>
        <v>615670.6763896382</v>
      </c>
      <c r="I27" s="52">
        <f>SUM($D26:I26)</f>
        <v>661761.8349460668</v>
      </c>
      <c r="J27" s="52">
        <f>SUM($D26:J26)</f>
        <v>744995.0531802461</v>
      </c>
      <c r="K27" s="52">
        <f>SUM($D26:K26)</f>
        <v>787316.4850049448</v>
      </c>
      <c r="L27" s="52">
        <f>SUM($D26:L26)</f>
        <v>834400.1537246997</v>
      </c>
      <c r="M27" s="52">
        <f>SUM($D26:M26)</f>
        <v>893620.9857369367</v>
      </c>
      <c r="N27" s="52">
        <f>SUM($D26:N26)</f>
        <v>925033.005754017</v>
      </c>
    </row>
    <row r="28">
      <c r="B28" s="39" t="inlineStr">
        <is>
          <t>Аннуитет по году</t>
        </is>
      </c>
      <c r="C28" s="24" t="inlineStr">
        <is>
          <t>руб/ткм</t>
        </is>
      </c>
      <c r="D28" s="62" t="n"/>
      <c r="E28" s="62">
        <f>SUM($D26:E26)/SUM($E$6:E$6)/(SUM($E12:E12)/E$4)</f>
        <v>35.09889899238389</v>
      </c>
      <c r="F28" s="62">
        <f>SUM($D26:F26)/SUM($E$6:F$6)/(SUM($E12:F12)/F$4)</f>
        <v>21.804513009675272</v>
      </c>
      <c r="G28" s="62">
        <f>SUM($D26:G26)/SUM($E$6:G$6)/(SUM($E12:G12)/G$4)</f>
        <v>19.067718756495214</v>
      </c>
      <c r="H28" s="62">
        <f>SUM($D26:H26)/SUM($E$6:H$6)/(SUM($E12:H12)/H$4)</f>
        <v>16.87760203718528</v>
      </c>
      <c r="I28" s="62">
        <f>SUM($D26:I26)/SUM($E$6:I$6)/(SUM($E12:I12)/I$4)</f>
        <v>15.255713988578833</v>
      </c>
      <c r="J28" s="62">
        <f>SUM($D26:J26)/SUM($E$6:J$6)/(SUM($E12:J12)/J$4)</f>
        <v>15.069978479769409</v>
      </c>
      <c r="K28" s="62">
        <f>SUM($D26:K26)/SUM($E$6:K$6)/(SUM($E12:K12)/K$4)</f>
        <v>14.334384952504037</v>
      </c>
      <c r="L28" s="62">
        <f>SUM($D26:L26)/SUM($E$6:L$6)/(SUM($E12:L12)/L$4)</f>
        <v>13.9850034606219</v>
      </c>
      <c r="M28" s="62">
        <f>SUM($D26:M26)/SUM($E$6:M$6)/(SUM($E12:M12)/M$4)</f>
        <v>13.976116698107997</v>
      </c>
      <c r="N28" s="62">
        <f>SUM($D26:N26)/SUM($E$6:N$6)/(SUM($E12:N12)/N$4)</f>
        <v>13.630247042916354</v>
      </c>
    </row>
    <row r="30">
      <c r="B30" s="5" t="str">
        <f>"Вариант 2:  "&amp;'Ввод данных'!E7</f>
        <v>Вариант 2:  Estar ESDE240
(ГПБ К)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B31" s="22" t="inlineStr">
        <is>
          <t>КТГ</t>
        </is>
      </c>
      <c r="C31" s="24" t="inlineStr">
        <is>
          <t>коэф.</t>
        </is>
      </c>
      <c r="D31" s="55" t="n"/>
      <c r="E31" s="55">
        <f>'Данные по годам'!E10</f>
        <v>0.9038</v>
      </c>
      <c r="F31" s="55">
        <f>'Данные по годам'!F10</f>
        <v>0.888</v>
      </c>
      <c r="G31" s="55">
        <f>'Данные по годам'!G10</f>
        <v>0.8421</v>
      </c>
      <c r="H31" s="55">
        <f>'Данные по годам'!H10</f>
        <v>0.7991</v>
      </c>
      <c r="I31" s="55">
        <f>'Данные по годам'!I10</f>
        <v>0.8913</v>
      </c>
      <c r="J31" s="55">
        <f>'Данные по годам'!J10</f>
        <v>0.8151</v>
      </c>
      <c r="K31" s="55">
        <f>'Данные по годам'!K10</f>
        <v>0.881</v>
      </c>
      <c r="L31" s="55">
        <f>'Данные по годам'!L10</f>
        <v>0.8038</v>
      </c>
      <c r="M31" s="55">
        <f>'Данные по годам'!M10</f>
        <v>0.8489</v>
      </c>
      <c r="N31" s="55">
        <f>'Данные по годам'!N10</f>
        <v>0.8269</v>
      </c>
    </row>
    <row r="32">
      <c r="B32" s="22" t="inlineStr">
        <is>
          <t>Эффективное время</t>
        </is>
      </c>
      <c r="C32" s="24" t="inlineStr">
        <is>
          <t>час/год</t>
        </is>
      </c>
      <c r="D32" s="52" t="n"/>
      <c r="E32" s="52">
        <f>'Параметры'!C26*E31*(1-102.38/(60*'Параметры'!C27))</f>
        <v>6791.493631333334</v>
      </c>
      <c r="F32" s="52">
        <f>'Параметры'!C26*F31*(1-102.38/(60*'Параметры'!C27))</f>
        <v>6672.76648</v>
      </c>
      <c r="G32" s="52">
        <f>'Параметры'!C26*G31*(1-102.38/(60*'Параметры'!C27))</f>
        <v>6327.856591</v>
      </c>
      <c r="H32" s="52">
        <f>'Параметры'!C26*H31*(1-102.38/(60*'Параметры'!C27))</f>
        <v>6004.738394333333</v>
      </c>
      <c r="I32" s="52">
        <f>'Параметры'!C26*I31*(1-102.38/(60*'Параметры'!C27))</f>
        <v>6697.563923</v>
      </c>
      <c r="J32" s="52">
        <f>'Параметры'!C26*J31*(1-102.38/(60*'Параметры'!C27))</f>
        <v>6124.968421000001</v>
      </c>
      <c r="K32" s="52">
        <f>'Параметры'!C26*K31*(1-102.38/(60*'Параметры'!C27))</f>
        <v>6620.165843333334</v>
      </c>
      <c r="L32" s="52">
        <f>'Параметры'!C26*L31*(1-102.38/(60*'Параметры'!C27))</f>
        <v>6040.055964666667</v>
      </c>
      <c r="M32" s="52">
        <f>'Параметры'!C26*M31*(1-102.38/(60*'Параметры'!C27))</f>
        <v>6378.954352333333</v>
      </c>
      <c r="N32" s="52">
        <f>'Параметры'!C26*N31*(1-102.38/(60*'Параметры'!C27))</f>
        <v>6213.638065666666</v>
      </c>
    </row>
    <row r="33">
      <c r="B33" s="22" t="inlineStr">
        <is>
          <t>Объём перевозки</t>
        </is>
      </c>
      <c r="C33" s="24" t="inlineStr">
        <is>
          <t>тыс.т</t>
        </is>
      </c>
      <c r="D33" s="52" t="n"/>
      <c r="E33" s="52">
        <f>'Производительность'!E9*E32/1000</f>
        <v>2722.6099807697433</v>
      </c>
      <c r="F33" s="52">
        <f>'Производительность'!E9*F32/1000</f>
        <v>2675.0140107585</v>
      </c>
      <c r="G33" s="52">
        <f>'Производительность'!E9*G32/1000</f>
        <v>2536.7447054726717</v>
      </c>
      <c r="H33" s="52">
        <f>'Производительность'!E9*H32/1000</f>
        <v>2407.2113693661227</v>
      </c>
      <c r="I33" s="52">
        <f>'Производительность'!E9*I32/1000</f>
        <v>2684.954941203886</v>
      </c>
      <c r="J33" s="52">
        <f>'Производительность'!E9*J32/1000</f>
        <v>2455.409820010421</v>
      </c>
      <c r="K33" s="52">
        <f>'Производительность'!E9*K32/1000</f>
        <v>2653.92718860162</v>
      </c>
      <c r="L33" s="52">
        <f>'Производительность'!E9*L32/1000</f>
        <v>2421.369664242885</v>
      </c>
      <c r="M33" s="52">
        <f>'Производительность'!E9*M32/1000</f>
        <v>2557.229046996498</v>
      </c>
      <c r="N33" s="52">
        <f>'Производительность'!E9*N32/1000</f>
        <v>2490.956177360589</v>
      </c>
    </row>
    <row r="34">
      <c r="B34" s="22" t="inlineStr">
        <is>
          <t>Грузооборот</t>
        </is>
      </c>
      <c r="C34" s="24" t="inlineStr">
        <is>
          <t>тыс.ткм</t>
        </is>
      </c>
      <c r="D34" s="52" t="n"/>
      <c r="E34" s="52">
        <f>E33*'Ввод данных'!E18</f>
        <v>11579.260248213719</v>
      </c>
      <c r="F34" s="52">
        <f>F33*'Ввод данных'!E18</f>
        <v>11376.8345877559</v>
      </c>
      <c r="G34" s="52">
        <f>G33*'Ввод данных'!E18</f>
        <v>10788.775232375274</v>
      </c>
      <c r="H34" s="52">
        <f>H33*'Ввод данных'!E18</f>
        <v>10237.86995391412</v>
      </c>
      <c r="I34" s="52">
        <f>I33*'Ввод данных'!E18</f>
        <v>11419.113364940127</v>
      </c>
      <c r="J34" s="52">
        <f>J33*'Ввод данных'!E18</f>
        <v>10442.857964504321</v>
      </c>
      <c r="K34" s="52">
        <f>K33*'Ввод данных'!E18</f>
        <v>11287.15233312269</v>
      </c>
      <c r="L34" s="52">
        <f>L33*'Ввод данных'!E18</f>
        <v>10298.08518202499</v>
      </c>
      <c r="M34" s="52">
        <f>M33*'Ввод данных'!E18</f>
        <v>10875.895136876106</v>
      </c>
      <c r="N34" s="52">
        <f>N33*'Ввод данных'!E18</f>
        <v>10594.036622314587</v>
      </c>
    </row>
    <row r="35">
      <c r="B35" s="22" t="inlineStr">
        <is>
          <t>Пробег</t>
        </is>
      </c>
      <c r="C35" s="24" t="inlineStr">
        <is>
          <t>тыс.км</t>
        </is>
      </c>
      <c r="D35" s="52" t="n"/>
      <c r="E35" s="52">
        <f>'Производительность'!E8*E32*2*'Ввод данных'!E18/1000</f>
        <v>111.36778744417404</v>
      </c>
      <c r="F35" s="52">
        <f>'Производительность'!E8*F32*2*'Ввод данных'!E18/1000</f>
        <v>109.42088432222455</v>
      </c>
      <c r="G35" s="52">
        <f>'Производительность'!E8*G32*2*'Ввод данных'!E18/1000</f>
        <v>103.76500753124469</v>
      </c>
      <c r="H35" s="52">
        <f>'Производительность'!E8*H32*2*'Ввод данных'!E18/1000</f>
        <v>98.46647371834419</v>
      </c>
      <c r="I35" s="52">
        <f>'Производительность'!E8*I32*2*'Ввод данных'!E18/1000</f>
        <v>109.82751598693551</v>
      </c>
      <c r="J35" s="52">
        <f>'Производительность'!E8*J32*2*'Ввод данных'!E18/1000</f>
        <v>100.43802118360951</v>
      </c>
      <c r="K35" s="52">
        <f>'Производительность'!E8*K32*2*'Ввод данных'!E18/1000</f>
        <v>108.55833230617098</v>
      </c>
      <c r="L35" s="52">
        <f>'Производительность'!E8*L32*2*'Ввод данных'!E18/1000</f>
        <v>99.04561578626587</v>
      </c>
      <c r="M35" s="52">
        <f>'Производительность'!E8*M32*2*'Ввод данных'!E18/1000</f>
        <v>104.60291520398243</v>
      </c>
      <c r="N35" s="52">
        <f>'Производительность'!E8*N32*2*'Ввод данных'!E18/1000</f>
        <v>101.89203743924264</v>
      </c>
    </row>
    <row r="36">
      <c r="B36" s="22" t="inlineStr">
        <is>
          <t>Топливо</t>
        </is>
      </c>
      <c r="C36" s="24" t="inlineStr">
        <is>
          <t>тыс.руб</t>
        </is>
      </c>
      <c r="D36" s="52" t="n"/>
      <c r="E36" s="52">
        <f>E34*'Параметры'!C32/1000*'Параметры'!C10*(1+'Параметры'!C14)^(E$4-1)</f>
        <v>59932.97269442282</v>
      </c>
      <c r="F36" s="52">
        <f>F34*'Параметры'!C32/1000*'Параметры'!C10*(1+'Параметры'!C14)^(F$4-1)</f>
        <v>58885.23982368606</v>
      </c>
      <c r="G36" s="52">
        <f>G34*'Параметры'!C32/1000*'Параметры'!C10*(1+'Параметры'!C14)^(G$4-1)</f>
        <v>55841.50952198877</v>
      </c>
      <c r="H36" s="52">
        <f>H34*'Параметры'!C32/1000*'Параметры'!C10*(1+'Параметры'!C14)^(H$4-1)</f>
        <v>52990.08462061658</v>
      </c>
      <c r="I36" s="52">
        <f>I34*'Параметры'!C32/1000*'Параметры'!C10*(1+'Параметры'!C14)^(I$4-1)</f>
        <v>59104.07010681462</v>
      </c>
      <c r="J36" s="52">
        <f>J34*'Параметры'!C32/1000*'Параметры'!C10*(1+'Параметры'!C14)^(J$4-1)</f>
        <v>54051.07993275509</v>
      </c>
      <c r="K36" s="52">
        <f>K34*'Параметры'!C32/1000*'Параметры'!C10*(1+'Параметры'!C14)^(K$4-1)</f>
        <v>58421.054374625484</v>
      </c>
      <c r="L36" s="52">
        <f>L34*'Параметры'!C32/1000*'Параметры'!C10*(1+'Параметры'!C14)^(L$4-1)</f>
        <v>53301.75199355726</v>
      </c>
      <c r="M36" s="52">
        <f>M34*'Параметры'!C32/1000*'Параметры'!C10*(1+'Параметры'!C14)^(M$4-1)</f>
        <v>56292.43252964762</v>
      </c>
      <c r="N36" s="52">
        <f>N34*'Параметры'!C32/1000*'Параметры'!C10*(1+'Параметры'!C14)^(N$4-1)</f>
        <v>54833.563975457204</v>
      </c>
    </row>
    <row r="37">
      <c r="B37" s="22" t="inlineStr">
        <is>
          <t>ТОиР и сервис (по годам)</t>
        </is>
      </c>
      <c r="C37" s="24" t="inlineStr">
        <is>
          <t>тыс.руб</t>
        </is>
      </c>
      <c r="D37" s="52" t="n"/>
      <c r="E37" s="52">
        <f>'Данные по годам'!E11*IF('Данные по годам'!$D$11="CNY",'Параметры'!C20,IF('Данные по годам'!$D$11="USD",'Параметры'!C21,IF('Данные по годам'!$D$11="EUR",'Параметры'!C22,1)))</f>
        <v>27789.39323645336</v>
      </c>
      <c r="F37" s="52">
        <f>'Данные по годам'!F11*IF('Данные по годам'!$D$11="CNY",'Параметры'!C20,IF('Данные по годам'!$D$11="USD",'Параметры'!C21,IF('Данные по годам'!$D$11="EUR",'Параметры'!C22,1)))</f>
        <v>35596.07706778709</v>
      </c>
      <c r="G37" s="52">
        <f>'Данные по годам'!G11*IF('Данные по годам'!$D$11="CNY",'Параметры'!C20,IF('Данные по годам'!$D$11="USD",'Параметры'!C21,IF('Данные по годам'!$D$11="EUR",'Параметры'!C22,1)))</f>
        <v>140431.10104965293</v>
      </c>
      <c r="H37" s="52">
        <f>'Данные по годам'!H11*IF('Данные по годам'!$D$11="CNY",'Параметры'!C20,IF('Данные по годам'!$D$11="USD",'Параметры'!C21,IF('Данные по годам'!$D$11="EUR",'Параметры'!C22,1)))</f>
        <v>63074.76401392798</v>
      </c>
      <c r="I37" s="52">
        <f>'Данные по годам'!I11*IF('Данные по годам'!$D$11="CNY",'Параметры'!C20,IF('Данные по годам'!$D$11="USD",'Параметры'!C21,IF('Данные по годам'!$D$11="EUR",'Параметры'!C22,1)))</f>
        <v>33986.58901415883</v>
      </c>
      <c r="J37" s="52">
        <f>'Данные по годам'!J11*IF('Данные по годам'!$D$11="CNY",'Параметры'!C20,IF('Данные по годам'!$D$11="USD",'Параметры'!C21,IF('Данные по годам'!$D$11="EUR",'Параметры'!C22,1)))</f>
        <v>142356.45700183822</v>
      </c>
      <c r="K37" s="52">
        <f>'Данные по годам'!K11*IF('Данные по годам'!$D$11="CNY",'Параметры'!C20,IF('Данные по годам'!$D$11="USD",'Параметры'!C21,IF('Данные по годам'!$D$11="EUR",'Параметры'!C22,1)))</f>
        <v>29461.463303661192</v>
      </c>
      <c r="L37" s="52">
        <f>'Данные по годам'!L11*IF('Данные по годам'!$D$11="CNY",'Параметры'!C20,IF('Данные по годам'!$D$11="USD",'Параметры'!C21,IF('Данные по годам'!$D$11="EUR",'Параметры'!C22,1)))</f>
        <v>67284.02182586859</v>
      </c>
      <c r="M37" s="52">
        <f>'Данные по годам'!M11*IF('Данные по годам'!$D$11="CNY",'Параметры'!C20,IF('Данные по годам'!$D$11="USD",'Параметры'!C21,IF('Данные по годам'!$D$11="EUR",'Параметры'!C22,1)))</f>
        <v>140746.96894820995</v>
      </c>
      <c r="N37" s="52">
        <f>'Данные по годам'!N11*IF('Данные по годам'!$D$11="CNY",'Параметры'!C20,IF('Данные по годам'!$D$11="USD",'Параметры'!C21,IF('Данные по годам'!$D$11="EUR",'Параметры'!C22,1)))</f>
        <v>35596.07706778709</v>
      </c>
    </row>
    <row r="38">
      <c r="B38" s="22" t="inlineStr">
        <is>
          <t>Шины</t>
        </is>
      </c>
      <c r="C38" s="24" t="inlineStr">
        <is>
          <t>тыс.руб</t>
        </is>
      </c>
      <c r="D38" s="52" t="n"/>
      <c r="E38" s="52">
        <f>E35*'Параметры'!C36*'Параметры'!C37*(1+'Параметры'!C15)^(E$4-1)</f>
        <v>18718.351805268972</v>
      </c>
      <c r="F38" s="52">
        <f>F35*'Параметры'!C36*'Параметры'!C37*(1+'Параметры'!C15)^(F$4-1)</f>
        <v>18391.1223756128</v>
      </c>
      <c r="G38" s="52">
        <f>G35*'Параметры'!C36*'Параметры'!C37*(1+'Параметры'!C15)^(G$4-1)</f>
        <v>17440.500171738215</v>
      </c>
      <c r="H38" s="52">
        <f>H35*'Параметры'!C36*'Параметры'!C37*(1+'Параметры'!C15)^(H$4-1)</f>
        <v>16549.939065711926</v>
      </c>
      <c r="I38" s="52">
        <f>I35*'Параметры'!C36*'Параметры'!C37*(1+'Параметры'!C15)^(I$4-1)</f>
        <v>18459.467762819466</v>
      </c>
      <c r="J38" s="52">
        <f>J35*'Параметры'!C36*'Параметры'!C37*(1+'Параметры'!C15)^(J$4-1)</f>
        <v>16881.31064004729</v>
      </c>
      <c r="K38" s="52">
        <f>K35*'Параметры'!C36*'Параметры'!C37*(1+'Параметры'!C15)^(K$4-1)</f>
        <v>18246.147311841076</v>
      </c>
      <c r="L38" s="52">
        <f>L35*'Параметры'!C36*'Параметры'!C37*(1+'Параметры'!C15)^(L$4-1)</f>
        <v>16647.279465672935</v>
      </c>
      <c r="M38" s="52">
        <f>M35*'Параметры'!C36*'Параметры'!C37*(1+'Параметры'!C15)^(M$4-1)</f>
        <v>17581.333090830747</v>
      </c>
      <c r="N38" s="52">
        <f>N35*'Параметры'!C36*'Параметры'!C37*(1+'Параметры'!C15)^(N$4-1)</f>
        <v>17125.69717611962</v>
      </c>
    </row>
    <row r="39">
      <c r="B39" s="22" t="inlineStr">
        <is>
          <t>Персонал</t>
        </is>
      </c>
      <c r="C39" s="24" t="inlineStr">
        <is>
          <t>тыс.руб</t>
        </is>
      </c>
      <c r="D39" s="52" t="n"/>
      <c r="E39" s="52">
        <f>'Ввод данных'!E20*(1+'Параметры'!C16)^(E$4-1)</f>
        <v>18475.6</v>
      </c>
      <c r="F39" s="52">
        <f>'Ввод данных'!E20*(1+'Параметры'!C16)^(F$4-1)</f>
        <v>18475.6</v>
      </c>
      <c r="G39" s="52">
        <f>'Ввод данных'!E20*(1+'Параметры'!C16)^(G$4-1)</f>
        <v>18475.6</v>
      </c>
      <c r="H39" s="52">
        <f>'Ввод данных'!E20*(1+'Параметры'!C16)^(H$4-1)</f>
        <v>18475.6</v>
      </c>
      <c r="I39" s="52">
        <f>'Ввод данных'!E20*(1+'Параметры'!C16)^(I$4-1)</f>
        <v>18475.6</v>
      </c>
      <c r="J39" s="52">
        <f>'Ввод данных'!E20*(1+'Параметры'!C16)^(J$4-1)</f>
        <v>18475.6</v>
      </c>
      <c r="K39" s="52">
        <f>'Ввод данных'!E20*(1+'Параметры'!C16)^(K$4-1)</f>
        <v>18475.6</v>
      </c>
      <c r="L39" s="52">
        <f>'Ввод данных'!E20*(1+'Параметры'!C16)^(L$4-1)</f>
        <v>18475.6</v>
      </c>
      <c r="M39" s="52">
        <f>'Ввод данных'!E20*(1+'Параметры'!C16)^(M$4-1)</f>
        <v>18475.6</v>
      </c>
      <c r="N39" s="52">
        <f>'Ввод данных'!E20*(1+'Параметры'!C16)^(N$4-1)</f>
        <v>18475.6</v>
      </c>
    </row>
    <row r="40">
      <c r="B40" s="22" t="inlineStr">
        <is>
          <t>Транспортный налог</t>
        </is>
      </c>
      <c r="C40" s="24" t="inlineStr">
        <is>
          <t>тыс.руб</t>
        </is>
      </c>
      <c r="D40" s="52" t="n"/>
      <c r="E40" s="52">
        <f>'Ввод данных'!E21*'Параметры'!C41/1000</f>
        <v>212.5</v>
      </c>
      <c r="F40" s="52">
        <f>'Ввод данных'!E21*'Параметры'!C41/1000</f>
        <v>212.5</v>
      </c>
      <c r="G40" s="52">
        <f>'Ввод данных'!E21*'Параметры'!C41/1000</f>
        <v>212.5</v>
      </c>
      <c r="H40" s="52">
        <f>'Ввод данных'!E21*'Параметры'!C41/1000</f>
        <v>212.5</v>
      </c>
      <c r="I40" s="52">
        <f>'Ввод данных'!E21*'Параметры'!C41/1000</f>
        <v>212.5</v>
      </c>
      <c r="J40" s="52">
        <f>'Ввод данных'!E21*'Параметры'!C41/1000</f>
        <v>212.5</v>
      </c>
      <c r="K40" s="52">
        <f>'Ввод данных'!E21*'Параметры'!C41/1000</f>
        <v>212.5</v>
      </c>
      <c r="L40" s="52">
        <f>'Ввод данных'!E21*'Параметры'!C41/1000</f>
        <v>212.5</v>
      </c>
      <c r="M40" s="52">
        <f>'Ввод данных'!E21*'Параметры'!C41/1000</f>
        <v>212.5</v>
      </c>
      <c r="N40" s="52">
        <f>'Ввод данных'!E21*'Параметры'!C41/1000</f>
        <v>212.5</v>
      </c>
    </row>
    <row r="41">
      <c r="B41" s="22" t="inlineStr">
        <is>
          <t>Итого денежные затраты</t>
        </is>
      </c>
      <c r="C41" s="24" t="inlineStr">
        <is>
          <t>тыс.руб</t>
        </is>
      </c>
      <c r="D41" s="52" t="n"/>
      <c r="E41" s="61">
        <f>E36+E37+E38+E39+E40</f>
        <v>125128.81773614514</v>
      </c>
      <c r="F41" s="61">
        <f>F36+F37+F38+F39+F40</f>
        <v>131560.53926708596</v>
      </c>
      <c r="G41" s="61">
        <f>G36+G37+G38+G39+G40</f>
        <v>232401.21074337992</v>
      </c>
      <c r="H41" s="61">
        <f>H36+H37+H38+H39+H40</f>
        <v>151302.88770025648</v>
      </c>
      <c r="I41" s="61">
        <f>I36+I37+I38+I39+I40</f>
        <v>130238.22688379293</v>
      </c>
      <c r="J41" s="61">
        <f>J36+J37+J38+J39+J40</f>
        <v>231976.9475746406</v>
      </c>
      <c r="K41" s="61">
        <f>K36+K37+K38+K39+K40</f>
        <v>124816.76499012776</v>
      </c>
      <c r="L41" s="61">
        <f>L36+L37+L38+L39+L40</f>
        <v>155921.1532850988</v>
      </c>
      <c r="M41" s="61">
        <f>M36+M37+M38+M39+M40</f>
        <v>233308.83456868833</v>
      </c>
      <c r="N41" s="61">
        <f>N36+N37+N38+N39+N40</f>
        <v>126243.43821936392</v>
      </c>
    </row>
    <row r="42">
      <c r="B42" s="22" t="inlineStr">
        <is>
          <t>Амортизация (НУ)</t>
        </is>
      </c>
      <c r="C42" s="24" t="inlineStr">
        <is>
          <t>тыс.руб</t>
        </is>
      </c>
      <c r="D42" s="52" t="n"/>
      <c r="E42" s="52">
        <f>IF(E$4&lt;=INT('Параметры'!C9),'Производительность'!E5/'Параметры'!C9,IF(E$4=INT('Параметры'!C9)+1,'Производительность'!E5*('Параметры'!C9-INT('Параметры'!C9))/'Параметры'!C9,0))</f>
        <v>62763.62187684438</v>
      </c>
      <c r="F42" s="52">
        <f>IF(F$4&lt;=INT('Параметры'!C9),'Производительность'!E5/'Параметры'!C9,IF(F$4=INT('Параметры'!C9)+1,'Производительность'!E5*('Параметры'!C9-INT('Параметры'!C9))/'Параметры'!C9,0))</f>
        <v>62763.62187684438</v>
      </c>
      <c r="G42" s="52">
        <f>IF(G$4&lt;=INT('Параметры'!C9),'Производительность'!E5/'Параметры'!C9,IF(G$4=INT('Параметры'!C9)+1,'Производительность'!E5*('Параметры'!C9-INT('Параметры'!C9))/'Параметры'!C9,0))</f>
        <v>62763.62187684438</v>
      </c>
      <c r="H42" s="52">
        <f>IF(H$4&lt;=INT('Параметры'!C9),'Производительность'!E5/'Параметры'!C9,IF(H$4=INT('Параметры'!C9)+1,'Производительность'!E5*('Параметры'!C9-INT('Параметры'!C9))/'Параметры'!C9,0))</f>
        <v>62763.62187684438</v>
      </c>
      <c r="I42" s="52">
        <f>IF(I$4&lt;=INT('Параметры'!C9),'Производительность'!E5/'Параметры'!C9,IF(I$4=INT('Параметры'!C9)+1,'Производительность'!E5*('Параметры'!C9-INT('Параметры'!C9))/'Параметры'!C9,0))</f>
        <v>62763.62187684438</v>
      </c>
      <c r="J42" s="52">
        <f>IF(J$4&lt;=INT('Параметры'!C9),'Производительность'!E5/'Параметры'!C9,IF(J$4=INT('Параметры'!C9)+1,'Производительность'!E5*('Параметры'!C9-INT('Параметры'!C9))/'Параметры'!C9,0))</f>
        <v>5209.3806157780955</v>
      </c>
      <c r="K42" s="52">
        <f>IF(K$4&lt;=INT('Параметры'!C9),'Производительность'!E5/'Параметры'!C9,IF(K$4=INT('Параметры'!C9)+1,'Производительность'!E5*('Параметры'!C9-INT('Параметры'!C9))/'Параметры'!C9,0))</f>
        <v>0.0</v>
      </c>
      <c r="L42" s="52">
        <f>IF(L$4&lt;=INT('Параметры'!C9),'Производительность'!E5/'Параметры'!C9,IF(L$4=INT('Параметры'!C9)+1,'Производительность'!E5*('Параметры'!C9-INT('Параметры'!C9))/'Параметры'!C9,0))</f>
        <v>0.0</v>
      </c>
      <c r="M42" s="52">
        <f>IF(M$4&lt;=INT('Параметры'!C9),'Производительность'!E5/'Параметры'!C9,IF(M$4=INT('Параметры'!C9)+1,'Производительность'!E5*('Параметры'!C9-INT('Параметры'!C9))/'Параметры'!C9,0))</f>
        <v>0.0</v>
      </c>
      <c r="N42" s="52">
        <f>IF(N$4&lt;=INT('Параметры'!C9),'Производительность'!E5/'Параметры'!C9,IF(N$4=INT('Параметры'!C9)+1,'Производительность'!E5*('Параметры'!C9-INT('Параметры'!C9))/'Параметры'!C9,0))</f>
        <v>0.0</v>
      </c>
    </row>
    <row r="43">
      <c r="B43" s="22" t="inlineStr">
        <is>
          <t>Налогооблагаемая база</t>
        </is>
      </c>
      <c r="C43" s="24" t="inlineStr">
        <is>
          <t>тыс.руб</t>
        </is>
      </c>
      <c r="D43" s="52" t="n"/>
      <c r="E43" s="52">
        <f>E41+E42</f>
        <v>187892.43961298952</v>
      </c>
      <c r="F43" s="52">
        <f>F41+F42</f>
        <v>194324.16114393034</v>
      </c>
      <c r="G43" s="52">
        <f>G41+G42</f>
        <v>295164.83262022433</v>
      </c>
      <c r="H43" s="52">
        <f>H41+H42</f>
        <v>214066.50957710086</v>
      </c>
      <c r="I43" s="52">
        <f>I41+I42</f>
        <v>193001.8487606373</v>
      </c>
      <c r="J43" s="52">
        <f>J41+J42</f>
        <v>237186.3281904187</v>
      </c>
      <c r="K43" s="52">
        <f>K41+K42</f>
        <v>124816.76499012776</v>
      </c>
      <c r="L43" s="52">
        <f>L41+L42</f>
        <v>155921.1532850988</v>
      </c>
      <c r="M43" s="52">
        <f>M41+M42</f>
        <v>233308.83456868833</v>
      </c>
      <c r="N43" s="52">
        <f>N41+N42</f>
        <v>126243.43821936392</v>
      </c>
    </row>
    <row r="44">
      <c r="B44" s="22" t="inlineStr">
        <is>
          <t>Налог на прибыль (щит)</t>
        </is>
      </c>
      <c r="C44" s="24" t="inlineStr">
        <is>
          <t>тыс.руб</t>
        </is>
      </c>
      <c r="D44" s="52" t="n"/>
      <c r="E44" s="52">
        <f>-E43*'Параметры'!C7</f>
        <v>-46973.10990324738</v>
      </c>
      <c r="F44" s="52">
        <f>-F43*'Параметры'!C7</f>
        <v>-48581.040285982584</v>
      </c>
      <c r="G44" s="52">
        <f>-G43*'Параметры'!C7</f>
        <v>-73791.20815505608</v>
      </c>
      <c r="H44" s="52">
        <f>-H43*'Параметры'!C7</f>
        <v>-53516.627394275216</v>
      </c>
      <c r="I44" s="52">
        <f>-I43*'Параметры'!C7</f>
        <v>-48250.46219015933</v>
      </c>
      <c r="J44" s="52">
        <f>-J43*'Параметры'!C7</f>
        <v>-59296.58204760467</v>
      </c>
      <c r="K44" s="52">
        <f>-K43*'Параметры'!C7</f>
        <v>-31204.19124753194</v>
      </c>
      <c r="L44" s="52">
        <f>-L43*'Параметры'!C7</f>
        <v>-38980.2883212747</v>
      </c>
      <c r="M44" s="52">
        <f>-M43*'Параметры'!C7</f>
        <v>-58327.20864217208</v>
      </c>
      <c r="N44" s="52">
        <f>-N43*'Параметры'!C7</f>
        <v>-31560.85955484098</v>
      </c>
    </row>
    <row r="45">
      <c r="B45" s="22" t="inlineStr">
        <is>
          <t>Операц. денежный поток</t>
        </is>
      </c>
      <c r="C45" s="24" t="inlineStr">
        <is>
          <t>тыс.руб</t>
        </is>
      </c>
      <c r="D45" s="52" t="n"/>
      <c r="E45" s="61">
        <f>E43+E44-E42</f>
        <v>78155.70783289775</v>
      </c>
      <c r="F45" s="61">
        <f>F43+F44-F42</f>
        <v>82979.49898110336</v>
      </c>
      <c r="G45" s="61">
        <f>G43+G44-G42</f>
        <v>158610.00258832387</v>
      </c>
      <c r="H45" s="61">
        <f>H43+H44-H42</f>
        <v>97786.26030598127</v>
      </c>
      <c r="I45" s="61">
        <f>I43+I44-I42</f>
        <v>81987.7646936336</v>
      </c>
      <c r="J45" s="61">
        <f>J43+J44-J42</f>
        <v>172680.36552703593</v>
      </c>
      <c r="K45" s="61">
        <f>K43+K44-K42</f>
        <v>93612.57374259582</v>
      </c>
      <c r="L45" s="61">
        <f>L43+L44-L42</f>
        <v>116940.86496382409</v>
      </c>
      <c r="M45" s="61">
        <f>M43+M44-M42</f>
        <v>174981.62592651625</v>
      </c>
      <c r="N45" s="61">
        <f>N43+N44-N42</f>
        <v>94682.57866452294</v>
      </c>
    </row>
    <row r="46">
      <c r="B46" s="22" t="inlineStr">
        <is>
          <t>Инвестиции / остаточная ст-ть</t>
        </is>
      </c>
      <c r="C46" s="24" t="inlineStr">
        <is>
          <t>тыс.руб</t>
        </is>
      </c>
      <c r="D46" s="52">
        <f>IF(D$4=0,'Производительность'!E5,IF(D$4='Параметры'!C8,-'Ввод данных'!E14*'Производительность'!E5,0))</f>
        <v>319027.49</v>
      </c>
      <c r="E46" s="52">
        <f>IF(E$4=0,'Производительность'!E5,IF(E$4='Параметры'!C8,-'Ввод данных'!E14*'Производительность'!E5,0))</f>
        <v>0.0</v>
      </c>
      <c r="F46" s="52">
        <f>IF(F$4=0,'Производительность'!E5,IF(F$4='Параметры'!C8,-'Ввод данных'!E14*'Производительность'!E5,0))</f>
        <v>0.0</v>
      </c>
      <c r="G46" s="52">
        <f>IF(G$4=0,'Производительность'!E5,IF(G$4='Параметры'!C8,-'Ввод данных'!E14*'Производительность'!E5,0))</f>
        <v>0.0</v>
      </c>
      <c r="H46" s="52">
        <f>IF(H$4=0,'Производительность'!E5,IF(H$4='Параметры'!C8,-'Ввод данных'!E14*'Производительность'!E5,0))</f>
        <v>0.0</v>
      </c>
      <c r="I46" s="52">
        <f>IF(I$4=0,'Производительность'!E5,IF(I$4='Параметры'!C8,-'Ввод данных'!E14*'Производительность'!E5,0))</f>
        <v>0.0</v>
      </c>
      <c r="J46" s="52">
        <f>IF(J$4=0,'Производительность'!E5,IF(J$4='Параметры'!C8,-'Ввод данных'!E14*'Производительность'!E5,0))</f>
        <v>0.0</v>
      </c>
      <c r="K46" s="52">
        <f>IF(K$4=0,'Производительность'!E5,IF(K$4='Параметры'!C8,-'Ввод данных'!E14*'Производительность'!E5,0))</f>
        <v>0.0</v>
      </c>
      <c r="L46" s="52">
        <f>IF(L$4=0,'Производительность'!E5,IF(L$4='Параметры'!C8,-'Ввод данных'!E14*'Производительность'!E5,0))</f>
        <v>0.0</v>
      </c>
      <c r="M46" s="52">
        <f>IF(M$4=0,'Производительность'!E5,IF(M$4='Параметры'!C8,-'Ввод данных'!E14*'Производительность'!E5,0))</f>
        <v>0.0</v>
      </c>
      <c r="N46" s="52">
        <f>IF(N$4=0,'Производительность'!E5,IF(N$4='Параметры'!C8,-'Ввод данных'!E14*'Производительность'!E5,0))</f>
        <v>-0.0</v>
      </c>
    </row>
    <row r="47">
      <c r="B47" s="22" t="inlineStr">
        <is>
          <t>Чистый денежный поток</t>
        </is>
      </c>
      <c r="C47" s="24" t="inlineStr">
        <is>
          <t>тыс.руб</t>
        </is>
      </c>
      <c r="D47" s="61">
        <f>0+D46</f>
        <v>319027.49</v>
      </c>
      <c r="E47" s="61">
        <f>E45+E46</f>
        <v>78155.70783289775</v>
      </c>
      <c r="F47" s="61">
        <f>F45+F46</f>
        <v>82979.49898110336</v>
      </c>
      <c r="G47" s="61">
        <f>G45+G46</f>
        <v>158610.00258832387</v>
      </c>
      <c r="H47" s="61">
        <f>H45+H46</f>
        <v>97786.26030598127</v>
      </c>
      <c r="I47" s="61">
        <f>I45+I46</f>
        <v>81987.7646936336</v>
      </c>
      <c r="J47" s="61">
        <f>J45+J46</f>
        <v>172680.36552703593</v>
      </c>
      <c r="K47" s="61">
        <f>K45+K46</f>
        <v>93612.57374259582</v>
      </c>
      <c r="L47" s="61">
        <f>L45+L46</f>
        <v>116940.86496382409</v>
      </c>
      <c r="M47" s="61">
        <f>M45+M46</f>
        <v>174981.62592651625</v>
      </c>
      <c r="N47" s="61">
        <f>N45+N46</f>
        <v>94682.57866452294</v>
      </c>
    </row>
    <row r="48">
      <c r="B48" s="22" t="inlineStr">
        <is>
          <t>Дисконтированный поток</t>
        </is>
      </c>
      <c r="C48" s="24" t="inlineStr">
        <is>
          <t>тыс.руб</t>
        </is>
      </c>
      <c r="D48" s="52">
        <f>D47*D$6</f>
        <v>319027.49</v>
      </c>
      <c r="E48" s="52">
        <f>E47*E$6</f>
        <v>69781.8819936587</v>
      </c>
      <c r="F48" s="52">
        <f>F47*F$6</f>
        <v>66150.74854998673</v>
      </c>
      <c r="G48" s="52">
        <f>G47*G$6</f>
        <v>112895.4669480029</v>
      </c>
      <c r="H48" s="52">
        <f>H47*H$6</f>
        <v>62144.93624405182</v>
      </c>
      <c r="I48" s="52">
        <f>I47*I$6</f>
        <v>46522.05952750489</v>
      </c>
      <c r="J48" s="52">
        <f>J47*J$6</f>
        <v>87485.24719227175</v>
      </c>
      <c r="K48" s="52">
        <f>K47*K$6</f>
        <v>42345.57427813029</v>
      </c>
      <c r="L48" s="52">
        <f>L47*L$6</f>
        <v>47230.454024288774</v>
      </c>
      <c r="M48" s="52">
        <f>M47*M$6</f>
        <v>63100.128496678415</v>
      </c>
      <c r="N48" s="52">
        <f>N47*N$6</f>
        <v>30485.256301369624</v>
      </c>
    </row>
    <row r="49">
      <c r="B49" s="22" t="inlineStr">
        <is>
          <t>Кумул. дисконт. поток</t>
        </is>
      </c>
      <c r="C49" s="24" t="inlineStr">
        <is>
          <t>тыс.руб</t>
        </is>
      </c>
      <c r="D49" s="52">
        <f>SUM($D48:D48)</f>
        <v>319027.49</v>
      </c>
      <c r="E49" s="52">
        <f>SUM($D48:E48)</f>
        <v>388809.3719936587</v>
      </c>
      <c r="F49" s="52">
        <f>SUM($D48:F48)</f>
        <v>454960.12054364546</v>
      </c>
      <c r="G49" s="52">
        <f>SUM($D48:G48)</f>
        <v>567855.5874916484</v>
      </c>
      <c r="H49" s="52">
        <f>SUM($D48:H48)</f>
        <v>630000.5237357002</v>
      </c>
      <c r="I49" s="52">
        <f>SUM($D48:I48)</f>
        <v>676522.583263205</v>
      </c>
      <c r="J49" s="52">
        <f>SUM($D48:J48)</f>
        <v>764007.8304554768</v>
      </c>
      <c r="K49" s="52">
        <f>SUM($D48:K48)</f>
        <v>806353.4047336071</v>
      </c>
      <c r="L49" s="52">
        <f>SUM($D48:L48)</f>
        <v>853583.8587578959</v>
      </c>
      <c r="M49" s="52">
        <f>SUM($D48:M48)</f>
        <v>916683.9872545743</v>
      </c>
      <c r="N49" s="52">
        <f>SUM($D48:N48)</f>
        <v>947169.243555944</v>
      </c>
    </row>
    <row r="50">
      <c r="B50" s="39" t="inlineStr">
        <is>
          <t>Аннуитет по году</t>
        </is>
      </c>
      <c r="C50" s="24" t="inlineStr">
        <is>
          <t>руб/ткм</t>
        </is>
      </c>
      <c r="D50" s="62" t="n"/>
      <c r="E50" s="62">
        <f>SUM($D48:E48)/SUM($E$6:E$6)/(SUM($E34:E34)/E$4)</f>
        <v>37.607453956316014</v>
      </c>
      <c r="F50" s="62">
        <f>SUM($D48:F48)/SUM($E$6:F$6)/(SUM($E34:F34)/F$4)</f>
        <v>23.453383237339533</v>
      </c>
      <c r="G50" s="62">
        <f>SUM($D48:G48)/SUM($E$6:G$6)/(SUM($E34:G34)/G$4)</f>
        <v>21.01884770736922</v>
      </c>
      <c r="H50" s="62">
        <f>SUM($D48:H48)/SUM($E$6:H$6)/(SUM($E34:H34)/H$4)</f>
        <v>18.863569409222034</v>
      </c>
      <c r="I50" s="62">
        <f>SUM($D48:I48)/SUM($E$6:I$6)/(SUM($E34:I34)/I$4)</f>
        <v>16.93751535381618</v>
      </c>
      <c r="J50" s="62">
        <f>SUM($D48:J48)/SUM($E$6:J$6)/(SUM($E34:J34)/J$4)</f>
        <v>16.933146152194496</v>
      </c>
      <c r="K50" s="62">
        <f>SUM($D48:K48)/SUM($E$6:K$6)/(SUM($E34:K34)/K$4)</f>
        <v>16.03493378203635</v>
      </c>
      <c r="L50" s="62">
        <f>SUM($D48:L48)/SUM($E$6:L$6)/(SUM($E34:L34)/L$4)</f>
        <v>15.722654156675656</v>
      </c>
      <c r="M50" s="62">
        <f>SUM($D48:M48)/SUM($E$6:M$6)/(SUM($E34:M34)/M$4)</f>
        <v>15.750641321430145</v>
      </c>
      <c r="N50" s="62">
        <f>SUM($D48:N48)/SUM($E$6:N$6)/(SUM($E34:N34)/N$4)</f>
        <v>15.393401344883879</v>
      </c>
    </row>
    <row r="52">
      <c r="B52" s="5" t="str">
        <f>"Вариант 3:  "&amp;'Ввод данных'!F7</f>
        <v>Вариант 3:  SANY SET240S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B53" s="22" t="inlineStr">
        <is>
          <t>КТГ</t>
        </is>
      </c>
      <c r="C53" s="24" t="inlineStr">
        <is>
          <t>коэф.</t>
        </is>
      </c>
      <c r="D53" s="55" t="n"/>
      <c r="E53" s="55">
        <f>'Данные по годам'!E13</f>
        <v>0.7598</v>
      </c>
      <c r="F53" s="55">
        <f>'Данные по годам'!F13</f>
        <v>0.7329</v>
      </c>
      <c r="G53" s="55">
        <f>'Данные по годам'!G13</f>
        <v>0.7031</v>
      </c>
      <c r="H53" s="55">
        <f>'Данные по годам'!H13</f>
        <v>0.734</v>
      </c>
      <c r="I53" s="55">
        <f>'Данные по годам'!I13</f>
        <v>0.6902</v>
      </c>
      <c r="J53" s="55">
        <f>'Данные по годам'!J13</f>
        <v>0.734</v>
      </c>
      <c r="K53" s="55">
        <f>'Данные по годам'!K13</f>
        <v>0.7031</v>
      </c>
      <c r="L53" s="55">
        <f>'Данные по годам'!L13</f>
        <v>0.734</v>
      </c>
      <c r="M53" s="55">
        <f>'Данные по годам'!M13</f>
        <v>0.6902</v>
      </c>
      <c r="N53" s="55">
        <f>'Данные по годам'!N13</f>
        <v>0.7186</v>
      </c>
    </row>
    <row r="54">
      <c r="B54" s="22" t="inlineStr">
        <is>
          <t>Эффективное время</t>
        </is>
      </c>
      <c r="C54" s="24" t="inlineStr">
        <is>
          <t>час/год</t>
        </is>
      </c>
      <c r="D54" s="52" t="n"/>
      <c r="E54" s="52">
        <f>'Параметры'!C26*E53*(1-102.38/(60*'Параметры'!C27))</f>
        <v>5709.423391333334</v>
      </c>
      <c r="F54" s="52">
        <f>'Параметры'!C26*F53*(1-102.38/(60*'Параметры'!C27))</f>
        <v>5507.286659</v>
      </c>
      <c r="G54" s="52">
        <f>'Параметры'!C26*G53*(1-102.38/(60*'Параметры'!C27))</f>
        <v>5283.358234333334</v>
      </c>
      <c r="H54" s="52">
        <f>'Параметры'!C26*H53*(1-102.38/(60*'Параметры'!C27))</f>
        <v>5515.552473333334</v>
      </c>
      <c r="I54" s="52">
        <f>'Параметры'!C26*I53*(1-102.38/(60*'Параметры'!C27))</f>
        <v>5186.422775333333</v>
      </c>
      <c r="J54" s="52">
        <f>'Параметры'!C26*J53*(1-102.38/(60*'Параметры'!C27))</f>
        <v>5515.552473333334</v>
      </c>
      <c r="K54" s="52">
        <f>'Параметры'!C26*K53*(1-102.38/(60*'Параметры'!C27))</f>
        <v>5283.358234333334</v>
      </c>
      <c r="L54" s="52">
        <f>'Параметры'!C26*L53*(1-102.38/(60*'Параметры'!C27))</f>
        <v>5515.552473333334</v>
      </c>
      <c r="M54" s="52">
        <f>'Параметры'!C26*M53*(1-102.38/(60*'Параметры'!C27))</f>
        <v>5186.422775333333</v>
      </c>
      <c r="N54" s="52">
        <f>'Параметры'!C26*N53*(1-102.38/(60*'Параметры'!C27))</f>
        <v>5399.831072666667</v>
      </c>
    </row>
    <row r="55">
      <c r="B55" s="22" t="inlineStr">
        <is>
          <t>Объём перевозки</t>
        </is>
      </c>
      <c r="C55" s="24" t="inlineStr">
        <is>
          <t>тыс.т</t>
        </is>
      </c>
      <c r="D55" s="52" t="n"/>
      <c r="E55" s="52">
        <f>'Производительность'!F9*E54/1000</f>
        <v>2344.6485650561426</v>
      </c>
      <c r="F55" s="52">
        <f>'Производительность'!F9*F54/1000</f>
        <v>2261.638501355155</v>
      </c>
      <c r="G55" s="52">
        <f>'Производительность'!F9*G54/1000</f>
        <v>2169.6793973295257</v>
      </c>
      <c r="H55" s="52">
        <f>'Производительность'!F9*H54/1000</f>
        <v>2265.0329649265705</v>
      </c>
      <c r="I55" s="52">
        <f>'Производительность'!F9*I54/1000</f>
        <v>2129.8715972647396</v>
      </c>
      <c r="J55" s="52">
        <f>'Производительность'!F9*J54/1000</f>
        <v>2265.0329649265705</v>
      </c>
      <c r="K55" s="52">
        <f>'Производительность'!F9*K54/1000</f>
        <v>2169.6793973295257</v>
      </c>
      <c r="L55" s="52">
        <f>'Производительность'!F9*L54/1000</f>
        <v>2265.0329649265705</v>
      </c>
      <c r="M55" s="52">
        <f>'Производительность'!F9*M54/1000</f>
        <v>2129.8715972647396</v>
      </c>
      <c r="N55" s="52">
        <f>'Производительность'!F9*N54/1000</f>
        <v>2217.510474926749</v>
      </c>
    </row>
    <row r="56">
      <c r="B56" s="22" t="inlineStr">
        <is>
          <t>Грузооборот</t>
        </is>
      </c>
      <c r="C56" s="24" t="inlineStr">
        <is>
          <t>тыс.ткм</t>
        </is>
      </c>
      <c r="D56" s="52" t="n"/>
      <c r="E56" s="52">
        <f>E55*'Ввод данных'!F18</f>
        <v>9960.067104358493</v>
      </c>
      <c r="F56" s="52">
        <f>F55*'Ввод данных'!F18</f>
        <v>9607.440353756698</v>
      </c>
      <c r="G56" s="52">
        <f>G55*'Ввод данных'!F18</f>
        <v>9216.798079855826</v>
      </c>
      <c r="H56" s="52">
        <f>H55*'Ввод данных'!F18</f>
        <v>9621.860035008072</v>
      </c>
      <c r="I56" s="52">
        <f>I55*'Ввод данных'!F18</f>
        <v>9047.694545180615</v>
      </c>
      <c r="J56" s="52">
        <f>J55*'Ввод данных'!F18</f>
        <v>9621.860035008072</v>
      </c>
      <c r="K56" s="52">
        <f>K55*'Ввод данных'!F18</f>
        <v>9216.798079855826</v>
      </c>
      <c r="L56" s="52">
        <f>L55*'Ввод данных'!F18</f>
        <v>9621.860035008072</v>
      </c>
      <c r="M56" s="52">
        <f>M55*'Ввод данных'!F18</f>
        <v>9047.694545180615</v>
      </c>
      <c r="N56" s="52">
        <f>N55*'Ввод данных'!F18</f>
        <v>9419.98449748883</v>
      </c>
    </row>
    <row r="57">
      <c r="B57" s="22" t="inlineStr">
        <is>
          <t>Пробег</t>
        </is>
      </c>
      <c r="C57" s="24" t="inlineStr">
        <is>
          <t>тыс.км</t>
        </is>
      </c>
      <c r="D57" s="52" t="n"/>
      <c r="E57" s="52">
        <f>'Производительность'!F8*E54*2*'Ввод данных'!F18/1000</f>
        <v>93.5941277827196</v>
      </c>
      <c r="F57" s="52">
        <f>'Производительность'!F8*F54*2*'Ввод данных'!F18/1000</f>
        <v>90.28051625685075</v>
      </c>
      <c r="G57" s="52">
        <f>'Производительность'!F8*G54*2*'Ввод данных'!F18/1000</f>
        <v>86.609675235628</v>
      </c>
      <c r="H57" s="52">
        <f>'Производительность'!F8*H54*2*'Ввод данных'!F18/1000</f>
        <v>90.41601709991603</v>
      </c>
      <c r="I57" s="52">
        <f>'Производительность'!F8*I54*2*'Ввод данных'!F18/1000</f>
        <v>85.0206198942262</v>
      </c>
      <c r="J57" s="52">
        <f>'Производительность'!F8*J54*2*'Ввод данных'!F18/1000</f>
        <v>90.41601709991603</v>
      </c>
      <c r="K57" s="52">
        <f>'Производительность'!F8*K54*2*'Ввод данных'!F18/1000</f>
        <v>86.609675235628</v>
      </c>
      <c r="L57" s="52">
        <f>'Производительность'!F8*L54*2*'Ввод данных'!F18/1000</f>
        <v>90.41601709991603</v>
      </c>
      <c r="M57" s="52">
        <f>'Производительность'!F8*M54*2*'Ввод данных'!F18/1000</f>
        <v>85.0206198942262</v>
      </c>
      <c r="N57" s="52">
        <f>'Производительность'!F8*N54*2*'Ввод данных'!F18/1000</f>
        <v>88.51900529700225</v>
      </c>
    </row>
    <row r="58">
      <c r="B58" s="22" t="inlineStr">
        <is>
          <t>Топливо</t>
        </is>
      </c>
      <c r="C58" s="24" t="inlineStr">
        <is>
          <t>тыс.руб</t>
        </is>
      </c>
      <c r="D58" s="52" t="n"/>
      <c r="E58" s="52">
        <f>E56*'Параметры'!C32/1000*'Параметры'!C10*(1+'Параметры'!C14)^(E$4-1)</f>
        <v>51552.207740751255</v>
      </c>
      <c r="F58" s="52">
        <f>F56*'Параметры'!C32/1000*'Параметры'!C10*(1+'Параметры'!C14)^(F$4-1)</f>
        <v>49727.050609629616</v>
      </c>
      <c r="G58" s="52">
        <f>G56*'Параметры'!C32/1000*'Параметры'!C10*(1+'Параметры'!C14)^(G$4-1)</f>
        <v>47705.12932682574</v>
      </c>
      <c r="H58" s="52">
        <f>H56*'Параметры'!C32/1000*'Параметры'!C10*(1+'Параметры'!C14)^(H$4-1)</f>
        <v>49801.68528785392</v>
      </c>
      <c r="I58" s="52">
        <f>I56*'Параметры'!C32/1000*'Параметры'!C10*(1+'Параметры'!C14)^(I$4-1)</f>
        <v>46829.86810037708</v>
      </c>
      <c r="J58" s="52">
        <f>J56*'Параметры'!C32/1000*'Параметры'!C10*(1+'Параметры'!C14)^(J$4-1)</f>
        <v>49801.68528785392</v>
      </c>
      <c r="K58" s="52">
        <f>K56*'Параметры'!C32/1000*'Параметры'!C10*(1+'Параметры'!C14)^(K$4-1)</f>
        <v>47705.12932682574</v>
      </c>
      <c r="L58" s="52">
        <f>L56*'Параметры'!C32/1000*'Параметры'!C10*(1+'Параметры'!C14)^(L$4-1)</f>
        <v>49801.68528785392</v>
      </c>
      <c r="M58" s="52">
        <f>M56*'Параметры'!C32/1000*'Параметры'!C10*(1+'Параметры'!C14)^(M$4-1)</f>
        <v>46829.86810037708</v>
      </c>
      <c r="N58" s="52">
        <f>N56*'Параметры'!C32/1000*'Параметры'!C10*(1+'Параметры'!C14)^(N$4-1)</f>
        <v>48756.79979271367</v>
      </c>
    </row>
    <row r="59">
      <c r="B59" s="22" t="inlineStr">
        <is>
          <t>ТОиР и сервис (по годам)</t>
        </is>
      </c>
      <c r="C59" s="24" t="inlineStr">
        <is>
          <t>тыс.руб</t>
        </is>
      </c>
      <c r="D59" s="52" t="n"/>
      <c r="E59" s="52">
        <f>'Данные по годам'!E14*IF('Данные по годам'!$D$14="CNY",'Параметры'!C20,IF('Данные по годам'!$D$14="USD",'Параметры'!C21,IF('Данные по годам'!$D$14="EUR",'Параметры'!C22,1)))</f>
        <v>21409.6800458494</v>
      </c>
      <c r="F59" s="52">
        <f>'Данные по годам'!F14*IF('Данные по годам'!$D$14="CNY",'Параметры'!C20,IF('Данные по годам'!$D$14="USD",'Параметры'!C21,IF('Данные по годам'!$D$14="EUR",'Параметры'!C22,1)))</f>
        <v>27424.154763804487</v>
      </c>
      <c r="G59" s="52">
        <f>'Данные по годам'!G14*IF('Данные по годам'!$D$14="CNY",'Параметры'!C20,IF('Данные по годам'!$D$14="USD",'Параметры'!C21,IF('Данные по годам'!$D$14="EUR",'Параметры'!C22,1)))</f>
        <v>108191.81679776512</v>
      </c>
      <c r="H59" s="52">
        <f>'Данные по годам'!H14*IF('Данные по годам'!$D$14="CNY",'Параметры'!C20,IF('Данные по годам'!$D$14="USD",'Параметры'!C21,IF('Данные по годам'!$D$14="EUR",'Параметры'!C22,1)))</f>
        <v>48594.45850491699</v>
      </c>
      <c r="I59" s="52">
        <f>'Данные по годам'!I14*IF('Данные по годам'!$D$14="CNY",'Параметры'!C20,IF('Данные по годам'!$D$14="USD",'Параметры'!C21,IF('Данные по годам'!$D$14="EUR",'Параметры'!C22,1)))</f>
        <v>26184.162800950256</v>
      </c>
      <c r="J59" s="52">
        <f>'Данные по годам'!J14*IF('Данные по годам'!$D$14="CNY",'Параметры'!C20,IF('Данные по годам'!$D$14="USD",'Параметры'!C21,IF('Данные по годам'!$D$14="EUR",'Параметры'!C22,1)))</f>
        <v>109675.16170421618</v>
      </c>
      <c r="K59" s="52">
        <f>'Данные по годам'!K14*IF('Данные по годам'!$D$14="CNY",'Параметры'!C20,IF('Данные по годам'!$D$14="USD",'Параметры'!C21,IF('Данные по годам'!$D$14="EUR",'Параметры'!C22,1)))</f>
        <v>22697.886839303315</v>
      </c>
      <c r="L59" s="52">
        <f>'Данные по годам'!L14*IF('Данные по годам'!$D$14="CNY",'Параметры'!C20,IF('Данные по годам'!$D$14="USD",'Параметры'!C21,IF('Данные по годам'!$D$14="EUR",'Параметры'!C22,1)))</f>
        <v>51837.3815229671</v>
      </c>
      <c r="M59" s="52">
        <f>'Данные по годам'!M14*IF('Данные по годам'!$D$14="CNY",'Параметры'!C20,IF('Данные по годам'!$D$14="USD",'Параметры'!C21,IF('Данные по годам'!$D$14="EUR",'Параметры'!C22,1)))</f>
        <v>108435.16974136195</v>
      </c>
      <c r="N59" s="52">
        <f>'Данные по годам'!N14*IF('Данные по годам'!$D$14="CNY",'Параметры'!C20,IF('Данные по годам'!$D$14="USD",'Параметры'!C21,IF('Данные по годам'!$D$14="EUR",'Параметры'!C22,1)))</f>
        <v>27424.154763804487</v>
      </c>
    </row>
    <row r="60">
      <c r="B60" s="22" t="inlineStr">
        <is>
          <t>Шины</t>
        </is>
      </c>
      <c r="C60" s="24" t="inlineStr">
        <is>
          <t>тыс.руб</t>
        </is>
      </c>
      <c r="D60" s="52" t="n"/>
      <c r="E60" s="52">
        <f>E57*'Параметры'!C36*'Параметры'!C37*(1+'Параметры'!C15)^(E$4-1)</f>
        <v>15731.010294358617</v>
      </c>
      <c r="F60" s="52">
        <f>F57*'Параметры'!C36*'Параметры'!C37*(1+'Параметры'!C15)^(F$4-1)</f>
        <v>15174.06876116798</v>
      </c>
      <c r="G60" s="52">
        <f>G57*'Параметры'!C36*'Параметры'!C37*(1+'Параметры'!C15)^(G$4-1)</f>
        <v>14557.085203953075</v>
      </c>
      <c r="H60" s="52">
        <f>H57*'Параметры'!C36*'Параметры'!C37*(1+'Параметры'!C15)^(H$4-1)</f>
        <v>15196.843322004777</v>
      </c>
      <c r="I60" s="52">
        <f>I57*'Параметры'!C36*'Параметры'!C37*(1+'Параметры'!C15)^(I$4-1)</f>
        <v>14290.00171777615</v>
      </c>
      <c r="J60" s="52">
        <f>J57*'Параметры'!C36*'Параметры'!C37*(1+'Параметры'!C15)^(J$4-1)</f>
        <v>15196.843322004777</v>
      </c>
      <c r="K60" s="52">
        <f>K57*'Параметры'!C36*'Параметры'!C37*(1+'Параметры'!C15)^(K$4-1)</f>
        <v>14557.085203953075</v>
      </c>
      <c r="L60" s="52">
        <f>L57*'Параметры'!C36*'Параметры'!C37*(1+'Параметры'!C15)^(L$4-1)</f>
        <v>15196.843322004777</v>
      </c>
      <c r="M60" s="52">
        <f>M57*'Параметры'!C36*'Параметры'!C37*(1+'Параметры'!C15)^(M$4-1)</f>
        <v>14290.00171777615</v>
      </c>
      <c r="N60" s="52">
        <f>N57*'Параметры'!C36*'Параметры'!C37*(1+'Параметры'!C15)^(N$4-1)</f>
        <v>14877.99947028969</v>
      </c>
    </row>
    <row r="61">
      <c r="B61" s="22" t="inlineStr">
        <is>
          <t>Персонал</t>
        </is>
      </c>
      <c r="C61" s="24" t="inlineStr">
        <is>
          <t>тыс.руб</t>
        </is>
      </c>
      <c r="D61" s="52" t="n"/>
      <c r="E61" s="52">
        <f>'Ввод данных'!F20*(1+'Параметры'!C16)^(E$4-1)</f>
        <v>18475.6</v>
      </c>
      <c r="F61" s="52">
        <f>'Ввод данных'!F20*(1+'Параметры'!C16)^(F$4-1)</f>
        <v>18475.6</v>
      </c>
      <c r="G61" s="52">
        <f>'Ввод данных'!F20*(1+'Параметры'!C16)^(G$4-1)</f>
        <v>18475.6</v>
      </c>
      <c r="H61" s="52">
        <f>'Ввод данных'!F20*(1+'Параметры'!C16)^(H$4-1)</f>
        <v>18475.6</v>
      </c>
      <c r="I61" s="52">
        <f>'Ввод данных'!F20*(1+'Параметры'!C16)^(I$4-1)</f>
        <v>18475.6</v>
      </c>
      <c r="J61" s="52">
        <f>'Ввод данных'!F20*(1+'Параметры'!C16)^(J$4-1)</f>
        <v>18475.6</v>
      </c>
      <c r="K61" s="52">
        <f>'Ввод данных'!F20*(1+'Параметры'!C16)^(K$4-1)</f>
        <v>18475.6</v>
      </c>
      <c r="L61" s="52">
        <f>'Ввод данных'!F20*(1+'Параметры'!C16)^(L$4-1)</f>
        <v>18475.6</v>
      </c>
      <c r="M61" s="52">
        <f>'Ввод данных'!F20*(1+'Параметры'!C16)^(M$4-1)</f>
        <v>18475.6</v>
      </c>
      <c r="N61" s="52">
        <f>'Ввод данных'!F20*(1+'Параметры'!C16)^(N$4-1)</f>
        <v>18475.6</v>
      </c>
    </row>
    <row r="62">
      <c r="B62" s="22" t="inlineStr">
        <is>
          <t>Транспортный налог</t>
        </is>
      </c>
      <c r="C62" s="24" t="inlineStr">
        <is>
          <t>тыс.руб</t>
        </is>
      </c>
      <c r="D62" s="52" t="n"/>
      <c r="E62" s="52">
        <f>'Ввод данных'!F21*'Параметры'!C41/1000</f>
        <v>241.655</v>
      </c>
      <c r="F62" s="52">
        <f>'Ввод данных'!F21*'Параметры'!C41/1000</f>
        <v>241.655</v>
      </c>
      <c r="G62" s="52">
        <f>'Ввод данных'!F21*'Параметры'!C41/1000</f>
        <v>241.655</v>
      </c>
      <c r="H62" s="52">
        <f>'Ввод данных'!F21*'Параметры'!C41/1000</f>
        <v>241.655</v>
      </c>
      <c r="I62" s="52">
        <f>'Ввод данных'!F21*'Параметры'!C41/1000</f>
        <v>241.655</v>
      </c>
      <c r="J62" s="52">
        <f>'Ввод данных'!F21*'Параметры'!C41/1000</f>
        <v>241.655</v>
      </c>
      <c r="K62" s="52">
        <f>'Ввод данных'!F21*'Параметры'!C41/1000</f>
        <v>241.655</v>
      </c>
      <c r="L62" s="52">
        <f>'Ввод данных'!F21*'Параметры'!C41/1000</f>
        <v>241.655</v>
      </c>
      <c r="M62" s="52">
        <f>'Ввод данных'!F21*'Параметры'!C41/1000</f>
        <v>241.655</v>
      </c>
      <c r="N62" s="52">
        <f>'Ввод данных'!F21*'Параметры'!C41/1000</f>
        <v>241.655</v>
      </c>
    </row>
    <row r="63">
      <c r="B63" s="22" t="inlineStr">
        <is>
          <t>Итого денежные затраты</t>
        </is>
      </c>
      <c r="C63" s="24" t="inlineStr">
        <is>
          <t>тыс.руб</t>
        </is>
      </c>
      <c r="D63" s="52" t="n"/>
      <c r="E63" s="61">
        <f>E58+E59+E60+E61+E62</f>
        <v>107410.15308095928</v>
      </c>
      <c r="F63" s="61">
        <f>F58+F59+F60+F61+F62</f>
        <v>111042.52913460208</v>
      </c>
      <c r="G63" s="61">
        <f>G58+G59+G60+G61+G62</f>
        <v>189171.28632854397</v>
      </c>
      <c r="H63" s="61">
        <f>H58+H59+H60+H61+H62</f>
        <v>132310.2421147757</v>
      </c>
      <c r="I63" s="61">
        <f>I58+I59+I60+I61+I62</f>
        <v>106021.28761910347</v>
      </c>
      <c r="J63" s="61">
        <f>J58+J59+J60+J61+J62</f>
        <v>193390.94531407487</v>
      </c>
      <c r="K63" s="61">
        <f>K58+K59+K60+K61+K62</f>
        <v>103677.35637008213</v>
      </c>
      <c r="L63" s="61">
        <f>L58+L59+L60+L61+L62</f>
        <v>135553.1651328258</v>
      </c>
      <c r="M63" s="61">
        <f>M58+M59+M60+M61+M62</f>
        <v>188272.2945595152</v>
      </c>
      <c r="N63" s="61">
        <f>N58+N59+N60+N61+N62</f>
        <v>109776.20902680783</v>
      </c>
    </row>
    <row r="64">
      <c r="B64" s="22" t="inlineStr">
        <is>
          <t>Амортизация (НУ)</t>
        </is>
      </c>
      <c r="C64" s="24" t="inlineStr">
        <is>
          <t>тыс.руб</t>
        </is>
      </c>
      <c r="D64" s="52" t="n"/>
      <c r="E64" s="52">
        <f>IF(E$4&lt;=INT('Параметры'!C9),'Производительность'!F5/'Параметры'!C9,IF(E$4=INT('Параметры'!C9)+1,'Производительность'!F5*('Параметры'!C9-INT('Параметры'!C9))/'Параметры'!C9,0))</f>
        <v>58250.06688963211</v>
      </c>
      <c r="F64" s="52">
        <f>IF(F$4&lt;=INT('Параметры'!C9),'Производительность'!F5/'Параметры'!C9,IF(F$4=INT('Параметры'!C9)+1,'Производительность'!F5*('Параметры'!C9-INT('Параметры'!C9))/'Параметры'!C9,0))</f>
        <v>58250.06688963211</v>
      </c>
      <c r="G64" s="52">
        <f>IF(G$4&lt;=INT('Параметры'!C9),'Производительность'!F5/'Параметры'!C9,IF(G$4=INT('Параметры'!C9)+1,'Производительность'!F5*('Параметры'!C9-INT('Параметры'!C9))/'Параметры'!C9,0))</f>
        <v>58250.06688963211</v>
      </c>
      <c r="H64" s="52">
        <f>IF(H$4&lt;=INT('Параметры'!C9),'Производительность'!F5/'Параметры'!C9,IF(H$4=INT('Параметры'!C9)+1,'Производительность'!F5*('Параметры'!C9-INT('Параметры'!C9))/'Параметры'!C9,0))</f>
        <v>58250.06688963211</v>
      </c>
      <c r="I64" s="52">
        <f>IF(I$4&lt;=INT('Параметры'!C9),'Производительность'!F5/'Параметры'!C9,IF(I$4=INT('Параметры'!C9)+1,'Производительность'!F5*('Параметры'!C9-INT('Параметры'!C9))/'Параметры'!C9,0))</f>
        <v>58250.06688963211</v>
      </c>
      <c r="J64" s="52">
        <f>IF(J$4&lt;=INT('Параметры'!C9),'Производительность'!F5/'Параметры'!C9,IF(J$4=INT('Параметры'!C9)+1,'Производительность'!F5*('Параметры'!C9-INT('Параметры'!C9))/'Параметры'!C9,0))</f>
        <v>4834.755551839476</v>
      </c>
      <c r="K64" s="52">
        <f>IF(K$4&lt;=INT('Параметры'!C9),'Производительность'!F5/'Параметры'!C9,IF(K$4=INT('Параметры'!C9)+1,'Производительность'!F5*('Параметры'!C9-INT('Параметры'!C9))/'Параметры'!C9,0))</f>
        <v>0.0</v>
      </c>
      <c r="L64" s="52">
        <f>IF(L$4&lt;=INT('Параметры'!C9),'Производительность'!F5/'Параметры'!C9,IF(L$4=INT('Параметры'!C9)+1,'Производительность'!F5*('Параметры'!C9-INT('Параметры'!C9))/'Параметры'!C9,0))</f>
        <v>0.0</v>
      </c>
      <c r="M64" s="52">
        <f>IF(M$4&lt;=INT('Параметры'!C9),'Производительность'!F5/'Параметры'!C9,IF(M$4=INT('Параметры'!C9)+1,'Производительность'!F5*('Параметры'!C9-INT('Параметры'!C9))/'Параметры'!C9,0))</f>
        <v>0.0</v>
      </c>
      <c r="N64" s="52">
        <f>IF(N$4&lt;=INT('Параметры'!C9),'Производительность'!F5/'Параметры'!C9,IF(N$4=INT('Параметры'!C9)+1,'Производительность'!F5*('Параметры'!C9-INT('Параметры'!C9))/'Параметры'!C9,0))</f>
        <v>0.0</v>
      </c>
    </row>
    <row r="65">
      <c r="B65" s="22" t="inlineStr">
        <is>
          <t>Налогооблагаемая база</t>
        </is>
      </c>
      <c r="C65" s="24" t="inlineStr">
        <is>
          <t>тыс.руб</t>
        </is>
      </c>
      <c r="D65" s="52" t="n"/>
      <c r="E65" s="52">
        <f>E63+E64</f>
        <v>165660.2199705914</v>
      </c>
      <c r="F65" s="52">
        <f>F63+F64</f>
        <v>169292.5960242342</v>
      </c>
      <c r="G65" s="52">
        <f>G63+G64</f>
        <v>247421.35321817608</v>
      </c>
      <c r="H65" s="52">
        <f>H63+H64</f>
        <v>190560.3090044078</v>
      </c>
      <c r="I65" s="52">
        <f>I63+I64</f>
        <v>164271.3545087356</v>
      </c>
      <c r="J65" s="52">
        <f>J63+J64</f>
        <v>198225.70086591435</v>
      </c>
      <c r="K65" s="52">
        <f>K63+K64</f>
        <v>103677.35637008213</v>
      </c>
      <c r="L65" s="52">
        <f>L63+L64</f>
        <v>135553.1651328258</v>
      </c>
      <c r="M65" s="52">
        <f>M63+M64</f>
        <v>188272.2945595152</v>
      </c>
      <c r="N65" s="52">
        <f>N63+N64</f>
        <v>109776.20902680783</v>
      </c>
    </row>
    <row r="66">
      <c r="B66" s="22" t="inlineStr">
        <is>
          <t>Налог на прибыль (щит)</t>
        </is>
      </c>
      <c r="C66" s="24" t="inlineStr">
        <is>
          <t>тыс.руб</t>
        </is>
      </c>
      <c r="D66" s="52" t="n"/>
      <c r="E66" s="52">
        <f>-E65*'Параметры'!C7</f>
        <v>-41415.05499264785</v>
      </c>
      <c r="F66" s="52">
        <f>-F65*'Параметры'!C7</f>
        <v>-42323.14900605855</v>
      </c>
      <c r="G66" s="52">
        <f>-G65*'Параметры'!C7</f>
        <v>-61855.33830454402</v>
      </c>
      <c r="H66" s="52">
        <f>-H65*'Параметры'!C7</f>
        <v>-47640.07725110195</v>
      </c>
      <c r="I66" s="52">
        <f>-I65*'Параметры'!C7</f>
        <v>-41067.8386271839</v>
      </c>
      <c r="J66" s="52">
        <f>-J65*'Параметры'!C7</f>
        <v>-49556.42521647859</v>
      </c>
      <c r="K66" s="52">
        <f>-K65*'Параметры'!C7</f>
        <v>-25919.33909252053</v>
      </c>
      <c r="L66" s="52">
        <f>-L65*'Параметры'!C7</f>
        <v>-33888.29128320645</v>
      </c>
      <c r="M66" s="52">
        <f>-M65*'Параметры'!C7</f>
        <v>-47068.0736398788</v>
      </c>
      <c r="N66" s="52">
        <f>-N65*'Параметры'!C7</f>
        <v>-27444.052256701958</v>
      </c>
    </row>
    <row r="67">
      <c r="B67" s="22" t="inlineStr">
        <is>
          <t>Операц. денежный поток</t>
        </is>
      </c>
      <c r="C67" s="24" t="inlineStr">
        <is>
          <t>тыс.руб</t>
        </is>
      </c>
      <c r="D67" s="52" t="n"/>
      <c r="E67" s="61">
        <f>E65+E66-E64</f>
        <v>65995.09808831144</v>
      </c>
      <c r="F67" s="61">
        <f>F65+F66-F64</f>
        <v>68719.38012854353</v>
      </c>
      <c r="G67" s="61">
        <f>G65+G66-G64</f>
        <v>127315.94802399995</v>
      </c>
      <c r="H67" s="61">
        <f>H65+H66-H64</f>
        <v>84670.16486367374</v>
      </c>
      <c r="I67" s="61">
        <f>I65+I66-I64</f>
        <v>64953.448991919584</v>
      </c>
      <c r="J67" s="61">
        <f>J65+J66-J64</f>
        <v>143834.52009759628</v>
      </c>
      <c r="K67" s="61">
        <f>K65+K66-K64</f>
        <v>77758.0172775616</v>
      </c>
      <c r="L67" s="61">
        <f>L65+L66-L64</f>
        <v>101664.87384961934</v>
      </c>
      <c r="M67" s="61">
        <f>M65+M66-M64</f>
        <v>141204.2209196364</v>
      </c>
      <c r="N67" s="61">
        <f>N65+N66-N64</f>
        <v>82332.15677010588</v>
      </c>
    </row>
    <row r="68">
      <c r="B68" s="22" t="inlineStr">
        <is>
          <t>Инвестиции / остаточная ст-ть</t>
        </is>
      </c>
      <c r="C68" s="24" t="inlineStr">
        <is>
          <t>тыс.руб</t>
        </is>
      </c>
      <c r="D68" s="52">
        <f>IF(D$4=0,'Производительность'!F5,IF(D$4='Параметры'!C8,-'Ввод данных'!F14*'Производительность'!F5,0))</f>
        <v>296085.09</v>
      </c>
      <c r="E68" s="52">
        <f>IF(E$4=0,'Производительность'!F5,IF(E$4='Параметры'!C8,-'Ввод данных'!F14*'Производительность'!F5,0))</f>
        <v>0.0</v>
      </c>
      <c r="F68" s="52">
        <f>IF(F$4=0,'Производительность'!F5,IF(F$4='Параметры'!C8,-'Ввод данных'!F14*'Производительность'!F5,0))</f>
        <v>0.0</v>
      </c>
      <c r="G68" s="52">
        <f>IF(G$4=0,'Производительность'!F5,IF(G$4='Параметры'!C8,-'Ввод данных'!F14*'Производительность'!F5,0))</f>
        <v>0.0</v>
      </c>
      <c r="H68" s="52">
        <f>IF(H$4=0,'Производительность'!F5,IF(H$4='Параметры'!C8,-'Ввод данных'!F14*'Производительность'!F5,0))</f>
        <v>0.0</v>
      </c>
      <c r="I68" s="52">
        <f>IF(I$4=0,'Производительность'!F5,IF(I$4='Параметры'!C8,-'Ввод данных'!F14*'Производительность'!F5,0))</f>
        <v>0.0</v>
      </c>
      <c r="J68" s="52">
        <f>IF(J$4=0,'Производительность'!F5,IF(J$4='Параметры'!C8,-'Ввод данных'!F14*'Производительность'!F5,0))</f>
        <v>0.0</v>
      </c>
      <c r="K68" s="52">
        <f>IF(K$4=0,'Производительность'!F5,IF(K$4='Параметры'!C8,-'Ввод данных'!F14*'Производительность'!F5,0))</f>
        <v>0.0</v>
      </c>
      <c r="L68" s="52">
        <f>IF(L$4=0,'Производительность'!F5,IF(L$4='Параметры'!C8,-'Ввод данных'!F14*'Производительность'!F5,0))</f>
        <v>0.0</v>
      </c>
      <c r="M68" s="52">
        <f>IF(M$4=0,'Производительность'!F5,IF(M$4='Параметры'!C8,-'Ввод данных'!F14*'Производительность'!F5,0))</f>
        <v>0.0</v>
      </c>
      <c r="N68" s="52">
        <f>IF(N$4=0,'Производительность'!F5,IF(N$4='Параметры'!C8,-'Ввод данных'!F14*'Производительность'!F5,0))</f>
        <v>-0.0</v>
      </c>
    </row>
    <row r="69">
      <c r="B69" s="22" t="inlineStr">
        <is>
          <t>Чистый денежный поток</t>
        </is>
      </c>
      <c r="C69" s="24" t="inlineStr">
        <is>
          <t>тыс.руб</t>
        </is>
      </c>
      <c r="D69" s="61">
        <f>0+D68</f>
        <v>296085.09</v>
      </c>
      <c r="E69" s="61">
        <f>E67+E68</f>
        <v>65995.09808831144</v>
      </c>
      <c r="F69" s="61">
        <f>F67+F68</f>
        <v>68719.38012854353</v>
      </c>
      <c r="G69" s="61">
        <f>G67+G68</f>
        <v>127315.94802399995</v>
      </c>
      <c r="H69" s="61">
        <f>H67+H68</f>
        <v>84670.16486367374</v>
      </c>
      <c r="I69" s="61">
        <f>I67+I68</f>
        <v>64953.448991919584</v>
      </c>
      <c r="J69" s="61">
        <f>J67+J68</f>
        <v>143834.52009759628</v>
      </c>
      <c r="K69" s="61">
        <f>K67+K68</f>
        <v>77758.0172775616</v>
      </c>
      <c r="L69" s="61">
        <f>L67+L68</f>
        <v>101664.87384961934</v>
      </c>
      <c r="M69" s="61">
        <f>M67+M68</f>
        <v>141204.2209196364</v>
      </c>
      <c r="N69" s="61">
        <f>N67+N68</f>
        <v>82332.15677010588</v>
      </c>
    </row>
    <row r="70">
      <c r="B70" s="22" t="inlineStr">
        <is>
          <t>Дисконтированный поток</t>
        </is>
      </c>
      <c r="C70" s="24" t="inlineStr">
        <is>
          <t>тыс.руб</t>
        </is>
      </c>
      <c r="D70" s="52">
        <f>D69*D$6</f>
        <v>296085.09</v>
      </c>
      <c r="E70" s="52">
        <f>E69*E$6</f>
        <v>58924.19472170664</v>
      </c>
      <c r="F70" s="52">
        <f>F69*F$6</f>
        <v>54782.669107576156</v>
      </c>
      <c r="G70" s="52">
        <f>G69*G$6</f>
        <v>90620.97703512202</v>
      </c>
      <c r="H70" s="52">
        <f>H69*H$6</f>
        <v>53809.42047238218</v>
      </c>
      <c r="I70" s="52">
        <f>I69*I$6</f>
        <v>36856.33132956335</v>
      </c>
      <c r="J70" s="52">
        <f>J69*J$6</f>
        <v>72871.04418104705</v>
      </c>
      <c r="K70" s="52">
        <f>K69*K$6</f>
        <v>35173.77810165758</v>
      </c>
      <c r="L70" s="52">
        <f>L69*L$6</f>
        <v>41060.7374224996</v>
      </c>
      <c r="M70" s="52">
        <f>M69*M$6</f>
        <v>50919.657633334544</v>
      </c>
      <c r="N70" s="52">
        <f>N69*N$6</f>
        <v>26508.75099076357</v>
      </c>
    </row>
    <row r="71">
      <c r="B71" s="22" t="inlineStr">
        <is>
          <t>Кумул. дисконт. поток</t>
        </is>
      </c>
      <c r="C71" s="24" t="inlineStr">
        <is>
          <t>тыс.руб</t>
        </is>
      </c>
      <c r="D71" s="52">
        <f>SUM($D70:D70)</f>
        <v>296085.09</v>
      </c>
      <c r="E71" s="52">
        <f>SUM($D70:E70)</f>
        <v>355009.28472170664</v>
      </c>
      <c r="F71" s="52">
        <f>SUM($D70:F70)</f>
        <v>409791.9538292828</v>
      </c>
      <c r="G71" s="52">
        <f>SUM($D70:G70)</f>
        <v>500412.93086440477</v>
      </c>
      <c r="H71" s="52">
        <f>SUM($D70:H70)</f>
        <v>554222.351336787</v>
      </c>
      <c r="I71" s="52">
        <f>SUM($D70:I70)</f>
        <v>591078.6826663504</v>
      </c>
      <c r="J71" s="52">
        <f>SUM($D70:J70)</f>
        <v>663949.7268473974</v>
      </c>
      <c r="K71" s="52">
        <f>SUM($D70:K70)</f>
        <v>699123.504949055</v>
      </c>
      <c r="L71" s="52">
        <f>SUM($D70:L70)</f>
        <v>740184.2423715546</v>
      </c>
      <c r="M71" s="52">
        <f>SUM($D70:M70)</f>
        <v>791103.9000048891</v>
      </c>
      <c r="N71" s="52">
        <f>SUM($D70:N70)</f>
        <v>817612.6509956527</v>
      </c>
    </row>
    <row r="72">
      <c r="B72" s="39" t="inlineStr">
        <is>
          <t>Аннуитет по году</t>
        </is>
      </c>
      <c r="C72" s="24" t="inlineStr">
        <is>
          <t>руб/ткм</t>
        </is>
      </c>
      <c r="D72" s="62" t="n"/>
      <c r="E72" s="62">
        <f>SUM($D70:E70)/SUM($E$6:E$6)/(SUM($E56:E56)/E$4)</f>
        <v>39.92045382046858</v>
      </c>
      <c r="F72" s="62">
        <f>SUM($D70:F70)/SUM($E$6:F$6)/(SUM($E56:F56)/F$4)</f>
        <v>24.783240932187358</v>
      </c>
      <c r="G72" s="62">
        <f>SUM($D70:G70)/SUM($E$6:G$6)/(SUM($E56:G56)/G$4)</f>
        <v>21.714584708255163</v>
      </c>
      <c r="H72" s="62">
        <f>SUM($D70:H70)/SUM($E$6:H$6)/(SUM($E56:H56)/H$4)</f>
        <v>19.00414485102969</v>
      </c>
      <c r="I72" s="62">
        <f>SUM($D70:I70)/SUM($E$6:I$6)/(SUM($E56:I56)/I$4)</f>
        <v>17.27688522137654</v>
      </c>
      <c r="J72" s="62">
        <f>SUM($D70:J70)/SUM($E$6:J$6)/(SUM($E56:J56)/J$4)</f>
        <v>16.976358655861667</v>
      </c>
      <c r="K72" s="62">
        <f>SUM($D70:K70)/SUM($E$6:K$6)/(SUM($E56:K56)/K$4)</f>
        <v>16.175769833781793</v>
      </c>
      <c r="L72" s="62">
        <f>SUM($D70:L70)/SUM($E$6:L$6)/(SUM($E56:L56)/L$4)</f>
        <v>15.702025838162053</v>
      </c>
      <c r="M72" s="62">
        <f>SUM($D70:M70)/SUM($E$6:M$6)/(SUM($E56:M56)/M$4)</f>
        <v>15.727741372373881</v>
      </c>
      <c r="N72" s="62">
        <f>SUM($D70:N70)/SUM($E$6:N$6)/(SUM($E56:N56)/N$4)</f>
        <v>15.331779764730054</v>
      </c>
    </row>
    <row r="74">
      <c r="B74" s="5" t="str">
        <f>"Вариант 4:  "&amp;'Ввод данных'!G7</f>
        <v>Вариант 4:  TZCO TZE240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B75" s="22" t="inlineStr">
        <is>
          <t>КТГ</t>
        </is>
      </c>
      <c r="C75" s="24" t="inlineStr">
        <is>
          <t>коэф.</t>
        </is>
      </c>
      <c r="D75" s="55" t="n"/>
      <c r="E75" s="55">
        <f>'Данные по годам'!E16</f>
        <v>0.8994</v>
      </c>
      <c r="F75" s="55">
        <f>'Данные по годам'!F16</f>
        <v>0.8743</v>
      </c>
      <c r="G75" s="55">
        <f>'Данные по годам'!G16</f>
        <v>0.7653</v>
      </c>
      <c r="H75" s="55">
        <f>'Данные по годам'!H16</f>
        <v>0.8743</v>
      </c>
      <c r="I75" s="55">
        <f>'Данные по годам'!I16</f>
        <v>0.8994</v>
      </c>
      <c r="J75" s="55">
        <f>'Данные по годам'!J16</f>
        <v>0.7396</v>
      </c>
      <c r="K75" s="55">
        <f>'Данные по годам'!K16</f>
        <v>0.8994</v>
      </c>
      <c r="L75" s="55">
        <f>'Данные по годам'!L16</f>
        <v>0.8743</v>
      </c>
      <c r="M75" s="55">
        <f>'Данные по годам'!M16</f>
        <v>0.8994</v>
      </c>
      <c r="N75" s="55">
        <f>'Данные по годам'!N16</f>
        <v>0.8743</v>
      </c>
    </row>
    <row r="76">
      <c r="B76" s="22" t="inlineStr">
        <is>
          <t>Эффективное время</t>
        </is>
      </c>
      <c r="C76" s="24" t="inlineStr">
        <is>
          <t>час/год</t>
        </is>
      </c>
      <c r="D76" s="52" t="n"/>
      <c r="E76" s="52">
        <f>'Параметры'!C26*E75*(1-102.38/(60*'Параметры'!C27))</f>
        <v>6758.4303740000005</v>
      </c>
      <c r="F76" s="52">
        <f>'Параметры'!C26*F75*(1-102.38/(60*'Параметры'!C27))</f>
        <v>6569.819519666667</v>
      </c>
      <c r="G76" s="52">
        <f>'Параметры'!C26*G75*(1-102.38/(60*'Параметры'!C27))</f>
        <v>5750.752463000001</v>
      </c>
      <c r="H76" s="52">
        <f>'Параметры'!C26*H75*(1-102.38/(60*'Параметры'!C27))</f>
        <v>6569.819519666667</v>
      </c>
      <c r="I76" s="52">
        <f>'Параметры'!C26*I75*(1-102.38/(60*'Параметры'!C27))</f>
        <v>6758.4303740000005</v>
      </c>
      <c r="J76" s="52">
        <f>'Параметры'!C26*J75*(1-102.38/(60*'Параметры'!C27))</f>
        <v>5557.632982666668</v>
      </c>
      <c r="K76" s="52">
        <f>'Параметры'!C26*K75*(1-102.38/(60*'Параметры'!C27))</f>
        <v>6758.4303740000005</v>
      </c>
      <c r="L76" s="52">
        <f>'Параметры'!C26*L75*(1-102.38/(60*'Параметры'!C27))</f>
        <v>6569.819519666667</v>
      </c>
      <c r="M76" s="52">
        <f>'Параметры'!C26*M75*(1-102.38/(60*'Параметры'!C27))</f>
        <v>6758.4303740000005</v>
      </c>
      <c r="N76" s="52">
        <f>'Параметры'!C26*N75*(1-102.38/(60*'Параметры'!C27))</f>
        <v>6569.819519666667</v>
      </c>
    </row>
    <row r="77">
      <c r="B77" s="22" t="inlineStr">
        <is>
          <t>Объём перевозки</t>
        </is>
      </c>
      <c r="C77" s="24" t="inlineStr">
        <is>
          <t>тыс.т</t>
        </is>
      </c>
      <c r="D77" s="52" t="n"/>
      <c r="E77" s="52">
        <f>'Производительность'!G9*E76/1000</f>
        <v>2932.9223735887444</v>
      </c>
      <c r="F77" s="52">
        <f>'Производительность'!G9*F76/1000</f>
        <v>2851.071860383188</v>
      </c>
      <c r="G77" s="52">
        <f>'Производительность'!G9*G76/1000</f>
        <v>2495.6254086140384</v>
      </c>
      <c r="H77" s="52">
        <f>'Производительность'!G9*H76/1000</f>
        <v>2851.071860383188</v>
      </c>
      <c r="I77" s="52">
        <f>'Производительность'!G9*I76/1000</f>
        <v>2932.9223735887444</v>
      </c>
      <c r="J77" s="52">
        <f>'Производительность'!G9*J76/1000</f>
        <v>2411.8183094354413</v>
      </c>
      <c r="K77" s="52">
        <f>'Производительность'!G9*K76/1000</f>
        <v>2932.9223735887444</v>
      </c>
      <c r="L77" s="52">
        <f>'Производительность'!G9*L76/1000</f>
        <v>2851.071860383188</v>
      </c>
      <c r="M77" s="52">
        <f>'Производительность'!G9*M76/1000</f>
        <v>2932.9223735887444</v>
      </c>
      <c r="N77" s="52">
        <f>'Производительность'!G9*N76/1000</f>
        <v>2851.071860383188</v>
      </c>
    </row>
    <row r="78">
      <c r="B78" s="22" t="inlineStr">
        <is>
          <t>Грузооборот</t>
        </is>
      </c>
      <c r="C78" s="24" t="inlineStr">
        <is>
          <t>тыс.ткм</t>
        </is>
      </c>
      <c r="D78" s="52" t="n"/>
      <c r="E78" s="52">
        <f>E77*'Ввод данных'!G18</f>
        <v>11963.390361868487</v>
      </c>
      <c r="F78" s="52">
        <f>F77*'Ввод данных'!G18</f>
        <v>11629.522118503022</v>
      </c>
      <c r="G78" s="52">
        <f>G77*'Ввод данных'!G18</f>
        <v>10179.656041736662</v>
      </c>
      <c r="H78" s="52">
        <f>H77*'Ввод данных'!G18</f>
        <v>11629.522118503022</v>
      </c>
      <c r="I78" s="52">
        <f>I77*'Ввод данных'!G18</f>
        <v>11963.390361868487</v>
      </c>
      <c r="J78" s="52">
        <f>J77*'Ввод данных'!G18</f>
        <v>9837.806884187165</v>
      </c>
      <c r="K78" s="52">
        <f>K77*'Ввод данных'!G18</f>
        <v>11963.390361868487</v>
      </c>
      <c r="L78" s="52">
        <f>L77*'Ввод данных'!G18</f>
        <v>11629.522118503022</v>
      </c>
      <c r="M78" s="52">
        <f>M77*'Ввод данных'!G18</f>
        <v>11963.390361868487</v>
      </c>
      <c r="N78" s="52">
        <f>N77*'Ввод данных'!G18</f>
        <v>11629.522118503022</v>
      </c>
    </row>
    <row r="79">
      <c r="B79" s="22" t="inlineStr">
        <is>
          <t>Пробег</t>
        </is>
      </c>
      <c r="C79" s="24" t="inlineStr">
        <is>
          <t>тыс.км</t>
        </is>
      </c>
      <c r="D79" s="52" t="n"/>
      <c r="E79" s="52">
        <f>'Производительность'!G8*E76*2*'Ввод данных'!G18/1000</f>
        <v>109.56418780966224</v>
      </c>
      <c r="F79" s="52">
        <f>'Производительность'!G8*F76*2*'Ввод данных'!G18/1000</f>
        <v>106.50652590836967</v>
      </c>
      <c r="G79" s="52">
        <f>'Производительность'!G8*G76*2*'Ввод данных'!G18/1000</f>
        <v>93.22823318960921</v>
      </c>
      <c r="H79" s="52">
        <f>'Производительность'!G8*H76*2*'Ввод данных'!G18/1000</f>
        <v>106.50652590836967</v>
      </c>
      <c r="I79" s="52">
        <f>'Производительность'!G8*I76*2*'Ввод данных'!G18/1000</f>
        <v>109.56418780966224</v>
      </c>
      <c r="J79" s="52">
        <f>'Производительность'!G8*J76*2*'Ввод данных'!G18/1000</f>
        <v>90.09747976876385</v>
      </c>
      <c r="K79" s="52">
        <f>'Производительность'!G8*K76*2*'Ввод данных'!G18/1000</f>
        <v>109.56418780966224</v>
      </c>
      <c r="L79" s="52">
        <f>'Производительность'!G8*L76*2*'Ввод данных'!G18/1000</f>
        <v>106.50652590836967</v>
      </c>
      <c r="M79" s="52">
        <f>'Производительность'!G8*M76*2*'Ввод данных'!G18/1000</f>
        <v>109.56418780966224</v>
      </c>
      <c r="N79" s="52">
        <f>'Производительность'!G8*N76*2*'Ввод данных'!G18/1000</f>
        <v>106.50652590836967</v>
      </c>
    </row>
    <row r="80">
      <c r="B80" s="22" t="inlineStr">
        <is>
          <t>Топливо</t>
        </is>
      </c>
      <c r="C80" s="24" t="inlineStr">
        <is>
          <t>тыс.руб</t>
        </is>
      </c>
      <c r="D80" s="52" t="n"/>
      <c r="E80" s="52">
        <f>E78*'Параметры'!C32/1000*'Параметры'!C10*(1+'Параметры'!C14)^(E$4-1)</f>
        <v>61921.18775473535</v>
      </c>
      <c r="F80" s="52">
        <f>F78*'Параметры'!C32/1000*'Параметры'!C10*(1+'Параметры'!C14)^(F$4-1)</f>
        <v>60193.122586129764</v>
      </c>
      <c r="G80" s="52">
        <f>G78*'Параметры'!C32/1000*'Параметры'!C10*(1+'Параметры'!C14)^(G$4-1)</f>
        <v>52688.77583800196</v>
      </c>
      <c r="H80" s="52">
        <f>H78*'Параметры'!C32/1000*'Параметры'!C10*(1+'Параметры'!C14)^(H$4-1)</f>
        <v>60193.122586129764</v>
      </c>
      <c r="I80" s="52">
        <f>I78*'Параметры'!C32/1000*'Параметры'!C10*(1+'Параметры'!C14)^(I$4-1)</f>
        <v>61921.18775473535</v>
      </c>
      <c r="J80" s="52">
        <f>J78*'Параметры'!C32/1000*'Параметры'!C10*(1+'Параметры'!C14)^(J$4-1)</f>
        <v>50919.40233867276</v>
      </c>
      <c r="K80" s="52">
        <f>K78*'Параметры'!C32/1000*'Параметры'!C10*(1+'Параметры'!C14)^(K$4-1)</f>
        <v>61921.18775473535</v>
      </c>
      <c r="L80" s="52">
        <f>L78*'Параметры'!C32/1000*'Параметры'!C10*(1+'Параметры'!C14)^(L$4-1)</f>
        <v>60193.122586129764</v>
      </c>
      <c r="M80" s="52">
        <f>M78*'Параметры'!C32/1000*'Параметры'!C10*(1+'Параметры'!C14)^(M$4-1)</f>
        <v>61921.18775473535</v>
      </c>
      <c r="N80" s="52">
        <f>N78*'Параметры'!C32/1000*'Параметры'!C10*(1+'Параметры'!C14)^(N$4-1)</f>
        <v>60193.122586129764</v>
      </c>
    </row>
    <row r="81">
      <c r="B81" s="22" t="inlineStr">
        <is>
          <t>ТОиР и сервис (по годам)</t>
        </is>
      </c>
      <c r="C81" s="24" t="inlineStr">
        <is>
          <t>тыс.руб</t>
        </is>
      </c>
      <c r="D81" s="52" t="n"/>
      <c r="E81" s="52">
        <f>'Данные по годам'!E17*IF('Данные по годам'!$D$17="CNY",'Параметры'!C20,IF('Данные по годам'!$D$17="USD",'Параметры'!C21,IF('Данные по годам'!$D$17="EUR",'Параметры'!C22,1)))</f>
        <v>27664.106879221858</v>
      </c>
      <c r="F81" s="52">
        <f>'Данные по годам'!F17*IF('Данные по годам'!$D$17="CNY",'Параметры'!C20,IF('Данные по годам'!$D$17="USD",'Параметры'!C21,IF('Данные по годам'!$D$17="EUR",'Параметры'!C22,1)))</f>
        <v>35435.59487267012</v>
      </c>
      <c r="G81" s="52">
        <f>'Данные по годам'!G17*IF('Данные по годам'!$D$17="CNY",'Параметры'!C20,IF('Данные по годам'!$D$17="USD",'Параметры'!C21,IF('Данные по годам'!$D$17="EUR",'Параметры'!C22,1)))</f>
        <v>139797.9781547838</v>
      </c>
      <c r="H81" s="52">
        <f>'Данные по годам'!H17*IF('Данные по годам'!$D$17="CNY",'Параметры'!C20,IF('Данные по годам'!$D$17="USD",'Параметры'!C21,IF('Данные по годам'!$D$17="EUR",'Параметры'!C22,1)))</f>
        <v>62790.39625716188</v>
      </c>
      <c r="I81" s="52">
        <f>'Данные по годам'!I17*IF('Данные по годам'!$D$17="CNY",'Параметры'!C20,IF('Данные по годам'!$D$17="USD",'Параметры'!C21,IF('Данные по годам'!$D$17="EUR",'Параметры'!C22,1)))</f>
        <v>33833.36307302089</v>
      </c>
      <c r="J81" s="52">
        <f>'Данные по годам'!J17*IF('Данные по годам'!$D$17="CNY",'Параметры'!C20,IF('Данные по годам'!$D$17="USD",'Параметры'!C21,IF('Данные по годам'!$D$17="EUR",'Параметры'!C22,1)))</f>
        <v>141714.6537866911</v>
      </c>
      <c r="K81" s="52">
        <f>'Данные по годам'!K17*IF('Данные по годам'!$D$17="CNY",'Параметры'!C20,IF('Данные по годам'!$D$17="USD",'Параметры'!C21,IF('Данные по годам'!$D$17="EUR",'Параметры'!C22,1)))</f>
        <v>29328.638546221602</v>
      </c>
      <c r="L81" s="52">
        <f>'Данные по годам'!L17*IF('Данные по годам'!$D$17="CNY",'Параметры'!C20,IF('Данные по годам'!$D$17="USD",'Параметры'!C21,IF('Данные по годам'!$D$17="EUR",'Параметры'!C22,1)))</f>
        <v>66980.67695170309</v>
      </c>
      <c r="M81" s="52">
        <f>'Данные по годам'!M17*IF('Данные по годам'!$D$17="CNY",'Параметры'!C20,IF('Данные по годам'!$D$17="USD",'Параметры'!C21,IF('Данные по годам'!$D$17="EUR",'Параметры'!C22,1)))</f>
        <v>140112.4219870419</v>
      </c>
      <c r="N81" s="52">
        <f>'Данные по годам'!N17*IF('Данные по годам'!$D$17="CNY",'Параметры'!C20,IF('Данные по годам'!$D$17="USD",'Параметры'!C21,IF('Данные по годам'!$D$17="EUR",'Параметры'!C22,1)))</f>
        <v>35435.59487267012</v>
      </c>
    </row>
    <row r="82">
      <c r="B82" s="22" t="inlineStr">
        <is>
          <t>Шины</t>
        </is>
      </c>
      <c r="C82" s="24" t="inlineStr">
        <is>
          <t>тыс.руб</t>
        </is>
      </c>
      <c r="D82" s="52" t="n"/>
      <c r="E82" s="52">
        <f>E79*'Параметры'!C36*'Параметры'!C37*(1+'Параметры'!C15)^(E$4-1)</f>
        <v>18415.208380680695</v>
      </c>
      <c r="F82" s="52">
        <f>F79*'Параметры'!C36*'Параметры'!C37*(1+'Параметры'!C15)^(F$4-1)</f>
        <v>17901.286065409306</v>
      </c>
      <c r="G82" s="52">
        <f>G79*'Параметры'!C36*'Параметры'!C37*(1+'Параметры'!C15)^(G$4-1)</f>
        <v>15669.511867617231</v>
      </c>
      <c r="H82" s="52">
        <f>H79*'Параметры'!C36*'Параметры'!C37*(1+'Параметры'!C15)^(H$4-1)</f>
        <v>17901.286065409306</v>
      </c>
      <c r="I82" s="52">
        <f>I79*'Параметры'!C36*'Параметры'!C37*(1+'Параметры'!C15)^(I$4-1)</f>
        <v>18415.208380680695</v>
      </c>
      <c r="J82" s="52">
        <f>J79*'Параметры'!C36*'Параметры'!C37*(1+'Параметры'!C15)^(J$4-1)</f>
        <v>15143.304556761668</v>
      </c>
      <c r="K82" s="52">
        <f>K79*'Параметры'!C36*'Параметры'!C37*(1+'Параметры'!C15)^(K$4-1)</f>
        <v>18415.208380680695</v>
      </c>
      <c r="L82" s="52">
        <f>L79*'Параметры'!C36*'Параметры'!C37*(1+'Параметры'!C15)^(L$4-1)</f>
        <v>17901.286065409306</v>
      </c>
      <c r="M82" s="52">
        <f>M79*'Параметры'!C36*'Параметры'!C37*(1+'Параметры'!C15)^(M$4-1)</f>
        <v>18415.208380680695</v>
      </c>
      <c r="N82" s="52">
        <f>N79*'Параметры'!C36*'Параметры'!C37*(1+'Параметры'!C15)^(N$4-1)</f>
        <v>17901.286065409306</v>
      </c>
    </row>
    <row r="83">
      <c r="B83" s="22" t="inlineStr">
        <is>
          <t>Персонал</t>
        </is>
      </c>
      <c r="C83" s="24" t="inlineStr">
        <is>
          <t>тыс.руб</t>
        </is>
      </c>
      <c r="D83" s="52" t="n"/>
      <c r="E83" s="52">
        <f>'Ввод данных'!G20*(1+'Параметры'!C16)^(E$4-1)</f>
        <v>18475.6</v>
      </c>
      <c r="F83" s="52">
        <f>'Ввод данных'!G20*(1+'Параметры'!C16)^(F$4-1)</f>
        <v>18475.6</v>
      </c>
      <c r="G83" s="52">
        <f>'Ввод данных'!G20*(1+'Параметры'!C16)^(G$4-1)</f>
        <v>18475.6</v>
      </c>
      <c r="H83" s="52">
        <f>'Ввод данных'!G20*(1+'Параметры'!C16)^(H$4-1)</f>
        <v>18475.6</v>
      </c>
      <c r="I83" s="52">
        <f>'Ввод данных'!G20*(1+'Параметры'!C16)^(I$4-1)</f>
        <v>18475.6</v>
      </c>
      <c r="J83" s="52">
        <f>'Ввод данных'!G20*(1+'Параметры'!C16)^(J$4-1)</f>
        <v>18475.6</v>
      </c>
      <c r="K83" s="52">
        <f>'Ввод данных'!G20*(1+'Параметры'!C16)^(K$4-1)</f>
        <v>18475.6</v>
      </c>
      <c r="L83" s="52">
        <f>'Ввод данных'!G20*(1+'Параметры'!C16)^(L$4-1)</f>
        <v>18475.6</v>
      </c>
      <c r="M83" s="52">
        <f>'Ввод данных'!G20*(1+'Параметры'!C16)^(M$4-1)</f>
        <v>18475.6</v>
      </c>
      <c r="N83" s="52">
        <f>'Ввод данных'!G20*(1+'Параметры'!C16)^(N$4-1)</f>
        <v>18475.6</v>
      </c>
    </row>
    <row r="84">
      <c r="B84" s="22" t="inlineStr">
        <is>
          <t>Транспортный налог</t>
        </is>
      </c>
      <c r="C84" s="24" t="inlineStr">
        <is>
          <t>тыс.руб</t>
        </is>
      </c>
      <c r="D84" s="52" t="n"/>
      <c r="E84" s="52">
        <f>'Ввод данных'!G21*'Параметры'!C41/1000</f>
        <v>212.5</v>
      </c>
      <c r="F84" s="52">
        <f>'Ввод данных'!G21*'Параметры'!C41/1000</f>
        <v>212.5</v>
      </c>
      <c r="G84" s="52">
        <f>'Ввод данных'!G21*'Параметры'!C41/1000</f>
        <v>212.5</v>
      </c>
      <c r="H84" s="52">
        <f>'Ввод данных'!G21*'Параметры'!C41/1000</f>
        <v>212.5</v>
      </c>
      <c r="I84" s="52">
        <f>'Ввод данных'!G21*'Параметры'!C41/1000</f>
        <v>212.5</v>
      </c>
      <c r="J84" s="52">
        <f>'Ввод данных'!G21*'Параметры'!C41/1000</f>
        <v>212.5</v>
      </c>
      <c r="K84" s="52">
        <f>'Ввод данных'!G21*'Параметры'!C41/1000</f>
        <v>212.5</v>
      </c>
      <c r="L84" s="52">
        <f>'Ввод данных'!G21*'Параметры'!C41/1000</f>
        <v>212.5</v>
      </c>
      <c r="M84" s="52">
        <f>'Ввод данных'!G21*'Параметры'!C41/1000</f>
        <v>212.5</v>
      </c>
      <c r="N84" s="52">
        <f>'Ввод данных'!G21*'Параметры'!C41/1000</f>
        <v>212.5</v>
      </c>
    </row>
    <row r="85">
      <c r="B85" s="22" t="inlineStr">
        <is>
          <t>Итого денежные затраты</t>
        </is>
      </c>
      <c r="C85" s="24" t="inlineStr">
        <is>
          <t>тыс.руб</t>
        </is>
      </c>
      <c r="D85" s="52" t="n"/>
      <c r="E85" s="61">
        <f>E80+E81+E82+E83+E84</f>
        <v>126688.60301463789</v>
      </c>
      <c r="F85" s="61">
        <f>F80+F81+F82+F83+F84</f>
        <v>132218.1035242092</v>
      </c>
      <c r="G85" s="61">
        <f>G80+G81+G82+G83+G84</f>
        <v>226844.365860403</v>
      </c>
      <c r="H85" s="61">
        <f>H80+H81+H82+H83+H84</f>
        <v>159572.90490870096</v>
      </c>
      <c r="I85" s="61">
        <f>I80+I81+I82+I83+I84</f>
        <v>132857.85920843692</v>
      </c>
      <c r="J85" s="61">
        <f>J80+J81+J82+J83+J84</f>
        <v>226465.46068212553</v>
      </c>
      <c r="K85" s="61">
        <f>K80+K81+K82+K83+K84</f>
        <v>128353.13468163763</v>
      </c>
      <c r="L85" s="61">
        <f>L80+L81+L82+L83+L84</f>
        <v>163763.18560324216</v>
      </c>
      <c r="M85" s="61">
        <f>M80+M81+M82+M83+M84</f>
        <v>239136.91812245795</v>
      </c>
      <c r="N85" s="61">
        <f>N80+N81+N82+N83+N84</f>
        <v>132218.1035242092</v>
      </c>
    </row>
    <row r="86">
      <c r="B86" s="22" t="inlineStr">
        <is>
          <t>Амортизация (НУ)</t>
        </is>
      </c>
      <c r="C86" s="24" t="inlineStr">
        <is>
          <t>тыс.руб</t>
        </is>
      </c>
      <c r="D86" s="52" t="n"/>
      <c r="E86" s="52">
        <f>IF(E$4&lt;=INT('Параметры'!C9),'Производительность'!G5/'Параметры'!C9,IF(E$4=INT('Параметры'!C9)+1,'Производительность'!G5*('Параметры'!C9-INT('Параметры'!C9))/'Параметры'!C9,0))</f>
        <v>59587.55852842809</v>
      </c>
      <c r="F86" s="52">
        <f>IF(F$4&lt;=INT('Параметры'!C9),'Производительность'!G5/'Параметры'!C9,IF(F$4=INT('Параметры'!C9)+1,'Производительность'!G5*('Параметры'!C9-INT('Параметры'!C9))/'Параметры'!C9,0))</f>
        <v>59587.55852842809</v>
      </c>
      <c r="G86" s="52">
        <f>IF(G$4&lt;=INT('Параметры'!C9),'Производительность'!G5/'Параметры'!C9,IF(G$4=INT('Параметры'!C9)+1,'Производительность'!G5*('Параметры'!C9-INT('Параметры'!C9))/'Параметры'!C9,0))</f>
        <v>59587.55852842809</v>
      </c>
      <c r="H86" s="52">
        <f>IF(H$4&lt;=INT('Параметры'!C9),'Производительность'!G5/'Параметры'!C9,IF(H$4=INT('Параметры'!C9)+1,'Производительность'!G5*('Параметры'!C9-INT('Параметры'!C9))/'Параметры'!C9,0))</f>
        <v>59587.55852842809</v>
      </c>
      <c r="I86" s="52">
        <f>IF(I$4&lt;=INT('Параметры'!C9),'Производительность'!G5/'Параметры'!C9,IF(I$4=INT('Параметры'!C9)+1,'Производительность'!G5*('Параметры'!C9-INT('Параметры'!C9))/'Параметры'!C9,0))</f>
        <v>59587.55852842809</v>
      </c>
      <c r="J86" s="52">
        <f>IF(J$4&lt;=INT('Параметры'!C9),'Производительность'!G5/'Параметры'!C9,IF(J$4=INT('Параметры'!C9)+1,'Производительность'!G5*('Параметры'!C9-INT('Параметры'!C9))/'Параметры'!C9,0))</f>
        <v>4945.767357859542</v>
      </c>
      <c r="K86" s="52">
        <f>IF(K$4&lt;=INT('Параметры'!C9),'Производительность'!G5/'Параметры'!C9,IF(K$4=INT('Параметры'!C9)+1,'Производительность'!G5*('Параметры'!C9-INT('Параметры'!C9))/'Параметры'!C9,0))</f>
        <v>0.0</v>
      </c>
      <c r="L86" s="52">
        <f>IF(L$4&lt;=INT('Параметры'!C9),'Производительность'!G5/'Параметры'!C9,IF(L$4=INT('Параметры'!C9)+1,'Производительность'!G5*('Параметры'!C9-INT('Параметры'!C9))/'Параметры'!C9,0))</f>
        <v>0.0</v>
      </c>
      <c r="M86" s="52">
        <f>IF(M$4&lt;=INT('Параметры'!C9),'Производительность'!G5/'Параметры'!C9,IF(M$4=INT('Параметры'!C9)+1,'Производительность'!G5*('Параметры'!C9-INT('Параметры'!C9))/'Параметры'!C9,0))</f>
        <v>0.0</v>
      </c>
      <c r="N86" s="52">
        <f>IF(N$4&lt;=INT('Параметры'!C9),'Производительность'!G5/'Параметры'!C9,IF(N$4=INT('Параметры'!C9)+1,'Производительность'!G5*('Параметры'!C9-INT('Параметры'!C9))/'Параметры'!C9,0))</f>
        <v>0.0</v>
      </c>
    </row>
    <row r="87">
      <c r="B87" s="22" t="inlineStr">
        <is>
          <t>Налогооблагаемая база</t>
        </is>
      </c>
      <c r="C87" s="24" t="inlineStr">
        <is>
          <t>тыс.руб</t>
        </is>
      </c>
      <c r="D87" s="52" t="n"/>
      <c r="E87" s="52">
        <f>E85+E86</f>
        <v>186276.16154306597</v>
      </c>
      <c r="F87" s="52">
        <f>F85+F86</f>
        <v>191805.6620526373</v>
      </c>
      <c r="G87" s="52">
        <f>G85+G86</f>
        <v>286431.9243888311</v>
      </c>
      <c r="H87" s="52">
        <f>H85+H86</f>
        <v>219160.46343712904</v>
      </c>
      <c r="I87" s="52">
        <f>I85+I86</f>
        <v>192445.417736865</v>
      </c>
      <c r="J87" s="52">
        <f>J85+J86</f>
        <v>231411.22803998506</v>
      </c>
      <c r="K87" s="52">
        <f>K85+K86</f>
        <v>128353.13468163763</v>
      </c>
      <c r="L87" s="52">
        <f>L85+L86</f>
        <v>163763.18560324216</v>
      </c>
      <c r="M87" s="52">
        <f>M85+M86</f>
        <v>239136.91812245795</v>
      </c>
      <c r="N87" s="52">
        <f>N85+N86</f>
        <v>132218.1035242092</v>
      </c>
    </row>
    <row r="88">
      <c r="B88" s="22" t="inlineStr">
        <is>
          <t>Налог на прибыль (щит)</t>
        </is>
      </c>
      <c r="C88" s="24" t="inlineStr">
        <is>
          <t>тыс.руб</t>
        </is>
      </c>
      <c r="D88" s="52" t="n"/>
      <c r="E88" s="52">
        <f>-E87*'Параметры'!C7</f>
        <v>-46569.04038576649</v>
      </c>
      <c r="F88" s="52">
        <f>-F87*'Параметры'!C7</f>
        <v>-47951.41551315932</v>
      </c>
      <c r="G88" s="52">
        <f>-G87*'Параметры'!C7</f>
        <v>-71607.98109720777</v>
      </c>
      <c r="H88" s="52">
        <f>-H87*'Параметры'!C7</f>
        <v>-54790.11585928226</v>
      </c>
      <c r="I88" s="52">
        <f>-I87*'Параметры'!C7</f>
        <v>-48111.35443421625</v>
      </c>
      <c r="J88" s="52">
        <f>-J87*'Параметры'!C7</f>
        <v>-57852.807009996264</v>
      </c>
      <c r="K88" s="52">
        <f>-K87*'Параметры'!C7</f>
        <v>-32088.283670409408</v>
      </c>
      <c r="L88" s="52">
        <f>-L87*'Параметры'!C7</f>
        <v>-40940.79640081054</v>
      </c>
      <c r="M88" s="52">
        <f>-M87*'Параметры'!C7</f>
        <v>-59784.22953061449</v>
      </c>
      <c r="N88" s="52">
        <f>-N87*'Параметры'!C7</f>
        <v>-33054.5258810523</v>
      </c>
    </row>
    <row r="89">
      <c r="B89" s="22" t="inlineStr">
        <is>
          <t>Операц. денежный поток</t>
        </is>
      </c>
      <c r="C89" s="24" t="inlineStr">
        <is>
          <t>тыс.руб</t>
        </is>
      </c>
      <c r="D89" s="52" t="n"/>
      <c r="E89" s="61">
        <f>E87+E88-E86</f>
        <v>80119.56262887141</v>
      </c>
      <c r="F89" s="61">
        <f>F87+F88-F86</f>
        <v>84266.68801104988</v>
      </c>
      <c r="G89" s="61">
        <f>G87+G88-G86</f>
        <v>155236.38476319524</v>
      </c>
      <c r="H89" s="61">
        <f>H87+H88-H86</f>
        <v>104782.7890494187</v>
      </c>
      <c r="I89" s="61">
        <f>I87+I88-I86</f>
        <v>84746.50477422067</v>
      </c>
      <c r="J89" s="61">
        <f>J87+J88-J86</f>
        <v>168612.65367212927</v>
      </c>
      <c r="K89" s="61">
        <f>K87+K88-K86</f>
        <v>96264.85101122822</v>
      </c>
      <c r="L89" s="61">
        <f>L87+L88-L86</f>
        <v>122822.38920243163</v>
      </c>
      <c r="M89" s="61">
        <f>M87+M88-M86</f>
        <v>179352.68859184347</v>
      </c>
      <c r="N89" s="61">
        <f>N87+N88-N86</f>
        <v>99163.5776431569</v>
      </c>
    </row>
    <row r="90">
      <c r="B90" s="22" t="inlineStr">
        <is>
          <t>Инвестиции / остаточная ст-ть</t>
        </is>
      </c>
      <c r="C90" s="24" t="inlineStr">
        <is>
          <t>тыс.руб</t>
        </is>
      </c>
      <c r="D90" s="52">
        <f>IF(D$4=0,'Производительность'!G5,IF(D$4='Параметры'!C8,-'Ввод данных'!G14*'Производительность'!G5,0))</f>
        <v>302883.56</v>
      </c>
      <c r="E90" s="52">
        <f>IF(E$4=0,'Производительность'!G5,IF(E$4='Параметры'!C8,-'Ввод данных'!G14*'Производительность'!G5,0))</f>
        <v>0.0</v>
      </c>
      <c r="F90" s="52">
        <f>IF(F$4=0,'Производительность'!G5,IF(F$4='Параметры'!C8,-'Ввод данных'!G14*'Производительность'!G5,0))</f>
        <v>0.0</v>
      </c>
      <c r="G90" s="52">
        <f>IF(G$4=0,'Производительность'!G5,IF(G$4='Параметры'!C8,-'Ввод данных'!G14*'Производительность'!G5,0))</f>
        <v>0.0</v>
      </c>
      <c r="H90" s="52">
        <f>IF(H$4=0,'Производительность'!G5,IF(H$4='Параметры'!C8,-'Ввод данных'!G14*'Производительность'!G5,0))</f>
        <v>0.0</v>
      </c>
      <c r="I90" s="52">
        <f>IF(I$4=0,'Производительность'!G5,IF(I$4='Параметры'!C8,-'Ввод данных'!G14*'Производительность'!G5,0))</f>
        <v>0.0</v>
      </c>
      <c r="J90" s="52">
        <f>IF(J$4=0,'Производительность'!G5,IF(J$4='Параметры'!C8,-'Ввод данных'!G14*'Производительность'!G5,0))</f>
        <v>0.0</v>
      </c>
      <c r="K90" s="52">
        <f>IF(K$4=0,'Производительность'!G5,IF(K$4='Параметры'!C8,-'Ввод данных'!G14*'Производительность'!G5,0))</f>
        <v>0.0</v>
      </c>
      <c r="L90" s="52">
        <f>IF(L$4=0,'Производительность'!G5,IF(L$4='Параметры'!C8,-'Ввод данных'!G14*'Производительность'!G5,0))</f>
        <v>0.0</v>
      </c>
      <c r="M90" s="52">
        <f>IF(M$4=0,'Производительность'!G5,IF(M$4='Параметры'!C8,-'Ввод данных'!G14*'Производительность'!G5,0))</f>
        <v>0.0</v>
      </c>
      <c r="N90" s="52">
        <f>IF(N$4=0,'Производительность'!G5,IF(N$4='Параметры'!C8,-'Ввод данных'!G14*'Производительность'!G5,0))</f>
        <v>-0.0</v>
      </c>
    </row>
    <row r="91">
      <c r="B91" s="22" t="inlineStr">
        <is>
          <t>Чистый денежный поток</t>
        </is>
      </c>
      <c r="C91" s="24" t="inlineStr">
        <is>
          <t>тыс.руб</t>
        </is>
      </c>
      <c r="D91" s="61">
        <f>0+D90</f>
        <v>302883.56</v>
      </c>
      <c r="E91" s="61">
        <f>E89+E90</f>
        <v>80119.56262887141</v>
      </c>
      <c r="F91" s="61">
        <f>F89+F90</f>
        <v>84266.68801104988</v>
      </c>
      <c r="G91" s="61">
        <f>G89+G90</f>
        <v>155236.38476319524</v>
      </c>
      <c r="H91" s="61">
        <f>H89+H90</f>
        <v>104782.7890494187</v>
      </c>
      <c r="I91" s="61">
        <f>I89+I90</f>
        <v>84746.50477422067</v>
      </c>
      <c r="J91" s="61">
        <f>J89+J90</f>
        <v>168612.65367212927</v>
      </c>
      <c r="K91" s="61">
        <f>K89+K90</f>
        <v>96264.85101122822</v>
      </c>
      <c r="L91" s="61">
        <f>L89+L90</f>
        <v>122822.38920243163</v>
      </c>
      <c r="M91" s="61">
        <f>M89+M90</f>
        <v>179352.68859184347</v>
      </c>
      <c r="N91" s="61">
        <f>N89+N90</f>
        <v>99163.5776431569</v>
      </c>
    </row>
    <row r="92">
      <c r="B92" s="22" t="inlineStr">
        <is>
          <t>Дисконтированный поток</t>
        </is>
      </c>
      <c r="C92" s="24" t="inlineStr">
        <is>
          <t>тыс.руб</t>
        </is>
      </c>
      <c r="D92" s="52">
        <f>D91*D$6</f>
        <v>302883.56</v>
      </c>
      <c r="E92" s="52">
        <f>E91*E$6</f>
        <v>71535.32377577804</v>
      </c>
      <c r="F92" s="52">
        <f>F91*F$6</f>
        <v>67176.88776391093</v>
      </c>
      <c r="G92" s="52">
        <f>G91*G$6</f>
        <v>110494.1924164051</v>
      </c>
      <c r="H92" s="52">
        <f>H91*H$6</f>
        <v>66591.35674658536</v>
      </c>
      <c r="I92" s="52">
        <f>I91*I$6</f>
        <v>48087.44273717728</v>
      </c>
      <c r="J92" s="52">
        <f>J91*J$6</f>
        <v>85424.41777459411</v>
      </c>
      <c r="K92" s="52">
        <f>K91*K$6</f>
        <v>43545.32981945203</v>
      </c>
      <c r="L92" s="52">
        <f>L91*L$6</f>
        <v>49605.90301921649</v>
      </c>
      <c r="M92" s="52">
        <f>M91*M$6</f>
        <v>64676.377513618114</v>
      </c>
      <c r="N92" s="52">
        <f>N91*N$6</f>
        <v>31928.01804568</v>
      </c>
    </row>
    <row r="93">
      <c r="B93" s="22" t="inlineStr">
        <is>
          <t>Кумул. дисконт. поток</t>
        </is>
      </c>
      <c r="C93" s="24" t="inlineStr">
        <is>
          <t>тыс.руб</t>
        </is>
      </c>
      <c r="D93" s="52">
        <f>SUM($D92:D92)</f>
        <v>302883.56</v>
      </c>
      <c r="E93" s="52">
        <f>SUM($D92:E92)</f>
        <v>374418.88377577806</v>
      </c>
      <c r="F93" s="52">
        <f>SUM($D92:F92)</f>
        <v>441595.771539689</v>
      </c>
      <c r="G93" s="52">
        <f>SUM($D92:G92)</f>
        <v>552089.9639560941</v>
      </c>
      <c r="H93" s="52">
        <f>SUM($D92:H92)</f>
        <v>618681.3207026795</v>
      </c>
      <c r="I93" s="52">
        <f>SUM($D92:I92)</f>
        <v>666768.7634398567</v>
      </c>
      <c r="J93" s="52">
        <f>SUM($D92:J92)</f>
        <v>752193.1812144509</v>
      </c>
      <c r="K93" s="52">
        <f>SUM($D92:K92)</f>
        <v>795738.5110339029</v>
      </c>
      <c r="L93" s="52">
        <f>SUM($D92:L92)</f>
        <v>845344.4140531194</v>
      </c>
      <c r="M93" s="52">
        <f>SUM($D92:M92)</f>
        <v>910020.7915667375</v>
      </c>
      <c r="N93" s="52">
        <f>SUM($D92:N92)</f>
        <v>941948.8096124175</v>
      </c>
    </row>
    <row r="94">
      <c r="B94" s="39" t="inlineStr">
        <is>
          <t>Аннуитет по году</t>
        </is>
      </c>
      <c r="C94" s="24" t="inlineStr">
        <is>
          <t>руб/ткм</t>
        </is>
      </c>
      <c r="D94" s="62" t="n"/>
      <c r="E94" s="62">
        <f>SUM($D92:E92)/SUM($E$6:E$6)/(SUM($E78:E78)/E$4)</f>
        <v>35.05270137848916</v>
      </c>
      <c r="F94" s="62">
        <f>SUM($D92:F92)/SUM($E$6:F$6)/(SUM($E78:F78)/F$4)</f>
        <v>22.14998975118909</v>
      </c>
      <c r="G94" s="62">
        <f>SUM($D92:G92)/SUM($E$6:G$6)/(SUM($E78:G78)/G$4)</f>
        <v>20.418532293726717</v>
      </c>
      <c r="H94" s="62">
        <f>SUM($D92:H92)/SUM($E$6:H$6)/(SUM($E78:H78)/H$4)</f>
        <v>17.945534489745196</v>
      </c>
      <c r="I94" s="62">
        <f>SUM($D92:I92)/SUM($E$6:I$6)/(SUM($E78:I78)/I$4)</f>
        <v>16.12190298940576</v>
      </c>
      <c r="J94" s="62">
        <f>SUM($D92:J92)/SUM($E$6:J$6)/(SUM($E78:J78)/J$4)</f>
        <v>16.33426571659957</v>
      </c>
      <c r="K94" s="62">
        <f>SUM($D92:K92)/SUM($E$6:K$6)/(SUM($E78:K78)/K$4)</f>
        <v>15.417129698423725</v>
      </c>
      <c r="L94" s="62">
        <f>SUM($D92:L92)/SUM($E$6:L$6)/(SUM($E78:L78)/L$4)</f>
        <v>14.993599450446341</v>
      </c>
      <c r="M94" s="62">
        <f>SUM($D92:M92)/SUM($E$6:M$6)/(SUM($E78:M78)/M$4)</f>
        <v>14.958459909570449</v>
      </c>
      <c r="N94" s="62">
        <f>SUM($D92:N92)/SUM($E$6:N$6)/(SUM($E78:N78)/N$4)</f>
        <v>14.573941400611949</v>
      </c>
    </row>
    <row r="96">
      <c r="B96" s="5" t="str">
        <f>"Вариант 5:  "&amp;'Ввод данных'!H7</f>
        <v>Вариант 5:  БелАЗ 7531
(ГПФК)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B97" s="22" t="inlineStr">
        <is>
          <t>КТГ</t>
        </is>
      </c>
      <c r="C97" s="24" t="inlineStr">
        <is>
          <t>коэф.</t>
        </is>
      </c>
      <c r="D97" s="55" t="n"/>
      <c r="E97" s="55">
        <f>'Данные по годам'!E19</f>
        <v>0.7503</v>
      </c>
      <c r="F97" s="55">
        <f>'Данные по годам'!F19</f>
        <v>0.7317</v>
      </c>
      <c r="G97" s="55">
        <f>'Данные по годам'!G19</f>
        <v>0.7142</v>
      </c>
      <c r="H97" s="55">
        <f>'Данные по годам'!H19</f>
        <v>0.7226</v>
      </c>
      <c r="I97" s="55">
        <f>'Данные по годам'!I19</f>
        <v>0.728</v>
      </c>
      <c r="J97" s="55">
        <f>'Данные по годам'!J19</f>
        <v>0.6992</v>
      </c>
      <c r="K97" s="55">
        <f>'Данные по годам'!K19</f>
        <v>0.7411</v>
      </c>
      <c r="L97" s="55">
        <f>'Данные по годам'!L19</f>
        <v>0.706</v>
      </c>
      <c r="M97" s="55">
        <f>'Данные по годам'!M19</f>
        <v>0.6955</v>
      </c>
      <c r="N97" s="55">
        <f>'Данные по годам'!N19</f>
        <v>0.7113</v>
      </c>
    </row>
    <row r="98">
      <c r="B98" s="22" t="inlineStr">
        <is>
          <t>Эффективное время</t>
        </is>
      </c>
      <c r="C98" s="24" t="inlineStr">
        <is>
          <t>час/год</t>
        </is>
      </c>
      <c r="D98" s="52" t="n"/>
      <c r="E98" s="52">
        <f>'Параметры'!C26*E97*(1-102.38/(60*'Параметры'!C27))</f>
        <v>5638.036813</v>
      </c>
      <c r="F98" s="52">
        <f>'Параметры'!C26*F97*(1-102.38/(60*'Параметры'!C27))</f>
        <v>5498.269407000001</v>
      </c>
      <c r="G98" s="52">
        <f>'Параметры'!C26*G97*(1-102.38/(60*'Параметры'!C27))</f>
        <v>5366.767815333334</v>
      </c>
      <c r="H98" s="52">
        <f>'Параметры'!C26*H97*(1-102.38/(60*'Параметры'!C27))</f>
        <v>5429.888579333334</v>
      </c>
      <c r="I98" s="52">
        <f>'Параметры'!C26*I97*(1-102.38/(60*'Параметры'!C27))</f>
        <v>5470.466213333333</v>
      </c>
      <c r="J98" s="52">
        <f>'Параметры'!C26*J97*(1-102.38/(60*'Параметры'!C27))</f>
        <v>5254.0521653333335</v>
      </c>
      <c r="K98" s="52">
        <f>'Параметры'!C26*K97*(1-102.38/(60*'Параметры'!C27))</f>
        <v>5568.904547666667</v>
      </c>
      <c r="L98" s="52">
        <f>'Параметры'!C26*L97*(1-102.38/(60*'Параметры'!C27))</f>
        <v>5305.149926666667</v>
      </c>
      <c r="M98" s="52">
        <f>'Параметры'!C26*M97*(1-102.38/(60*'Параметры'!C27))</f>
        <v>5226.248971666667</v>
      </c>
      <c r="N98" s="52">
        <f>'Параметры'!C26*N97*(1-102.38/(60*'Параметры'!C27))</f>
        <v>5344.976123</v>
      </c>
    </row>
    <row r="99">
      <c r="B99" s="22" t="inlineStr">
        <is>
          <t>Объём перевозки</t>
        </is>
      </c>
      <c r="C99" s="24" t="inlineStr">
        <is>
          <t>тыс.т</t>
        </is>
      </c>
      <c r="D99" s="52" t="n"/>
      <c r="E99" s="52">
        <f>'Производительность'!H9*E98/1000</f>
        <v>2423.8214952631733</v>
      </c>
      <c r="F99" s="52">
        <f>'Производительность'!H9*F98/1000</f>
        <v>2363.7347568760015</v>
      </c>
      <c r="G99" s="52">
        <f>'Производительность'!H9*G98/1000</f>
        <v>2307.2015352751678</v>
      </c>
      <c r="H99" s="52">
        <f>'Производительность'!H9*H98/1000</f>
        <v>2334.3374816435685</v>
      </c>
      <c r="I99" s="52">
        <f>'Производительность'!H9*I98/1000</f>
        <v>2351.782018594682</v>
      </c>
      <c r="J99" s="52">
        <f>'Производительность'!H9*J98/1000</f>
        <v>2258.744488188739</v>
      </c>
      <c r="K99" s="52">
        <f>'Производительность'!H9*K98/1000</f>
        <v>2394.1011730501637</v>
      </c>
      <c r="L99" s="52">
        <f>'Производительность'!H9*L98/1000</f>
        <v>2280.71168286792</v>
      </c>
      <c r="M99" s="52">
        <f>'Производительность'!H9*M98/1000</f>
        <v>2246.79174990742</v>
      </c>
      <c r="N99" s="52">
        <f>'Производительность'!H9*N98/1000</f>
        <v>2297.8331728384583</v>
      </c>
    </row>
    <row r="100">
      <c r="B100" s="22" t="inlineStr">
        <is>
          <t>Грузооборот</t>
        </is>
      </c>
      <c r="C100" s="24" t="inlineStr">
        <is>
          <t>тыс.ткм</t>
        </is>
      </c>
      <c r="D100" s="52" t="n"/>
      <c r="E100" s="52">
        <f>E99*'Ввод данных'!H18</f>
        <v>10296.393711877961</v>
      </c>
      <c r="F100" s="52">
        <f>F99*'Ввод данных'!H18</f>
        <v>10041.145247209255</v>
      </c>
      <c r="G100" s="52">
        <f>G99*'Ввод данных'!H18</f>
        <v>9800.992121848913</v>
      </c>
      <c r="H100" s="52">
        <f>H99*'Ввод данных'!H18</f>
        <v>9916.26562202188</v>
      </c>
      <c r="I100" s="52">
        <f>I99*'Ввод данных'!H18</f>
        <v>9990.37001499021</v>
      </c>
      <c r="J100" s="52">
        <f>J99*'Ввод данных'!H18</f>
        <v>9595.146585825763</v>
      </c>
      <c r="K100" s="52">
        <f>K99*'Ввод данных'!H18</f>
        <v>10170.141783117097</v>
      </c>
      <c r="L100" s="52">
        <f>L99*'Ввод данных'!H18</f>
        <v>9688.463228822924</v>
      </c>
      <c r="M100" s="52">
        <f>M99*'Ввод данных'!H18</f>
        <v>9544.37135360672</v>
      </c>
      <c r="N100" s="52">
        <f>N99*'Ввод данных'!H18</f>
        <v>9761.195318217771</v>
      </c>
    </row>
    <row r="101">
      <c r="B101" s="22" t="inlineStr">
        <is>
          <t>Пробег</t>
        </is>
      </c>
      <c r="C101" s="24" t="inlineStr">
        <is>
          <t>тыс.км</t>
        </is>
      </c>
      <c r="D101" s="52" t="n"/>
      <c r="E101" s="52">
        <f>'Производительность'!H8*E98*2*'Ввод данных'!H18/1000</f>
        <v>92.4238932289741</v>
      </c>
      <c r="F101" s="52">
        <f>'Производительность'!H8*F98*2*'Ввод данных'!H18/1000</f>
        <v>90.132697155325</v>
      </c>
      <c r="G101" s="52">
        <f>'Производительность'!H8*G98*2*'Ввод данных'!H18/1000</f>
        <v>87.97700192474117</v>
      </c>
      <c r="H101" s="52">
        <f>'Производительность'!H8*H98*2*'Ввод данных'!H18/1000</f>
        <v>89.01173563542142</v>
      </c>
      <c r="I101" s="52">
        <f>'Производительность'!H8*I98*2*'Ввод данных'!H18/1000</f>
        <v>89.67692159228727</v>
      </c>
      <c r="J101" s="52">
        <f>'Производительность'!H8*J98*2*'Ввод данных'!H18/1000</f>
        <v>86.12926315566932</v>
      </c>
      <c r="K101" s="52">
        <f>'Производительность'!H8*K98*2*'Ввод данных'!H18/1000</f>
        <v>91.29061345061002</v>
      </c>
      <c r="L101" s="52">
        <f>'Производительность'!H8*L98*2*'Ввод данных'!H18/1000</f>
        <v>86.9669047309819</v>
      </c>
      <c r="M101" s="52">
        <f>'Производительность'!H8*M98*2*'Ввод данных'!H18/1000</f>
        <v>85.67348759263159</v>
      </c>
      <c r="N101" s="52">
        <f>'Производительность'!H8*N98*2*'Ввод данных'!H18/1000</f>
        <v>87.61977242938728</v>
      </c>
    </row>
    <row r="102">
      <c r="B102" s="22" t="inlineStr">
        <is>
          <t>Топливо</t>
        </is>
      </c>
      <c r="C102" s="24" t="inlineStr">
        <is>
          <t>тыс.руб</t>
        </is>
      </c>
      <c r="D102" s="52" t="n"/>
      <c r="E102" s="52">
        <f>E100*'Параметры'!C32/1000*'Параметры'!C10*(1+'Параметры'!C14)^(E$4-1)</f>
        <v>53292.99713081455</v>
      </c>
      <c r="F102" s="52">
        <f>F100*'Параметры'!C32/1000*'Параметры'!C10*(1+'Параметры'!C14)^(F$4-1)</f>
        <v>51971.859257119824</v>
      </c>
      <c r="G102" s="52">
        <f>G100*'Параметры'!C32/1000*'Параметры'!C10*(1+'Параметры'!C14)^(G$4-1)</f>
        <v>50728.85319315973</v>
      </c>
      <c r="H102" s="52">
        <f>H100*'Параметры'!C32/1000*'Параметры'!C10*(1+'Параметры'!C14)^(H$4-1)</f>
        <v>51325.49610386058</v>
      </c>
      <c r="I102" s="52">
        <f>I100*'Параметры'!C32/1000*'Параметры'!C10*(1+'Параметры'!C14)^(I$4-1)</f>
        <v>51709.05226073969</v>
      </c>
      <c r="J102" s="52">
        <f>J100*'Параметры'!C32/1000*'Параметры'!C10*(1+'Параметры'!C14)^(J$4-1)</f>
        <v>49663.419424051084</v>
      </c>
      <c r="K102" s="52">
        <f>K100*'Параметры'!C32/1000*'Параметры'!C10*(1+'Параметры'!C14)^(K$4-1)</f>
        <v>52639.53108576125</v>
      </c>
      <c r="L102" s="52">
        <f>L100*'Параметры'!C32/1000*'Параметры'!C10*(1+'Параметры'!C14)^(L$4-1)</f>
        <v>50146.41606604701</v>
      </c>
      <c r="M102" s="52">
        <f>M100*'Параметры'!C32/1000*'Параметры'!C10*(1+'Параметры'!C14)^(M$4-1)</f>
        <v>49400.61242767095</v>
      </c>
      <c r="N102" s="52">
        <f>N100*'Параметры'!C32/1000*'Параметры'!C10*(1+'Параметры'!C14)^(N$4-1)</f>
        <v>50522.86933113205</v>
      </c>
    </row>
    <row r="103">
      <c r="B103" s="22" t="inlineStr">
        <is>
          <t>ТОиР и сервис (по годам)</t>
        </is>
      </c>
      <c r="C103" s="24" t="inlineStr">
        <is>
          <t>тыс.руб</t>
        </is>
      </c>
      <c r="D103" s="52" t="n"/>
      <c r="E103" s="52">
        <f>'Данные по годам'!E20*IF('Данные по годам'!$D$20="CNY",'Параметры'!C20,IF('Данные по годам'!$D$20="USD",'Параметры'!C21,IF('Данные по годам'!$D$20="EUR",'Параметры'!C22,1)))</f>
        <v>19073.199383795305</v>
      </c>
      <c r="F103" s="52">
        <f>'Данные по годам'!F20*IF('Данные по годам'!$D$20="CNY",'Параметры'!C20,IF('Данные по годам'!$D$20="USD",'Параметры'!C21,IF('Данные по годам'!$D$20="EUR",'Параметры'!C22,1)))</f>
        <v>24431.302598728347</v>
      </c>
      <c r="G103" s="52">
        <f>'Данные по годам'!G20*IF('Данные по годам'!$D$20="CNY",'Параметры'!C20,IF('Данные по годам'!$D$20="USD",'Параметры'!C21,IF('Данные по годам'!$D$20="EUR",'Параметры'!C22,1)))</f>
        <v>96384.63017941653</v>
      </c>
      <c r="H103" s="52">
        <f>'Данные по годам'!H20*IF('Данные по годам'!$D$20="CNY",'Параметры'!C20,IF('Данные по годам'!$D$20="USD",'Параметры'!C21,IF('Данные по годам'!$D$20="EUR",'Параметры'!C22,1)))</f>
        <v>43291.24928662977</v>
      </c>
      <c r="I103" s="52">
        <f>'Данные по годам'!I20*IF('Данные по годам'!$D$20="CNY",'Параметры'!C20,IF('Данные по годам'!$D$20="USD",'Параметры'!C21,IF('Данные по годам'!$D$20="EUR",'Параметры'!C22,1)))</f>
        <v>23326.63340744786</v>
      </c>
      <c r="J103" s="52">
        <f>'Данные по годам'!J20*IF('Данные по годам'!$D$20="CNY",'Параметры'!C20,IF('Данные по годам'!$D$20="USD",'Параметры'!C21,IF('Данные по годам'!$D$20="EUR",'Параметры'!C22,1)))</f>
        <v>97706.09472699922</v>
      </c>
      <c r="K103" s="52">
        <f>'Данные по годам'!K20*IF('Данные по годам'!$D$20="CNY",'Параметры'!C20,IF('Данные по годам'!$D$20="USD",'Параметры'!C21,IF('Данные по годам'!$D$20="EUR",'Параметры'!C22,1)))</f>
        <v>20220.821626000157</v>
      </c>
      <c r="L103" s="52">
        <f>'Данные по годам'!L20*IF('Данные по годам'!$D$20="CNY",'Параметры'!C20,IF('Данные по годам'!$D$20="USD",'Параметры'!C21,IF('Данные по годам'!$D$20="EUR",'Параметры'!C22,1)))</f>
        <v>46180.265711775275</v>
      </c>
      <c r="M103" s="52">
        <f>'Данные по годам'!M20*IF('Данные по годам'!$D$20="CNY",'Параметры'!C20,IF('Данные по годам'!$D$20="USD",'Параметры'!C21,IF('Данные по годам'!$D$20="EUR",'Параметры'!C22,1)))</f>
        <v>96601.42553571874</v>
      </c>
      <c r="N103" s="52">
        <f>'Данные по годам'!N20*IF('Данные по годам'!$D$20="CNY",'Параметры'!C20,IF('Данные по годам'!$D$20="USD",'Параметры'!C21,IF('Данные по годам'!$D$20="EUR",'Параметры'!C22,1)))</f>
        <v>24431.302598728347</v>
      </c>
    </row>
    <row r="104">
      <c r="B104" s="22" t="inlineStr">
        <is>
          <t>Шины</t>
        </is>
      </c>
      <c r="C104" s="24" t="inlineStr">
        <is>
          <t>тыс.руб</t>
        </is>
      </c>
      <c r="D104" s="52" t="n"/>
      <c r="E104" s="52">
        <f>E101*'Параметры'!C36*'Параметры'!C37*(1+'Параметры'!C15)^(E$4-1)</f>
        <v>15534.320905313598</v>
      </c>
      <c r="F104" s="52">
        <f>F101*'Параметры'!C36*'Параметры'!C37*(1+'Параметры'!C15)^(F$4-1)</f>
        <v>15149.223785709662</v>
      </c>
      <c r="G104" s="52">
        <f>G101*'Параметры'!C36*'Параметры'!C37*(1+'Параметры'!C15)^(G$4-1)</f>
        <v>14786.90122694252</v>
      </c>
      <c r="H104" s="52">
        <f>H101*'Параметры'!C36*'Параметры'!C37*(1+'Параметры'!C15)^(H$4-1)</f>
        <v>14960.81605515075</v>
      </c>
      <c r="I104" s="52">
        <f>I101*'Параметры'!C36*'Параметры'!C37*(1+'Параметры'!C15)^(I$4-1)</f>
        <v>15072.61844471318</v>
      </c>
      <c r="J104" s="52">
        <f>J101*'Параметры'!C36*'Параметры'!C37*(1+'Параметры'!C15)^(J$4-1)</f>
        <v>14476.339033713539</v>
      </c>
      <c r="K104" s="52">
        <f>K101*'Параметры'!C36*'Параметры'!C37*(1+'Параметры'!C15)^(K$4-1)</f>
        <v>15343.842760133157</v>
      </c>
      <c r="L104" s="52">
        <f>L101*'Параметры'!C36*'Параметры'!C37*(1+'Параметры'!C15)^(L$4-1)</f>
        <v>14617.127227977344</v>
      </c>
      <c r="M104" s="52">
        <f>M101*'Параметры'!C36*'Параметры'!C37*(1+'Параметры'!C15)^(M$4-1)</f>
        <v>14399.733692717055</v>
      </c>
      <c r="N104" s="52">
        <f>N101*'Параметры'!C36*'Параметры'!C37*(1+'Параметры'!C15)^(N$4-1)</f>
        <v>14726.85920291825</v>
      </c>
    </row>
    <row r="105">
      <c r="B105" s="22" t="inlineStr">
        <is>
          <t>Персонал</t>
        </is>
      </c>
      <c r="C105" s="24" t="inlineStr">
        <is>
          <t>тыс.руб</t>
        </is>
      </c>
      <c r="D105" s="52" t="n"/>
      <c r="E105" s="52">
        <f>'Ввод данных'!H20*(1+'Параметры'!C16)^(E$4-1)</f>
        <v>18475.6</v>
      </c>
      <c r="F105" s="52">
        <f>'Ввод данных'!H20*(1+'Параметры'!C16)^(F$4-1)</f>
        <v>18475.6</v>
      </c>
      <c r="G105" s="52">
        <f>'Ввод данных'!H20*(1+'Параметры'!C16)^(G$4-1)</f>
        <v>18475.6</v>
      </c>
      <c r="H105" s="52">
        <f>'Ввод данных'!H20*(1+'Параметры'!C16)^(H$4-1)</f>
        <v>18475.6</v>
      </c>
      <c r="I105" s="52">
        <f>'Ввод данных'!H20*(1+'Параметры'!C16)^(I$4-1)</f>
        <v>18475.6</v>
      </c>
      <c r="J105" s="52">
        <f>'Ввод данных'!H20*(1+'Параметры'!C16)^(J$4-1)</f>
        <v>18475.6</v>
      </c>
      <c r="K105" s="52">
        <f>'Ввод данных'!H20*(1+'Параметры'!C16)^(K$4-1)</f>
        <v>18475.6</v>
      </c>
      <c r="L105" s="52">
        <f>'Ввод данных'!H20*(1+'Параметры'!C16)^(L$4-1)</f>
        <v>18475.6</v>
      </c>
      <c r="M105" s="52">
        <f>'Ввод данных'!H20*(1+'Параметры'!C16)^(M$4-1)</f>
        <v>18475.6</v>
      </c>
      <c r="N105" s="52">
        <f>'Ввод данных'!H20*(1+'Параметры'!C16)^(N$4-1)</f>
        <v>18475.6</v>
      </c>
    </row>
    <row r="106">
      <c r="B106" s="22" t="inlineStr">
        <is>
          <t>Транспортный налог</t>
        </is>
      </c>
      <c r="C106" s="24" t="inlineStr">
        <is>
          <t>тыс.руб</t>
        </is>
      </c>
      <c r="D106" s="52" t="n"/>
      <c r="E106" s="52">
        <f>'Ввод данных'!H21*'Параметры'!C41/1000</f>
        <v>215.475</v>
      </c>
      <c r="F106" s="52">
        <f>'Ввод данных'!H21*'Параметры'!C41/1000</f>
        <v>215.475</v>
      </c>
      <c r="G106" s="52">
        <f>'Ввод данных'!H21*'Параметры'!C41/1000</f>
        <v>215.475</v>
      </c>
      <c r="H106" s="52">
        <f>'Ввод данных'!H21*'Параметры'!C41/1000</f>
        <v>215.475</v>
      </c>
      <c r="I106" s="52">
        <f>'Ввод данных'!H21*'Параметры'!C41/1000</f>
        <v>215.475</v>
      </c>
      <c r="J106" s="52">
        <f>'Ввод данных'!H21*'Параметры'!C41/1000</f>
        <v>215.475</v>
      </c>
      <c r="K106" s="52">
        <f>'Ввод данных'!H21*'Параметры'!C41/1000</f>
        <v>215.475</v>
      </c>
      <c r="L106" s="52">
        <f>'Ввод данных'!H21*'Параметры'!C41/1000</f>
        <v>215.475</v>
      </c>
      <c r="M106" s="52">
        <f>'Ввод данных'!H21*'Параметры'!C41/1000</f>
        <v>215.475</v>
      </c>
      <c r="N106" s="52">
        <f>'Ввод данных'!H21*'Параметры'!C41/1000</f>
        <v>215.475</v>
      </c>
    </row>
    <row r="107">
      <c r="B107" s="22" t="inlineStr">
        <is>
          <t>Итого денежные затраты</t>
        </is>
      </c>
      <c r="C107" s="24" t="inlineStr">
        <is>
          <t>тыс.руб</t>
        </is>
      </c>
      <c r="D107" s="52" t="n"/>
      <c r="E107" s="61">
        <f>E102+E103+E104+E105+E106</f>
        <v>106591.59241992346</v>
      </c>
      <c r="F107" s="61">
        <f>F102+F103+F104+F105+F106</f>
        <v>110243.46064155785</v>
      </c>
      <c r="G107" s="61">
        <f>G102+G103+G104+G105+G106</f>
        <v>180591.4595995188</v>
      </c>
      <c r="H107" s="61">
        <f>H102+H103+H104+H105+H106</f>
        <v>128268.63644564111</v>
      </c>
      <c r="I107" s="61">
        <f>I102+I103+I104+I105+I106</f>
        <v>108799.37911290073</v>
      </c>
      <c r="J107" s="61">
        <f>J102+J103+J104+J105+J106</f>
        <v>180536.92818476385</v>
      </c>
      <c r="K107" s="61">
        <f>K102+K103+K104+K105+K106</f>
        <v>106895.27047189456</v>
      </c>
      <c r="L107" s="61">
        <f>L102+L103+L104+L105+L106</f>
        <v>129634.88400579963</v>
      </c>
      <c r="M107" s="61">
        <f>M102+M103+M104+M105+M106</f>
        <v>179092.84665610676</v>
      </c>
      <c r="N107" s="61">
        <f>N102+N103+N104+N105+N106</f>
        <v>108372.10613277866</v>
      </c>
    </row>
    <row r="108">
      <c r="B108" s="22" t="inlineStr">
        <is>
          <t>Амортизация (НУ)</t>
        </is>
      </c>
      <c r="C108" s="24" t="inlineStr">
        <is>
          <t>тыс.руб</t>
        </is>
      </c>
      <c r="D108" s="52" t="n"/>
      <c r="E108" s="52">
        <f>IF(E$4&lt;=INT('Параметры'!C9),'Производительность'!H5/'Параметры'!C9,IF(E$4=INT('Параметры'!C9)+1,'Производительность'!H5*('Параметры'!C9-INT('Параметры'!C9))/'Параметры'!C9,0))</f>
        <v>56535.03246114499</v>
      </c>
      <c r="F108" s="52">
        <f>IF(F$4&lt;=INT('Параметры'!C9),'Производительность'!H5/'Параметры'!C9,IF(F$4=INT('Параметры'!C9)+1,'Производительность'!H5*('Параметры'!C9-INT('Параметры'!C9))/'Параметры'!C9,0))</f>
        <v>56535.03246114499</v>
      </c>
      <c r="G108" s="52">
        <f>IF(G$4&lt;=INT('Параметры'!C9),'Производительность'!H5/'Параметры'!C9,IF(G$4=INT('Параметры'!C9)+1,'Производительность'!H5*('Параметры'!C9-INT('Параметры'!C9))/'Параметры'!C9,0))</f>
        <v>56535.03246114499</v>
      </c>
      <c r="H108" s="52">
        <f>IF(H$4&lt;=INT('Параметры'!C9),'Производительность'!H5/'Параметры'!C9,IF(H$4=INT('Параметры'!C9)+1,'Производительность'!H5*('Параметры'!C9-INT('Параметры'!C9))/'Параметры'!C9,0))</f>
        <v>56535.03246114499</v>
      </c>
      <c r="I108" s="52">
        <f>IF(I$4&lt;=INT('Параметры'!C9),'Производительность'!H5/'Параметры'!C9,IF(I$4=INT('Параметры'!C9)+1,'Производительность'!H5*('Параметры'!C9-INT('Параметры'!C9))/'Параметры'!C9,0))</f>
        <v>56535.03246114499</v>
      </c>
      <c r="J108" s="52">
        <f>IF(J$4&lt;=INT('Параметры'!C9),'Производительность'!H5/'Параметры'!C9,IF(J$4=INT('Параметры'!C9)+1,'Производительность'!H5*('Параметры'!C9-INT('Параметры'!C9))/'Параметры'!C9,0))</f>
        <v>4692.407694275044</v>
      </c>
      <c r="K108" s="52">
        <f>IF(K$4&lt;=INT('Параметры'!C9),'Производительность'!H5/'Параметры'!C9,IF(K$4=INT('Параметры'!C9)+1,'Производительность'!H5*('Параметры'!C9-INT('Параметры'!C9))/'Параметры'!C9,0))</f>
        <v>0.0</v>
      </c>
      <c r="L108" s="52">
        <f>IF(L$4&lt;=INT('Параметры'!C9),'Производительность'!H5/'Параметры'!C9,IF(L$4=INT('Параметры'!C9)+1,'Производительность'!H5*('Параметры'!C9-INT('Параметры'!C9))/'Параметры'!C9,0))</f>
        <v>0.0</v>
      </c>
      <c r="M108" s="52">
        <f>IF(M$4&lt;=INT('Параметры'!C9),'Производительность'!H5/'Параметры'!C9,IF(M$4=INT('Параметры'!C9)+1,'Производительность'!H5*('Параметры'!C9-INT('Параметры'!C9))/'Параметры'!C9,0))</f>
        <v>0.0</v>
      </c>
      <c r="N108" s="52">
        <f>IF(N$4&lt;=INT('Параметры'!C9),'Производительность'!H5/'Параметры'!C9,IF(N$4=INT('Параметры'!C9)+1,'Производительность'!H5*('Параметры'!C9-INT('Параметры'!C9))/'Параметры'!C9,0))</f>
        <v>0.0</v>
      </c>
    </row>
    <row r="109">
      <c r="B109" s="22" t="inlineStr">
        <is>
          <t>Налогооблагаемая база</t>
        </is>
      </c>
      <c r="C109" s="24" t="inlineStr">
        <is>
          <t>тыс.руб</t>
        </is>
      </c>
      <c r="D109" s="52" t="n"/>
      <c r="E109" s="52">
        <f>E107+E108</f>
        <v>163126.62488106845</v>
      </c>
      <c r="F109" s="52">
        <f>F107+F108</f>
        <v>166778.49310270284</v>
      </c>
      <c r="G109" s="52">
        <f>G107+G108</f>
        <v>237126.4920606638</v>
      </c>
      <c r="H109" s="52">
        <f>H107+H108</f>
        <v>184803.6689067861</v>
      </c>
      <c r="I109" s="52">
        <f>I107+I108</f>
        <v>165334.41157404572</v>
      </c>
      <c r="J109" s="52">
        <f>J107+J108</f>
        <v>185229.3358790389</v>
      </c>
      <c r="K109" s="52">
        <f>K107+K108</f>
        <v>106895.27047189456</v>
      </c>
      <c r="L109" s="52">
        <f>L107+L108</f>
        <v>129634.88400579963</v>
      </c>
      <c r="M109" s="52">
        <f>M107+M108</f>
        <v>179092.84665610676</v>
      </c>
      <c r="N109" s="52">
        <f>N107+N108</f>
        <v>108372.10613277866</v>
      </c>
    </row>
    <row r="110">
      <c r="B110" s="22" t="inlineStr">
        <is>
          <t>Налог на прибыль (щит)</t>
        </is>
      </c>
      <c r="C110" s="24" t="inlineStr">
        <is>
          <t>тыс.руб</t>
        </is>
      </c>
      <c r="D110" s="52" t="n"/>
      <c r="E110" s="52">
        <f>-E109*'Параметры'!C7</f>
        <v>-40781.65622026711</v>
      </c>
      <c r="F110" s="52">
        <f>-F109*'Параметры'!C7</f>
        <v>-41694.62327567571</v>
      </c>
      <c r="G110" s="52">
        <f>-G109*'Параметры'!C7</f>
        <v>-59281.62301516595</v>
      </c>
      <c r="H110" s="52">
        <f>-H109*'Параметры'!C7</f>
        <v>-46200.917226696525</v>
      </c>
      <c r="I110" s="52">
        <f>-I109*'Параметры'!C7</f>
        <v>-41333.60289351143</v>
      </c>
      <c r="J110" s="52">
        <f>-J109*'Параметры'!C7</f>
        <v>-46307.333969759726</v>
      </c>
      <c r="K110" s="52">
        <f>-K109*'Параметры'!C7</f>
        <v>-26723.81761797364</v>
      </c>
      <c r="L110" s="52">
        <f>-L109*'Параметры'!C7</f>
        <v>-32408.721001449907</v>
      </c>
      <c r="M110" s="52">
        <f>-M109*'Параметры'!C7</f>
        <v>-44773.21166402669</v>
      </c>
      <c r="N110" s="52">
        <f>-N109*'Параметры'!C7</f>
        <v>-27093.026533194665</v>
      </c>
    </row>
    <row r="111">
      <c r="B111" s="22" t="inlineStr">
        <is>
          <t>Операц. денежный поток</t>
        </is>
      </c>
      <c r="C111" s="24" t="inlineStr">
        <is>
          <t>тыс.руб</t>
        </is>
      </c>
      <c r="D111" s="52" t="n"/>
      <c r="E111" s="61">
        <f>E109+E110-E108</f>
        <v>65809.93619965634</v>
      </c>
      <c r="F111" s="61">
        <f>F109+F110-F108</f>
        <v>68548.83736588214</v>
      </c>
      <c r="G111" s="61">
        <f>G109+G110-G108</f>
        <v>121309.83658435286</v>
      </c>
      <c r="H111" s="61">
        <f>H109+H110-H108</f>
        <v>82067.71921894458</v>
      </c>
      <c r="I111" s="61">
        <f>I109+I110-I108</f>
        <v>67465.7762193893</v>
      </c>
      <c r="J111" s="61">
        <f>J109+J110-J108</f>
        <v>134229.59421500412</v>
      </c>
      <c r="K111" s="61">
        <f>K109+K110-K108</f>
        <v>80171.45285392093</v>
      </c>
      <c r="L111" s="61">
        <f>L109+L110-L108</f>
        <v>97226.16300434971</v>
      </c>
      <c r="M111" s="61">
        <f>M109+M110-M108</f>
        <v>134319.63499208007</v>
      </c>
      <c r="N111" s="61">
        <f>N109+N110-N108</f>
        <v>81279.07959958399</v>
      </c>
    </row>
    <row r="112">
      <c r="B112" s="22" t="inlineStr">
        <is>
          <t>Инвестиции / остаточная ст-ть</t>
        </is>
      </c>
      <c r="C112" s="24" t="inlineStr">
        <is>
          <t>тыс.руб</t>
        </is>
      </c>
      <c r="D112" s="52">
        <f>IF(D$4=0,'Производительность'!H5,IF(D$4='Параметры'!C8,-'Ввод данных'!H14*'Производительность'!H5,0))</f>
        <v>287367.57</v>
      </c>
      <c r="E112" s="52">
        <f>IF(E$4=0,'Производительность'!H5,IF(E$4='Параметры'!C8,-'Ввод данных'!H14*'Производительность'!H5,0))</f>
        <v>0.0</v>
      </c>
      <c r="F112" s="52">
        <f>IF(F$4=0,'Производительность'!H5,IF(F$4='Параметры'!C8,-'Ввод данных'!H14*'Производительность'!H5,0))</f>
        <v>0.0</v>
      </c>
      <c r="G112" s="52">
        <f>IF(G$4=0,'Производительность'!H5,IF(G$4='Параметры'!C8,-'Ввод данных'!H14*'Производительность'!H5,0))</f>
        <v>0.0</v>
      </c>
      <c r="H112" s="52">
        <f>IF(H$4=0,'Производительность'!H5,IF(H$4='Параметры'!C8,-'Ввод данных'!H14*'Производительность'!H5,0))</f>
        <v>0.0</v>
      </c>
      <c r="I112" s="52">
        <f>IF(I$4=0,'Производительность'!H5,IF(I$4='Параметры'!C8,-'Ввод данных'!H14*'Производительность'!H5,0))</f>
        <v>0.0</v>
      </c>
      <c r="J112" s="52">
        <f>IF(J$4=0,'Производительность'!H5,IF(J$4='Параметры'!C8,-'Ввод данных'!H14*'Производительность'!H5,0))</f>
        <v>0.0</v>
      </c>
      <c r="K112" s="52">
        <f>IF(K$4=0,'Производительность'!H5,IF(K$4='Параметры'!C8,-'Ввод данных'!H14*'Производительность'!H5,0))</f>
        <v>0.0</v>
      </c>
      <c r="L112" s="52">
        <f>IF(L$4=0,'Производительность'!H5,IF(L$4='Параметры'!C8,-'Ввод данных'!H14*'Производительность'!H5,0))</f>
        <v>0.0</v>
      </c>
      <c r="M112" s="52">
        <f>IF(M$4=0,'Производительность'!H5,IF(M$4='Параметры'!C8,-'Ввод данных'!H14*'Производительность'!H5,0))</f>
        <v>0.0</v>
      </c>
      <c r="N112" s="52">
        <f>IF(N$4=0,'Производительность'!H5,IF(N$4='Параметры'!C8,-'Ввод данных'!H14*'Производительность'!H5,0))</f>
        <v>-0.0</v>
      </c>
    </row>
    <row r="113">
      <c r="B113" s="22" t="inlineStr">
        <is>
          <t>Чистый денежный поток</t>
        </is>
      </c>
      <c r="C113" s="24" t="inlineStr">
        <is>
          <t>тыс.руб</t>
        </is>
      </c>
      <c r="D113" s="61">
        <f>0+D112</f>
        <v>287367.57</v>
      </c>
      <c r="E113" s="61">
        <f>E111+E112</f>
        <v>65809.93619965634</v>
      </c>
      <c r="F113" s="61">
        <f>F111+F112</f>
        <v>68548.83736588214</v>
      </c>
      <c r="G113" s="61">
        <f>G111+G112</f>
        <v>121309.83658435286</v>
      </c>
      <c r="H113" s="61">
        <f>H111+H112</f>
        <v>82067.71921894458</v>
      </c>
      <c r="I113" s="61">
        <f>I111+I112</f>
        <v>67465.7762193893</v>
      </c>
      <c r="J113" s="61">
        <f>J111+J112</f>
        <v>134229.59421500412</v>
      </c>
      <c r="K113" s="61">
        <f>K111+K112</f>
        <v>80171.45285392093</v>
      </c>
      <c r="L113" s="61">
        <f>L111+L112</f>
        <v>97226.16300434971</v>
      </c>
      <c r="M113" s="61">
        <f>M111+M112</f>
        <v>134319.63499208007</v>
      </c>
      <c r="N113" s="61">
        <f>N111+N112</f>
        <v>81279.07959958399</v>
      </c>
    </row>
    <row r="114">
      <c r="B114" s="22" t="inlineStr">
        <is>
          <t>Дисконтированный поток</t>
        </is>
      </c>
      <c r="C114" s="24" t="inlineStr">
        <is>
          <t>тыс.руб</t>
        </is>
      </c>
      <c r="D114" s="52">
        <f>D113*D$6</f>
        <v>287367.57</v>
      </c>
      <c r="E114" s="52">
        <f>E113*E$6</f>
        <v>58758.871606836015</v>
      </c>
      <c r="F114" s="52">
        <f>F113*F$6</f>
        <v>54646.71346132185</v>
      </c>
      <c r="G114" s="52">
        <f>G113*G$6</f>
        <v>86345.94554621505</v>
      </c>
      <c r="H114" s="52">
        <f>H113*H$6</f>
        <v>52155.519217090885</v>
      </c>
      <c r="I114" s="52">
        <f>I113*I$6</f>
        <v>38281.89326878271</v>
      </c>
      <c r="J114" s="52">
        <f>J113*J$6</f>
        <v>68004.88981232433</v>
      </c>
      <c r="K114" s="52">
        <f>K113*K$6</f>
        <v>36265.49379088987</v>
      </c>
      <c r="L114" s="52">
        <f>L113*L$6</f>
        <v>39268.01655824507</v>
      </c>
      <c r="M114" s="52">
        <f>M113*M$6</f>
        <v>48437.006930010626</v>
      </c>
      <c r="N114" s="52">
        <f>N113*N$6</f>
        <v>26169.688325790863</v>
      </c>
    </row>
    <row r="115">
      <c r="B115" s="22" t="inlineStr">
        <is>
          <t>Кумул. дисконт. поток</t>
        </is>
      </c>
      <c r="C115" s="24" t="inlineStr">
        <is>
          <t>тыс.руб</t>
        </is>
      </c>
      <c r="D115" s="52">
        <f>SUM($D114:D114)</f>
        <v>287367.57</v>
      </c>
      <c r="E115" s="52">
        <f>SUM($D114:E114)</f>
        <v>346126.44160683604</v>
      </c>
      <c r="F115" s="52">
        <f>SUM($D114:F114)</f>
        <v>400773.1550681579</v>
      </c>
      <c r="G115" s="52">
        <f>SUM($D114:G114)</f>
        <v>487119.10061437293</v>
      </c>
      <c r="H115" s="52">
        <f>SUM($D114:H114)</f>
        <v>539274.6198314638</v>
      </c>
      <c r="I115" s="52">
        <f>SUM($D114:I114)</f>
        <v>577556.5131002465</v>
      </c>
      <c r="J115" s="52">
        <f>SUM($D114:J114)</f>
        <v>645561.4029125709</v>
      </c>
      <c r="K115" s="52">
        <f>SUM($D114:K114)</f>
        <v>681826.8967034607</v>
      </c>
      <c r="L115" s="52">
        <f>SUM($D114:L114)</f>
        <v>721094.9132617058</v>
      </c>
      <c r="M115" s="52">
        <f>SUM($D114:M114)</f>
        <v>769531.9201917164</v>
      </c>
      <c r="N115" s="52">
        <f>SUM($D114:N114)</f>
        <v>795701.6085175073</v>
      </c>
    </row>
    <row r="116">
      <c r="B116" s="39" t="inlineStr">
        <is>
          <t>Аннуитет по году</t>
        </is>
      </c>
      <c r="C116" s="24" t="inlineStr">
        <is>
          <t>руб/ткм</t>
        </is>
      </c>
      <c r="D116" s="62" t="n"/>
      <c r="E116" s="62">
        <f>SUM($D114:E114)/SUM($E$6:E$6)/(SUM($E100:E100)/E$4)</f>
        <v>37.65023225097234</v>
      </c>
      <c r="F116" s="62">
        <f>SUM($D114:F114)/SUM($E$6:F$6)/(SUM($E100:F100)/F$4)</f>
        <v>23.32009985624218</v>
      </c>
      <c r="G116" s="62">
        <f>SUM($D114:G114)/SUM($E$6:G$6)/(SUM($E100:G100)/G$4)</f>
        <v>20.187932226081</v>
      </c>
      <c r="H116" s="62">
        <f>SUM($D114:H114)/SUM($E$6:H$6)/(SUM($E100:H100)/H$4)</f>
        <v>17.730488239983053</v>
      </c>
      <c r="I116" s="62">
        <f>SUM($D114:I114)/SUM($E$6:I$6)/(SUM($E100:I100)/I$4)</f>
        <v>16.007519605533158</v>
      </c>
      <c r="J116" s="62">
        <f>SUM($D114:J114)/SUM($E$6:J$6)/(SUM($E100:J100)/J$4)</f>
        <v>15.796409573926812</v>
      </c>
      <c r="K116" s="62">
        <f>SUM($D114:K114)/SUM($E$6:K$6)/(SUM($E100:K100)/K$4)</f>
        <v>14.980600826547494</v>
      </c>
      <c r="L116" s="62">
        <f>SUM($D114:L114)/SUM($E$6:L$6)/(SUM($E100:L100)/L$4)</f>
        <v>14.60733886872039</v>
      </c>
      <c r="M116" s="62">
        <f>SUM($D114:M114)/SUM($E$6:M$6)/(SUM($E100:M100)/M$4)</f>
        <v>14.59766441351896</v>
      </c>
      <c r="N116" s="62">
        <f>SUM($D114:N114)/SUM($E$6:N$6)/(SUM($E100:N100)/N$4)</f>
        <v>14.253055832625009</v>
      </c>
    </row>
    <row r="118">
      <c r="B118" s="5" t="str">
        <f>"Вариант 6:  "&amp;'Ввод данных'!I7</f>
        <v>Вариант 6:  БелАЗ 7531
(БТЛ)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B119" s="22" t="inlineStr">
        <is>
          <t>КТГ</t>
        </is>
      </c>
      <c r="C119" s="24" t="inlineStr">
        <is>
          <t>коэф.</t>
        </is>
      </c>
      <c r="D119" s="55" t="n"/>
      <c r="E119" s="55">
        <f>'Данные по годам'!E22</f>
        <v>0.7573</v>
      </c>
      <c r="F119" s="55">
        <f>'Данные по годам'!F22</f>
        <v>0.7394</v>
      </c>
      <c r="G119" s="55">
        <f>'Данные по годам'!G22</f>
        <v>0.7321</v>
      </c>
      <c r="H119" s="55">
        <f>'Данные по годам'!H22</f>
        <v>0.7174</v>
      </c>
      <c r="I119" s="55">
        <f>'Данные по годам'!I22</f>
        <v>0.7337</v>
      </c>
      <c r="J119" s="55">
        <f>'Данные по годам'!J22</f>
        <v>0.7084</v>
      </c>
      <c r="K119" s="55">
        <f>'Данные по годам'!K22</f>
        <v>0.693</v>
      </c>
      <c r="L119" s="55">
        <f>'Данные по годам'!L22</f>
        <v>0.7264</v>
      </c>
      <c r="M119" s="55">
        <f>'Данные по годам'!M22</f>
        <v>0.6987</v>
      </c>
      <c r="N119" s="55">
        <f>'Данные по годам'!N22</f>
        <v>0.6938</v>
      </c>
    </row>
    <row r="120">
      <c r="B120" s="22" t="inlineStr">
        <is>
          <t>Эффективное время</t>
        </is>
      </c>
      <c r="C120" s="24" t="inlineStr">
        <is>
          <t>час/год</t>
        </is>
      </c>
      <c r="D120" s="52" t="n"/>
      <c r="E120" s="52">
        <f>'Параметры'!C26*E119*(1-102.38/(60*'Параметры'!C27))</f>
        <v>5690.637449666667</v>
      </c>
      <c r="F120" s="52">
        <f>'Параметры'!C26*F119*(1-102.38/(60*'Параметры'!C27))</f>
        <v>5556.130107333333</v>
      </c>
      <c r="G120" s="52">
        <f>'Параметры'!C26*G119*(1-102.38/(60*'Параметры'!C27))</f>
        <v>5501.275157666667</v>
      </c>
      <c r="H120" s="52">
        <f>'Параметры'!C26*H119*(1-102.38/(60*'Параметры'!C27))</f>
        <v>5390.813820666667</v>
      </c>
      <c r="I120" s="52">
        <f>'Параметры'!C26*I119*(1-102.38/(60*'Параметры'!C27))</f>
        <v>5513.298160333334</v>
      </c>
      <c r="J120" s="52">
        <f>'Параметры'!C26*J119*(1-102.38/(60*'Параметры'!C27))</f>
        <v>5323.184430666667</v>
      </c>
      <c r="K120" s="52">
        <f>'Параметры'!C26*K119*(1-102.38/(60*'Параметры'!C27))</f>
        <v>5207.46303</v>
      </c>
      <c r="L120" s="52">
        <f>'Параметры'!C26*L119*(1-102.38/(60*'Параметры'!C27))</f>
        <v>5458.443210666667</v>
      </c>
      <c r="M120" s="52">
        <f>'Параметры'!C26*M119*(1-102.38/(60*'Параметры'!C27))</f>
        <v>5250.2949770000005</v>
      </c>
      <c r="N120" s="52">
        <f>'Параметры'!C26*N119*(1-102.38/(60*'Параметры'!C27))</f>
        <v>5213.474531333333</v>
      </c>
    </row>
    <row r="121">
      <c r="B121" s="22" t="inlineStr">
        <is>
          <t>Объём перевозки</t>
        </is>
      </c>
      <c r="C121" s="24" t="inlineStr">
        <is>
          <t>тыс.т</t>
        </is>
      </c>
      <c r="D121" s="52" t="n"/>
      <c r="E121" s="52">
        <f>'Производительность'!I9*E120/1000</f>
        <v>2446.4347839035067</v>
      </c>
      <c r="F121" s="52">
        <f>'Производительность'!I9*F120/1000</f>
        <v>2388.609374380368</v>
      </c>
      <c r="G121" s="52">
        <f>'Производительность'!I9*G120/1000</f>
        <v>2365.0269447983064</v>
      </c>
      <c r="H121" s="52">
        <f>'Производительность'!I9*H120/1000</f>
        <v>2317.539038653606</v>
      </c>
      <c r="I121" s="52">
        <f>'Производительность'!I9*I120/1000</f>
        <v>2370.1956964875253</v>
      </c>
      <c r="J121" s="52">
        <f>'Производительность'!I9*J120/1000</f>
        <v>2288.4648104017488</v>
      </c>
      <c r="K121" s="52">
        <f>'Производительность'!I9*K120/1000</f>
        <v>2238.715575393015</v>
      </c>
      <c r="L121" s="52">
        <f>'Производительность'!I9*L120/1000</f>
        <v>2346.613266905463</v>
      </c>
      <c r="M121" s="52">
        <f>'Производительность'!I9*M120/1000</f>
        <v>2257.1292532858583</v>
      </c>
      <c r="N121" s="52">
        <f>'Производительность'!I9*N120/1000</f>
        <v>2241.2999512376246</v>
      </c>
    </row>
    <row r="122">
      <c r="B122" s="22" t="inlineStr">
        <is>
          <t>Грузооборот</t>
        </is>
      </c>
      <c r="C122" s="24" t="inlineStr">
        <is>
          <t>тыс.ткм</t>
        </is>
      </c>
      <c r="D122" s="52" t="n"/>
      <c r="E122" s="52">
        <f>E121*'Ввод данных'!I18</f>
        <v>10392.454962022097</v>
      </c>
      <c r="F122" s="52">
        <f>F121*'Ввод данных'!I18</f>
        <v>10146.812622367805</v>
      </c>
      <c r="G122" s="52">
        <f>G121*'Ввод данных'!I18</f>
        <v>10046.634461503207</v>
      </c>
      <c r="H122" s="52">
        <f>H121*'Ввод данных'!I18</f>
        <v>9844.905836200518</v>
      </c>
      <c r="I122" s="52">
        <f>I121*'Ввод данных'!I18</f>
        <v>10068.591318679008</v>
      </c>
      <c r="J122" s="52">
        <f>J121*'Ввод данных'!I18</f>
        <v>9721.39851458663</v>
      </c>
      <c r="K122" s="52">
        <f>K121*'Ввод данных'!I18</f>
        <v>9510.06376426953</v>
      </c>
      <c r="L122" s="52">
        <f>L121*'Ввод данных'!I18</f>
        <v>9968.413157814408</v>
      </c>
      <c r="M122" s="52">
        <f>M121*'Ввод данных'!I18</f>
        <v>9588.285067958326</v>
      </c>
      <c r="N122" s="52">
        <f>N121*'Ввод данных'!I18</f>
        <v>9521.042192857429</v>
      </c>
    </row>
    <row r="123">
      <c r="B123" s="22" t="inlineStr">
        <is>
          <t>Пробег</t>
        </is>
      </c>
      <c r="C123" s="24" t="inlineStr">
        <is>
          <t>тыс.км</t>
        </is>
      </c>
      <c r="D123" s="52" t="n"/>
      <c r="E123" s="52">
        <f>'Производительность'!I8*E120*2*'Ввод данных'!I18/1000</f>
        <v>93.28617132120763</v>
      </c>
      <c r="F123" s="52">
        <f>'Производительность'!I8*F120*2*'Ввод данных'!I18/1000</f>
        <v>91.08120305678187</v>
      </c>
      <c r="G123" s="52">
        <f>'Производительность'!I8*G120*2*'Ввод данных'!I18/1000</f>
        <v>90.18197018916692</v>
      </c>
      <c r="H123" s="52">
        <f>'Производительность'!I8*H120*2*'Ввод данных'!I18/1000</f>
        <v>88.37118619547651</v>
      </c>
      <c r="I123" s="52">
        <f>'Производительность'!I8*I120*2*'Ввод данных'!I18/1000</f>
        <v>90.37906232453457</v>
      </c>
      <c r="J123" s="52">
        <f>'Производительность'!I8*J120*2*'Ввод данных'!I18/1000</f>
        <v>87.26254293403339</v>
      </c>
      <c r="K123" s="52">
        <f>'Производительность'!I8*K120*2*'Ввод данных'!I18/1000</f>
        <v>85.36553113111961</v>
      </c>
      <c r="L123" s="52">
        <f>'Производительность'!I8*L120*2*'Ввод данных'!I18/1000</f>
        <v>89.47982945691962</v>
      </c>
      <c r="M123" s="52">
        <f>'Производительность'!I8*M120*2*'Ввод данных'!I18/1000</f>
        <v>86.06767186336693</v>
      </c>
      <c r="N123" s="52">
        <f>'Производительность'!I8*N120*2*'Ввод данных'!I18/1000</f>
        <v>85.46407719880344</v>
      </c>
    </row>
    <row r="124">
      <c r="B124" s="22" t="inlineStr">
        <is>
          <t>Топливо</t>
        </is>
      </c>
      <c r="C124" s="24" t="inlineStr">
        <is>
          <t>тыс.руб</t>
        </is>
      </c>
      <c r="D124" s="52" t="n"/>
      <c r="E124" s="52">
        <f>E122*'Параметры'!C32/1000*'Параметры'!C10*(1+'Параметры'!C14)^(E$4-1)</f>
        <v>53790.19955639858</v>
      </c>
      <c r="F124" s="52">
        <f>F122*'Параметры'!C32/1000*'Параметры'!C10*(1+'Параметры'!C14)^(F$4-1)</f>
        <v>52518.78192526225</v>
      </c>
      <c r="G124" s="52">
        <f>G122*'Параметры'!C32/1000*'Параметры'!C10*(1+'Параметры'!C14)^(G$4-1)</f>
        <v>52000.27082429605</v>
      </c>
      <c r="H124" s="52">
        <f>H122*'Параметры'!C32/1000*'Параметры'!C10*(1+'Параметры'!C14)^(H$4-1)</f>
        <v>50956.145730569566</v>
      </c>
      <c r="I124" s="52">
        <f>I122*'Параметры'!C32/1000*'Параметры'!C10*(1+'Параметры'!C14)^(I$4-1)</f>
        <v>52113.917093000964</v>
      </c>
      <c r="J124" s="52">
        <f>J122*'Параметры'!C32/1000*'Параметры'!C10*(1+'Параметры'!C14)^(J$4-1)</f>
        <v>50316.88546910439</v>
      </c>
      <c r="K124" s="52">
        <f>K122*'Параметры'!C32/1000*'Параметры'!C10*(1+'Параметры'!C14)^(K$4-1)</f>
        <v>49223.040132819515</v>
      </c>
      <c r="L124" s="52">
        <f>L122*'Параметры'!C32/1000*'Параметры'!C10*(1+'Параметры'!C14)^(L$4-1)</f>
        <v>51595.405992034764</v>
      </c>
      <c r="M124" s="52">
        <f>M122*'Параметры'!C32/1000*'Параметры'!C10*(1+'Параметры'!C14)^(M$4-1)</f>
        <v>49627.9049650808</v>
      </c>
      <c r="N124" s="52">
        <f>N122*'Параметры'!C32/1000*'Параметры'!C10*(1+'Параметры'!C14)^(N$4-1)</f>
        <v>49279.86326717197</v>
      </c>
    </row>
    <row r="125">
      <c r="B125" s="22" t="inlineStr">
        <is>
          <t>ТОиР и сервис (по годам)</t>
        </is>
      </c>
      <c r="C125" s="24" t="inlineStr">
        <is>
          <t>тыс.руб</t>
        </is>
      </c>
      <c r="D125" s="52" t="n"/>
      <c r="E125" s="52">
        <f>'Данные по годам'!E23*IF('Данные по годам'!$D$23="CNY",'Параметры'!C20,IF('Данные по годам'!$D$23="USD",'Параметры'!C21,IF('Данные по годам'!$D$23="EUR",'Параметры'!C22,1)))</f>
        <v>19073.199383795305</v>
      </c>
      <c r="F125" s="52">
        <f>'Данные по годам'!F23*IF('Данные по годам'!$D$23="CNY",'Параметры'!C20,IF('Данные по годам'!$D$23="USD",'Параметры'!C21,IF('Данные по годам'!$D$23="EUR",'Параметры'!C22,1)))</f>
        <v>24431.302598728347</v>
      </c>
      <c r="G125" s="52">
        <f>'Данные по годам'!G23*IF('Данные по годам'!$D$23="CNY",'Параметры'!C20,IF('Данные по годам'!$D$23="USD",'Параметры'!C21,IF('Данные по годам'!$D$23="EUR",'Параметры'!C22,1)))</f>
        <v>96384.63017941653</v>
      </c>
      <c r="H125" s="52">
        <f>'Данные по годам'!H23*IF('Данные по годам'!$D$23="CNY",'Параметры'!C20,IF('Данные по годам'!$D$23="USD",'Параметры'!C21,IF('Данные по годам'!$D$23="EUR",'Параметры'!C22,1)))</f>
        <v>43291.24928662977</v>
      </c>
      <c r="I125" s="52">
        <f>'Данные по годам'!I23*IF('Данные по годам'!$D$23="CNY",'Параметры'!C20,IF('Данные по годам'!$D$23="USD",'Параметры'!C21,IF('Данные по годам'!$D$23="EUR",'Параметры'!C22,1)))</f>
        <v>23326.63340744786</v>
      </c>
      <c r="J125" s="52">
        <f>'Данные по годам'!J23*IF('Данные по годам'!$D$23="CNY",'Параметры'!C20,IF('Данные по годам'!$D$23="USD",'Параметры'!C21,IF('Данные по годам'!$D$23="EUR",'Параметры'!C22,1)))</f>
        <v>97706.09472699922</v>
      </c>
      <c r="K125" s="52">
        <f>'Данные по годам'!K23*IF('Данные по годам'!$D$23="CNY",'Параметры'!C20,IF('Данные по годам'!$D$23="USD",'Параметры'!C21,IF('Данные по годам'!$D$23="EUR",'Параметры'!C22,1)))</f>
        <v>20220.821626000157</v>
      </c>
      <c r="L125" s="52">
        <f>'Данные по годам'!L23*IF('Данные по годам'!$D$23="CNY",'Параметры'!C20,IF('Данные по годам'!$D$23="USD",'Параметры'!C21,IF('Данные по годам'!$D$23="EUR",'Параметры'!C22,1)))</f>
        <v>46180.265711775275</v>
      </c>
      <c r="M125" s="52">
        <f>'Данные по годам'!M23*IF('Данные по годам'!$D$23="CNY",'Параметры'!C20,IF('Данные по годам'!$D$23="USD",'Параметры'!C21,IF('Данные по годам'!$D$23="EUR",'Параметры'!C22,1)))</f>
        <v>96601.42553571874</v>
      </c>
      <c r="N125" s="52">
        <f>'Данные по годам'!N23*IF('Данные по годам'!$D$23="CNY",'Параметры'!C20,IF('Данные по годам'!$D$23="USD",'Параметры'!C21,IF('Данные по годам'!$D$23="EUR",'Параметры'!C22,1)))</f>
        <v>24431.302598728347</v>
      </c>
    </row>
    <row r="126">
      <c r="B126" s="22" t="inlineStr">
        <is>
          <t>Шины</t>
        </is>
      </c>
      <c r="C126" s="24" t="inlineStr">
        <is>
          <t>тыс.руб</t>
        </is>
      </c>
      <c r="D126" s="52" t="n"/>
      <c r="E126" s="52">
        <f>E123*'Параметры'!C36*'Параметры'!C37*(1+'Параметры'!C15)^(E$4-1)</f>
        <v>15679.249928820456</v>
      </c>
      <c r="F126" s="52">
        <f>F123*'Параметры'!C36*'Параметры'!C37*(1+'Параметры'!C15)^(F$4-1)</f>
        <v>15308.645711567204</v>
      </c>
      <c r="G126" s="52">
        <f>G123*'Параметры'!C36*'Параметры'!C37*(1+'Параметры'!C15)^(G$4-1)</f>
        <v>15157.505444195769</v>
      </c>
      <c r="H126" s="52">
        <f>H123*'Параметры'!C36*'Параметры'!C37*(1+'Параметры'!C15)^(H$4-1)</f>
        <v>14853.15449483137</v>
      </c>
      <c r="I126" s="52">
        <f>I123*'Параметры'!C36*'Параметры'!C37*(1+'Параметры'!C15)^(I$4-1)</f>
        <v>15190.632078140194</v>
      </c>
      <c r="J126" s="52">
        <f>J123*'Параметры'!C36*'Параметры'!C37*(1+'Параметры'!C15)^(J$4-1)</f>
        <v>14666.817178893982</v>
      </c>
      <c r="K126" s="52">
        <f>K123*'Параметры'!C36*'Параметры'!C37*(1+'Параметры'!C15)^(K$4-1)</f>
        <v>14347.973327178892</v>
      </c>
      <c r="L126" s="52">
        <f>L123*'Параметры'!C36*'Параметры'!C37*(1+'Параметры'!C15)^(L$4-1)</f>
        <v>15039.491810768757</v>
      </c>
      <c r="M126" s="52">
        <f>M123*'Параметры'!C36*'Параметры'!C37*(1+'Параметры'!C15)^(M$4-1)</f>
        <v>14465.986960605907</v>
      </c>
      <c r="N126" s="52">
        <f>N123*'Параметры'!C36*'Параметры'!C37*(1+'Параметры'!C15)^(N$4-1)</f>
        <v>14364.536644151103</v>
      </c>
    </row>
    <row r="127">
      <c r="B127" s="22" t="inlineStr">
        <is>
          <t>Персонал</t>
        </is>
      </c>
      <c r="C127" s="24" t="inlineStr">
        <is>
          <t>тыс.руб</t>
        </is>
      </c>
      <c r="D127" s="52" t="n"/>
      <c r="E127" s="52">
        <f>'Ввод данных'!I20*(1+'Параметры'!C16)^(E$4-1)</f>
        <v>18475.6</v>
      </c>
      <c r="F127" s="52">
        <f>'Ввод данных'!I20*(1+'Параметры'!C16)^(F$4-1)</f>
        <v>18475.6</v>
      </c>
      <c r="G127" s="52">
        <f>'Ввод данных'!I20*(1+'Параметры'!C16)^(G$4-1)</f>
        <v>18475.6</v>
      </c>
      <c r="H127" s="52">
        <f>'Ввод данных'!I20*(1+'Параметры'!C16)^(H$4-1)</f>
        <v>18475.6</v>
      </c>
      <c r="I127" s="52">
        <f>'Ввод данных'!I20*(1+'Параметры'!C16)^(I$4-1)</f>
        <v>18475.6</v>
      </c>
      <c r="J127" s="52">
        <f>'Ввод данных'!I20*(1+'Параметры'!C16)^(J$4-1)</f>
        <v>18475.6</v>
      </c>
      <c r="K127" s="52">
        <f>'Ввод данных'!I20*(1+'Параметры'!C16)^(K$4-1)</f>
        <v>18475.6</v>
      </c>
      <c r="L127" s="52">
        <f>'Ввод данных'!I20*(1+'Параметры'!C16)^(L$4-1)</f>
        <v>18475.6</v>
      </c>
      <c r="M127" s="52">
        <f>'Ввод данных'!I20*(1+'Параметры'!C16)^(M$4-1)</f>
        <v>18475.6</v>
      </c>
      <c r="N127" s="52">
        <f>'Ввод данных'!I20*(1+'Параметры'!C16)^(N$4-1)</f>
        <v>18475.6</v>
      </c>
    </row>
    <row r="128">
      <c r="B128" s="22" t="inlineStr">
        <is>
          <t>Транспортный налог</t>
        </is>
      </c>
      <c r="C128" s="24" t="inlineStr">
        <is>
          <t>тыс.руб</t>
        </is>
      </c>
      <c r="D128" s="52" t="n"/>
      <c r="E128" s="52">
        <f>'Ввод данных'!I21*'Параметры'!C41/1000</f>
        <v>215.475</v>
      </c>
      <c r="F128" s="52">
        <f>'Ввод данных'!I21*'Параметры'!C41/1000</f>
        <v>215.475</v>
      </c>
      <c r="G128" s="52">
        <f>'Ввод данных'!I21*'Параметры'!C41/1000</f>
        <v>215.475</v>
      </c>
      <c r="H128" s="52">
        <f>'Ввод данных'!I21*'Параметры'!C41/1000</f>
        <v>215.475</v>
      </c>
      <c r="I128" s="52">
        <f>'Ввод данных'!I21*'Параметры'!C41/1000</f>
        <v>215.475</v>
      </c>
      <c r="J128" s="52">
        <f>'Ввод данных'!I21*'Параметры'!C41/1000</f>
        <v>215.475</v>
      </c>
      <c r="K128" s="52">
        <f>'Ввод данных'!I21*'Параметры'!C41/1000</f>
        <v>215.475</v>
      </c>
      <c r="L128" s="52">
        <f>'Ввод данных'!I21*'Параметры'!C41/1000</f>
        <v>215.475</v>
      </c>
      <c r="M128" s="52">
        <f>'Ввод данных'!I21*'Параметры'!C41/1000</f>
        <v>215.475</v>
      </c>
      <c r="N128" s="52">
        <f>'Ввод данных'!I21*'Параметры'!C41/1000</f>
        <v>215.475</v>
      </c>
    </row>
    <row r="129">
      <c r="B129" s="22" t="inlineStr">
        <is>
          <t>Итого денежные затраты</t>
        </is>
      </c>
      <c r="C129" s="24" t="inlineStr">
        <is>
          <t>тыс.руб</t>
        </is>
      </c>
      <c r="D129" s="52" t="n"/>
      <c r="E129" s="61">
        <f>E124+E125+E126+E127+E128</f>
        <v>107233.72386901433</v>
      </c>
      <c r="F129" s="61">
        <f>F124+F125+F126+F127+F128</f>
        <v>110949.80523555781</v>
      </c>
      <c r="G129" s="61">
        <f>G124+G125+G126+G127+G128</f>
        <v>182233.48144790836</v>
      </c>
      <c r="H129" s="61">
        <f>H124+H125+H126+H127+H128</f>
        <v>127791.62451203071</v>
      </c>
      <c r="I129" s="61">
        <f>I124+I125+I126+I127+I128</f>
        <v>109322.25757858902</v>
      </c>
      <c r="J129" s="61">
        <f>J124+J125+J126+J127+J128</f>
        <v>181380.8723749976</v>
      </c>
      <c r="K129" s="61">
        <f>K124+K125+K126+K127+K128</f>
        <v>102482.91008599856</v>
      </c>
      <c r="L129" s="61">
        <f>L124+L125+L126+L127+L128</f>
        <v>131506.2385145788</v>
      </c>
      <c r="M129" s="61">
        <f>M124+M125+M126+M127+M128</f>
        <v>179386.39246140543</v>
      </c>
      <c r="N129" s="61">
        <f>N124+N125+N126+N127+N128</f>
        <v>106766.77751005141</v>
      </c>
    </row>
    <row r="130">
      <c r="B130" s="22" t="inlineStr">
        <is>
          <t>Амортизация (НУ)</t>
        </is>
      </c>
      <c r="C130" s="24" t="inlineStr">
        <is>
          <t>тыс.руб</t>
        </is>
      </c>
      <c r="D130" s="52" t="n"/>
      <c r="E130" s="52">
        <f>IF(E$4&lt;=INT('Параметры'!C9),'Производительность'!I5/'Параметры'!C9,IF(E$4=INT('Параметры'!C9)+1,'Производительность'!I5*('Параметры'!C9-INT('Параметры'!C9))/'Параметры'!C9,0))</f>
        <v>56535.03442848712</v>
      </c>
      <c r="F130" s="52">
        <f>IF(F$4&lt;=INT('Параметры'!C9),'Производительность'!I5/'Параметры'!C9,IF(F$4=INT('Параметры'!C9)+1,'Производительность'!I5*('Параметры'!C9-INT('Параметры'!C9))/'Параметры'!C9,0))</f>
        <v>56535.03442848712</v>
      </c>
      <c r="G130" s="52">
        <f>IF(G$4&lt;=INT('Параметры'!C9),'Производительность'!I5/'Параметры'!C9,IF(G$4=INT('Параметры'!C9)+1,'Производительность'!I5*('Параметры'!C9-INT('Параметры'!C9))/'Параметры'!C9,0))</f>
        <v>56535.03442848712</v>
      </c>
      <c r="H130" s="52">
        <f>IF(H$4&lt;=INT('Параметры'!C9),'Производительность'!I5/'Параметры'!C9,IF(H$4=INT('Параметры'!C9)+1,'Производительность'!I5*('Параметры'!C9-INT('Параметры'!C9))/'Параметры'!C9,0))</f>
        <v>56535.03442848712</v>
      </c>
      <c r="I130" s="52">
        <f>IF(I$4&lt;=INT('Параметры'!C9),'Производительность'!I5/'Параметры'!C9,IF(I$4=INT('Параметры'!C9)+1,'Производительность'!I5*('Параметры'!C9-INT('Параметры'!C9))/'Параметры'!C9,0))</f>
        <v>56535.03442848712</v>
      </c>
      <c r="J130" s="52">
        <f>IF(J$4&lt;=INT('Параметры'!C9),'Производительность'!I5/'Параметры'!C9,IF(J$4=INT('Параметры'!C9)+1,'Производительность'!I5*('Параметры'!C9-INT('Параметры'!C9))/'Параметры'!C9,0))</f>
        <v>4692.407857564441</v>
      </c>
      <c r="K130" s="52">
        <f>IF(K$4&lt;=INT('Параметры'!C9),'Производительность'!I5/'Параметры'!C9,IF(K$4=INT('Параметры'!C9)+1,'Производительность'!I5*('Параметры'!C9-INT('Параметры'!C9))/'Параметры'!C9,0))</f>
        <v>0.0</v>
      </c>
      <c r="L130" s="52">
        <f>IF(L$4&lt;=INT('Параметры'!C9),'Производительность'!I5/'Параметры'!C9,IF(L$4=INT('Параметры'!C9)+1,'Производительность'!I5*('Параметры'!C9-INT('Параметры'!C9))/'Параметры'!C9,0))</f>
        <v>0.0</v>
      </c>
      <c r="M130" s="52">
        <f>IF(M$4&lt;=INT('Параметры'!C9),'Производительность'!I5/'Параметры'!C9,IF(M$4=INT('Параметры'!C9)+1,'Производительность'!I5*('Параметры'!C9-INT('Параметры'!C9))/'Параметры'!C9,0))</f>
        <v>0.0</v>
      </c>
      <c r="N130" s="52">
        <f>IF(N$4&lt;=INT('Параметры'!C9),'Производительность'!I5/'Параметры'!C9,IF(N$4=INT('Параметры'!C9)+1,'Производительность'!I5*('Параметры'!C9-INT('Параметры'!C9))/'Параметры'!C9,0))</f>
        <v>0.0</v>
      </c>
    </row>
    <row r="131">
      <c r="B131" s="22" t="inlineStr">
        <is>
          <t>Налогооблагаемая база</t>
        </is>
      </c>
      <c r="C131" s="24" t="inlineStr">
        <is>
          <t>тыс.руб</t>
        </is>
      </c>
      <c r="D131" s="52" t="n"/>
      <c r="E131" s="52">
        <f>E129+E130</f>
        <v>163768.75829750145</v>
      </c>
      <c r="F131" s="52">
        <f>F129+F130</f>
        <v>167484.83966404494</v>
      </c>
      <c r="G131" s="52">
        <f>G129+G130</f>
        <v>238768.51587639548</v>
      </c>
      <c r="H131" s="52">
        <f>H129+H130</f>
        <v>184326.65894051784</v>
      </c>
      <c r="I131" s="52">
        <f>I129+I130</f>
        <v>165857.29200707615</v>
      </c>
      <c r="J131" s="52">
        <f>J129+J130</f>
        <v>186073.28023256204</v>
      </c>
      <c r="K131" s="52">
        <f>K129+K130</f>
        <v>102482.91008599856</v>
      </c>
      <c r="L131" s="52">
        <f>L129+L130</f>
        <v>131506.2385145788</v>
      </c>
      <c r="M131" s="52">
        <f>M129+M130</f>
        <v>179386.39246140543</v>
      </c>
      <c r="N131" s="52">
        <f>N129+N130</f>
        <v>106766.77751005141</v>
      </c>
    </row>
    <row r="132">
      <c r="B132" s="22" t="inlineStr">
        <is>
          <t>Налог на прибыль (щит)</t>
        </is>
      </c>
      <c r="C132" s="24" t="inlineStr">
        <is>
          <t>тыс.руб</t>
        </is>
      </c>
      <c r="D132" s="52" t="n"/>
      <c r="E132" s="52">
        <f>-E131*'Параметры'!C7</f>
        <v>-40942.18957437536</v>
      </c>
      <c r="F132" s="52">
        <f>-F131*'Параметры'!C7</f>
        <v>-41871.209916011234</v>
      </c>
      <c r="G132" s="52">
        <f>-G131*'Параметры'!C7</f>
        <v>-59692.12896909887</v>
      </c>
      <c r="H132" s="52">
        <f>-H131*'Параметры'!C7</f>
        <v>-46081.66473512946</v>
      </c>
      <c r="I132" s="52">
        <f>-I131*'Параметры'!C7</f>
        <v>-41464.32300176904</v>
      </c>
      <c r="J132" s="52">
        <f>-J131*'Параметры'!C7</f>
        <v>-46518.32005814051</v>
      </c>
      <c r="K132" s="52">
        <f>-K131*'Параметры'!C7</f>
        <v>-25620.72752149964</v>
      </c>
      <c r="L132" s="52">
        <f>-L131*'Параметры'!C7</f>
        <v>-32876.5596286447</v>
      </c>
      <c r="M132" s="52">
        <f>-M131*'Параметры'!C7</f>
        <v>-44846.59811535136</v>
      </c>
      <c r="N132" s="52">
        <f>-N131*'Параметры'!C7</f>
        <v>-26691.694377512853</v>
      </c>
    </row>
    <row r="133">
      <c r="B133" s="22" t="inlineStr">
        <is>
          <t>Операц. денежный поток</t>
        </is>
      </c>
      <c r="C133" s="24" t="inlineStr">
        <is>
          <t>тыс.руб</t>
        </is>
      </c>
      <c r="D133" s="52" t="n"/>
      <c r="E133" s="61">
        <f>E131+E132-E130</f>
        <v>66291.53429463896</v>
      </c>
      <c r="F133" s="61">
        <f>F131+F132-F130</f>
        <v>69078.59531954658</v>
      </c>
      <c r="G133" s="61">
        <f>G131+G132-G130</f>
        <v>122541.35247880948</v>
      </c>
      <c r="H133" s="61">
        <f>H131+H132-H130</f>
        <v>81709.95977690126</v>
      </c>
      <c r="I133" s="61">
        <f>I131+I132-I130</f>
        <v>67857.93457682</v>
      </c>
      <c r="J133" s="61">
        <f>J131+J132-J130</f>
        <v>134862.5523168571</v>
      </c>
      <c r="K133" s="61">
        <f>K131+K132-K130</f>
        <v>76862.18256449891</v>
      </c>
      <c r="L133" s="61">
        <f>L131+L132-L130</f>
        <v>98629.67888593412</v>
      </c>
      <c r="M133" s="61">
        <f>M131+M132-M130</f>
        <v>134539.79434605408</v>
      </c>
      <c r="N133" s="61">
        <f>N131+N132-N130</f>
        <v>80075.08313253857</v>
      </c>
    </row>
    <row r="134">
      <c r="B134" s="22" t="inlineStr">
        <is>
          <t>Инвестиции / остаточная ст-ть</t>
        </is>
      </c>
      <c r="C134" s="24" t="inlineStr">
        <is>
          <t>тыс.руб</t>
        </is>
      </c>
      <c r="D134" s="52">
        <f>IF(D$4=0,'Производительность'!I5,IF(D$4='Параметры'!C8,-'Ввод данных'!I14*'Производительность'!I5,0))</f>
        <v>287367.58</v>
      </c>
      <c r="E134" s="52">
        <f>IF(E$4=0,'Производительность'!I5,IF(E$4='Параметры'!C8,-'Ввод данных'!I14*'Производительность'!I5,0))</f>
        <v>0.0</v>
      </c>
      <c r="F134" s="52">
        <f>IF(F$4=0,'Производительность'!I5,IF(F$4='Параметры'!C8,-'Ввод данных'!I14*'Производительность'!I5,0))</f>
        <v>0.0</v>
      </c>
      <c r="G134" s="52">
        <f>IF(G$4=0,'Производительность'!I5,IF(G$4='Параметры'!C8,-'Ввод данных'!I14*'Производительность'!I5,0))</f>
        <v>0.0</v>
      </c>
      <c r="H134" s="52">
        <f>IF(H$4=0,'Производительность'!I5,IF(H$4='Параметры'!C8,-'Ввод данных'!I14*'Производительность'!I5,0))</f>
        <v>0.0</v>
      </c>
      <c r="I134" s="52">
        <f>IF(I$4=0,'Производительность'!I5,IF(I$4='Параметры'!C8,-'Ввод данных'!I14*'Производительность'!I5,0))</f>
        <v>0.0</v>
      </c>
      <c r="J134" s="52">
        <f>IF(J$4=0,'Производительность'!I5,IF(J$4='Параметры'!C8,-'Ввод данных'!I14*'Производительность'!I5,0))</f>
        <v>0.0</v>
      </c>
      <c r="K134" s="52">
        <f>IF(K$4=0,'Производительность'!I5,IF(K$4='Параметры'!C8,-'Ввод данных'!I14*'Производительность'!I5,0))</f>
        <v>0.0</v>
      </c>
      <c r="L134" s="52">
        <f>IF(L$4=0,'Производительность'!I5,IF(L$4='Параметры'!C8,-'Ввод данных'!I14*'Производительность'!I5,0))</f>
        <v>0.0</v>
      </c>
      <c r="M134" s="52">
        <f>IF(M$4=0,'Производительность'!I5,IF(M$4='Параметры'!C8,-'Ввод данных'!I14*'Производительность'!I5,0))</f>
        <v>0.0</v>
      </c>
      <c r="N134" s="52">
        <f>IF(N$4=0,'Производительность'!I5,IF(N$4='Параметры'!C8,-'Ввод данных'!I14*'Производительность'!I5,0))</f>
        <v>-0.0</v>
      </c>
    </row>
    <row r="135">
      <c r="B135" s="22" t="inlineStr">
        <is>
          <t>Чистый денежный поток</t>
        </is>
      </c>
      <c r="C135" s="24" t="inlineStr">
        <is>
          <t>тыс.руб</t>
        </is>
      </c>
      <c r="D135" s="61">
        <f>0+D134</f>
        <v>287367.58</v>
      </c>
      <c r="E135" s="61">
        <f>E133+E134</f>
        <v>66291.53429463896</v>
      </c>
      <c r="F135" s="61">
        <f>F133+F134</f>
        <v>69078.59531954658</v>
      </c>
      <c r="G135" s="61">
        <f>G133+G134</f>
        <v>122541.35247880948</v>
      </c>
      <c r="H135" s="61">
        <f>H133+H134</f>
        <v>81709.95977690126</v>
      </c>
      <c r="I135" s="61">
        <f>I133+I134</f>
        <v>67857.93457682</v>
      </c>
      <c r="J135" s="61">
        <f>J133+J134</f>
        <v>134862.5523168571</v>
      </c>
      <c r="K135" s="61">
        <f>K133+K134</f>
        <v>76862.18256449891</v>
      </c>
      <c r="L135" s="61">
        <f>L133+L134</f>
        <v>98629.67888593412</v>
      </c>
      <c r="M135" s="61">
        <f>M133+M134</f>
        <v>134539.79434605408</v>
      </c>
      <c r="N135" s="61">
        <f>N133+N134</f>
        <v>80075.08313253857</v>
      </c>
    </row>
    <row r="136">
      <c r="B136" s="22" t="inlineStr">
        <is>
          <t>Дисконтированный поток</t>
        </is>
      </c>
      <c r="C136" s="24" t="inlineStr">
        <is>
          <t>тыс.руб</t>
        </is>
      </c>
      <c r="D136" s="52">
        <f>D135*D$6</f>
        <v>287367.58</v>
      </c>
      <c r="E136" s="52">
        <f>E135*E$6</f>
        <v>59188.86990592763</v>
      </c>
      <c r="F136" s="52">
        <f>F135*F$6</f>
        <v>55069.033258567106</v>
      </c>
      <c r="G136" s="52">
        <f>G135*G$6</f>
        <v>87222.51423475755</v>
      </c>
      <c r="H136" s="52">
        <f>H135*H$6</f>
        <v>51928.15662395233</v>
      </c>
      <c r="I136" s="52">
        <f>I135*I$6</f>
        <v>38504.41445248338</v>
      </c>
      <c r="J136" s="52">
        <f>J135*J$6</f>
        <v>68325.56608512436</v>
      </c>
      <c r="K136" s="52">
        <f>K135*K$6</f>
        <v>34768.54797213213</v>
      </c>
      <c r="L136" s="52">
        <f>L135*L$6</f>
        <v>39834.87308301969</v>
      </c>
      <c r="M136" s="52">
        <f>M135*M$6</f>
        <v>48516.39860014713</v>
      </c>
      <c r="N136" s="52">
        <f>N135*N$6</f>
        <v>25782.033686452483</v>
      </c>
    </row>
    <row r="137">
      <c r="B137" s="22" t="inlineStr">
        <is>
          <t>Кумул. дисконт. поток</t>
        </is>
      </c>
      <c r="C137" s="24" t="inlineStr">
        <is>
          <t>тыс.руб</t>
        </is>
      </c>
      <c r="D137" s="52">
        <f>SUM($D136:D136)</f>
        <v>287367.58</v>
      </c>
      <c r="E137" s="52">
        <f>SUM($D136:E136)</f>
        <v>346556.44990592764</v>
      </c>
      <c r="F137" s="52">
        <f>SUM($D136:F136)</f>
        <v>401625.48316449474</v>
      </c>
      <c r="G137" s="52">
        <f>SUM($D136:G136)</f>
        <v>488847.99739925226</v>
      </c>
      <c r="H137" s="52">
        <f>SUM($D136:H136)</f>
        <v>540776.1540232046</v>
      </c>
      <c r="I137" s="52">
        <f>SUM($D136:I136)</f>
        <v>579280.568475688</v>
      </c>
      <c r="J137" s="52">
        <f>SUM($D136:J136)</f>
        <v>647606.1345608124</v>
      </c>
      <c r="K137" s="52">
        <f>SUM($D136:K136)</f>
        <v>682374.6825329445</v>
      </c>
      <c r="L137" s="52">
        <f>SUM($D136:L136)</f>
        <v>722209.5556159641</v>
      </c>
      <c r="M137" s="52">
        <f>SUM($D136:M136)</f>
        <v>770725.9542161112</v>
      </c>
      <c r="N137" s="52">
        <f>SUM($D136:N136)</f>
        <v>796507.9879025636</v>
      </c>
    </row>
    <row r="138">
      <c r="B138" s="39" t="inlineStr">
        <is>
          <t>Аннуитет по году</t>
        </is>
      </c>
      <c r="C138" s="24" t="inlineStr">
        <is>
          <t>руб/ткм</t>
        </is>
      </c>
      <c r="D138" s="62" t="n"/>
      <c r="E138" s="62">
        <f>SUM($D136:E136)/SUM($E$6:E$6)/(SUM($E122:E122)/E$4)</f>
        <v>37.348559634182585</v>
      </c>
      <c r="F138" s="62">
        <f>SUM($D136:F136)/SUM($E$6:F$6)/(SUM($E122:F122)/F$4)</f>
        <v>23.140166963413165</v>
      </c>
      <c r="G138" s="62">
        <f>SUM($D136:G136)/SUM($E$6:G$6)/(SUM($E122:G122)/G$4)</f>
        <v>19.96325284704796</v>
      </c>
      <c r="H138" s="62">
        <f>SUM($D136:H136)/SUM($E$6:H$6)/(SUM($E122:H122)/H$4)</f>
        <v>17.614501570842137</v>
      </c>
      <c r="I138" s="62">
        <f>SUM($D136:I136)/SUM($E$6:I$6)/(SUM($E122:I122)/I$4)</f>
        <v>15.910889016778679</v>
      </c>
      <c r="J138" s="62">
        <f>SUM($D136:J136)/SUM($E$6:J$6)/(SUM($E122:J122)/J$4)</f>
        <v>15.693694535159922</v>
      </c>
      <c r="K138" s="62">
        <f>SUM($D136:K136)/SUM($E$6:K$6)/(SUM($E122:K122)/K$4)</f>
        <v>15.00974957289336</v>
      </c>
      <c r="L138" s="62">
        <f>SUM($D136:L136)/SUM($E$6:L$6)/(SUM($E122:L122)/L$4)</f>
        <v>14.593140153526438</v>
      </c>
      <c r="M138" s="62">
        <f>SUM($D136:M136)/SUM($E$6:M$6)/(SUM($E122:M122)/M$4)</f>
        <v>14.580316899391974</v>
      </c>
      <c r="N138" s="62">
        <f>SUM($D136:N136)/SUM($E$6:N$6)/(SUM($E122:N122)/N$4)</f>
        <v>14.266905692150925</v>
      </c>
    </row>
  </sheetData>
  <mergeCells count="8">
    <mergeCell ref="B1:N1"/>
    <mergeCell ref="B8:N8"/>
    <mergeCell ref="B118:N118"/>
    <mergeCell ref="B96:N96"/>
    <mergeCell ref="B74:N74"/>
    <mergeCell ref="B52:N52"/>
    <mergeCell ref="B30:N30"/>
    <mergeCell ref="B2:N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РАСЧЁТ АННУИТЕТА (СВОД)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Приведённые NPV затрат из погодового движка → аннуитет руб/ткм и руб/т.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Статья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" t="inlineStr">
        <is>
          <t>ПРИВЕДЁННЫЕ ЗАТРАТЫ ЗА ЖИЗНЕННЫЙ ЦИКЛ (NPV, тыс.руб)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NPV топлива</t>
        </is>
      </c>
      <c r="C6" s="24" t="inlineStr">
        <is>
          <t>тыс.руб</t>
        </is>
      </c>
      <c r="D6" s="52">
        <f>SUMPRODUCT('Денежный поток'!E14:N14,'Денежный поток'!$E$6:$N$6)</f>
        <v>351618.1378559697</v>
      </c>
      <c r="E6" s="52">
        <f>SUMPRODUCT('Денежный поток'!E36:N36,'Денежный поток'!$E$6:$N$6)</f>
        <v>320707.72888034204</v>
      </c>
      <c r="F6" s="52">
        <f>SUMPRODUCT('Денежный поток'!E58:N58,'Денежный поток'!$E$6:$N$6)</f>
        <v>277359.05355158</v>
      </c>
      <c r="G6" s="52">
        <f>SUMPRODUCT('Денежный поток'!E80:N80,'Денежный поток'!$E$6:$N$6)</f>
        <v>333993.0787744955</v>
      </c>
      <c r="H6" s="52">
        <f>SUMPRODUCT('Денежный поток'!E102:N102,'Денежный поток'!$E$6:$N$6)</f>
        <v>290389.01112899533</v>
      </c>
      <c r="I6" s="52">
        <f>SUMPRODUCT('Денежный поток'!E124:N124,'Денежный поток'!$E$6:$N$6)</f>
        <v>291221.5088084783</v>
      </c>
    </row>
    <row r="7">
      <c r="B7" s="22" t="inlineStr">
        <is>
          <t>NPV ТОиР (по годам, вкл. капремонты)</t>
        </is>
      </c>
      <c r="C7" s="24" t="inlineStr">
        <is>
          <t>тыс.руб</t>
        </is>
      </c>
      <c r="D7" s="52">
        <f>SUMPRODUCT('Денежный поток'!E15:N15,'Денежный поток'!$E$6:$N$6)</f>
        <v>332252.5561036698</v>
      </c>
      <c r="E7" s="52">
        <f>SUMPRODUCT('Денежный поток'!E37:N37,'Денежный поток'!$E$6:$N$6)</f>
        <v>387354.79430298286</v>
      </c>
      <c r="F7" s="52">
        <f>SUMPRODUCT('Денежный поток'!E59:N59,'Денежный поток'!$E$6:$N$6)</f>
        <v>298428.32981952105</v>
      </c>
      <c r="G7" s="52">
        <f>SUMPRODUCT('Денежный поток'!E81:N81,'Денежный поток'!$E$6:$N$6)</f>
        <v>385608.4347937469</v>
      </c>
      <c r="H7" s="52">
        <f>SUMPRODUCT('Денежный поток'!E103:N103,'Денежный поток'!$E$6:$N$6)</f>
        <v>265860.2568665771</v>
      </c>
      <c r="I7" s="52">
        <f>SUMPRODUCT('Денежный поток'!E125:N125,'Денежный поток'!$E$6:$N$6)</f>
        <v>265860.2568665771</v>
      </c>
    </row>
    <row r="8">
      <c r="B8" s="22" t="inlineStr">
        <is>
          <t>NPV шин</t>
        </is>
      </c>
      <c r="C8" s="24" t="inlineStr">
        <is>
          <t>тыс.руб</t>
        </is>
      </c>
      <c r="D8" s="52">
        <f>SUMPRODUCT('Денежный поток'!E16:N16,'Денежный поток'!$E$6:$N$6)</f>
        <v>101907.90735897617</v>
      </c>
      <c r="E8" s="52">
        <f>SUMPRODUCT('Денежный поток'!E38:N38,'Денежный поток'!$E$6:$N$6)</f>
        <v>100163.89686623527</v>
      </c>
      <c r="F8" s="52">
        <f>SUMPRODUCT('Денежный поток'!E60:N60,'Денежный поток'!$E$6:$N$6)</f>
        <v>84635.33023832992</v>
      </c>
      <c r="G8" s="52">
        <f>SUMPRODUCT('Денежный поток'!E82:N82,'Денежный поток'!$E$6:$N$6)</f>
        <v>99328.7171379732</v>
      </c>
      <c r="H8" s="52">
        <f>SUMPRODUCT('Денежный поток'!E104:N104,'Денежный поток'!$E$6:$N$6)</f>
        <v>84645.19409898587</v>
      </c>
      <c r="I8" s="52">
        <f>SUMPRODUCT('Денежный поток'!E126:N126,'Денежный поток'!$E$6:$N$6)</f>
        <v>84887.85799109678</v>
      </c>
    </row>
    <row r="9">
      <c r="B9" s="22" t="inlineStr">
        <is>
          <t>NPV персонала</t>
        </is>
      </c>
      <c r="C9" s="24" t="inlineStr">
        <is>
          <t>тыс.руб</t>
        </is>
      </c>
      <c r="D9" s="52">
        <f>SUMPRODUCT('Денежный поток'!E17:N17,'Денежный поток'!$E$6:$N$6)</f>
        <v>104391.26058370774</v>
      </c>
      <c r="E9" s="52">
        <f>SUMPRODUCT('Денежный поток'!E39:N39,'Денежный поток'!$E$6:$N$6)</f>
        <v>104391.26058370774</v>
      </c>
      <c r="F9" s="52">
        <f>SUMPRODUCT('Денежный поток'!E61:N61,'Денежный поток'!$E$6:$N$6)</f>
        <v>104391.26058370774</v>
      </c>
      <c r="G9" s="52">
        <f>SUMPRODUCT('Денежный поток'!E83:N83,'Денежный поток'!$E$6:$N$6)</f>
        <v>104391.26058370774</v>
      </c>
      <c r="H9" s="52">
        <f>SUMPRODUCT('Денежный поток'!E105:N105,'Денежный поток'!$E$6:$N$6)</f>
        <v>104391.26058370774</v>
      </c>
      <c r="I9" s="52">
        <f>SUMPRODUCT('Денежный поток'!E127:N127,'Денежный поток'!$E$6:$N$6)</f>
        <v>104391.26058370774</v>
      </c>
    </row>
    <row r="10">
      <c r="B10" s="22" t="inlineStr">
        <is>
          <t>NPV транспортного налога</t>
        </is>
      </c>
      <c r="C10" s="24" t="inlineStr">
        <is>
          <t>тыс.руб</t>
        </is>
      </c>
      <c r="D10" s="52">
        <f>SUMPRODUCT('Денежный поток'!E18:N18,'Денежный поток'!$E$6:$N$6)</f>
        <v>1200.6723935373082</v>
      </c>
      <c r="E10" s="52">
        <f>SUMPRODUCT('Денежный поток'!E40:N40,'Денежный поток'!$E$6:$N$6)</f>
        <v>1200.6723935373082</v>
      </c>
      <c r="F10" s="52">
        <f>SUMPRODUCT('Денежный поток'!E62:N62,'Денежный поток'!$E$6:$N$6)</f>
        <v>1365.404645930627</v>
      </c>
      <c r="G10" s="52">
        <f>SUMPRODUCT('Денежный поток'!E84:N84,'Денежный поток'!$E$6:$N$6)</f>
        <v>1200.6723935373082</v>
      </c>
      <c r="H10" s="52">
        <f>SUMPRODUCT('Денежный поток'!E106:N106,'Денежный поток'!$E$6:$N$6)</f>
        <v>1217.4818070468307</v>
      </c>
      <c r="I10" s="52">
        <f>SUMPRODUCT('Денежный поток'!E128:N128,'Денежный поток'!$E$6:$N$6)</f>
        <v>1217.4818070468307</v>
      </c>
    </row>
    <row r="11">
      <c r="B11" s="22" t="inlineStr">
        <is>
          <t>NPV налога (щит)</t>
        </is>
      </c>
      <c r="C11" s="24" t="inlineStr">
        <is>
          <t>тыс.руб</t>
        </is>
      </c>
      <c r="D11" s="52">
        <f>SUMPRODUCT('Денежный поток'!E22:N22,'Денежный поток'!$E$6:$N$6)</f>
        <v>-278906.15854184376</v>
      </c>
      <c r="E11" s="52">
        <f>SUMPRODUCT('Денежный поток'!E44:N44,'Денежный поток'!$E$6:$N$6)</f>
        <v>-285676.5994708613</v>
      </c>
      <c r="F11" s="52">
        <f>SUMPRODUCT('Денежный поток'!E66:N66,'Денежный поток'!$E$6:$N$6)</f>
        <v>-244651.81784341665</v>
      </c>
      <c r="G11" s="52">
        <f>SUMPRODUCT('Денежный поток'!E88:N88,'Денежный поток'!$E$6:$N$6)</f>
        <v>-285456.91407104325</v>
      </c>
      <c r="H11" s="52">
        <f>SUMPRODUCT('Денежный поток'!E110:N110,'Денежный поток'!$E$6:$N$6)</f>
        <v>-238169.1659678056</v>
      </c>
      <c r="I11" s="52">
        <f>SUMPRODUCT('Денежный поток'!E132:N132,'Денежный поток'!$E$6:$N$6)</f>
        <v>-238437.95815434292</v>
      </c>
    </row>
    <row r="12">
      <c r="B12" s="22" t="inlineStr">
        <is>
          <t>NPV инвестиций (за вычетом остат.)</t>
        </is>
      </c>
      <c r="C12" s="24" t="inlineStr">
        <is>
          <t>тыс.руб</t>
        </is>
      </c>
      <c r="D12" s="52">
        <f>'Производительность'!D5*(1-'Ввод данных'!D14*'Денежный поток'!$N$6)</f>
        <v>312568.63</v>
      </c>
      <c r="E12" s="52">
        <f>'Производительность'!E5*(1-'Ввод данных'!E14*'Денежный поток'!$N$6)</f>
        <v>319027.49</v>
      </c>
      <c r="F12" s="52">
        <f>'Производительность'!F5*(1-'Ввод данных'!F14*'Денежный поток'!$N$6)</f>
        <v>296085.09</v>
      </c>
      <c r="G12" s="52">
        <f>'Производительность'!G5*(1-'Ввод данных'!G14*'Денежный поток'!$N$6)</f>
        <v>302883.56</v>
      </c>
      <c r="H12" s="52">
        <f>'Производительность'!H5*(1-'Ввод данных'!H14*'Денежный поток'!$N$6)</f>
        <v>287367.57</v>
      </c>
      <c r="I12" s="52">
        <f>'Производительность'!I5*(1-'Ввод данных'!I14*'Денежный поток'!$N$6)</f>
        <v>287367.58</v>
      </c>
    </row>
    <row r="13">
      <c r="B13" s="51" t="inlineStr">
        <is>
          <t>NPV операционных затрат</t>
        </is>
      </c>
      <c r="C13" s="24" t="inlineStr">
        <is>
          <t>тыс.руб</t>
        </is>
      </c>
      <c r="D13" s="61">
        <f>D6+D7+D8+D9+D10+D11</f>
        <v>612464.375754017</v>
      </c>
      <c r="E13" s="61">
        <f>E6+E7+E8+E9+E10+E11</f>
        <v>628141.753555944</v>
      </c>
      <c r="F13" s="61">
        <f>F6+F7+F8+F9+F10+F11</f>
        <v>521527.56099565263</v>
      </c>
      <c r="G13" s="61">
        <f>G6+G7+G8+G9+G10+G11</f>
        <v>639065.2496124174</v>
      </c>
      <c r="H13" s="61">
        <f>H6+H7+H8+H9+H10+H11</f>
        <v>508334.0385175072</v>
      </c>
      <c r="I13" s="61">
        <f>I6+I7+I8+I9+I10+I11</f>
        <v>509140.4079025637</v>
      </c>
    </row>
    <row r="14">
      <c r="B14" s="39" t="inlineStr">
        <is>
          <t>NPV полной стоимости владения</t>
        </is>
      </c>
      <c r="C14" s="24" t="inlineStr">
        <is>
          <t>тыс.руб</t>
        </is>
      </c>
      <c r="D14" s="63">
        <f>D12+D13</f>
        <v>925033.005754017</v>
      </c>
      <c r="E14" s="63">
        <f>E12+E13</f>
        <v>947169.243555944</v>
      </c>
      <c r="F14" s="63">
        <f>F12+F13</f>
        <v>817612.6509956527</v>
      </c>
      <c r="G14" s="63">
        <f>G12+G13</f>
        <v>941948.8096124174</v>
      </c>
      <c r="H14" s="63">
        <f>H12+H13</f>
        <v>795701.6085175072</v>
      </c>
      <c r="I14" s="63">
        <f>I12+I13</f>
        <v>796507.9879025638</v>
      </c>
    </row>
    <row r="15">
      <c r="B15" s="22" t="inlineStr">
        <is>
          <t>Средний годовой грузооборот</t>
        </is>
      </c>
      <c r="C15" s="24" t="inlineStr">
        <is>
          <t>тыс.ткм/год</t>
        </is>
      </c>
      <c r="D15" s="52">
        <f>AVERAGE('Денежный поток'!E12:N12)</f>
        <v>12011.241823289358</v>
      </c>
      <c r="E15" s="52">
        <f>AVERAGE('Денежный поток'!E34:N34)</f>
        <v>10889.988062604181</v>
      </c>
      <c r="F15" s="52">
        <f>AVERAGE('Денежный поток'!E56:N56)</f>
        <v>9438.205731070111</v>
      </c>
      <c r="G15" s="52">
        <f>AVERAGE('Денежный поток'!E78:N78)</f>
        <v>11438.911284740985</v>
      </c>
      <c r="H15" s="52">
        <f>AVERAGE('Денежный поток'!E100:N100)</f>
        <v>9880.448498753849</v>
      </c>
      <c r="I15" s="52">
        <f>AVERAGE('Денежный поток'!E122:N122)</f>
        <v>9880.860189825893</v>
      </c>
    </row>
    <row r="16">
      <c r="B16" s="22" t="inlineStr">
        <is>
          <t>Средний годовой объём перевозки</t>
        </is>
      </c>
      <c r="C16" s="24" t="inlineStr">
        <is>
          <t>тыс.т/год</t>
        </is>
      </c>
      <c r="D16" s="52">
        <f>AVERAGE('Денежный поток'!E11:N11)</f>
        <v>2824.18100712188</v>
      </c>
      <c r="E16" s="52">
        <f>AVERAGE('Денежный поток'!E33:N33)</f>
        <v>2560.5426904782935</v>
      </c>
      <c r="F16" s="52">
        <f>AVERAGE('Денежный поток'!E55:N55)</f>
        <v>2221.7998425306287</v>
      </c>
      <c r="G16" s="52">
        <f>AVERAGE('Денежный поток'!E77:N77)</f>
        <v>2804.3420653937205</v>
      </c>
      <c r="H16" s="52">
        <f>AVERAGE('Денежный поток'!E99:N99)</f>
        <v>2325.9059554505297</v>
      </c>
      <c r="I16" s="52">
        <f>AVERAGE('Денежный поток'!E121:N121)</f>
        <v>2326.002869544702</v>
      </c>
    </row>
    <row r="17">
      <c r="B17" s="5" t="inlineStr">
        <is>
          <t>УДЕЛЬНЫЙ АННУИТЕТ (руб/ткм) — ГЛАВНЫЙ КРИТЕРИЙ</t>
        </is>
      </c>
      <c r="C17" s="4" t="n"/>
      <c r="D17" s="4" t="n"/>
      <c r="E17" s="4" t="n"/>
      <c r="F17" s="4" t="n"/>
      <c r="G17" s="4" t="n"/>
      <c r="H17" s="4" t="n"/>
      <c r="I17" s="4" t="n"/>
    </row>
    <row r="18">
      <c r="B18" s="22" t="inlineStr">
        <is>
          <t>Инвестиционный (по сроку службы)</t>
        </is>
      </c>
      <c r="C18" s="24" t="inlineStr">
        <is>
          <t>руб/ткм</t>
        </is>
      </c>
      <c r="D18" s="53">
        <f>D12/(IF('Параметры'!C6=0,'Ввод данных'!D15,(1-(1+'Параметры'!C6)^-'Ввод данных'!D15)/'Параметры'!C6))/D15</f>
        <v>4.605660142140731</v>
      </c>
      <c r="E18" s="53">
        <f>E12/(IF('Параметры'!C6=0,'Ввод данных'!E15,(1-(1+'Параметры'!C6)^-'Ввод данных'!E15)/'Параметры'!C6))/E15</f>
        <v>5.1848370574026825</v>
      </c>
      <c r="F18" s="53">
        <f>F12/(IF('Параметры'!C6=0,'Ввод данных'!F15,(1-(1+'Параметры'!C6)^-'Ввод данных'!F15)/'Параметры'!C6))/F15</f>
        <v>5.552154049930927</v>
      </c>
      <c r="G18" s="53">
        <f>G12/(IF('Параметры'!C6=0,'Ввод данных'!G15,(1-(1+'Параметры'!C6)^-'Ввод данных'!G15)/'Параметры'!C6))/G15</f>
        <v>5.330168205394955</v>
      </c>
      <c r="H18" s="53">
        <f>H12/(IF('Параметры'!C6=0,'Ввод данных'!H15,(1-(1+'Параметры'!C6)^-'Ввод данных'!H15)/'Параметры'!C6))/H15</f>
        <v>5.147489933226212</v>
      </c>
      <c r="I18" s="53">
        <f>I12/(IF('Параметры'!C6=0,'Ввод данных'!I15,(1-(1+'Параметры'!C6)^-'Ввод данных'!I15)/'Параметры'!C6))/I15</f>
        <v>5.147275639554747</v>
      </c>
    </row>
    <row r="19">
      <c r="B19" s="22" t="inlineStr">
        <is>
          <t>Топливо</t>
        </is>
      </c>
      <c r="C19" s="24" t="inlineStr">
        <is>
          <t>руб/ткм</t>
        </is>
      </c>
      <c r="D19" s="53">
        <f>D6/'Параметры'!C45/D15</f>
        <v>5.181049815450081</v>
      </c>
      <c r="E19" s="53">
        <f>E6/'Параметры'!C45/E15</f>
        <v>5.212144311746457</v>
      </c>
      <c r="F19" s="53">
        <f>F6/'Параметры'!C45/F15</f>
        <v>5.201005536825288</v>
      </c>
      <c r="G19" s="53">
        <f>G6/'Параметры'!C45/G15</f>
        <v>5.167579711972171</v>
      </c>
      <c r="H19" s="53">
        <f>H6/'Параметры'!C45/H15</f>
        <v>5.201611690233584</v>
      </c>
      <c r="I19" s="53">
        <f>I6/'Параметры'!C45/I15</f>
        <v>5.216306508911892</v>
      </c>
    </row>
    <row r="20">
      <c r="B20" s="22" t="inlineStr">
        <is>
          <t>ТОиР + капремонты</t>
        </is>
      </c>
      <c r="C20" s="24" t="inlineStr">
        <is>
          <t>руб/ткм</t>
        </is>
      </c>
      <c r="D20" s="53">
        <f>D7/'Параметры'!C45/D15</f>
        <v>4.8957003611368455</v>
      </c>
      <c r="E20" s="53">
        <f>E7/'Параметры'!C45/E15</f>
        <v>6.295292897376019</v>
      </c>
      <c r="F20" s="53">
        <f>F7/'Параметры'!C45/F15</f>
        <v>5.596094217448019</v>
      </c>
      <c r="G20" s="53">
        <f>G7/'Параметры'!C45/G15</f>
        <v>5.966178496024795</v>
      </c>
      <c r="H20" s="53">
        <f>H7/'Параметры'!C45/H15</f>
        <v>4.762238814441171</v>
      </c>
      <c r="I20" s="53">
        <f>I7/'Параметры'!C45/I15</f>
        <v>4.762040393335601</v>
      </c>
    </row>
    <row r="21">
      <c r="B21" s="22" t="inlineStr">
        <is>
          <t>Шины</t>
        </is>
      </c>
      <c r="C21" s="24" t="inlineStr">
        <is>
          <t>руб/ткм</t>
        </is>
      </c>
      <c r="D21" s="53">
        <f>D8/'Параметры'!C45/D15</f>
        <v>1.501600423216516</v>
      </c>
      <c r="E21" s="53">
        <f>E8/'Параметры'!C45/E15</f>
        <v>1.6278643708287241</v>
      </c>
      <c r="F21" s="53">
        <f>F8/'Параметры'!C45/F15</f>
        <v>1.5870721202137696</v>
      </c>
      <c r="G21" s="53">
        <f>G8/'Параметры'!C45/G15</f>
        <v>1.53682544974225</v>
      </c>
      <c r="H21" s="53">
        <f>H8/'Параметры'!C45/H15</f>
        <v>1.5162124401180985</v>
      </c>
      <c r="I21" s="53">
        <f>I8/'Параметры'!C45/I15</f>
        <v>1.5204958176964682</v>
      </c>
    </row>
    <row r="22">
      <c r="B22" s="22" t="inlineStr">
        <is>
          <t>Персонал</t>
        </is>
      </c>
      <c r="C22" s="24" t="inlineStr">
        <is>
          <t>руб/ткм</t>
        </is>
      </c>
      <c r="D22" s="53">
        <f>D9/'Параметры'!C45/D15</f>
        <v>1.5381923261403727</v>
      </c>
      <c r="E22" s="53">
        <f>E9/'Параметры'!C45/E15</f>
        <v>1.696567516308353</v>
      </c>
      <c r="F22" s="53">
        <f>F9/'Параметры'!C45/F15</f>
        <v>1.9575330869488485</v>
      </c>
      <c r="G22" s="53">
        <f>G9/'Параметры'!C45/G15</f>
        <v>1.6151537100078432</v>
      </c>
      <c r="H22" s="53">
        <f>H9/'Параметры'!C45/H15</f>
        <v>1.869915115931244</v>
      </c>
      <c r="I22" s="53">
        <f>I9/'Параметры'!C45/I15</f>
        <v>1.8698372049656073</v>
      </c>
    </row>
    <row r="23">
      <c r="B23" s="22" t="inlineStr">
        <is>
          <t>Транспортный налог</t>
        </is>
      </c>
      <c r="C23" s="24" t="inlineStr">
        <is>
          <t>руб/ткм</t>
        </is>
      </c>
      <c r="D23" s="53">
        <f>D10/'Параметры'!C45/D15</f>
        <v>0.01769175936396269</v>
      </c>
      <c r="E23" s="53">
        <f>E10/'Параметры'!C45/E15</f>
        <v>0.019513336357981602</v>
      </c>
      <c r="F23" s="53">
        <f>F10/'Параметры'!C45/F15</f>
        <v>0.025603913167995842</v>
      </c>
      <c r="G23" s="53">
        <f>G10/'Параметры'!C45/G15</f>
        <v>0.018576942744845452</v>
      </c>
      <c r="H23" s="53">
        <f>H10/'Параметры'!C45/H15</f>
        <v>0.021808220550633525</v>
      </c>
      <c r="I23" s="53">
        <f>I10/'Параметры'!C45/I15</f>
        <v>0.02180731190001755</v>
      </c>
    </row>
    <row r="24">
      <c r="B24" s="22" t="inlineStr">
        <is>
          <t>Налог на прибыль (щит)</t>
        </is>
      </c>
      <c r="C24" s="24" t="inlineStr">
        <is>
          <t>руб/ткм</t>
        </is>
      </c>
      <c r="D24" s="53">
        <f>D11/'Параметры'!C45/D15</f>
        <v>-4.109647784532163</v>
      </c>
      <c r="E24" s="53">
        <f>E11/'Параметры'!C45/E15</f>
        <v>-4.642818145136349</v>
      </c>
      <c r="F24" s="53">
        <f>F11/'Параметры'!C45/F15</f>
        <v>-4.587683159804801</v>
      </c>
      <c r="G24" s="53">
        <f>G11/'Параметры'!C45/G15</f>
        <v>-4.416622533641407</v>
      </c>
      <c r="H24" s="53">
        <f>H11/'Параметры'!C45/H15</f>
        <v>-4.266220381875945</v>
      </c>
      <c r="I24" s="53">
        <f>I11/'Параметры'!C45/I15</f>
        <v>-4.2708571842134155</v>
      </c>
    </row>
    <row r="25">
      <c r="B25" s="51" t="inlineStr">
        <is>
          <t>Операционный аннуитет</t>
        </is>
      </c>
      <c r="C25" s="24" t="inlineStr">
        <is>
          <t>руб/ткм</t>
        </is>
      </c>
      <c r="D25" s="64">
        <f>D13/'Параметры'!C45/D15</f>
        <v>9.024586900775615</v>
      </c>
      <c r="E25" s="64">
        <f>E13/'Параметры'!C45/E15</f>
        <v>10.208564287481186</v>
      </c>
      <c r="F25" s="64">
        <f>F13/'Параметры'!C45/F15</f>
        <v>9.779625714799117</v>
      </c>
      <c r="G25" s="64">
        <f>G13/'Параметры'!C45/G15</f>
        <v>9.887691776850497</v>
      </c>
      <c r="H25" s="64">
        <f>H13/'Параметры'!C45/H15</f>
        <v>9.105565899398787</v>
      </c>
      <c r="I25" s="64">
        <f>I13/'Параметры'!C45/I15</f>
        <v>9.119630052596166</v>
      </c>
    </row>
    <row r="26">
      <c r="B26" s="39" t="inlineStr">
        <is>
          <t>ОБЩИЙ АННУИТЕТ</t>
        </is>
      </c>
      <c r="C26" s="24" t="inlineStr">
        <is>
          <t>руб/ткм</t>
        </is>
      </c>
      <c r="D26" s="65">
        <f>D18+D25</f>
        <v>13.630247042916345</v>
      </c>
      <c r="E26" s="65">
        <f>E18+E25</f>
        <v>15.39340134488387</v>
      </c>
      <c r="F26" s="65">
        <f>F18+F25</f>
        <v>15.331779764730044</v>
      </c>
      <c r="G26" s="65">
        <f>G18+G25</f>
        <v>15.217859982245452</v>
      </c>
      <c r="H26" s="65">
        <f>H18+H25</f>
        <v>14.253055832624998</v>
      </c>
      <c r="I26" s="65">
        <f>I18+I25</f>
        <v>14.266905692150914</v>
      </c>
    </row>
    <row r="27">
      <c r="B27" s="5" t="inlineStr">
        <is>
          <t>ДОПОЛНИТЕЛЬНЫЕ ПОКАЗАТЕЛИ</t>
        </is>
      </c>
      <c r="C27" s="4" t="n"/>
      <c r="D27" s="4" t="n"/>
      <c r="E27" s="4" t="n"/>
      <c r="F27" s="4" t="n"/>
      <c r="G27" s="4" t="n"/>
      <c r="H27" s="4" t="n"/>
      <c r="I27" s="4" t="n"/>
    </row>
    <row r="28">
      <c r="B28" s="51" t="inlineStr">
        <is>
          <t>Удельный аннуитет на тонну</t>
        </is>
      </c>
      <c r="C28" s="24" t="inlineStr">
        <is>
          <t>руб/т</t>
        </is>
      </c>
      <c r="D28" s="64">
        <f>D26*'Ввод данных'!D18</f>
        <v>57.969440673523216</v>
      </c>
      <c r="E28" s="64">
        <f>E26*'Ввод данных'!E18</f>
        <v>65.4681359197911</v>
      </c>
      <c r="F28" s="64">
        <f>F26*'Ввод данных'!F18</f>
        <v>65.12940044057324</v>
      </c>
      <c r="G28" s="64">
        <f>G26*'Ввод данных'!G18</f>
        <v>62.0736508675792</v>
      </c>
      <c r="H28" s="64">
        <f>H26*'Ввод данных'!H18</f>
        <v>60.546981176991</v>
      </c>
      <c r="I28" s="64">
        <f>I26*'Ввод данных'!I18</f>
        <v>60.605815380257084</v>
      </c>
    </row>
    <row r="29">
      <c r="B29" s="22" t="inlineStr">
        <is>
          <t>Себестоимость (без дисконта)</t>
        </is>
      </c>
      <c r="C29" s="24" t="inlineStr">
        <is>
          <t>руб/ткм</t>
        </is>
      </c>
      <c r="D29" s="53">
        <f>AVERAGE('Денежный поток'!E19:N19)/D15</f>
        <v>13.347287122977121</v>
      </c>
      <c r="E29" s="53">
        <f>AVERAGE('Денежный поток'!E41:N41)/E15</f>
        <v>15.086323433266507</v>
      </c>
      <c r="F29" s="53">
        <f>AVERAGE('Денежный поток'!E63:N63)/F15</f>
        <v>14.585669224707685</v>
      </c>
      <c r="G29" s="53">
        <f>AVERAGE('Денежный поток'!E85:N85)/G15</f>
        <v>14.58284444740173</v>
      </c>
      <c r="H29" s="53">
        <f>AVERAGE('Денежный поток'!E107:N107)/H15</f>
        <v>13.552285241300204</v>
      </c>
      <c r="I29" s="53">
        <f>AVERAGE('Денежный поток'!E129:N129)/I15</f>
        <v>13.551999095877573</v>
      </c>
    </row>
    <row r="30">
      <c r="B30" s="22" t="inlineStr">
        <is>
          <t>Доля инвестиций в аннуитете</t>
        </is>
      </c>
      <c r="C30" s="24" t="inlineStr">
        <is>
          <t>%</t>
        </is>
      </c>
      <c r="D30" s="55">
        <f>D18/D26</f>
        <v>0.3378999755205682</v>
      </c>
      <c r="E30" s="55">
        <f>E18/E26</f>
        <v>0.33682205389427516</v>
      </c>
      <c r="F30" s="55">
        <f>F18/F26</f>
        <v>0.3621336945305832</v>
      </c>
      <c r="G30" s="55">
        <f>G18/G26</f>
        <v>0.3502574088349884</v>
      </c>
      <c r="H30" s="55">
        <f>H18/H26</f>
        <v>0.36114991715977823</v>
      </c>
      <c r="I30" s="55">
        <f>I18/I26</f>
        <v>0.3607843039424151</v>
      </c>
    </row>
  </sheetData>
  <mergeCells count="5">
    <mergeCell ref="B1:K1"/>
    <mergeCell ref="B5:I5"/>
    <mergeCell ref="B2:K2"/>
    <mergeCell ref="B27:I27"/>
    <mergeCell ref="B17:I1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СРАВНИТЕЛЬНЫЙ АНАЛИЗ АВТОСАМОСВАЛОВ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Ранжирование по удельному аннуитету (руб/ткм). Зелёным — лучший вариант.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22" t="inlineStr">
        <is>
          <t>Стоимость (в рублях)</t>
        </is>
      </c>
      <c r="C5" s="24" t="inlineStr">
        <is>
          <t>тыс.руб</t>
        </is>
      </c>
      <c r="D5" s="52">
        <f>'Производительность'!D5</f>
        <v>312568.63</v>
      </c>
      <c r="E5" s="52">
        <f>'Производительность'!E5</f>
        <v>319027.49</v>
      </c>
      <c r="F5" s="52">
        <f>'Производительность'!F5</f>
        <v>296085.09</v>
      </c>
      <c r="G5" s="52">
        <f>'Производительность'!G5</f>
        <v>302883.56</v>
      </c>
      <c r="H5" s="52">
        <f>'Производительность'!H5</f>
        <v>287367.57</v>
      </c>
      <c r="I5" s="52">
        <f>'Производительность'!I5</f>
        <v>287367.58</v>
      </c>
    </row>
    <row r="6">
      <c r="B6" s="22" t="inlineStr">
        <is>
          <t>Часовая производительность</t>
        </is>
      </c>
      <c r="C6" s="24" t="inlineStr">
        <is>
          <t>т/эфф.час</t>
        </is>
      </c>
      <c r="D6" s="66">
        <f>'Производительность'!D9</f>
        <v>432.00155150037773</v>
      </c>
      <c r="E6" s="66">
        <f>'Производительность'!E9</f>
        <v>400.88530278651376</v>
      </c>
      <c r="F6" s="66">
        <f>'Производительность'!F9</f>
        <v>410.6629346520738</v>
      </c>
      <c r="G6" s="66">
        <f>'Производительность'!G9</f>
        <v>433.9650201727068</v>
      </c>
      <c r="H6" s="66">
        <f>'Производительность'!H9</f>
        <v>429.9052268822377</v>
      </c>
      <c r="I6" s="66">
        <f>'Производительность'!I9</f>
        <v>429.9052268822377</v>
      </c>
    </row>
    <row r="7">
      <c r="B7" s="22" t="inlineStr">
        <is>
          <t>Средний годовой грузооборот</t>
        </is>
      </c>
      <c r="C7" s="24" t="inlineStr">
        <is>
          <t>тыс.ткм</t>
        </is>
      </c>
      <c r="D7" s="52">
        <f>'Расчёт аннуитета'!D15</f>
        <v>12011.241823289358</v>
      </c>
      <c r="E7" s="52">
        <f>'Расчёт аннуитета'!E15</f>
        <v>10889.988062604181</v>
      </c>
      <c r="F7" s="52">
        <f>'Расчёт аннуитета'!F15</f>
        <v>9438.205731070111</v>
      </c>
      <c r="G7" s="52">
        <f>'Расчёт аннуитета'!G15</f>
        <v>11438.911284740985</v>
      </c>
      <c r="H7" s="52">
        <f>'Расчёт аннуитета'!H15</f>
        <v>9880.448498753849</v>
      </c>
      <c r="I7" s="52">
        <f>'Расчёт аннуитета'!I15</f>
        <v>9880.860189825893</v>
      </c>
    </row>
    <row r="8">
      <c r="B8" s="22" t="inlineStr">
        <is>
          <t>NPV стоимости владения</t>
        </is>
      </c>
      <c r="C8" s="24" t="inlineStr">
        <is>
          <t>тыс.руб</t>
        </is>
      </c>
      <c r="D8" s="52">
        <f>'Расчёт аннуитета'!D14</f>
        <v>925033.005754017</v>
      </c>
      <c r="E8" s="52">
        <f>'Расчёт аннуитета'!E14</f>
        <v>947169.243555944</v>
      </c>
      <c r="F8" s="52">
        <f>'Расчёт аннуитета'!F14</f>
        <v>817612.6509956527</v>
      </c>
      <c r="G8" s="52">
        <f>'Расчёт аннуитета'!G14</f>
        <v>941948.8096124174</v>
      </c>
      <c r="H8" s="52">
        <f>'Расчёт аннуитета'!H14</f>
        <v>795701.6085175072</v>
      </c>
      <c r="I8" s="52">
        <f>'Расчёт аннуитета'!I14</f>
        <v>796507.9879025638</v>
      </c>
    </row>
    <row r="9">
      <c r="B9" s="22" t="inlineStr">
        <is>
          <t>Себестоимость (без дисконта)</t>
        </is>
      </c>
      <c r="C9" s="24" t="inlineStr">
        <is>
          <t>руб/ткм</t>
        </is>
      </c>
      <c r="D9" s="53">
        <f>'Расчёт аннуитета'!D29</f>
        <v>13.347287122977121</v>
      </c>
      <c r="E9" s="53">
        <f>'Расчёт аннуитета'!E29</f>
        <v>15.086323433266507</v>
      </c>
      <c r="F9" s="53">
        <f>'Расчёт аннуитета'!F29</f>
        <v>14.585669224707685</v>
      </c>
      <c r="G9" s="53">
        <f>'Расчёт аннуитета'!G29</f>
        <v>14.58284444740173</v>
      </c>
      <c r="H9" s="53">
        <f>'Расчёт аннуитета'!H29</f>
        <v>13.552285241300204</v>
      </c>
      <c r="I9" s="53">
        <f>'Расчёт аннуитета'!I29</f>
        <v>13.551999095877573</v>
      </c>
    </row>
    <row r="10">
      <c r="B10" s="22" t="inlineStr">
        <is>
          <t>Инвестиционный аннуитет</t>
        </is>
      </c>
      <c r="C10" s="24" t="inlineStr">
        <is>
          <t>руб/ткм</t>
        </is>
      </c>
      <c r="D10" s="53">
        <f>'Расчёт аннуитета'!D18</f>
        <v>4.605660142140731</v>
      </c>
      <c r="E10" s="53">
        <f>'Расчёт аннуитета'!E18</f>
        <v>5.1848370574026825</v>
      </c>
      <c r="F10" s="53">
        <f>'Расчёт аннуитета'!F18</f>
        <v>5.552154049930927</v>
      </c>
      <c r="G10" s="53">
        <f>'Расчёт аннуитета'!G18</f>
        <v>5.330168205394955</v>
      </c>
      <c r="H10" s="53">
        <f>'Расчёт аннуитета'!H18</f>
        <v>5.147489933226212</v>
      </c>
      <c r="I10" s="53">
        <f>'Расчёт аннуитета'!I18</f>
        <v>5.147275639554747</v>
      </c>
    </row>
    <row r="11">
      <c r="B11" s="22" t="inlineStr">
        <is>
          <t>Операционный аннуитет</t>
        </is>
      </c>
      <c r="C11" s="24" t="inlineStr">
        <is>
          <t>руб/ткм</t>
        </is>
      </c>
      <c r="D11" s="53">
        <f>'Расчёт аннуитета'!D25</f>
        <v>9.024586900775615</v>
      </c>
      <c r="E11" s="53">
        <f>'Расчёт аннуитета'!E25</f>
        <v>10.208564287481186</v>
      </c>
      <c r="F11" s="53">
        <f>'Расчёт аннуитета'!F25</f>
        <v>9.779625714799117</v>
      </c>
      <c r="G11" s="53">
        <f>'Расчёт аннуитета'!G25</f>
        <v>9.887691776850497</v>
      </c>
      <c r="H11" s="53">
        <f>'Расчёт аннуитета'!H25</f>
        <v>9.105565899398787</v>
      </c>
      <c r="I11" s="53">
        <f>'Расчёт аннуитета'!I25</f>
        <v>9.119630052596166</v>
      </c>
    </row>
    <row r="12">
      <c r="B12" s="51" t="inlineStr">
        <is>
          <t>ОБЩИЙ АННУИТЕТ</t>
        </is>
      </c>
      <c r="C12" s="24" t="inlineStr">
        <is>
          <t>руб/ткм</t>
        </is>
      </c>
      <c r="D12" s="67">
        <f>'Расчёт аннуитета'!D26</f>
        <v>13.630247042916345</v>
      </c>
      <c r="E12" s="67">
        <f>'Расчёт аннуитета'!E26</f>
        <v>15.39340134488387</v>
      </c>
      <c r="F12" s="67">
        <f>'Расчёт аннуитета'!F26</f>
        <v>15.331779764730044</v>
      </c>
      <c r="G12" s="67">
        <f>'Расчёт аннуитета'!G26</f>
        <v>15.217859982245452</v>
      </c>
      <c r="H12" s="67">
        <f>'Расчёт аннуитета'!H26</f>
        <v>14.253055832624998</v>
      </c>
      <c r="I12" s="67">
        <f>'Расчёт аннуитета'!I26</f>
        <v>14.266905692150914</v>
      </c>
    </row>
    <row r="13">
      <c r="B13" s="22" t="inlineStr">
        <is>
          <t>Аннуитет на тонну</t>
        </is>
      </c>
      <c r="C13" s="24" t="inlineStr">
        <is>
          <t>руб/т</t>
        </is>
      </c>
      <c r="D13" s="53">
        <f>'Расчёт аннуитета'!D28</f>
        <v>57.969440673523216</v>
      </c>
      <c r="E13" s="53">
        <f>'Расчёт аннуитета'!E28</f>
        <v>65.4681359197911</v>
      </c>
      <c r="F13" s="53">
        <f>'Расчёт аннуитета'!F28</f>
        <v>65.12940044057324</v>
      </c>
      <c r="G13" s="53">
        <f>'Расчёт аннуитета'!G28</f>
        <v>62.0736508675792</v>
      </c>
      <c r="H13" s="53">
        <f>'Расчёт аннуитета'!H28</f>
        <v>60.546981176991</v>
      </c>
      <c r="I13" s="53">
        <f>'Расчёт аннуитета'!I28</f>
        <v>60.605815380257084</v>
      </c>
    </row>
    <row r="14">
      <c r="B14" s="5" t="inlineStr">
        <is>
          <t>РАНЖИРОВАНИЕ (критерий: минимум аннуитета руб/ткм)</t>
        </is>
      </c>
      <c r="C14" s="4" t="n"/>
      <c r="D14" s="4" t="n"/>
      <c r="E14" s="4" t="n"/>
      <c r="F14" s="4" t="n"/>
      <c r="G14" s="4" t="n"/>
      <c r="H14" s="4" t="n"/>
      <c r="I14" s="4" t="n"/>
    </row>
    <row r="15">
      <c r="B15" s="68" t="inlineStr">
        <is>
          <t>Место в рейтинге</t>
        </is>
      </c>
      <c r="D15" s="18">
        <f>RANK(D12,D12:I12,1)</f>
        <v>1.0</v>
      </c>
      <c r="E15" s="18">
        <f>RANK(E12,D12:I12,1)</f>
        <v>6.0</v>
      </c>
      <c r="F15" s="18">
        <f>RANK(F12,D12:I12,1)</f>
        <v>5.0</v>
      </c>
      <c r="G15" s="18">
        <f>RANK(G12,D12:I12,1)</f>
        <v>4.0</v>
      </c>
      <c r="H15" s="18">
        <f>RANK(H12,D12:I12,1)</f>
        <v>2.0</v>
      </c>
      <c r="I15" s="18">
        <f>RANK(I12,D12:I12,1)</f>
        <v>3.0</v>
      </c>
    </row>
    <row r="16">
      <c r="B16" s="69" t="inlineStr">
        <is>
          <t>Отклонение от лучшего</t>
        </is>
      </c>
      <c r="D16" s="70">
        <f>D12/MIN(D12:I12)-1</f>
        <v>0.0</v>
      </c>
      <c r="E16" s="70">
        <f>E12/MIN(D12:I12)-1</f>
        <v>0.12935600480431786</v>
      </c>
      <c r="F16" s="70">
        <f>F12/MIN(D12:I12)-1</f>
        <v>0.12483506105621078</v>
      </c>
      <c r="G16" s="70">
        <f>G12/MIN(D12:I12)-1</f>
        <v>0.11647719475152085</v>
      </c>
      <c r="H16" s="70">
        <f>H12/MIN(D12:I12)-1</f>
        <v>0.04569314024519655</v>
      </c>
      <c r="I16" s="70">
        <f>I12/MIN(D12:I12)-1</f>
        <v>0.046709252387721056</v>
      </c>
    </row>
    <row r="18">
      <c r="B18" s="71" t="inlineStr">
        <is>
          <t>РЕКОМЕНДУЕМЫЙ ВАРИАНТ:</t>
        </is>
      </c>
      <c r="C18" s="72" t="str">
        <f>INDEX(D4:I4,MATCH(MIN(D12:I12),D12:I12,0))&amp;"  ("&amp;TEXT(MIN(D12:I12),"0.00")&amp;" руб/ткм)"</f>
        <v>NHL NTE 240  (13.63 руб/ткм)</v>
      </c>
      <c r="D18" s="73" t="n"/>
      <c r="E18" s="73" t="n"/>
      <c r="F18" s="73" t="n"/>
      <c r="G18" s="73" t="n"/>
      <c r="H18" s="73" t="n"/>
      <c r="I18" s="73" t="n"/>
    </row>
    <row r="20">
      <c r="B20" s="5" t="inlineStr">
        <is>
          <t>СТРУКТУРА УДЕЛЬНОГО АННУИТЕТА (руб/ткм)</t>
        </is>
      </c>
      <c r="C20" s="4" t="n"/>
      <c r="D20" s="4" t="n"/>
      <c r="E20" s="4" t="n"/>
      <c r="F20" s="4" t="n"/>
      <c r="G20" s="4" t="n"/>
      <c r="H20" s="4" t="n"/>
      <c r="I20" s="4" t="n"/>
    </row>
    <row r="21">
      <c r="B21" s="74" t="inlineStr">
        <is>
          <t>Статья</t>
        </is>
      </c>
      <c r="D21" s="15" t="str">
        <f>'Ввод данных'!D7</f>
        <v>NHL NTE 240</v>
      </c>
      <c r="E21" s="15" t="str">
        <f>'Ввод данных'!E7</f>
        <v>Estar ESDE240
(ГПБ К)</v>
      </c>
      <c r="F21" s="15" t="str">
        <f>'Ввод данных'!F7</f>
        <v>SANY SET240S</v>
      </c>
      <c r="G21" s="15" t="str">
        <f>'Ввод данных'!G7</f>
        <v>TZCO TZE240</v>
      </c>
      <c r="H21" s="15" t="str">
        <f>'Ввод данных'!H7</f>
        <v>БелАЗ 7531
(ГПФК)</v>
      </c>
      <c r="I21" s="15" t="str">
        <f>'Ввод данных'!I7</f>
        <v>БелАЗ 7531
(БТЛ)</v>
      </c>
    </row>
    <row r="22">
      <c r="B22" s="22" t="inlineStr">
        <is>
          <t>Инвестиционный</t>
        </is>
      </c>
      <c r="D22" s="53">
        <f>'Расчёт аннуитета'!D18</f>
        <v>4.605660142140731</v>
      </c>
      <c r="E22" s="53">
        <f>'Расчёт аннуитета'!E18</f>
        <v>5.1848370574026825</v>
      </c>
      <c r="F22" s="53">
        <f>'Расчёт аннуитета'!F18</f>
        <v>5.552154049930927</v>
      </c>
      <c r="G22" s="53">
        <f>'Расчёт аннуитета'!G18</f>
        <v>5.330168205394955</v>
      </c>
      <c r="H22" s="53">
        <f>'Расчёт аннуитета'!H18</f>
        <v>5.147489933226212</v>
      </c>
      <c r="I22" s="53">
        <f>'Расчёт аннуитета'!I18</f>
        <v>5.147275639554747</v>
      </c>
    </row>
    <row r="23">
      <c r="B23" s="22" t="inlineStr">
        <is>
          <t>Топливо</t>
        </is>
      </c>
      <c r="D23" s="53">
        <f>'Расчёт аннуитета'!D19</f>
        <v>5.181049815450081</v>
      </c>
      <c r="E23" s="53">
        <f>'Расчёт аннуитета'!E19</f>
        <v>5.212144311746457</v>
      </c>
      <c r="F23" s="53">
        <f>'Расчёт аннуитета'!F19</f>
        <v>5.201005536825288</v>
      </c>
      <c r="G23" s="53">
        <f>'Расчёт аннуитета'!G19</f>
        <v>5.167579711972171</v>
      </c>
      <c r="H23" s="53">
        <f>'Расчёт аннуитета'!H19</f>
        <v>5.201611690233584</v>
      </c>
      <c r="I23" s="53">
        <f>'Расчёт аннуитета'!I19</f>
        <v>5.216306508911892</v>
      </c>
    </row>
    <row r="24">
      <c r="B24" s="22" t="inlineStr">
        <is>
          <t>ТОиР + капремонты</t>
        </is>
      </c>
      <c r="D24" s="53">
        <f>'Расчёт аннуитета'!D20</f>
        <v>4.8957003611368455</v>
      </c>
      <c r="E24" s="53">
        <f>'Расчёт аннуитета'!E20</f>
        <v>6.295292897376019</v>
      </c>
      <c r="F24" s="53">
        <f>'Расчёт аннуитета'!F20</f>
        <v>5.596094217448019</v>
      </c>
      <c r="G24" s="53">
        <f>'Расчёт аннуитета'!G20</f>
        <v>5.966178496024795</v>
      </c>
      <c r="H24" s="53">
        <f>'Расчёт аннуитета'!H20</f>
        <v>4.762238814441171</v>
      </c>
      <c r="I24" s="53">
        <f>'Расчёт аннуитета'!I20</f>
        <v>4.762040393335601</v>
      </c>
    </row>
    <row r="25">
      <c r="B25" s="22" t="inlineStr">
        <is>
          <t>Шины</t>
        </is>
      </c>
      <c r="D25" s="53">
        <f>'Расчёт аннуитета'!D21</f>
        <v>1.501600423216516</v>
      </c>
      <c r="E25" s="53">
        <f>'Расчёт аннуитета'!E21</f>
        <v>1.6278643708287241</v>
      </c>
      <c r="F25" s="53">
        <f>'Расчёт аннуитета'!F21</f>
        <v>1.5870721202137696</v>
      </c>
      <c r="G25" s="53">
        <f>'Расчёт аннуитета'!G21</f>
        <v>1.53682544974225</v>
      </c>
      <c r="H25" s="53">
        <f>'Расчёт аннуитета'!H21</f>
        <v>1.5162124401180985</v>
      </c>
      <c r="I25" s="53">
        <f>'Расчёт аннуитета'!I21</f>
        <v>1.5204958176964682</v>
      </c>
    </row>
    <row r="26">
      <c r="B26" s="22" t="inlineStr">
        <is>
          <t>Персонал</t>
        </is>
      </c>
      <c r="D26" s="53">
        <f>'Расчёт аннуитета'!D22</f>
        <v>1.5381923261403727</v>
      </c>
      <c r="E26" s="53">
        <f>'Расчёт аннуитета'!E22</f>
        <v>1.696567516308353</v>
      </c>
      <c r="F26" s="53">
        <f>'Расчёт аннуитета'!F22</f>
        <v>1.9575330869488485</v>
      </c>
      <c r="G26" s="53">
        <f>'Расчёт аннуитета'!G22</f>
        <v>1.6151537100078432</v>
      </c>
      <c r="H26" s="53">
        <f>'Расчёт аннуитета'!H22</f>
        <v>1.869915115931244</v>
      </c>
      <c r="I26" s="53">
        <f>'Расчёт аннуитета'!I22</f>
        <v>1.8698372049656073</v>
      </c>
    </row>
    <row r="27">
      <c r="B27" s="22" t="inlineStr">
        <is>
          <t>Транспортный налог</t>
        </is>
      </c>
      <c r="D27" s="53">
        <f>'Расчёт аннуитета'!D23</f>
        <v>0.01769175936396269</v>
      </c>
      <c r="E27" s="53">
        <f>'Расчёт аннуитета'!E23</f>
        <v>0.019513336357981602</v>
      </c>
      <c r="F27" s="53">
        <f>'Расчёт аннуитета'!F23</f>
        <v>0.025603913167995842</v>
      </c>
      <c r="G27" s="53">
        <f>'Расчёт аннуитета'!G23</f>
        <v>0.018576942744845452</v>
      </c>
      <c r="H27" s="53">
        <f>'Расчёт аннуитета'!H23</f>
        <v>0.021808220550633525</v>
      </c>
      <c r="I27" s="53">
        <f>'Расчёт аннуитета'!I23</f>
        <v>0.02180731190001755</v>
      </c>
    </row>
    <row r="28">
      <c r="B28" s="22" t="inlineStr">
        <is>
          <t>Налог (щит)</t>
        </is>
      </c>
      <c r="D28" s="53">
        <f>'Расчёт аннуитета'!D24</f>
        <v>-4.109647784532163</v>
      </c>
      <c r="E28" s="53">
        <f>'Расчёт аннуитета'!E24</f>
        <v>-4.642818145136349</v>
      </c>
      <c r="F28" s="53">
        <f>'Расчёт аннуитета'!F24</f>
        <v>-4.587683159804801</v>
      </c>
      <c r="G28" s="53">
        <f>'Расчёт аннуитета'!G24</f>
        <v>-4.416622533641407</v>
      </c>
      <c r="H28" s="53">
        <f>'Расчёт аннуитета'!H24</f>
        <v>-4.266220381875945</v>
      </c>
      <c r="I28" s="53">
        <f>'Расчёт аннуитета'!I24</f>
        <v>-4.2708571842134155</v>
      </c>
    </row>
  </sheetData>
  <mergeCells count="5">
    <mergeCell ref="B1:K1"/>
    <mergeCell ref="C18:I18"/>
    <mergeCell ref="B20:I20"/>
    <mergeCell ref="B14:I14"/>
    <mergeCell ref="B2:K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K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РАСШИРЕННАЯ АНАЛИТИКА РЕЗУЛЬТАТОВ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Многокритериальная оценка, разложение затрат, диапазон риска, эффективность.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15" t="inlineStr">
        <is>
          <t>Показатель</t>
        </is>
      </c>
      <c r="C4" s="15" t="inlineStr">
        <is>
          <t>Ед.</t>
        </is>
      </c>
      <c r="D4" s="15" t="str">
        <f>'Ввод данных'!D7</f>
        <v>NHL NTE 240</v>
      </c>
      <c r="E4" s="15" t="str">
        <f>'Ввод данных'!E7</f>
        <v>Estar ESDE240
(ГПБ К)</v>
      </c>
      <c r="F4" s="15" t="str">
        <f>'Ввод данных'!F7</f>
        <v>SANY SET240S</v>
      </c>
      <c r="G4" s="15" t="str">
        <f>'Ввод данных'!G7</f>
        <v>TZCO TZE240</v>
      </c>
      <c r="H4" s="15" t="str">
        <f>'Ввод данных'!H7</f>
        <v>БелАЗ 7531
(ГПФК)</v>
      </c>
      <c r="I4" s="15" t="str">
        <f>'Ввод данных'!I7</f>
        <v>БелАЗ 7531
(БТЛ)</v>
      </c>
    </row>
    <row r="5">
      <c r="B5" s="5" t="inlineStr">
        <is>
          <t>МНОГОКРИТЕРИАЛЬНАЯ ОЦЕНКА (levelized cost + драйверы)</t>
        </is>
      </c>
      <c r="C5" s="4" t="n"/>
      <c r="D5" s="4" t="n"/>
      <c r="E5" s="4" t="n"/>
      <c r="F5" s="4" t="n"/>
      <c r="G5" s="4" t="n"/>
      <c r="H5" s="4" t="n"/>
      <c r="I5" s="4" t="n"/>
    </row>
    <row r="6">
      <c r="B6" s="22" t="inlineStr">
        <is>
          <t>Цена (CAPEX)</t>
        </is>
      </c>
      <c r="C6" s="24" t="inlineStr">
        <is>
          <t>тыс.руб</t>
        </is>
      </c>
      <c r="D6" s="52">
        <f>'Производительность'!D5</f>
        <v>312568.63</v>
      </c>
      <c r="E6" s="52">
        <f>'Производительность'!E5</f>
        <v>319027.49</v>
      </c>
      <c r="F6" s="52">
        <f>'Производительность'!F5</f>
        <v>296085.09</v>
      </c>
      <c r="G6" s="52">
        <f>'Производительность'!G5</f>
        <v>302883.56</v>
      </c>
      <c r="H6" s="52">
        <f>'Производительность'!H5</f>
        <v>287367.57</v>
      </c>
      <c r="I6" s="52">
        <f>'Производительность'!I5</f>
        <v>287367.58</v>
      </c>
    </row>
    <row r="7">
      <c r="B7" s="22" t="inlineStr">
        <is>
          <t>Средний годовой грузооборот</t>
        </is>
      </c>
      <c r="C7" s="24" t="inlineStr">
        <is>
          <t>тыс.ткм</t>
        </is>
      </c>
      <c r="D7" s="52">
        <f>'Расчёт аннуитета'!D15</f>
        <v>12011.241823289358</v>
      </c>
      <c r="E7" s="52">
        <f>'Расчёт аннуитета'!E15</f>
        <v>10889.988062604181</v>
      </c>
      <c r="F7" s="52">
        <f>'Расчёт аннуитета'!F15</f>
        <v>9438.205731070111</v>
      </c>
      <c r="G7" s="52">
        <f>'Расчёт аннуитета'!G15</f>
        <v>11438.911284740985</v>
      </c>
      <c r="H7" s="52">
        <f>'Расчёт аннуитета'!H15</f>
        <v>9880.448498753849</v>
      </c>
      <c r="I7" s="52">
        <f>'Расчёт аннуитета'!I15</f>
        <v>9880.860189825893</v>
      </c>
    </row>
    <row r="8">
      <c r="B8" s="22" t="inlineStr">
        <is>
          <t>КТГ средний</t>
        </is>
      </c>
      <c r="C8" s="24" t="inlineStr">
        <is>
          <t>коэф.</t>
        </is>
      </c>
      <c r="D8" s="55">
        <f>AVERAGE('Данные по годам'!E7:N7)</f>
        <v>0.8699899999999999</v>
      </c>
      <c r="E8" s="55">
        <f>AVERAGE('Данные по годам'!E10:N10)</f>
        <v>0.85</v>
      </c>
      <c r="F8" s="55">
        <f>AVERAGE('Данные по годам'!E13:N13)</f>
        <v>0.71999</v>
      </c>
      <c r="G8" s="55">
        <f>AVERAGE('Данные по годам'!E16:N16)</f>
        <v>0.85997</v>
      </c>
      <c r="H8" s="55">
        <f>AVERAGE('Данные по годам'!E19:N19)</f>
        <v>0.7199899999999999</v>
      </c>
      <c r="I8" s="55">
        <f>AVERAGE('Данные по годам'!E22:N22)</f>
        <v>0.7200200000000001</v>
      </c>
    </row>
    <row r="9">
      <c r="B9" s="39" t="inlineStr">
        <is>
          <t>Аннуитет</t>
        </is>
      </c>
      <c r="C9" s="24" t="inlineStr">
        <is>
          <t>руб/ткм</t>
        </is>
      </c>
      <c r="D9" s="65">
        <f>'Расчёт аннуитета'!D26</f>
        <v>13.630247042916345</v>
      </c>
      <c r="E9" s="65">
        <f>'Расчёт аннуитета'!E26</f>
        <v>15.39340134488387</v>
      </c>
      <c r="F9" s="65">
        <f>'Расчёт аннуитета'!F26</f>
        <v>15.331779764730044</v>
      </c>
      <c r="G9" s="65">
        <f>'Расчёт аннуитета'!G26</f>
        <v>15.217859982245452</v>
      </c>
      <c r="H9" s="65">
        <f>'Расчёт аннуитета'!H26</f>
        <v>14.253055832624998</v>
      </c>
      <c r="I9" s="65">
        <f>'Расчёт аннуитета'!I26</f>
        <v>14.266905692150914</v>
      </c>
    </row>
    <row r="10">
      <c r="B10" s="22" t="inlineStr">
        <is>
          <t>Аннуитет</t>
        </is>
      </c>
      <c r="C10" s="24" t="inlineStr">
        <is>
          <t>руб/т</t>
        </is>
      </c>
      <c r="D10" s="53">
        <f>'Расчёт аннуитета'!D28</f>
        <v>57.969440673523216</v>
      </c>
      <c r="E10" s="53">
        <f>'Расчёт аннуитета'!E28</f>
        <v>65.4681359197911</v>
      </c>
      <c r="F10" s="53">
        <f>'Расчёт аннуитета'!F28</f>
        <v>65.12940044057324</v>
      </c>
      <c r="G10" s="53">
        <f>'Расчёт аннуитета'!G28</f>
        <v>62.0736508675792</v>
      </c>
      <c r="H10" s="53">
        <f>'Расчёт аннуитета'!H28</f>
        <v>60.546981176991</v>
      </c>
      <c r="I10" s="53">
        <f>'Расчёт аннуитета'!I28</f>
        <v>60.605815380257084</v>
      </c>
    </row>
    <row r="11">
      <c r="B11" s="22" t="inlineStr">
        <is>
          <t>NPV стоимости владения</t>
        </is>
      </c>
      <c r="C11" s="24" t="inlineStr">
        <is>
          <t>тыс.руб</t>
        </is>
      </c>
      <c r="D11" s="52">
        <f>'Расчёт аннуитета'!D14</f>
        <v>925033.005754017</v>
      </c>
      <c r="E11" s="52">
        <f>'Расчёт аннуитета'!E14</f>
        <v>947169.243555944</v>
      </c>
      <c r="F11" s="52">
        <f>'Расчёт аннуитета'!F14</f>
        <v>817612.6509956527</v>
      </c>
      <c r="G11" s="52">
        <f>'Расчёт аннуитета'!G14</f>
        <v>941948.8096124174</v>
      </c>
      <c r="H11" s="52">
        <f>'Расчёт аннуитета'!H14</f>
        <v>795701.6085175072</v>
      </c>
      <c r="I11" s="52">
        <f>'Расчёт аннуитета'!I14</f>
        <v>796507.9879025638</v>
      </c>
    </row>
    <row r="12">
      <c r="B12" s="22" t="inlineStr">
        <is>
          <t>Доля CAPEX</t>
        </is>
      </c>
      <c r="C12" s="24" t="inlineStr">
        <is>
          <t>%</t>
        </is>
      </c>
      <c r="D12" s="55">
        <f>'Расчёт аннуитета'!D18/'Расчёт аннуитета'!D26</f>
        <v>0.3378999755205682</v>
      </c>
      <c r="E12" s="55">
        <f>'Расчёт аннуитета'!E18/'Расчёт аннуитета'!E26</f>
        <v>0.33682205389427516</v>
      </c>
      <c r="F12" s="55">
        <f>'Расчёт аннуитета'!F18/'Расчёт аннуитета'!F26</f>
        <v>0.3621336945305832</v>
      </c>
      <c r="G12" s="55">
        <f>'Расчёт аннуитета'!G18/'Расчёт аннуитета'!G26</f>
        <v>0.3502574088349884</v>
      </c>
      <c r="H12" s="55">
        <f>'Расчёт аннуитета'!H18/'Расчёт аннуитета'!H26</f>
        <v>0.36114991715977823</v>
      </c>
      <c r="I12" s="55">
        <f>'Расчёт аннуитета'!I18/'Расчёт аннуитета'!I26</f>
        <v>0.3607843039424151</v>
      </c>
    </row>
    <row r="13">
      <c r="B13" s="22" t="inlineStr">
        <is>
          <t>Доля топлива</t>
        </is>
      </c>
      <c r="C13" s="24" t="inlineStr">
        <is>
          <t>%</t>
        </is>
      </c>
      <c r="D13" s="55">
        <f>'Расчёт аннуитета'!D19/'Расчёт аннуитета'!D26</f>
        <v>0.3801141534072692</v>
      </c>
      <c r="E13" s="55">
        <f>'Расчёт аннуитета'!E19/'Расчёт аннуитета'!E26</f>
        <v>0.33859601234127235</v>
      </c>
      <c r="F13" s="55">
        <f>'Расчёт аннуитета'!F19/'Расчёт аннуитета'!F26</f>
        <v>0.339230383989074</v>
      </c>
      <c r="G13" s="55">
        <f>'Расчёт аннуитета'!G19/'Расчёт аннуитета'!G26</f>
        <v>0.3395733511808587</v>
      </c>
      <c r="H13" s="55">
        <f>'Расчёт аннуитета'!H19/'Расчёт аннуитета'!H26</f>
        <v>0.36494712090632414</v>
      </c>
      <c r="I13" s="55">
        <f>'Расчёт аннуитета'!I19/'Расчёт аннуитета'!I26</f>
        <v>0.3656228352151859</v>
      </c>
    </row>
    <row r="14">
      <c r="B14" s="22" t="inlineStr">
        <is>
          <t>Доля ТОиР</t>
        </is>
      </c>
      <c r="C14" s="24" t="inlineStr">
        <is>
          <t>%</t>
        </is>
      </c>
      <c r="D14" s="55">
        <f>'Расчёт аннуитета'!D20/'Расчёт аннуитета'!D26</f>
        <v>0.35917913635183496</v>
      </c>
      <c r="E14" s="55">
        <f>'Расчёт аннуитета'!E20/'Расчёт аннуитета'!E26</f>
        <v>0.4089604861415709</v>
      </c>
      <c r="F14" s="55">
        <f>'Расчёт аннуитета'!F20/'Расчёт аннуитета'!F26</f>
        <v>0.36499964800704615</v>
      </c>
      <c r="G14" s="55">
        <f>'Расчёт аннуитета'!G20/'Расчёт аннуитета'!G26</f>
        <v>0.39205108359424284</v>
      </c>
      <c r="H14" s="55">
        <f>'Расчёт аннуитета'!H20/'Расчёт аннуитета'!H26</f>
        <v>0.3341205472261246</v>
      </c>
      <c r="I14" s="55">
        <f>'Расчёт аннуитета'!I20/'Расчёт аннуитета'!I26</f>
        <v>0.33378228580816144</v>
      </c>
    </row>
    <row r="15">
      <c r="B15" s="39" t="inlineStr">
        <is>
          <t>Место в рейтинге</t>
        </is>
      </c>
      <c r="C15" s="24" t="inlineStr"/>
      <c r="D15" s="63">
        <f>RANK(D9,D9:I9,1)</f>
        <v>1.0</v>
      </c>
      <c r="E15" s="63">
        <f>RANK(E9,D9:I9,1)</f>
        <v>6.0</v>
      </c>
      <c r="F15" s="63">
        <f>RANK(F9,D9:I9,1)</f>
        <v>5.0</v>
      </c>
      <c r="G15" s="63">
        <f>RANK(G9,D9:I9,1)</f>
        <v>4.0</v>
      </c>
      <c r="H15" s="63">
        <f>RANK(H9,D9:I9,1)</f>
        <v>2.0</v>
      </c>
      <c r="I15" s="63">
        <f>RANK(I9,D9:I9,1)</f>
        <v>3.0</v>
      </c>
    </row>
    <row r="16">
      <c r="B16" s="5" t="inlineStr">
        <is>
          <t>РАЗЛОЖЕНИЕ ПРЕВЫШЕНИЯ АННУИТЕТА НАД ЛУЧШИМ (руб/ткм)</t>
        </is>
      </c>
      <c r="C16" s="4" t="n"/>
      <c r="D16" s="4" t="n"/>
      <c r="E16" s="4" t="n"/>
      <c r="F16" s="4" t="n"/>
      <c r="G16" s="4" t="n"/>
      <c r="H16" s="4" t="n"/>
      <c r="I16" s="4" t="n"/>
    </row>
    <row r="17">
      <c r="B17" s="22" t="inlineStr">
        <is>
          <t>Δ инвестиции</t>
        </is>
      </c>
      <c r="C17" s="24" t="inlineStr">
        <is>
          <t>руб/ткм</t>
        </is>
      </c>
      <c r="D17" s="53">
        <f>'Расчёт аннуитета'!D18-MIN(D18:I18)</f>
        <v>4.236712726428017</v>
      </c>
      <c r="E17" s="53">
        <f>'Расчёт аннуитета'!E18-MIN(D18:I18)</f>
        <v>4.815889641689969</v>
      </c>
      <c r="F17" s="53">
        <f>'Расчёт аннуитета'!F18-MIN(D18:I18)</f>
        <v>5.183206634218213</v>
      </c>
      <c r="G17" s="53">
        <f>'Расчёт аннуитета'!G18-MIN(D18:I18)</f>
        <v>4.961220789682241</v>
      </c>
      <c r="H17" s="53">
        <f>'Расчёт аннуитета'!H18-MIN(D18:I18)</f>
        <v>4.778542517513499</v>
      </c>
      <c r="I17" s="53">
        <f>'Расчёт аннуитета'!I18-MIN(D18:I18)</f>
        <v>4.778328223842034</v>
      </c>
    </row>
    <row r="18">
      <c r="B18" s="22" t="inlineStr">
        <is>
          <t>Δ топливо</t>
        </is>
      </c>
      <c r="C18" s="24" t="inlineStr">
        <is>
          <t>руб/ткм</t>
        </is>
      </c>
      <c r="D18" s="53">
        <f>'Расчёт аннуитета'!D19-MIN(D19:I19)</f>
        <v>0.38241751919062317</v>
      </c>
      <c r="E18" s="53">
        <f>'Расчёт аннуитета'!E19-MIN(D19:I19)</f>
        <v>0.413512015487</v>
      </c>
      <c r="F18" s="53">
        <f>'Расчёт аннуитета'!F19-MIN(D19:I19)</f>
        <v>0.40237324056583024</v>
      </c>
      <c r="G18" s="53">
        <f>'Расчёт аннуитета'!G19-MIN(D19:I19)</f>
        <v>0.3689474157127135</v>
      </c>
      <c r="H18" s="53">
        <f>'Расчёт аннуитета'!H19-MIN(D19:I19)</f>
        <v>0.4029793939741264</v>
      </c>
      <c r="I18" s="53">
        <f>'Расчёт аннуитета'!I19-MIN(D19:I19)</f>
        <v>0.4176742126524342</v>
      </c>
    </row>
    <row r="19">
      <c r="B19" s="22" t="inlineStr">
        <is>
          <t>Δ ТОиР</t>
        </is>
      </c>
      <c r="C19" s="24" t="inlineStr">
        <is>
          <t>руб/ткм</t>
        </is>
      </c>
      <c r="D19" s="53">
        <f>'Расчёт аннуитета'!D20-MIN(D20:I20)</f>
        <v>4.9322922640607025</v>
      </c>
      <c r="E19" s="53">
        <f>'Расчёт аннуитета'!E20-MIN(D20:I20)</f>
        <v>6.331884800299875</v>
      </c>
      <c r="F19" s="53">
        <f>'Расчёт аннуитета'!F20-MIN(D20:I20)</f>
        <v>5.632686120371876</v>
      </c>
      <c r="G19" s="53">
        <f>'Расчёт аннуитета'!G20-MIN(D20:I20)</f>
        <v>6.002770398948652</v>
      </c>
      <c r="H19" s="53">
        <f>'Расчёт аннуитета'!H20-MIN(D20:I20)</f>
        <v>4.798830717365028</v>
      </c>
      <c r="I19" s="53">
        <f>'Расчёт аннуитета'!I20-MIN(D20:I20)</f>
        <v>4.798632296259457</v>
      </c>
    </row>
    <row r="20">
      <c r="B20" s="22" t="inlineStr">
        <is>
          <t>Δ шины</t>
        </is>
      </c>
      <c r="C20" s="24" t="inlineStr">
        <is>
          <t>руб/ткм</t>
        </is>
      </c>
      <c r="D20" s="53">
        <f>'Расчёт аннуитета'!D21-MIN(D21:I21)</f>
        <v>-0.03659190292385661</v>
      </c>
      <c r="E20" s="53">
        <f>'Расчёт аннуитета'!E21-MIN(D21:I21)</f>
        <v>0.08967204468835144</v>
      </c>
      <c r="F20" s="53">
        <f>'Расчёт аннуитета'!F21-MIN(D21:I21)</f>
        <v>0.04887979407339693</v>
      </c>
      <c r="G20" s="53">
        <f>'Расчёт аннуитета'!G21-MIN(D21:I21)</f>
        <v>-0.0013668763981227183</v>
      </c>
      <c r="H20" s="53">
        <f>'Расчёт аннуитета'!H21-MIN(D21:I21)</f>
        <v>-0.021979886022274187</v>
      </c>
      <c r="I20" s="53">
        <f>'Расчёт аннуитета'!I21-MIN(D21:I21)</f>
        <v>-0.01769650844390447</v>
      </c>
    </row>
    <row r="21">
      <c r="B21" s="22" t="inlineStr">
        <is>
          <t>Δ персонал</t>
        </is>
      </c>
      <c r="C21" s="24" t="inlineStr">
        <is>
          <t>руб/ткм</t>
        </is>
      </c>
      <c r="D21" s="53">
        <f>'Расчёт аннуитета'!D22-MIN(D22:I22)</f>
        <v>1.5381923261403727</v>
      </c>
      <c r="E21" s="53">
        <f>'Расчёт аннуитета'!E22-MIN(D22:I22)</f>
        <v>1.696567516308353</v>
      </c>
      <c r="F21" s="53">
        <f>'Расчёт аннуитета'!F22-MIN(D22:I22)</f>
        <v>1.9575330869488485</v>
      </c>
      <c r="G21" s="53">
        <f>'Расчёт аннуитета'!G22-MIN(D22:I22)</f>
        <v>1.6151537100078432</v>
      </c>
      <c r="H21" s="53">
        <f>'Расчёт аннуитета'!H22-MIN(D22:I22)</f>
        <v>1.869915115931244</v>
      </c>
      <c r="I21" s="53">
        <f>'Расчёт аннуитета'!I22-MIN(D22:I22)</f>
        <v>1.8698372049656073</v>
      </c>
    </row>
    <row r="22">
      <c r="B22" s="39" t="inlineStr">
        <is>
          <t>ИТОГО превышение над лучшим</t>
        </is>
      </c>
      <c r="C22" s="24" t="inlineStr">
        <is>
          <t>руб/ткм</t>
        </is>
      </c>
      <c r="D22" s="65">
        <f>D9-MIN(D9:I9)</f>
        <v>0.0</v>
      </c>
      <c r="E22" s="65">
        <f>E9-MIN(D9:I9)</f>
        <v>1.7631543019675249</v>
      </c>
      <c r="F22" s="65">
        <f>F9-MIN(D9:I9)</f>
        <v>1.7015327218136989</v>
      </c>
      <c r="G22" s="65">
        <f>G9-MIN(D9:I9)</f>
        <v>1.587612939329107</v>
      </c>
      <c r="H22" s="65">
        <f>H9-MIN(D9:I9)</f>
        <v>0.6228087897086532</v>
      </c>
      <c r="I22" s="65">
        <f>I9-MIN(D9:I9)</f>
        <v>0.6366586492345689</v>
      </c>
    </row>
    <row r="23">
      <c r="B23" s="5" t="inlineStr">
        <is>
          <t>ДИАПАЗОН РИСКА АННУИТЕТА (руб/ткм)</t>
        </is>
      </c>
      <c r="C23" s="4" t="n"/>
      <c r="D23" s="4" t="n"/>
      <c r="E23" s="4" t="n"/>
      <c r="F23" s="4" t="n"/>
      <c r="G23" s="4" t="n"/>
      <c r="H23" s="4" t="n"/>
      <c r="I23" s="4" t="n"/>
    </row>
    <row r="24">
      <c r="B24" s="22" t="inlineStr">
        <is>
          <t>Оптимистичный (КТГ +10%, ДТ −20%)</t>
        </is>
      </c>
      <c r="C24" s="24" t="inlineStr">
        <is>
          <t>руб/ткм</t>
        </is>
      </c>
      <c r="D24" s="53">
        <f>('Расчёт аннуитета'!D18+'Расчёт аннуитета'!D20+'Расчёт аннуитета'!D22+'Расчёт аннуитета'!D23+'Расчёт аннуитета'!D24)/1.1+('Расчёт аннуитета'!D19+'Расчёт аннуитета'!D21)-0.2*'Расчёт аннуитета'!D19</f>
        <v>11.962437370349079</v>
      </c>
      <c r="E24" s="53">
        <f>('Расчёт аннуитета'!E18+'Расчёт аннуитета'!E20+'Расчёт аннуитета'!E22+'Расчёт аннуитета'!E23+'Расчёт аннуитета'!E24)/1.1+('Расчёт аннуитета'!E19+'Расчёт аннуитета'!E21)-0.2*'Расчёт аннуитета'!E19</f>
        <v>13.573391331415602</v>
      </c>
      <c r="F24" s="53">
        <f>('Расчёт аннуитета'!F18+'Расчёт аннуитета'!F20+'Расчёт аннуитета'!F22+'Расчёт аннуитета'!F23+'Расчёт аннуитета'!F24)/1.1+('Расчёт аннуитета'!F19+'Расчёт аннуитета'!F21)-0.2*'Расчёт аннуитета'!F19</f>
        <v>13.514878465756718</v>
      </c>
      <c r="G24" s="53">
        <f>('Расчёт аннуитета'!G18+'Расчёт аннуитета'!G20+'Расчёт аннуитета'!G22+'Расчёт аннуитета'!G23+'Расчёт аннуитета'!G24)/1.1+('Расчёт аннуитета'!G19+'Расчёт аннуитета'!G21)-0.2*'Расчёт аннуитета'!G19</f>
        <v>13.410393601620925</v>
      </c>
      <c r="H24" s="53">
        <f>('Расчёт аннуитета'!H18+'Расчёт аннуитета'!H20+'Расчёт аннуитета'!H22+'Расчёт аннуитета'!H23+'Расчёт аннуитета'!H24)/1.1+('Расчёт аннуитета'!H19+'Расчёт аннуитета'!H21)-0.2*'Расчёт аннуитета'!H19</f>
        <v>12.527712430735253</v>
      </c>
      <c r="I24" s="53">
        <f>('Расчёт аннуитета'!I18+'Расчёт аннуитета'!I20+'Расчёт аннуитета'!I22+'Расчёт аннуитета'!I23+'Расчёт аннуитета'!I24)/1.1+('Расчёт аннуитета'!I19+'Расчёт аннуитета'!I21)-0.2*'Расчёт аннуитета'!I19</f>
        <v>12.539089538955581</v>
      </c>
    </row>
    <row r="25">
      <c r="B25" s="39" t="inlineStr">
        <is>
          <t>Базовый</t>
        </is>
      </c>
      <c r="C25" s="24" t="inlineStr">
        <is>
          <t>руб/ткм</t>
        </is>
      </c>
      <c r="D25" s="65">
        <f>'Расчёт аннуитета'!D26</f>
        <v>13.630247042916345</v>
      </c>
      <c r="E25" s="65">
        <f>'Расчёт аннуитета'!E26</f>
        <v>15.39340134488387</v>
      </c>
      <c r="F25" s="65">
        <f>'Расчёт аннуитета'!F26</f>
        <v>15.331779764730044</v>
      </c>
      <c r="G25" s="65">
        <f>'Расчёт аннуитета'!G26</f>
        <v>15.217859982245452</v>
      </c>
      <c r="H25" s="65">
        <f>'Расчёт аннуитета'!H26</f>
        <v>14.253055832624998</v>
      </c>
      <c r="I25" s="65">
        <f>'Расчёт аннуитета'!I26</f>
        <v>14.266905692150914</v>
      </c>
    </row>
    <row r="26">
      <c r="B26" s="22" t="inlineStr">
        <is>
          <t>Пессимистичный (КТГ −10%, ДТ +20%)</t>
        </is>
      </c>
      <c r="C26" s="24" t="inlineStr">
        <is>
          <t>руб/ткм</t>
        </is>
      </c>
      <c r="D26" s="53">
        <f>('Расчёт аннуитета'!D18+'Расчёт аннуитета'!D20+'Расчёт аннуитета'!D22+'Расчёт аннуитета'!D23+'Расчёт аннуитета'!D24)/0.9+('Расчёт аннуитета'!D19+'Расчёт аннуитета'!D21)+0.2*'Расчёт аннуитета'!D19</f>
        <v>15.438412206478555</v>
      </c>
      <c r="E26" s="53">
        <f>('Расчёт аннуитета'!E18+'Расчёт аннуитета'!E20+'Расчёт аннуитета'!E22+'Расчёт аннуитета'!E23+'Расчёт аннуитета'!E24)/0.9+('Расчёт аннуитета'!E19+'Расчёт аннуитета'!E21)+0.2*'Расчёт аннуитета'!E19</f>
        <v>17.3862071697119</v>
      </c>
      <c r="F26" s="53">
        <f>('Расчёт аннуитета'!F18+'Расчёт аннуитета'!F20+'Расчёт аннуитета'!F22+'Расчёт аннуитета'!F23+'Расчёт аннуитета'!F24)/0.9+('Расчёт аннуитета'!F19+'Расчёт аннуитета'!F21)+0.2*'Расчёт аннуитета'!F19</f>
        <v>17.321281106282992</v>
      </c>
      <c r="G26" s="53">
        <f>('Расчёт аннуитета'!G18+'Расчёт аннуитета'!G20+'Расчёт аннуитета'!G22+'Расчёт аннуитета'!G23+'Расчёт аннуитета'!G24)/0.9+('Расчёт аннуитета'!G19+'Расчёт аннуитета'!G21)+0.2*'Расчёт аннуитета'!G19</f>
        <v>17.197315349143334</v>
      </c>
      <c r="H26" s="53">
        <f>('Расчёт аннуитета'!H18+'Расчёт аннуитета'!H20+'Расчёт аннуитета'!H22+'Расчёт аннуитета'!H23+'Расчёт аннуитета'!H24)/0.9+('Расчёт аннуитета'!H19+'Расчёт аннуитета'!H21)+0.2*'Расчёт аннуитета'!H19</f>
        <v>16.130626137590973</v>
      </c>
      <c r="I26" s="53">
        <f>('Расчёт аннуитета'!I18+'Расчёт аннуитета'!I20+'Расчёт аннуитета'!I22+'Расчёт аннуитета'!I23+'Расчёт аннуитета'!I24)/0.9+('Расчёт аннуитета'!I19+'Расчёт аннуитета'!I21)+0.2*'Расчёт аннуитета'!I19</f>
        <v>16.146845145660247</v>
      </c>
    </row>
    <row r="27">
      <c r="B27" s="22" t="inlineStr">
        <is>
          <t>Ширина диапазона (риск)</t>
        </is>
      </c>
      <c r="C27" s="24" t="inlineStr">
        <is>
          <t>руб/ткм</t>
        </is>
      </c>
      <c r="D27" s="53">
        <f>D26-D24</f>
        <v>3.4759748361294758</v>
      </c>
      <c r="E27" s="53">
        <f>E26-E24</f>
        <v>3.812815838296297</v>
      </c>
      <c r="F27" s="53">
        <f>F26-F24</f>
        <v>3.806402640526274</v>
      </c>
      <c r="G27" s="53">
        <f>G26-G24</f>
        <v>3.7869217475224097</v>
      </c>
      <c r="H27" s="53">
        <f>H26-H24</f>
        <v>3.6029137068557198</v>
      </c>
      <c r="I27" s="53">
        <f>I26-I24</f>
        <v>3.607755606704666</v>
      </c>
    </row>
    <row r="28">
      <c r="B28" s="5" t="inlineStr">
        <is>
          <t>ЭФФЕКТИВНОСТЬ И ЦЕННОСТЬ ГОТОВНОСТИ</t>
        </is>
      </c>
      <c r="C28" s="4" t="n"/>
      <c r="D28" s="4" t="n"/>
      <c r="E28" s="4" t="n"/>
      <c r="F28" s="4" t="n"/>
      <c r="G28" s="4" t="n"/>
      <c r="H28" s="4" t="n"/>
      <c r="I28" s="4" t="n"/>
    </row>
    <row r="29">
      <c r="B29" s="22" t="inlineStr">
        <is>
          <t>Эффект +1 п.п. КТГ на аннуитет</t>
        </is>
      </c>
      <c r="C29" s="24" t="inlineStr">
        <is>
          <t>руб/ткм</t>
        </is>
      </c>
      <c r="D29" s="53">
        <f>-('Расчёт аннуитета'!D18+'Расчёт аннуитета'!D20+'Расчёт аннуитета'!D22+'Расчёт аннуитета'!D23+'Расчёт аннуитета'!D24)*0.01/AVERAGE('Данные по годам'!E7:N7)</f>
        <v>-0.07985835244370337</v>
      </c>
      <c r="E29" s="53">
        <f>-('Расчёт аннуитета'!E18+'Расчёт аннуитета'!E20+'Расчёт аннуитета'!E22+'Расчёт аннуитета'!E23+'Расчёт аннуитета'!E24)*0.01/AVERAGE('Данные по годам'!E10:N10)</f>
        <v>-0.10062814896833748</v>
      </c>
      <c r="F29" s="53">
        <f>-('Расчёт аннуитета'!F18+'Расчёт аннуитета'!F20+'Расчёт аннуитета'!F22+'Расчёт аннуитета'!F23+'Расчёт аннуитета'!F24)*0.01/AVERAGE('Данные по годам'!E13:N13)</f>
        <v>-0.11866417738706078</v>
      </c>
      <c r="G29" s="53">
        <f>-('Расчёт аннуитета'!G18+'Расчёт аннуитета'!G20+'Расчёт аннуитета'!G22+'Расчёт аннуитета'!G23+'Расчёт аннуитета'!G24)*0.01/AVERAGE('Данные по годам'!E16:N16)</f>
        <v>-0.09899711409155008</v>
      </c>
      <c r="H29" s="53">
        <f>-('Расчёт аннуитета'!H18+'Расчёт аннуитета'!H20+'Расчёт аннуитета'!H22+'Расчёт аннуитета'!H23+'Расчёт аннуитета'!H24)*0.01/AVERAGE('Данные по годам'!E19:N19)</f>
        <v>-0.10465744944059387</v>
      </c>
      <c r="I29" s="53">
        <f>-('Расчёт аннуитета'!I18+'Расчёт аннуитета'!I20+'Расчёт аннуитета'!I22+'Расчёт аннуитета'!I23+'Расчёт аннуитета'!I24)*0.01/AVERAGE('Данные по годам'!E22:N22)</f>
        <v>-0.10458186391409346</v>
      </c>
    </row>
    <row r="31">
      <c r="B31" s="71" t="inlineStr">
        <is>
          <t>ВЫВОД:</t>
        </is>
      </c>
      <c r="C31" s="75" t="str">
        <f>"Лучший по удельному TCO: "&amp;INDEX(D4:I4,MATCH(MIN(D9:I9),D9:I9,0))&amp;" ("&amp;TEXT(MIN(D9:I9),"0.00")&amp;" руб/ткм, "&amp;TEXT(MIN(D10:I10),"0.00")&amp;" руб/т). "&amp;"Отрыв от худшего: "&amp;TEXT(MAX(D9:I9)-MIN(D9:I9),"0.00")&amp;" руб/ткм."</f>
        <v>Лучший по удельному TCO: NHL NTE 240 (13.63 руб/ткм, 57.97 руб/т). Отрыв от худшего: 1.76 руб/ткм.</v>
      </c>
      <c r="D31" s="76" t="n"/>
      <c r="E31" s="76" t="n"/>
      <c r="F31" s="76" t="n"/>
      <c r="G31" s="76" t="n"/>
      <c r="H31" s="76" t="n"/>
    </row>
    <row r="33">
      <c r="B33" s="7" t="inlineStr">
        <is>
          <t>Метод (лучшие практики):</t>
        </is>
      </c>
    </row>
    <row r="34">
      <c r="B34" s="59" t="inlineStr">
        <is>
          <t>•  Levelized cost — приведённые затраты на единицу транспортной работы (руб/ткм, руб/т) уравнивают самосвалы с разной ценой, грузоподъёмностью и производительностью.</t>
        </is>
      </c>
    </row>
    <row r="35">
      <c r="B35" s="59" t="inlineStr">
        <is>
          <t>•  Многокритериальная оценка — не только цена, но и структура затрат, КТГ, доля топлива.</t>
        </is>
      </c>
    </row>
    <row r="36">
      <c r="B36" s="59" t="inlineStr">
        <is>
          <t>•  Разложение над лучшим — показывает, за счёт каких статей вариант дороже (управляемость).</t>
        </is>
      </c>
    </row>
    <row r="37">
      <c r="B37" s="59" t="inlineStr">
        <is>
          <t>•  Диапазон риска — устойчивость выбора к колебаниям КТГ и цены топлива.</t>
        </is>
      </c>
    </row>
    <row r="38">
      <c r="B38" s="59" t="inlineStr">
        <is>
          <t>•  Ценность готовности — сколько руб/ткм даёт рост КТГ на 1 п.п. (обоснование сервисного контракта).</t>
        </is>
      </c>
    </row>
  </sheetData>
  <mergeCells count="12">
    <mergeCell ref="C31:I31"/>
    <mergeCell ref="B1:K1"/>
    <mergeCell ref="B34:K34"/>
    <mergeCell ref="B16:I16"/>
    <mergeCell ref="B35:K35"/>
    <mergeCell ref="B28:I28"/>
    <mergeCell ref="B5:I5"/>
    <mergeCell ref="B38:K38"/>
    <mergeCell ref="B2:K2"/>
    <mergeCell ref="B23:I23"/>
    <mergeCell ref="B36:K36"/>
    <mergeCell ref="B37:K37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K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B1" s="1" t="inlineStr">
        <is>
          <t>АНАЛИЗ ЧУВСТВИТЕЛЬНОСТИ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Торнадо драйверов, влияние КТГ и ставки дисконтирования на аннуитет.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B4" s="7" t="inlineStr">
        <is>
          <t>Анализируемый самосвал (1–6):</t>
        </is>
      </c>
      <c r="C4" s="38" t="n">
        <v>1</v>
      </c>
      <c r="D4" s="77" t="str">
        <f>INDEX('Ввод данных'!D7:I7,$C$4)</f>
        <v>NHL NTE 240</v>
      </c>
    </row>
    <row r="6">
      <c r="B6" s="5" t="inlineStr">
        <is>
          <t>БАЗОВЫЕ ВЕЛИЧИНЫ ВЫБРАННОГО ВАРИАНТА</t>
        </is>
      </c>
      <c r="C6" s="4" t="n"/>
      <c r="D6" s="4" t="n"/>
      <c r="E6" s="4" t="n"/>
      <c r="F6" s="4" t="n"/>
      <c r="G6" s="4" t="n"/>
      <c r="H6" s="4" t="n"/>
    </row>
    <row r="7">
      <c r="B7" s="22" t="inlineStr">
        <is>
          <t>Общий аннуитет</t>
        </is>
      </c>
      <c r="C7" s="24" t="inlineStr">
        <is>
          <t>руб/ткм</t>
        </is>
      </c>
      <c r="D7" s="53">
        <f>INDEX('Расчёт аннуитета'!D26:I26,$C$4)</f>
        <v>13.630247042916345</v>
      </c>
    </row>
    <row r="8">
      <c r="B8" s="22" t="inlineStr">
        <is>
          <t>— инвестиционный</t>
        </is>
      </c>
      <c r="C8" s="24" t="inlineStr">
        <is>
          <t>руб/ткм</t>
        </is>
      </c>
      <c r="D8" s="53">
        <f>INDEX('Расчёт аннуитета'!D18:I18,$C$4)</f>
        <v>4.605660142140731</v>
      </c>
    </row>
    <row r="9">
      <c r="B9" s="22" t="inlineStr">
        <is>
          <t>— топливо</t>
        </is>
      </c>
      <c r="C9" s="24" t="inlineStr">
        <is>
          <t>руб/ткм</t>
        </is>
      </c>
      <c r="D9" s="53">
        <f>INDEX('Расчёт аннуитета'!D19:I19,$C$4)</f>
        <v>5.181049815450081</v>
      </c>
    </row>
    <row r="10">
      <c r="B10" s="22" t="inlineStr">
        <is>
          <t>— ТОиР + капремонты</t>
        </is>
      </c>
      <c r="C10" s="24" t="inlineStr">
        <is>
          <t>руб/ткм</t>
        </is>
      </c>
      <c r="D10" s="53">
        <f>INDEX('Расчёт аннуитета'!D20:I20,$C$4)</f>
        <v>4.8957003611368455</v>
      </c>
    </row>
    <row r="11">
      <c r="B11" s="22" t="inlineStr">
        <is>
          <t>— шины</t>
        </is>
      </c>
      <c r="C11" s="24" t="inlineStr">
        <is>
          <t>руб/ткм</t>
        </is>
      </c>
      <c r="D11" s="53">
        <f>INDEX('Расчёт аннуитета'!D21:I21,$C$4)</f>
        <v>1.501600423216516</v>
      </c>
    </row>
    <row r="12">
      <c r="B12" s="22" t="inlineStr">
        <is>
          <t>— персонал</t>
        </is>
      </c>
      <c r="C12" s="24" t="inlineStr">
        <is>
          <t>руб/ткм</t>
        </is>
      </c>
      <c r="D12" s="53">
        <f>INDEX('Расчёт аннуитета'!D22:I22,$C$4)</f>
        <v>1.5381923261403727</v>
      </c>
    </row>
    <row r="13">
      <c r="B13" s="22" t="inlineStr">
        <is>
          <t>Средний годовой грузооборот</t>
        </is>
      </c>
      <c r="C13" s="24" t="inlineStr">
        <is>
          <t>тыс.ткм</t>
        </is>
      </c>
      <c r="D13" s="52">
        <f>INDEX('Расчёт аннуитета'!D15:I15,$C$4)</f>
        <v>12011.241823289358</v>
      </c>
    </row>
    <row r="14">
      <c r="B14" s="22" t="inlineStr">
        <is>
          <t>Стоимость (руб)</t>
        </is>
      </c>
      <c r="C14" s="24" t="inlineStr">
        <is>
          <t>тыс.руб</t>
        </is>
      </c>
      <c r="D14" s="52">
        <f>INDEX('Производительность'!D5:I5,$C$4)</f>
        <v>312568.63</v>
      </c>
    </row>
    <row r="15">
      <c r="B15" s="22" t="inlineStr">
        <is>
          <t>Срок службы (EAC)</t>
        </is>
      </c>
      <c r="C15" s="24" t="inlineStr">
        <is>
          <t>лет</t>
        </is>
      </c>
      <c r="D15" s="52">
        <f>INDEX('Ввод данных'!D15:I15,$C$4)</f>
        <v>10.0</v>
      </c>
    </row>
    <row r="16">
      <c r="B16" s="22" t="inlineStr">
        <is>
          <t>Плечо откатки</t>
        </is>
      </c>
      <c r="C16" s="24" t="inlineStr">
        <is>
          <t>км</t>
        </is>
      </c>
      <c r="D16" s="78">
        <f>INDEX('Ввод данных'!D18:I18,$C$4)</f>
        <v>4.253</v>
      </c>
    </row>
    <row r="17">
      <c r="B17" s="22" t="inlineStr">
        <is>
          <t>Постоянные (инв+ТОиР+перс+налоги)</t>
        </is>
      </c>
      <c r="C17" s="24" t="inlineStr">
        <is>
          <t>руб/ткм</t>
        </is>
      </c>
      <c r="D17" s="53">
        <f>INDEX('Расчёт аннуитета'!D18:I18,$C$4)+INDEX('Расчёт аннуитета'!D20:I20,$C$4)+INDEX('Расчёт аннуитета'!D22:I22,$C$4)+INDEX('Расчёт аннуитета'!D23:I23,$C$4)+INDEX('Расчёт аннуитета'!D24:I24,$C$4)</f>
        <v>6.9475968042497485</v>
      </c>
    </row>
    <row r="18">
      <c r="B18" s="22" t="inlineStr">
        <is>
          <t>Переменные (топливо+шины)</t>
        </is>
      </c>
      <c r="C18" s="24" t="inlineStr">
        <is>
          <t>руб/ткм</t>
        </is>
      </c>
      <c r="D18" s="53">
        <f>INDEX('Расчёт аннуитета'!D19:I19,$C$4)+INDEX('Расчёт аннуитета'!D21:I21,$C$4)</f>
        <v>6.6826502386665965</v>
      </c>
    </row>
    <row r="20">
      <c r="B20" s="5" t="inlineStr">
        <is>
          <t>ТОРНАДО: ВЛИЯНИЕ ДРАЙВЕРОВ НА ОБЩИЙ АННУИТЕТ (руб/ткм) — жёлтый «Диапазон ±» редактируется</t>
        </is>
      </c>
      <c r="C20" s="4" t="n"/>
      <c r="D20" s="4" t="n"/>
      <c r="E20" s="4" t="n"/>
      <c r="F20" s="4" t="n"/>
      <c r="G20" s="4" t="n"/>
      <c r="H20" s="4" t="n"/>
    </row>
    <row r="21">
      <c r="B21" s="15" t="inlineStr">
        <is>
          <t>Драйвер</t>
        </is>
      </c>
      <c r="C21" s="15" t="inlineStr">
        <is>
          <t>Диапазон ±</t>
        </is>
      </c>
      <c r="D21" s="15" t="inlineStr">
        <is>
          <t>При снижении</t>
        </is>
      </c>
      <c r="E21" s="15" t="inlineStr">
        <is>
          <t>При росте</t>
        </is>
      </c>
      <c r="F21" s="15" t="inlineStr">
        <is>
          <t>Размах</t>
        </is>
      </c>
      <c r="I21" s="79" t="inlineStr">
        <is>
          <t>низкое</t>
        </is>
      </c>
      <c r="J21" s="79" t="inlineStr">
        <is>
          <t>высокое</t>
        </is>
      </c>
    </row>
    <row r="22">
      <c r="B22" s="22" t="inlineStr">
        <is>
          <t>Расход / цена ДТ</t>
        </is>
      </c>
      <c r="C22" s="23" t="n">
        <v>0.2</v>
      </c>
      <c r="D22" s="53">
        <f>$D$7-C22*($D$9*(1-'Параметры'!C7))</f>
        <v>12.853089570598833</v>
      </c>
      <c r="E22" s="53">
        <f>$D$7+C22*($D$9*(1-'Параметры'!C7))</f>
        <v>14.407404515233857</v>
      </c>
      <c r="F22" s="53">
        <f>E22-D22</f>
        <v>1.5543149446350242</v>
      </c>
      <c r="I22" s="80">
        <f>D22-$D$7</f>
        <v>-0.7771574723175121</v>
      </c>
      <c r="J22" s="80">
        <f>E22-$D$7</f>
        <v>0.7771574723175121</v>
      </c>
    </row>
    <row r="23">
      <c r="B23" s="22" t="inlineStr">
        <is>
          <t>Затраты на ТОиР/ремонты</t>
        </is>
      </c>
      <c r="C23" s="23" t="n">
        <v>0.25</v>
      </c>
      <c r="D23" s="53">
        <f>$D$7-C23*($D$10*(1-'Параметры'!C7))</f>
        <v>12.712303225203186</v>
      </c>
      <c r="E23" s="53">
        <f>$D$7+C23*($D$10*(1-'Параметры'!C7))</f>
        <v>14.548190860629504</v>
      </c>
      <c r="F23" s="53">
        <f>E23-D23</f>
        <v>1.8358876354263174</v>
      </c>
      <c r="I23" s="80">
        <f>D23-$D$7</f>
        <v>-0.9179438177131587</v>
      </c>
      <c r="J23" s="80">
        <f>E23-$D$7</f>
        <v>0.9179438177131587</v>
      </c>
    </row>
    <row r="24">
      <c r="B24" s="22" t="inlineStr">
        <is>
          <t>Цена приобретения</t>
        </is>
      </c>
      <c r="C24" s="23" t="n">
        <v>0.15</v>
      </c>
      <c r="D24" s="53">
        <f>$D$7-C24*($D$8*(1-'Параметры'!C7*'Параметры'!C46))</f>
        <v>13.063311388576018</v>
      </c>
      <c r="E24" s="53">
        <f>$D$7+C24*($D$8*(1-'Параметры'!C7*'Параметры'!C46))</f>
        <v>14.197182697256672</v>
      </c>
      <c r="F24" s="53">
        <f>E24-D24</f>
        <v>1.1338713086806536</v>
      </c>
      <c r="I24" s="80">
        <f>D24-$D$7</f>
        <v>-0.5669356543403268</v>
      </c>
      <c r="J24" s="80">
        <f>E24-$D$7</f>
        <v>0.5669356543403268</v>
      </c>
    </row>
    <row r="25">
      <c r="B25" s="22" t="inlineStr">
        <is>
          <t>Производительность (плечо/КТГ)</t>
        </is>
      </c>
      <c r="C25" s="23" t="n">
        <v>0.15</v>
      </c>
      <c r="D25" s="53">
        <f>$D$7-C25*($D$17)</f>
        <v>12.588107522278882</v>
      </c>
      <c r="E25" s="53">
        <f>$D$7+C25*($D$17)</f>
        <v>14.672386563553808</v>
      </c>
      <c r="F25" s="53">
        <f>E25-D25</f>
        <v>2.0842790412749252</v>
      </c>
      <c r="I25" s="80">
        <f>D25-$D$7</f>
        <v>-1.0421395206374626</v>
      </c>
      <c r="J25" s="80">
        <f>E25-$D$7</f>
        <v>1.0421395206374626</v>
      </c>
    </row>
    <row r="26">
      <c r="B26" s="22" t="inlineStr">
        <is>
          <t>Расходы на персонал</t>
        </is>
      </c>
      <c r="C26" s="23" t="n">
        <v>0.15</v>
      </c>
      <c r="D26" s="53">
        <f>$D$7-C26*($D$12*(1-'Параметры'!C7))</f>
        <v>13.457200406225553</v>
      </c>
      <c r="E26" s="53">
        <f>$D$7+C26*($D$12*(1-'Параметры'!C7))</f>
        <v>13.803293679607137</v>
      </c>
      <c r="F26" s="53">
        <f>E26-D26</f>
        <v>0.3460932733815838</v>
      </c>
      <c r="I26" s="80">
        <f>D26-$D$7</f>
        <v>-0.1730466366907919</v>
      </c>
      <c r="J26" s="80">
        <f>E26-$D$7</f>
        <v>0.1730466366907919</v>
      </c>
    </row>
    <row r="29">
      <c r="B29" s="5" t="inlineStr">
        <is>
          <t>ВЛИЯНИЕ ПРОИЗВОДИТЕЛЬНОСТИ (КТГ / УТИЛИЗАЦИИ)</t>
        </is>
      </c>
      <c r="C29" s="4" t="n"/>
      <c r="D29" s="4" t="n"/>
      <c r="E29" s="4" t="n"/>
      <c r="F29" s="4" t="n"/>
      <c r="G29" s="4" t="n"/>
      <c r="H29" s="4" t="n"/>
    </row>
    <row r="30">
      <c r="B30" s="15" t="inlineStr">
        <is>
          <t>Изменение производительности</t>
        </is>
      </c>
      <c r="C30" s="15" t="inlineStr">
        <is>
          <t>-15%</t>
        </is>
      </c>
      <c r="D30" s="15" t="inlineStr">
        <is>
          <t>-10%</t>
        </is>
      </c>
      <c r="E30" s="15" t="inlineStr">
        <is>
          <t>0%</t>
        </is>
      </c>
      <c r="F30" s="15" t="inlineStr">
        <is>
          <t>+10%</t>
        </is>
      </c>
      <c r="G30" s="15" t="inlineStr">
        <is>
          <t>+15%</t>
        </is>
      </c>
    </row>
    <row r="31">
      <c r="B31" s="51" t="inlineStr">
        <is>
          <t>Общий аннуитет, руб/ткм</t>
        </is>
      </c>
      <c r="C31" s="64">
        <f>$D$17/(1+-0.15)+$D$18</f>
        <v>14.856293537783948</v>
      </c>
      <c r="D31" s="64">
        <f>$D$17/(1+-0.1)+$D$18</f>
        <v>14.402202243388539</v>
      </c>
      <c r="E31" s="67">
        <f>$D$17/(1+0.0)+$D$18</f>
        <v>13.630247042916345</v>
      </c>
      <c r="F31" s="64">
        <f>$D$17/(1+0.1)+$D$18</f>
        <v>12.998647333439095</v>
      </c>
      <c r="G31" s="64">
        <f>$D$17/(1+0.15)+$D$18</f>
        <v>12.724038764101161</v>
      </c>
    </row>
    <row r="33">
      <c r="B33" s="5" t="inlineStr">
        <is>
          <t>ВЛИЯНИЕ СТАВКИ ДИСКОНТИРОВАНИЯ</t>
        </is>
      </c>
      <c r="C33" s="4" t="n"/>
      <c r="D33" s="4" t="n"/>
      <c r="E33" s="4" t="n"/>
      <c r="F33" s="4" t="n"/>
      <c r="G33" s="4" t="n"/>
      <c r="H33" s="4" t="n"/>
    </row>
    <row r="34">
      <c r="B34" s="15" t="inlineStr">
        <is>
          <t>Ставка дисконтирования</t>
        </is>
      </c>
      <c r="C34" s="81" t="n">
        <v>0.08</v>
      </c>
      <c r="D34" s="81" t="n">
        <v>0.1</v>
      </c>
      <c r="E34" s="81" t="n">
        <v>0.12</v>
      </c>
      <c r="F34" s="81" t="n">
        <v>0.14</v>
      </c>
      <c r="G34" s="81" t="n">
        <v>0.16</v>
      </c>
    </row>
    <row r="35">
      <c r="B35" s="51" t="inlineStr">
        <is>
          <t>Общий аннуитет, руб/ткм (оценка)</t>
        </is>
      </c>
      <c r="C35" s="64">
        <f>$D$14*(1-INDEX('Ввод данных'!D14:I14,$C$4)/(1+C34)^$D$15)/((1-(1+C34)^-$D$15)/C34)/$D$13+$D$7-$D$8</f>
        <v>12.902782327773398</v>
      </c>
      <c r="D35" s="64">
        <f>$D$14*(1-INDEX('Ввод данных'!D14:I14,$C$4)/(1+D34)^$D$15)/((1-(1+D34)^-$D$15)/D34)/$D$13+$D$7-$D$8</f>
        <v>13.259711450395645</v>
      </c>
      <c r="E35" s="67">
        <f>$D$14*(1-INDEX('Ввод данных'!D14:I14,$C$4)/(1+E34)^$D$15)/((1-(1+E34)^-$D$15)/E34)/$D$13+$D$7-$D$8</f>
        <v>13.630247042916345</v>
      </c>
      <c r="F35" s="64">
        <f>$D$14*(1-INDEX('Ввод данных'!D14:I14,$C$4)/(1+F34)^$D$15)/((1-(1+F34)^-$D$15)/F34)/$D$13+$D$7-$D$8</f>
        <v>14.013549715403546</v>
      </c>
      <c r="G35" s="64">
        <f>$D$14*(1-INDEX('Ввод данных'!D14:I14,$C$4)/(1+G34)^$D$15)/((1-(1+G34)^-$D$15)/G34)/$D$13+$D$7-$D$8</f>
        <v>14.40877523292978</v>
      </c>
    </row>
    <row r="37">
      <c r="B37" s="59" t="inlineStr">
        <is>
          <t>Оценка по ставке: инвестиционный аннуитет пересчитан точно по СРОКУ СЛУЖБЫ выбранной машины, операционный принят постоянным (аннуитет равномерного потока ≈ инвариантен к ставке).</t>
        </is>
      </c>
    </row>
    <row r="39">
      <c r="B39" s="5" t="inlineStr">
        <is>
          <t>ИНТЕРАКТИВНЫЙ КАЛЬКУЛЯТОР СЦЕНАРИЯ (меняйте жёлтые ячейки — результат пересчитывается)</t>
        </is>
      </c>
      <c r="C39" s="4" t="n"/>
      <c r="D39" s="4" t="n"/>
      <c r="E39" s="4" t="n"/>
      <c r="F39" s="4" t="n"/>
      <c r="G39" s="4" t="n"/>
      <c r="H39" s="4" t="n"/>
    </row>
    <row r="40">
      <c r="B40" s="15" t="inlineStr">
        <is>
          <t>Драйвер (множитель к базе)</t>
        </is>
      </c>
      <c r="C40" s="15" t="inlineStr">
        <is>
          <t>Множитель</t>
        </is>
      </c>
      <c r="D40" s="15" t="inlineStr">
        <is>
          <t>Влияние на аннуитет, руб/ткм</t>
        </is>
      </c>
      <c r="E40" s="16" t="n"/>
      <c r="F40" s="17" t="n"/>
    </row>
    <row r="41">
      <c r="B41" s="22" t="inlineStr">
        <is>
          <t>Производительность / КТГ, ×</t>
        </is>
      </c>
      <c r="C41" s="27" t="n">
        <v>1</v>
      </c>
    </row>
    <row r="42">
      <c r="B42" s="22" t="inlineStr">
        <is>
          <t>Цена / расход ДТ, ×</t>
        </is>
      </c>
      <c r="C42" s="27" t="n">
        <v>1</v>
      </c>
    </row>
    <row r="43">
      <c r="B43" s="22" t="inlineStr">
        <is>
          <t>Затраты на ТОиР, ×</t>
        </is>
      </c>
      <c r="C43" s="27" t="n">
        <v>1</v>
      </c>
    </row>
    <row r="44">
      <c r="B44" s="22" t="inlineStr">
        <is>
          <t>Цена приобретения, ×</t>
        </is>
      </c>
      <c r="C44" s="27" t="n">
        <v>1</v>
      </c>
    </row>
    <row r="45">
      <c r="B45" s="22" t="inlineStr">
        <is>
          <t>Ставка дисконтирования, ×</t>
        </is>
      </c>
      <c r="C45" s="27" t="n">
        <v>1</v>
      </c>
    </row>
    <row r="46">
      <c r="B46" s="51" t="inlineStr">
        <is>
          <t>АННУИТЕТ СЦЕНАРИЯ (выбранная машина)</t>
        </is>
      </c>
      <c r="C46" s="82">
        <f>(($D$8*$C$44*$C$45+$D$10*$C$43+$D$17-$D$8-$D$10)+$D$9*$C$42+$D$11)/$C$41</f>
        <v>13.630247042916341</v>
      </c>
      <c r="D46" s="77" t="str">
        <f>IF(C46&lt;$D$7,"▼ лучше базы на "&amp;TEXT($D$7-C46,"0.00")&amp;" руб/ткм","▲ хуже базы на "&amp;TEXT(C46-$D$7,"0.00")&amp;" руб/ткм")</f>
        <v>▼ лучше базы на 0.00 руб/ткм</v>
      </c>
    </row>
    <row r="48">
      <c r="B48" s="83" t="inlineStr">
        <is>
          <t>Базовый аннуитет (для сравнения):</t>
        </is>
      </c>
      <c r="C48" s="84">
        <f>$D$7</f>
        <v>13.630247042916345</v>
      </c>
    </row>
    <row r="50">
      <c r="B50" s="59" t="inlineStr">
        <is>
          <t>•  Множитель 1,00 = базовый сценарий. Пример: КТГ ×1,10 → +10% производительности → все постоянные затраты на ткм снижаются; ДТ ×1,15 → +15% к топливной составляющей; Цена ×0,90 → скидка 10%.</t>
        </is>
      </c>
    </row>
    <row r="51">
      <c r="B51" s="59" t="inlineStr">
        <is>
          <t>•  Ставка дисконтирования ×: приближённо масштабирует инвестиционную составляющую (точный расчёт — в таблице ставок выше).</t>
        </is>
      </c>
    </row>
    <row r="52">
      <c r="B52" s="59" t="inlineStr">
        <is>
          <t>•  Все зависимые ячейки (дашборд, сравнение) обновляются при пересчёте книги; в мобильных просмотрщиках без пересчёта показываются кэшированные значения базового сценария.</t>
        </is>
      </c>
    </row>
  </sheetData>
  <mergeCells count="15">
    <mergeCell ref="B50:H50"/>
    <mergeCell ref="B1:K1"/>
    <mergeCell ref="B52:H52"/>
    <mergeCell ref="B48"/>
    <mergeCell ref="D46:H46"/>
    <mergeCell ref="B39:H39"/>
    <mergeCell ref="D40:F40"/>
    <mergeCell ref="B6:H6"/>
    <mergeCell ref="B29:H29"/>
    <mergeCell ref="B33:H33"/>
    <mergeCell ref="B2:K2"/>
    <mergeCell ref="D4:H4"/>
    <mergeCell ref="B51:H51"/>
    <mergeCell ref="B20:H20"/>
    <mergeCell ref="B37:H37"/>
  </mergeCells>
  <dataValidations count="1">
    <dataValidation sqref="C4" showDropDown="0" showInputMessage="0" showErrorMessage="0" allowBlank="0" type="whole" operator="between">
      <formula1>1</formula1>
      <formula2>6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B1" s="1" t="inlineStr">
        <is>
          <t>СПРАВОЧНИК ОРИЕНТИРОВОЧНЫХ ЗНАЧЕНИЙ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Диапазоны для проверки исходных данных. Требуют уточнения по данным поставщика.</t>
        </is>
      </c>
      <c r="C2" s="2" t="n"/>
      <c r="D2" s="2" t="n"/>
      <c r="E2" s="2" t="n"/>
      <c r="F2" s="2" t="n"/>
      <c r="G2" s="2" t="n"/>
      <c r="H2" s="2" t="n"/>
      <c r="I2" s="2" t="n"/>
    </row>
    <row r="4">
      <c r="B4" s="15" t="inlineStr">
        <is>
          <t>Показатель</t>
        </is>
      </c>
      <c r="C4" s="15" t="inlineStr">
        <is>
          <t>Класс 220–240 т</t>
        </is>
      </c>
      <c r="D4" s="15" t="inlineStr">
        <is>
          <t>Диапазон</t>
        </is>
      </c>
      <c r="E4" s="15" t="inlineStr">
        <is>
          <t>Комментарий</t>
        </is>
      </c>
    </row>
    <row r="5">
      <c r="B5" s="22" t="inlineStr">
        <is>
          <t>Ставка дисконтирования (WACC)</t>
        </is>
      </c>
      <c r="C5" s="85" t="inlineStr">
        <is>
          <t>12%</t>
        </is>
      </c>
      <c r="D5" s="85" t="inlineStr">
        <is>
          <t>8–16%</t>
        </is>
      </c>
      <c r="E5" s="22" t="inlineStr">
        <is>
          <t>Согласуется с эскалацией</t>
        </is>
      </c>
    </row>
    <row r="6">
      <c r="B6" s="86" t="inlineStr">
        <is>
          <t>Налог на прибыль</t>
        </is>
      </c>
      <c r="C6" s="87" t="inlineStr">
        <is>
          <t>25%</t>
        </is>
      </c>
      <c r="D6" s="87" t="inlineStr">
        <is>
          <t>20–25%</t>
        </is>
      </c>
      <c r="E6" s="86" t="inlineStr">
        <is>
          <t>Действующая ставка РФ</t>
        </is>
      </c>
    </row>
    <row r="7">
      <c r="B7" s="22" t="inlineStr">
        <is>
          <t>КТГ (техготовность)</t>
        </is>
      </c>
      <c r="C7" s="85" t="inlineStr">
        <is>
          <t>0,85–0,94</t>
        </is>
      </c>
      <c r="D7" s="85" t="inlineStr">
        <is>
          <t>0,80–0,95</t>
        </is>
      </c>
      <c r="E7" s="22" t="inlineStr">
        <is>
          <t>Зависит от бренда и сервиса</t>
        </is>
      </c>
    </row>
    <row r="8">
      <c r="B8" s="86" t="inlineStr">
        <is>
          <t>КИО (использование)</t>
        </is>
      </c>
      <c r="C8" s="87" t="inlineStr">
        <is>
          <t>0,78–0,80</t>
        </is>
      </c>
      <c r="D8" s="87" t="inlineStr">
        <is>
          <t>0,72–0,85</t>
        </is>
      </c>
      <c r="E8" s="86" t="inlineStr">
        <is>
          <t>Доля рабочего времени в КФВ</t>
        </is>
      </c>
    </row>
    <row r="9">
      <c r="B9" s="22" t="inlineStr">
        <is>
          <t>КИГ (использование г/п)</t>
        </is>
      </c>
      <c r="C9" s="85" t="inlineStr">
        <is>
          <t>0,98</t>
        </is>
      </c>
      <c r="D9" s="85" t="inlineStr">
        <is>
          <t>0,90–1,00</t>
        </is>
      </c>
      <c r="E9" s="22" t="inlineStr">
        <is>
          <t>Доля номинальной грузоподъёмности</t>
        </is>
      </c>
    </row>
    <row r="10">
      <c r="B10" s="86" t="inlineStr">
        <is>
          <t>Грузоподъёмность</t>
        </is>
      </c>
      <c r="C10" s="87" t="inlineStr">
        <is>
          <t>211–231</t>
        </is>
      </c>
      <c r="D10" s="87" t="inlineStr">
        <is>
          <t>200–240 т</t>
        </is>
      </c>
      <c r="E10" s="86" t="inlineStr">
        <is>
          <t>Класс 220–240 т</t>
        </is>
      </c>
    </row>
    <row r="11">
      <c r="B11" s="22" t="inlineStr">
        <is>
          <t>Средняя тех. скорость</t>
        </is>
      </c>
      <c r="C11" s="85" t="inlineStr">
        <is>
          <t>22,5</t>
        </is>
      </c>
      <c r="D11" s="85" t="inlineStr">
        <is>
          <t>18–28 км/ч</t>
        </is>
      </c>
      <c r="E11" s="22" t="inlineStr">
        <is>
          <t>Профиль трассы, плечо</t>
        </is>
      </c>
    </row>
    <row r="12">
      <c r="B12" s="86" t="inlineStr">
        <is>
          <t>Расход топлива</t>
        </is>
      </c>
      <c r="C12" s="87" t="inlineStr">
        <is>
          <t>90</t>
        </is>
      </c>
      <c r="D12" s="87" t="inlineStr">
        <is>
          <t>80–110 г/ткм</t>
        </is>
      </c>
      <c r="E12" s="86" t="inlineStr">
        <is>
          <t>Двигатель, плечо, уклоны</t>
        </is>
      </c>
    </row>
    <row r="13">
      <c r="B13" s="22" t="inlineStr">
        <is>
          <t>Шины (удельный расход)</t>
        </is>
      </c>
      <c r="C13" s="85" t="inlineStr">
        <is>
          <t>0,075</t>
        </is>
      </c>
      <c r="D13" s="85" t="inlineStr">
        <is>
          <t>0,05–0,10 шт/тыс.км</t>
        </is>
      </c>
      <c r="E13" s="22" t="inlineStr">
        <is>
          <t>Тип, трасса, давление</t>
        </is>
      </c>
    </row>
    <row r="14">
      <c r="B14" s="86" t="inlineStr">
        <is>
          <t>Срок амортизации (НУ)</t>
        </is>
      </c>
      <c r="C14" s="87" t="inlineStr">
        <is>
          <t>61 мес</t>
        </is>
      </c>
      <c r="D14" s="87" t="inlineStr">
        <is>
          <t>5–7 лет</t>
        </is>
      </c>
      <c r="E14" s="86" t="inlineStr">
        <is>
          <t>Линейная амортизация</t>
        </is>
      </c>
    </row>
    <row r="15">
      <c r="B15" s="22" t="inlineStr">
        <is>
          <t>Остаточная стоимость</t>
        </is>
      </c>
      <c r="C15" s="85" t="inlineStr">
        <is>
          <t>0–10%</t>
        </is>
      </c>
      <c r="D15" s="85" t="inlineStr">
        <is>
          <t>0–20%</t>
        </is>
      </c>
      <c r="E15" s="22" t="inlineStr">
        <is>
          <t>Реализация в конце срока</t>
        </is>
      </c>
    </row>
    <row r="17">
      <c r="B17" s="7" t="inlineStr">
        <is>
          <t>Методические примечания:</t>
        </is>
      </c>
    </row>
    <row r="18">
      <c r="B18" s="83" t="inlineStr">
        <is>
          <t>•  Производительность считается по транспортному циклу (методика листа «Производительность» исходного файла): время рейса = фикс. операции + движение (2·плечо/скорость); объём = рейсы × грузоподъёмность × КИГ.</t>
        </is>
      </c>
    </row>
    <row r="19">
      <c r="B19" s="83" t="inlineStr">
        <is>
          <t>•  ТОиР задаётся по годам (ТО, текущие и капитальные ремонты, сервис) — «рваный» график капремонтов учитывается дисконтированием.</t>
        </is>
      </c>
    </row>
    <row r="20">
      <c r="B20" s="83" t="inlineStr">
        <is>
          <t>•  Цена самосвалов в исходном файле не заполнена — в модель подставлена ОЦЕНКА; замените жёлтые ячейки данными ТКП.</t>
        </is>
      </c>
    </row>
    <row r="21">
      <c r="B21" s="83" t="inlineStr">
        <is>
          <t>•  Значения таблицы — ориентир порядка величин, а не норматив.</t>
        </is>
      </c>
    </row>
  </sheetData>
  <mergeCells count="6">
    <mergeCell ref="B18:I18"/>
    <mergeCell ref="B21:I21"/>
    <mergeCell ref="B2:I2"/>
    <mergeCell ref="B20:I20"/>
    <mergeCell ref="B19:I19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2026-07-31T21:01:57Z</dcterms:created>
  <dcterms:modified xsi:type="dcterms:W3CDTF">2026-07-31T21:01:58Z</dcterms:modified>
</cp:coreProperties>
</file>