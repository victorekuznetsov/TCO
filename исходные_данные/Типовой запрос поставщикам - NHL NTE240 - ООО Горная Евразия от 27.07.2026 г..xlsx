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42590\Desktop\GE\CUSTOMERS\POLUS GOLD\NHL - WORK and DIRECT CONTRACTS\ЭКСПЛУАТАЦИЯ\"/>
    </mc:Choice>
  </mc:AlternateContent>
  <xr:revisionPtr revIDLastSave="0" documentId="13_ncr:1_{62D021A0-0818-492C-B03B-09BFEC711FE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Данные-самосвал NHL NTE240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'Данные-самосвал NHL NTE240'!$A$1:$Y$31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81029"/>
</workbook>
</file>

<file path=xl/calcChain.xml><?xml version="1.0" encoding="utf-8"?>
<calcChain xmlns="http://schemas.openxmlformats.org/spreadsheetml/2006/main">
  <c r="D14" i="2" l="1"/>
  <c r="D15" i="2"/>
  <c r="D16" i="2"/>
  <c r="D17" i="2"/>
  <c r="D18" i="2"/>
  <c r="D19" i="2"/>
  <c r="H58" i="3" l="1"/>
  <c r="H38" i="3" s="1"/>
  <c r="I58" i="3"/>
  <c r="I38" i="3" s="1"/>
  <c r="J58" i="3"/>
  <c r="J38" i="3" s="1"/>
  <c r="K58" i="3"/>
  <c r="L58" i="3"/>
  <c r="M58" i="3"/>
  <c r="O58" i="3"/>
  <c r="P58" i="3"/>
  <c r="P38" i="3" s="1"/>
  <c r="R58" i="3"/>
  <c r="R38" i="3" s="1"/>
  <c r="S58" i="3"/>
  <c r="T58" i="3"/>
  <c r="T38" i="3" s="1"/>
  <c r="V58" i="3"/>
  <c r="V38" i="3" s="1"/>
  <c r="W58" i="3"/>
  <c r="W38" i="3" s="1"/>
  <c r="Y58" i="3"/>
  <c r="Y38" i="3" s="1"/>
  <c r="Z58" i="3"/>
  <c r="G58" i="3"/>
  <c r="G38" i="3" s="1"/>
  <c r="N21" i="3" l="1"/>
  <c r="Q21" i="3" s="1"/>
  <c r="U21" i="3" s="1"/>
  <c r="X21" i="3" s="1"/>
  <c r="N20" i="3"/>
  <c r="Q20" i="3" s="1"/>
  <c r="U20" i="3" s="1"/>
  <c r="X20" i="3" s="1"/>
  <c r="N19" i="3"/>
  <c r="X46" i="3"/>
  <c r="Z46" i="3" s="1"/>
  <c r="Z38" i="3" s="1"/>
  <c r="L46" i="3"/>
  <c r="L38" i="3" s="1"/>
  <c r="K46" i="3"/>
  <c r="M46" i="3" s="1"/>
  <c r="O46" i="3" s="1"/>
  <c r="Q46" i="3" s="1"/>
  <c r="S46" i="3" s="1"/>
  <c r="U46" i="3" s="1"/>
  <c r="N45" i="3"/>
  <c r="Q45" i="3" s="1"/>
  <c r="U45" i="3" s="1"/>
  <c r="X45" i="3" s="1"/>
  <c r="N44" i="3"/>
  <c r="Q44" i="3" s="1"/>
  <c r="U44" i="3" s="1"/>
  <c r="X44" i="3" s="1"/>
  <c r="N43" i="3"/>
  <c r="Q43" i="3" s="1"/>
  <c r="U43" i="3" s="1"/>
  <c r="X43" i="3" s="1"/>
  <c r="O38" i="3" l="1"/>
  <c r="M38" i="3"/>
  <c r="K38" i="3"/>
  <c r="S38" i="3"/>
  <c r="Q19" i="3"/>
  <c r="N58" i="3"/>
  <c r="N38" i="3" s="1"/>
  <c r="H14" i="3"/>
  <c r="I14" i="3"/>
  <c r="J14" i="3"/>
  <c r="K14" i="3"/>
  <c r="L14" i="3"/>
  <c r="M14" i="3"/>
  <c r="N14" i="3"/>
  <c r="O14" i="3"/>
  <c r="P14" i="3"/>
  <c r="R14" i="3"/>
  <c r="S14" i="3"/>
  <c r="T14" i="3"/>
  <c r="V14" i="3"/>
  <c r="W14" i="3"/>
  <c r="Y14" i="3"/>
  <c r="Z14" i="3"/>
  <c r="G14" i="3"/>
  <c r="Q68" i="3"/>
  <c r="U19" i="3" l="1"/>
  <c r="O70" i="3"/>
  <c r="U70" i="3"/>
  <c r="Q14" i="3" l="1"/>
  <c r="Q58" i="3"/>
  <c r="Q38" i="3" s="1"/>
  <c r="X19" i="3"/>
  <c r="I70" i="3"/>
  <c r="U14" i="3" l="1"/>
  <c r="U58" i="3"/>
  <c r="U38" i="3" s="1"/>
  <c r="X58" i="3"/>
  <c r="X38" i="3" s="1"/>
  <c r="X14" i="3"/>
  <c r="U63" i="3" l="1"/>
  <c r="R63" i="3"/>
  <c r="L63" i="3"/>
  <c r="U53" i="2" l="1"/>
  <c r="U18" i="2"/>
  <c r="U46" i="2" s="1"/>
  <c r="T16" i="2"/>
  <c r="Q61" i="3"/>
  <c r="S61" i="3"/>
  <c r="S10" i="3" s="1"/>
  <c r="T61" i="3"/>
  <c r="T10" i="3" s="1"/>
  <c r="U61" i="3"/>
  <c r="U10" i="3" s="1"/>
  <c r="V61" i="3"/>
  <c r="V10" i="3" s="1"/>
  <c r="T20" i="1" s="1"/>
  <c r="W61" i="3"/>
  <c r="W10" i="3" s="1"/>
  <c r="X61" i="3"/>
  <c r="X10" i="3" s="1"/>
  <c r="Y61" i="3"/>
  <c r="Y10" i="3" s="1"/>
  <c r="Z61" i="3"/>
  <c r="Z10" i="3" s="1"/>
  <c r="X20" i="1" s="1"/>
  <c r="E36" i="3"/>
  <c r="S53" i="2"/>
  <c r="T53" i="2"/>
  <c r="V53" i="2"/>
  <c r="W53" i="2"/>
  <c r="X53" i="2"/>
  <c r="Y53" i="2"/>
  <c r="S16" i="2"/>
  <c r="S38" i="2" s="1"/>
  <c r="V16" i="2"/>
  <c r="V37" i="2" s="1"/>
  <c r="Z16" i="2"/>
  <c r="Z37" i="2" s="1"/>
  <c r="S17" i="2"/>
  <c r="S44" i="2" s="1"/>
  <c r="T17" i="2"/>
  <c r="U17" i="2"/>
  <c r="U44" i="2" s="1"/>
  <c r="V17" i="2"/>
  <c r="W17" i="2"/>
  <c r="W44" i="2" s="1"/>
  <c r="X17" i="2"/>
  <c r="Y17" i="2"/>
  <c r="Z17" i="2"/>
  <c r="T18" i="2"/>
  <c r="X18" i="2"/>
  <c r="T5" i="2"/>
  <c r="U5" i="2"/>
  <c r="V5" i="2"/>
  <c r="W5" i="2"/>
  <c r="X5" i="2"/>
  <c r="Y5" i="2"/>
  <c r="Z5" i="2"/>
  <c r="H21" i="2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W18" i="2" l="1"/>
  <c r="W46" i="2" s="1"/>
  <c r="S18" i="2"/>
  <c r="S46" i="2" s="1"/>
  <c r="Z18" i="2"/>
  <c r="Z48" i="2" s="1"/>
  <c r="V18" i="2"/>
  <c r="V46" i="2" s="1"/>
  <c r="Z53" i="2"/>
  <c r="Y18" i="2"/>
  <c r="Y47" i="2" s="1"/>
  <c r="W16" i="2"/>
  <c r="W38" i="2" s="1"/>
  <c r="Z11" i="3"/>
  <c r="X22" i="1" s="1"/>
  <c r="V11" i="3"/>
  <c r="T22" i="1" s="1"/>
  <c r="R11" i="3"/>
  <c r="N11" i="3"/>
  <c r="J11" i="3"/>
  <c r="E39" i="3"/>
  <c r="G11" i="3"/>
  <c r="K11" i="3"/>
  <c r="M11" i="3"/>
  <c r="P11" i="3"/>
  <c r="W11" i="3"/>
  <c r="U22" i="1" s="1"/>
  <c r="Y11" i="3"/>
  <c r="W22" i="1" s="1"/>
  <c r="I11" i="3"/>
  <c r="L11" i="3"/>
  <c r="S11" i="3"/>
  <c r="Q22" i="1" s="1"/>
  <c r="U11" i="3"/>
  <c r="S22" i="1" s="1"/>
  <c r="X11" i="3"/>
  <c r="V22" i="1" s="1"/>
  <c r="H11" i="3"/>
  <c r="O11" i="3"/>
  <c r="Q11" i="3"/>
  <c r="T11" i="3"/>
  <c r="R22" i="1" s="1"/>
  <c r="Y16" i="2"/>
  <c r="Y36" i="2" s="1"/>
  <c r="U16" i="2"/>
  <c r="U37" i="2" s="1"/>
  <c r="X16" i="2"/>
  <c r="X41" i="2" s="1"/>
  <c r="U51" i="2"/>
  <c r="U49" i="2"/>
  <c r="S40" i="2"/>
  <c r="S39" i="2"/>
  <c r="S36" i="2"/>
  <c r="Z38" i="2"/>
  <c r="U47" i="2"/>
  <c r="S41" i="2"/>
  <c r="S37" i="2"/>
  <c r="Z40" i="2"/>
  <c r="Z36" i="2"/>
  <c r="Y44" i="2"/>
  <c r="V38" i="2"/>
  <c r="V40" i="2"/>
  <c r="V36" i="2"/>
  <c r="W20" i="1"/>
  <c r="R20" i="1"/>
  <c r="Q20" i="1"/>
  <c r="U20" i="1"/>
  <c r="V20" i="1"/>
  <c r="S20" i="1"/>
  <c r="X46" i="2"/>
  <c r="X47" i="2"/>
  <c r="X48" i="2"/>
  <c r="X49" i="2"/>
  <c r="X50" i="2"/>
  <c r="X51" i="2"/>
  <c r="T46" i="2"/>
  <c r="T47" i="2"/>
  <c r="T48" i="2"/>
  <c r="T49" i="2"/>
  <c r="T50" i="2"/>
  <c r="T51" i="2"/>
  <c r="X44" i="2"/>
  <c r="T44" i="2"/>
  <c r="T36" i="2"/>
  <c r="T37" i="2"/>
  <c r="T38" i="2"/>
  <c r="T39" i="2"/>
  <c r="T40" i="2"/>
  <c r="T41" i="2"/>
  <c r="Z44" i="2"/>
  <c r="V44" i="2"/>
  <c r="V41" i="2"/>
  <c r="V39" i="2"/>
  <c r="Y38" i="2"/>
  <c r="U50" i="2"/>
  <c r="U48" i="2"/>
  <c r="Z41" i="2"/>
  <c r="Z39" i="2"/>
  <c r="S48" i="2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W48" i="2" l="1"/>
  <c r="Y48" i="2"/>
  <c r="Y37" i="2"/>
  <c r="U41" i="2"/>
  <c r="W47" i="2"/>
  <c r="S49" i="2"/>
  <c r="V49" i="2"/>
  <c r="Z50" i="2"/>
  <c r="S51" i="2"/>
  <c r="W49" i="2"/>
  <c r="Z51" i="2"/>
  <c r="W50" i="2"/>
  <c r="W51" i="2"/>
  <c r="S50" i="2"/>
  <c r="Y51" i="2"/>
  <c r="Y46" i="2"/>
  <c r="Z47" i="2"/>
  <c r="Y50" i="2"/>
  <c r="Y49" i="2"/>
  <c r="Z46" i="2"/>
  <c r="S47" i="2"/>
  <c r="W40" i="2"/>
  <c r="X40" i="2"/>
  <c r="X37" i="2"/>
  <c r="X39" i="2"/>
  <c r="X38" i="2"/>
  <c r="X36" i="2"/>
  <c r="W37" i="2"/>
  <c r="V48" i="2"/>
  <c r="U39" i="2"/>
  <c r="V51" i="2"/>
  <c r="U38" i="2"/>
  <c r="U40" i="2"/>
  <c r="U36" i="2"/>
  <c r="Y40" i="2"/>
  <c r="V47" i="2"/>
  <c r="Z49" i="2"/>
  <c r="Y39" i="2"/>
  <c r="W41" i="2"/>
  <c r="V50" i="2"/>
  <c r="W36" i="2"/>
  <c r="Y41" i="2"/>
  <c r="W39" i="2"/>
  <c r="G61" i="3"/>
  <c r="G10" i="3" s="1"/>
  <c r="E20" i="1" s="1"/>
  <c r="M61" i="3"/>
  <c r="J61" i="3"/>
  <c r="I63" i="3"/>
  <c r="R61" i="3" l="1"/>
  <c r="I61" i="3"/>
  <c r="H61" i="3"/>
  <c r="P61" i="3"/>
  <c r="N61" i="3"/>
  <c r="L61" i="3"/>
  <c r="O61" i="3"/>
  <c r="K61" i="3"/>
  <c r="R10" i="3" l="1"/>
  <c r="P20" i="1" s="1"/>
  <c r="Q10" i="3"/>
  <c r="O20" i="1" s="1"/>
  <c r="O10" i="3"/>
  <c r="M20" i="1" s="1"/>
  <c r="N10" i="3"/>
  <c r="L20" i="1" s="1"/>
  <c r="L10" i="3"/>
  <c r="J20" i="1" s="1"/>
  <c r="J10" i="3"/>
  <c r="H20" i="1" s="1"/>
  <c r="I10" i="3"/>
  <c r="G20" i="1" s="1"/>
  <c r="H10" i="3"/>
  <c r="F20" i="1" s="1"/>
  <c r="B46" i="3"/>
  <c r="R8" i="3"/>
  <c r="P14" i="1" s="1"/>
  <c r="Q8" i="3"/>
  <c r="O14" i="1" s="1"/>
  <c r="P8" i="3"/>
  <c r="N14" i="1" s="1"/>
  <c r="O8" i="3"/>
  <c r="M14" i="1" s="1"/>
  <c r="N8" i="3"/>
  <c r="L14" i="1" s="1"/>
  <c r="M8" i="3"/>
  <c r="K14" i="1" s="1"/>
  <c r="L8" i="3"/>
  <c r="J14" i="1" s="1"/>
  <c r="K8" i="3"/>
  <c r="I14" i="1" s="1"/>
  <c r="J8" i="3"/>
  <c r="H14" i="1" s="1"/>
  <c r="I8" i="3"/>
  <c r="G14" i="1" s="1"/>
  <c r="H8" i="3"/>
  <c r="F14" i="1" s="1"/>
  <c r="G8" i="3"/>
  <c r="E14" i="1" s="1"/>
  <c r="G13" i="3"/>
  <c r="G37" i="3" s="1"/>
  <c r="F6" i="3"/>
  <c r="G6" i="3" s="1"/>
  <c r="H4" i="3"/>
  <c r="I4" i="3" s="1"/>
  <c r="P53" i="2"/>
  <c r="N53" i="2"/>
  <c r="K53" i="2"/>
  <c r="I53" i="2"/>
  <c r="G53" i="2"/>
  <c r="E52" i="2"/>
  <c r="F45" i="2"/>
  <c r="E45" i="2"/>
  <c r="F43" i="2"/>
  <c r="E43" i="2"/>
  <c r="F35" i="2"/>
  <c r="E35" i="2"/>
  <c r="E30" i="2"/>
  <c r="E23" i="2"/>
  <c r="R19" i="2"/>
  <c r="Q19" i="2"/>
  <c r="O19" i="2"/>
  <c r="M19" i="2"/>
  <c r="L19" i="2"/>
  <c r="J19" i="2"/>
  <c r="H19" i="2"/>
  <c r="R18" i="2"/>
  <c r="Q18" i="2"/>
  <c r="P18" i="2"/>
  <c r="O18" i="2"/>
  <c r="O46" i="2" s="1"/>
  <c r="N18" i="2"/>
  <c r="M18" i="2"/>
  <c r="L18" i="2"/>
  <c r="K18" i="2"/>
  <c r="K51" i="2" s="1"/>
  <c r="J18" i="2"/>
  <c r="I18" i="2"/>
  <c r="H18" i="2"/>
  <c r="G18" i="2"/>
  <c r="G48" i="2" s="1"/>
  <c r="R17" i="2"/>
  <c r="Q17" i="2"/>
  <c r="P17" i="2"/>
  <c r="O17" i="2"/>
  <c r="N17" i="2"/>
  <c r="M17" i="2"/>
  <c r="L17" i="2"/>
  <c r="K17" i="2"/>
  <c r="J17" i="2"/>
  <c r="I17" i="2"/>
  <c r="I44" i="2" s="1"/>
  <c r="H17" i="2"/>
  <c r="H44" i="2" s="1"/>
  <c r="G17" i="2"/>
  <c r="G44" i="2" s="1"/>
  <c r="R16" i="2"/>
  <c r="Q16" i="2"/>
  <c r="P16" i="2"/>
  <c r="O16" i="2"/>
  <c r="O40" i="2" s="1"/>
  <c r="N16" i="2"/>
  <c r="N39" i="2" s="1"/>
  <c r="M16" i="2"/>
  <c r="M39" i="2" s="1"/>
  <c r="L16" i="2"/>
  <c r="L39" i="2" s="1"/>
  <c r="K16" i="2"/>
  <c r="K41" i="2" s="1"/>
  <c r="J16" i="2"/>
  <c r="I16" i="2"/>
  <c r="I40" i="2" s="1"/>
  <c r="H16" i="2"/>
  <c r="G16" i="2"/>
  <c r="G37" i="2" s="1"/>
  <c r="G6" i="2"/>
  <c r="H6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T8" i="3" l="1"/>
  <c r="R14" i="1" s="1"/>
  <c r="S8" i="3"/>
  <c r="Q14" i="1" s="1"/>
  <c r="N14" i="2"/>
  <c r="N28" i="2" s="1"/>
  <c r="S14" i="2"/>
  <c r="W14" i="2"/>
  <c r="V14" i="2"/>
  <c r="X14" i="2"/>
  <c r="T14" i="2"/>
  <c r="Y14" i="2"/>
  <c r="U14" i="2"/>
  <c r="Z14" i="2"/>
  <c r="I15" i="2"/>
  <c r="I32" i="2" s="1"/>
  <c r="S15" i="2"/>
  <c r="W15" i="2"/>
  <c r="T15" i="2"/>
  <c r="Y15" i="2"/>
  <c r="V15" i="2"/>
  <c r="U15" i="2"/>
  <c r="Z15" i="2"/>
  <c r="X15" i="2"/>
  <c r="M15" i="2"/>
  <c r="M32" i="2" s="1"/>
  <c r="L15" i="2"/>
  <c r="L31" i="2" s="1"/>
  <c r="Q14" i="2"/>
  <c r="Q29" i="2" s="1"/>
  <c r="N15" i="2"/>
  <c r="N31" i="2" s="1"/>
  <c r="Q15" i="2"/>
  <c r="Q32" i="2" s="1"/>
  <c r="P44" i="2"/>
  <c r="N37" i="2"/>
  <c r="M10" i="3"/>
  <c r="K20" i="1" s="1"/>
  <c r="P10" i="3"/>
  <c r="N20" i="1" s="1"/>
  <c r="O37" i="2"/>
  <c r="O44" i="2"/>
  <c r="R14" i="2"/>
  <c r="R28" i="2" s="1"/>
  <c r="G46" i="2"/>
  <c r="O39" i="2"/>
  <c r="G39" i="2"/>
  <c r="G40" i="2"/>
  <c r="K49" i="2"/>
  <c r="K36" i="2"/>
  <c r="K37" i="2"/>
  <c r="K10" i="3"/>
  <c r="I20" i="1" s="1"/>
  <c r="I5" i="2"/>
  <c r="I6" i="2"/>
  <c r="I38" i="2"/>
  <c r="H50" i="2"/>
  <c r="H48" i="2"/>
  <c r="H46" i="2"/>
  <c r="H51" i="2"/>
  <c r="H49" i="2"/>
  <c r="H47" i="2"/>
  <c r="H41" i="2"/>
  <c r="H39" i="2"/>
  <c r="H37" i="2"/>
  <c r="H40" i="2"/>
  <c r="H36" i="2"/>
  <c r="P50" i="2"/>
  <c r="P48" i="2"/>
  <c r="P46" i="2"/>
  <c r="P51" i="2"/>
  <c r="P49" i="2"/>
  <c r="P47" i="2"/>
  <c r="I41" i="2"/>
  <c r="I39" i="2"/>
  <c r="I37" i="2"/>
  <c r="Q41" i="2"/>
  <c r="Q39" i="2"/>
  <c r="Q37" i="2"/>
  <c r="Q36" i="2"/>
  <c r="Q38" i="2"/>
  <c r="Q40" i="2"/>
  <c r="M44" i="2"/>
  <c r="I50" i="2"/>
  <c r="I48" i="2"/>
  <c r="I46" i="2"/>
  <c r="I51" i="2"/>
  <c r="I49" i="2"/>
  <c r="I47" i="2"/>
  <c r="Q50" i="2"/>
  <c r="Q48" i="2"/>
  <c r="Q46" i="2"/>
  <c r="Q51" i="2"/>
  <c r="Q49" i="2"/>
  <c r="Q47" i="2"/>
  <c r="R53" i="2"/>
  <c r="L44" i="2"/>
  <c r="Q53" i="2"/>
  <c r="M14" i="2"/>
  <c r="F23" i="2"/>
  <c r="L14" i="2"/>
  <c r="P14" i="2"/>
  <c r="H14" i="2"/>
  <c r="O14" i="2"/>
  <c r="G14" i="2"/>
  <c r="J41" i="2"/>
  <c r="J39" i="2"/>
  <c r="J37" i="2"/>
  <c r="J38" i="2"/>
  <c r="J40" i="2"/>
  <c r="R41" i="2"/>
  <c r="R39" i="2"/>
  <c r="R37" i="2"/>
  <c r="R38" i="2"/>
  <c r="R40" i="2"/>
  <c r="R36" i="2"/>
  <c r="N44" i="2"/>
  <c r="J50" i="2"/>
  <c r="J48" i="2"/>
  <c r="J46" i="2"/>
  <c r="J51" i="2"/>
  <c r="J49" i="2"/>
  <c r="J47" i="2"/>
  <c r="R50" i="2"/>
  <c r="R48" i="2"/>
  <c r="R46" i="2"/>
  <c r="R51" i="2"/>
  <c r="R49" i="2"/>
  <c r="R47" i="2"/>
  <c r="I36" i="2"/>
  <c r="I14" i="2"/>
  <c r="J36" i="2"/>
  <c r="J14" i="2"/>
  <c r="P41" i="2"/>
  <c r="P39" i="2"/>
  <c r="P37" i="2"/>
  <c r="P40" i="2"/>
  <c r="P36" i="2"/>
  <c r="P38" i="2"/>
  <c r="H5" i="2"/>
  <c r="K14" i="2"/>
  <c r="F30" i="2"/>
  <c r="P15" i="2"/>
  <c r="H15" i="2"/>
  <c r="O15" i="2"/>
  <c r="G15" i="2"/>
  <c r="K15" i="2"/>
  <c r="R15" i="2"/>
  <c r="J15" i="2"/>
  <c r="M40" i="2"/>
  <c r="M38" i="2"/>
  <c r="M36" i="2"/>
  <c r="M37" i="2"/>
  <c r="M41" i="2"/>
  <c r="Q44" i="2"/>
  <c r="M51" i="2"/>
  <c r="M49" i="2"/>
  <c r="M47" i="2"/>
  <c r="M50" i="2"/>
  <c r="M48" i="2"/>
  <c r="M46" i="2"/>
  <c r="L53" i="2"/>
  <c r="H38" i="2"/>
  <c r="N40" i="2"/>
  <c r="N38" i="2"/>
  <c r="N36" i="2"/>
  <c r="J44" i="2"/>
  <c r="R44" i="2"/>
  <c r="N51" i="2"/>
  <c r="N49" i="2"/>
  <c r="N47" i="2"/>
  <c r="N50" i="2"/>
  <c r="N48" i="2"/>
  <c r="N46" i="2"/>
  <c r="M53" i="2"/>
  <c r="G36" i="2"/>
  <c r="L37" i="2"/>
  <c r="K39" i="2"/>
  <c r="N41" i="2"/>
  <c r="K44" i="2"/>
  <c r="G51" i="2"/>
  <c r="G49" i="2"/>
  <c r="G47" i="2"/>
  <c r="O51" i="2"/>
  <c r="O49" i="2"/>
  <c r="O47" i="2"/>
  <c r="O53" i="2"/>
  <c r="G38" i="2"/>
  <c r="O41" i="2"/>
  <c r="O48" i="2"/>
  <c r="J4" i="3"/>
  <c r="I13" i="3"/>
  <c r="I37" i="3" s="1"/>
  <c r="K50" i="2"/>
  <c r="K48" i="2"/>
  <c r="K46" i="2"/>
  <c r="H53" i="2"/>
  <c r="O36" i="2"/>
  <c r="K38" i="2"/>
  <c r="K40" i="2"/>
  <c r="G41" i="2"/>
  <c r="G50" i="2"/>
  <c r="H5" i="3"/>
  <c r="H6" i="3"/>
  <c r="L40" i="2"/>
  <c r="L38" i="2"/>
  <c r="L36" i="2"/>
  <c r="L41" i="2"/>
  <c r="L51" i="2"/>
  <c r="L49" i="2"/>
  <c r="L47" i="2"/>
  <c r="L50" i="2"/>
  <c r="L48" i="2"/>
  <c r="L46" i="2"/>
  <c r="J53" i="2"/>
  <c r="O38" i="2"/>
  <c r="K47" i="2"/>
  <c r="O50" i="2"/>
  <c r="H13" i="3"/>
  <c r="H37" i="3" s="1"/>
  <c r="N25" i="2" l="1"/>
  <c r="N27" i="2"/>
  <c r="N29" i="2"/>
  <c r="N24" i="2"/>
  <c r="U8" i="3"/>
  <c r="S14" i="1" s="1"/>
  <c r="V8" i="3"/>
  <c r="T14" i="1" s="1"/>
  <c r="N26" i="2"/>
  <c r="M33" i="2"/>
  <c r="I33" i="2"/>
  <c r="I31" i="2"/>
  <c r="I34" i="2"/>
  <c r="Q31" i="2"/>
  <c r="M34" i="2"/>
  <c r="U32" i="2"/>
  <c r="U34" i="2"/>
  <c r="U31" i="2"/>
  <c r="U33" i="2"/>
  <c r="W31" i="2"/>
  <c r="W33" i="2"/>
  <c r="W32" i="2"/>
  <c r="W34" i="2"/>
  <c r="V10" i="2"/>
  <c r="T21" i="1" s="1"/>
  <c r="V13" i="2"/>
  <c r="V7" i="2" s="1"/>
  <c r="T13" i="1" s="1"/>
  <c r="V24" i="2"/>
  <c r="V28" i="2"/>
  <c r="V25" i="2"/>
  <c r="V27" i="2"/>
  <c r="V29" i="2"/>
  <c r="V26" i="2"/>
  <c r="V31" i="2"/>
  <c r="V33" i="2"/>
  <c r="V32" i="2"/>
  <c r="V34" i="2"/>
  <c r="S32" i="2"/>
  <c r="S31" i="2"/>
  <c r="S33" i="2"/>
  <c r="S34" i="2"/>
  <c r="W13" i="2"/>
  <c r="W7" i="2" s="1"/>
  <c r="U13" i="1" s="1"/>
  <c r="W10" i="2"/>
  <c r="U21" i="1" s="1"/>
  <c r="W24" i="2"/>
  <c r="W26" i="2"/>
  <c r="W28" i="2"/>
  <c r="W25" i="2"/>
  <c r="W27" i="2"/>
  <c r="W29" i="2"/>
  <c r="M31" i="2"/>
  <c r="X31" i="2"/>
  <c r="X32" i="2"/>
  <c r="X33" i="2"/>
  <c r="X34" i="2"/>
  <c r="Y34" i="2"/>
  <c r="Y31" i="2"/>
  <c r="Y33" i="2"/>
  <c r="Y32" i="2"/>
  <c r="T24" i="2"/>
  <c r="T25" i="2"/>
  <c r="T26" i="2"/>
  <c r="T27" i="2"/>
  <c r="T28" i="2"/>
  <c r="T29" i="2"/>
  <c r="T13" i="2"/>
  <c r="T7" i="2" s="1"/>
  <c r="R13" i="1" s="1"/>
  <c r="T10" i="2"/>
  <c r="R21" i="1" s="1"/>
  <c r="S13" i="2"/>
  <c r="S7" i="2" s="1"/>
  <c r="Q13" i="1" s="1"/>
  <c r="S10" i="2"/>
  <c r="Q21" i="1" s="1"/>
  <c r="S27" i="2"/>
  <c r="S24" i="2"/>
  <c r="S26" i="2"/>
  <c r="S28" i="2"/>
  <c r="S25" i="2"/>
  <c r="S29" i="2"/>
  <c r="U25" i="2"/>
  <c r="U27" i="2"/>
  <c r="U29" i="2"/>
  <c r="U28" i="2"/>
  <c r="U10" i="2"/>
  <c r="S21" i="1" s="1"/>
  <c r="U13" i="2"/>
  <c r="U7" i="2" s="1"/>
  <c r="S13" i="1" s="1"/>
  <c r="U24" i="2"/>
  <c r="U26" i="2"/>
  <c r="Y13" i="2"/>
  <c r="Y7" i="2" s="1"/>
  <c r="W13" i="1" s="1"/>
  <c r="Y10" i="2"/>
  <c r="W21" i="1" s="1"/>
  <c r="Y25" i="2"/>
  <c r="Y29" i="2"/>
  <c r="Y24" i="2"/>
  <c r="Y26" i="2"/>
  <c r="Y28" i="2"/>
  <c r="Y27" i="2"/>
  <c r="Z32" i="2"/>
  <c r="Z34" i="2"/>
  <c r="Z33" i="2"/>
  <c r="Z31" i="2"/>
  <c r="T31" i="2"/>
  <c r="T32" i="2"/>
  <c r="T33" i="2"/>
  <c r="T34" i="2"/>
  <c r="Z25" i="2"/>
  <c r="Z27" i="2"/>
  <c r="Z29" i="2"/>
  <c r="Z24" i="2"/>
  <c r="Z26" i="2"/>
  <c r="Z13" i="2"/>
  <c r="Z7" i="2" s="1"/>
  <c r="X13" i="1" s="1"/>
  <c r="Z28" i="2"/>
  <c r="Z10" i="2"/>
  <c r="X21" i="1" s="1"/>
  <c r="X24" i="2"/>
  <c r="X25" i="2"/>
  <c r="X26" i="2"/>
  <c r="X27" i="2"/>
  <c r="X28" i="2"/>
  <c r="X29" i="2"/>
  <c r="X10" i="2"/>
  <c r="V21" i="1" s="1"/>
  <c r="X13" i="2"/>
  <c r="X7" i="2" s="1"/>
  <c r="V13" i="1" s="1"/>
  <c r="L32" i="2"/>
  <c r="L34" i="2"/>
  <c r="Q24" i="2"/>
  <c r="Q27" i="2"/>
  <c r="N33" i="2"/>
  <c r="Q10" i="2"/>
  <c r="O21" i="1" s="1"/>
  <c r="N34" i="2"/>
  <c r="N10" i="2"/>
  <c r="L21" i="1" s="1"/>
  <c r="N32" i="2"/>
  <c r="Q26" i="2"/>
  <c r="N13" i="2"/>
  <c r="N7" i="2" s="1"/>
  <c r="L13" i="1" s="1"/>
  <c r="L15" i="1" s="1"/>
  <c r="L12" i="1" s="1"/>
  <c r="R25" i="2"/>
  <c r="L33" i="2"/>
  <c r="Q28" i="2"/>
  <c r="Q25" i="2"/>
  <c r="Q13" i="2"/>
  <c r="Q7" i="2" s="1"/>
  <c r="O13" i="1" s="1"/>
  <c r="O15" i="1" s="1"/>
  <c r="O12" i="1" s="1"/>
  <c r="Q3" i="3" s="1"/>
  <c r="R24" i="2"/>
  <c r="R27" i="2"/>
  <c r="R10" i="2"/>
  <c r="P21" i="1" s="1"/>
  <c r="R26" i="2"/>
  <c r="R29" i="2"/>
  <c r="R13" i="2"/>
  <c r="R7" i="2" s="1"/>
  <c r="P13" i="1" s="1"/>
  <c r="Q34" i="2"/>
  <c r="Q33" i="2"/>
  <c r="K34" i="2"/>
  <c r="K33" i="2"/>
  <c r="K32" i="2"/>
  <c r="K31" i="2"/>
  <c r="P10" i="2"/>
  <c r="N21" i="1" s="1"/>
  <c r="P28" i="2"/>
  <c r="P24" i="2"/>
  <c r="P13" i="2"/>
  <c r="P7" i="2" s="1"/>
  <c r="N13" i="1" s="1"/>
  <c r="P27" i="2"/>
  <c r="P26" i="2"/>
  <c r="P29" i="2"/>
  <c r="P25" i="2"/>
  <c r="J5" i="2"/>
  <c r="J6" i="2"/>
  <c r="L13" i="2"/>
  <c r="L7" i="2" s="1"/>
  <c r="J13" i="1" s="1"/>
  <c r="L29" i="2"/>
  <c r="L25" i="2"/>
  <c r="L28" i="2"/>
  <c r="L24" i="2"/>
  <c r="L27" i="2"/>
  <c r="L10" i="2"/>
  <c r="J21" i="1" s="1"/>
  <c r="L26" i="2"/>
  <c r="K29" i="2"/>
  <c r="K27" i="2"/>
  <c r="K25" i="2"/>
  <c r="K28" i="2"/>
  <c r="K24" i="2"/>
  <c r="K13" i="2"/>
  <c r="K7" i="2" s="1"/>
  <c r="I13" i="1" s="1"/>
  <c r="K10" i="2"/>
  <c r="I21" i="1" s="1"/>
  <c r="K26" i="2"/>
  <c r="O31" i="2"/>
  <c r="O33" i="2"/>
  <c r="O32" i="2"/>
  <c r="O34" i="2"/>
  <c r="I13" i="2"/>
  <c r="I7" i="2" s="1"/>
  <c r="G13" i="1" s="1"/>
  <c r="I10" i="2"/>
  <c r="G21" i="1" s="1"/>
  <c r="I28" i="2"/>
  <c r="I26" i="2"/>
  <c r="I24" i="2"/>
  <c r="I27" i="2"/>
  <c r="I29" i="2"/>
  <c r="I25" i="2"/>
  <c r="G28" i="2"/>
  <c r="G26" i="2"/>
  <c r="G24" i="2"/>
  <c r="G29" i="2"/>
  <c r="G25" i="2"/>
  <c r="G27" i="2"/>
  <c r="G10" i="2"/>
  <c r="E21" i="1" s="1"/>
  <c r="G13" i="2"/>
  <c r="G7" i="2" s="1"/>
  <c r="E13" i="1" s="1"/>
  <c r="E15" i="1" s="1"/>
  <c r="E12" i="1" s="1"/>
  <c r="G31" i="2"/>
  <c r="G33" i="2"/>
  <c r="G32" i="2"/>
  <c r="G34" i="2"/>
  <c r="J13" i="2"/>
  <c r="J7" i="2" s="1"/>
  <c r="H13" i="1" s="1"/>
  <c r="J29" i="2"/>
  <c r="J27" i="2"/>
  <c r="J25" i="2"/>
  <c r="J28" i="2"/>
  <c r="J26" i="2"/>
  <c r="J24" i="2"/>
  <c r="J10" i="2"/>
  <c r="H21" i="1" s="1"/>
  <c r="K4" i="3"/>
  <c r="J13" i="3"/>
  <c r="J37" i="3" s="1"/>
  <c r="I5" i="3"/>
  <c r="I6" i="3"/>
  <c r="J34" i="2"/>
  <c r="J32" i="2"/>
  <c r="J31" i="2"/>
  <c r="J33" i="2"/>
  <c r="H32" i="2"/>
  <c r="H34" i="2"/>
  <c r="H33" i="2"/>
  <c r="H31" i="2"/>
  <c r="O28" i="2"/>
  <c r="O26" i="2"/>
  <c r="O24" i="2"/>
  <c r="O13" i="2"/>
  <c r="O7" i="2" s="1"/>
  <c r="M13" i="1" s="1"/>
  <c r="O27" i="2"/>
  <c r="O10" i="2"/>
  <c r="M21" i="1" s="1"/>
  <c r="O29" i="2"/>
  <c r="O25" i="2"/>
  <c r="M10" i="2"/>
  <c r="K21" i="1" s="1"/>
  <c r="M13" i="2"/>
  <c r="M7" i="2" s="1"/>
  <c r="K13" i="1" s="1"/>
  <c r="M29" i="2"/>
  <c r="M27" i="2"/>
  <c r="M25" i="2"/>
  <c r="M28" i="2"/>
  <c r="M24" i="2"/>
  <c r="M26" i="2"/>
  <c r="R34" i="2"/>
  <c r="R32" i="2"/>
  <c r="R31" i="2"/>
  <c r="R33" i="2"/>
  <c r="P31" i="2"/>
  <c r="P33" i="2"/>
  <c r="P32" i="2"/>
  <c r="P34" i="2"/>
  <c r="H10" i="2"/>
  <c r="F21" i="1" s="1"/>
  <c r="H26" i="2"/>
  <c r="H29" i="2"/>
  <c r="H25" i="2"/>
  <c r="H28" i="2"/>
  <c r="H24" i="2"/>
  <c r="H13" i="2"/>
  <c r="H7" i="2" s="1"/>
  <c r="F13" i="1" s="1"/>
  <c r="F15" i="1" s="1"/>
  <c r="F12" i="1" s="1"/>
  <c r="H27" i="2"/>
  <c r="X8" i="3" l="1"/>
  <c r="V14" i="1" s="1"/>
  <c r="V15" i="1" s="1"/>
  <c r="V12" i="1" s="1"/>
  <c r="W8" i="3"/>
  <c r="U14" i="1" s="1"/>
  <c r="U15" i="1" s="1"/>
  <c r="U12" i="1" s="1"/>
  <c r="X22" i="2"/>
  <c r="Q15" i="1"/>
  <c r="Q12" i="1" s="1"/>
  <c r="S22" i="2"/>
  <c r="T15" i="1"/>
  <c r="T12" i="1" s="1"/>
  <c r="S15" i="1"/>
  <c r="S12" i="1" s="1"/>
  <c r="Z22" i="2"/>
  <c r="Y22" i="2"/>
  <c r="T22" i="2"/>
  <c r="W22" i="2"/>
  <c r="V22" i="2"/>
  <c r="U22" i="2"/>
  <c r="R15" i="1"/>
  <c r="R12" i="1" s="1"/>
  <c r="Q22" i="2"/>
  <c r="N22" i="2"/>
  <c r="N3" i="2"/>
  <c r="N3" i="3"/>
  <c r="K15" i="1"/>
  <c r="K12" i="1" s="1"/>
  <c r="G15" i="1"/>
  <c r="G12" i="1" s="1"/>
  <c r="I3" i="2" s="1"/>
  <c r="H15" i="1"/>
  <c r="H12" i="1" s="1"/>
  <c r="J3" i="3" s="1"/>
  <c r="I15" i="1"/>
  <c r="I12" i="1" s="1"/>
  <c r="K3" i="2" s="1"/>
  <c r="N15" i="1"/>
  <c r="N12" i="1" s="1"/>
  <c r="P3" i="2" s="1"/>
  <c r="P15" i="1"/>
  <c r="P12" i="1" s="1"/>
  <c r="R3" i="3" s="1"/>
  <c r="Q3" i="2"/>
  <c r="M15" i="1"/>
  <c r="M12" i="1" s="1"/>
  <c r="J15" i="1"/>
  <c r="J12" i="1" s="1"/>
  <c r="M22" i="1"/>
  <c r="K22" i="1"/>
  <c r="F22" i="1"/>
  <c r="H22" i="1"/>
  <c r="H3" i="3"/>
  <c r="H3" i="2"/>
  <c r="O22" i="1"/>
  <c r="L22" i="1"/>
  <c r="N22" i="1"/>
  <c r="P22" i="1"/>
  <c r="J22" i="1"/>
  <c r="E22" i="1"/>
  <c r="G22" i="1"/>
  <c r="I22" i="1"/>
  <c r="G3" i="2"/>
  <c r="G3" i="3"/>
  <c r="R22" i="2"/>
  <c r="I22" i="2"/>
  <c r="M22" i="2"/>
  <c r="J22" i="2"/>
  <c r="K6" i="2"/>
  <c r="K5" i="2"/>
  <c r="L4" i="3"/>
  <c r="K13" i="3"/>
  <c r="K37" i="3" s="1"/>
  <c r="P22" i="2"/>
  <c r="J5" i="3"/>
  <c r="J6" i="3"/>
  <c r="G22" i="2"/>
  <c r="L22" i="2"/>
  <c r="O22" i="2"/>
  <c r="H22" i="2"/>
  <c r="K22" i="2"/>
  <c r="V9" i="2" l="1"/>
  <c r="V8" i="2" s="1"/>
  <c r="R9" i="2"/>
  <c r="P19" i="1" s="1"/>
  <c r="Y9" i="2"/>
  <c r="W19" i="1" s="1"/>
  <c r="Z9" i="2"/>
  <c r="X19" i="1" s="1"/>
  <c r="H9" i="2"/>
  <c r="H8" i="2" s="1"/>
  <c r="S9" i="2"/>
  <c r="S8" i="2" s="1"/>
  <c r="X9" i="2"/>
  <c r="V19" i="1" s="1"/>
  <c r="J9" i="2"/>
  <c r="J8" i="2" s="1"/>
  <c r="M9" i="2"/>
  <c r="M8" i="2" s="1"/>
  <c r="I9" i="2"/>
  <c r="I8" i="2" s="1"/>
  <c r="K9" i="2"/>
  <c r="K8" i="2" s="1"/>
  <c r="L9" i="2"/>
  <c r="L8" i="2" s="1"/>
  <c r="G9" i="2"/>
  <c r="G8" i="2" s="1"/>
  <c r="W9" i="2"/>
  <c r="W8" i="2" s="1"/>
  <c r="O9" i="2"/>
  <c r="O8" i="2" s="1"/>
  <c r="P9" i="2"/>
  <c r="P8" i="2" s="1"/>
  <c r="N9" i="2"/>
  <c r="N8" i="2" s="1"/>
  <c r="U9" i="2"/>
  <c r="U8" i="2" s="1"/>
  <c r="T9" i="2"/>
  <c r="R19" i="1" s="1"/>
  <c r="Q9" i="2"/>
  <c r="Q8" i="2" s="1"/>
  <c r="Y8" i="3"/>
  <c r="W14" i="1" s="1"/>
  <c r="W15" i="1" s="1"/>
  <c r="W12" i="1" s="1"/>
  <c r="Z8" i="3"/>
  <c r="X14" i="1" s="1"/>
  <c r="X15" i="1" s="1"/>
  <c r="X12" i="1" s="1"/>
  <c r="S3" i="2"/>
  <c r="S3" i="3"/>
  <c r="U3" i="2"/>
  <c r="U3" i="3"/>
  <c r="W3" i="2"/>
  <c r="W3" i="3"/>
  <c r="X3" i="2"/>
  <c r="X3" i="3"/>
  <c r="T3" i="2"/>
  <c r="T3" i="3"/>
  <c r="V3" i="2"/>
  <c r="V3" i="3"/>
  <c r="Q19" i="1"/>
  <c r="I3" i="3"/>
  <c r="M3" i="3"/>
  <c r="M3" i="2"/>
  <c r="J3" i="2"/>
  <c r="P3" i="3"/>
  <c r="L3" i="3"/>
  <c r="L3" i="2"/>
  <c r="O3" i="3"/>
  <c r="O3" i="2"/>
  <c r="R3" i="2"/>
  <c r="K3" i="3"/>
  <c r="R8" i="2"/>
  <c r="L5" i="2"/>
  <c r="L6" i="2"/>
  <c r="M4" i="3"/>
  <c r="L13" i="3"/>
  <c r="L37" i="3" s="1"/>
  <c r="K5" i="3"/>
  <c r="K6" i="3"/>
  <c r="Z8" i="2" l="1"/>
  <c r="O19" i="1"/>
  <c r="Y8" i="2"/>
  <c r="S19" i="1"/>
  <c r="S18" i="1" s="1"/>
  <c r="L19" i="1"/>
  <c r="L18" i="1" s="1"/>
  <c r="T19" i="1"/>
  <c r="T18" i="1" s="1"/>
  <c r="K19" i="1"/>
  <c r="K18" i="1" s="1"/>
  <c r="I19" i="1"/>
  <c r="I18" i="1" s="1"/>
  <c r="U19" i="1"/>
  <c r="U18" i="1" s="1"/>
  <c r="G19" i="1"/>
  <c r="G18" i="1" s="1"/>
  <c r="F19" i="1"/>
  <c r="F18" i="1" s="1"/>
  <c r="E19" i="1"/>
  <c r="P9" i="3"/>
  <c r="Q18" i="1"/>
  <c r="S9" i="3"/>
  <c r="E18" i="1"/>
  <c r="G9" i="3"/>
  <c r="R18" i="1"/>
  <c r="T9" i="3"/>
  <c r="W9" i="3"/>
  <c r="L9" i="3"/>
  <c r="H19" i="1"/>
  <c r="J9" i="3"/>
  <c r="O9" i="3"/>
  <c r="H9" i="3"/>
  <c r="I9" i="3"/>
  <c r="P18" i="1"/>
  <c r="R9" i="3"/>
  <c r="M19" i="1"/>
  <c r="X18" i="1"/>
  <c r="Z9" i="3"/>
  <c r="X8" i="2"/>
  <c r="W18" i="1"/>
  <c r="Y9" i="3"/>
  <c r="T8" i="2"/>
  <c r="V18" i="1"/>
  <c r="X9" i="3"/>
  <c r="K9" i="3"/>
  <c r="N19" i="1"/>
  <c r="J19" i="1"/>
  <c r="N9" i="3"/>
  <c r="M9" i="3"/>
  <c r="V9" i="3"/>
  <c r="O18" i="1"/>
  <c r="Q9" i="3"/>
  <c r="U9" i="3"/>
  <c r="Z3" i="2"/>
  <c r="Z3" i="3"/>
  <c r="Y3" i="3"/>
  <c r="Y3" i="2"/>
  <c r="L5" i="3"/>
  <c r="L6" i="3"/>
  <c r="N4" i="3"/>
  <c r="M13" i="3"/>
  <c r="M37" i="3" s="1"/>
  <c r="M6" i="2"/>
  <c r="M5" i="2"/>
  <c r="N18" i="1" l="1"/>
  <c r="J18" i="1"/>
  <c r="H18" i="1"/>
  <c r="M18" i="1"/>
  <c r="N6" i="2"/>
  <c r="N5" i="2"/>
  <c r="O4" i="3"/>
  <c r="N13" i="3"/>
  <c r="N37" i="3" s="1"/>
  <c r="M6" i="3"/>
  <c r="M5" i="3"/>
  <c r="N6" i="3" l="1"/>
  <c r="N5" i="3"/>
  <c r="O13" i="3"/>
  <c r="O37" i="3" s="1"/>
  <c r="P4" i="3"/>
  <c r="O6" i="2"/>
  <c r="O5" i="2"/>
  <c r="P6" i="2" l="1"/>
  <c r="P5" i="2"/>
  <c r="Q4" i="3"/>
  <c r="P13" i="3"/>
  <c r="P37" i="3" s="1"/>
  <c r="O6" i="3"/>
  <c r="O5" i="3"/>
  <c r="P5" i="3" l="1"/>
  <c r="P6" i="3"/>
  <c r="R4" i="3"/>
  <c r="S4" i="3" s="1"/>
  <c r="T4" i="3" s="1"/>
  <c r="U4" i="3" s="1"/>
  <c r="V4" i="3" s="1"/>
  <c r="W4" i="3" s="1"/>
  <c r="X4" i="3" s="1"/>
  <c r="Y4" i="3" s="1"/>
  <c r="Z4" i="3" s="1"/>
  <c r="Q13" i="3"/>
  <c r="Q37" i="3" s="1"/>
  <c r="Q5" i="2"/>
  <c r="Q6" i="2"/>
  <c r="R5" i="2" l="1"/>
  <c r="R6" i="2"/>
  <c r="S5" i="2" s="1"/>
  <c r="R13" i="3"/>
  <c r="R37" i="3" s="1"/>
  <c r="Q5" i="3"/>
  <c r="Q6" i="3"/>
  <c r="R5" i="3" l="1"/>
  <c r="R6" i="3"/>
  <c r="A5" i="1" l="1"/>
  <c r="A6" i="1" s="1"/>
  <c r="A7" i="1" s="1"/>
  <c r="A8" i="1" s="1"/>
  <c r="A9" i="1" s="1"/>
  <c r="A10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<sst xmlns="http://schemas.openxmlformats.org/spreadsheetml/2006/main" count="313" uniqueCount="138">
  <si>
    <t>Карьерный автосамосвал</t>
  </si>
  <si>
    <t>Примечания</t>
  </si>
  <si>
    <t>Период</t>
  </si>
  <si>
    <t>Ед. изм.</t>
  </si>
  <si>
    <t>Габариты машины</t>
  </si>
  <si>
    <t>Грузоподъемность</t>
  </si>
  <si>
    <t>тн</t>
  </si>
  <si>
    <t>Номинальная грузоподъёмность</t>
  </si>
  <si>
    <t>Геометрические параметры кузова (конфигурация, размеры)</t>
  </si>
  <si>
    <r>
      <t>м</t>
    </r>
    <r>
      <rPr>
        <sz val="10"/>
        <rFont val="Calibri"/>
        <family val="2"/>
        <charset val="204"/>
      </rPr>
      <t>³</t>
    </r>
  </si>
  <si>
    <t>Стандартный кузов, SAE 2:1</t>
  </si>
  <si>
    <t>КТГ</t>
  </si>
  <si>
    <t>Шины</t>
  </si>
  <si>
    <t>типоразмер</t>
  </si>
  <si>
    <t>Цена за единицу</t>
  </si>
  <si>
    <t>Топливо</t>
  </si>
  <si>
    <t>л/час</t>
  </si>
  <si>
    <t>Сроки поставки</t>
  </si>
  <si>
    <t>Марка, модель</t>
  </si>
  <si>
    <t>Высота по переднему козырьку</t>
  </si>
  <si>
    <t>Габаритная длина</t>
  </si>
  <si>
    <t>мм</t>
  </si>
  <si>
    <t>мес</t>
  </si>
  <si>
    <t>Время подъема кузова с грузом</t>
  </si>
  <si>
    <t>Время опускания кузова</t>
  </si>
  <si>
    <t>сек</t>
  </si>
  <si>
    <t>Мощность двигателя</t>
  </si>
  <si>
    <t>л.с.</t>
  </si>
  <si>
    <t>Расход - легкие условия</t>
  </si>
  <si>
    <t>Расход - средние условия</t>
  </si>
  <si>
    <t>Расход - тяжелые условия</t>
  </si>
  <si>
    <t>ТО, ТР, ПР, сервис (кроме/включая смазочных), моточас работы</t>
  </si>
  <si>
    <t>простои на ТО</t>
  </si>
  <si>
    <t>час</t>
  </si>
  <si>
    <t>простои в ремонтах</t>
  </si>
  <si>
    <t>ежесменный осмотр (20 минут в смену)</t>
  </si>
  <si>
    <t>ТО, включая смазочные</t>
  </si>
  <si>
    <t>планово-предупредительные (капитальные) ремонты</t>
  </si>
  <si>
    <t>сервис (трудозатраты) - ТО</t>
  </si>
  <si>
    <t>сервис (трудозатраты) - ремонты</t>
  </si>
  <si>
    <t>ячейки к заполнению поставщиком</t>
  </si>
  <si>
    <t>Расчетный КТГ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</si>
  <si>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</si>
  <si>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</si>
  <si>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</si>
  <si>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</si>
  <si>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</si>
  <si>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</si>
  <si>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</si>
  <si>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</si>
  <si>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</si>
  <si>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</si>
  <si>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</si>
  <si>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</si>
  <si>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</si>
  <si>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</si>
  <si>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</si>
  <si>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</si>
  <si>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</si>
  <si>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ТО-2</t>
  </si>
  <si>
    <t>ТО-3</t>
  </si>
  <si>
    <t>ТО-4</t>
  </si>
  <si>
    <t>ТО-5</t>
  </si>
  <si>
    <t>ТО-6</t>
  </si>
  <si>
    <t>Каталожный номер</t>
  </si>
  <si>
    <t>Кол-во</t>
  </si>
  <si>
    <t>ТО</t>
  </si>
  <si>
    <t>фильтр</t>
  </si>
  <si>
    <t>смазка</t>
  </si>
  <si>
    <t>Ед.изм.</t>
  </si>
  <si>
    <t>Простои в ремонтах</t>
  </si>
  <si>
    <t>Простои в ремонте (час)</t>
  </si>
  <si>
    <t>Вид ремонта</t>
  </si>
  <si>
    <t>Всего простоев</t>
  </si>
  <si>
    <t>Трудозатраты на ремонты (ч/час)</t>
  </si>
  <si>
    <t>Стоимость ч/часа</t>
  </si>
  <si>
    <t>Всего ч/часов</t>
  </si>
  <si>
    <t>ч/часов</t>
  </si>
  <si>
    <t>Ресурс до замены / ремонта, м/ч</t>
  </si>
  <si>
    <t>Кол-во МТР</t>
  </si>
  <si>
    <t>Двигатель</t>
  </si>
  <si>
    <t>ДВС</t>
  </si>
  <si>
    <t>Эксплуатационная ширина (по зеркалам)</t>
  </si>
  <si>
    <t xml:space="preserve">50/80R57 </t>
  </si>
  <si>
    <t>Учесть срок эксплуатации (в данном примере это 20 лет)</t>
  </si>
  <si>
    <t>Ширина по зеркалам</t>
  </si>
  <si>
    <t>тыс.Юаней/год</t>
  </si>
  <si>
    <t>Средний расход топлива в час при обычном режиме работы</t>
  </si>
  <si>
    <t>Указана максимальная мощность двигателя</t>
  </si>
  <si>
    <t>Высота по козырьку кузова</t>
  </si>
  <si>
    <t>Длина с учетом переднего бампера с лестницей</t>
  </si>
  <si>
    <t>От 6 до 14</t>
  </si>
  <si>
    <t>Сроки поставки зависят от количества самосвалов в партии и даты заказа.</t>
  </si>
  <si>
    <t>стоимость за ед., ¥</t>
  </si>
  <si>
    <t>¥</t>
  </si>
  <si>
    <t>Юаней в /год</t>
  </si>
  <si>
    <t>¥ / год</t>
  </si>
  <si>
    <t>Модель резины по выбору завода изготовителя (обычно это MAXAM)</t>
  </si>
  <si>
    <t>Стоимость за ед., ¥</t>
  </si>
  <si>
    <t>Планово-предупредительные (капитальные) ремонты</t>
  </si>
  <si>
    <t>масло 15W-40</t>
  </si>
  <si>
    <t>смазка 1-100 HD</t>
  </si>
  <si>
    <t>антифриз HD Long Life</t>
  </si>
  <si>
    <t>UR24465</t>
  </si>
  <si>
    <t>масло 680</t>
  </si>
  <si>
    <t>масло Hydraulic Oil 32</t>
  </si>
  <si>
    <t>ЕР 1,5-460</t>
  </si>
  <si>
    <t>регулировка  ГРМ</t>
  </si>
  <si>
    <t>ТО6-10000</t>
  </si>
  <si>
    <t>Главный Генератор</t>
  </si>
  <si>
    <t>РМК</t>
  </si>
  <si>
    <t>Ретардер</t>
  </si>
  <si>
    <t xml:space="preserve">916254 / 20059910 </t>
  </si>
  <si>
    <t>Средний расход - легкие условия</t>
  </si>
  <si>
    <t>Средний расход - средние условия</t>
  </si>
  <si>
    <t>Средний расход - тяжелые условия</t>
  </si>
  <si>
    <t>На 1 час эксплуатации оборудования</t>
  </si>
  <si>
    <t>Стоимость ТО без учета смазочных материалов</t>
  </si>
  <si>
    <t>Точная цена у Покупателя, такие шины Покупатель приобретает самостоятельно.</t>
  </si>
  <si>
    <t>Затраты на ремонты (¥)</t>
  </si>
  <si>
    <t>Сервис (трудозатраты)</t>
  </si>
  <si>
    <t>Регулировка клапанов ГРМ ДВС при ТО6 (10000 м\час)</t>
  </si>
  <si>
    <t>Подвеска (передняя и задняя)</t>
  </si>
  <si>
    <t>Затраты на ремонты</t>
  </si>
  <si>
    <t xml:space="preserve">Насос гидравлический </t>
  </si>
  <si>
    <t>Насос рулевой</t>
  </si>
  <si>
    <t>Радиатор</t>
  </si>
  <si>
    <t xml:space="preserve">Радиатор гидравличекий </t>
  </si>
  <si>
    <t>Вентилятор</t>
  </si>
  <si>
    <t>Водяной насос охлаждения</t>
  </si>
  <si>
    <t>Турбокомпрессор</t>
  </si>
  <si>
    <t>Блок инжектора</t>
  </si>
  <si>
    <t>Глушитель</t>
  </si>
  <si>
    <t>Насос ЦСС</t>
  </si>
  <si>
    <t>Подшипники передней оси</t>
  </si>
  <si>
    <t>Гидроцилиндры цом</t>
  </si>
  <si>
    <t>Гидроцилиндры рул</t>
  </si>
  <si>
    <t>Ходовая часть + прочие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</si>
</sst>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4">
    <numFmt numFmtId="41" formatCode="_-* #,##0_-;\-* #,##0_-;_-* &quot;-&quot;_-;_-@_-"/>
    <numFmt numFmtId="43" formatCode="_-* #,##0.00_-;\-* #,##0.00_-;_-* &quot;-&quot;??_-;_-@_-"/>
    <numFmt numFmtId="164" formatCode="0_ ;[Red]\-0\ "/>
    <numFmt numFmtId="165" formatCode="_-* #,##0.00_р_._-;\-* #,##0.00_р_._-;_-* &quot;-&quot;??_р_._-;_-@_-"/>
    <numFmt numFmtId="166" formatCode="_-* #,##0_р_._-;\-* #,##0_р_._-;_-* &quot;-&quot;??_р_._-;_-@_-"/>
    <numFmt numFmtId="167" formatCode="#,##0;[Red]\-#,##0;\-"/>
    <numFmt numFmtId="168" formatCode="_-* #,##0\ &quot;р.&quot;_-;\-* #,##0\ &quot;р.&quot;_-;_-* &quot;-&quot;\ &quot;р.&quot;_-;_-@_-"/>
    <numFmt numFmtId="169" formatCode="_-* #,##0.00[$€-1]_-;\-* #,##0.00[$€-1]_-;_-* &quot;-&quot;??[$€-1]_-"/>
    <numFmt numFmtId="170" formatCode="[$$-409]#,##0.00"/>
    <numFmt numFmtId="171" formatCode="_-* #,##0&quot;р.&quot;_-;\-* #,##0&quot;р.&quot;_-;_-* &quot;-&quot;&quot;р.&quot;_-;_-@_-"/>
    <numFmt numFmtId="172" formatCode="#.##0\.00"/>
    <numFmt numFmtId="173" formatCode="#\.00"/>
    <numFmt numFmtId="174" formatCode="\$#\.00"/>
    <numFmt numFmtId="175" formatCode="#,##0\ \ "/>
    <numFmt numFmtId="176" formatCode="#,##0.0\ \ "/>
    <numFmt numFmtId="177" formatCode="0.0\ %\ "/>
    <numFmt numFmtId="178" formatCode="#,##0.000\ \ "/>
    <numFmt numFmtId="179" formatCode="0.0%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.0;[Red]\(#,##0.0\)"/>
    <numFmt numFmtId="183" formatCode="General_)"/>
    <numFmt numFmtId="184" formatCode="#\ ##0\ "/>
    <numFmt numFmtId="185" formatCode="_(* #,##0.0_);_(* \(#,##0.00\);_(* &quot;-&quot;??_);_(@_)"/>
    <numFmt numFmtId="186" formatCode="0.000"/>
    <numFmt numFmtId="187" formatCode="&quot;fl&quot;#,##0_);\(&quot;fl&quot;#,##0\)"/>
    <numFmt numFmtId="188" formatCode="&quot;fl&quot;#,##0_);[Red]\(&quot;fl&quot;#,##0\)"/>
    <numFmt numFmtId="189" formatCode="&quot;fl&quot;#,##0.00_);\(&quot;fl&quot;#,##0.00\)"/>
    <numFmt numFmtId="190" formatCode="0.000_)"/>
    <numFmt numFmtId="191" formatCode="_(* #,##0.00_);_(* \(#,##0.00\);_(* &quot;-&quot;??_);_(@_)"/>
    <numFmt numFmtId="192" formatCode="_ * #,##0.00_)_р_._ ;_ * \(#,##0.00\)_р_._ ;_ * &quot;-&quot;??_)_р_._ ;_ @_ "/>
    <numFmt numFmtId="193" formatCode="\60\4\7\:"/>
    <numFmt numFmtId="194" formatCode="0.00_);\(0.00\);0.00"/>
    <numFmt numFmtId="195" formatCode="#,##0&quot; Kиs&quot;;[Red]\-#,##0&quot; Kиs&quot;"/>
    <numFmt numFmtId="196" formatCode="\$#,##0\ ;\(\$#,##0\)"/>
    <numFmt numFmtId="197" formatCode="mmm"/>
    <numFmt numFmtId="198" formatCode="\+0\ %\ ;\-0\ %\ ;0\ %\ "/>
    <numFmt numFmtId="199" formatCode="#,##0;\-#,##0;\-"/>
    <numFmt numFmtId="200" formatCode="#,##0;[Red]#,##0;0"/>
    <numFmt numFmtId="201" formatCode="#,##0.0;\-#,##0.0;\-"/>
    <numFmt numFmtId="202" formatCode="#,##0.0;[Red]#,##0.0;0.0"/>
    <numFmt numFmtId="203" formatCode="#,##0.00;\-#,##0.00;\-"/>
    <numFmt numFmtId="204" formatCode="#,##0.00;[Red]#,##0.00;0.00"/>
    <numFmt numFmtId="205" formatCode="#,##0.00;[Red]\-#,##0.00;0.00"/>
    <numFmt numFmtId="206" formatCode="#,##0.000;\-#,##0.000;\-"/>
    <numFmt numFmtId="207" formatCode="#,##0.000;[Red]#,##0.000;0.000"/>
    <numFmt numFmtId="208" formatCode="#,##0.000;\-#,##0.000;0.000"/>
    <numFmt numFmtId="209" formatCode="#,##0.0000;\-#,##0.0000;\-"/>
    <numFmt numFmtId="210" formatCode="#,##0%;\-#,##0%;\-"/>
    <numFmt numFmtId="211" formatCode="#,##0.0%;\-#,##0.0%;\-"/>
    <numFmt numFmtId="212" formatCode="#,##0.00%;\-#,##0.00%;\-"/>
    <numFmt numFmtId="213" formatCode="#,##0.000%;\-#,##0.000%;\-"/>
    <numFmt numFmtId="214" formatCode="#,##0.0000%;\-#,##0.0000%;\-"/>
    <numFmt numFmtId="215" formatCode="#,##0,"/>
    <numFmt numFmtId="216" formatCode="#,##0,,"/>
    <numFmt numFmtId="217" formatCode="\+\ #\ ??/??;[Red]\ \-\ #\ ??/??"/>
    <numFmt numFmtId="218" formatCode="0.0_)"/>
    <numFmt numFmtId="219" formatCode="0.00_);\(0.00\);0.00_)"/>
    <numFmt numFmtId="220" formatCode="#,##0\ \k\t"/>
    <numFmt numFmtId="221" formatCode="_(* #,##0_);_(* \(#,##0\);_(* &quot;-&quot;_);_(@_)"/>
    <numFmt numFmtId="222" formatCode="_-&quot;$&quot;* #,##0_-;\-&quot;$&quot;* #,##0_-;_-&quot;$&quot;* &quot;-&quot;_-;_-@_-"/>
    <numFmt numFmtId="223" formatCode="_-&quot;$&quot;* #,##0.00_-;\-&quot;$&quot;* #,##0.00_-;_-&quot;$&quot;* &quot;-&quot;??_-;_-@_-"/>
    <numFmt numFmtId="224" formatCode="0.00_)"/>
    <numFmt numFmtId="225" formatCode="_(* #,##0.000000_);_(* \(#,##0.000000\);_(* &quot;-&quot;??_);_(@_)"/>
    <numFmt numFmtId="226" formatCode="[$$-C09]#,##0.0000"/>
    <numFmt numFmtId="227" formatCode="#,##0.00_);\(#,##0.00\);&quot; --- &quot;"/>
    <numFmt numFmtId="228" formatCode="#,"/>
    <numFmt numFmtId="229" formatCode="&quot;fl&quot;#,##0.00_);[Red]\(&quot;fl&quot;#,##0.00\)"/>
    <numFmt numFmtId="230" formatCode="0.00\%;\-0.00\%;0.00\%"/>
    <numFmt numFmtId="231" formatCode="0.00;\-0.00;0.00"/>
    <numFmt numFmtId="232" formatCode="0.00\x;\-0.00\x;0.00\x"/>
    <numFmt numFmtId="233" formatCode="##0.00000"/>
    <numFmt numFmtId="234" formatCode="&quot;$&quot;#,##0"/>
    <numFmt numFmtId="235" formatCode="General;\-General;General;"/>
    <numFmt numFmtId="236" formatCode="_(&quot;fl&quot;* #,##0_);_(&quot;fl&quot;* \(#,##0\);_(&quot;fl&quot;* &quot;-&quot;_);_(@_)"/>
    <numFmt numFmtId="237" formatCode="#,##0;\-#,##0;0"/>
    <numFmt numFmtId="238" formatCode="#,##0.0;\-#,##0.0;0.0"/>
    <numFmt numFmtId="239" formatCode="#,##0.00;\-#,##0.00;#"/>
    <numFmt numFmtId="240" formatCode="0.0000"/>
    <numFmt numFmtId="241" formatCode="0.0%;\-0.0%;"/>
    <numFmt numFmtId="242" formatCode="#,##0.00\ &quot;р.&quot;;[Red]\-#,##0.00\ &quot;р.&quot;"/>
    <numFmt numFmtId="243" formatCode="_-* #,##0\ _р_._-;\-* #,##0\ _р_._-;_-* &quot;-&quot;\ _р_._-;_-@_-"/>
    <numFmt numFmtId="244" formatCode="#,##0\в"/>
    <numFmt numFmtId="245" formatCode="_-* #,##0.00&quot;р.&quot;_-;\-* #,##0.00&quot;р.&quot;_-;_-* &quot;-&quot;??&quot;р.&quot;_-;_-@_-"/>
    <numFmt numFmtId="246" formatCode="[$-409]mmm\-yy;@"/>
    <numFmt numFmtId="247" formatCode="[$-409]mmmmm;@"/>
    <numFmt numFmtId="248" formatCode="#,##0\т"/>
    <numFmt numFmtId="249" formatCode="_-* #,##0_р_._-;\-* #,##0_р_._-;_-* &quot;-&quot;_р_._-;_-@_-"/>
    <numFmt numFmtId="250" formatCode="[$$-409]#,##0"/>
    <numFmt numFmtId="251" formatCode="_-* #,##0_-;\-* #,##0_-;_-* &quot;-&quot;??_-;_-@_-"/>
    <numFmt numFmtId="252" formatCode="[$¥-478]#,##0.00"/>
    <numFmt numFmtId="253" formatCode="[$¥-478]#,##0"/>
    <numFmt numFmtId="254" formatCode="#,##0_ ;[Red]\-#,##0\ "/>
    <numFmt numFmtId="255" formatCode="0.0"/>
  </numFmts>
  <fonts count="174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b/>
      <u/>
      <sz val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3"/>
      <charset val="134"/>
      <scheme val="minor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8787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0" fontId="7" fillId="0" borderId="0"/>
    <xf numFmtId="0" fontId="10" fillId="0" borderId="0"/>
    <xf numFmtId="0" fontId="13" fillId="0" borderId="0"/>
    <xf numFmtId="168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17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0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3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3">
      <protection locked="0"/>
    </xf>
    <xf numFmtId="169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0" fontId="23" fillId="0" borderId="0" applyNumberFormat="0" applyFill="0" applyBorder="0" applyAlignment="0" applyProtection="0"/>
    <xf numFmtId="170" fontId="24" fillId="0" borderId="0"/>
    <xf numFmtId="170" fontId="24" fillId="0" borderId="0"/>
    <xf numFmtId="170" fontId="24" fillId="0" borderId="0"/>
    <xf numFmtId="0" fontId="25" fillId="0" borderId="0">
      <alignment vertical="center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1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169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75" fontId="7" fillId="0" borderId="0" applyFont="0" applyFill="0" applyBorder="0" applyProtection="0">
      <alignment horizontal="right" vertical="center"/>
    </xf>
    <xf numFmtId="176" fontId="7" fillId="0" borderId="0" applyFont="0" applyFill="0" applyBorder="0" applyProtection="0">
      <alignment horizontal="right" vertical="center"/>
    </xf>
    <xf numFmtId="177" fontId="7" fillId="0" borderId="0" applyFont="0" applyFill="0" applyBorder="0" applyProtection="0">
      <alignment horizontal="right" vertical="center"/>
    </xf>
    <xf numFmtId="178" fontId="6" fillId="0" borderId="0" applyFont="0" applyFill="0" applyBorder="0" applyProtection="0">
      <alignment vertical="center"/>
    </xf>
    <xf numFmtId="179" fontId="28" fillId="0" borderId="0"/>
    <xf numFmtId="0" fontId="15" fillId="0" borderId="0">
      <alignment horizontal="center"/>
    </xf>
    <xf numFmtId="169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69" fontId="29" fillId="3" borderId="0"/>
    <xf numFmtId="169" fontId="29" fillId="3" borderId="0"/>
    <xf numFmtId="0" fontId="30" fillId="4" borderId="0" applyNumberFormat="0" applyBorder="0" applyAlignment="0" applyProtection="0"/>
    <xf numFmtId="169" fontId="30" fillId="5" borderId="0" applyNumberFormat="0" applyBorder="0" applyAlignment="0" applyProtection="0"/>
    <xf numFmtId="170" fontId="31" fillId="5" borderId="0" applyNumberFormat="0" applyBorder="0" applyAlignment="0" applyProtection="0"/>
    <xf numFmtId="0" fontId="30" fillId="6" borderId="0" applyNumberFormat="0" applyBorder="0" applyAlignment="0" applyProtection="0"/>
    <xf numFmtId="169" fontId="30" fillId="7" borderId="0" applyNumberFormat="0" applyBorder="0" applyAlignment="0" applyProtection="0"/>
    <xf numFmtId="170" fontId="31" fillId="7" borderId="0" applyNumberFormat="0" applyBorder="0" applyAlignment="0" applyProtection="0"/>
    <xf numFmtId="0" fontId="30" fillId="6" borderId="0" applyNumberFormat="0" applyBorder="0" applyAlignment="0" applyProtection="0"/>
    <xf numFmtId="169" fontId="30" fillId="8" borderId="0" applyNumberFormat="0" applyBorder="0" applyAlignment="0" applyProtection="0"/>
    <xf numFmtId="170" fontId="31" fillId="8" borderId="0" applyNumberFormat="0" applyBorder="0" applyAlignment="0" applyProtection="0"/>
    <xf numFmtId="0" fontId="30" fillId="9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11" borderId="0" applyNumberFormat="0" applyBorder="0" applyAlignment="0" applyProtection="0"/>
    <xf numFmtId="170" fontId="31" fillId="11" borderId="0" applyNumberFormat="0" applyBorder="0" applyAlignment="0" applyProtection="0"/>
    <xf numFmtId="0" fontId="30" fillId="6" borderId="0" applyNumberFormat="0" applyBorder="0" applyAlignment="0" applyProtection="0"/>
    <xf numFmtId="169" fontId="30" fillId="9" borderId="0" applyNumberFormat="0" applyBorder="0" applyAlignment="0" applyProtection="0"/>
    <xf numFmtId="170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12" borderId="0" applyNumberFormat="0" applyBorder="0" applyAlignment="0" applyProtection="0"/>
    <xf numFmtId="169" fontId="30" fillId="13" borderId="0" applyNumberFormat="0" applyBorder="0" applyAlignment="0" applyProtection="0"/>
    <xf numFmtId="170" fontId="31" fillId="13" borderId="0" applyNumberFormat="0" applyBorder="0" applyAlignment="0" applyProtection="0"/>
    <xf numFmtId="0" fontId="30" fillId="6" borderId="0" applyNumberFormat="0" applyBorder="0" applyAlignment="0" applyProtection="0"/>
    <xf numFmtId="169" fontId="30" fillId="14" borderId="0" applyNumberFormat="0" applyBorder="0" applyAlignment="0" applyProtection="0"/>
    <xf numFmtId="170" fontId="31" fillId="14" borderId="0" applyNumberFormat="0" applyBorder="0" applyAlignment="0" applyProtection="0"/>
    <xf numFmtId="0" fontId="30" fillId="7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6" borderId="0" applyNumberFormat="0" applyBorder="0" applyAlignment="0" applyProtection="0"/>
    <xf numFmtId="169" fontId="30" fillId="15" borderId="0" applyNumberFormat="0" applyBorder="0" applyAlignment="0" applyProtection="0"/>
    <xf numFmtId="170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69" fontId="32" fillId="16" borderId="0" applyNumberFormat="0" applyBorder="0" applyAlignment="0" applyProtection="0"/>
    <xf numFmtId="170" fontId="33" fillId="16" borderId="0" applyNumberFormat="0" applyBorder="0" applyAlignment="0" applyProtection="0"/>
    <xf numFmtId="0" fontId="32" fillId="12" borderId="0" applyNumberFormat="0" applyBorder="0" applyAlignment="0" applyProtection="0"/>
    <xf numFmtId="169" fontId="32" fillId="13" borderId="0" applyNumberFormat="0" applyBorder="0" applyAlignment="0" applyProtection="0"/>
    <xf numFmtId="170" fontId="33" fillId="13" borderId="0" applyNumberFormat="0" applyBorder="0" applyAlignment="0" applyProtection="0"/>
    <xf numFmtId="0" fontId="32" fillId="15" borderId="0" applyNumberFormat="0" applyBorder="0" applyAlignment="0" applyProtection="0"/>
    <xf numFmtId="169" fontId="32" fillId="14" borderId="0" applyNumberFormat="0" applyBorder="0" applyAlignment="0" applyProtection="0"/>
    <xf numFmtId="170" fontId="33" fillId="14" borderId="0" applyNumberFormat="0" applyBorder="0" applyAlignment="0" applyProtection="0"/>
    <xf numFmtId="0" fontId="32" fillId="7" borderId="0" applyNumberFormat="0" applyBorder="0" applyAlignment="0" applyProtection="0"/>
    <xf numFmtId="169" fontId="32" fillId="17" borderId="0" applyNumberFormat="0" applyBorder="0" applyAlignment="0" applyProtection="0"/>
    <xf numFmtId="170" fontId="33" fillId="17" borderId="0" applyNumberFormat="0" applyBorder="0" applyAlignment="0" applyProtection="0"/>
    <xf numFmtId="0" fontId="32" fillId="4" borderId="0" applyNumberFormat="0" applyBorder="0" applyAlignment="0" applyProtection="0"/>
    <xf numFmtId="169" fontId="32" fillId="18" borderId="0" applyNumberFormat="0" applyBorder="0" applyAlignment="0" applyProtection="0"/>
    <xf numFmtId="170" fontId="33" fillId="18" borderId="0" applyNumberFormat="0" applyBorder="0" applyAlignment="0" applyProtection="0"/>
    <xf numFmtId="0" fontId="32" fillId="6" borderId="0" applyNumberFormat="0" applyBorder="0" applyAlignment="0" applyProtection="0"/>
    <xf numFmtId="169" fontId="32" fillId="19" borderId="0" applyNumberFormat="0" applyBorder="0" applyAlignment="0" applyProtection="0"/>
    <xf numFmtId="170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69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69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5" borderId="0" applyNumberFormat="0" applyBorder="0" applyAlignment="0" applyProtection="0"/>
    <xf numFmtId="0" fontId="32" fillId="24" borderId="0" applyNumberFormat="0" applyBorder="0" applyAlignment="0" applyProtection="0"/>
    <xf numFmtId="170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69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69" fontId="32" fillId="28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30" borderId="0" applyNumberFormat="0" applyBorder="0" applyAlignment="0" applyProtection="0"/>
    <xf numFmtId="0" fontId="32" fillId="29" borderId="0" applyNumberFormat="0" applyBorder="0" applyAlignment="0" applyProtection="0"/>
    <xf numFmtId="170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69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69" fontId="32" fillId="33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5" borderId="0" applyNumberFormat="0" applyBorder="0" applyAlignment="0" applyProtection="0"/>
    <xf numFmtId="0" fontId="32" fillId="34" borderId="0" applyNumberFormat="0" applyBorder="0" applyAlignment="0" applyProtection="0"/>
    <xf numFmtId="170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69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69" fontId="32" fillId="27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17" borderId="0" applyNumberFormat="0" applyBorder="0" applyAlignment="0" applyProtection="0"/>
    <xf numFmtId="0" fontId="32" fillId="38" borderId="0" applyNumberFormat="0" applyBorder="0" applyAlignment="0" applyProtection="0"/>
    <xf numFmtId="170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69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69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18" borderId="0" applyNumberFormat="0" applyBorder="0" applyAlignment="0" applyProtection="0"/>
    <xf numFmtId="0" fontId="32" fillId="23" borderId="0" applyNumberFormat="0" applyBorder="0" applyAlignment="0" applyProtection="0"/>
    <xf numFmtId="170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69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69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69" fontId="32" fillId="43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12" borderId="0" applyNumberFormat="0" applyBorder="0" applyAlignment="0" applyProtection="0"/>
    <xf numFmtId="0" fontId="32" fillId="44" borderId="0" applyNumberFormat="0" applyBorder="0" applyAlignment="0" applyProtection="0"/>
    <xf numFmtId="170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69" fontId="35" fillId="0" borderId="0" applyNumberFormat="0" applyFill="0" applyBorder="0" applyAlignment="0" applyProtection="0">
      <alignment vertical="top"/>
      <protection locked="0"/>
    </xf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69" fontId="37" fillId="7" borderId="0" applyNumberFormat="0" applyBorder="0" applyAlignment="0" applyProtection="0"/>
    <xf numFmtId="0" fontId="39" fillId="41" borderId="0" applyNumberFormat="0" applyBorder="0" applyAlignment="0" applyProtection="0"/>
    <xf numFmtId="170" fontId="40" fillId="7" borderId="0" applyNumberFormat="0" applyBorder="0" applyAlignment="0" applyProtection="0"/>
    <xf numFmtId="0" fontId="39" fillId="41" borderId="0" applyNumberFormat="0" applyBorder="0" applyAlignment="0" applyProtection="0"/>
    <xf numFmtId="169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2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2" fontId="44" fillId="0" borderId="0">
      <protection locked="0"/>
    </xf>
    <xf numFmtId="0" fontId="43" fillId="0" borderId="0" applyNumberFormat="0" applyFill="0" applyBorder="0" applyProtection="0">
      <protection locked="0"/>
    </xf>
    <xf numFmtId="183" fontId="24" fillId="0" borderId="0">
      <alignment vertical="top"/>
    </xf>
    <xf numFmtId="184" fontId="45" fillId="0" borderId="0" applyFill="0" applyBorder="0" applyProtection="0"/>
    <xf numFmtId="183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69" fontId="51" fillId="48" borderId="6" applyNumberFormat="0" applyAlignment="0" applyProtection="0"/>
    <xf numFmtId="0" fontId="51" fillId="38" borderId="6" applyNumberFormat="0" applyAlignment="0" applyProtection="0"/>
    <xf numFmtId="170" fontId="54" fillId="48" borderId="6" applyNumberFormat="0" applyAlignment="0" applyProtection="0"/>
    <xf numFmtId="0" fontId="51" fillId="38" borderId="6" applyNumberFormat="0" applyAlignment="0" applyProtection="0"/>
    <xf numFmtId="169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3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17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8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3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4" fontId="29" fillId="0" borderId="0" applyFill="0" applyBorder="0">
      <alignment horizontal="right"/>
      <protection locked="0"/>
    </xf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3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69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69" fontId="17" fillId="0" borderId="0"/>
    <xf numFmtId="0" fontId="7" fillId="0" borderId="0"/>
    <xf numFmtId="169" fontId="1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8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199" fontId="64" fillId="51" borderId="2">
      <alignment vertical="top"/>
      <protection locked="0"/>
    </xf>
    <xf numFmtId="200" fontId="7" fillId="52" borderId="2">
      <protection locked="0"/>
    </xf>
    <xf numFmtId="199" fontId="64" fillId="53" borderId="2">
      <alignment vertical="top"/>
      <protection locked="0"/>
    </xf>
    <xf numFmtId="200" fontId="7" fillId="54" borderId="2">
      <protection locked="0"/>
    </xf>
    <xf numFmtId="201" fontId="64" fillId="51" borderId="2">
      <alignment vertical="top"/>
      <protection locked="0"/>
    </xf>
    <xf numFmtId="202" fontId="7" fillId="52" borderId="2">
      <protection locked="0"/>
    </xf>
    <xf numFmtId="201" fontId="64" fillId="53" borderId="2">
      <alignment vertical="top"/>
      <protection locked="0"/>
    </xf>
    <xf numFmtId="202" fontId="7" fillId="54" borderId="2">
      <protection locked="0"/>
    </xf>
    <xf numFmtId="203" fontId="64" fillId="51" borderId="2">
      <alignment vertical="top"/>
      <protection locked="0"/>
    </xf>
    <xf numFmtId="204" fontId="7" fillId="52" borderId="2">
      <protection locked="0"/>
    </xf>
    <xf numFmtId="203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09" fontId="64" fillId="53" borderId="2">
      <alignment vertical="top"/>
      <protection locked="0"/>
    </xf>
    <xf numFmtId="210" fontId="64" fillId="51" borderId="2">
      <alignment vertical="top"/>
      <protection locked="0"/>
    </xf>
    <xf numFmtId="9" fontId="7" fillId="52" borderId="2">
      <protection locked="0"/>
    </xf>
    <xf numFmtId="210" fontId="64" fillId="53" borderId="2">
      <alignment vertical="top"/>
      <protection locked="0"/>
    </xf>
    <xf numFmtId="9" fontId="7" fillId="54" borderId="2">
      <protection locked="0"/>
    </xf>
    <xf numFmtId="211" fontId="64" fillId="51" borderId="2">
      <alignment vertical="top"/>
      <protection locked="0"/>
    </xf>
    <xf numFmtId="179" fontId="7" fillId="52" borderId="2">
      <protection locked="0"/>
    </xf>
    <xf numFmtId="211" fontId="64" fillId="53" borderId="2">
      <alignment vertical="top"/>
      <protection locked="0"/>
    </xf>
    <xf numFmtId="179" fontId="7" fillId="54" borderId="2">
      <protection locked="0"/>
    </xf>
    <xf numFmtId="212" fontId="64" fillId="51" borderId="2">
      <alignment vertical="top"/>
      <protection locked="0"/>
    </xf>
    <xf numFmtId="10" fontId="7" fillId="52" borderId="2"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213" fontId="64" fillId="53" borderId="2">
      <alignment vertical="top"/>
      <protection locked="0"/>
    </xf>
    <xf numFmtId="214" fontId="64" fillId="51" borderId="2">
      <alignment vertical="top"/>
      <protection locked="0"/>
    </xf>
    <xf numFmtId="214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69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69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69" fontId="65" fillId="57" borderId="0" applyNumberFormat="0" applyBorder="0" applyAlignment="0" applyProtection="0"/>
    <xf numFmtId="215" fontId="66" fillId="0" borderId="0"/>
    <xf numFmtId="216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9" fontId="69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7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69" fontId="46" fillId="8" borderId="0" applyNumberFormat="0" applyBorder="0" applyAlignment="0" applyProtection="0"/>
    <xf numFmtId="0" fontId="30" fillId="32" borderId="0" applyNumberFormat="0" applyBorder="0" applyAlignment="0" applyProtection="0"/>
    <xf numFmtId="170" fontId="78" fillId="8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79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69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69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169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69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0" fontId="88" fillId="0" borderId="15" applyNumberFormat="0" applyFill="0" applyAlignment="0" applyProtection="0"/>
    <xf numFmtId="169" fontId="86" fillId="0" borderId="14" applyNumberFormat="0" applyFill="0" applyAlignment="0" applyProtection="0"/>
    <xf numFmtId="169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69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0" fontId="92" fillId="0" borderId="16" applyNumberFormat="0" applyFill="0" applyAlignment="0" applyProtection="0"/>
    <xf numFmtId="169" fontId="90" fillId="0" borderId="17" applyNumberFormat="0" applyFill="0" applyAlignment="0" applyProtection="0"/>
    <xf numFmtId="169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69" fontId="67" fillId="0" borderId="18" applyNumberFormat="0" applyFill="0" applyAlignment="0" applyProtection="0"/>
    <xf numFmtId="0" fontId="93" fillId="0" borderId="20" applyNumberFormat="0" applyFill="0" applyAlignment="0" applyProtection="0"/>
    <xf numFmtId="170" fontId="94" fillId="0" borderId="18" applyNumberFormat="0" applyFill="0" applyAlignment="0" applyProtection="0"/>
    <xf numFmtId="0" fontId="93" fillId="0" borderId="20" applyNumberFormat="0" applyFill="0" applyAlignment="0" applyProtection="0"/>
    <xf numFmtId="169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69" fontId="82" fillId="0" borderId="0"/>
    <xf numFmtId="0" fontId="82" fillId="0" borderId="0"/>
    <xf numFmtId="0" fontId="82" fillId="0" borderId="0"/>
    <xf numFmtId="169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69" fontId="95" fillId="0" borderId="0"/>
    <xf numFmtId="0" fontId="95" fillId="0" borderId="0"/>
    <xf numFmtId="0" fontId="95" fillId="0" borderId="0"/>
    <xf numFmtId="169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69" fontId="96" fillId="0" borderId="0"/>
    <xf numFmtId="0" fontId="96" fillId="0" borderId="0"/>
    <xf numFmtId="0" fontId="96" fillId="0" borderId="0"/>
    <xf numFmtId="169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69" fontId="97" fillId="0" borderId="0"/>
    <xf numFmtId="0" fontId="97" fillId="0" borderId="0"/>
    <xf numFmtId="0" fontId="97" fillId="0" borderId="0"/>
    <xf numFmtId="169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69" fontId="8" fillId="0" borderId="0"/>
    <xf numFmtId="0" fontId="8" fillId="0" borderId="0"/>
    <xf numFmtId="0" fontId="8" fillId="0" borderId="0"/>
    <xf numFmtId="169" fontId="8" fillId="0" borderId="0"/>
    <xf numFmtId="0" fontId="99" fillId="61" borderId="0" applyNumberFormat="0" applyBorder="0" applyProtection="0">
      <alignment horizontal="center" vertical="center" textRotation="90"/>
    </xf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0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69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219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0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69" fontId="52" fillId="0" borderId="7" applyNumberFormat="0" applyFill="0" applyAlignment="0" applyProtection="0"/>
    <xf numFmtId="0" fontId="46" fillId="0" borderId="25" applyNumberFormat="0" applyFill="0" applyAlignment="0" applyProtection="0"/>
    <xf numFmtId="170" fontId="112" fillId="0" borderId="7" applyNumberFormat="0" applyFill="0" applyAlignment="0" applyProtection="0"/>
    <xf numFmtId="0" fontId="46" fillId="0" borderId="25" applyNumberFormat="0" applyFill="0" applyAlignment="0" applyProtection="0"/>
    <xf numFmtId="169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41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4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69" fontId="115" fillId="6" borderId="0" applyNumberFormat="0" applyBorder="0" applyAlignment="0" applyProtection="0"/>
    <xf numFmtId="0" fontId="46" fillId="42" borderId="0" applyNumberFormat="0" applyBorder="0" applyAlignment="0" applyProtection="0"/>
    <xf numFmtId="170" fontId="116" fillId="6" borderId="0" applyNumberFormat="0" applyBorder="0" applyAlignment="0" applyProtection="0"/>
    <xf numFmtId="0" fontId="46" fillId="42" borderId="0" applyNumberFormat="0" applyBorder="0" applyAlignment="0" applyProtection="0"/>
    <xf numFmtId="169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69" fontId="29" fillId="0" borderId="22"/>
    <xf numFmtId="169" fontId="29" fillId="0" borderId="22"/>
    <xf numFmtId="224" fontId="117" fillId="0" borderId="0"/>
    <xf numFmtId="225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6" fontId="118" fillId="0" borderId="0"/>
    <xf numFmtId="226" fontId="118" fillId="0" borderId="0"/>
    <xf numFmtId="0" fontId="3" fillId="0" borderId="0"/>
    <xf numFmtId="170" fontId="119" fillId="0" borderId="0"/>
    <xf numFmtId="0" fontId="120" fillId="0" borderId="0"/>
    <xf numFmtId="0" fontId="3" fillId="0" borderId="0"/>
    <xf numFmtId="0" fontId="7" fillId="0" borderId="0"/>
    <xf numFmtId="169" fontId="7" fillId="0" borderId="0"/>
    <xf numFmtId="0" fontId="121" fillId="0" borderId="0"/>
    <xf numFmtId="0" fontId="12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0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4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227" fontId="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228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69" fontId="123" fillId="0" borderId="0"/>
    <xf numFmtId="0" fontId="123" fillId="0" borderId="0"/>
    <xf numFmtId="0" fontId="123" fillId="0" borderId="0"/>
    <xf numFmtId="169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3" fontId="3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36" fillId="0" borderId="0" applyFont="0" applyFill="0" applyBorder="0" applyAlignment="0" applyProtection="0"/>
    <xf numFmtId="230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231" fontId="29" fillId="0" borderId="0" applyFill="0" applyBorder="0">
      <alignment horizontal="right"/>
      <protection locked="0"/>
    </xf>
    <xf numFmtId="232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6" fontId="3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3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6" fontId="3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226" fontId="3" fillId="0" borderId="0"/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226" fontId="3" fillId="0" borderId="0"/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226" fontId="3" fillId="0" borderId="0"/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226" fontId="3" fillId="0" borderId="0"/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226" fontId="3" fillId="0" borderId="0"/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226" fontId="3" fillId="0" borderId="0"/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226" fontId="3" fillId="0" borderId="0"/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226" fontId="3" fillId="0" borderId="0"/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6" borderId="30" applyNumberFormat="0">
      <protection locked="0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69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226" fontId="3" fillId="0" borderId="0"/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226" fontId="3" fillId="0" borderId="0"/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0" fontId="79" fillId="78" borderId="2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33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6" fontId="3" fillId="0" borderId="0"/>
    <xf numFmtId="38" fontId="2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2" fontId="144" fillId="79" borderId="0" applyNumberFormat="0" applyFont="0" applyBorder="0" applyAlignment="0" applyProtection="0">
      <protection locked="0"/>
    </xf>
    <xf numFmtId="226" fontId="3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69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4" fontId="146" fillId="0" borderId="2">
      <alignment horizontal="left" vertical="center"/>
      <protection locked="0"/>
    </xf>
    <xf numFmtId="235" fontId="29" fillId="0" borderId="0">
      <protection locked="0"/>
    </xf>
    <xf numFmtId="226" fontId="3" fillId="0" borderId="0"/>
    <xf numFmtId="226" fontId="3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29" fontId="3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36" fontId="3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6" fontId="3" fillId="0" borderId="0"/>
    <xf numFmtId="226" fontId="3" fillId="0" borderId="0"/>
    <xf numFmtId="0" fontId="148" fillId="0" borderId="0" applyNumberFormat="0" applyFill="0" applyBorder="0" applyAlignment="0" applyProtection="0"/>
    <xf numFmtId="226" fontId="3" fillId="0" borderId="0"/>
    <xf numFmtId="226" fontId="3" fillId="0" borderId="0"/>
    <xf numFmtId="226" fontId="3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170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199" fontId="64" fillId="80" borderId="0">
      <alignment vertical="top"/>
    </xf>
    <xf numFmtId="237" fontId="7" fillId="0" borderId="0"/>
    <xf numFmtId="199" fontId="64" fillId="53" borderId="0">
      <alignment vertical="top"/>
    </xf>
    <xf numFmtId="201" fontId="64" fillId="80" borderId="0">
      <alignment vertical="top"/>
    </xf>
    <xf numFmtId="238" fontId="7" fillId="0" borderId="0"/>
    <xf numFmtId="201" fontId="64" fillId="53" borderId="0">
      <alignment vertical="top"/>
    </xf>
    <xf numFmtId="203" fontId="64" fillId="80" borderId="0">
      <alignment vertical="top"/>
    </xf>
    <xf numFmtId="239" fontId="7" fillId="0" borderId="0"/>
    <xf numFmtId="203" fontId="64" fillId="53" borderId="0">
      <alignment vertical="top"/>
    </xf>
    <xf numFmtId="206" fontId="64" fillId="80" borderId="0">
      <alignment vertical="top"/>
    </xf>
    <xf numFmtId="208" fontId="7" fillId="0" borderId="0"/>
    <xf numFmtId="206" fontId="64" fillId="53" borderId="0">
      <alignment vertical="top"/>
    </xf>
    <xf numFmtId="209" fontId="64" fillId="80" borderId="0">
      <alignment vertical="top"/>
    </xf>
    <xf numFmtId="240" fontId="7" fillId="0" borderId="0"/>
    <xf numFmtId="209" fontId="64" fillId="53" borderId="0">
      <alignment vertical="top"/>
    </xf>
    <xf numFmtId="210" fontId="64" fillId="80" borderId="0">
      <alignment vertical="top"/>
    </xf>
    <xf numFmtId="9" fontId="7" fillId="0" borderId="0"/>
    <xf numFmtId="210" fontId="64" fillId="53" borderId="0">
      <alignment vertical="top"/>
    </xf>
    <xf numFmtId="211" fontId="64" fillId="80" borderId="0">
      <alignment vertical="top"/>
    </xf>
    <xf numFmtId="241" fontId="7" fillId="0" borderId="0"/>
    <xf numFmtId="211" fontId="64" fillId="53" borderId="0">
      <alignment vertical="top"/>
    </xf>
    <xf numFmtId="212" fontId="64" fillId="80" borderId="0">
      <alignment vertical="top"/>
    </xf>
    <xf numFmtId="10" fontId="7" fillId="0" borderId="0"/>
    <xf numFmtId="212" fontId="64" fillId="53" borderId="0">
      <alignment vertical="top"/>
    </xf>
    <xf numFmtId="213" fontId="64" fillId="80" borderId="0">
      <alignment vertical="top"/>
    </xf>
    <xf numFmtId="213" fontId="64" fillId="53" borderId="0">
      <alignment vertical="top"/>
    </xf>
    <xf numFmtId="214" fontId="64" fillId="80" borderId="0">
      <alignment vertical="top"/>
    </xf>
    <xf numFmtId="214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242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6" fontId="3" fillId="0" borderId="0"/>
    <xf numFmtId="0" fontId="150" fillId="0" borderId="0" applyNumberFormat="0" applyFill="0" applyBorder="0" applyAlignment="0" applyProtection="0"/>
    <xf numFmtId="226" fontId="3" fillId="0" borderId="0"/>
    <xf numFmtId="0" fontId="150" fillId="0" borderId="0" applyNumberFormat="0" applyFill="0" applyBorder="0" applyAlignment="0" applyProtection="0"/>
    <xf numFmtId="226" fontId="3" fillId="0" borderId="0"/>
    <xf numFmtId="0" fontId="150" fillId="0" borderId="0" applyNumberFormat="0" applyFill="0" applyBorder="0" applyAlignment="0" applyProtection="0"/>
    <xf numFmtId="169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4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69" fontId="153" fillId="50" borderId="35"/>
    <xf numFmtId="169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5" fontId="57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34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6" fontId="3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6" fontId="7" fillId="0" borderId="0"/>
    <xf numFmtId="0" fontId="159" fillId="0" borderId="0"/>
    <xf numFmtId="0" fontId="2" fillId="0" borderId="0"/>
    <xf numFmtId="0" fontId="2" fillId="0" borderId="0"/>
    <xf numFmtId="0" fontId="2" fillId="0" borderId="0"/>
    <xf numFmtId="246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9" fillId="0" borderId="0"/>
    <xf numFmtId="0" fontId="159" fillId="0" borderId="0"/>
    <xf numFmtId="0" fontId="2" fillId="0" borderId="0"/>
    <xf numFmtId="0" fontId="2" fillId="0" borderId="0"/>
    <xf numFmtId="0" fontId="31" fillId="0" borderId="0"/>
    <xf numFmtId="0" fontId="120" fillId="0" borderId="0"/>
    <xf numFmtId="170" fontId="160" fillId="0" borderId="0"/>
    <xf numFmtId="0" fontId="7" fillId="0" borderId="0"/>
    <xf numFmtId="226" fontId="3" fillId="0" borderId="0"/>
    <xf numFmtId="226" fontId="3" fillId="0" borderId="0"/>
    <xf numFmtId="0" fontId="161" fillId="0" borderId="0"/>
    <xf numFmtId="0" fontId="162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10" fillId="0" borderId="0"/>
    <xf numFmtId="226" fontId="3" fillId="0" borderId="0"/>
    <xf numFmtId="226" fontId="3" fillId="0" borderId="0"/>
    <xf numFmtId="0" fontId="17" fillId="0" borderId="0"/>
    <xf numFmtId="226" fontId="3" fillId="0" borderId="0"/>
    <xf numFmtId="0" fontId="3" fillId="0" borderId="0"/>
    <xf numFmtId="0" fontId="7" fillId="0" borderId="0"/>
    <xf numFmtId="226" fontId="3" fillId="0" borderId="0"/>
    <xf numFmtId="0" fontId="7" fillId="0" borderId="0"/>
    <xf numFmtId="226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169" fontId="3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3" fillId="0" borderId="0"/>
    <xf numFmtId="0" fontId="162" fillId="0" borderId="0"/>
    <xf numFmtId="226" fontId="3" fillId="0" borderId="0"/>
    <xf numFmtId="0" fontId="3" fillId="0" borderId="0"/>
    <xf numFmtId="0" fontId="64" fillId="0" borderId="0"/>
    <xf numFmtId="226" fontId="3" fillId="0" borderId="0"/>
    <xf numFmtId="226" fontId="3" fillId="0" borderId="0"/>
    <xf numFmtId="0" fontId="3" fillId="0" borderId="0"/>
    <xf numFmtId="0" fontId="7" fillId="0" borderId="0"/>
    <xf numFmtId="0" fontId="2" fillId="0" borderId="0"/>
    <xf numFmtId="169" fontId="12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 applyNumberFormat="0" applyFont="0" applyFill="0" applyBorder="0" applyAlignment="0" applyProtection="0"/>
    <xf numFmtId="170" fontId="11" fillId="0" borderId="0"/>
    <xf numFmtId="0" fontId="3" fillId="0" borderId="0"/>
    <xf numFmtId="0" fontId="7" fillId="0" borderId="0"/>
    <xf numFmtId="0" fontId="3" fillId="0" borderId="0"/>
    <xf numFmtId="226" fontId="3" fillId="0" borderId="0"/>
    <xf numFmtId="169" fontId="3" fillId="0" borderId="0"/>
    <xf numFmtId="226" fontId="3" fillId="0" borderId="0"/>
    <xf numFmtId="0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0" fontId="3" fillId="0" borderId="0"/>
    <xf numFmtId="170" fontId="160" fillId="0" borderId="0"/>
    <xf numFmtId="0" fontId="7" fillId="0" borderId="0"/>
    <xf numFmtId="0" fontId="7" fillId="0" borderId="0"/>
    <xf numFmtId="226" fontId="3" fillId="0" borderId="0"/>
    <xf numFmtId="169" fontId="57" fillId="0" borderId="0"/>
    <xf numFmtId="0" fontId="2" fillId="0" borderId="0"/>
    <xf numFmtId="169" fontId="121" fillId="0" borderId="0"/>
    <xf numFmtId="169" fontId="57" fillId="0" borderId="0"/>
    <xf numFmtId="226" fontId="3" fillId="0" borderId="0"/>
    <xf numFmtId="169" fontId="57" fillId="0" borderId="0"/>
    <xf numFmtId="169" fontId="121" fillId="0" borderId="0"/>
    <xf numFmtId="169" fontId="57" fillId="0" borderId="0"/>
    <xf numFmtId="169" fontId="121" fillId="0" borderId="0"/>
    <xf numFmtId="169" fontId="57" fillId="0" borderId="0"/>
    <xf numFmtId="169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0" borderId="0"/>
    <xf numFmtId="0" fontId="7" fillId="0" borderId="0" applyNumberFormat="0" applyFont="0" applyFill="0" applyBorder="0" applyAlignment="0" applyProtection="0"/>
    <xf numFmtId="169" fontId="121" fillId="0" borderId="0"/>
    <xf numFmtId="0" fontId="7" fillId="0" borderId="0"/>
    <xf numFmtId="0" fontId="7" fillId="0" borderId="0"/>
    <xf numFmtId="169" fontId="57" fillId="0" borderId="0"/>
    <xf numFmtId="0" fontId="3" fillId="0" borderId="0"/>
    <xf numFmtId="169" fontId="121" fillId="0" borderId="0"/>
    <xf numFmtId="169" fontId="5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3" fillId="0" borderId="0"/>
    <xf numFmtId="226" fontId="3" fillId="0" borderId="0"/>
    <xf numFmtId="169" fontId="3" fillId="0" borderId="0"/>
    <xf numFmtId="0" fontId="2" fillId="0" borderId="0"/>
    <xf numFmtId="226" fontId="3" fillId="0" borderId="0"/>
    <xf numFmtId="0" fontId="3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3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10" fillId="0" borderId="0"/>
    <xf numFmtId="0" fontId="3" fillId="0" borderId="0"/>
    <xf numFmtId="169" fontId="3" fillId="0" borderId="0"/>
    <xf numFmtId="0" fontId="164" fillId="0" borderId="0"/>
    <xf numFmtId="0" fontId="3" fillId="0" borderId="0"/>
    <xf numFmtId="170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2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0" fontId="121" fillId="0" borderId="0"/>
    <xf numFmtId="0" fontId="57" fillId="0" borderId="0"/>
    <xf numFmtId="0" fontId="2" fillId="0" borderId="0"/>
    <xf numFmtId="0" fontId="7" fillId="0" borderId="0"/>
    <xf numFmtId="0" fontId="7" fillId="0" borderId="0"/>
    <xf numFmtId="226" fontId="3" fillId="0" borderId="0"/>
    <xf numFmtId="0" fontId="3" fillId="0" borderId="0"/>
    <xf numFmtId="169" fontId="3" fillId="0" borderId="0"/>
    <xf numFmtId="0" fontId="3" fillId="0" borderId="0"/>
    <xf numFmtId="0" fontId="164" fillId="0" borderId="0"/>
    <xf numFmtId="0" fontId="164" fillId="0" borderId="0"/>
    <xf numFmtId="0" fontId="164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3" fillId="0" borderId="0"/>
    <xf numFmtId="247" fontId="31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0" fontId="161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0" fontId="7" fillId="0" borderId="0"/>
    <xf numFmtId="0" fontId="7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226" fontId="3" fillId="0" borderId="0"/>
    <xf numFmtId="0" fontId="7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0" fontId="79" fillId="0" borderId="0">
      <alignment horizontal="left"/>
    </xf>
    <xf numFmtId="0" fontId="7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226" fontId="3" fillId="0" borderId="0"/>
    <xf numFmtId="0" fontId="7" fillId="0" borderId="0"/>
    <xf numFmtId="226" fontId="3" fillId="0" borderId="0"/>
    <xf numFmtId="0" fontId="3" fillId="0" borderId="0"/>
    <xf numFmtId="226" fontId="3" fillId="0" borderId="0"/>
    <xf numFmtId="0" fontId="31" fillId="0" borderId="0"/>
    <xf numFmtId="226" fontId="3" fillId="0" borderId="0"/>
    <xf numFmtId="0" fontId="3" fillId="0" borderId="0"/>
    <xf numFmtId="226" fontId="3" fillId="0" borderId="0"/>
    <xf numFmtId="0" fontId="3" fillId="0" borderId="0"/>
    <xf numFmtId="0" fontId="3" fillId="0" borderId="0"/>
    <xf numFmtId="0" fontId="3" fillId="0" borderId="0"/>
    <xf numFmtId="0" fontId="16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>
      <alignment vertical="top"/>
    </xf>
    <xf numFmtId="169" fontId="3" fillId="0" borderId="0"/>
    <xf numFmtId="0" fontId="2" fillId="0" borderId="0"/>
    <xf numFmtId="0" fontId="2" fillId="0" borderId="0"/>
    <xf numFmtId="0" fontId="2" fillId="0" borderId="0"/>
    <xf numFmtId="226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6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169" fontId="3" fillId="0" borderId="0"/>
    <xf numFmtId="169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10" fillId="0" borderId="0"/>
    <xf numFmtId="0" fontId="2" fillId="0" borderId="0"/>
    <xf numFmtId="169" fontId="3" fillId="0" borderId="0"/>
    <xf numFmtId="0" fontId="2" fillId="0" borderId="0"/>
    <xf numFmtId="0" fontId="2" fillId="0" borderId="0"/>
    <xf numFmtId="226" fontId="3" fillId="0" borderId="0"/>
    <xf numFmtId="0" fontId="2" fillId="0" borderId="0"/>
    <xf numFmtId="0" fontId="2" fillId="0" borderId="0"/>
    <xf numFmtId="0" fontId="7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169" fontId="3" fillId="0" borderId="0"/>
    <xf numFmtId="169" fontId="3" fillId="0" borderId="0"/>
    <xf numFmtId="169" fontId="3" fillId="0" borderId="0"/>
    <xf numFmtId="0" fontId="31" fillId="0" borderId="0"/>
    <xf numFmtId="0" fontId="10" fillId="0" borderId="0"/>
    <xf numFmtId="0" fontId="120" fillId="0" borderId="0"/>
    <xf numFmtId="0" fontId="3" fillId="0" borderId="0"/>
    <xf numFmtId="226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6" fontId="3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2" fillId="0" borderId="0"/>
    <xf numFmtId="0" fontId="2" fillId="0" borderId="0"/>
    <xf numFmtId="226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2" fillId="0" borderId="0"/>
    <xf numFmtId="226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6" fontId="3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6" fontId="3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6" fontId="3" fillId="0" borderId="0"/>
    <xf numFmtId="226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226" fontId="3" fillId="0" borderId="0"/>
    <xf numFmtId="226" fontId="3" fillId="0" borderId="0"/>
    <xf numFmtId="9" fontId="7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226" fontId="3" fillId="0" borderId="0"/>
    <xf numFmtId="226" fontId="3" fillId="0" borderId="0"/>
    <xf numFmtId="9" fontId="31" fillId="0" borderId="0" applyFont="0" applyFill="0" applyBorder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6" fontId="3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69" fontId="13" fillId="0" borderId="0"/>
    <xf numFmtId="0" fontId="13" fillId="0" borderId="0"/>
    <xf numFmtId="169" fontId="13" fillId="0" borderId="0"/>
    <xf numFmtId="0" fontId="7" fillId="0" borderId="0"/>
    <xf numFmtId="0" fontId="3" fillId="0" borderId="0">
      <alignment vertical="justify"/>
    </xf>
    <xf numFmtId="226" fontId="3" fillId="0" borderId="0"/>
    <xf numFmtId="0" fontId="41" fillId="0" borderId="38">
      <alignment horizontal="center" vertical="top" wrapText="1"/>
    </xf>
    <xf numFmtId="226" fontId="3" fillId="0" borderId="0"/>
    <xf numFmtId="0" fontId="24" fillId="0" borderId="38">
      <alignment horizontal="center" vertical="top" wrapText="1"/>
    </xf>
    <xf numFmtId="226" fontId="3" fillId="0" borderId="0"/>
    <xf numFmtId="0" fontId="24" fillId="0" borderId="38">
      <alignment horizontal="left" vertical="top" wrapText="1"/>
    </xf>
    <xf numFmtId="226" fontId="3" fillId="0" borderId="0"/>
    <xf numFmtId="0" fontId="41" fillId="0" borderId="38">
      <alignment horizontal="center" vertical="top" wrapText="1"/>
    </xf>
    <xf numFmtId="226" fontId="3" fillId="0" borderId="0"/>
    <xf numFmtId="0" fontId="24" fillId="0" borderId="38">
      <alignment horizontal="center" vertical="top" wrapText="1"/>
    </xf>
    <xf numFmtId="226" fontId="3" fillId="0" borderId="0"/>
    <xf numFmtId="0" fontId="24" fillId="0" borderId="38">
      <alignment horizontal="left" vertical="top" wrapText="1"/>
    </xf>
    <xf numFmtId="234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48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49" fontId="2" fillId="0" borderId="0" applyFont="0" applyFill="0" applyBorder="0" applyAlignment="0" applyProtection="0"/>
    <xf numFmtId="249" fontId="2" fillId="0" borderId="0" applyFont="0" applyFill="0" applyBorder="0" applyAlignment="0" applyProtection="0"/>
    <xf numFmtId="249" fontId="31" fillId="0" borderId="0" applyFont="0" applyFill="0" applyBorder="0" applyAlignment="0" applyProtection="0"/>
    <xf numFmtId="249" fontId="2" fillId="0" borderId="0" applyFont="0" applyFill="0" applyBorder="0" applyAlignment="0" applyProtection="0"/>
    <xf numFmtId="0" fontId="7" fillId="0" borderId="0"/>
    <xf numFmtId="249" fontId="31" fillId="0" borderId="0" applyFont="0" applyFill="0" applyBorder="0" applyAlignment="0" applyProtection="0"/>
    <xf numFmtId="249" fontId="2" fillId="0" borderId="0" applyFont="0" applyFill="0" applyBorder="0" applyAlignment="0" applyProtection="0"/>
    <xf numFmtId="0" fontId="7" fillId="0" borderId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91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242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" fillId="0" borderId="0"/>
    <xf numFmtId="165" fontId="31" fillId="0" borderId="0" applyFont="0" applyFill="0" applyBorder="0" applyAlignment="0" applyProtection="0"/>
    <xf numFmtId="226" fontId="3" fillId="0" borderId="0"/>
    <xf numFmtId="165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0" fontId="7" fillId="0" borderId="0"/>
    <xf numFmtId="165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7" fillId="0" borderId="0"/>
    <xf numFmtId="165" fontId="2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6" fontId="3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6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73" fillId="0" borderId="0">
      <alignment vertical="center"/>
    </xf>
  </cellStyleXfs>
  <cellXfs count="337">
    <xf numFmtId="0" fontId="0" fillId="0" borderId="0" xfId="0"/>
    <xf numFmtId="0" fontId="4" fillId="0" borderId="0" xfId="1" applyFont="1" applyAlignment="1">
      <alignment vertical="center"/>
    </xf>
    <xf numFmtId="0" fontId="5" fillId="0" borderId="0" xfId="1" applyFont="1" applyAlignment="1">
      <alignment horizontal="left" vertical="center" wrapText="1"/>
    </xf>
    <xf numFmtId="164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2" xfId="1" applyFont="1" applyBorder="1" applyAlignment="1">
      <alignment horizontal="center" vertical="center" wrapText="1"/>
    </xf>
    <xf numFmtId="2" fontId="7" fillId="0" borderId="2" xfId="1" applyNumberFormat="1" applyFont="1" applyBorder="1" applyAlignment="1">
      <alignment horizontal="left" vertical="center" wrapText="1"/>
    </xf>
    <xf numFmtId="166" fontId="8" fillId="0" borderId="0" xfId="2" applyNumberFormat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2" xfId="4" applyFont="1" applyBorder="1" applyAlignment="1">
      <alignment horizontal="center" wrapText="1"/>
    </xf>
    <xf numFmtId="0" fontId="7" fillId="0" borderId="2" xfId="1" applyFont="1" applyBorder="1" applyAlignment="1">
      <alignment horizontal="center" vertical="center" wrapText="1"/>
    </xf>
    <xf numFmtId="166" fontId="7" fillId="0" borderId="0" xfId="2" applyNumberFormat="1" applyFont="1" applyFill="1" applyAlignment="1">
      <alignment vertical="center"/>
    </xf>
    <xf numFmtId="1" fontId="7" fillId="0" borderId="2" xfId="3" applyNumberFormat="1" applyBorder="1" applyAlignment="1">
      <alignment horizontal="center" vertical="center" wrapText="1"/>
    </xf>
    <xf numFmtId="1" fontId="8" fillId="0" borderId="2" xfId="3" applyNumberFormat="1" applyFont="1" applyBorder="1" applyAlignment="1">
      <alignment horizontal="left" vertical="center" wrapText="1"/>
    </xf>
    <xf numFmtId="3" fontId="7" fillId="0" borderId="2" xfId="1" applyNumberFormat="1" applyFont="1" applyBorder="1" applyAlignment="1">
      <alignment horizontal="center" vertical="center"/>
    </xf>
    <xf numFmtId="167" fontId="7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7" fillId="0" borderId="0" xfId="1" applyFont="1" applyAlignment="1">
      <alignment horizontal="center" vertical="center"/>
    </xf>
    <xf numFmtId="167" fontId="7" fillId="0" borderId="0" xfId="1" applyNumberFormat="1" applyFont="1" applyAlignment="1">
      <alignment horizontal="center" vertical="center"/>
    </xf>
    <xf numFmtId="0" fontId="7" fillId="0" borderId="40" xfId="1" applyFont="1" applyBorder="1" applyAlignment="1">
      <alignment horizontal="center" vertical="center" wrapText="1"/>
    </xf>
    <xf numFmtId="4" fontId="7" fillId="0" borderId="40" xfId="1" applyNumberFormat="1" applyFont="1" applyBorder="1" applyAlignment="1">
      <alignment horizontal="center" vertical="center" wrapText="1"/>
    </xf>
    <xf numFmtId="0" fontId="8" fillId="0" borderId="40" xfId="1" applyFont="1" applyBorder="1" applyAlignment="1">
      <alignment horizontal="center" vertical="center" wrapText="1"/>
    </xf>
    <xf numFmtId="1" fontId="7" fillId="0" borderId="40" xfId="3" applyNumberFormat="1" applyBorder="1" applyAlignment="1">
      <alignment horizontal="center" vertical="center" wrapText="1"/>
    </xf>
    <xf numFmtId="167" fontId="7" fillId="0" borderId="40" xfId="1" applyNumberFormat="1" applyFont="1" applyBorder="1" applyAlignment="1">
      <alignment horizontal="center" vertical="center"/>
    </xf>
    <xf numFmtId="1" fontId="9" fillId="0" borderId="40" xfId="3" applyNumberFormat="1" applyFont="1" applyBorder="1" applyAlignment="1">
      <alignment horizontal="center" vertical="center" wrapText="1"/>
    </xf>
    <xf numFmtId="0" fontId="0" fillId="82" borderId="0" xfId="0" applyFill="1" applyAlignment="1">
      <alignment horizontal="left"/>
    </xf>
    <xf numFmtId="0" fontId="0" fillId="0" borderId="43" xfId="0" applyBorder="1"/>
    <xf numFmtId="0" fontId="8" fillId="0" borderId="43" xfId="1" applyFont="1" applyBorder="1" applyAlignment="1">
      <alignment horizontal="center" vertical="center" wrapText="1"/>
    </xf>
    <xf numFmtId="0" fontId="0" fillId="0" borderId="47" xfId="0" applyBorder="1"/>
    <xf numFmtId="0" fontId="0" fillId="0" borderId="49" xfId="0" applyBorder="1" applyAlignment="1">
      <alignment horizontal="center"/>
    </xf>
    <xf numFmtId="0" fontId="0" fillId="0" borderId="40" xfId="0" applyBorder="1"/>
    <xf numFmtId="3" fontId="7" fillId="0" borderId="41" xfId="1" applyNumberFormat="1" applyFont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 wrapText="1"/>
    </xf>
    <xf numFmtId="3" fontId="7" fillId="0" borderId="52" xfId="1" applyNumberFormat="1" applyFont="1" applyBorder="1" applyAlignment="1">
      <alignment horizontal="center" vertical="center" wrapText="1"/>
    </xf>
    <xf numFmtId="3" fontId="8" fillId="0" borderId="40" xfId="1" applyNumberFormat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" fontId="7" fillId="0" borderId="52" xfId="3" applyNumberFormat="1" applyBorder="1" applyAlignment="1">
      <alignment horizontal="center" vertical="center" wrapText="1"/>
    </xf>
    <xf numFmtId="1" fontId="7" fillId="0" borderId="41" xfId="3" applyNumberFormat="1" applyBorder="1" applyAlignment="1">
      <alignment horizontal="center" vertical="center" wrapText="1"/>
    </xf>
    <xf numFmtId="167" fontId="7" fillId="0" borderId="40" xfId="1" applyNumberFormat="1" applyFont="1" applyBorder="1" applyAlignment="1">
      <alignment horizontal="center" vertical="center" wrapText="1"/>
    </xf>
    <xf numFmtId="167" fontId="7" fillId="0" borderId="52" xfId="1" applyNumberFormat="1" applyFont="1" applyBorder="1" applyAlignment="1">
      <alignment horizontal="center" vertical="center" wrapText="1"/>
    </xf>
    <xf numFmtId="1" fontId="9" fillId="0" borderId="55" xfId="3" applyNumberFormat="1" applyFont="1" applyBorder="1" applyAlignment="1">
      <alignment horizontal="center" vertical="center" wrapText="1"/>
    </xf>
    <xf numFmtId="1" fontId="7" fillId="0" borderId="56" xfId="3" applyNumberFormat="1" applyBorder="1" applyAlignment="1">
      <alignment horizontal="center" vertical="center" wrapText="1"/>
    </xf>
    <xf numFmtId="167" fontId="7" fillId="0" borderId="55" xfId="1" applyNumberFormat="1" applyFont="1" applyBorder="1" applyAlignment="1">
      <alignment horizontal="center" vertical="center" wrapText="1"/>
    </xf>
    <xf numFmtId="167" fontId="7" fillId="0" borderId="56" xfId="1" applyNumberFormat="1" applyFont="1" applyBorder="1" applyAlignment="1">
      <alignment horizontal="center" vertical="center" wrapText="1"/>
    </xf>
    <xf numFmtId="1" fontId="170" fillId="0" borderId="61" xfId="3" applyNumberFormat="1" applyFont="1" applyBorder="1" applyAlignment="1">
      <alignment horizontal="center" vertical="center" wrapText="1"/>
    </xf>
    <xf numFmtId="0" fontId="0" fillId="82" borderId="40" xfId="0" applyFill="1" applyBorder="1" applyAlignment="1">
      <alignment horizontal="center"/>
    </xf>
    <xf numFmtId="0" fontId="8" fillId="0" borderId="63" xfId="1" applyFont="1" applyBorder="1" applyAlignment="1">
      <alignment horizontal="center" vertical="center" wrapText="1"/>
    </xf>
    <xf numFmtId="0" fontId="169" fillId="0" borderId="61" xfId="0" applyFont="1" applyBorder="1" applyAlignment="1">
      <alignment horizontal="center" vertical="center"/>
    </xf>
    <xf numFmtId="0" fontId="169" fillId="0" borderId="62" xfId="0" applyFont="1" applyBorder="1" applyAlignment="1">
      <alignment horizontal="center" vertical="center"/>
    </xf>
    <xf numFmtId="0" fontId="8" fillId="0" borderId="4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8" fillId="0" borderId="0" xfId="0" applyFont="1" applyAlignment="1">
      <alignment horizontal="left"/>
    </xf>
    <xf numFmtId="0" fontId="7" fillId="82" borderId="40" xfId="1" applyFont="1" applyFill="1" applyBorder="1" applyAlignment="1">
      <alignment horizontal="center" vertical="center" wrapText="1"/>
    </xf>
    <xf numFmtId="4" fontId="8" fillId="0" borderId="2" xfId="1" applyNumberFormat="1" applyFont="1" applyBorder="1" applyAlignment="1">
      <alignment horizontal="center" vertical="center" wrapText="1"/>
    </xf>
    <xf numFmtId="0" fontId="8" fillId="82" borderId="2" xfId="1" applyFont="1" applyFill="1" applyBorder="1" applyAlignment="1">
      <alignment horizontal="center" vertical="center" wrapText="1"/>
    </xf>
    <xf numFmtId="1" fontId="7" fillId="82" borderId="40" xfId="3" applyNumberFormat="1" applyFill="1" applyBorder="1" applyAlignment="1">
      <alignment horizontal="center" vertical="center" wrapText="1"/>
    </xf>
    <xf numFmtId="0" fontId="7" fillId="82" borderId="0" xfId="1" applyFont="1" applyFill="1" applyAlignment="1">
      <alignment horizontal="center" vertical="center"/>
    </xf>
    <xf numFmtId="0" fontId="7" fillId="82" borderId="2" xfId="1" applyFont="1" applyFill="1" applyBorder="1" applyAlignment="1">
      <alignment horizontal="center" vertical="center"/>
    </xf>
    <xf numFmtId="3" fontId="7" fillId="0" borderId="40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 wrapText="1"/>
    </xf>
    <xf numFmtId="1" fontId="7" fillId="0" borderId="40" xfId="4" applyNumberFormat="1" applyFont="1" applyBorder="1" applyAlignment="1">
      <alignment horizontal="left" wrapText="1"/>
    </xf>
    <xf numFmtId="0" fontId="8" fillId="0" borderId="40" xfId="1" applyFont="1" applyBorder="1" applyAlignment="1">
      <alignment horizontal="left" vertical="center" wrapText="1"/>
    </xf>
    <xf numFmtId="0" fontId="7" fillId="0" borderId="40" xfId="1" applyFont="1" applyBorder="1" applyAlignment="1">
      <alignment horizontal="left" vertical="center" wrapText="1"/>
    </xf>
    <xf numFmtId="1" fontId="7" fillId="0" borderId="2" xfId="3" applyNumberForma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1" fontId="7" fillId="83" borderId="40" xfId="3" applyNumberFormat="1" applyFill="1" applyBorder="1" applyAlignment="1">
      <alignment horizontal="center" vertical="center" wrapText="1" shrinkToFit="1"/>
    </xf>
    <xf numFmtId="0" fontId="0" fillId="0" borderId="0" xfId="0" applyAlignment="1">
      <alignment horizontal="left"/>
    </xf>
    <xf numFmtId="0" fontId="169" fillId="0" borderId="35" xfId="0" applyFont="1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50" xfId="0" applyBorder="1" applyAlignment="1">
      <alignment horizontal="left"/>
    </xf>
    <xf numFmtId="0" fontId="7" fillId="0" borderId="50" xfId="1" applyFont="1" applyBorder="1" applyAlignment="1">
      <alignment horizontal="left" vertical="center" wrapText="1"/>
    </xf>
    <xf numFmtId="0" fontId="8" fillId="0" borderId="50" xfId="1" applyFont="1" applyBorder="1" applyAlignment="1">
      <alignment horizontal="left" vertical="center" wrapText="1"/>
    </xf>
    <xf numFmtId="0" fontId="9" fillId="0" borderId="50" xfId="1" applyFont="1" applyBorder="1" applyAlignment="1">
      <alignment horizontal="left" vertical="center" wrapText="1"/>
    </xf>
    <xf numFmtId="0" fontId="9" fillId="0" borderId="53" xfId="1" applyFont="1" applyBorder="1" applyAlignment="1">
      <alignment horizontal="left" vertical="center" wrapText="1"/>
    </xf>
    <xf numFmtId="0" fontId="8" fillId="0" borderId="59" xfId="1" applyFont="1" applyBorder="1" applyAlignment="1">
      <alignment horizontal="left" vertical="center" wrapText="1"/>
    </xf>
    <xf numFmtId="0" fontId="8" fillId="0" borderId="64" xfId="1" applyFont="1" applyBorder="1" applyAlignment="1">
      <alignment horizontal="left" vertical="center" wrapText="1"/>
    </xf>
    <xf numFmtId="0" fontId="0" fillId="0" borderId="4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9" fillId="0" borderId="0" xfId="1" applyFont="1" applyAlignment="1">
      <alignment horizontal="left" vertical="center" wrapText="1"/>
    </xf>
    <xf numFmtId="0" fontId="0" fillId="0" borderId="40" xfId="0" applyBorder="1" applyAlignment="1">
      <alignment horizontal="center" vertical="center"/>
    </xf>
    <xf numFmtId="167" fontId="7" fillId="83" borderId="40" xfId="1" applyNumberFormat="1" applyFont="1" applyFill="1" applyBorder="1" applyAlignment="1">
      <alignment horizontal="center" vertical="center" wrapText="1" shrinkToFit="1"/>
    </xf>
    <xf numFmtId="2" fontId="7" fillId="0" borderId="40" xfId="1" applyNumberFormat="1" applyFont="1" applyBorder="1" applyAlignment="1">
      <alignment horizontal="center" vertical="center" wrapText="1"/>
    </xf>
    <xf numFmtId="252" fontId="7" fillId="0" borderId="40" xfId="1" applyNumberFormat="1" applyFont="1" applyBorder="1" applyAlignment="1">
      <alignment horizontal="center" vertical="center" wrapText="1"/>
    </xf>
    <xf numFmtId="2" fontId="7" fillId="0" borderId="2" xfId="1" applyNumberFormat="1" applyFont="1" applyBorder="1" applyAlignment="1">
      <alignment horizontal="center" vertical="center" wrapText="1"/>
    </xf>
    <xf numFmtId="252" fontId="0" fillId="82" borderId="40" xfId="0" applyNumberFormat="1" applyFill="1" applyBorder="1" applyAlignment="1">
      <alignment horizontal="center" vertical="center" wrapText="1" shrinkToFit="1"/>
    </xf>
    <xf numFmtId="16" fontId="7" fillId="0" borderId="2" xfId="1" applyNumberFormat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3" fontId="169" fillId="0" borderId="40" xfId="0" applyNumberFormat="1" applyFont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0" fillId="0" borderId="40" xfId="0" applyNumberFormat="1" applyBorder="1" applyAlignment="1">
      <alignment horizontal="center" vertical="center"/>
    </xf>
    <xf numFmtId="251" fontId="0" fillId="0" borderId="40" xfId="0" applyNumberFormat="1" applyBorder="1" applyAlignment="1">
      <alignment horizontal="center" vertical="center"/>
    </xf>
    <xf numFmtId="251" fontId="0" fillId="0" borderId="55" xfId="0" applyNumberFormat="1" applyBorder="1" applyAlignment="1">
      <alignment horizontal="center" vertical="center"/>
    </xf>
    <xf numFmtId="251" fontId="172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70" fillId="0" borderId="66" xfId="1" applyFont="1" applyBorder="1" applyAlignment="1">
      <alignment horizontal="left" vertical="center" wrapText="1"/>
    </xf>
    <xf numFmtId="0" fontId="170" fillId="0" borderId="61" xfId="1" applyFont="1" applyBorder="1" applyAlignment="1">
      <alignment horizontal="center" vertical="center" wrapText="1"/>
    </xf>
    <xf numFmtId="0" fontId="170" fillId="0" borderId="62" xfId="1" applyFont="1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8" fillId="0" borderId="44" xfId="1" applyFont="1" applyBorder="1" applyAlignment="1">
      <alignment horizontal="center" vertical="center" wrapText="1"/>
    </xf>
    <xf numFmtId="3" fontId="0" fillId="0" borderId="48" xfId="0" applyNumberFormat="1" applyBorder="1" applyAlignment="1">
      <alignment horizontal="center" vertical="center"/>
    </xf>
    <xf numFmtId="3" fontId="0" fillId="0" borderId="65" xfId="0" applyNumberFormat="1" applyBorder="1" applyAlignment="1">
      <alignment horizontal="center" vertical="center"/>
    </xf>
    <xf numFmtId="3" fontId="169" fillId="0" borderId="52" xfId="0" applyNumberFormat="1" applyFont="1" applyBorder="1" applyAlignment="1">
      <alignment horizontal="center" vertical="center"/>
    </xf>
    <xf numFmtId="3" fontId="0" fillId="0" borderId="5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7" fillId="0" borderId="53" xfId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 shrinkToFit="1"/>
    </xf>
    <xf numFmtId="0" fontId="8" fillId="0" borderId="61" xfId="1" applyFont="1" applyBorder="1" applyAlignment="1">
      <alignment horizontal="center" wrapText="1"/>
    </xf>
    <xf numFmtId="0" fontId="8" fillId="0" borderId="72" xfId="1" applyFont="1" applyBorder="1" applyAlignment="1">
      <alignment horizontal="center" wrapText="1"/>
    </xf>
    <xf numFmtId="0" fontId="8" fillId="0" borderId="60" xfId="1" applyFont="1" applyBorder="1" applyAlignment="1">
      <alignment horizontal="center" wrapText="1"/>
    </xf>
    <xf numFmtId="0" fontId="8" fillId="0" borderId="61" xfId="1" applyFont="1" applyBorder="1" applyAlignment="1">
      <alignment horizontal="center" wrapText="1" shrinkToFit="1"/>
    </xf>
    <xf numFmtId="0" fontId="8" fillId="0" borderId="62" xfId="1" applyFont="1" applyBorder="1" applyAlignment="1">
      <alignment horizontal="center" wrapText="1" shrinkToFit="1"/>
    </xf>
    <xf numFmtId="167" fontId="7" fillId="0" borderId="0" xfId="1" applyNumberFormat="1" applyFont="1" applyAlignment="1">
      <alignment horizontal="center" wrapText="1"/>
    </xf>
    <xf numFmtId="0" fontId="4" fillId="0" borderId="0" xfId="1" applyFont="1" applyAlignment="1">
      <alignment horizontal="center" vertical="center"/>
    </xf>
    <xf numFmtId="167" fontId="8" fillId="0" borderId="43" xfId="1" applyNumberFormat="1" applyFont="1" applyBorder="1" applyAlignment="1">
      <alignment horizontal="center" wrapText="1"/>
    </xf>
    <xf numFmtId="0" fontId="7" fillId="0" borderId="43" xfId="1" applyFont="1" applyBorder="1" applyAlignment="1">
      <alignment horizontal="center" wrapText="1"/>
    </xf>
    <xf numFmtId="3" fontId="7" fillId="0" borderId="43" xfId="1" applyNumberFormat="1" applyFont="1" applyBorder="1" applyAlignment="1">
      <alignment horizontal="center" wrapText="1"/>
    </xf>
    <xf numFmtId="3" fontId="7" fillId="0" borderId="44" xfId="1" applyNumberFormat="1" applyFont="1" applyBorder="1" applyAlignment="1">
      <alignment horizontal="center" wrapText="1"/>
    </xf>
    <xf numFmtId="0" fontId="8" fillId="0" borderId="75" xfId="1" applyFont="1" applyBorder="1" applyAlignment="1">
      <alignment horizontal="center" vertical="center" wrapText="1"/>
    </xf>
    <xf numFmtId="0" fontId="168" fillId="0" borderId="60" xfId="0" applyFont="1" applyBorder="1" applyAlignment="1">
      <alignment horizontal="center"/>
    </xf>
    <xf numFmtId="251" fontId="0" fillId="0" borderId="52" xfId="0" applyNumberFormat="1" applyBorder="1" applyAlignment="1">
      <alignment horizontal="center" vertical="center"/>
    </xf>
    <xf numFmtId="251" fontId="0" fillId="0" borderId="56" xfId="0" applyNumberFormat="1" applyBorder="1" applyAlignment="1">
      <alignment horizontal="center" vertical="center"/>
    </xf>
    <xf numFmtId="251" fontId="0" fillId="0" borderId="65" xfId="0" applyNumberFormat="1" applyBorder="1" applyAlignment="1">
      <alignment horizontal="center" vertical="center"/>
    </xf>
    <xf numFmtId="251" fontId="0" fillId="0" borderId="0" xfId="0" applyNumberFormat="1" applyAlignment="1">
      <alignment horizontal="center" vertical="center"/>
    </xf>
    <xf numFmtId="1" fontId="0" fillId="82" borderId="40" xfId="0" applyNumberFormat="1" applyFill="1" applyBorder="1" applyAlignment="1">
      <alignment horizontal="center" vertical="center"/>
    </xf>
    <xf numFmtId="1" fontId="0" fillId="82" borderId="52" xfId="0" applyNumberFormat="1" applyFill="1" applyBorder="1" applyAlignment="1">
      <alignment horizontal="center" vertical="center"/>
    </xf>
    <xf numFmtId="1" fontId="0" fillId="82" borderId="55" xfId="0" applyNumberFormat="1" applyFill="1" applyBorder="1" applyAlignment="1">
      <alignment horizontal="center" vertical="center"/>
    </xf>
    <xf numFmtId="1" fontId="0" fillId="82" borderId="56" xfId="0" applyNumberFormat="1" applyFill="1" applyBorder="1" applyAlignment="1">
      <alignment horizontal="center" vertical="center"/>
    </xf>
    <xf numFmtId="3" fontId="1" fillId="0" borderId="41" xfId="1" applyNumberFormat="1" applyFont="1" applyBorder="1" applyAlignment="1">
      <alignment horizontal="center" vertical="center" wrapText="1"/>
    </xf>
    <xf numFmtId="1" fontId="1" fillId="0" borderId="41" xfId="1" applyNumberFormat="1" applyFont="1" applyBorder="1" applyAlignment="1">
      <alignment horizontal="center" vertical="center" wrapText="1"/>
    </xf>
    <xf numFmtId="0" fontId="0" fillId="0" borderId="57" xfId="0" applyBorder="1"/>
    <xf numFmtId="0" fontId="8" fillId="0" borderId="42" xfId="1" applyFont="1" applyBorder="1" applyAlignment="1">
      <alignment horizontal="center" vertical="center" wrapText="1" shrinkToFit="1"/>
    </xf>
    <xf numFmtId="0" fontId="0" fillId="0" borderId="46" xfId="0" applyBorder="1" applyAlignment="1">
      <alignment horizontal="center" vertical="center" wrapText="1" shrinkToFit="1"/>
    </xf>
    <xf numFmtId="0" fontId="0" fillId="0" borderId="51" xfId="0" applyBorder="1" applyAlignment="1">
      <alignment horizontal="center" vertical="center" wrapText="1" shrinkToFit="1"/>
    </xf>
    <xf numFmtId="0" fontId="7" fillId="0" borderId="51" xfId="1" applyFont="1" applyBorder="1" applyAlignment="1">
      <alignment horizontal="center" vertical="center" wrapText="1" shrinkToFit="1"/>
    </xf>
    <xf numFmtId="1" fontId="7" fillId="0" borderId="51" xfId="3" applyNumberFormat="1" applyBorder="1" applyAlignment="1">
      <alignment horizontal="center" vertical="center" wrapText="1" shrinkToFit="1"/>
    </xf>
    <xf numFmtId="1" fontId="9" fillId="0" borderId="51" xfId="3" applyNumberFormat="1" applyFont="1" applyBorder="1" applyAlignment="1">
      <alignment horizontal="center" vertical="center" wrapText="1" shrinkToFit="1"/>
    </xf>
    <xf numFmtId="1" fontId="9" fillId="0" borderId="54" xfId="3" applyNumberFormat="1" applyFont="1" applyBorder="1" applyAlignment="1">
      <alignment horizontal="center" vertical="center" wrapText="1" shrinkToFit="1"/>
    </xf>
    <xf numFmtId="1" fontId="170" fillId="0" borderId="60" xfId="3" applyNumberFormat="1" applyFont="1" applyBorder="1" applyAlignment="1">
      <alignment horizontal="center" vertical="center" wrapText="1" shrinkToFit="1"/>
    </xf>
    <xf numFmtId="0" fontId="8" fillId="0" borderId="5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8" fillId="0" borderId="82" xfId="1" applyFont="1" applyBorder="1" applyAlignment="1">
      <alignment horizontal="center" vertical="center" wrapText="1"/>
    </xf>
    <xf numFmtId="0" fontId="168" fillId="0" borderId="0" xfId="0" applyFont="1" applyAlignment="1">
      <alignment horizontal="center" vertical="center"/>
    </xf>
    <xf numFmtId="253" fontId="1" fillId="82" borderId="57" xfId="3" applyNumberFormat="1" applyFont="1" applyFill="1" applyBorder="1" applyAlignment="1">
      <alignment horizontal="center" vertical="center" wrapText="1"/>
    </xf>
    <xf numFmtId="0" fontId="8" fillId="0" borderId="64" xfId="1" applyFont="1" applyBorder="1" applyAlignment="1">
      <alignment horizontal="center" vertical="center" wrapText="1"/>
    </xf>
    <xf numFmtId="3" fontId="1" fillId="0" borderId="50" xfId="1" applyNumberFormat="1" applyFont="1" applyBorder="1" applyAlignment="1">
      <alignment horizontal="center" vertical="center" wrapText="1"/>
    </xf>
    <xf numFmtId="0" fontId="0" fillId="82" borderId="50" xfId="0" applyFill="1" applyBorder="1" applyAlignment="1">
      <alignment horizontal="center" vertical="center" wrapText="1" shrinkToFit="1"/>
    </xf>
    <xf numFmtId="3" fontId="1" fillId="82" borderId="53" xfId="1" applyNumberFormat="1" applyFont="1" applyFill="1" applyBorder="1" applyAlignment="1">
      <alignment horizontal="center" vertical="center" wrapText="1"/>
    </xf>
    <xf numFmtId="250" fontId="1" fillId="0" borderId="50" xfId="1" applyNumberFormat="1" applyFont="1" applyBorder="1" applyAlignment="1">
      <alignment horizontal="center" vertical="center" wrapText="1"/>
    </xf>
    <xf numFmtId="253" fontId="1" fillId="82" borderId="50" xfId="1" applyNumberFormat="1" applyFont="1" applyFill="1" applyBorder="1" applyAlignment="1">
      <alignment horizontal="center" vertical="center" wrapText="1"/>
    </xf>
    <xf numFmtId="253" fontId="1" fillId="0" borderId="50" xfId="1" applyNumberFormat="1" applyFont="1" applyBorder="1" applyAlignment="1">
      <alignment horizontal="center" vertical="center" wrapText="1"/>
    </xf>
    <xf numFmtId="253" fontId="1" fillId="82" borderId="53" xfId="1" applyNumberFormat="1" applyFont="1" applyFill="1" applyBorder="1" applyAlignment="1">
      <alignment horizontal="center" vertical="center" wrapText="1"/>
    </xf>
    <xf numFmtId="0" fontId="8" fillId="0" borderId="59" xfId="1" applyFont="1" applyBorder="1" applyAlignment="1">
      <alignment horizontal="center" vertical="center" wrapText="1" shrinkToFit="1"/>
    </xf>
    <xf numFmtId="0" fontId="8" fillId="0" borderId="64" xfId="1" applyFont="1" applyBorder="1" applyAlignment="1">
      <alignment horizontal="center" vertical="center" wrapText="1" shrinkToFit="1"/>
    </xf>
    <xf numFmtId="0" fontId="0" fillId="0" borderId="50" xfId="0" applyBorder="1" applyAlignment="1">
      <alignment horizontal="center" vertical="center" wrapText="1" shrinkToFit="1"/>
    </xf>
    <xf numFmtId="0" fontId="0" fillId="82" borderId="53" xfId="0" applyFill="1" applyBorder="1" applyAlignment="1">
      <alignment horizontal="center" vertical="center" wrapText="1" shrinkToFit="1"/>
    </xf>
    <xf numFmtId="1" fontId="0" fillId="82" borderId="50" xfId="0" applyNumberFormat="1" applyFill="1" applyBorder="1" applyAlignment="1">
      <alignment horizontal="center" vertical="center" wrapText="1" shrinkToFit="1"/>
    </xf>
    <xf numFmtId="0" fontId="0" fillId="0" borderId="58" xfId="0" applyBorder="1" applyAlignment="1">
      <alignment horizontal="left"/>
    </xf>
    <xf numFmtId="0" fontId="0" fillId="0" borderId="12" xfId="0" applyBorder="1" applyAlignment="1">
      <alignment horizontal="center" vertical="center" wrapText="1" shrinkToFit="1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83" xfId="0" applyNumberFormat="1" applyBorder="1" applyAlignment="1">
      <alignment horizontal="center" vertical="center"/>
    </xf>
    <xf numFmtId="253" fontId="1" fillId="82" borderId="40" xfId="1" applyNumberFormat="1" applyFont="1" applyFill="1" applyBorder="1" applyAlignment="1">
      <alignment horizontal="center" wrapText="1"/>
    </xf>
    <xf numFmtId="1" fontId="0" fillId="82" borderId="40" xfId="0" applyNumberFormat="1" applyFill="1" applyBorder="1" applyAlignment="1">
      <alignment horizontal="center" vertical="center" wrapText="1" shrinkToFit="1"/>
    </xf>
    <xf numFmtId="255" fontId="0" fillId="82" borderId="40" xfId="0" applyNumberFormat="1" applyFill="1" applyBorder="1" applyAlignment="1">
      <alignment horizontal="center" vertical="center" wrapText="1" shrinkToFit="1"/>
    </xf>
    <xf numFmtId="0" fontId="8" fillId="0" borderId="85" xfId="1" applyFont="1" applyBorder="1" applyAlignment="1">
      <alignment horizontal="left" vertical="center" wrapText="1"/>
    </xf>
    <xf numFmtId="1" fontId="8" fillId="0" borderId="77" xfId="3" applyNumberFormat="1" applyFont="1" applyBorder="1" applyAlignment="1">
      <alignment horizontal="center" vertical="center" wrapText="1" shrinkToFit="1"/>
    </xf>
    <xf numFmtId="1" fontId="8" fillId="0" borderId="78" xfId="3" applyNumberFormat="1" applyFont="1" applyBorder="1" applyAlignment="1">
      <alignment horizontal="center" vertical="center" wrapText="1"/>
    </xf>
    <xf numFmtId="0" fontId="0" fillId="0" borderId="78" xfId="0" applyBorder="1"/>
    <xf numFmtId="1" fontId="8" fillId="0" borderId="78" xfId="1" applyNumberFormat="1" applyFont="1" applyBorder="1" applyAlignment="1">
      <alignment horizontal="center" vertical="center" wrapText="1"/>
    </xf>
    <xf numFmtId="1" fontId="8" fillId="0" borderId="79" xfId="1" applyNumberFormat="1" applyFont="1" applyBorder="1" applyAlignment="1">
      <alignment horizontal="center" vertical="center" wrapText="1"/>
    </xf>
    <xf numFmtId="0" fontId="7" fillId="82" borderId="60" xfId="1" applyFont="1" applyFill="1" applyBorder="1" applyAlignment="1">
      <alignment horizontal="center" vertical="center" wrapText="1"/>
    </xf>
    <xf numFmtId="1" fontId="0" fillId="82" borderId="61" xfId="0" applyNumberFormat="1" applyFill="1" applyBorder="1" applyAlignment="1">
      <alignment horizontal="center" vertical="center" wrapText="1" shrinkToFit="1"/>
    </xf>
    <xf numFmtId="255" fontId="0" fillId="82" borderId="61" xfId="0" applyNumberFormat="1" applyFill="1" applyBorder="1" applyAlignment="1">
      <alignment horizontal="center" vertical="center" wrapText="1" shrinkToFit="1"/>
    </xf>
    <xf numFmtId="1" fontId="0" fillId="82" borderId="61" xfId="0" applyNumberFormat="1" applyFill="1" applyBorder="1" applyAlignment="1">
      <alignment horizontal="center" vertical="center"/>
    </xf>
    <xf numFmtId="1" fontId="0" fillId="82" borderId="62" xfId="0" applyNumberFormat="1" applyFill="1" applyBorder="1" applyAlignment="1">
      <alignment horizontal="center" vertical="center"/>
    </xf>
    <xf numFmtId="0" fontId="7" fillId="82" borderId="51" xfId="1" applyFont="1" applyFill="1" applyBorder="1" applyAlignment="1">
      <alignment horizontal="center" vertical="center" wrapText="1"/>
    </xf>
    <xf numFmtId="0" fontId="7" fillId="82" borderId="54" xfId="1" applyFont="1" applyFill="1" applyBorder="1" applyAlignment="1">
      <alignment horizontal="center" vertical="center" wrapText="1"/>
    </xf>
    <xf numFmtId="1" fontId="0" fillId="82" borderId="55" xfId="0" applyNumberFormat="1" applyFill="1" applyBorder="1" applyAlignment="1">
      <alignment horizontal="center" vertical="center" wrapText="1" shrinkToFit="1"/>
    </xf>
    <xf numFmtId="255" fontId="0" fillId="82" borderId="55" xfId="0" applyNumberFormat="1" applyFill="1" applyBorder="1" applyAlignment="1">
      <alignment horizontal="center" vertical="center" wrapText="1" shrinkToFit="1"/>
    </xf>
    <xf numFmtId="1" fontId="0" fillId="82" borderId="63" xfId="0" applyNumberFormat="1" applyFill="1" applyBorder="1" applyAlignment="1">
      <alignment horizontal="center" vertical="center" wrapText="1" shrinkToFit="1"/>
    </xf>
    <xf numFmtId="1" fontId="0" fillId="82" borderId="41" xfId="0" applyNumberFormat="1" applyFill="1" applyBorder="1" applyAlignment="1">
      <alignment horizontal="center" vertical="center" wrapText="1" shrinkToFit="1"/>
    </xf>
    <xf numFmtId="1" fontId="0" fillId="82" borderId="57" xfId="0" applyNumberFormat="1" applyFill="1" applyBorder="1" applyAlignment="1">
      <alignment horizontal="center" vertical="center" wrapText="1" shrinkToFit="1"/>
    </xf>
    <xf numFmtId="0" fontId="0" fillId="82" borderId="62" xfId="0" applyFill="1" applyBorder="1" applyAlignment="1">
      <alignment horizontal="center" vertical="center"/>
    </xf>
    <xf numFmtId="0" fontId="0" fillId="82" borderId="52" xfId="0" applyFill="1" applyBorder="1" applyAlignment="1">
      <alignment horizontal="center" vertical="center"/>
    </xf>
    <xf numFmtId="0" fontId="0" fillId="82" borderId="56" xfId="0" applyFill="1" applyBorder="1" applyAlignment="1">
      <alignment horizontal="center" vertical="center"/>
    </xf>
    <xf numFmtId="253" fontId="8" fillId="0" borderId="2" xfId="1" applyNumberFormat="1" applyFont="1" applyBorder="1" applyAlignment="1">
      <alignment horizontal="center" vertical="center" wrapText="1"/>
    </xf>
    <xf numFmtId="253" fontId="7" fillId="0" borderId="40" xfId="1" applyNumberFormat="1" applyFont="1" applyBorder="1" applyAlignment="1">
      <alignment horizontal="center" vertical="center" wrapText="1"/>
    </xf>
    <xf numFmtId="253" fontId="7" fillId="0" borderId="2" xfId="1" applyNumberFormat="1" applyFont="1" applyBorder="1" applyAlignment="1">
      <alignment horizontal="center" vertical="center" wrapText="1" shrinkToFit="1"/>
    </xf>
    <xf numFmtId="0" fontId="0" fillId="82" borderId="0" xfId="0" applyFill="1"/>
    <xf numFmtId="3" fontId="7" fillId="82" borderId="55" xfId="1" applyNumberFormat="1" applyFont="1" applyFill="1" applyBorder="1" applyAlignment="1">
      <alignment horizontal="center" wrapText="1"/>
    </xf>
    <xf numFmtId="1" fontId="7" fillId="0" borderId="55" xfId="3" applyNumberFormat="1" applyBorder="1" applyAlignment="1">
      <alignment horizontal="center" wrapText="1"/>
    </xf>
    <xf numFmtId="1" fontId="7" fillId="0" borderId="0" xfId="3" applyNumberFormat="1" applyAlignment="1">
      <alignment horizontal="center" wrapText="1"/>
    </xf>
    <xf numFmtId="0" fontId="1" fillId="82" borderId="0" xfId="0" applyFont="1" applyFill="1" applyAlignment="1">
      <alignment horizontal="left"/>
    </xf>
    <xf numFmtId="0" fontId="1" fillId="82" borderId="0" xfId="0" applyFont="1" applyFill="1" applyAlignment="1">
      <alignment horizontal="center" vertical="center"/>
    </xf>
    <xf numFmtId="0" fontId="1" fillId="0" borderId="0" xfId="0" applyFont="1" applyAlignment="1">
      <alignment horizontal="center" wrapText="1" shrinkToFit="1"/>
    </xf>
    <xf numFmtId="0" fontId="1" fillId="0" borderId="80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4" fontId="1" fillId="0" borderId="43" xfId="0" applyNumberFormat="1" applyFont="1" applyBorder="1" applyAlignment="1">
      <alignment horizontal="center"/>
    </xf>
    <xf numFmtId="4" fontId="1" fillId="0" borderId="43" xfId="0" applyNumberFormat="1" applyFont="1" applyBorder="1" applyAlignment="1">
      <alignment horizontal="center" wrapText="1" shrinkToFit="1"/>
    </xf>
    <xf numFmtId="4" fontId="1" fillId="0" borderId="44" xfId="0" applyNumberFormat="1" applyFont="1" applyBorder="1" applyAlignment="1">
      <alignment horizontal="center" wrapText="1" shrinkToFit="1"/>
    </xf>
    <xf numFmtId="0" fontId="168" fillId="0" borderId="81" xfId="0" applyFont="1" applyBorder="1" applyAlignment="1">
      <alignment horizontal="center" vertical="center"/>
    </xf>
    <xf numFmtId="0" fontId="168" fillId="0" borderId="61" xfId="0" applyFont="1" applyBorder="1" applyAlignment="1">
      <alignment horizontal="center"/>
    </xf>
    <xf numFmtId="0" fontId="1" fillId="82" borderId="50" xfId="0" applyFont="1" applyFill="1" applyBorder="1" applyAlignment="1">
      <alignment horizontal="left"/>
    </xf>
    <xf numFmtId="0" fontId="1" fillId="82" borderId="67" xfId="0" applyFont="1" applyFill="1" applyBorder="1" applyAlignment="1">
      <alignment horizontal="center" vertical="center"/>
    </xf>
    <xf numFmtId="0" fontId="1" fillId="82" borderId="51" xfId="0" applyFont="1" applyFill="1" applyBorder="1" applyAlignment="1">
      <alignment horizontal="center"/>
    </xf>
    <xf numFmtId="0" fontId="1" fillId="82" borderId="40" xfId="0" applyFont="1" applyFill="1" applyBorder="1" applyAlignment="1">
      <alignment horizontal="center"/>
    </xf>
    <xf numFmtId="3" fontId="1" fillId="82" borderId="40" xfId="0" applyNumberFormat="1" applyFont="1" applyFill="1" applyBorder="1" applyAlignment="1">
      <alignment horizontal="center"/>
    </xf>
    <xf numFmtId="3" fontId="1" fillId="82" borderId="73" xfId="0" applyNumberFormat="1" applyFont="1" applyFill="1" applyBorder="1" applyAlignment="1">
      <alignment horizontal="center"/>
    </xf>
    <xf numFmtId="3" fontId="1" fillId="82" borderId="51" xfId="0" applyNumberFormat="1" applyFont="1" applyFill="1" applyBorder="1" applyAlignment="1">
      <alignment horizontal="center"/>
    </xf>
    <xf numFmtId="0" fontId="1" fillId="82" borderId="40" xfId="0" applyFont="1" applyFill="1" applyBorder="1" applyAlignment="1">
      <alignment horizontal="center" wrapText="1" shrinkToFit="1"/>
    </xf>
    <xf numFmtId="0" fontId="1" fillId="82" borderId="52" xfId="0" applyFont="1" applyFill="1" applyBorder="1" applyAlignment="1">
      <alignment horizontal="center" wrapText="1" shrinkToFit="1"/>
    </xf>
    <xf numFmtId="0" fontId="1" fillId="82" borderId="53" xfId="0" applyFont="1" applyFill="1" applyBorder="1" applyAlignment="1">
      <alignment horizontal="left"/>
    </xf>
    <xf numFmtId="0" fontId="1" fillId="82" borderId="68" xfId="0" applyFont="1" applyFill="1" applyBorder="1" applyAlignment="1">
      <alignment horizontal="center" vertical="center"/>
    </xf>
    <xf numFmtId="0" fontId="1" fillId="82" borderId="54" xfId="0" applyFont="1" applyFill="1" applyBorder="1" applyAlignment="1">
      <alignment horizontal="center"/>
    </xf>
    <xf numFmtId="0" fontId="1" fillId="82" borderId="55" xfId="0" applyFont="1" applyFill="1" applyBorder="1" applyAlignment="1">
      <alignment horizontal="center"/>
    </xf>
    <xf numFmtId="3" fontId="1" fillId="82" borderId="55" xfId="0" applyNumberFormat="1" applyFont="1" applyFill="1" applyBorder="1" applyAlignment="1">
      <alignment horizontal="center"/>
    </xf>
    <xf numFmtId="3" fontId="1" fillId="82" borderId="74" xfId="0" applyNumberFormat="1" applyFont="1" applyFill="1" applyBorder="1" applyAlignment="1">
      <alignment horizontal="center"/>
    </xf>
    <xf numFmtId="3" fontId="1" fillId="82" borderId="54" xfId="0" applyNumberFormat="1" applyFont="1" applyFill="1" applyBorder="1" applyAlignment="1">
      <alignment horizontal="center"/>
    </xf>
    <xf numFmtId="0" fontId="1" fillId="82" borderId="55" xfId="0" applyFont="1" applyFill="1" applyBorder="1" applyAlignment="1">
      <alignment horizontal="center" wrapText="1" shrinkToFit="1"/>
    </xf>
    <xf numFmtId="0" fontId="1" fillId="82" borderId="56" xfId="0" applyFont="1" applyFill="1" applyBorder="1" applyAlignment="1">
      <alignment horizontal="center" wrapText="1" shrinkToFi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61" xfId="0" applyFont="1" applyBorder="1" applyAlignment="1">
      <alignment horizontal="center" wrapText="1" shrinkToFit="1"/>
    </xf>
    <xf numFmtId="0" fontId="1" fillId="0" borderId="62" xfId="0" applyFont="1" applyBorder="1" applyAlignment="1">
      <alignment horizontal="center" wrapText="1" shrinkToFit="1"/>
    </xf>
    <xf numFmtId="253" fontId="168" fillId="0" borderId="0" xfId="0" applyNumberFormat="1" applyFont="1" applyAlignment="1">
      <alignment horizontal="center"/>
    </xf>
    <xf numFmtId="0" fontId="1" fillId="0" borderId="43" xfId="0" applyFont="1" applyBorder="1" applyAlignment="1">
      <alignment horizontal="center" wrapText="1" shrinkToFit="1"/>
    </xf>
    <xf numFmtId="0" fontId="1" fillId="0" borderId="44" xfId="0" applyFont="1" applyBorder="1" applyAlignment="1">
      <alignment horizontal="center" wrapText="1" shrinkToFit="1"/>
    </xf>
    <xf numFmtId="3" fontId="1" fillId="0" borderId="0" xfId="0" applyNumberFormat="1" applyFont="1" applyAlignment="1">
      <alignment horizontal="center"/>
    </xf>
    <xf numFmtId="253" fontId="1" fillId="82" borderId="40" xfId="0" applyNumberFormat="1" applyFont="1" applyFill="1" applyBorder="1" applyAlignment="1">
      <alignment horizontal="center"/>
    </xf>
    <xf numFmtId="0" fontId="168" fillId="0" borderId="43" xfId="0" applyFont="1" applyBorder="1" applyAlignment="1">
      <alignment horizontal="center"/>
    </xf>
    <xf numFmtId="1" fontId="7" fillId="0" borderId="43" xfId="3" applyNumberFormat="1" applyBorder="1" applyAlignment="1">
      <alignment horizontal="center" wrapText="1"/>
    </xf>
    <xf numFmtId="0" fontId="1" fillId="0" borderId="61" xfId="0" applyFont="1" applyBorder="1" applyAlignment="1">
      <alignment horizontal="center"/>
    </xf>
    <xf numFmtId="253" fontId="1" fillId="82" borderId="52" xfId="0" applyNumberFormat="1" applyFont="1" applyFill="1" applyBorder="1" applyAlignment="1">
      <alignment horizontal="center"/>
    </xf>
    <xf numFmtId="253" fontId="168" fillId="0" borderId="75" xfId="0" applyNumberFormat="1" applyFont="1" applyBorder="1" applyAlignment="1">
      <alignment horizontal="center" vertical="center"/>
    </xf>
    <xf numFmtId="253" fontId="168" fillId="0" borderId="76" xfId="0" applyNumberFormat="1" applyFont="1" applyBorder="1" applyAlignment="1">
      <alignment horizontal="center" vertical="center"/>
    </xf>
    <xf numFmtId="0" fontId="168" fillId="0" borderId="42" xfId="0" applyFont="1" applyBorder="1" applyAlignment="1">
      <alignment horizontal="left"/>
    </xf>
    <xf numFmtId="3" fontId="8" fillId="0" borderId="75" xfId="1" applyNumberFormat="1" applyFont="1" applyBorder="1" applyAlignment="1">
      <alignment horizontal="center" wrapText="1"/>
    </xf>
    <xf numFmtId="1" fontId="7" fillId="0" borderId="75" xfId="3" applyNumberFormat="1" applyBorder="1" applyAlignment="1">
      <alignment horizontal="center" wrapText="1"/>
    </xf>
    <xf numFmtId="167" fontId="168" fillId="0" borderId="75" xfId="1" applyNumberFormat="1" applyFont="1" applyBorder="1" applyAlignment="1">
      <alignment horizontal="center" wrapText="1"/>
    </xf>
    <xf numFmtId="253" fontId="1" fillId="82" borderId="55" xfId="1" applyNumberFormat="1" applyFont="1" applyFill="1" applyBorder="1" applyAlignment="1">
      <alignment horizontal="center" wrapText="1"/>
    </xf>
    <xf numFmtId="253" fontId="1" fillId="82" borderId="55" xfId="0" applyNumberFormat="1" applyFont="1" applyFill="1" applyBorder="1" applyAlignment="1">
      <alignment horizontal="center"/>
    </xf>
    <xf numFmtId="254" fontId="7" fillId="82" borderId="61" xfId="1" applyNumberFormat="1" applyFont="1" applyFill="1" applyBorder="1" applyAlignment="1">
      <alignment horizontal="center" wrapText="1"/>
    </xf>
    <xf numFmtId="254" fontId="7" fillId="82" borderId="40" xfId="1" applyNumberFormat="1" applyFont="1" applyFill="1" applyBorder="1" applyAlignment="1">
      <alignment horizontal="center" wrapText="1"/>
    </xf>
    <xf numFmtId="254" fontId="7" fillId="82" borderId="52" xfId="1" applyNumberFormat="1" applyFont="1" applyFill="1" applyBorder="1" applyAlignment="1">
      <alignment horizontal="center" wrapText="1"/>
    </xf>
    <xf numFmtId="0" fontId="7" fillId="82" borderId="61" xfId="0" applyFont="1" applyFill="1" applyBorder="1" applyAlignment="1">
      <alignment horizontal="center"/>
    </xf>
    <xf numFmtId="0" fontId="7" fillId="82" borderId="40" xfId="0" applyFont="1" applyFill="1" applyBorder="1" applyAlignment="1">
      <alignment horizontal="center"/>
    </xf>
    <xf numFmtId="1" fontId="7" fillId="82" borderId="40" xfId="3" applyNumberFormat="1" applyFill="1" applyBorder="1" applyAlignment="1">
      <alignment horizontal="center" wrapText="1"/>
    </xf>
    <xf numFmtId="1" fontId="7" fillId="82" borderId="55" xfId="3" applyNumberFormat="1" applyFill="1" applyBorder="1" applyAlignment="1">
      <alignment horizontal="center" wrapText="1"/>
    </xf>
    <xf numFmtId="253" fontId="1" fillId="0" borderId="55" xfId="1" applyNumberFormat="1" applyFont="1" applyBorder="1" applyAlignment="1">
      <alignment horizontal="center" wrapText="1"/>
    </xf>
    <xf numFmtId="253" fontId="1" fillId="0" borderId="56" xfId="1" applyNumberFormat="1" applyFont="1" applyBorder="1" applyAlignment="1">
      <alignment horizontal="center" wrapText="1"/>
    </xf>
    <xf numFmtId="1" fontId="7" fillId="0" borderId="47" xfId="3" applyNumberFormat="1" applyBorder="1" applyAlignment="1">
      <alignment horizontal="center" wrapText="1"/>
    </xf>
    <xf numFmtId="253" fontId="1" fillId="0" borderId="47" xfId="1" applyNumberFormat="1" applyFont="1" applyBorder="1" applyAlignment="1">
      <alignment horizontal="center" wrapText="1"/>
    </xf>
    <xf numFmtId="253" fontId="1" fillId="0" borderId="48" xfId="1" applyNumberFormat="1" applyFont="1" applyBorder="1" applyAlignment="1">
      <alignment horizontal="center" wrapText="1"/>
    </xf>
    <xf numFmtId="1" fontId="8" fillId="0" borderId="43" xfId="3" applyNumberFormat="1" applyFont="1" applyBorder="1" applyAlignment="1">
      <alignment horizontal="center" wrapText="1"/>
    </xf>
    <xf numFmtId="253" fontId="8" fillId="0" borderId="43" xfId="1" applyNumberFormat="1" applyFont="1" applyBorder="1" applyAlignment="1">
      <alignment horizontal="center" wrapText="1"/>
    </xf>
    <xf numFmtId="253" fontId="168" fillId="0" borderId="43" xfId="1" applyNumberFormat="1" applyFont="1" applyBorder="1" applyAlignment="1">
      <alignment horizontal="center" wrapText="1"/>
    </xf>
    <xf numFmtId="253" fontId="168" fillId="0" borderId="44" xfId="1" applyNumberFormat="1" applyFont="1" applyBorder="1" applyAlignment="1">
      <alignment horizontal="center" wrapText="1"/>
    </xf>
    <xf numFmtId="0" fontId="168" fillId="0" borderId="59" xfId="0" applyFont="1" applyBorder="1" applyAlignment="1">
      <alignment horizontal="left" vertical="center"/>
    </xf>
    <xf numFmtId="0" fontId="7" fillId="0" borderId="80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 wrapText="1"/>
    </xf>
    <xf numFmtId="0" fontId="7" fillId="0" borderId="49" xfId="1" applyFont="1" applyBorder="1" applyAlignment="1">
      <alignment horizontal="center" vertical="center" wrapText="1"/>
    </xf>
    <xf numFmtId="0" fontId="7" fillId="0" borderId="57" xfId="1" applyFont="1" applyBorder="1" applyAlignment="1">
      <alignment horizontal="center" vertical="center" wrapText="1"/>
    </xf>
    <xf numFmtId="0" fontId="8" fillId="0" borderId="35" xfId="1" applyFont="1" applyBorder="1" applyAlignment="1">
      <alignment horizontal="left" vertical="center" wrapText="1"/>
    </xf>
    <xf numFmtId="0" fontId="7" fillId="0" borderId="45" xfId="1" applyFont="1" applyBorder="1" applyAlignment="1">
      <alignment horizontal="left" vertical="center" wrapText="1"/>
    </xf>
    <xf numFmtId="0" fontId="8" fillId="0" borderId="86" xfId="1" applyFont="1" applyBorder="1" applyAlignment="1">
      <alignment horizontal="left" vertical="center" wrapText="1"/>
    </xf>
    <xf numFmtId="0" fontId="1" fillId="83" borderId="59" xfId="0" applyFont="1" applyFill="1" applyBorder="1"/>
    <xf numFmtId="254" fontId="7" fillId="82" borderId="62" xfId="1" applyNumberFormat="1" applyFont="1" applyFill="1" applyBorder="1" applyAlignment="1">
      <alignment horizontal="center" wrapText="1"/>
    </xf>
    <xf numFmtId="0" fontId="1" fillId="83" borderId="88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253" fontId="1" fillId="82" borderId="51" xfId="1" applyNumberFormat="1" applyFont="1" applyFill="1" applyBorder="1" applyAlignment="1">
      <alignment horizontal="center" wrapText="1"/>
    </xf>
    <xf numFmtId="253" fontId="1" fillId="82" borderId="52" xfId="1" applyNumberFormat="1" applyFont="1" applyFill="1" applyBorder="1" applyAlignment="1">
      <alignment horizontal="center" wrapText="1"/>
    </xf>
    <xf numFmtId="253" fontId="1" fillId="82" borderId="51" xfId="0" applyNumberFormat="1" applyFont="1" applyFill="1" applyBorder="1" applyAlignment="1">
      <alignment horizontal="center"/>
    </xf>
    <xf numFmtId="253" fontId="1" fillId="82" borderId="54" xfId="1" applyNumberFormat="1" applyFont="1" applyFill="1" applyBorder="1" applyAlignment="1">
      <alignment horizontal="center" wrapText="1"/>
    </xf>
    <xf numFmtId="1" fontId="1" fillId="82" borderId="55" xfId="3" applyNumberFormat="1" applyFont="1" applyFill="1" applyBorder="1" applyAlignment="1">
      <alignment horizontal="center" wrapText="1"/>
    </xf>
    <xf numFmtId="254" fontId="1" fillId="82" borderId="40" xfId="1" applyNumberFormat="1" applyFont="1" applyFill="1" applyBorder="1" applyAlignment="1">
      <alignment horizontal="center" wrapText="1"/>
    </xf>
    <xf numFmtId="254" fontId="1" fillId="82" borderId="52" xfId="1" applyNumberFormat="1" applyFont="1" applyFill="1" applyBorder="1" applyAlignment="1">
      <alignment horizontal="center" wrapText="1"/>
    </xf>
    <xf numFmtId="254" fontId="1" fillId="82" borderId="55" xfId="1" applyNumberFormat="1" applyFont="1" applyFill="1" applyBorder="1" applyAlignment="1">
      <alignment horizontal="center" wrapText="1"/>
    </xf>
    <xf numFmtId="254" fontId="1" fillId="82" borderId="56" xfId="1" applyNumberFormat="1" applyFont="1" applyFill="1" applyBorder="1" applyAlignment="1">
      <alignment horizontal="center" wrapText="1"/>
    </xf>
    <xf numFmtId="0" fontId="8" fillId="0" borderId="92" xfId="1" applyFont="1" applyBorder="1" applyAlignment="1">
      <alignment horizontal="center" vertical="center" wrapText="1"/>
    </xf>
    <xf numFmtId="3" fontId="8" fillId="0" borderId="39" xfId="1" applyNumberFormat="1" applyFont="1" applyBorder="1" applyAlignment="1">
      <alignment horizontal="center" wrapText="1"/>
    </xf>
    <xf numFmtId="1" fontId="7" fillId="0" borderId="39" xfId="3" applyNumberFormat="1" applyBorder="1" applyAlignment="1">
      <alignment horizontal="center" wrapText="1"/>
    </xf>
    <xf numFmtId="1" fontId="7" fillId="0" borderId="93" xfId="3" applyNumberFormat="1" applyBorder="1" applyAlignment="1">
      <alignment horizontal="center" wrapText="1"/>
    </xf>
    <xf numFmtId="254" fontId="168" fillId="0" borderId="92" xfId="1" applyNumberFormat="1" applyFont="1" applyBorder="1" applyAlignment="1">
      <alignment horizontal="center" wrapText="1"/>
    </xf>
    <xf numFmtId="0" fontId="168" fillId="0" borderId="43" xfId="0" applyFont="1" applyBorder="1" applyAlignment="1">
      <alignment horizontal="center" vertical="center"/>
    </xf>
    <xf numFmtId="0" fontId="168" fillId="0" borderId="43" xfId="0" applyFont="1" applyBorder="1" applyAlignment="1">
      <alignment horizontal="center" vertical="center" wrapText="1"/>
    </xf>
    <xf numFmtId="1" fontId="7" fillId="0" borderId="44" xfId="3" applyNumberFormat="1" applyBorder="1" applyAlignment="1">
      <alignment horizontal="center" vertical="center" wrapText="1"/>
    </xf>
    <xf numFmtId="167" fontId="8" fillId="0" borderId="80" xfId="1" applyNumberFormat="1" applyFont="1" applyBorder="1" applyAlignment="1">
      <alignment horizontal="center" vertical="center" wrapText="1"/>
    </xf>
    <xf numFmtId="167" fontId="8" fillId="0" borderId="43" xfId="1" applyNumberFormat="1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 shrinkToFit="1"/>
    </xf>
    <xf numFmtId="0" fontId="1" fillId="0" borderId="44" xfId="0" applyFont="1" applyBorder="1" applyAlignment="1">
      <alignment horizontal="center" vertical="center" wrapText="1" shrinkToFit="1"/>
    </xf>
    <xf numFmtId="1" fontId="1" fillId="82" borderId="40" xfId="3" applyNumberFormat="1" applyFont="1" applyFill="1" applyBorder="1" applyAlignment="1">
      <alignment horizontal="center" wrapText="1"/>
    </xf>
    <xf numFmtId="0" fontId="1" fillId="82" borderId="60" xfId="0" applyFont="1" applyFill="1" applyBorder="1" applyAlignment="1">
      <alignment horizontal="left"/>
    </xf>
    <xf numFmtId="3" fontId="1" fillId="82" borderId="61" xfId="0" applyNumberFormat="1" applyFont="1" applyFill="1" applyBorder="1" applyAlignment="1">
      <alignment horizontal="center"/>
    </xf>
    <xf numFmtId="0" fontId="1" fillId="82" borderId="51" xfId="0" applyFont="1" applyFill="1" applyBorder="1" applyAlignment="1">
      <alignment horizontal="left"/>
    </xf>
    <xf numFmtId="3" fontId="1" fillId="82" borderId="51" xfId="1" applyNumberFormat="1" applyFont="1" applyFill="1" applyBorder="1" applyAlignment="1">
      <alignment horizontal="left" vertical="center" wrapText="1"/>
    </xf>
    <xf numFmtId="0" fontId="8" fillId="82" borderId="61" xfId="1" applyFont="1" applyFill="1" applyBorder="1" applyAlignment="1">
      <alignment horizontal="center" wrapText="1"/>
    </xf>
    <xf numFmtId="0" fontId="7" fillId="82" borderId="61" xfId="1" applyFont="1" applyFill="1" applyBorder="1" applyAlignment="1">
      <alignment horizontal="center" wrapText="1"/>
    </xf>
    <xf numFmtId="0" fontId="8" fillId="82" borderId="40" xfId="1" applyFont="1" applyFill="1" applyBorder="1" applyAlignment="1">
      <alignment horizontal="center" wrapText="1"/>
    </xf>
    <xf numFmtId="3" fontId="1" fillId="82" borderId="40" xfId="1" applyNumberFormat="1" applyFont="1" applyFill="1" applyBorder="1" applyAlignment="1">
      <alignment horizontal="center" wrapText="1"/>
    </xf>
    <xf numFmtId="0" fontId="7" fillId="82" borderId="40" xfId="1" applyFont="1" applyFill="1" applyBorder="1" applyAlignment="1">
      <alignment horizontal="center" wrapText="1"/>
    </xf>
    <xf numFmtId="3" fontId="1" fillId="82" borderId="40" xfId="1" applyNumberFormat="1" applyFont="1" applyFill="1" applyBorder="1" applyAlignment="1">
      <alignment horizontal="center" vertical="center" wrapText="1"/>
    </xf>
    <xf numFmtId="0" fontId="1" fillId="82" borderId="54" xfId="0" applyFont="1" applyFill="1" applyBorder="1" applyAlignment="1">
      <alignment horizontal="left"/>
    </xf>
    <xf numFmtId="3" fontId="1" fillId="82" borderId="55" xfId="1" applyNumberFormat="1" applyFont="1" applyFill="1" applyBorder="1" applyAlignment="1">
      <alignment horizontal="center" vertical="center" wrapText="1"/>
    </xf>
    <xf numFmtId="3" fontId="1" fillId="82" borderId="55" xfId="1" applyNumberFormat="1" applyFont="1" applyFill="1" applyBorder="1" applyAlignment="1">
      <alignment horizontal="center" wrapText="1"/>
    </xf>
    <xf numFmtId="0" fontId="1" fillId="82" borderId="60" xfId="0" applyFont="1" applyFill="1" applyBorder="1" applyAlignment="1">
      <alignment horizontal="left" wrapText="1"/>
    </xf>
    <xf numFmtId="0" fontId="8" fillId="82" borderId="61" xfId="1" applyFont="1" applyFill="1" applyBorder="1" applyAlignment="1">
      <alignment horizontal="center" vertical="center" wrapText="1"/>
    </xf>
    <xf numFmtId="3" fontId="8" fillId="82" borderId="61" xfId="1" applyNumberFormat="1" applyFont="1" applyFill="1" applyBorder="1" applyAlignment="1">
      <alignment horizontal="center" wrapText="1"/>
    </xf>
    <xf numFmtId="252" fontId="7" fillId="82" borderId="61" xfId="3" applyNumberFormat="1" applyFill="1" applyBorder="1" applyAlignment="1">
      <alignment horizontal="center" wrapText="1"/>
    </xf>
    <xf numFmtId="1" fontId="7" fillId="82" borderId="61" xfId="3" applyNumberFormat="1" applyFill="1" applyBorder="1" applyAlignment="1">
      <alignment horizontal="center" wrapText="1"/>
    </xf>
    <xf numFmtId="0" fontId="1" fillId="82" borderId="51" xfId="0" applyFont="1" applyFill="1" applyBorder="1" applyAlignment="1">
      <alignment horizontal="left" wrapText="1"/>
    </xf>
    <xf numFmtId="0" fontId="8" fillId="82" borderId="40" xfId="1" applyFont="1" applyFill="1" applyBorder="1" applyAlignment="1">
      <alignment horizontal="center" vertical="center" wrapText="1"/>
    </xf>
    <xf numFmtId="3" fontId="8" fillId="82" borderId="40" xfId="1" applyNumberFormat="1" applyFont="1" applyFill="1" applyBorder="1" applyAlignment="1">
      <alignment horizontal="center" wrapText="1"/>
    </xf>
    <xf numFmtId="252" fontId="7" fillId="82" borderId="40" xfId="3" applyNumberFormat="1" applyFill="1" applyBorder="1" applyAlignment="1">
      <alignment horizontal="center" wrapText="1"/>
    </xf>
    <xf numFmtId="0" fontId="7" fillId="82" borderId="51" xfId="1" applyFont="1" applyFill="1" applyBorder="1" applyAlignment="1">
      <alignment horizontal="left" vertical="center" wrapText="1"/>
    </xf>
    <xf numFmtId="252" fontId="1" fillId="82" borderId="40" xfId="0" applyNumberFormat="1" applyFont="1" applyFill="1" applyBorder="1" applyAlignment="1">
      <alignment horizontal="center"/>
    </xf>
    <xf numFmtId="0" fontId="8" fillId="82" borderId="55" xfId="1" applyFont="1" applyFill="1" applyBorder="1" applyAlignment="1">
      <alignment horizontal="center" vertical="center" wrapText="1"/>
    </xf>
    <xf numFmtId="3" fontId="8" fillId="82" borderId="55" xfId="1" applyNumberFormat="1" applyFont="1" applyFill="1" applyBorder="1" applyAlignment="1">
      <alignment horizontal="center" wrapText="1"/>
    </xf>
    <xf numFmtId="252" fontId="7" fillId="82" borderId="55" xfId="3" applyNumberFormat="1" applyFill="1" applyBorder="1" applyAlignment="1">
      <alignment horizontal="center" wrapText="1"/>
    </xf>
    <xf numFmtId="0" fontId="1" fillId="82" borderId="89" xfId="0" applyFont="1" applyFill="1" applyBorder="1" applyAlignment="1">
      <alignment horizontal="center" vertical="center"/>
    </xf>
    <xf numFmtId="0" fontId="1" fillId="82" borderId="87" xfId="0" applyFont="1" applyFill="1" applyBorder="1" applyAlignment="1">
      <alignment horizontal="left"/>
    </xf>
    <xf numFmtId="0" fontId="1" fillId="82" borderId="90" xfId="0" applyFont="1" applyFill="1" applyBorder="1" applyAlignment="1">
      <alignment horizontal="center" vertical="center"/>
    </xf>
    <xf numFmtId="0" fontId="1" fillId="82" borderId="91" xfId="0" applyFont="1" applyFill="1" applyBorder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70" xfId="0" applyBorder="1" applyAlignment="1">
      <alignment horizontal="center"/>
    </xf>
  </cellXfs>
  <cellStyles count="28787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" xfId="0" builtinId="0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2" xfId="27298" xr:uid="{00000000-0005-0000-0000-00009E6A0000}"/>
    <cellStyle name="Обычный 11 2 2" xfId="27299" xr:uid="{00000000-0005-0000-0000-00009F6A0000}"/>
    <cellStyle name="Обычный 11 3" xfId="27300" xr:uid="{00000000-0005-0000-0000-0000A06A0000}"/>
    <cellStyle name="Обычный 11 4" xfId="27301" xr:uid="{00000000-0005-0000-0000-0000A16A0000}"/>
    <cellStyle name="Обычный 11 5" xfId="27302" xr:uid="{00000000-0005-0000-0000-0000A26A0000}"/>
    <cellStyle name="Обычный 12" xfId="27303" xr:uid="{00000000-0005-0000-0000-0000A36A0000}"/>
    <cellStyle name="Обычный 12 2" xfId="27304" xr:uid="{00000000-0005-0000-0000-0000A46A0000}"/>
    <cellStyle name="Обычный 12 2 2" xfId="27305" xr:uid="{00000000-0005-0000-0000-0000A56A0000}"/>
    <cellStyle name="Обычный 12 2 2 2" xfId="27306" xr:uid="{00000000-0005-0000-0000-0000A66A0000}"/>
    <cellStyle name="Обычный 12 2 2 3" xfId="27307" xr:uid="{00000000-0005-0000-0000-0000A76A0000}"/>
    <cellStyle name="Обычный 12 2 2_2013Прогноз" xfId="27308" xr:uid="{00000000-0005-0000-0000-0000A86A0000}"/>
    <cellStyle name="Обычный 12 2 3" xfId="27309" xr:uid="{00000000-0005-0000-0000-0000A96A0000}"/>
    <cellStyle name="Обычный 12 2 4" xfId="27310" xr:uid="{00000000-0005-0000-0000-0000AA6A0000}"/>
    <cellStyle name="Обычный 12 2 5" xfId="27311" xr:uid="{00000000-0005-0000-0000-0000AB6A0000}"/>
    <cellStyle name="Обычный 12 2_2013Прогноз" xfId="27312" xr:uid="{00000000-0005-0000-0000-0000AC6A0000}"/>
    <cellStyle name="Обычный 12 3" xfId="27313" xr:uid="{00000000-0005-0000-0000-0000AD6A0000}"/>
    <cellStyle name="Обычный 12 3 2" xfId="27314" xr:uid="{00000000-0005-0000-0000-0000AE6A0000}"/>
    <cellStyle name="Обычный 12 3 3" xfId="27315" xr:uid="{00000000-0005-0000-0000-0000AF6A0000}"/>
    <cellStyle name="Обычный 12 3 4" xfId="27316" xr:uid="{00000000-0005-0000-0000-0000B06A0000}"/>
    <cellStyle name="Обычный 12 3_2013Прогноз" xfId="27317" xr:uid="{00000000-0005-0000-0000-0000B16A0000}"/>
    <cellStyle name="Обычный 12 4" xfId="27318" xr:uid="{00000000-0005-0000-0000-0000B26A0000}"/>
    <cellStyle name="Обычный 12 4 2" xfId="27319" xr:uid="{00000000-0005-0000-0000-0000B36A0000}"/>
    <cellStyle name="Обычный 12 5" xfId="27320" xr:uid="{00000000-0005-0000-0000-0000B46A0000}"/>
    <cellStyle name="Обычный 12 6" xfId="27321" xr:uid="{00000000-0005-0000-0000-0000B56A0000}"/>
    <cellStyle name="Обычный 12_2013Прогноз" xfId="27322" xr:uid="{00000000-0005-0000-0000-0000B66A0000}"/>
    <cellStyle name="Обычный 13" xfId="27323" xr:uid="{00000000-0005-0000-0000-0000B76A0000}"/>
    <cellStyle name="Обычный 13 2" xfId="27324" xr:uid="{00000000-0005-0000-0000-0000B86A0000}"/>
    <cellStyle name="Обычный 13 3" xfId="27325" xr:uid="{00000000-0005-0000-0000-0000B96A0000}"/>
    <cellStyle name="Обычный 13 4" xfId="1" xr:uid="{00000000-0005-0000-0000-0000BA6A0000}"/>
    <cellStyle name="Обычный 14" xfId="27326" xr:uid="{00000000-0005-0000-0000-0000BB6A0000}"/>
    <cellStyle name="Обычный 14 2" xfId="27327" xr:uid="{00000000-0005-0000-0000-0000BC6A0000}"/>
    <cellStyle name="Обычный 14 3" xfId="27328" xr:uid="{00000000-0005-0000-0000-0000BD6A0000}"/>
    <cellStyle name="Обычный 15" xfId="27329" xr:uid="{00000000-0005-0000-0000-0000BE6A0000}"/>
    <cellStyle name="Обычный 15 2" xfId="27330" xr:uid="{00000000-0005-0000-0000-0000BF6A0000}"/>
    <cellStyle name="Обычный 15 2 2" xfId="27331" xr:uid="{00000000-0005-0000-0000-0000C06A0000}"/>
    <cellStyle name="Обычный 15 3" xfId="27332" xr:uid="{00000000-0005-0000-0000-0000C16A0000}"/>
    <cellStyle name="Обычный 15 3 2" xfId="27333" xr:uid="{00000000-0005-0000-0000-0000C26A0000}"/>
    <cellStyle name="Обычный 15 4" xfId="27334" xr:uid="{00000000-0005-0000-0000-0000C36A0000}"/>
    <cellStyle name="Обычный 15_2014БП" xfId="27335" xr:uid="{00000000-0005-0000-0000-0000C46A0000}"/>
    <cellStyle name="Обычный 16" xfId="27336" xr:uid="{00000000-0005-0000-0000-0000C56A0000}"/>
    <cellStyle name="Обычный 16 2" xfId="27337" xr:uid="{00000000-0005-0000-0000-0000C66A0000}"/>
    <cellStyle name="Обычный 16 3" xfId="27338" xr:uid="{00000000-0005-0000-0000-0000C76A0000}"/>
    <cellStyle name="Обычный 16 4" xfId="27339" xr:uid="{00000000-0005-0000-0000-0000C86A0000}"/>
    <cellStyle name="Обычный 16 5" xfId="27340" xr:uid="{00000000-0005-0000-0000-0000C96A0000}"/>
    <cellStyle name="Обычный 16 6" xfId="27341" xr:uid="{00000000-0005-0000-0000-0000CA6A0000}"/>
    <cellStyle name="Обычный 17" xfId="27342" xr:uid="{00000000-0005-0000-0000-0000CB6A0000}"/>
    <cellStyle name="Обычный 17 2" xfId="27343" xr:uid="{00000000-0005-0000-0000-0000CC6A0000}"/>
    <cellStyle name="Обычный 17 2 2" xfId="27344" xr:uid="{00000000-0005-0000-0000-0000CD6A0000}"/>
    <cellStyle name="Обычный 17 2 3" xfId="27345" xr:uid="{00000000-0005-0000-0000-0000CE6A0000}"/>
    <cellStyle name="Обычный 17 2 4" xfId="27346" xr:uid="{00000000-0005-0000-0000-0000CF6A0000}"/>
    <cellStyle name="Обычный 17 2 5" xfId="27347" xr:uid="{00000000-0005-0000-0000-0000D06A0000}"/>
    <cellStyle name="Обычный 17 3" xfId="27348" xr:uid="{00000000-0005-0000-0000-0000D16A0000}"/>
    <cellStyle name="Обычный 17 4" xfId="27349" xr:uid="{00000000-0005-0000-0000-0000D26A0000}"/>
    <cellStyle name="Обычный 17 5" xfId="27350" xr:uid="{00000000-0005-0000-0000-0000D36A0000}"/>
    <cellStyle name="Обычный 17 6" xfId="27351" xr:uid="{00000000-0005-0000-0000-0000D46A0000}"/>
    <cellStyle name="Обычный 17 7" xfId="27352" xr:uid="{00000000-0005-0000-0000-0000D56A0000}"/>
    <cellStyle name="Обычный 18" xfId="27353" xr:uid="{00000000-0005-0000-0000-0000D66A0000}"/>
    <cellStyle name="Обычный 18 2" xfId="27354" xr:uid="{00000000-0005-0000-0000-0000D76A0000}"/>
    <cellStyle name="Обычный 18 3" xfId="27355" xr:uid="{00000000-0005-0000-0000-0000D86A0000}"/>
    <cellStyle name="Обычный 19" xfId="27356" xr:uid="{00000000-0005-0000-0000-0000D96A0000}"/>
    <cellStyle name="Обычный 19 2" xfId="27357" xr:uid="{00000000-0005-0000-0000-0000DA6A0000}"/>
    <cellStyle name="Обычный 19 3" xfId="27358" xr:uid="{00000000-0005-0000-0000-0000DB6A0000}"/>
    <cellStyle name="Обычный 19 4" xfId="27359" xr:uid="{00000000-0005-0000-0000-0000DC6A0000}"/>
    <cellStyle name="Обычный 2" xfId="27360" xr:uid="{00000000-0005-0000-0000-0000DD6A0000}"/>
    <cellStyle name="Обычный 2 10" xfId="27361" xr:uid="{00000000-0005-0000-0000-0000DE6A0000}"/>
    <cellStyle name="Обычный 2 11" xfId="27362" xr:uid="{00000000-0005-0000-0000-0000DF6A0000}"/>
    <cellStyle name="Обычный 2 12" xfId="27363" xr:uid="{00000000-0005-0000-0000-0000E06A0000}"/>
    <cellStyle name="Обычный 2 16" xfId="27364" xr:uid="{00000000-0005-0000-0000-0000E16A0000}"/>
    <cellStyle name="Обычный 2 16 2" xfId="27365" xr:uid="{00000000-0005-0000-0000-0000E26A0000}"/>
    <cellStyle name="Обычный 2 16_Анализ МТР к СБП" xfId="27366" xr:uid="{00000000-0005-0000-0000-0000E36A0000}"/>
    <cellStyle name="Обычный 2 2" xfId="27367" xr:uid="{00000000-0005-0000-0000-0000E46A0000}"/>
    <cellStyle name="Обычный 2 2 10" xfId="27368" xr:uid="{00000000-0005-0000-0000-0000E56A0000}"/>
    <cellStyle name="Обычный 2 2 2" xfId="27369" xr:uid="{00000000-0005-0000-0000-0000E66A0000}"/>
    <cellStyle name="Обычный 2 2 2 2" xfId="27370" xr:uid="{00000000-0005-0000-0000-0000E76A0000}"/>
    <cellStyle name="Обычный 2 2 2 3" xfId="27371" xr:uid="{00000000-0005-0000-0000-0000E86A0000}"/>
    <cellStyle name="Обычный 2 2 2_2013Прогноз" xfId="27372" xr:uid="{00000000-0005-0000-0000-0000E96A0000}"/>
    <cellStyle name="Обычный 2 2 3" xfId="27373" xr:uid="{00000000-0005-0000-0000-0000EA6A0000}"/>
    <cellStyle name="Обычный 2 2 3 2" xfId="27374" xr:uid="{00000000-0005-0000-0000-0000EB6A0000}"/>
    <cellStyle name="Обычный 2 2 4" xfId="27375" xr:uid="{00000000-0005-0000-0000-0000EC6A0000}"/>
    <cellStyle name="Обычный 2 2 4 2" xfId="27376" xr:uid="{00000000-0005-0000-0000-0000ED6A0000}"/>
    <cellStyle name="Обычный 2 2 5" xfId="27377" xr:uid="{00000000-0005-0000-0000-0000EE6A0000}"/>
    <cellStyle name="Обычный 2 2 6" xfId="27378" xr:uid="{00000000-0005-0000-0000-0000EF6A0000}"/>
    <cellStyle name="Обычный 2 2 7" xfId="27379" xr:uid="{00000000-0005-0000-0000-0000F06A0000}"/>
    <cellStyle name="Обычный 2 2 8" xfId="27380" xr:uid="{00000000-0005-0000-0000-0000F16A0000}"/>
    <cellStyle name="Обычный 2 2 9" xfId="27381" xr:uid="{00000000-0005-0000-0000-0000F26A0000}"/>
    <cellStyle name="Обычный 2 2_2014БП" xfId="27382" xr:uid="{00000000-0005-0000-0000-0000F36A0000}"/>
    <cellStyle name="Обычный 2 3" xfId="27383" xr:uid="{00000000-0005-0000-0000-0000F46A0000}"/>
    <cellStyle name="Обычный 2 3 10" xfId="27384" xr:uid="{00000000-0005-0000-0000-0000F56A0000}"/>
    <cellStyle name="Обычный 2 3 11" xfId="27385" xr:uid="{00000000-0005-0000-0000-0000F66A0000}"/>
    <cellStyle name="Обычный 2 3 2" xfId="27386" xr:uid="{00000000-0005-0000-0000-0000F76A0000}"/>
    <cellStyle name="Обычный 2 3 2 2" xfId="27387" xr:uid="{00000000-0005-0000-0000-0000F86A0000}"/>
    <cellStyle name="Обычный 2 3 2 3" xfId="27388" xr:uid="{00000000-0005-0000-0000-0000F96A0000}"/>
    <cellStyle name="Обычный 2 3 2 4" xfId="27389" xr:uid="{00000000-0005-0000-0000-0000FA6A0000}"/>
    <cellStyle name="Обычный 2 3 2_2013Прогноз" xfId="27390" xr:uid="{00000000-0005-0000-0000-0000FB6A0000}"/>
    <cellStyle name="Обычный 2 3 3" xfId="27391" xr:uid="{00000000-0005-0000-0000-0000FC6A0000}"/>
    <cellStyle name="Обычный 2 3 3 2" xfId="27392" xr:uid="{00000000-0005-0000-0000-0000FD6A0000}"/>
    <cellStyle name="Обычный 2 3 3 3" xfId="27393" xr:uid="{00000000-0005-0000-0000-0000FE6A0000}"/>
    <cellStyle name="Обычный 2 3 3_2013Прогноз" xfId="27394" xr:uid="{00000000-0005-0000-0000-0000FF6A0000}"/>
    <cellStyle name="Обычный 2 3 4" xfId="27395" xr:uid="{00000000-0005-0000-0000-0000006B0000}"/>
    <cellStyle name="Обычный 2 3 4 2" xfId="27396" xr:uid="{00000000-0005-0000-0000-0000016B0000}"/>
    <cellStyle name="Обычный 2 3 4_2013Прогноз" xfId="27397" xr:uid="{00000000-0005-0000-0000-0000026B0000}"/>
    <cellStyle name="Обычный 2 3 5" xfId="27398" xr:uid="{00000000-0005-0000-0000-0000036B0000}"/>
    <cellStyle name="Обычный 2 3 6" xfId="27399" xr:uid="{00000000-0005-0000-0000-0000046B0000}"/>
    <cellStyle name="Обычный 2 3 7" xfId="27400" xr:uid="{00000000-0005-0000-0000-0000056B0000}"/>
    <cellStyle name="Обычный 2 3 8" xfId="27401" xr:uid="{00000000-0005-0000-0000-0000066B0000}"/>
    <cellStyle name="Обычный 2 3 9" xfId="27402" xr:uid="{00000000-0005-0000-0000-0000076B0000}"/>
    <cellStyle name="Обычный 2 3_2014БП" xfId="27403" xr:uid="{00000000-0005-0000-0000-0000086B0000}"/>
    <cellStyle name="Обычный 2 4" xfId="27404" xr:uid="{00000000-0005-0000-0000-0000096B0000}"/>
    <cellStyle name="Обычный 2 4 2" xfId="27405" xr:uid="{00000000-0005-0000-0000-00000A6B0000}"/>
    <cellStyle name="Обычный 2 4 3" xfId="27406" xr:uid="{00000000-0005-0000-0000-00000B6B0000}"/>
    <cellStyle name="Обычный 2 4 4" xfId="27407" xr:uid="{00000000-0005-0000-0000-00000C6B0000}"/>
    <cellStyle name="Обычный 2 4 5" xfId="27408" xr:uid="{00000000-0005-0000-0000-00000D6B0000}"/>
    <cellStyle name="Обычный 2 4 6" xfId="27409" xr:uid="{00000000-0005-0000-0000-00000E6B0000}"/>
    <cellStyle name="Обычный 2 4 7" xfId="27410" xr:uid="{00000000-0005-0000-0000-00000F6B0000}"/>
    <cellStyle name="Обычный 2 5" xfId="27411" xr:uid="{00000000-0005-0000-0000-0000106B0000}"/>
    <cellStyle name="Обычный 2 5 2" xfId="27412" xr:uid="{00000000-0005-0000-0000-0000116B0000}"/>
    <cellStyle name="Обычный 2 5 3" xfId="27413" xr:uid="{00000000-0005-0000-0000-0000126B0000}"/>
    <cellStyle name="Обычный 2 6" xfId="27414" xr:uid="{00000000-0005-0000-0000-0000136B0000}"/>
    <cellStyle name="Обычный 2 6 2" xfId="27415" xr:uid="{00000000-0005-0000-0000-0000146B0000}"/>
    <cellStyle name="Обычный 2 6 3" xfId="27416" xr:uid="{00000000-0005-0000-0000-0000156B0000}"/>
    <cellStyle name="Обычный 2 6 4" xfId="27417" xr:uid="{00000000-0005-0000-0000-0000166B0000}"/>
    <cellStyle name="Обычный 2 6_2013Прогноз" xfId="27418" xr:uid="{00000000-0005-0000-0000-0000176B0000}"/>
    <cellStyle name="Обычный 2 7" xfId="27419" xr:uid="{00000000-0005-0000-0000-0000186B0000}"/>
    <cellStyle name="Обычный 2 8" xfId="27420" xr:uid="{00000000-0005-0000-0000-0000196B0000}"/>
    <cellStyle name="Обычный 2 9" xfId="27421" xr:uid="{00000000-0005-0000-0000-00001A6B0000}"/>
    <cellStyle name="Обычный 2_2012Прогноз" xfId="27422" xr:uid="{00000000-0005-0000-0000-00001B6B0000}"/>
    <cellStyle name="Обычный 20" xfId="27423" xr:uid="{00000000-0005-0000-0000-00001C6B0000}"/>
    <cellStyle name="Обычный 20 2" xfId="27424" xr:uid="{00000000-0005-0000-0000-00001D6B0000}"/>
    <cellStyle name="Обычный 20 3" xfId="27425" xr:uid="{00000000-0005-0000-0000-00001E6B0000}"/>
    <cellStyle name="Обычный 21" xfId="27426" xr:uid="{00000000-0005-0000-0000-00001F6B0000}"/>
    <cellStyle name="Обычный 21 2" xfId="27427" xr:uid="{00000000-0005-0000-0000-0000206B0000}"/>
    <cellStyle name="Обычный 21 3" xfId="27428" xr:uid="{00000000-0005-0000-0000-0000216B0000}"/>
    <cellStyle name="Обычный 22" xfId="27429" xr:uid="{00000000-0005-0000-0000-0000226B0000}"/>
    <cellStyle name="Обычный 22 2" xfId="27430" xr:uid="{00000000-0005-0000-0000-0000236B0000}"/>
    <cellStyle name="Обычный 22 3" xfId="27431" xr:uid="{00000000-0005-0000-0000-0000246B0000}"/>
    <cellStyle name="Обычный 22 4" xfId="27432" xr:uid="{00000000-0005-0000-0000-0000256B0000}"/>
    <cellStyle name="Обычный 22 5" xfId="27433" xr:uid="{00000000-0005-0000-0000-0000266B0000}"/>
    <cellStyle name="Обычный 22 6" xfId="27434" xr:uid="{00000000-0005-0000-0000-0000276B0000}"/>
    <cellStyle name="Обычный 23" xfId="27435" xr:uid="{00000000-0005-0000-0000-0000286B0000}"/>
    <cellStyle name="Обычный 23 2" xfId="27436" xr:uid="{00000000-0005-0000-0000-0000296B0000}"/>
    <cellStyle name="Обычный 23 2 2" xfId="27437" xr:uid="{00000000-0005-0000-0000-00002A6B0000}"/>
    <cellStyle name="Обычный 23 2 3" xfId="27438" xr:uid="{00000000-0005-0000-0000-00002B6B0000}"/>
    <cellStyle name="Обычный 23 2_2013Прогноз" xfId="27439" xr:uid="{00000000-0005-0000-0000-00002C6B0000}"/>
    <cellStyle name="Обычный 23 3" xfId="27440" xr:uid="{00000000-0005-0000-0000-00002D6B0000}"/>
    <cellStyle name="Обычный 23 4" xfId="27441" xr:uid="{00000000-0005-0000-0000-00002E6B0000}"/>
    <cellStyle name="Обычный 23 5" xfId="27442" xr:uid="{00000000-0005-0000-0000-00002F6B0000}"/>
    <cellStyle name="Обычный 23_2013Прогноз" xfId="27443" xr:uid="{00000000-0005-0000-0000-0000306B0000}"/>
    <cellStyle name="Обычный 24" xfId="27444" xr:uid="{00000000-0005-0000-0000-0000316B0000}"/>
    <cellStyle name="Обычный 24 10" xfId="27445" xr:uid="{00000000-0005-0000-0000-0000326B0000}"/>
    <cellStyle name="Обычный 24 11" xfId="27446" xr:uid="{00000000-0005-0000-0000-0000336B0000}"/>
    <cellStyle name="Обычный 24 2" xfId="27447" xr:uid="{00000000-0005-0000-0000-0000346B0000}"/>
    <cellStyle name="Обычный 24 2 2" xfId="27448" xr:uid="{00000000-0005-0000-0000-0000356B0000}"/>
    <cellStyle name="Обычный 24 2 3" xfId="27449" xr:uid="{00000000-0005-0000-0000-0000366B0000}"/>
    <cellStyle name="Обычный 24 2_2013Прогноз" xfId="27450" xr:uid="{00000000-0005-0000-0000-0000376B0000}"/>
    <cellStyle name="Обычный 24 3" xfId="27451" xr:uid="{00000000-0005-0000-0000-0000386B0000}"/>
    <cellStyle name="Обычный 24 4" xfId="27452" xr:uid="{00000000-0005-0000-0000-0000396B0000}"/>
    <cellStyle name="Обычный 24 5" xfId="27453" xr:uid="{00000000-0005-0000-0000-00003A6B0000}"/>
    <cellStyle name="Обычный 24 6" xfId="27454" xr:uid="{00000000-0005-0000-0000-00003B6B0000}"/>
    <cellStyle name="Обычный 24 7" xfId="27455" xr:uid="{00000000-0005-0000-0000-00003C6B0000}"/>
    <cellStyle name="Обычный 24 8" xfId="27456" xr:uid="{00000000-0005-0000-0000-00003D6B0000}"/>
    <cellStyle name="Обычный 24 9" xfId="27457" xr:uid="{00000000-0005-0000-0000-00003E6B0000}"/>
    <cellStyle name="Обычный 24_2013Прогноз" xfId="27458" xr:uid="{00000000-0005-0000-0000-00003F6B0000}"/>
    <cellStyle name="Обычный 25" xfId="27459" xr:uid="{00000000-0005-0000-0000-0000406B0000}"/>
    <cellStyle name="Обычный 25 2" xfId="27460" xr:uid="{00000000-0005-0000-0000-0000416B0000}"/>
    <cellStyle name="Обычный 25 3" xfId="27461" xr:uid="{00000000-0005-0000-0000-0000426B0000}"/>
    <cellStyle name="Обычный 25_2013Прогноз" xfId="27462" xr:uid="{00000000-0005-0000-0000-0000436B0000}"/>
    <cellStyle name="Обычный 26" xfId="27463" xr:uid="{00000000-0005-0000-0000-0000446B0000}"/>
    <cellStyle name="Обычный 27" xfId="27464" xr:uid="{00000000-0005-0000-0000-0000456B0000}"/>
    <cellStyle name="Обычный 28" xfId="27465" xr:uid="{00000000-0005-0000-0000-0000466B0000}"/>
    <cellStyle name="Обычный 29" xfId="27466" xr:uid="{00000000-0005-0000-0000-0000476B0000}"/>
    <cellStyle name="Обычный 3" xfId="27467" xr:uid="{00000000-0005-0000-0000-0000486B0000}"/>
    <cellStyle name="Обычный 3 10" xfId="27468" xr:uid="{00000000-0005-0000-0000-0000496B0000}"/>
    <cellStyle name="Обычный 3 11" xfId="27469" xr:uid="{00000000-0005-0000-0000-00004A6B0000}"/>
    <cellStyle name="Обычный 3 12" xfId="27470" xr:uid="{00000000-0005-0000-0000-00004B6B0000}"/>
    <cellStyle name="Обычный 3 13" xfId="27471" xr:uid="{00000000-0005-0000-0000-00004C6B0000}"/>
    <cellStyle name="Обычный 3 2" xfId="27472" xr:uid="{00000000-0005-0000-0000-00004D6B0000}"/>
    <cellStyle name="Обычный 3 2 2" xfId="27473" xr:uid="{00000000-0005-0000-0000-00004E6B0000}"/>
    <cellStyle name="Обычный 3 2 2 2" xfId="27474" xr:uid="{00000000-0005-0000-0000-00004F6B0000}"/>
    <cellStyle name="Обычный 3 2 2 3" xfId="27475" xr:uid="{00000000-0005-0000-0000-0000506B0000}"/>
    <cellStyle name="Обычный 3 2 2_2013Прогноз" xfId="27476" xr:uid="{00000000-0005-0000-0000-0000516B0000}"/>
    <cellStyle name="Обычный 3 2 3" xfId="27477" xr:uid="{00000000-0005-0000-0000-0000526B0000}"/>
    <cellStyle name="Обычный 3 2 3 2" xfId="27478" xr:uid="{00000000-0005-0000-0000-0000536B0000}"/>
    <cellStyle name="Обычный 3 2 4" xfId="27479" xr:uid="{00000000-0005-0000-0000-0000546B0000}"/>
    <cellStyle name="Обычный 3 2 5" xfId="27480" xr:uid="{00000000-0005-0000-0000-0000556B0000}"/>
    <cellStyle name="Обычный 3 2 6" xfId="27481" xr:uid="{00000000-0005-0000-0000-0000566B0000}"/>
    <cellStyle name="Обычный 3 2 7" xfId="27482" xr:uid="{00000000-0005-0000-0000-0000576B0000}"/>
    <cellStyle name="Обычный 3 2 8" xfId="27483" xr:uid="{00000000-0005-0000-0000-0000586B0000}"/>
    <cellStyle name="Обычный 3 2_2013Прогноз" xfId="27484" xr:uid="{00000000-0005-0000-0000-0000596B0000}"/>
    <cellStyle name="Обычный 3 3" xfId="27485" xr:uid="{00000000-0005-0000-0000-00005A6B0000}"/>
    <cellStyle name="Обычный 3 3 2" xfId="27486" xr:uid="{00000000-0005-0000-0000-00005B6B0000}"/>
    <cellStyle name="Обычный 3 3 3" xfId="27487" xr:uid="{00000000-0005-0000-0000-00005C6B0000}"/>
    <cellStyle name="Обычный 3 4" xfId="27488" xr:uid="{00000000-0005-0000-0000-00005D6B0000}"/>
    <cellStyle name="Обычный 3 4 2" xfId="27489" xr:uid="{00000000-0005-0000-0000-00005E6B0000}"/>
    <cellStyle name="Обычный 3 5" xfId="27490" xr:uid="{00000000-0005-0000-0000-00005F6B0000}"/>
    <cellStyle name="Обычный 3 6" xfId="27491" xr:uid="{00000000-0005-0000-0000-0000606B0000}"/>
    <cellStyle name="Обычный 3 7" xfId="27492" xr:uid="{00000000-0005-0000-0000-0000616B0000}"/>
    <cellStyle name="Обычный 3 8" xfId="27493" xr:uid="{00000000-0005-0000-0000-0000626B0000}"/>
    <cellStyle name="Обычный 3 9" xfId="27494" xr:uid="{00000000-0005-0000-0000-0000636B0000}"/>
    <cellStyle name="Обычный 3_2014БП" xfId="27495" xr:uid="{00000000-0005-0000-0000-0000646B0000}"/>
    <cellStyle name="Обычный 30" xfId="27496" xr:uid="{00000000-0005-0000-0000-0000656B0000}"/>
    <cellStyle name="Обычный 31" xfId="27497" xr:uid="{00000000-0005-0000-0000-0000666B0000}"/>
    <cellStyle name="Обычный 32" xfId="27498" xr:uid="{00000000-0005-0000-0000-0000676B0000}"/>
    <cellStyle name="Обычный 33" xfId="27499" xr:uid="{00000000-0005-0000-0000-0000686B0000}"/>
    <cellStyle name="Обычный 34" xfId="27500" xr:uid="{00000000-0005-0000-0000-0000696B0000}"/>
    <cellStyle name="Обычный 35" xfId="27501" xr:uid="{00000000-0005-0000-0000-00006A6B0000}"/>
    <cellStyle name="Обычный 36" xfId="27502" xr:uid="{00000000-0005-0000-0000-00006B6B0000}"/>
    <cellStyle name="Обычный 37" xfId="27503" xr:uid="{00000000-0005-0000-0000-00006C6B0000}"/>
    <cellStyle name="Обычный 38" xfId="27504" xr:uid="{00000000-0005-0000-0000-00006D6B0000}"/>
    <cellStyle name="Обычный 39" xfId="27505" xr:uid="{00000000-0005-0000-0000-00006E6B0000}"/>
    <cellStyle name="Обычный 4" xfId="27506" xr:uid="{00000000-0005-0000-0000-00006F6B0000}"/>
    <cellStyle name="Обычный 4 10" xfId="27507" xr:uid="{00000000-0005-0000-0000-0000706B0000}"/>
    <cellStyle name="Обычный 4 11" xfId="27508" xr:uid="{00000000-0005-0000-0000-0000716B0000}"/>
    <cellStyle name="Обычный 4 12" xfId="27509" xr:uid="{00000000-0005-0000-0000-0000726B0000}"/>
    <cellStyle name="Обычный 4 13" xfId="27510" xr:uid="{00000000-0005-0000-0000-0000736B0000}"/>
    <cellStyle name="Обычный 4 14" xfId="27511" xr:uid="{00000000-0005-0000-0000-0000746B0000}"/>
    <cellStyle name="Обычный 4 2" xfId="27512" xr:uid="{00000000-0005-0000-0000-0000756B0000}"/>
    <cellStyle name="Обычный 4 2 2" xfId="27513" xr:uid="{00000000-0005-0000-0000-0000766B0000}"/>
    <cellStyle name="Обычный 4 2 2 2" xfId="27514" xr:uid="{00000000-0005-0000-0000-0000776B0000}"/>
    <cellStyle name="Обычный 4 2 2 2 2" xfId="27515" xr:uid="{00000000-0005-0000-0000-0000786B0000}"/>
    <cellStyle name="Обычный 4 2 2 2 2 2" xfId="27516" xr:uid="{00000000-0005-0000-0000-0000796B0000}"/>
    <cellStyle name="Обычный 4 2 2 2 2 2 2" xfId="27517" xr:uid="{00000000-0005-0000-0000-00007A6B0000}"/>
    <cellStyle name="Обычный 4 2 2 2 2 2 3" xfId="27518" xr:uid="{00000000-0005-0000-0000-00007B6B0000}"/>
    <cellStyle name="Обычный 4 2 2 2 2 2_2013Прогноз" xfId="27519" xr:uid="{00000000-0005-0000-0000-00007C6B0000}"/>
    <cellStyle name="Обычный 4 2 2 2 2 3" xfId="27520" xr:uid="{00000000-0005-0000-0000-00007D6B0000}"/>
    <cellStyle name="Обычный 4 2 2 2 2 4" xfId="27521" xr:uid="{00000000-0005-0000-0000-00007E6B0000}"/>
    <cellStyle name="Обычный 4 2 2 2 2_2013Прогноз" xfId="27522" xr:uid="{00000000-0005-0000-0000-00007F6B0000}"/>
    <cellStyle name="Обычный 4 2 2 2 3" xfId="27523" xr:uid="{00000000-0005-0000-0000-0000806B0000}"/>
    <cellStyle name="Обычный 4 2 2 2 3 2" xfId="27524" xr:uid="{00000000-0005-0000-0000-0000816B0000}"/>
    <cellStyle name="Обычный 4 2 2 2 3 3" xfId="27525" xr:uid="{00000000-0005-0000-0000-0000826B0000}"/>
    <cellStyle name="Обычный 4 2 2 2 3_2013Прогноз" xfId="27526" xr:uid="{00000000-0005-0000-0000-0000836B0000}"/>
    <cellStyle name="Обычный 4 2 2 2 4" xfId="27527" xr:uid="{00000000-0005-0000-0000-0000846B0000}"/>
    <cellStyle name="Обычный 4 2 2 2 5" xfId="27528" xr:uid="{00000000-0005-0000-0000-0000856B0000}"/>
    <cellStyle name="Обычный 4 2 2 2_2013Прогноз" xfId="27529" xr:uid="{00000000-0005-0000-0000-0000866B0000}"/>
    <cellStyle name="Обычный 4 2 2 3" xfId="27530" xr:uid="{00000000-0005-0000-0000-0000876B0000}"/>
    <cellStyle name="Обычный 4 2 2 3 2" xfId="27531" xr:uid="{00000000-0005-0000-0000-0000886B0000}"/>
    <cellStyle name="Обычный 4 2 2 3 2 2" xfId="27532" xr:uid="{00000000-0005-0000-0000-0000896B0000}"/>
    <cellStyle name="Обычный 4 2 2 3 2 3" xfId="27533" xr:uid="{00000000-0005-0000-0000-00008A6B0000}"/>
    <cellStyle name="Обычный 4 2 2 3 2_2013Прогноз" xfId="27534" xr:uid="{00000000-0005-0000-0000-00008B6B0000}"/>
    <cellStyle name="Обычный 4 2 2 3 3" xfId="27535" xr:uid="{00000000-0005-0000-0000-00008C6B0000}"/>
    <cellStyle name="Обычный 4 2 2 3 4" xfId="27536" xr:uid="{00000000-0005-0000-0000-00008D6B0000}"/>
    <cellStyle name="Обычный 4 2 2 3_2013Прогноз" xfId="27537" xr:uid="{00000000-0005-0000-0000-00008E6B0000}"/>
    <cellStyle name="Обычный 4 2 2 4" xfId="27538" xr:uid="{00000000-0005-0000-0000-00008F6B0000}"/>
    <cellStyle name="Обычный 4 2 2 4 2" xfId="27539" xr:uid="{00000000-0005-0000-0000-0000906B0000}"/>
    <cellStyle name="Обычный 4 2 2 4 3" xfId="27540" xr:uid="{00000000-0005-0000-0000-0000916B0000}"/>
    <cellStyle name="Обычный 4 2 2 4_2013Прогноз" xfId="27541" xr:uid="{00000000-0005-0000-0000-0000926B0000}"/>
    <cellStyle name="Обычный 4 2 2 5" xfId="27542" xr:uid="{00000000-0005-0000-0000-0000936B0000}"/>
    <cellStyle name="Обычный 4 2 2 6" xfId="27543" xr:uid="{00000000-0005-0000-0000-0000946B0000}"/>
    <cellStyle name="Обычный 4 2 2 7" xfId="27544" xr:uid="{00000000-0005-0000-0000-0000956B0000}"/>
    <cellStyle name="Обычный 4 2 2_2013Прогноз" xfId="27545" xr:uid="{00000000-0005-0000-0000-0000966B0000}"/>
    <cellStyle name="Обычный 4 2 3" xfId="27546" xr:uid="{00000000-0005-0000-0000-0000976B0000}"/>
    <cellStyle name="Обычный 4 2 3 2" xfId="27547" xr:uid="{00000000-0005-0000-0000-0000986B0000}"/>
    <cellStyle name="Обычный 4 2 3 2 2" xfId="27548" xr:uid="{00000000-0005-0000-0000-0000996B0000}"/>
    <cellStyle name="Обычный 4 2 3 2 2 2" xfId="27549" xr:uid="{00000000-0005-0000-0000-00009A6B0000}"/>
    <cellStyle name="Обычный 4 2 3 2 2 3" xfId="27550" xr:uid="{00000000-0005-0000-0000-00009B6B0000}"/>
    <cellStyle name="Обычный 4 2 3 2 2_2013Прогноз" xfId="27551" xr:uid="{00000000-0005-0000-0000-00009C6B0000}"/>
    <cellStyle name="Обычный 4 2 3 2 3" xfId="27552" xr:uid="{00000000-0005-0000-0000-00009D6B0000}"/>
    <cellStyle name="Обычный 4 2 3 2 4" xfId="27553" xr:uid="{00000000-0005-0000-0000-00009E6B0000}"/>
    <cellStyle name="Обычный 4 2 3 2_2013Прогноз" xfId="27554" xr:uid="{00000000-0005-0000-0000-00009F6B0000}"/>
    <cellStyle name="Обычный 4 2 3 3" xfId="27555" xr:uid="{00000000-0005-0000-0000-0000A06B0000}"/>
    <cellStyle name="Обычный 4 2 3 3 2" xfId="27556" xr:uid="{00000000-0005-0000-0000-0000A16B0000}"/>
    <cellStyle name="Обычный 4 2 3 3 3" xfId="27557" xr:uid="{00000000-0005-0000-0000-0000A26B0000}"/>
    <cellStyle name="Обычный 4 2 3 3_2013Прогноз" xfId="27558" xr:uid="{00000000-0005-0000-0000-0000A36B0000}"/>
    <cellStyle name="Обычный 4 2 3 4" xfId="27559" xr:uid="{00000000-0005-0000-0000-0000A46B0000}"/>
    <cellStyle name="Обычный 4 2 3 5" xfId="27560" xr:uid="{00000000-0005-0000-0000-0000A56B0000}"/>
    <cellStyle name="Обычный 4 2 3_2013Прогноз" xfId="27561" xr:uid="{00000000-0005-0000-0000-0000A66B0000}"/>
    <cellStyle name="Обычный 4 2 4" xfId="27562" xr:uid="{00000000-0005-0000-0000-0000A76B0000}"/>
    <cellStyle name="Обычный 4 3" xfId="27563" xr:uid="{00000000-0005-0000-0000-0000A86B0000}"/>
    <cellStyle name="Обычный 4 3 2" xfId="27564" xr:uid="{00000000-0005-0000-0000-0000A96B0000}"/>
    <cellStyle name="Обычный 4 3 2 2" xfId="27565" xr:uid="{00000000-0005-0000-0000-0000AA6B0000}"/>
    <cellStyle name="Обычный 4 3 2 2 2" xfId="27566" xr:uid="{00000000-0005-0000-0000-0000AB6B0000}"/>
    <cellStyle name="Обычный 4 3 2 2 2 2" xfId="27567" xr:uid="{00000000-0005-0000-0000-0000AC6B0000}"/>
    <cellStyle name="Обычный 4 3 2 2 2 3" xfId="27568" xr:uid="{00000000-0005-0000-0000-0000AD6B0000}"/>
    <cellStyle name="Обычный 4 3 2 2 2_2013Прогноз" xfId="27569" xr:uid="{00000000-0005-0000-0000-0000AE6B0000}"/>
    <cellStyle name="Обычный 4 3 2 2 3" xfId="27570" xr:uid="{00000000-0005-0000-0000-0000AF6B0000}"/>
    <cellStyle name="Обычный 4 3 2 2 4" xfId="27571" xr:uid="{00000000-0005-0000-0000-0000B06B0000}"/>
    <cellStyle name="Обычный 4 3 2 2_2013Прогноз" xfId="27572" xr:uid="{00000000-0005-0000-0000-0000B16B0000}"/>
    <cellStyle name="Обычный 4 3 2 3" xfId="27573" xr:uid="{00000000-0005-0000-0000-0000B26B0000}"/>
    <cellStyle name="Обычный 4 3 2 3 2" xfId="27574" xr:uid="{00000000-0005-0000-0000-0000B36B0000}"/>
    <cellStyle name="Обычный 4 3 2 3 3" xfId="27575" xr:uid="{00000000-0005-0000-0000-0000B46B0000}"/>
    <cellStyle name="Обычный 4 3 2 3_2013Прогноз" xfId="27576" xr:uid="{00000000-0005-0000-0000-0000B56B0000}"/>
    <cellStyle name="Обычный 4 3 2 4" xfId="27577" xr:uid="{00000000-0005-0000-0000-0000B66B0000}"/>
    <cellStyle name="Обычный 4 3 2 5" xfId="27578" xr:uid="{00000000-0005-0000-0000-0000B76B0000}"/>
    <cellStyle name="Обычный 4 3 2_2013Прогноз" xfId="27579" xr:uid="{00000000-0005-0000-0000-0000B86B0000}"/>
    <cellStyle name="Обычный 4 3 3" xfId="27580" xr:uid="{00000000-0005-0000-0000-0000B96B0000}"/>
    <cellStyle name="Обычный 4 3_2014БП" xfId="27581" xr:uid="{00000000-0005-0000-0000-0000BA6B0000}"/>
    <cellStyle name="Обычный 4 4" xfId="27582" xr:uid="{00000000-0005-0000-0000-0000BB6B0000}"/>
    <cellStyle name="Обычный 4 4 2" xfId="27583" xr:uid="{00000000-0005-0000-0000-0000BC6B0000}"/>
    <cellStyle name="Обычный 4 4 2 2" xfId="27584" xr:uid="{00000000-0005-0000-0000-0000BD6B0000}"/>
    <cellStyle name="Обычный 4 4 2 2 2" xfId="27585" xr:uid="{00000000-0005-0000-0000-0000BE6B0000}"/>
    <cellStyle name="Обычный 4 4 2 2 2 2" xfId="27586" xr:uid="{00000000-0005-0000-0000-0000BF6B0000}"/>
    <cellStyle name="Обычный 4 4 2 2 2 3" xfId="27587" xr:uid="{00000000-0005-0000-0000-0000C06B0000}"/>
    <cellStyle name="Обычный 4 4 2 2 2_2013Прогноз" xfId="27588" xr:uid="{00000000-0005-0000-0000-0000C16B0000}"/>
    <cellStyle name="Обычный 4 4 2 2 3" xfId="27589" xr:uid="{00000000-0005-0000-0000-0000C26B0000}"/>
    <cellStyle name="Обычный 4 4 2 2 4" xfId="27590" xr:uid="{00000000-0005-0000-0000-0000C36B0000}"/>
    <cellStyle name="Обычный 4 4 2 2_2013Прогноз" xfId="27591" xr:uid="{00000000-0005-0000-0000-0000C46B0000}"/>
    <cellStyle name="Обычный 4 4 2 3" xfId="27592" xr:uid="{00000000-0005-0000-0000-0000C56B0000}"/>
    <cellStyle name="Обычный 4 4 2 3 2" xfId="27593" xr:uid="{00000000-0005-0000-0000-0000C66B0000}"/>
    <cellStyle name="Обычный 4 4 2 3 3" xfId="27594" xr:uid="{00000000-0005-0000-0000-0000C76B0000}"/>
    <cellStyle name="Обычный 4 4 2 3_2013Прогноз" xfId="27595" xr:uid="{00000000-0005-0000-0000-0000C86B0000}"/>
    <cellStyle name="Обычный 4 4 2 4" xfId="27596" xr:uid="{00000000-0005-0000-0000-0000C96B0000}"/>
    <cellStyle name="Обычный 4 4 2 5" xfId="27597" xr:uid="{00000000-0005-0000-0000-0000CA6B0000}"/>
    <cellStyle name="Обычный 4 4 2_2013Прогноз" xfId="27598" xr:uid="{00000000-0005-0000-0000-0000CB6B0000}"/>
    <cellStyle name="Обычный 4 4 3" xfId="27599" xr:uid="{00000000-0005-0000-0000-0000CC6B0000}"/>
    <cellStyle name="Обычный 4 4 3 2" xfId="27600" xr:uid="{00000000-0005-0000-0000-0000CD6B0000}"/>
    <cellStyle name="Обычный 4 4 3 2 2" xfId="27601" xr:uid="{00000000-0005-0000-0000-0000CE6B0000}"/>
    <cellStyle name="Обычный 4 4 3 2 3" xfId="27602" xr:uid="{00000000-0005-0000-0000-0000CF6B0000}"/>
    <cellStyle name="Обычный 4 4 3 2_2013Прогноз" xfId="27603" xr:uid="{00000000-0005-0000-0000-0000D06B0000}"/>
    <cellStyle name="Обычный 4 4 3 3" xfId="27604" xr:uid="{00000000-0005-0000-0000-0000D16B0000}"/>
    <cellStyle name="Обычный 4 4 3 4" xfId="27605" xr:uid="{00000000-0005-0000-0000-0000D26B0000}"/>
    <cellStyle name="Обычный 4 4 3_2013Прогноз" xfId="27606" xr:uid="{00000000-0005-0000-0000-0000D36B0000}"/>
    <cellStyle name="Обычный 4 4 4" xfId="27607" xr:uid="{00000000-0005-0000-0000-0000D46B0000}"/>
    <cellStyle name="Обычный 4 4 4 2" xfId="27608" xr:uid="{00000000-0005-0000-0000-0000D56B0000}"/>
    <cellStyle name="Обычный 4 4 4 3" xfId="27609" xr:uid="{00000000-0005-0000-0000-0000D66B0000}"/>
    <cellStyle name="Обычный 4 4 4_2013Прогноз" xfId="27610" xr:uid="{00000000-0005-0000-0000-0000D76B0000}"/>
    <cellStyle name="Обычный 4 4 5" xfId="27611" xr:uid="{00000000-0005-0000-0000-0000D86B0000}"/>
    <cellStyle name="Обычный 4 4 6" xfId="27612" xr:uid="{00000000-0005-0000-0000-0000D96B0000}"/>
    <cellStyle name="Обычный 4 4 7" xfId="27613" xr:uid="{00000000-0005-0000-0000-0000DA6B0000}"/>
    <cellStyle name="Обычный 4 4_2013Прогноз" xfId="27614" xr:uid="{00000000-0005-0000-0000-0000DB6B0000}"/>
    <cellStyle name="Обычный 4 5" xfId="27615" xr:uid="{00000000-0005-0000-0000-0000DC6B0000}"/>
    <cellStyle name="Обычный 4 5 2" xfId="27616" xr:uid="{00000000-0005-0000-0000-0000DD6B0000}"/>
    <cellStyle name="Обычный 4 5 2 2" xfId="27617" xr:uid="{00000000-0005-0000-0000-0000DE6B0000}"/>
    <cellStyle name="Обычный 4 5 2 2 2" xfId="27618" xr:uid="{00000000-0005-0000-0000-0000DF6B0000}"/>
    <cellStyle name="Обычный 4 5 2 2 2 2" xfId="27619" xr:uid="{00000000-0005-0000-0000-0000E06B0000}"/>
    <cellStyle name="Обычный 4 5 2 2 2 3" xfId="27620" xr:uid="{00000000-0005-0000-0000-0000E16B0000}"/>
    <cellStyle name="Обычный 4 5 2 2 2_2013Прогноз" xfId="27621" xr:uid="{00000000-0005-0000-0000-0000E26B0000}"/>
    <cellStyle name="Обычный 4 5 2 2 3" xfId="27622" xr:uid="{00000000-0005-0000-0000-0000E36B0000}"/>
    <cellStyle name="Обычный 4 5 2 2 4" xfId="27623" xr:uid="{00000000-0005-0000-0000-0000E46B0000}"/>
    <cellStyle name="Обычный 4 5 2 2_2013Прогноз" xfId="27624" xr:uid="{00000000-0005-0000-0000-0000E56B0000}"/>
    <cellStyle name="Обычный 4 5 2 3" xfId="27625" xr:uid="{00000000-0005-0000-0000-0000E66B0000}"/>
    <cellStyle name="Обычный 4 5 2 3 2" xfId="27626" xr:uid="{00000000-0005-0000-0000-0000E76B0000}"/>
    <cellStyle name="Обычный 4 5 2 3 3" xfId="27627" xr:uid="{00000000-0005-0000-0000-0000E86B0000}"/>
    <cellStyle name="Обычный 4 5 2 3_2013Прогноз" xfId="27628" xr:uid="{00000000-0005-0000-0000-0000E96B0000}"/>
    <cellStyle name="Обычный 4 5 2 4" xfId="27629" xr:uid="{00000000-0005-0000-0000-0000EA6B0000}"/>
    <cellStyle name="Обычный 4 5 2 5" xfId="27630" xr:uid="{00000000-0005-0000-0000-0000EB6B0000}"/>
    <cellStyle name="Обычный 4 5 2_2013Прогноз" xfId="27631" xr:uid="{00000000-0005-0000-0000-0000EC6B0000}"/>
    <cellStyle name="Обычный 4 5 3" xfId="27632" xr:uid="{00000000-0005-0000-0000-0000ED6B0000}"/>
    <cellStyle name="Обычный 4 5 3 2" xfId="27633" xr:uid="{00000000-0005-0000-0000-0000EE6B0000}"/>
    <cellStyle name="Обычный 4 5 3 2 2" xfId="27634" xr:uid="{00000000-0005-0000-0000-0000EF6B0000}"/>
    <cellStyle name="Обычный 4 5 3 2 3" xfId="27635" xr:uid="{00000000-0005-0000-0000-0000F06B0000}"/>
    <cellStyle name="Обычный 4 5 3 2_2013Прогноз" xfId="27636" xr:uid="{00000000-0005-0000-0000-0000F16B0000}"/>
    <cellStyle name="Обычный 4 5 3 3" xfId="27637" xr:uid="{00000000-0005-0000-0000-0000F26B0000}"/>
    <cellStyle name="Обычный 4 5 3 4" xfId="27638" xr:uid="{00000000-0005-0000-0000-0000F36B0000}"/>
    <cellStyle name="Обычный 4 5 3_2013Прогноз" xfId="27639" xr:uid="{00000000-0005-0000-0000-0000F46B0000}"/>
    <cellStyle name="Обычный 4 5 4" xfId="27640" xr:uid="{00000000-0005-0000-0000-0000F56B0000}"/>
    <cellStyle name="Обычный 4 5 4 2" xfId="27641" xr:uid="{00000000-0005-0000-0000-0000F66B0000}"/>
    <cellStyle name="Обычный 4 5 4 3" xfId="27642" xr:uid="{00000000-0005-0000-0000-0000F76B0000}"/>
    <cellStyle name="Обычный 4 5 4_2013Прогноз" xfId="27643" xr:uid="{00000000-0005-0000-0000-0000F86B0000}"/>
    <cellStyle name="Обычный 4 5 5" xfId="27644" xr:uid="{00000000-0005-0000-0000-0000F96B0000}"/>
    <cellStyle name="Обычный 4 5 6" xfId="27645" xr:uid="{00000000-0005-0000-0000-0000FA6B0000}"/>
    <cellStyle name="Обычный 4 5 7" xfId="27646" xr:uid="{00000000-0005-0000-0000-0000FB6B0000}"/>
    <cellStyle name="Обычный 4 5_2013Прогноз" xfId="27647" xr:uid="{00000000-0005-0000-0000-0000FC6B0000}"/>
    <cellStyle name="Обычный 4 6" xfId="27648" xr:uid="{00000000-0005-0000-0000-0000FD6B0000}"/>
    <cellStyle name="Обычный 4 6 2" xfId="27649" xr:uid="{00000000-0005-0000-0000-0000FE6B0000}"/>
    <cellStyle name="Обычный 4 7" xfId="27650" xr:uid="{00000000-0005-0000-0000-0000FF6B0000}"/>
    <cellStyle name="Обычный 4 7 2" xfId="27651" xr:uid="{00000000-0005-0000-0000-0000006C0000}"/>
    <cellStyle name="Обычный 4 7 2 2" xfId="27652" xr:uid="{00000000-0005-0000-0000-0000016C0000}"/>
    <cellStyle name="Обычный 4 7 2 2 2" xfId="27653" xr:uid="{00000000-0005-0000-0000-0000026C0000}"/>
    <cellStyle name="Обычный 4 7 2 2 3" xfId="27654" xr:uid="{00000000-0005-0000-0000-0000036C0000}"/>
    <cellStyle name="Обычный 4 7 2 2_2013Прогноз" xfId="27655" xr:uid="{00000000-0005-0000-0000-0000046C0000}"/>
    <cellStyle name="Обычный 4 7 2 3" xfId="27656" xr:uid="{00000000-0005-0000-0000-0000056C0000}"/>
    <cellStyle name="Обычный 4 7 2 4" xfId="27657" xr:uid="{00000000-0005-0000-0000-0000066C0000}"/>
    <cellStyle name="Обычный 4 7 2_2013Прогноз" xfId="27658" xr:uid="{00000000-0005-0000-0000-0000076C0000}"/>
    <cellStyle name="Обычный 4 7 3" xfId="27659" xr:uid="{00000000-0005-0000-0000-0000086C0000}"/>
    <cellStyle name="Обычный 4 7 3 2" xfId="27660" xr:uid="{00000000-0005-0000-0000-0000096C0000}"/>
    <cellStyle name="Обычный 4 7 3 3" xfId="27661" xr:uid="{00000000-0005-0000-0000-00000A6C0000}"/>
    <cellStyle name="Обычный 4 7 3_2013Прогноз" xfId="27662" xr:uid="{00000000-0005-0000-0000-00000B6C0000}"/>
    <cellStyle name="Обычный 4 7 4" xfId="27663" xr:uid="{00000000-0005-0000-0000-00000C6C0000}"/>
    <cellStyle name="Обычный 4 7 5" xfId="27664" xr:uid="{00000000-0005-0000-0000-00000D6C0000}"/>
    <cellStyle name="Обычный 4 7_2013Прогноз" xfId="27665" xr:uid="{00000000-0005-0000-0000-00000E6C0000}"/>
    <cellStyle name="Обычный 4 8" xfId="27666" xr:uid="{00000000-0005-0000-0000-00000F6C0000}"/>
    <cellStyle name="Обычный 4 8 2" xfId="27667" xr:uid="{00000000-0005-0000-0000-0000106C0000}"/>
    <cellStyle name="Обычный 4 8 2 2" xfId="27668" xr:uid="{00000000-0005-0000-0000-0000116C0000}"/>
    <cellStyle name="Обычный 4 8 2 2 2" xfId="27669" xr:uid="{00000000-0005-0000-0000-0000126C0000}"/>
    <cellStyle name="Обычный 4 8 2 2 3" xfId="27670" xr:uid="{00000000-0005-0000-0000-0000136C0000}"/>
    <cellStyle name="Обычный 4 8 2 2_2013Прогноз" xfId="27671" xr:uid="{00000000-0005-0000-0000-0000146C0000}"/>
    <cellStyle name="Обычный 4 8 2 3" xfId="27672" xr:uid="{00000000-0005-0000-0000-0000156C0000}"/>
    <cellStyle name="Обычный 4 8 2 4" xfId="27673" xr:uid="{00000000-0005-0000-0000-0000166C0000}"/>
    <cellStyle name="Обычный 4 8 2_2013Прогноз" xfId="27674" xr:uid="{00000000-0005-0000-0000-0000176C0000}"/>
    <cellStyle name="Обычный 4 8 3" xfId="27675" xr:uid="{00000000-0005-0000-0000-0000186C0000}"/>
    <cellStyle name="Обычный 4 8 3 2" xfId="27676" xr:uid="{00000000-0005-0000-0000-0000196C0000}"/>
    <cellStyle name="Обычный 4 8 3 3" xfId="27677" xr:uid="{00000000-0005-0000-0000-00001A6C0000}"/>
    <cellStyle name="Обычный 4 8 3_2013Прогноз" xfId="27678" xr:uid="{00000000-0005-0000-0000-00001B6C0000}"/>
    <cellStyle name="Обычный 4 8 4" xfId="27679" xr:uid="{00000000-0005-0000-0000-00001C6C0000}"/>
    <cellStyle name="Обычный 4 8 5" xfId="27680" xr:uid="{00000000-0005-0000-0000-00001D6C0000}"/>
    <cellStyle name="Обычный 4 8_2013Прогноз" xfId="27681" xr:uid="{00000000-0005-0000-0000-00001E6C0000}"/>
    <cellStyle name="Обычный 4 9" xfId="27682" xr:uid="{00000000-0005-0000-0000-00001F6C0000}"/>
    <cellStyle name="Обычный 4_2014БП" xfId="27683" xr:uid="{00000000-0005-0000-0000-0000206C0000}"/>
    <cellStyle name="Обычный 40" xfId="27684" xr:uid="{00000000-0005-0000-0000-0000216C0000}"/>
    <cellStyle name="Обычный 41" xfId="27685" xr:uid="{00000000-0005-0000-0000-0000226C0000}"/>
    <cellStyle name="Обычный 42" xfId="27686" xr:uid="{00000000-0005-0000-0000-0000236C0000}"/>
    <cellStyle name="Обычный 43" xfId="27687" xr:uid="{00000000-0005-0000-0000-0000246C0000}"/>
    <cellStyle name="Обычный 44" xfId="27688" xr:uid="{00000000-0005-0000-0000-0000256C0000}"/>
    <cellStyle name="Обычный 45" xfId="27689" xr:uid="{00000000-0005-0000-0000-0000266C0000}"/>
    <cellStyle name="Обычный 46" xfId="27690" xr:uid="{00000000-0005-0000-0000-0000276C0000}"/>
    <cellStyle name="Обычный 47" xfId="27691" xr:uid="{00000000-0005-0000-0000-0000286C0000}"/>
    <cellStyle name="Обычный 48" xfId="27692" xr:uid="{00000000-0005-0000-0000-0000296C0000}"/>
    <cellStyle name="Обычный 49" xfId="27693" xr:uid="{00000000-0005-0000-0000-00002A6C0000}"/>
    <cellStyle name="Обычный 5" xfId="27694" xr:uid="{00000000-0005-0000-0000-00002B6C0000}"/>
    <cellStyle name="Обычный 5 10" xfId="27695" xr:uid="{00000000-0005-0000-0000-00002C6C0000}"/>
    <cellStyle name="Обычный 5 2" xfId="27696" xr:uid="{00000000-0005-0000-0000-00002D6C0000}"/>
    <cellStyle name="Обычный 5 2 2" xfId="27697" xr:uid="{00000000-0005-0000-0000-00002E6C0000}"/>
    <cellStyle name="Обычный 5 3" xfId="27698" xr:uid="{00000000-0005-0000-0000-00002F6C0000}"/>
    <cellStyle name="Обычный 5 3 2" xfId="27699" xr:uid="{00000000-0005-0000-0000-0000306C0000}"/>
    <cellStyle name="Обычный 5 4" xfId="27700" xr:uid="{00000000-0005-0000-0000-0000316C0000}"/>
    <cellStyle name="Обычный 5 4 2" xfId="27701" xr:uid="{00000000-0005-0000-0000-0000326C0000}"/>
    <cellStyle name="Обычный 5 5" xfId="27702" xr:uid="{00000000-0005-0000-0000-0000336C0000}"/>
    <cellStyle name="Обычный 5 5 2" xfId="27703" xr:uid="{00000000-0005-0000-0000-0000346C0000}"/>
    <cellStyle name="Обычный 5 6" xfId="27704" xr:uid="{00000000-0005-0000-0000-0000356C0000}"/>
    <cellStyle name="Обычный 5 6 2" xfId="27705" xr:uid="{00000000-0005-0000-0000-0000366C0000}"/>
    <cellStyle name="Обычный 5 7" xfId="27706" xr:uid="{00000000-0005-0000-0000-0000376C0000}"/>
    <cellStyle name="Обычный 5 8" xfId="27707" xr:uid="{00000000-0005-0000-0000-0000386C0000}"/>
    <cellStyle name="Обычный 5 9" xfId="27708" xr:uid="{00000000-0005-0000-0000-0000396C0000}"/>
    <cellStyle name="Обычный 5_2014БП" xfId="27709" xr:uid="{00000000-0005-0000-0000-00003A6C0000}"/>
    <cellStyle name="Обычный 50" xfId="27710" xr:uid="{00000000-0005-0000-0000-00003B6C0000}"/>
    <cellStyle name="Обычный 51" xfId="27711" xr:uid="{00000000-0005-0000-0000-00003C6C0000}"/>
    <cellStyle name="Обычный 52" xfId="27712" xr:uid="{00000000-0005-0000-0000-00003D6C0000}"/>
    <cellStyle name="Обычный 53" xfId="27713" xr:uid="{00000000-0005-0000-0000-00003E6C0000}"/>
    <cellStyle name="Обычный 54" xfId="27714" xr:uid="{00000000-0005-0000-0000-00003F6C0000}"/>
    <cellStyle name="Обычный 55" xfId="27715" xr:uid="{00000000-0005-0000-0000-0000406C0000}"/>
    <cellStyle name="Обычный 56" xfId="27716" xr:uid="{00000000-0005-0000-0000-0000416C0000}"/>
    <cellStyle name="Обычный 57" xfId="27717" xr:uid="{00000000-0005-0000-0000-0000426C0000}"/>
    <cellStyle name="Обычный 58" xfId="27718" xr:uid="{00000000-0005-0000-0000-0000436C0000}"/>
    <cellStyle name="Обычный 59" xfId="27719" xr:uid="{00000000-0005-0000-0000-0000446C0000}"/>
    <cellStyle name="Обычный 6" xfId="27720" xr:uid="{00000000-0005-0000-0000-0000456C0000}"/>
    <cellStyle name="Обычный 6 10" xfId="27721" xr:uid="{00000000-0005-0000-0000-0000466C0000}"/>
    <cellStyle name="Обычный 6 11" xfId="27722" xr:uid="{00000000-0005-0000-0000-0000476C0000}"/>
    <cellStyle name="Обычный 6 12" xfId="27723" xr:uid="{00000000-0005-0000-0000-0000486C0000}"/>
    <cellStyle name="Обычный 6 13" xfId="27724" xr:uid="{00000000-0005-0000-0000-0000496C0000}"/>
    <cellStyle name="Обычный 6 2" xfId="27725" xr:uid="{00000000-0005-0000-0000-00004A6C0000}"/>
    <cellStyle name="Обычный 6 2 10" xfId="27726" xr:uid="{00000000-0005-0000-0000-00004B6C0000}"/>
    <cellStyle name="Обычный 6 2 11" xfId="27727" xr:uid="{00000000-0005-0000-0000-00004C6C0000}"/>
    <cellStyle name="Обычный 6 2 2" xfId="27728" xr:uid="{00000000-0005-0000-0000-00004D6C0000}"/>
    <cellStyle name="Обычный 6 2 2 2" xfId="27729" xr:uid="{00000000-0005-0000-0000-00004E6C0000}"/>
    <cellStyle name="Обычный 6 2 2 2 2" xfId="27730" xr:uid="{00000000-0005-0000-0000-00004F6C0000}"/>
    <cellStyle name="Обычный 6 2 2 2 2 2" xfId="27731" xr:uid="{00000000-0005-0000-0000-0000506C0000}"/>
    <cellStyle name="Обычный 6 2 2 2 2 3" xfId="27732" xr:uid="{00000000-0005-0000-0000-0000516C0000}"/>
    <cellStyle name="Обычный 6 2 2 2 2_2013Прогноз" xfId="27733" xr:uid="{00000000-0005-0000-0000-0000526C0000}"/>
    <cellStyle name="Обычный 6 2 2 2 3" xfId="27734" xr:uid="{00000000-0005-0000-0000-0000536C0000}"/>
    <cellStyle name="Обычный 6 2 2 2 4" xfId="27735" xr:uid="{00000000-0005-0000-0000-0000546C0000}"/>
    <cellStyle name="Обычный 6 2 2 2_2013Прогноз" xfId="27736" xr:uid="{00000000-0005-0000-0000-0000556C0000}"/>
    <cellStyle name="Обычный 6 2 2 3" xfId="27737" xr:uid="{00000000-0005-0000-0000-0000566C0000}"/>
    <cellStyle name="Обычный 6 2 2 3 2" xfId="27738" xr:uid="{00000000-0005-0000-0000-0000576C0000}"/>
    <cellStyle name="Обычный 6 2 2 3 3" xfId="27739" xr:uid="{00000000-0005-0000-0000-0000586C0000}"/>
    <cellStyle name="Обычный 6 2 2 3_2013Прогноз" xfId="27740" xr:uid="{00000000-0005-0000-0000-0000596C0000}"/>
    <cellStyle name="Обычный 6 2 2 4" xfId="27741" xr:uid="{00000000-0005-0000-0000-00005A6C0000}"/>
    <cellStyle name="Обычный 6 2 2 5" xfId="27742" xr:uid="{00000000-0005-0000-0000-00005B6C0000}"/>
    <cellStyle name="Обычный 6 2 2_2013Прогноз" xfId="27743" xr:uid="{00000000-0005-0000-0000-00005C6C0000}"/>
    <cellStyle name="Обычный 6 2 3" xfId="27744" xr:uid="{00000000-0005-0000-0000-00005D6C0000}"/>
    <cellStyle name="Обычный 6 2 3 2" xfId="27745" xr:uid="{00000000-0005-0000-0000-00005E6C0000}"/>
    <cellStyle name="Обычный 6 2 3 2 2" xfId="27746" xr:uid="{00000000-0005-0000-0000-00005F6C0000}"/>
    <cellStyle name="Обычный 6 2 3 2 3" xfId="27747" xr:uid="{00000000-0005-0000-0000-0000606C0000}"/>
    <cellStyle name="Обычный 6 2 3 2_2013Прогноз" xfId="27748" xr:uid="{00000000-0005-0000-0000-0000616C0000}"/>
    <cellStyle name="Обычный 6 2 3 3" xfId="27749" xr:uid="{00000000-0005-0000-0000-0000626C0000}"/>
    <cellStyle name="Обычный 6 2 3 4" xfId="27750" xr:uid="{00000000-0005-0000-0000-0000636C0000}"/>
    <cellStyle name="Обычный 6 2 3_2013Прогноз" xfId="27751" xr:uid="{00000000-0005-0000-0000-0000646C0000}"/>
    <cellStyle name="Обычный 6 2 4" xfId="27752" xr:uid="{00000000-0005-0000-0000-0000656C0000}"/>
    <cellStyle name="Обычный 6 2 4 2" xfId="27753" xr:uid="{00000000-0005-0000-0000-0000666C0000}"/>
    <cellStyle name="Обычный 6 2 4 3" xfId="27754" xr:uid="{00000000-0005-0000-0000-0000676C0000}"/>
    <cellStyle name="Обычный 6 2 4_2013Прогноз" xfId="27755" xr:uid="{00000000-0005-0000-0000-0000686C0000}"/>
    <cellStyle name="Обычный 6 2 5" xfId="27756" xr:uid="{00000000-0005-0000-0000-0000696C0000}"/>
    <cellStyle name="Обычный 6 2 6" xfId="27757" xr:uid="{00000000-0005-0000-0000-00006A6C0000}"/>
    <cellStyle name="Обычный 6 2 7" xfId="27758" xr:uid="{00000000-0005-0000-0000-00006B6C0000}"/>
    <cellStyle name="Обычный 6 2 8" xfId="27759" xr:uid="{00000000-0005-0000-0000-00006C6C0000}"/>
    <cellStyle name="Обычный 6 2 9" xfId="27760" xr:uid="{00000000-0005-0000-0000-00006D6C0000}"/>
    <cellStyle name="Обычный 6 2_2013Прогноз" xfId="27761" xr:uid="{00000000-0005-0000-0000-00006E6C0000}"/>
    <cellStyle name="Обычный 6 3" xfId="27762" xr:uid="{00000000-0005-0000-0000-00006F6C0000}"/>
    <cellStyle name="Обычный 6 3 2" xfId="27763" xr:uid="{00000000-0005-0000-0000-0000706C0000}"/>
    <cellStyle name="Обычный 6 3 3" xfId="27764" xr:uid="{00000000-0005-0000-0000-0000716C0000}"/>
    <cellStyle name="Обычный 6 3 3 2" xfId="27765" xr:uid="{00000000-0005-0000-0000-0000726C0000}"/>
    <cellStyle name="Обычный 6 3 3 2 2" xfId="27766" xr:uid="{00000000-0005-0000-0000-0000736C0000}"/>
    <cellStyle name="Обычный 6 3 3 2 3" xfId="27767" xr:uid="{00000000-0005-0000-0000-0000746C0000}"/>
    <cellStyle name="Обычный 6 3 3 2_2013Прогноз" xfId="27768" xr:uid="{00000000-0005-0000-0000-0000756C0000}"/>
    <cellStyle name="Обычный 6 3 3 3" xfId="27769" xr:uid="{00000000-0005-0000-0000-0000766C0000}"/>
    <cellStyle name="Обычный 6 3 3 4" xfId="27770" xr:uid="{00000000-0005-0000-0000-0000776C0000}"/>
    <cellStyle name="Обычный 6 3 3_2013Прогноз" xfId="27771" xr:uid="{00000000-0005-0000-0000-0000786C0000}"/>
    <cellStyle name="Обычный 6 3 4" xfId="27772" xr:uid="{00000000-0005-0000-0000-0000796C0000}"/>
    <cellStyle name="Обычный 6 3 4 2" xfId="27773" xr:uid="{00000000-0005-0000-0000-00007A6C0000}"/>
    <cellStyle name="Обычный 6 3 4 3" xfId="27774" xr:uid="{00000000-0005-0000-0000-00007B6C0000}"/>
    <cellStyle name="Обычный 6 3 4_2013Прогноз" xfId="27775" xr:uid="{00000000-0005-0000-0000-00007C6C0000}"/>
    <cellStyle name="Обычный 6 3 5" xfId="27776" xr:uid="{00000000-0005-0000-0000-00007D6C0000}"/>
    <cellStyle name="Обычный 6 3 6" xfId="27777" xr:uid="{00000000-0005-0000-0000-00007E6C0000}"/>
    <cellStyle name="Обычный 6 3_2013Прогноз" xfId="27778" xr:uid="{00000000-0005-0000-0000-00007F6C0000}"/>
    <cellStyle name="Обычный 6 4" xfId="27779" xr:uid="{00000000-0005-0000-0000-0000806C0000}"/>
    <cellStyle name="Обычный 6 4 2" xfId="27780" xr:uid="{00000000-0005-0000-0000-0000816C0000}"/>
    <cellStyle name="Обычный 6 4 2 2" xfId="27781" xr:uid="{00000000-0005-0000-0000-0000826C0000}"/>
    <cellStyle name="Обычный 6 4 2 2 2" xfId="27782" xr:uid="{00000000-0005-0000-0000-0000836C0000}"/>
    <cellStyle name="Обычный 6 4 2 2 3" xfId="27783" xr:uid="{00000000-0005-0000-0000-0000846C0000}"/>
    <cellStyle name="Обычный 6 4 2 2_2013Прогноз" xfId="27784" xr:uid="{00000000-0005-0000-0000-0000856C0000}"/>
    <cellStyle name="Обычный 6 4 2 3" xfId="27785" xr:uid="{00000000-0005-0000-0000-0000866C0000}"/>
    <cellStyle name="Обычный 6 4 2 4" xfId="27786" xr:uid="{00000000-0005-0000-0000-0000876C0000}"/>
    <cellStyle name="Обычный 6 4 2_2013Прогноз" xfId="27787" xr:uid="{00000000-0005-0000-0000-0000886C0000}"/>
    <cellStyle name="Обычный 6 4 3" xfId="27788" xr:uid="{00000000-0005-0000-0000-0000896C0000}"/>
    <cellStyle name="Обычный 6 4 3 2" xfId="27789" xr:uid="{00000000-0005-0000-0000-00008A6C0000}"/>
    <cellStyle name="Обычный 6 4 3 3" xfId="27790" xr:uid="{00000000-0005-0000-0000-00008B6C0000}"/>
    <cellStyle name="Обычный 6 4 3_2013Прогноз" xfId="27791" xr:uid="{00000000-0005-0000-0000-00008C6C0000}"/>
    <cellStyle name="Обычный 6 4 4" xfId="27792" xr:uid="{00000000-0005-0000-0000-00008D6C0000}"/>
    <cellStyle name="Обычный 6 4 5" xfId="27793" xr:uid="{00000000-0005-0000-0000-00008E6C0000}"/>
    <cellStyle name="Обычный 6 4 6" xfId="27794" xr:uid="{00000000-0005-0000-0000-00008F6C0000}"/>
    <cellStyle name="Обычный 6 4_2013Прогноз" xfId="27795" xr:uid="{00000000-0005-0000-0000-0000906C0000}"/>
    <cellStyle name="Обычный 6 5" xfId="27796" xr:uid="{00000000-0005-0000-0000-0000916C0000}"/>
    <cellStyle name="Обычный 6 5 2" xfId="27797" xr:uid="{00000000-0005-0000-0000-0000926C0000}"/>
    <cellStyle name="Обычный 6 5 2 2" xfId="27798" xr:uid="{00000000-0005-0000-0000-0000936C0000}"/>
    <cellStyle name="Обычный 6 5 2 3" xfId="27799" xr:uid="{00000000-0005-0000-0000-0000946C0000}"/>
    <cellStyle name="Обычный 6 5 2_2013Прогноз" xfId="27800" xr:uid="{00000000-0005-0000-0000-0000956C0000}"/>
    <cellStyle name="Обычный 6 5 3" xfId="27801" xr:uid="{00000000-0005-0000-0000-0000966C0000}"/>
    <cellStyle name="Обычный 6 5 4" xfId="27802" xr:uid="{00000000-0005-0000-0000-0000976C0000}"/>
    <cellStyle name="Обычный 6 5 5" xfId="27803" xr:uid="{00000000-0005-0000-0000-0000986C0000}"/>
    <cellStyle name="Обычный 6 5_2013Прогноз" xfId="27804" xr:uid="{00000000-0005-0000-0000-0000996C0000}"/>
    <cellStyle name="Обычный 6 6" xfId="27805" xr:uid="{00000000-0005-0000-0000-00009A6C0000}"/>
    <cellStyle name="Обычный 6 6 2" xfId="27806" xr:uid="{00000000-0005-0000-0000-00009B6C0000}"/>
    <cellStyle name="Обычный 6 6 3" xfId="27807" xr:uid="{00000000-0005-0000-0000-00009C6C0000}"/>
    <cellStyle name="Обычный 6 6 4" xfId="27808" xr:uid="{00000000-0005-0000-0000-00009D6C0000}"/>
    <cellStyle name="Обычный 6 6_2013Прогноз" xfId="27809" xr:uid="{00000000-0005-0000-0000-00009E6C0000}"/>
    <cellStyle name="Обычный 6 7" xfId="27810" xr:uid="{00000000-0005-0000-0000-00009F6C0000}"/>
    <cellStyle name="Обычный 6 8" xfId="27811" xr:uid="{00000000-0005-0000-0000-0000A06C0000}"/>
    <cellStyle name="Обычный 6 9" xfId="27812" xr:uid="{00000000-0005-0000-0000-0000A16C0000}"/>
    <cellStyle name="Обычный 6_2013Прогноз" xfId="27813" xr:uid="{00000000-0005-0000-0000-0000A26C0000}"/>
    <cellStyle name="Обычный 60" xfId="27814" xr:uid="{00000000-0005-0000-0000-0000A36C0000}"/>
    <cellStyle name="Обычный 61" xfId="27815" xr:uid="{00000000-0005-0000-0000-0000A46C0000}"/>
    <cellStyle name="Обычный 62" xfId="27816" xr:uid="{00000000-0005-0000-0000-0000A56C0000}"/>
    <cellStyle name="Обычный 63" xfId="27817" xr:uid="{00000000-0005-0000-0000-0000A66C0000}"/>
    <cellStyle name="Обычный 64" xfId="27818" xr:uid="{00000000-0005-0000-0000-0000A76C0000}"/>
    <cellStyle name="Обычный 65" xfId="27819" xr:uid="{00000000-0005-0000-0000-0000A86C0000}"/>
    <cellStyle name="Обычный 66" xfId="27820" xr:uid="{00000000-0005-0000-0000-0000A96C0000}"/>
    <cellStyle name="Обычный 67" xfId="27821" xr:uid="{00000000-0005-0000-0000-0000AA6C0000}"/>
    <cellStyle name="Обычный 68" xfId="27822" xr:uid="{00000000-0005-0000-0000-0000AB6C0000}"/>
    <cellStyle name="Обычный 7" xfId="27823" xr:uid="{00000000-0005-0000-0000-0000AC6C0000}"/>
    <cellStyle name="Обычный 7 10" xfId="27824" xr:uid="{00000000-0005-0000-0000-0000AD6C0000}"/>
    <cellStyle name="Обычный 7 11" xfId="27825" xr:uid="{00000000-0005-0000-0000-0000AE6C0000}"/>
    <cellStyle name="Обычный 7 12" xfId="27826" xr:uid="{00000000-0005-0000-0000-0000AF6C0000}"/>
    <cellStyle name="Обычный 7 2" xfId="27827" xr:uid="{00000000-0005-0000-0000-0000B06C0000}"/>
    <cellStyle name="Обычный 7 2 10" xfId="27828" xr:uid="{00000000-0005-0000-0000-0000B16C0000}"/>
    <cellStyle name="Обычный 7 2 11" xfId="27829" xr:uid="{00000000-0005-0000-0000-0000B26C0000}"/>
    <cellStyle name="Обычный 7 2 2" xfId="27830" xr:uid="{00000000-0005-0000-0000-0000B36C0000}"/>
    <cellStyle name="Обычный 7 2 2 2" xfId="27831" xr:uid="{00000000-0005-0000-0000-0000B46C0000}"/>
    <cellStyle name="Обычный 7 2 2_2013Прогноз" xfId="27832" xr:uid="{00000000-0005-0000-0000-0000B56C0000}"/>
    <cellStyle name="Обычный 7 2 3" xfId="27833" xr:uid="{00000000-0005-0000-0000-0000B66C0000}"/>
    <cellStyle name="Обычный 7 2 3 2" xfId="27834" xr:uid="{00000000-0005-0000-0000-0000B76C0000}"/>
    <cellStyle name="Обычный 7 2 3 2 2" xfId="27835" xr:uid="{00000000-0005-0000-0000-0000B86C0000}"/>
    <cellStyle name="Обычный 7 2 3 2 3" xfId="27836" xr:uid="{00000000-0005-0000-0000-0000B96C0000}"/>
    <cellStyle name="Обычный 7 2 3 2_2013Прогноз" xfId="27837" xr:uid="{00000000-0005-0000-0000-0000BA6C0000}"/>
    <cellStyle name="Обычный 7 2 3 3" xfId="27838" xr:uid="{00000000-0005-0000-0000-0000BB6C0000}"/>
    <cellStyle name="Обычный 7 2 3 4" xfId="27839" xr:uid="{00000000-0005-0000-0000-0000BC6C0000}"/>
    <cellStyle name="Обычный 7 2 3_2013Прогноз" xfId="27840" xr:uid="{00000000-0005-0000-0000-0000BD6C0000}"/>
    <cellStyle name="Обычный 7 2 4" xfId="27841" xr:uid="{00000000-0005-0000-0000-0000BE6C0000}"/>
    <cellStyle name="Обычный 7 2 4 2" xfId="27842" xr:uid="{00000000-0005-0000-0000-0000BF6C0000}"/>
    <cellStyle name="Обычный 7 2 4 3" xfId="27843" xr:uid="{00000000-0005-0000-0000-0000C06C0000}"/>
    <cellStyle name="Обычный 7 2 4_2013Прогноз" xfId="27844" xr:uid="{00000000-0005-0000-0000-0000C16C0000}"/>
    <cellStyle name="Обычный 7 2 5" xfId="27845" xr:uid="{00000000-0005-0000-0000-0000C26C0000}"/>
    <cellStyle name="Обычный 7 2 6" xfId="27846" xr:uid="{00000000-0005-0000-0000-0000C36C0000}"/>
    <cellStyle name="Обычный 7 2 7" xfId="27847" xr:uid="{00000000-0005-0000-0000-0000C46C0000}"/>
    <cellStyle name="Обычный 7 2 8" xfId="27848" xr:uid="{00000000-0005-0000-0000-0000C56C0000}"/>
    <cellStyle name="Обычный 7 2 9" xfId="27849" xr:uid="{00000000-0005-0000-0000-0000C66C0000}"/>
    <cellStyle name="Обычный 7 2_2013Прогноз" xfId="27850" xr:uid="{00000000-0005-0000-0000-0000C76C0000}"/>
    <cellStyle name="Обычный 7 3" xfId="27851" xr:uid="{00000000-0005-0000-0000-0000C86C0000}"/>
    <cellStyle name="Обычный 7 3 2" xfId="27852" xr:uid="{00000000-0005-0000-0000-0000C96C0000}"/>
    <cellStyle name="Обычный 7 3 2 2" xfId="27853" xr:uid="{00000000-0005-0000-0000-0000CA6C0000}"/>
    <cellStyle name="Обычный 7 3 2 2 2" xfId="27854" xr:uid="{00000000-0005-0000-0000-0000CB6C0000}"/>
    <cellStyle name="Обычный 7 3 2 2 3" xfId="27855" xr:uid="{00000000-0005-0000-0000-0000CC6C0000}"/>
    <cellStyle name="Обычный 7 3 2 2_2013Прогноз" xfId="27856" xr:uid="{00000000-0005-0000-0000-0000CD6C0000}"/>
    <cellStyle name="Обычный 7 3 2 3" xfId="27857" xr:uid="{00000000-0005-0000-0000-0000CE6C0000}"/>
    <cellStyle name="Обычный 7 3 2 4" xfId="27858" xr:uid="{00000000-0005-0000-0000-0000CF6C0000}"/>
    <cellStyle name="Обычный 7 3 2_2013Прогноз" xfId="27859" xr:uid="{00000000-0005-0000-0000-0000D06C0000}"/>
    <cellStyle name="Обычный 7 3 3" xfId="27860" xr:uid="{00000000-0005-0000-0000-0000D16C0000}"/>
    <cellStyle name="Обычный 7 3 3 2" xfId="27861" xr:uid="{00000000-0005-0000-0000-0000D26C0000}"/>
    <cellStyle name="Обычный 7 3 3 3" xfId="27862" xr:uid="{00000000-0005-0000-0000-0000D36C0000}"/>
    <cellStyle name="Обычный 7 3 3_2013Прогноз" xfId="27863" xr:uid="{00000000-0005-0000-0000-0000D46C0000}"/>
    <cellStyle name="Обычный 7 3 4" xfId="27864" xr:uid="{00000000-0005-0000-0000-0000D56C0000}"/>
    <cellStyle name="Обычный 7 3 5" xfId="27865" xr:uid="{00000000-0005-0000-0000-0000D66C0000}"/>
    <cellStyle name="Обычный 7 3 6" xfId="27866" xr:uid="{00000000-0005-0000-0000-0000D76C0000}"/>
    <cellStyle name="Обычный 7 3_2013Прогноз" xfId="27867" xr:uid="{00000000-0005-0000-0000-0000D86C0000}"/>
    <cellStyle name="Обычный 7 4" xfId="27868" xr:uid="{00000000-0005-0000-0000-0000D96C0000}"/>
    <cellStyle name="Обычный 7 4 2" xfId="27869" xr:uid="{00000000-0005-0000-0000-0000DA6C0000}"/>
    <cellStyle name="Обычный 7 4 2 2" xfId="27870" xr:uid="{00000000-0005-0000-0000-0000DB6C0000}"/>
    <cellStyle name="Обычный 7 4 2 3" xfId="27871" xr:uid="{00000000-0005-0000-0000-0000DC6C0000}"/>
    <cellStyle name="Обычный 7 4 2_2013Прогноз" xfId="27872" xr:uid="{00000000-0005-0000-0000-0000DD6C0000}"/>
    <cellStyle name="Обычный 7 4 3" xfId="27873" xr:uid="{00000000-0005-0000-0000-0000DE6C0000}"/>
    <cellStyle name="Обычный 7 4 4" xfId="27874" xr:uid="{00000000-0005-0000-0000-0000DF6C0000}"/>
    <cellStyle name="Обычный 7 4 5" xfId="27875" xr:uid="{00000000-0005-0000-0000-0000E06C0000}"/>
    <cellStyle name="Обычный 7 4_2013Прогноз" xfId="27876" xr:uid="{00000000-0005-0000-0000-0000E16C0000}"/>
    <cellStyle name="Обычный 7 5" xfId="27877" xr:uid="{00000000-0005-0000-0000-0000E26C0000}"/>
    <cellStyle name="Обычный 7 5 2" xfId="27878" xr:uid="{00000000-0005-0000-0000-0000E36C0000}"/>
    <cellStyle name="Обычный 7 5 3" xfId="27879" xr:uid="{00000000-0005-0000-0000-0000E46C0000}"/>
    <cellStyle name="Обычный 7 5 4" xfId="27880" xr:uid="{00000000-0005-0000-0000-0000E56C0000}"/>
    <cellStyle name="Обычный 7 5_2013Прогноз" xfId="27881" xr:uid="{00000000-0005-0000-0000-0000E66C0000}"/>
    <cellStyle name="Обычный 7 6" xfId="27882" xr:uid="{00000000-0005-0000-0000-0000E76C0000}"/>
    <cellStyle name="Обычный 7 6 2" xfId="27883" xr:uid="{00000000-0005-0000-0000-0000E86C0000}"/>
    <cellStyle name="Обычный 7 7" xfId="27884" xr:uid="{00000000-0005-0000-0000-0000E96C0000}"/>
    <cellStyle name="Обычный 7 8" xfId="27885" xr:uid="{00000000-0005-0000-0000-0000EA6C0000}"/>
    <cellStyle name="Обычный 7 9" xfId="27886" xr:uid="{00000000-0005-0000-0000-0000EB6C0000}"/>
    <cellStyle name="Обычный 7_2013Прогноз" xfId="27887" xr:uid="{00000000-0005-0000-0000-0000EC6C0000}"/>
    <cellStyle name="Обычный 8" xfId="27888" xr:uid="{00000000-0005-0000-0000-0000ED6C0000}"/>
    <cellStyle name="Обычный 8 10" xfId="27889" xr:uid="{00000000-0005-0000-0000-0000EE6C0000}"/>
    <cellStyle name="Обычный 8 11" xfId="27890" xr:uid="{00000000-0005-0000-0000-0000EF6C0000}"/>
    <cellStyle name="Обычный 8 2" xfId="27891" xr:uid="{00000000-0005-0000-0000-0000F06C0000}"/>
    <cellStyle name="Обычный 8 2 2" xfId="27892" xr:uid="{00000000-0005-0000-0000-0000F16C0000}"/>
    <cellStyle name="Обычный 8 2 3" xfId="27893" xr:uid="{00000000-0005-0000-0000-0000F26C0000}"/>
    <cellStyle name="Обычный 8 2 3 2" xfId="27894" xr:uid="{00000000-0005-0000-0000-0000F36C0000}"/>
    <cellStyle name="Обычный 8 2 3 2 2" xfId="27895" xr:uid="{00000000-0005-0000-0000-0000F46C0000}"/>
    <cellStyle name="Обычный 8 2 3 2 2 2" xfId="27896" xr:uid="{00000000-0005-0000-0000-0000F56C0000}"/>
    <cellStyle name="Обычный 8 2 3 2 2 3" xfId="27897" xr:uid="{00000000-0005-0000-0000-0000F66C0000}"/>
    <cellStyle name="Обычный 8 2 3 2 2_2013Прогноз" xfId="27898" xr:uid="{00000000-0005-0000-0000-0000F76C0000}"/>
    <cellStyle name="Обычный 8 2 3 2 3" xfId="27899" xr:uid="{00000000-0005-0000-0000-0000F86C0000}"/>
    <cellStyle name="Обычный 8 2 3 2 4" xfId="27900" xr:uid="{00000000-0005-0000-0000-0000F96C0000}"/>
    <cellStyle name="Обычный 8 2 3 2_2013Прогноз" xfId="27901" xr:uid="{00000000-0005-0000-0000-0000FA6C0000}"/>
    <cellStyle name="Обычный 8 2 3 3" xfId="27902" xr:uid="{00000000-0005-0000-0000-0000FB6C0000}"/>
    <cellStyle name="Обычный 8 2 3 3 2" xfId="27903" xr:uid="{00000000-0005-0000-0000-0000FC6C0000}"/>
    <cellStyle name="Обычный 8 2 3 3 3" xfId="27904" xr:uid="{00000000-0005-0000-0000-0000FD6C0000}"/>
    <cellStyle name="Обычный 8 2 3 3_2013Прогноз" xfId="27905" xr:uid="{00000000-0005-0000-0000-0000FE6C0000}"/>
    <cellStyle name="Обычный 8 2 3 4" xfId="27906" xr:uid="{00000000-0005-0000-0000-0000FF6C0000}"/>
    <cellStyle name="Обычный 8 2 3 5" xfId="27907" xr:uid="{00000000-0005-0000-0000-0000006D0000}"/>
    <cellStyle name="Обычный 8 2 3_2013Прогноз" xfId="27908" xr:uid="{00000000-0005-0000-0000-0000016D0000}"/>
    <cellStyle name="Обычный 8 2 4" xfId="27909" xr:uid="{00000000-0005-0000-0000-0000026D0000}"/>
    <cellStyle name="Обычный 8 2 4 2" xfId="27910" xr:uid="{00000000-0005-0000-0000-0000036D0000}"/>
    <cellStyle name="Обычный 8 2 4 2 2" xfId="27911" xr:uid="{00000000-0005-0000-0000-0000046D0000}"/>
    <cellStyle name="Обычный 8 2 4 2 3" xfId="27912" xr:uid="{00000000-0005-0000-0000-0000056D0000}"/>
    <cellStyle name="Обычный 8 2 4 2_2013Прогноз" xfId="27913" xr:uid="{00000000-0005-0000-0000-0000066D0000}"/>
    <cellStyle name="Обычный 8 2 4 3" xfId="27914" xr:uid="{00000000-0005-0000-0000-0000076D0000}"/>
    <cellStyle name="Обычный 8 2 4 4" xfId="27915" xr:uid="{00000000-0005-0000-0000-0000086D0000}"/>
    <cellStyle name="Обычный 8 2 4_2013Прогноз" xfId="27916" xr:uid="{00000000-0005-0000-0000-0000096D0000}"/>
    <cellStyle name="Обычный 8 2 5" xfId="27917" xr:uid="{00000000-0005-0000-0000-00000A6D0000}"/>
    <cellStyle name="Обычный 8 2 5 2" xfId="27918" xr:uid="{00000000-0005-0000-0000-00000B6D0000}"/>
    <cellStyle name="Обычный 8 2 5 3" xfId="27919" xr:uid="{00000000-0005-0000-0000-00000C6D0000}"/>
    <cellStyle name="Обычный 8 2 5_2013Прогноз" xfId="27920" xr:uid="{00000000-0005-0000-0000-00000D6D0000}"/>
    <cellStyle name="Обычный 8 2 6" xfId="27921" xr:uid="{00000000-0005-0000-0000-00000E6D0000}"/>
    <cellStyle name="Обычный 8 2 7" xfId="27922" xr:uid="{00000000-0005-0000-0000-00000F6D0000}"/>
    <cellStyle name="Обычный 8 2_2013Прогноз" xfId="27923" xr:uid="{00000000-0005-0000-0000-0000106D0000}"/>
    <cellStyle name="Обычный 8 3" xfId="27924" xr:uid="{00000000-0005-0000-0000-0000116D0000}"/>
    <cellStyle name="Обычный 8 3 2" xfId="27925" xr:uid="{00000000-0005-0000-0000-0000126D0000}"/>
    <cellStyle name="Обычный 8 4" xfId="27926" xr:uid="{00000000-0005-0000-0000-0000136D0000}"/>
    <cellStyle name="Обычный 8 4 2" xfId="27927" xr:uid="{00000000-0005-0000-0000-0000146D0000}"/>
    <cellStyle name="Обычный 8 4_2013Прогноз" xfId="27928" xr:uid="{00000000-0005-0000-0000-0000156D0000}"/>
    <cellStyle name="Обычный 8 5" xfId="27929" xr:uid="{00000000-0005-0000-0000-0000166D0000}"/>
    <cellStyle name="Обычный 8 6" xfId="27930" xr:uid="{00000000-0005-0000-0000-0000176D0000}"/>
    <cellStyle name="Обычный 8 7" xfId="27931" xr:uid="{00000000-0005-0000-0000-0000186D0000}"/>
    <cellStyle name="Обычный 8 8" xfId="27932" xr:uid="{00000000-0005-0000-0000-0000196D0000}"/>
    <cellStyle name="Обычный 8 9" xfId="27933" xr:uid="{00000000-0005-0000-0000-00001A6D0000}"/>
    <cellStyle name="Обычный 8_2014БП" xfId="27934" xr:uid="{00000000-0005-0000-0000-00001B6D0000}"/>
    <cellStyle name="Обычный 9" xfId="27935" xr:uid="{00000000-0005-0000-0000-00001C6D0000}"/>
    <cellStyle name="Обычный 9 10" xfId="27936" xr:uid="{00000000-0005-0000-0000-00001D6D0000}"/>
    <cellStyle name="Обычный 9 2" xfId="27937" xr:uid="{00000000-0005-0000-0000-00001E6D0000}"/>
    <cellStyle name="Обычный 9 2 2" xfId="27938" xr:uid="{00000000-0005-0000-0000-00001F6D0000}"/>
    <cellStyle name="Обычный 9 2 3" xfId="27939" xr:uid="{00000000-0005-0000-0000-0000206D0000}"/>
    <cellStyle name="Обычный 9 2 3 2" xfId="27940" xr:uid="{00000000-0005-0000-0000-0000216D0000}"/>
    <cellStyle name="Обычный 9 2 3 2 2" xfId="27941" xr:uid="{00000000-0005-0000-0000-0000226D0000}"/>
    <cellStyle name="Обычный 9 2 3 2 3" xfId="27942" xr:uid="{00000000-0005-0000-0000-0000236D0000}"/>
    <cellStyle name="Обычный 9 2 3 2_2013Прогноз" xfId="27943" xr:uid="{00000000-0005-0000-0000-0000246D0000}"/>
    <cellStyle name="Обычный 9 2 3 3" xfId="27944" xr:uid="{00000000-0005-0000-0000-0000256D0000}"/>
    <cellStyle name="Обычный 9 2 3 4" xfId="27945" xr:uid="{00000000-0005-0000-0000-0000266D0000}"/>
    <cellStyle name="Обычный 9 2 3_2013Прогноз" xfId="27946" xr:uid="{00000000-0005-0000-0000-0000276D0000}"/>
    <cellStyle name="Обычный 9 2 4" xfId="27947" xr:uid="{00000000-0005-0000-0000-0000286D0000}"/>
    <cellStyle name="Обычный 9 2 4 2" xfId="27948" xr:uid="{00000000-0005-0000-0000-0000296D0000}"/>
    <cellStyle name="Обычный 9 2 4 3" xfId="27949" xr:uid="{00000000-0005-0000-0000-00002A6D0000}"/>
    <cellStyle name="Обычный 9 2 4_2013Прогноз" xfId="27950" xr:uid="{00000000-0005-0000-0000-00002B6D0000}"/>
    <cellStyle name="Обычный 9 2 5" xfId="27951" xr:uid="{00000000-0005-0000-0000-00002C6D0000}"/>
    <cellStyle name="Обычный 9 2 6" xfId="27952" xr:uid="{00000000-0005-0000-0000-00002D6D0000}"/>
    <cellStyle name="Обычный 9 2 7" xfId="27953" xr:uid="{00000000-0005-0000-0000-00002E6D0000}"/>
    <cellStyle name="Обычный 9 2 8" xfId="27954" xr:uid="{00000000-0005-0000-0000-00002F6D0000}"/>
    <cellStyle name="Обычный 9 2 9" xfId="27955" xr:uid="{00000000-0005-0000-0000-0000306D0000}"/>
    <cellStyle name="Обычный 9 2_2013Прогноз" xfId="27956" xr:uid="{00000000-0005-0000-0000-0000316D0000}"/>
    <cellStyle name="Обычный 9 3" xfId="27957" xr:uid="{00000000-0005-0000-0000-0000326D0000}"/>
    <cellStyle name="Обычный 9 3 2" xfId="27958" xr:uid="{00000000-0005-0000-0000-0000336D0000}"/>
    <cellStyle name="Обычный 9 3 2 2" xfId="27959" xr:uid="{00000000-0005-0000-0000-0000346D0000}"/>
    <cellStyle name="Обычный 9 3 2 3" xfId="27960" xr:uid="{00000000-0005-0000-0000-0000356D0000}"/>
    <cellStyle name="Обычный 9 3 2_2013Прогноз" xfId="27961" xr:uid="{00000000-0005-0000-0000-0000366D0000}"/>
    <cellStyle name="Обычный 9 3 3" xfId="27962" xr:uid="{00000000-0005-0000-0000-0000376D0000}"/>
    <cellStyle name="Обычный 9 3 4" xfId="27963" xr:uid="{00000000-0005-0000-0000-0000386D0000}"/>
    <cellStyle name="Обычный 9 3 5" xfId="27964" xr:uid="{00000000-0005-0000-0000-0000396D0000}"/>
    <cellStyle name="Обычный 9 3_2013Прогноз" xfId="27965" xr:uid="{00000000-0005-0000-0000-00003A6D0000}"/>
    <cellStyle name="Обычный 9 4" xfId="27966" xr:uid="{00000000-0005-0000-0000-00003B6D0000}"/>
    <cellStyle name="Обычный 9 4 2" xfId="27967" xr:uid="{00000000-0005-0000-0000-00003C6D0000}"/>
    <cellStyle name="Обычный 9 4 3" xfId="27968" xr:uid="{00000000-0005-0000-0000-00003D6D0000}"/>
    <cellStyle name="Обычный 9 4 4" xfId="27969" xr:uid="{00000000-0005-0000-0000-00003E6D0000}"/>
    <cellStyle name="Обычный 9 4_2013Прогноз" xfId="27970" xr:uid="{00000000-0005-0000-0000-00003F6D0000}"/>
    <cellStyle name="Обычный 9 5" xfId="27971" xr:uid="{00000000-0005-0000-0000-0000406D0000}"/>
    <cellStyle name="Обычный 9 5 2" xfId="27972" xr:uid="{00000000-0005-0000-0000-0000416D0000}"/>
    <cellStyle name="Обычный 9 5 3" xfId="27973" xr:uid="{00000000-0005-0000-0000-0000426D0000}"/>
    <cellStyle name="Обычный 9 6" xfId="27974" xr:uid="{00000000-0005-0000-0000-0000436D0000}"/>
    <cellStyle name="Обычный 9 6 2" xfId="27975" xr:uid="{00000000-0005-0000-0000-0000446D0000}"/>
    <cellStyle name="Обычный 9 6 3" xfId="27976" xr:uid="{00000000-0005-0000-0000-0000456D0000}"/>
    <cellStyle name="Обычный 9 7" xfId="27977" xr:uid="{00000000-0005-0000-0000-0000466D0000}"/>
    <cellStyle name="Обычный 9 8" xfId="27978" xr:uid="{00000000-0005-0000-0000-0000476D0000}"/>
    <cellStyle name="Обычный 9 9" xfId="27979" xr:uid="{00000000-0005-0000-0000-0000486D0000}"/>
    <cellStyle name="Обычный 9_2014БП" xfId="27980" xr:uid="{00000000-0005-0000-0000-0000496D0000}"/>
    <cellStyle name="Обычный_Приложение 6.  Карточка  и План управления проектом, 21 мар.07" xfId="4" xr:uid="{00000000-0005-0000-0000-00004A6D0000}"/>
    <cellStyle name="Обычный_Расчет 1 вариант (в БП с внеш фин)" xfId="3" xr:uid="{00000000-0005-0000-0000-00004B6D0000}"/>
    <cellStyle name="Плохой 2" xfId="27981" xr:uid="{00000000-0005-0000-0000-00004C6D0000}"/>
    <cellStyle name="Плохой 2 2" xfId="27982" xr:uid="{00000000-0005-0000-0000-00004D6D0000}"/>
    <cellStyle name="Плохой 2 3" xfId="27983" xr:uid="{00000000-0005-0000-0000-00004E6D0000}"/>
    <cellStyle name="Плохой 2_2014БП" xfId="27984" xr:uid="{00000000-0005-0000-0000-00004F6D0000}"/>
    <cellStyle name="Плохой 3" xfId="27985" xr:uid="{00000000-0005-0000-0000-0000506D0000}"/>
    <cellStyle name="Плохой 4" xfId="27986" xr:uid="{00000000-0005-0000-0000-0000516D0000}"/>
    <cellStyle name="Порядок заполнения" xfId="27987" xr:uid="{00000000-0005-0000-0000-0000526D0000}"/>
    <cellStyle name="Порядок заполнения 2" xfId="27988" xr:uid="{00000000-0005-0000-0000-0000536D0000}"/>
    <cellStyle name="Пояснение 2" xfId="27989" xr:uid="{00000000-0005-0000-0000-0000546D0000}"/>
    <cellStyle name="Пояснение 2 2" xfId="27990" xr:uid="{00000000-0005-0000-0000-0000556D0000}"/>
    <cellStyle name="Пояснение 2 3" xfId="27991" xr:uid="{00000000-0005-0000-0000-0000566D0000}"/>
    <cellStyle name="Пояснение 2_2014БП" xfId="27992" xr:uid="{00000000-0005-0000-0000-0000576D0000}"/>
    <cellStyle name="Пояснение 3" xfId="27993" xr:uid="{00000000-0005-0000-0000-0000586D0000}"/>
    <cellStyle name="Пояснение 4" xfId="27994" xr:uid="{00000000-0005-0000-0000-0000596D0000}"/>
    <cellStyle name="Примечание 10" xfId="27995" xr:uid="{00000000-0005-0000-0000-00005A6D0000}"/>
    <cellStyle name="Примечание 10 2" xfId="27996" xr:uid="{00000000-0005-0000-0000-00005B6D0000}"/>
    <cellStyle name="Примечание 10 2 2" xfId="27997" xr:uid="{00000000-0005-0000-0000-00005C6D0000}"/>
    <cellStyle name="Примечание 10 3" xfId="27998" xr:uid="{00000000-0005-0000-0000-00005D6D0000}"/>
    <cellStyle name="Примечание 11" xfId="27999" xr:uid="{00000000-0005-0000-0000-00005E6D0000}"/>
    <cellStyle name="Примечание 11 2" xfId="28000" xr:uid="{00000000-0005-0000-0000-00005F6D0000}"/>
    <cellStyle name="Примечание 11 2 2" xfId="28001" xr:uid="{00000000-0005-0000-0000-0000606D0000}"/>
    <cellStyle name="Примечание 11 3" xfId="28002" xr:uid="{00000000-0005-0000-0000-0000616D0000}"/>
    <cellStyle name="Примечание 12" xfId="28003" xr:uid="{00000000-0005-0000-0000-0000626D0000}"/>
    <cellStyle name="Примечание 12 2" xfId="28004" xr:uid="{00000000-0005-0000-0000-0000636D0000}"/>
    <cellStyle name="Примечание 12 2 2" xfId="28005" xr:uid="{00000000-0005-0000-0000-0000646D0000}"/>
    <cellStyle name="Примечание 12 3" xfId="28006" xr:uid="{00000000-0005-0000-0000-0000656D0000}"/>
    <cellStyle name="Примечание 13" xfId="28007" xr:uid="{00000000-0005-0000-0000-0000666D0000}"/>
    <cellStyle name="Примечание 13 2" xfId="28008" xr:uid="{00000000-0005-0000-0000-0000676D0000}"/>
    <cellStyle name="Примечание 14" xfId="28009" xr:uid="{00000000-0005-0000-0000-0000686D0000}"/>
    <cellStyle name="Примечание 14 2" xfId="28010" xr:uid="{00000000-0005-0000-0000-0000696D0000}"/>
    <cellStyle name="Примечание 15" xfId="28011" xr:uid="{00000000-0005-0000-0000-00006A6D0000}"/>
    <cellStyle name="Примечание 15 2" xfId="28012" xr:uid="{00000000-0005-0000-0000-00006B6D0000}"/>
    <cellStyle name="Примечание 16" xfId="28013" xr:uid="{00000000-0005-0000-0000-00006C6D0000}"/>
    <cellStyle name="Примечание 16 2" xfId="28014" xr:uid="{00000000-0005-0000-0000-00006D6D0000}"/>
    <cellStyle name="Примечание 17" xfId="28015" xr:uid="{00000000-0005-0000-0000-00006E6D0000}"/>
    <cellStyle name="Примечание 17 2" xfId="28016" xr:uid="{00000000-0005-0000-0000-00006F6D0000}"/>
    <cellStyle name="Примечание 18" xfId="28017" xr:uid="{00000000-0005-0000-0000-0000706D0000}"/>
    <cellStyle name="Примечание 18 2" xfId="28018" xr:uid="{00000000-0005-0000-0000-0000716D0000}"/>
    <cellStyle name="Примечание 19" xfId="28019" xr:uid="{00000000-0005-0000-0000-0000726D0000}"/>
    <cellStyle name="Примечание 19 2" xfId="28020" xr:uid="{00000000-0005-0000-0000-0000736D0000}"/>
    <cellStyle name="Примечание 2" xfId="28021" xr:uid="{00000000-0005-0000-0000-0000746D0000}"/>
    <cellStyle name="Примечание 2 10" xfId="28022" xr:uid="{00000000-0005-0000-0000-0000756D0000}"/>
    <cellStyle name="Примечание 2 10 2" xfId="28023" xr:uid="{00000000-0005-0000-0000-0000766D0000}"/>
    <cellStyle name="Примечание 2 11" xfId="28024" xr:uid="{00000000-0005-0000-0000-0000776D0000}"/>
    <cellStyle name="Примечание 2 11 2" xfId="28025" xr:uid="{00000000-0005-0000-0000-0000786D0000}"/>
    <cellStyle name="Примечание 2 12" xfId="28026" xr:uid="{00000000-0005-0000-0000-0000796D0000}"/>
    <cellStyle name="Примечание 2 13" xfId="28027" xr:uid="{00000000-0005-0000-0000-00007A6D0000}"/>
    <cellStyle name="Примечание 2 14" xfId="28028" xr:uid="{00000000-0005-0000-0000-00007B6D0000}"/>
    <cellStyle name="Примечание 2 2" xfId="28029" xr:uid="{00000000-0005-0000-0000-00007C6D0000}"/>
    <cellStyle name="Примечание 2 2 10" xfId="28030" xr:uid="{00000000-0005-0000-0000-00007D6D0000}"/>
    <cellStyle name="Примечание 2 2 2" xfId="28031" xr:uid="{00000000-0005-0000-0000-00007E6D0000}"/>
    <cellStyle name="Примечание 2 2 2 2" xfId="28032" xr:uid="{00000000-0005-0000-0000-00007F6D0000}"/>
    <cellStyle name="Примечание 2 2 2 2 2" xfId="28033" xr:uid="{00000000-0005-0000-0000-0000806D0000}"/>
    <cellStyle name="Примечание 2 2 2 2 2 2" xfId="28034" xr:uid="{00000000-0005-0000-0000-0000816D0000}"/>
    <cellStyle name="Примечание 2 2 2 2 3" xfId="28035" xr:uid="{00000000-0005-0000-0000-0000826D0000}"/>
    <cellStyle name="Примечание 2 2 2 2 3 2" xfId="28036" xr:uid="{00000000-0005-0000-0000-0000836D0000}"/>
    <cellStyle name="Примечание 2 2 2 2 4" xfId="28037" xr:uid="{00000000-0005-0000-0000-0000846D0000}"/>
    <cellStyle name="Примечание 2 2 2 2 4 2" xfId="28038" xr:uid="{00000000-0005-0000-0000-0000856D0000}"/>
    <cellStyle name="Примечание 2 2 2 2 5" xfId="28039" xr:uid="{00000000-0005-0000-0000-0000866D0000}"/>
    <cellStyle name="Примечание 2 2 2 2 5 2" xfId="28040" xr:uid="{00000000-0005-0000-0000-0000876D0000}"/>
    <cellStyle name="Примечание 2 2 2 2 6" xfId="28041" xr:uid="{00000000-0005-0000-0000-0000886D0000}"/>
    <cellStyle name="Примечание 2 2 2 2 7" xfId="28042" xr:uid="{00000000-0005-0000-0000-0000896D0000}"/>
    <cellStyle name="Примечание 2 2 2 2_2014БП" xfId="28043" xr:uid="{00000000-0005-0000-0000-00008A6D0000}"/>
    <cellStyle name="Примечание 2 2 2 3" xfId="28044" xr:uid="{00000000-0005-0000-0000-00008B6D0000}"/>
    <cellStyle name="Примечание 2 2 2 4" xfId="28045" xr:uid="{00000000-0005-0000-0000-00008C6D0000}"/>
    <cellStyle name="Примечание 2 2 2_2013Прогноз" xfId="28046" xr:uid="{00000000-0005-0000-0000-00008D6D0000}"/>
    <cellStyle name="Примечание 2 2 3" xfId="28047" xr:uid="{00000000-0005-0000-0000-00008E6D0000}"/>
    <cellStyle name="Примечание 2 2 3 2" xfId="28048" xr:uid="{00000000-0005-0000-0000-00008F6D0000}"/>
    <cellStyle name="Примечание 2 2 3 2 2" xfId="28049" xr:uid="{00000000-0005-0000-0000-0000906D0000}"/>
    <cellStyle name="Примечание 2 2 3 3" xfId="28050" xr:uid="{00000000-0005-0000-0000-0000916D0000}"/>
    <cellStyle name="Примечание 2 2 3 3 2" xfId="28051" xr:uid="{00000000-0005-0000-0000-0000926D0000}"/>
    <cellStyle name="Примечание 2 2 3 4" xfId="28052" xr:uid="{00000000-0005-0000-0000-0000936D0000}"/>
    <cellStyle name="Примечание 2 2 3 4 2" xfId="28053" xr:uid="{00000000-0005-0000-0000-0000946D0000}"/>
    <cellStyle name="Примечание 2 2 3 5" xfId="28054" xr:uid="{00000000-0005-0000-0000-0000956D0000}"/>
    <cellStyle name="Примечание 2 2 3 5 2" xfId="28055" xr:uid="{00000000-0005-0000-0000-0000966D0000}"/>
    <cellStyle name="Примечание 2 2 3 6" xfId="28056" xr:uid="{00000000-0005-0000-0000-0000976D0000}"/>
    <cellStyle name="Примечание 2 2 3 7" xfId="28057" xr:uid="{00000000-0005-0000-0000-0000986D0000}"/>
    <cellStyle name="Примечание 2 2 3_2014БП" xfId="28058" xr:uid="{00000000-0005-0000-0000-0000996D0000}"/>
    <cellStyle name="Примечание 2 2 4" xfId="28059" xr:uid="{00000000-0005-0000-0000-00009A6D0000}"/>
    <cellStyle name="Примечание 2 2 4 2" xfId="28060" xr:uid="{00000000-0005-0000-0000-00009B6D0000}"/>
    <cellStyle name="Примечание 2 2 4 2 2" xfId="28061" xr:uid="{00000000-0005-0000-0000-00009C6D0000}"/>
    <cellStyle name="Примечание 2 2 4 3" xfId="28062" xr:uid="{00000000-0005-0000-0000-00009D6D0000}"/>
    <cellStyle name="Примечание 2 2 4 3 2" xfId="28063" xr:uid="{00000000-0005-0000-0000-00009E6D0000}"/>
    <cellStyle name="Примечание 2 2 4 4" xfId="28064" xr:uid="{00000000-0005-0000-0000-00009F6D0000}"/>
    <cellStyle name="Примечание 2 2 4 4 2" xfId="28065" xr:uid="{00000000-0005-0000-0000-0000A06D0000}"/>
    <cellStyle name="Примечание 2 2 4 5" xfId="28066" xr:uid="{00000000-0005-0000-0000-0000A16D0000}"/>
    <cellStyle name="Примечание 2 2 4 5 2" xfId="28067" xr:uid="{00000000-0005-0000-0000-0000A26D0000}"/>
    <cellStyle name="Примечание 2 2 4 6" xfId="28068" xr:uid="{00000000-0005-0000-0000-0000A36D0000}"/>
    <cellStyle name="Примечание 2 2 4 7" xfId="28069" xr:uid="{00000000-0005-0000-0000-0000A46D0000}"/>
    <cellStyle name="Примечание 2 2 4_2014БП" xfId="28070" xr:uid="{00000000-0005-0000-0000-0000A56D0000}"/>
    <cellStyle name="Примечание 2 2 5" xfId="28071" xr:uid="{00000000-0005-0000-0000-0000A66D0000}"/>
    <cellStyle name="Примечание 2 2 5 2" xfId="28072" xr:uid="{00000000-0005-0000-0000-0000A76D0000}"/>
    <cellStyle name="Примечание 2 2 6" xfId="28073" xr:uid="{00000000-0005-0000-0000-0000A86D0000}"/>
    <cellStyle name="Примечание 2 2 6 2" xfId="28074" xr:uid="{00000000-0005-0000-0000-0000A96D0000}"/>
    <cellStyle name="Примечание 2 2 7" xfId="28075" xr:uid="{00000000-0005-0000-0000-0000AA6D0000}"/>
    <cellStyle name="Примечание 2 2 7 2" xfId="28076" xr:uid="{00000000-0005-0000-0000-0000AB6D0000}"/>
    <cellStyle name="Примечание 2 2 8" xfId="28077" xr:uid="{00000000-0005-0000-0000-0000AC6D0000}"/>
    <cellStyle name="Примечание 2 2 8 2" xfId="28078" xr:uid="{00000000-0005-0000-0000-0000AD6D0000}"/>
    <cellStyle name="Примечание 2 2 9" xfId="28079" xr:uid="{00000000-0005-0000-0000-0000AE6D0000}"/>
    <cellStyle name="Примечание 2 2 9 2" xfId="28080" xr:uid="{00000000-0005-0000-0000-0000AF6D0000}"/>
    <cellStyle name="Примечание 2 2_2013Прогноз" xfId="28081" xr:uid="{00000000-0005-0000-0000-0000B06D0000}"/>
    <cellStyle name="Примечание 2 3" xfId="28082" xr:uid="{00000000-0005-0000-0000-0000B16D0000}"/>
    <cellStyle name="Примечание 2 3 2" xfId="28083" xr:uid="{00000000-0005-0000-0000-0000B26D0000}"/>
    <cellStyle name="Примечание 2 3 2 2" xfId="28084" xr:uid="{00000000-0005-0000-0000-0000B36D0000}"/>
    <cellStyle name="Примечание 2 3 2 2 2" xfId="28085" xr:uid="{00000000-0005-0000-0000-0000B46D0000}"/>
    <cellStyle name="Примечание 2 3 2 3" xfId="28086" xr:uid="{00000000-0005-0000-0000-0000B56D0000}"/>
    <cellStyle name="Примечание 2 3 2 3 2" xfId="28087" xr:uid="{00000000-0005-0000-0000-0000B66D0000}"/>
    <cellStyle name="Примечание 2 3 2 4" xfId="28088" xr:uid="{00000000-0005-0000-0000-0000B76D0000}"/>
    <cellStyle name="Примечание 2 3 2 4 2" xfId="28089" xr:uid="{00000000-0005-0000-0000-0000B86D0000}"/>
    <cellStyle name="Примечание 2 3 2 5" xfId="28090" xr:uid="{00000000-0005-0000-0000-0000B96D0000}"/>
    <cellStyle name="Примечание 2 3 2 5 2" xfId="28091" xr:uid="{00000000-0005-0000-0000-0000BA6D0000}"/>
    <cellStyle name="Примечание 2 3 2 6" xfId="28092" xr:uid="{00000000-0005-0000-0000-0000BB6D0000}"/>
    <cellStyle name="Примечание 2 3 2 7" xfId="28093" xr:uid="{00000000-0005-0000-0000-0000BC6D0000}"/>
    <cellStyle name="Примечание 2 3 2_2014БП" xfId="28094" xr:uid="{00000000-0005-0000-0000-0000BD6D0000}"/>
    <cellStyle name="Примечание 2 3 3" xfId="28095" xr:uid="{00000000-0005-0000-0000-0000BE6D0000}"/>
    <cellStyle name="Примечание 2 3 4" xfId="28096" xr:uid="{00000000-0005-0000-0000-0000BF6D0000}"/>
    <cellStyle name="Примечание 2 3_2013Прогноз" xfId="28097" xr:uid="{00000000-0005-0000-0000-0000C06D0000}"/>
    <cellStyle name="Примечание 2 4" xfId="28098" xr:uid="{00000000-0005-0000-0000-0000C16D0000}"/>
    <cellStyle name="Примечание 2 4 2" xfId="28099" xr:uid="{00000000-0005-0000-0000-0000C26D0000}"/>
    <cellStyle name="Примечание 2 4 2 2" xfId="28100" xr:uid="{00000000-0005-0000-0000-0000C36D0000}"/>
    <cellStyle name="Примечание 2 4 3" xfId="28101" xr:uid="{00000000-0005-0000-0000-0000C46D0000}"/>
    <cellStyle name="Примечание 2 4 3 2" xfId="28102" xr:uid="{00000000-0005-0000-0000-0000C56D0000}"/>
    <cellStyle name="Примечание 2 4 4" xfId="28103" xr:uid="{00000000-0005-0000-0000-0000C66D0000}"/>
    <cellStyle name="Примечание 2 4 4 2" xfId="28104" xr:uid="{00000000-0005-0000-0000-0000C76D0000}"/>
    <cellStyle name="Примечание 2 4 5" xfId="28105" xr:uid="{00000000-0005-0000-0000-0000C86D0000}"/>
    <cellStyle name="Примечание 2 4 5 2" xfId="28106" xr:uid="{00000000-0005-0000-0000-0000C96D0000}"/>
    <cellStyle name="Примечание 2 4 6" xfId="28107" xr:uid="{00000000-0005-0000-0000-0000CA6D0000}"/>
    <cellStyle name="Примечание 2 4 7" xfId="28108" xr:uid="{00000000-0005-0000-0000-0000CB6D0000}"/>
    <cellStyle name="Примечание 2 4_2014БП" xfId="28109" xr:uid="{00000000-0005-0000-0000-0000CC6D0000}"/>
    <cellStyle name="Примечание 2 5" xfId="28110" xr:uid="{00000000-0005-0000-0000-0000CD6D0000}"/>
    <cellStyle name="Примечание 2 5 2" xfId="28111" xr:uid="{00000000-0005-0000-0000-0000CE6D0000}"/>
    <cellStyle name="Примечание 2 5 2 2" xfId="28112" xr:uid="{00000000-0005-0000-0000-0000CF6D0000}"/>
    <cellStyle name="Примечание 2 5 3" xfId="28113" xr:uid="{00000000-0005-0000-0000-0000D06D0000}"/>
    <cellStyle name="Примечание 2 5 3 2" xfId="28114" xr:uid="{00000000-0005-0000-0000-0000D16D0000}"/>
    <cellStyle name="Примечание 2 5 4" xfId="28115" xr:uid="{00000000-0005-0000-0000-0000D26D0000}"/>
    <cellStyle name="Примечание 2 5 4 2" xfId="28116" xr:uid="{00000000-0005-0000-0000-0000D36D0000}"/>
    <cellStyle name="Примечание 2 5 5" xfId="28117" xr:uid="{00000000-0005-0000-0000-0000D46D0000}"/>
    <cellStyle name="Примечание 2 5 5 2" xfId="28118" xr:uid="{00000000-0005-0000-0000-0000D56D0000}"/>
    <cellStyle name="Примечание 2 5 6" xfId="28119" xr:uid="{00000000-0005-0000-0000-0000D66D0000}"/>
    <cellStyle name="Примечание 2 5 7" xfId="28120" xr:uid="{00000000-0005-0000-0000-0000D76D0000}"/>
    <cellStyle name="Примечание 2 5_2014БП" xfId="28121" xr:uid="{00000000-0005-0000-0000-0000D86D0000}"/>
    <cellStyle name="Примечание 2 6" xfId="28122" xr:uid="{00000000-0005-0000-0000-0000D96D0000}"/>
    <cellStyle name="Примечание 2 6 2" xfId="28123" xr:uid="{00000000-0005-0000-0000-0000DA6D0000}"/>
    <cellStyle name="Примечание 2 7" xfId="28124" xr:uid="{00000000-0005-0000-0000-0000DB6D0000}"/>
    <cellStyle name="Примечание 2 7 2" xfId="28125" xr:uid="{00000000-0005-0000-0000-0000DC6D0000}"/>
    <cellStyle name="Примечание 2 8" xfId="28126" xr:uid="{00000000-0005-0000-0000-0000DD6D0000}"/>
    <cellStyle name="Примечание 2 8 2" xfId="28127" xr:uid="{00000000-0005-0000-0000-0000DE6D0000}"/>
    <cellStyle name="Примечание 2 9" xfId="28128" xr:uid="{00000000-0005-0000-0000-0000DF6D0000}"/>
    <cellStyle name="Примечание 2 9 2" xfId="28129" xr:uid="{00000000-0005-0000-0000-0000E06D0000}"/>
    <cellStyle name="Примечание 2_2013Прогноз" xfId="28130" xr:uid="{00000000-0005-0000-0000-0000E16D0000}"/>
    <cellStyle name="Примечание 20" xfId="28131" xr:uid="{00000000-0005-0000-0000-0000E26D0000}"/>
    <cellStyle name="Примечание 20 2" xfId="28132" xr:uid="{00000000-0005-0000-0000-0000E36D0000}"/>
    <cellStyle name="Примечание 21" xfId="28133" xr:uid="{00000000-0005-0000-0000-0000E46D0000}"/>
    <cellStyle name="Примечание 21 2" xfId="28134" xr:uid="{00000000-0005-0000-0000-0000E56D0000}"/>
    <cellStyle name="Примечание 22" xfId="28135" xr:uid="{00000000-0005-0000-0000-0000E66D0000}"/>
    <cellStyle name="Примечание 22 2" xfId="28136" xr:uid="{00000000-0005-0000-0000-0000E76D0000}"/>
    <cellStyle name="Примечание 23" xfId="28137" xr:uid="{00000000-0005-0000-0000-0000E86D0000}"/>
    <cellStyle name="Примечание 3" xfId="28138" xr:uid="{00000000-0005-0000-0000-0000E96D0000}"/>
    <cellStyle name="Примечание 3 10" xfId="28139" xr:uid="{00000000-0005-0000-0000-0000EA6D0000}"/>
    <cellStyle name="Примечание 3 10 2" xfId="28140" xr:uid="{00000000-0005-0000-0000-0000EB6D0000}"/>
    <cellStyle name="Примечание 3 11" xfId="28141" xr:uid="{00000000-0005-0000-0000-0000EC6D0000}"/>
    <cellStyle name="Примечание 3 11 2" xfId="28142" xr:uid="{00000000-0005-0000-0000-0000ED6D0000}"/>
    <cellStyle name="Примечание 3 12" xfId="28143" xr:uid="{00000000-0005-0000-0000-0000EE6D0000}"/>
    <cellStyle name="Примечание 3 12 2" xfId="28144" xr:uid="{00000000-0005-0000-0000-0000EF6D0000}"/>
    <cellStyle name="Примечание 3 13" xfId="28145" xr:uid="{00000000-0005-0000-0000-0000F06D0000}"/>
    <cellStyle name="Примечание 3 2" xfId="28146" xr:uid="{00000000-0005-0000-0000-0000F16D0000}"/>
    <cellStyle name="Примечание 3 2 2" xfId="28147" xr:uid="{00000000-0005-0000-0000-0000F26D0000}"/>
    <cellStyle name="Примечание 3 2 2 2" xfId="28148" xr:uid="{00000000-0005-0000-0000-0000F36D0000}"/>
    <cellStyle name="Примечание 3 2 2 2 2" xfId="28149" xr:uid="{00000000-0005-0000-0000-0000F46D0000}"/>
    <cellStyle name="Примечание 3 2 2 3" xfId="28150" xr:uid="{00000000-0005-0000-0000-0000F56D0000}"/>
    <cellStyle name="Примечание 3 2 2 3 2" xfId="28151" xr:uid="{00000000-0005-0000-0000-0000F66D0000}"/>
    <cellStyle name="Примечание 3 2 2 4" xfId="28152" xr:uid="{00000000-0005-0000-0000-0000F76D0000}"/>
    <cellStyle name="Примечание 3 2 2 4 2" xfId="28153" xr:uid="{00000000-0005-0000-0000-0000F86D0000}"/>
    <cellStyle name="Примечание 3 2 2 5" xfId="28154" xr:uid="{00000000-0005-0000-0000-0000F96D0000}"/>
    <cellStyle name="Примечание 3 2 2 5 2" xfId="28155" xr:uid="{00000000-0005-0000-0000-0000FA6D0000}"/>
    <cellStyle name="Примечание 3 2 2 6" xfId="28156" xr:uid="{00000000-0005-0000-0000-0000FB6D0000}"/>
    <cellStyle name="Примечание 3 2 2 7" xfId="28157" xr:uid="{00000000-0005-0000-0000-0000FC6D0000}"/>
    <cellStyle name="Примечание 3 2 2_2014БП" xfId="28158" xr:uid="{00000000-0005-0000-0000-0000FD6D0000}"/>
    <cellStyle name="Примечание 3 2 3" xfId="28159" xr:uid="{00000000-0005-0000-0000-0000FE6D0000}"/>
    <cellStyle name="Примечание 3 2 3 2" xfId="28160" xr:uid="{00000000-0005-0000-0000-0000FF6D0000}"/>
    <cellStyle name="Примечание 3 2 4" xfId="28161" xr:uid="{00000000-0005-0000-0000-0000006E0000}"/>
    <cellStyle name="Примечание 3 2 4 2" xfId="28162" xr:uid="{00000000-0005-0000-0000-0000016E0000}"/>
    <cellStyle name="Примечание 3 2 5" xfId="28163" xr:uid="{00000000-0005-0000-0000-0000026E0000}"/>
    <cellStyle name="Примечание 3 2 5 2" xfId="28164" xr:uid="{00000000-0005-0000-0000-0000036E0000}"/>
    <cellStyle name="Примечание 3 2 6" xfId="28165" xr:uid="{00000000-0005-0000-0000-0000046E0000}"/>
    <cellStyle name="Примечание 3 2 6 2" xfId="28166" xr:uid="{00000000-0005-0000-0000-0000056E0000}"/>
    <cellStyle name="Примечание 3 2 7" xfId="28167" xr:uid="{00000000-0005-0000-0000-0000066E0000}"/>
    <cellStyle name="Примечание 3 2 8" xfId="28168" xr:uid="{00000000-0005-0000-0000-0000076E0000}"/>
    <cellStyle name="Примечание 3 2_2013Прогноз" xfId="28169" xr:uid="{00000000-0005-0000-0000-0000086E0000}"/>
    <cellStyle name="Примечание 3 3" xfId="28170" xr:uid="{00000000-0005-0000-0000-0000096E0000}"/>
    <cellStyle name="Примечание 3 3 2" xfId="28171" xr:uid="{00000000-0005-0000-0000-00000A6E0000}"/>
    <cellStyle name="Примечание 3 3 2 2" xfId="28172" xr:uid="{00000000-0005-0000-0000-00000B6E0000}"/>
    <cellStyle name="Примечание 3 3 2 2 2" xfId="28173" xr:uid="{00000000-0005-0000-0000-00000C6E0000}"/>
    <cellStyle name="Примечание 3 3 2 3" xfId="28174" xr:uid="{00000000-0005-0000-0000-00000D6E0000}"/>
    <cellStyle name="Примечание 3 3 2 3 2" xfId="28175" xr:uid="{00000000-0005-0000-0000-00000E6E0000}"/>
    <cellStyle name="Примечание 3 3 2 4" xfId="28176" xr:uid="{00000000-0005-0000-0000-00000F6E0000}"/>
    <cellStyle name="Примечание 3 3 2 4 2" xfId="28177" xr:uid="{00000000-0005-0000-0000-0000106E0000}"/>
    <cellStyle name="Примечание 3 3 2 5" xfId="28178" xr:uid="{00000000-0005-0000-0000-0000116E0000}"/>
    <cellStyle name="Примечание 3 3 2 5 2" xfId="28179" xr:uid="{00000000-0005-0000-0000-0000126E0000}"/>
    <cellStyle name="Примечание 3 3 2 6" xfId="28180" xr:uid="{00000000-0005-0000-0000-0000136E0000}"/>
    <cellStyle name="Примечание 3 3 2 7" xfId="28181" xr:uid="{00000000-0005-0000-0000-0000146E0000}"/>
    <cellStyle name="Примечание 3 3 2_2014БП" xfId="28182" xr:uid="{00000000-0005-0000-0000-0000156E0000}"/>
    <cellStyle name="Примечание 3 3 3" xfId="28183" xr:uid="{00000000-0005-0000-0000-0000166E0000}"/>
    <cellStyle name="Примечание 3 3 3 2" xfId="28184" xr:uid="{00000000-0005-0000-0000-0000176E0000}"/>
    <cellStyle name="Примечание 3 3 4" xfId="28185" xr:uid="{00000000-0005-0000-0000-0000186E0000}"/>
    <cellStyle name="Примечание 3 3 4 2" xfId="28186" xr:uid="{00000000-0005-0000-0000-0000196E0000}"/>
    <cellStyle name="Примечание 3 3 5" xfId="28187" xr:uid="{00000000-0005-0000-0000-00001A6E0000}"/>
    <cellStyle name="Примечание 3 3 5 2" xfId="28188" xr:uid="{00000000-0005-0000-0000-00001B6E0000}"/>
    <cellStyle name="Примечание 3 3 6" xfId="28189" xr:uid="{00000000-0005-0000-0000-00001C6E0000}"/>
    <cellStyle name="Примечание 3 3 6 2" xfId="28190" xr:uid="{00000000-0005-0000-0000-00001D6E0000}"/>
    <cellStyle name="Примечание 3 3 7" xfId="28191" xr:uid="{00000000-0005-0000-0000-00001E6E0000}"/>
    <cellStyle name="Примечание 3 3 8" xfId="28192" xr:uid="{00000000-0005-0000-0000-00001F6E0000}"/>
    <cellStyle name="Примечание 3 3_2013Прогноз" xfId="28193" xr:uid="{00000000-0005-0000-0000-0000206E0000}"/>
    <cellStyle name="Примечание 3 4" xfId="28194" xr:uid="{00000000-0005-0000-0000-0000216E0000}"/>
    <cellStyle name="Примечание 3 4 2" xfId="28195" xr:uid="{00000000-0005-0000-0000-0000226E0000}"/>
    <cellStyle name="Примечание 3 4 2 2" xfId="28196" xr:uid="{00000000-0005-0000-0000-0000236E0000}"/>
    <cellStyle name="Примечание 3 4 3" xfId="28197" xr:uid="{00000000-0005-0000-0000-0000246E0000}"/>
    <cellStyle name="Примечание 3 4 3 2" xfId="28198" xr:uid="{00000000-0005-0000-0000-0000256E0000}"/>
    <cellStyle name="Примечание 3 4 4" xfId="28199" xr:uid="{00000000-0005-0000-0000-0000266E0000}"/>
    <cellStyle name="Примечание 3 4 4 2" xfId="28200" xr:uid="{00000000-0005-0000-0000-0000276E0000}"/>
    <cellStyle name="Примечание 3 4 5" xfId="28201" xr:uid="{00000000-0005-0000-0000-0000286E0000}"/>
    <cellStyle name="Примечание 3 4 5 2" xfId="28202" xr:uid="{00000000-0005-0000-0000-0000296E0000}"/>
    <cellStyle name="Примечание 3 4 6" xfId="28203" xr:uid="{00000000-0005-0000-0000-00002A6E0000}"/>
    <cellStyle name="Примечание 3 4 7" xfId="28204" xr:uid="{00000000-0005-0000-0000-00002B6E0000}"/>
    <cellStyle name="Примечание 3 4_2014БП" xfId="28205" xr:uid="{00000000-0005-0000-0000-00002C6E0000}"/>
    <cellStyle name="Примечание 3 5" xfId="28206" xr:uid="{00000000-0005-0000-0000-00002D6E0000}"/>
    <cellStyle name="Примечание 3 5 2" xfId="28207" xr:uid="{00000000-0005-0000-0000-00002E6E0000}"/>
    <cellStyle name="Примечание 3 5 2 2" xfId="28208" xr:uid="{00000000-0005-0000-0000-00002F6E0000}"/>
    <cellStyle name="Примечание 3 5 3" xfId="28209" xr:uid="{00000000-0005-0000-0000-0000306E0000}"/>
    <cellStyle name="Примечание 3 5 3 2" xfId="28210" xr:uid="{00000000-0005-0000-0000-0000316E0000}"/>
    <cellStyle name="Примечание 3 5 4" xfId="28211" xr:uid="{00000000-0005-0000-0000-0000326E0000}"/>
    <cellStyle name="Примечание 3 5 4 2" xfId="28212" xr:uid="{00000000-0005-0000-0000-0000336E0000}"/>
    <cellStyle name="Примечание 3 5 5" xfId="28213" xr:uid="{00000000-0005-0000-0000-0000346E0000}"/>
    <cellStyle name="Примечание 3 5 5 2" xfId="28214" xr:uid="{00000000-0005-0000-0000-0000356E0000}"/>
    <cellStyle name="Примечание 3 5 6" xfId="28215" xr:uid="{00000000-0005-0000-0000-0000366E0000}"/>
    <cellStyle name="Примечание 3 5 7" xfId="28216" xr:uid="{00000000-0005-0000-0000-0000376E0000}"/>
    <cellStyle name="Примечание 3 5_2014БП" xfId="28217" xr:uid="{00000000-0005-0000-0000-0000386E0000}"/>
    <cellStyle name="Примечание 3 6" xfId="28218" xr:uid="{00000000-0005-0000-0000-0000396E0000}"/>
    <cellStyle name="Примечание 3 6 2" xfId="28219" xr:uid="{00000000-0005-0000-0000-00003A6E0000}"/>
    <cellStyle name="Примечание 3 7" xfId="28220" xr:uid="{00000000-0005-0000-0000-00003B6E0000}"/>
    <cellStyle name="Примечание 3 7 2" xfId="28221" xr:uid="{00000000-0005-0000-0000-00003C6E0000}"/>
    <cellStyle name="Примечание 3 8" xfId="28222" xr:uid="{00000000-0005-0000-0000-00003D6E0000}"/>
    <cellStyle name="Примечание 3 8 2" xfId="28223" xr:uid="{00000000-0005-0000-0000-00003E6E0000}"/>
    <cellStyle name="Примечание 3 9" xfId="28224" xr:uid="{00000000-0005-0000-0000-00003F6E0000}"/>
    <cellStyle name="Примечание 3 9 2" xfId="28225" xr:uid="{00000000-0005-0000-0000-0000406E0000}"/>
    <cellStyle name="Примечание 3_2013Прогноз" xfId="28226" xr:uid="{00000000-0005-0000-0000-0000416E0000}"/>
    <cellStyle name="Примечание 4" xfId="28227" xr:uid="{00000000-0005-0000-0000-0000426E0000}"/>
    <cellStyle name="Примечание 4 10" xfId="28228" xr:uid="{00000000-0005-0000-0000-0000436E0000}"/>
    <cellStyle name="Примечание 4 10 2" xfId="28229" xr:uid="{00000000-0005-0000-0000-0000446E0000}"/>
    <cellStyle name="Примечание 4 11" xfId="28230" xr:uid="{00000000-0005-0000-0000-0000456E0000}"/>
    <cellStyle name="Примечание 4 12" xfId="28231" xr:uid="{00000000-0005-0000-0000-0000466E0000}"/>
    <cellStyle name="Примечание 4 2" xfId="28232" xr:uid="{00000000-0005-0000-0000-0000476E0000}"/>
    <cellStyle name="Примечание 4 2 2" xfId="28233" xr:uid="{00000000-0005-0000-0000-0000486E0000}"/>
    <cellStyle name="Примечание 4 2 2 2" xfId="28234" xr:uid="{00000000-0005-0000-0000-0000496E0000}"/>
    <cellStyle name="Примечание 4 2 3" xfId="28235" xr:uid="{00000000-0005-0000-0000-00004A6E0000}"/>
    <cellStyle name="Примечание 4 2 3 2" xfId="28236" xr:uid="{00000000-0005-0000-0000-00004B6E0000}"/>
    <cellStyle name="Примечание 4 2 4" xfId="28237" xr:uid="{00000000-0005-0000-0000-00004C6E0000}"/>
    <cellStyle name="Примечание 4 2 4 2" xfId="28238" xr:uid="{00000000-0005-0000-0000-00004D6E0000}"/>
    <cellStyle name="Примечание 4 2 5" xfId="28239" xr:uid="{00000000-0005-0000-0000-00004E6E0000}"/>
    <cellStyle name="Примечание 4 2 5 2" xfId="28240" xr:uid="{00000000-0005-0000-0000-00004F6E0000}"/>
    <cellStyle name="Примечание 4 2 6" xfId="28241" xr:uid="{00000000-0005-0000-0000-0000506E0000}"/>
    <cellStyle name="Примечание 4 2 7" xfId="28242" xr:uid="{00000000-0005-0000-0000-0000516E0000}"/>
    <cellStyle name="Примечание 4 2_2014БП" xfId="28243" xr:uid="{00000000-0005-0000-0000-0000526E0000}"/>
    <cellStyle name="Примечание 4 3" xfId="28244" xr:uid="{00000000-0005-0000-0000-0000536E0000}"/>
    <cellStyle name="Примечание 4 3 2" xfId="28245" xr:uid="{00000000-0005-0000-0000-0000546E0000}"/>
    <cellStyle name="Примечание 4 4" xfId="28246" xr:uid="{00000000-0005-0000-0000-0000556E0000}"/>
    <cellStyle name="Примечание 4 4 2" xfId="28247" xr:uid="{00000000-0005-0000-0000-0000566E0000}"/>
    <cellStyle name="Примечание 4 5" xfId="28248" xr:uid="{00000000-0005-0000-0000-0000576E0000}"/>
    <cellStyle name="Примечание 4 5 2" xfId="28249" xr:uid="{00000000-0005-0000-0000-0000586E0000}"/>
    <cellStyle name="Примечание 4 6" xfId="28250" xr:uid="{00000000-0005-0000-0000-0000596E0000}"/>
    <cellStyle name="Примечание 4 6 2" xfId="28251" xr:uid="{00000000-0005-0000-0000-00005A6E0000}"/>
    <cellStyle name="Примечание 4 7" xfId="28252" xr:uid="{00000000-0005-0000-0000-00005B6E0000}"/>
    <cellStyle name="Примечание 4 7 2" xfId="28253" xr:uid="{00000000-0005-0000-0000-00005C6E0000}"/>
    <cellStyle name="Примечание 4 8" xfId="28254" xr:uid="{00000000-0005-0000-0000-00005D6E0000}"/>
    <cellStyle name="Примечание 4 8 2" xfId="28255" xr:uid="{00000000-0005-0000-0000-00005E6E0000}"/>
    <cellStyle name="Примечание 4 9" xfId="28256" xr:uid="{00000000-0005-0000-0000-00005F6E0000}"/>
    <cellStyle name="Примечание 4 9 2" xfId="28257" xr:uid="{00000000-0005-0000-0000-0000606E0000}"/>
    <cellStyle name="Примечание 4_2013Прогноз" xfId="28258" xr:uid="{00000000-0005-0000-0000-0000616E0000}"/>
    <cellStyle name="Примечание 5" xfId="28259" xr:uid="{00000000-0005-0000-0000-0000626E0000}"/>
    <cellStyle name="Примечание 5 10" xfId="28260" xr:uid="{00000000-0005-0000-0000-0000636E0000}"/>
    <cellStyle name="Примечание 5 10 2" xfId="28261" xr:uid="{00000000-0005-0000-0000-0000646E0000}"/>
    <cellStyle name="Примечание 5 11" xfId="28262" xr:uid="{00000000-0005-0000-0000-0000656E0000}"/>
    <cellStyle name="Примечание 5 12" xfId="28263" xr:uid="{00000000-0005-0000-0000-0000666E0000}"/>
    <cellStyle name="Примечание 5 2" xfId="28264" xr:uid="{00000000-0005-0000-0000-0000676E0000}"/>
    <cellStyle name="Примечание 5 2 2" xfId="28265" xr:uid="{00000000-0005-0000-0000-0000686E0000}"/>
    <cellStyle name="Примечание 5 2 2 2" xfId="28266" xr:uid="{00000000-0005-0000-0000-0000696E0000}"/>
    <cellStyle name="Примечание 5 2 3" xfId="28267" xr:uid="{00000000-0005-0000-0000-00006A6E0000}"/>
    <cellStyle name="Примечание 5 2 3 2" xfId="28268" xr:uid="{00000000-0005-0000-0000-00006B6E0000}"/>
    <cellStyle name="Примечание 5 2 4" xfId="28269" xr:uid="{00000000-0005-0000-0000-00006C6E0000}"/>
    <cellStyle name="Примечание 5 2 4 2" xfId="28270" xr:uid="{00000000-0005-0000-0000-00006D6E0000}"/>
    <cellStyle name="Примечание 5 2 5" xfId="28271" xr:uid="{00000000-0005-0000-0000-00006E6E0000}"/>
    <cellStyle name="Примечание 5 2 5 2" xfId="28272" xr:uid="{00000000-0005-0000-0000-00006F6E0000}"/>
    <cellStyle name="Примечание 5 2 6" xfId="28273" xr:uid="{00000000-0005-0000-0000-0000706E0000}"/>
    <cellStyle name="Примечание 5 2 7" xfId="28274" xr:uid="{00000000-0005-0000-0000-0000716E0000}"/>
    <cellStyle name="Примечание 5 2_2014БП" xfId="28275" xr:uid="{00000000-0005-0000-0000-0000726E0000}"/>
    <cellStyle name="Примечание 5 3" xfId="28276" xr:uid="{00000000-0005-0000-0000-0000736E0000}"/>
    <cellStyle name="Примечание 5 3 2" xfId="28277" xr:uid="{00000000-0005-0000-0000-0000746E0000}"/>
    <cellStyle name="Примечание 5 4" xfId="28278" xr:uid="{00000000-0005-0000-0000-0000756E0000}"/>
    <cellStyle name="Примечание 5 4 2" xfId="28279" xr:uid="{00000000-0005-0000-0000-0000766E0000}"/>
    <cellStyle name="Примечание 5 5" xfId="28280" xr:uid="{00000000-0005-0000-0000-0000776E0000}"/>
    <cellStyle name="Примечание 5 5 2" xfId="28281" xr:uid="{00000000-0005-0000-0000-0000786E0000}"/>
    <cellStyle name="Примечание 5 6" xfId="28282" xr:uid="{00000000-0005-0000-0000-0000796E0000}"/>
    <cellStyle name="Примечание 5 6 2" xfId="28283" xr:uid="{00000000-0005-0000-0000-00007A6E0000}"/>
    <cellStyle name="Примечание 5 7" xfId="28284" xr:uid="{00000000-0005-0000-0000-00007B6E0000}"/>
    <cellStyle name="Примечание 5 7 2" xfId="28285" xr:uid="{00000000-0005-0000-0000-00007C6E0000}"/>
    <cellStyle name="Примечание 5 8" xfId="28286" xr:uid="{00000000-0005-0000-0000-00007D6E0000}"/>
    <cellStyle name="Примечание 5 8 2" xfId="28287" xr:uid="{00000000-0005-0000-0000-00007E6E0000}"/>
    <cellStyle name="Примечание 5 9" xfId="28288" xr:uid="{00000000-0005-0000-0000-00007F6E0000}"/>
    <cellStyle name="Примечание 5 9 2" xfId="28289" xr:uid="{00000000-0005-0000-0000-0000806E0000}"/>
    <cellStyle name="Примечание 5_2013Прогноз" xfId="28290" xr:uid="{00000000-0005-0000-0000-0000816E0000}"/>
    <cellStyle name="Примечание 6" xfId="28291" xr:uid="{00000000-0005-0000-0000-0000826E0000}"/>
    <cellStyle name="Примечание 6 2" xfId="28292" xr:uid="{00000000-0005-0000-0000-0000836E0000}"/>
    <cellStyle name="Примечание 6 2 2" xfId="28293" xr:uid="{00000000-0005-0000-0000-0000846E0000}"/>
    <cellStyle name="Примечание 6 3" xfId="28294" xr:uid="{00000000-0005-0000-0000-0000856E0000}"/>
    <cellStyle name="Примечание 6 3 2" xfId="28295" xr:uid="{00000000-0005-0000-0000-0000866E0000}"/>
    <cellStyle name="Примечание 6 4" xfId="28296" xr:uid="{00000000-0005-0000-0000-0000876E0000}"/>
    <cellStyle name="Примечание 6 4 2" xfId="28297" xr:uid="{00000000-0005-0000-0000-0000886E0000}"/>
    <cellStyle name="Примечание 6 5" xfId="28298" xr:uid="{00000000-0005-0000-0000-0000896E0000}"/>
    <cellStyle name="Примечание 6 5 2" xfId="28299" xr:uid="{00000000-0005-0000-0000-00008A6E0000}"/>
    <cellStyle name="Примечание 6 6" xfId="28300" xr:uid="{00000000-0005-0000-0000-00008B6E0000}"/>
    <cellStyle name="Примечание 6 6 2" xfId="28301" xr:uid="{00000000-0005-0000-0000-00008C6E0000}"/>
    <cellStyle name="Примечание 6 7" xfId="28302" xr:uid="{00000000-0005-0000-0000-00008D6E0000}"/>
    <cellStyle name="Примечание 6 8" xfId="28303" xr:uid="{00000000-0005-0000-0000-00008E6E0000}"/>
    <cellStyle name="Примечание 6_2013Прогноз" xfId="28304" xr:uid="{00000000-0005-0000-0000-00008F6E0000}"/>
    <cellStyle name="Примечание 7" xfId="28305" xr:uid="{00000000-0005-0000-0000-0000906E0000}"/>
    <cellStyle name="Примечание 7 2" xfId="28306" xr:uid="{00000000-0005-0000-0000-0000916E0000}"/>
    <cellStyle name="Примечание 7 2 2" xfId="28307" xr:uid="{00000000-0005-0000-0000-0000926E0000}"/>
    <cellStyle name="Примечание 7 3" xfId="28308" xr:uid="{00000000-0005-0000-0000-0000936E0000}"/>
    <cellStyle name="Примечание 7 3 2" xfId="28309" xr:uid="{00000000-0005-0000-0000-0000946E0000}"/>
    <cellStyle name="Примечание 7 4" xfId="28310" xr:uid="{00000000-0005-0000-0000-0000956E0000}"/>
    <cellStyle name="Примечание 7 4 2" xfId="28311" xr:uid="{00000000-0005-0000-0000-0000966E0000}"/>
    <cellStyle name="Примечание 7 5" xfId="28312" xr:uid="{00000000-0005-0000-0000-0000976E0000}"/>
    <cellStyle name="Примечание 7 5 2" xfId="28313" xr:uid="{00000000-0005-0000-0000-0000986E0000}"/>
    <cellStyle name="Примечание 7 6" xfId="28314" xr:uid="{00000000-0005-0000-0000-0000996E0000}"/>
    <cellStyle name="Примечание 7 6 2" xfId="28315" xr:uid="{00000000-0005-0000-0000-00009A6E0000}"/>
    <cellStyle name="Примечание 7 7" xfId="28316" xr:uid="{00000000-0005-0000-0000-00009B6E0000}"/>
    <cellStyle name="Примечание 7 8" xfId="28317" xr:uid="{00000000-0005-0000-0000-00009C6E0000}"/>
    <cellStyle name="Примечание 7_2013Прогноз" xfId="28318" xr:uid="{00000000-0005-0000-0000-00009D6E0000}"/>
    <cellStyle name="Примечание 8" xfId="28319" xr:uid="{00000000-0005-0000-0000-00009E6E0000}"/>
    <cellStyle name="Примечание 8 2" xfId="28320" xr:uid="{00000000-0005-0000-0000-00009F6E0000}"/>
    <cellStyle name="Примечание 8 2 2" xfId="28321" xr:uid="{00000000-0005-0000-0000-0000A06E0000}"/>
    <cellStyle name="Примечание 8 3" xfId="28322" xr:uid="{00000000-0005-0000-0000-0000A16E0000}"/>
    <cellStyle name="Примечание 8 3 2" xfId="28323" xr:uid="{00000000-0005-0000-0000-0000A26E0000}"/>
    <cellStyle name="Примечание 8 4" xfId="28324" xr:uid="{00000000-0005-0000-0000-0000A36E0000}"/>
    <cellStyle name="Примечание 8 4 2" xfId="28325" xr:uid="{00000000-0005-0000-0000-0000A46E0000}"/>
    <cellStyle name="Примечание 8 5" xfId="28326" xr:uid="{00000000-0005-0000-0000-0000A56E0000}"/>
    <cellStyle name="Примечание 8 5 2" xfId="28327" xr:uid="{00000000-0005-0000-0000-0000A66E0000}"/>
    <cellStyle name="Примечание 8 6" xfId="28328" xr:uid="{00000000-0005-0000-0000-0000A76E0000}"/>
    <cellStyle name="Примечание 8 6 2" xfId="28329" xr:uid="{00000000-0005-0000-0000-0000A86E0000}"/>
    <cellStyle name="Примечание 8 7" xfId="28330" xr:uid="{00000000-0005-0000-0000-0000A96E0000}"/>
    <cellStyle name="Примечание 8 8" xfId="28331" xr:uid="{00000000-0005-0000-0000-0000AA6E0000}"/>
    <cellStyle name="Примечание 8_2013Прогноз" xfId="28332" xr:uid="{00000000-0005-0000-0000-0000AB6E0000}"/>
    <cellStyle name="Примечание 9" xfId="28333" xr:uid="{00000000-0005-0000-0000-0000AC6E0000}"/>
    <cellStyle name="Примечание 9 2" xfId="28334" xr:uid="{00000000-0005-0000-0000-0000AD6E0000}"/>
    <cellStyle name="Примечание 9 2 2" xfId="28335" xr:uid="{00000000-0005-0000-0000-0000AE6E0000}"/>
    <cellStyle name="Примечание 9 3" xfId="28336" xr:uid="{00000000-0005-0000-0000-0000AF6E0000}"/>
    <cellStyle name="Примечание 9 3 2" xfId="28337" xr:uid="{00000000-0005-0000-0000-0000B06E0000}"/>
    <cellStyle name="Примечание 9 4" xfId="28338" xr:uid="{00000000-0005-0000-0000-0000B16E0000}"/>
    <cellStyle name="Примечание 9 4 2" xfId="28339" xr:uid="{00000000-0005-0000-0000-0000B26E0000}"/>
    <cellStyle name="Примечание 9 5" xfId="28340" xr:uid="{00000000-0005-0000-0000-0000B36E0000}"/>
    <cellStyle name="Примечание 9 5 2" xfId="28341" xr:uid="{00000000-0005-0000-0000-0000B46E0000}"/>
    <cellStyle name="Примечание 9 6" xfId="28342" xr:uid="{00000000-0005-0000-0000-0000B56E0000}"/>
    <cellStyle name="Примечание 9 6 2" xfId="28343" xr:uid="{00000000-0005-0000-0000-0000B66E0000}"/>
    <cellStyle name="Примечание 9 7" xfId="28344" xr:uid="{00000000-0005-0000-0000-0000B76E0000}"/>
    <cellStyle name="Примечание 9 8" xfId="28345" xr:uid="{00000000-0005-0000-0000-0000B86E0000}"/>
    <cellStyle name="Примечание 9_2013Прогноз" xfId="28346" xr:uid="{00000000-0005-0000-0000-0000B96E0000}"/>
    <cellStyle name="Процентный 10" xfId="28347" xr:uid="{00000000-0005-0000-0000-0000BA6E0000}"/>
    <cellStyle name="Процентный 10 2" xfId="28348" xr:uid="{00000000-0005-0000-0000-0000BB6E0000}"/>
    <cellStyle name="Процентный 10 3" xfId="28349" xr:uid="{00000000-0005-0000-0000-0000BC6E0000}"/>
    <cellStyle name="Процентный 11" xfId="28350" xr:uid="{00000000-0005-0000-0000-0000BD6E0000}"/>
    <cellStyle name="Процентный 11 2" xfId="28351" xr:uid="{00000000-0005-0000-0000-0000BE6E0000}"/>
    <cellStyle name="Процентный 11 2 2" xfId="28352" xr:uid="{00000000-0005-0000-0000-0000BF6E0000}"/>
    <cellStyle name="Процентный 11 2 3" xfId="28353" xr:uid="{00000000-0005-0000-0000-0000C06E0000}"/>
    <cellStyle name="Процентный 11 2 4" xfId="28354" xr:uid="{00000000-0005-0000-0000-0000C16E0000}"/>
    <cellStyle name="Процентный 11 3" xfId="28355" xr:uid="{00000000-0005-0000-0000-0000C26E0000}"/>
    <cellStyle name="Процентный 11 4" xfId="28356" xr:uid="{00000000-0005-0000-0000-0000C36E0000}"/>
    <cellStyle name="Процентный 11 5" xfId="28357" xr:uid="{00000000-0005-0000-0000-0000C46E0000}"/>
    <cellStyle name="Процентный 11 6" xfId="28358" xr:uid="{00000000-0005-0000-0000-0000C56E0000}"/>
    <cellStyle name="Процентный 11 7" xfId="28359" xr:uid="{00000000-0005-0000-0000-0000C66E0000}"/>
    <cellStyle name="Процентный 12" xfId="28360" xr:uid="{00000000-0005-0000-0000-0000C76E0000}"/>
    <cellStyle name="Процентный 13" xfId="28361" xr:uid="{00000000-0005-0000-0000-0000C86E0000}"/>
    <cellStyle name="Процентный 14" xfId="28362" xr:uid="{00000000-0005-0000-0000-0000C96E0000}"/>
    <cellStyle name="Процентный 15" xfId="28363" xr:uid="{00000000-0005-0000-0000-0000CA6E0000}"/>
    <cellStyle name="Процентный 16" xfId="28364" xr:uid="{00000000-0005-0000-0000-0000CB6E0000}"/>
    <cellStyle name="Процентный 2" xfId="28365" xr:uid="{00000000-0005-0000-0000-0000CC6E0000}"/>
    <cellStyle name="Процентный 2 2" xfId="28366" xr:uid="{00000000-0005-0000-0000-0000CD6E0000}"/>
    <cellStyle name="Процентный 2 2 2" xfId="28367" xr:uid="{00000000-0005-0000-0000-0000CE6E0000}"/>
    <cellStyle name="Процентный 2 2 3" xfId="28368" xr:uid="{00000000-0005-0000-0000-0000CF6E0000}"/>
    <cellStyle name="Процентный 2 3" xfId="28369" xr:uid="{00000000-0005-0000-0000-0000D06E0000}"/>
    <cellStyle name="Процентный 2 3 2" xfId="28370" xr:uid="{00000000-0005-0000-0000-0000D16E0000}"/>
    <cellStyle name="Процентный 2 4" xfId="28371" xr:uid="{00000000-0005-0000-0000-0000D26E0000}"/>
    <cellStyle name="Процентный 2 4 2" xfId="28372" xr:uid="{00000000-0005-0000-0000-0000D36E0000}"/>
    <cellStyle name="Процентный 2 5" xfId="28373" xr:uid="{00000000-0005-0000-0000-0000D46E0000}"/>
    <cellStyle name="Процентный 2 5 2" xfId="28374" xr:uid="{00000000-0005-0000-0000-0000D56E0000}"/>
    <cellStyle name="Процентный 2 6" xfId="28375" xr:uid="{00000000-0005-0000-0000-0000D66E0000}"/>
    <cellStyle name="Процентный 2 6 2" xfId="28376" xr:uid="{00000000-0005-0000-0000-0000D76E0000}"/>
    <cellStyle name="Процентный 2 7" xfId="28377" xr:uid="{00000000-0005-0000-0000-0000D86E0000}"/>
    <cellStyle name="Процентный 2 7 2" xfId="28378" xr:uid="{00000000-0005-0000-0000-0000D96E0000}"/>
    <cellStyle name="Процентный 2_2014БП" xfId="28379" xr:uid="{00000000-0005-0000-0000-0000DA6E0000}"/>
    <cellStyle name="Процентный 3" xfId="28380" xr:uid="{00000000-0005-0000-0000-0000DB6E0000}"/>
    <cellStyle name="Процентный 3 2" xfId="28381" xr:uid="{00000000-0005-0000-0000-0000DC6E0000}"/>
    <cellStyle name="Процентный 3 3" xfId="28382" xr:uid="{00000000-0005-0000-0000-0000DD6E0000}"/>
    <cellStyle name="Процентный 4" xfId="28383" xr:uid="{00000000-0005-0000-0000-0000DE6E0000}"/>
    <cellStyle name="Процентный 4 2" xfId="28384" xr:uid="{00000000-0005-0000-0000-0000DF6E0000}"/>
    <cellStyle name="Процентный 4 3" xfId="28385" xr:uid="{00000000-0005-0000-0000-0000E06E0000}"/>
    <cellStyle name="Процентный 4 4" xfId="28386" xr:uid="{00000000-0005-0000-0000-0000E16E0000}"/>
    <cellStyle name="Процентный 4 5" xfId="28387" xr:uid="{00000000-0005-0000-0000-0000E26E0000}"/>
    <cellStyle name="Процентный 4 6" xfId="28388" xr:uid="{00000000-0005-0000-0000-0000E36E0000}"/>
    <cellStyle name="Процентный 4 7" xfId="28389" xr:uid="{00000000-0005-0000-0000-0000E46E0000}"/>
    <cellStyle name="Процентный 5" xfId="28390" xr:uid="{00000000-0005-0000-0000-0000E56E0000}"/>
    <cellStyle name="Процентный 5 2" xfId="28391" xr:uid="{00000000-0005-0000-0000-0000E66E0000}"/>
    <cellStyle name="Процентный 5 2 2" xfId="28392" xr:uid="{00000000-0005-0000-0000-0000E76E0000}"/>
    <cellStyle name="Процентный 5 2 2 2" xfId="28393" xr:uid="{00000000-0005-0000-0000-0000E86E0000}"/>
    <cellStyle name="Процентный 5 2 2 3" xfId="28394" xr:uid="{00000000-0005-0000-0000-0000E96E0000}"/>
    <cellStyle name="Процентный 5 2 2_2014БП" xfId="28395" xr:uid="{00000000-0005-0000-0000-0000EA6E0000}"/>
    <cellStyle name="Процентный 5 2 3" xfId="28396" xr:uid="{00000000-0005-0000-0000-0000EB6E0000}"/>
    <cellStyle name="Процентный 5 2 4" xfId="28397" xr:uid="{00000000-0005-0000-0000-0000EC6E0000}"/>
    <cellStyle name="Процентный 5 2 5" xfId="28398" xr:uid="{00000000-0005-0000-0000-0000ED6E0000}"/>
    <cellStyle name="Процентный 5 2_2014БП" xfId="28399" xr:uid="{00000000-0005-0000-0000-0000EE6E0000}"/>
    <cellStyle name="Процентный 5 3" xfId="28400" xr:uid="{00000000-0005-0000-0000-0000EF6E0000}"/>
    <cellStyle name="Процентный 5 3 2" xfId="28401" xr:uid="{00000000-0005-0000-0000-0000F06E0000}"/>
    <cellStyle name="Процентный 5 3 3" xfId="28402" xr:uid="{00000000-0005-0000-0000-0000F16E0000}"/>
    <cellStyle name="Процентный 5 3 4" xfId="28403" xr:uid="{00000000-0005-0000-0000-0000F26E0000}"/>
    <cellStyle name="Процентный 5 3_2014БП" xfId="28404" xr:uid="{00000000-0005-0000-0000-0000F36E0000}"/>
    <cellStyle name="Процентный 5 4" xfId="28405" xr:uid="{00000000-0005-0000-0000-0000F46E0000}"/>
    <cellStyle name="Процентный 5 4 2" xfId="28406" xr:uid="{00000000-0005-0000-0000-0000F56E0000}"/>
    <cellStyle name="Процентный 5 5" xfId="28407" xr:uid="{00000000-0005-0000-0000-0000F66E0000}"/>
    <cellStyle name="Процентный 5 5 2" xfId="28408" xr:uid="{00000000-0005-0000-0000-0000F76E0000}"/>
    <cellStyle name="Процентный 5 6" xfId="28409" xr:uid="{00000000-0005-0000-0000-0000F86E0000}"/>
    <cellStyle name="Процентный 5 7" xfId="28410" xr:uid="{00000000-0005-0000-0000-0000F96E0000}"/>
    <cellStyle name="Процентный 5_2014БП" xfId="28411" xr:uid="{00000000-0005-0000-0000-0000FA6E0000}"/>
    <cellStyle name="Процентный 6" xfId="28412" xr:uid="{00000000-0005-0000-0000-0000FB6E0000}"/>
    <cellStyle name="Процентный 6 2" xfId="28413" xr:uid="{00000000-0005-0000-0000-0000FC6E0000}"/>
    <cellStyle name="Процентный 6 2 2" xfId="28414" xr:uid="{00000000-0005-0000-0000-0000FD6E0000}"/>
    <cellStyle name="Процентный 6 2 2 2" xfId="28415" xr:uid="{00000000-0005-0000-0000-0000FE6E0000}"/>
    <cellStyle name="Процентный 6 2 2 3" xfId="28416" xr:uid="{00000000-0005-0000-0000-0000FF6E0000}"/>
    <cellStyle name="Процентный 6 2 2_2014БП" xfId="28417" xr:uid="{00000000-0005-0000-0000-0000006F0000}"/>
    <cellStyle name="Процентный 6 2 3" xfId="28418" xr:uid="{00000000-0005-0000-0000-0000016F0000}"/>
    <cellStyle name="Процентный 6 2 4" xfId="28419" xr:uid="{00000000-0005-0000-0000-0000026F0000}"/>
    <cellStyle name="Процентный 6 2 5" xfId="28420" xr:uid="{00000000-0005-0000-0000-0000036F0000}"/>
    <cellStyle name="Процентный 6 2_2014БП" xfId="28421" xr:uid="{00000000-0005-0000-0000-0000046F0000}"/>
    <cellStyle name="Процентный 6 3" xfId="28422" xr:uid="{00000000-0005-0000-0000-0000056F0000}"/>
    <cellStyle name="Процентный 6 3 2" xfId="28423" xr:uid="{00000000-0005-0000-0000-0000066F0000}"/>
    <cellStyle name="Процентный 6 3 3" xfId="28424" xr:uid="{00000000-0005-0000-0000-0000076F0000}"/>
    <cellStyle name="Процентный 6 3 4" xfId="28425" xr:uid="{00000000-0005-0000-0000-0000086F0000}"/>
    <cellStyle name="Процентный 6 3_2014БП" xfId="28426" xr:uid="{00000000-0005-0000-0000-0000096F0000}"/>
    <cellStyle name="Процентный 6 4" xfId="28427" xr:uid="{00000000-0005-0000-0000-00000A6F0000}"/>
    <cellStyle name="Процентный 6 4 2" xfId="28428" xr:uid="{00000000-0005-0000-0000-00000B6F0000}"/>
    <cellStyle name="Процентный 6 5" xfId="28429" xr:uid="{00000000-0005-0000-0000-00000C6F0000}"/>
    <cellStyle name="Процентный 6 5 2" xfId="28430" xr:uid="{00000000-0005-0000-0000-00000D6F0000}"/>
    <cellStyle name="Процентный 6 6" xfId="28431" xr:uid="{00000000-0005-0000-0000-00000E6F0000}"/>
    <cellStyle name="Процентный 6 7" xfId="28432" xr:uid="{00000000-0005-0000-0000-00000F6F0000}"/>
    <cellStyle name="Процентный 6_2014БП" xfId="28433" xr:uid="{00000000-0005-0000-0000-0000106F0000}"/>
    <cellStyle name="Процентный 7" xfId="28434" xr:uid="{00000000-0005-0000-0000-0000116F0000}"/>
    <cellStyle name="Процентный 7 2" xfId="28435" xr:uid="{00000000-0005-0000-0000-0000126F0000}"/>
    <cellStyle name="Процентный 7 3" xfId="28436" xr:uid="{00000000-0005-0000-0000-0000136F0000}"/>
    <cellStyle name="Процентный 7 4" xfId="28437" xr:uid="{00000000-0005-0000-0000-0000146F0000}"/>
    <cellStyle name="Процентный 7 5" xfId="28438" xr:uid="{00000000-0005-0000-0000-0000156F0000}"/>
    <cellStyle name="Процентный 7 6" xfId="28439" xr:uid="{00000000-0005-0000-0000-0000166F0000}"/>
    <cellStyle name="Процентный 7 7" xfId="28440" xr:uid="{00000000-0005-0000-0000-0000176F0000}"/>
    <cellStyle name="Процентный 8" xfId="28441" xr:uid="{00000000-0005-0000-0000-0000186F0000}"/>
    <cellStyle name="Процентный 8 2" xfId="28442" xr:uid="{00000000-0005-0000-0000-0000196F0000}"/>
    <cellStyle name="Процентный 9" xfId="28443" xr:uid="{00000000-0005-0000-0000-00001A6F0000}"/>
    <cellStyle name="Процентный 9 2" xfId="28444" xr:uid="{00000000-0005-0000-0000-00001B6F0000}"/>
    <cellStyle name="руб" xfId="28445" xr:uid="{00000000-0005-0000-0000-00001C6F0000}"/>
    <cellStyle name="руб 2" xfId="28446" xr:uid="{00000000-0005-0000-0000-00001D6F0000}"/>
    <cellStyle name="руб 2 2" xfId="28447" xr:uid="{00000000-0005-0000-0000-00001E6F0000}"/>
    <cellStyle name="руб 2 2 2" xfId="28448" xr:uid="{00000000-0005-0000-0000-00001F6F0000}"/>
    <cellStyle name="руб 2 2 3" xfId="28449" xr:uid="{00000000-0005-0000-0000-0000206F0000}"/>
    <cellStyle name="руб 2 2 4" xfId="28450" xr:uid="{00000000-0005-0000-0000-0000216F0000}"/>
    <cellStyle name="руб 2 2 5" xfId="28451" xr:uid="{00000000-0005-0000-0000-0000226F0000}"/>
    <cellStyle name="руб 2 2_2014БП" xfId="28452" xr:uid="{00000000-0005-0000-0000-0000236F0000}"/>
    <cellStyle name="руб 2 3" xfId="28453" xr:uid="{00000000-0005-0000-0000-0000246F0000}"/>
    <cellStyle name="руб 2 3 2" xfId="28454" xr:uid="{00000000-0005-0000-0000-0000256F0000}"/>
    <cellStyle name="руб 2 4" xfId="28455" xr:uid="{00000000-0005-0000-0000-0000266F0000}"/>
    <cellStyle name="руб 2 4 2" xfId="28456" xr:uid="{00000000-0005-0000-0000-0000276F0000}"/>
    <cellStyle name="руб 2 5" xfId="28457" xr:uid="{00000000-0005-0000-0000-0000286F0000}"/>
    <cellStyle name="руб 2 5 2" xfId="28458" xr:uid="{00000000-0005-0000-0000-0000296F0000}"/>
    <cellStyle name="руб 2 6" xfId="28459" xr:uid="{00000000-0005-0000-0000-00002A6F0000}"/>
    <cellStyle name="руб 2 6 2" xfId="28460" xr:uid="{00000000-0005-0000-0000-00002B6F0000}"/>
    <cellStyle name="руб 2 7" xfId="28461" xr:uid="{00000000-0005-0000-0000-00002C6F0000}"/>
    <cellStyle name="руб 2 8" xfId="28462" xr:uid="{00000000-0005-0000-0000-00002D6F0000}"/>
    <cellStyle name="руб 2 9" xfId="28463" xr:uid="{00000000-0005-0000-0000-00002E6F0000}"/>
    <cellStyle name="руб 2_2013Прогноз" xfId="28464" xr:uid="{00000000-0005-0000-0000-00002F6F0000}"/>
    <cellStyle name="руб 3" xfId="28465" xr:uid="{00000000-0005-0000-0000-0000306F0000}"/>
    <cellStyle name="руб 3 2" xfId="28466" xr:uid="{00000000-0005-0000-0000-0000316F0000}"/>
    <cellStyle name="руб 3 3" xfId="28467" xr:uid="{00000000-0005-0000-0000-0000326F0000}"/>
    <cellStyle name="руб 3 4" xfId="28468" xr:uid="{00000000-0005-0000-0000-0000336F0000}"/>
    <cellStyle name="руб 3 5" xfId="28469" xr:uid="{00000000-0005-0000-0000-0000346F0000}"/>
    <cellStyle name="руб 3_2014БП" xfId="28470" xr:uid="{00000000-0005-0000-0000-0000356F0000}"/>
    <cellStyle name="руб_2013Прогноз" xfId="28471" xr:uid="{00000000-0005-0000-0000-0000366F0000}"/>
    <cellStyle name="Связанная ячейка 2" xfId="28472" xr:uid="{00000000-0005-0000-0000-0000376F0000}"/>
    <cellStyle name="Связанная ячейка 2 2" xfId="28473" xr:uid="{00000000-0005-0000-0000-0000386F0000}"/>
    <cellStyle name="Связанная ячейка 2 3" xfId="28474" xr:uid="{00000000-0005-0000-0000-0000396F0000}"/>
    <cellStyle name="Связанная ячейка 2_2014БП" xfId="28475" xr:uid="{00000000-0005-0000-0000-00003A6F0000}"/>
    <cellStyle name="Связанная ячейка 3" xfId="28476" xr:uid="{00000000-0005-0000-0000-00003B6F0000}"/>
    <cellStyle name="Связанная ячейка 4" xfId="28477" xr:uid="{00000000-0005-0000-0000-00003C6F0000}"/>
    <cellStyle name="Стиль 1" xfId="28478" xr:uid="{00000000-0005-0000-0000-00003D6F0000}"/>
    <cellStyle name="Стиль 1 2" xfId="28479" xr:uid="{00000000-0005-0000-0000-00003E6F0000}"/>
    <cellStyle name="Стиль 1 2 2" xfId="28480" xr:uid="{00000000-0005-0000-0000-00003F6F0000}"/>
    <cellStyle name="Стиль 1 2 3" xfId="28481" xr:uid="{00000000-0005-0000-0000-0000406F0000}"/>
    <cellStyle name="Стиль 1 2 4" xfId="28482" xr:uid="{00000000-0005-0000-0000-0000416F0000}"/>
    <cellStyle name="Стиль 1 2 5" xfId="28483" xr:uid="{00000000-0005-0000-0000-0000426F0000}"/>
    <cellStyle name="Стиль 1 2_2014БП" xfId="28484" xr:uid="{00000000-0005-0000-0000-0000436F0000}"/>
    <cellStyle name="Стиль 1 3" xfId="28485" xr:uid="{00000000-0005-0000-0000-0000446F0000}"/>
    <cellStyle name="Стиль 1 4" xfId="28486" xr:uid="{00000000-0005-0000-0000-0000456F0000}"/>
    <cellStyle name="Стиль 1 5" xfId="28487" xr:uid="{00000000-0005-0000-0000-0000466F0000}"/>
    <cellStyle name="Стиль 1 6" xfId="28488" xr:uid="{00000000-0005-0000-0000-0000476F0000}"/>
    <cellStyle name="Стиль 1 7" xfId="28489" xr:uid="{00000000-0005-0000-0000-0000486F0000}"/>
    <cellStyle name="Стиль 1 8" xfId="28490" xr:uid="{00000000-0005-0000-0000-0000496F0000}"/>
    <cellStyle name="Стиль 1 9" xfId="28491" xr:uid="{00000000-0005-0000-0000-00004A6F0000}"/>
    <cellStyle name="Стиль 1_2014БП" xfId="28492" xr:uid="{00000000-0005-0000-0000-00004B6F0000}"/>
    <cellStyle name="Стиль_названий" xfId="28493" xr:uid="{00000000-0005-0000-0000-00004C6F0000}"/>
    <cellStyle name="табл.заголовок" xfId="28494" xr:uid="{00000000-0005-0000-0000-00004D6F0000}"/>
    <cellStyle name="табл.заголовок 2" xfId="28495" xr:uid="{00000000-0005-0000-0000-00004E6F0000}"/>
    <cellStyle name="табл.номер столбца" xfId="28496" xr:uid="{00000000-0005-0000-0000-00004F6F0000}"/>
    <cellStyle name="табл.номер столбца 2" xfId="28497" xr:uid="{00000000-0005-0000-0000-0000506F0000}"/>
    <cellStyle name="табл.ячейуа" xfId="28498" xr:uid="{00000000-0005-0000-0000-0000516F0000}"/>
    <cellStyle name="табл.ячейуа 2" xfId="28499" xr:uid="{00000000-0005-0000-0000-0000526F0000}"/>
    <cellStyle name="ТАБЛИЦА СЕРАЯ заголовок" xfId="28500" xr:uid="{00000000-0005-0000-0000-0000536F0000}"/>
    <cellStyle name="ТАБЛИЦА СЕРАЯ заголовок 2" xfId="28501" xr:uid="{00000000-0005-0000-0000-0000546F0000}"/>
    <cellStyle name="ТАБЛИЦА СЕРАЯ номер столбца" xfId="28502" xr:uid="{00000000-0005-0000-0000-0000556F0000}"/>
    <cellStyle name="ТАБЛИЦА СЕРАЯ номер столбца 2" xfId="28503" xr:uid="{00000000-0005-0000-0000-0000566F0000}"/>
    <cellStyle name="ТАБЛИЦА СЕРАЯ ячейка" xfId="28504" xr:uid="{00000000-0005-0000-0000-0000576F0000}"/>
    <cellStyle name="ТАБЛИЦА СЕРАЯ ячейка 2" xfId="28505" xr:uid="{00000000-0005-0000-0000-0000586F0000}"/>
    <cellStyle name="Текст" xfId="28506" xr:uid="{00000000-0005-0000-0000-0000596F0000}"/>
    <cellStyle name="Текст предупреждения 2" xfId="28507" xr:uid="{00000000-0005-0000-0000-00005A6F0000}"/>
    <cellStyle name="Текст предупреждения 2 2" xfId="28508" xr:uid="{00000000-0005-0000-0000-00005B6F0000}"/>
    <cellStyle name="Текст предупреждения 2 3" xfId="28509" xr:uid="{00000000-0005-0000-0000-00005C6F0000}"/>
    <cellStyle name="Текст предупреждения 2_2014БП" xfId="28510" xr:uid="{00000000-0005-0000-0000-00005D6F0000}"/>
    <cellStyle name="Текст предупреждения 3" xfId="28511" xr:uid="{00000000-0005-0000-0000-00005E6F0000}"/>
    <cellStyle name="Текст предупреждения 4" xfId="28512" xr:uid="{00000000-0005-0000-0000-00005F6F0000}"/>
    <cellStyle name="тонны" xfId="28513" xr:uid="{00000000-0005-0000-0000-0000606F0000}"/>
    <cellStyle name="Тысячи [0]__PC" xfId="28514" xr:uid="{00000000-0005-0000-0000-0000616F0000}"/>
    <cellStyle name="Тысячи [а]" xfId="28515" xr:uid="{00000000-0005-0000-0000-0000626F0000}"/>
    <cellStyle name="Тысячи__PC" xfId="28516" xr:uid="{00000000-0005-0000-0000-0000636F0000}"/>
    <cellStyle name="Финансовый [0] 2" xfId="28517" xr:uid="{00000000-0005-0000-0000-0000646F0000}"/>
    <cellStyle name="Финансовый [0] 2 2" xfId="28518" xr:uid="{00000000-0005-0000-0000-0000656F0000}"/>
    <cellStyle name="Финансовый [0] 2 2 2" xfId="28519" xr:uid="{00000000-0005-0000-0000-0000666F0000}"/>
    <cellStyle name="Финансовый [0] 2 2 3" xfId="28520" xr:uid="{00000000-0005-0000-0000-0000676F0000}"/>
    <cellStyle name="Финансовый [0] 2 2_2014БП" xfId="28521" xr:uid="{00000000-0005-0000-0000-0000686F0000}"/>
    <cellStyle name="Финансовый [0] 2 3" xfId="28522" xr:uid="{00000000-0005-0000-0000-0000696F0000}"/>
    <cellStyle name="Финансовый [0] 2 4" xfId="28523" xr:uid="{00000000-0005-0000-0000-00006A6F0000}"/>
    <cellStyle name="Финансовый [0] 2_2014БП" xfId="28524" xr:uid="{00000000-0005-0000-0000-00006B6F0000}"/>
    <cellStyle name="Финансовый 10" xfId="28525" xr:uid="{00000000-0005-0000-0000-00006C6F0000}"/>
    <cellStyle name="Финансовый 11" xfId="28526" xr:uid="{00000000-0005-0000-0000-00006D6F0000}"/>
    <cellStyle name="Финансовый 12" xfId="28527" xr:uid="{00000000-0005-0000-0000-00006E6F0000}"/>
    <cellStyle name="Финансовый 13" xfId="28528" xr:uid="{00000000-0005-0000-0000-00006F6F0000}"/>
    <cellStyle name="Финансовый 13 2" xfId="28529" xr:uid="{00000000-0005-0000-0000-0000706F0000}"/>
    <cellStyle name="Финансовый 14" xfId="28530" xr:uid="{00000000-0005-0000-0000-0000716F0000}"/>
    <cellStyle name="Финансовый 15" xfId="28531" xr:uid="{00000000-0005-0000-0000-0000726F0000}"/>
    <cellStyle name="Финансовый 16" xfId="28532" xr:uid="{00000000-0005-0000-0000-0000736F0000}"/>
    <cellStyle name="Финансовый 17" xfId="28533" xr:uid="{00000000-0005-0000-0000-0000746F0000}"/>
    <cellStyle name="Финансовый 18" xfId="28534" xr:uid="{00000000-0005-0000-0000-0000756F0000}"/>
    <cellStyle name="Финансовый 19" xfId="28535" xr:uid="{00000000-0005-0000-0000-0000766F0000}"/>
    <cellStyle name="Финансовый 2" xfId="28536" xr:uid="{00000000-0005-0000-0000-0000776F0000}"/>
    <cellStyle name="Финансовый 2 2" xfId="2" xr:uid="{00000000-0005-0000-0000-0000786F0000}"/>
    <cellStyle name="Финансовый 2 2 2" xfId="28537" xr:uid="{00000000-0005-0000-0000-0000796F0000}"/>
    <cellStyle name="Финансовый 2 2 3" xfId="28538" xr:uid="{00000000-0005-0000-0000-00007A6F0000}"/>
    <cellStyle name="Финансовый 2 3" xfId="28539" xr:uid="{00000000-0005-0000-0000-00007B6F0000}"/>
    <cellStyle name="Финансовый 2 4" xfId="28540" xr:uid="{00000000-0005-0000-0000-00007C6F0000}"/>
    <cellStyle name="Финансовый 2_2014БП" xfId="28541" xr:uid="{00000000-0005-0000-0000-00007D6F0000}"/>
    <cellStyle name="Финансовый 3" xfId="28542" xr:uid="{00000000-0005-0000-0000-00007E6F0000}"/>
    <cellStyle name="Финансовый 3 2" xfId="28543" xr:uid="{00000000-0005-0000-0000-00007F6F0000}"/>
    <cellStyle name="Финансовый 3 2 2" xfId="28544" xr:uid="{00000000-0005-0000-0000-0000806F0000}"/>
    <cellStyle name="Финансовый 3 3" xfId="28545" xr:uid="{00000000-0005-0000-0000-0000816F0000}"/>
    <cellStyle name="Финансовый 3 4" xfId="28546" xr:uid="{00000000-0005-0000-0000-0000826F0000}"/>
    <cellStyle name="Финансовый 3_2014БП" xfId="28547" xr:uid="{00000000-0005-0000-0000-0000836F0000}"/>
    <cellStyle name="Финансовый 4" xfId="28548" xr:uid="{00000000-0005-0000-0000-0000846F0000}"/>
    <cellStyle name="Финансовый 4 2" xfId="28549" xr:uid="{00000000-0005-0000-0000-0000856F0000}"/>
    <cellStyle name="Финансовый 5" xfId="28550" xr:uid="{00000000-0005-0000-0000-0000866F0000}"/>
    <cellStyle name="Финансовый 5 2" xfId="28551" xr:uid="{00000000-0005-0000-0000-0000876F0000}"/>
    <cellStyle name="Финансовый 5 3" xfId="28552" xr:uid="{00000000-0005-0000-0000-0000886F0000}"/>
    <cellStyle name="Финансовый 5_2014БП" xfId="28553" xr:uid="{00000000-0005-0000-0000-0000896F0000}"/>
    <cellStyle name="Финансовый 6" xfId="28554" xr:uid="{00000000-0005-0000-0000-00008A6F0000}"/>
    <cellStyle name="Финансовый 6 2" xfId="28555" xr:uid="{00000000-0005-0000-0000-00008B6F0000}"/>
    <cellStyle name="Финансовый 7" xfId="28556" xr:uid="{00000000-0005-0000-0000-00008C6F0000}"/>
    <cellStyle name="Финансовый 7 2" xfId="28557" xr:uid="{00000000-0005-0000-0000-00008D6F0000}"/>
    <cellStyle name="Финансовый 8" xfId="28558" xr:uid="{00000000-0005-0000-0000-00008E6F0000}"/>
    <cellStyle name="Финансовый 9" xfId="28559" xr:uid="{00000000-0005-0000-0000-00008F6F0000}"/>
    <cellStyle name="Хороший 2" xfId="28560" xr:uid="{00000000-0005-0000-0000-0000906F0000}"/>
    <cellStyle name="Хороший 2 2" xfId="28561" xr:uid="{00000000-0005-0000-0000-0000916F0000}"/>
    <cellStyle name="Хороший 2 3" xfId="28562" xr:uid="{00000000-0005-0000-0000-0000926F0000}"/>
    <cellStyle name="Хороший 2_2014БП" xfId="28563" xr:uid="{00000000-0005-0000-0000-0000936F0000}"/>
    <cellStyle name="Хороший 3" xfId="28564" xr:uid="{00000000-0005-0000-0000-0000946F0000}"/>
    <cellStyle name="Хороший 4" xfId="28565" xr:uid="{00000000-0005-0000-0000-0000956F0000}"/>
    <cellStyle name="Цена" xfId="28566" xr:uid="{00000000-0005-0000-0000-0000966F0000}"/>
    <cellStyle name="Цена 10" xfId="28567" xr:uid="{00000000-0005-0000-0000-0000976F0000}"/>
    <cellStyle name="Цена 11" xfId="28568" xr:uid="{00000000-0005-0000-0000-0000986F0000}"/>
    <cellStyle name="Цена 12" xfId="28569" xr:uid="{00000000-0005-0000-0000-0000996F0000}"/>
    <cellStyle name="Цена 2" xfId="28570" xr:uid="{00000000-0005-0000-0000-00009A6F0000}"/>
    <cellStyle name="Цена 2 2" xfId="28571" xr:uid="{00000000-0005-0000-0000-00009B6F0000}"/>
    <cellStyle name="Цена 2 2 2" xfId="28572" xr:uid="{00000000-0005-0000-0000-00009C6F0000}"/>
    <cellStyle name="Цена 2 2 3" xfId="28573" xr:uid="{00000000-0005-0000-0000-00009D6F0000}"/>
    <cellStyle name="Цена 2 2 4" xfId="28574" xr:uid="{00000000-0005-0000-0000-00009E6F0000}"/>
    <cellStyle name="Цена 2 2 5" xfId="28575" xr:uid="{00000000-0005-0000-0000-00009F6F0000}"/>
    <cellStyle name="Цена 2 2 6" xfId="28576" xr:uid="{00000000-0005-0000-0000-0000A06F0000}"/>
    <cellStyle name="Цена 2 2_2014БП" xfId="28577" xr:uid="{00000000-0005-0000-0000-0000A16F0000}"/>
    <cellStyle name="Цена 2 3" xfId="28578" xr:uid="{00000000-0005-0000-0000-0000A26F0000}"/>
    <cellStyle name="Цена 2 3 2" xfId="28579" xr:uid="{00000000-0005-0000-0000-0000A36F0000}"/>
    <cellStyle name="Цена 2 4" xfId="28580" xr:uid="{00000000-0005-0000-0000-0000A46F0000}"/>
    <cellStyle name="Цена 2 4 2" xfId="28581" xr:uid="{00000000-0005-0000-0000-0000A56F0000}"/>
    <cellStyle name="Цена 2 5" xfId="28582" xr:uid="{00000000-0005-0000-0000-0000A66F0000}"/>
    <cellStyle name="Цена 2 5 2" xfId="28583" xr:uid="{00000000-0005-0000-0000-0000A76F0000}"/>
    <cellStyle name="Цена 2 6" xfId="28584" xr:uid="{00000000-0005-0000-0000-0000A86F0000}"/>
    <cellStyle name="Цена 2 6 2" xfId="28585" xr:uid="{00000000-0005-0000-0000-0000A96F0000}"/>
    <cellStyle name="Цена 2 7" xfId="28586" xr:uid="{00000000-0005-0000-0000-0000AA6F0000}"/>
    <cellStyle name="Цена 2 8" xfId="28587" xr:uid="{00000000-0005-0000-0000-0000AB6F0000}"/>
    <cellStyle name="Цена 2 9" xfId="28588" xr:uid="{00000000-0005-0000-0000-0000AC6F0000}"/>
    <cellStyle name="Цена 2_2013Прогноз" xfId="28589" xr:uid="{00000000-0005-0000-0000-0000AD6F0000}"/>
    <cellStyle name="Цена 3" xfId="28590" xr:uid="{00000000-0005-0000-0000-0000AE6F0000}"/>
    <cellStyle name="Цена 3 2" xfId="28591" xr:uid="{00000000-0005-0000-0000-0000AF6F0000}"/>
    <cellStyle name="Цена 3 3" xfId="28592" xr:uid="{00000000-0005-0000-0000-0000B06F0000}"/>
    <cellStyle name="Цена 3 4" xfId="28593" xr:uid="{00000000-0005-0000-0000-0000B16F0000}"/>
    <cellStyle name="Цена 3 5" xfId="28594" xr:uid="{00000000-0005-0000-0000-0000B26F0000}"/>
    <cellStyle name="Цена 3 6" xfId="28595" xr:uid="{00000000-0005-0000-0000-0000B36F0000}"/>
    <cellStyle name="Цена 3_2014БП" xfId="28596" xr:uid="{00000000-0005-0000-0000-0000B46F0000}"/>
    <cellStyle name="Цена 4" xfId="28597" xr:uid="{00000000-0005-0000-0000-0000B56F0000}"/>
    <cellStyle name="Цена 5" xfId="28598" xr:uid="{00000000-0005-0000-0000-0000B66F0000}"/>
    <cellStyle name="Цена 6" xfId="28599" xr:uid="{00000000-0005-0000-0000-0000B76F0000}"/>
    <cellStyle name="Цена 7" xfId="28600" xr:uid="{00000000-0005-0000-0000-0000B86F0000}"/>
    <cellStyle name="Цена 8" xfId="28601" xr:uid="{00000000-0005-0000-0000-0000B96F0000}"/>
    <cellStyle name="Цена 9" xfId="28602" xr:uid="{00000000-0005-0000-0000-0000BA6F0000}"/>
    <cellStyle name="Цена_2013Прогноз" xfId="28603" xr:uid="{00000000-0005-0000-0000-0000BB6F0000}"/>
    <cellStyle name="Џђћ–…ќ’ќ›‰" xfId="28604" xr:uid="{00000000-0005-0000-0000-0000BC6F0000}"/>
    <cellStyle name="Џђћ–…ќ’ќ›‰ 2" xfId="28605" xr:uid="{00000000-0005-0000-0000-0000BD6F0000}"/>
    <cellStyle name="Џђћ–…ќ’ќ›‰ 2 2" xfId="28606" xr:uid="{00000000-0005-0000-0000-0000BE6F0000}"/>
    <cellStyle name="Џђћ–…ќ’ќ›‰ 3" xfId="28607" xr:uid="{00000000-0005-0000-0000-0000BF6F0000}"/>
    <cellStyle name="Џђћ–…ќ’ќ›‰ 4" xfId="28608" xr:uid="{00000000-0005-0000-0000-0000C06F0000}"/>
    <cellStyle name="Џђћ–…ќ’ќ›‰ 5" xfId="28609" xr:uid="{00000000-0005-0000-0000-0000C16F0000}"/>
    <cellStyle name="Џђћ–…ќ’ќ›‰ 6" xfId="28610" xr:uid="{00000000-0005-0000-0000-0000C26F0000}"/>
    <cellStyle name="Џђћ–…ќ’ќ›‰ 7" xfId="28611" xr:uid="{00000000-0005-0000-0000-0000C36F0000}"/>
    <cellStyle name="Џђћ–…ќ’ќ›‰ 8" xfId="28612" xr:uid="{00000000-0005-0000-0000-0000C46F0000}"/>
    <cellStyle name="Џђћ–…ќ’ќ›‰_2014БП" xfId="28613" xr:uid="{00000000-0005-0000-0000-0000C56F0000}"/>
    <cellStyle name="Шапка" xfId="28614" xr:uid="{00000000-0005-0000-0000-0000C66F0000}"/>
    <cellStyle name="Шапка 10" xfId="28615" xr:uid="{00000000-0005-0000-0000-0000C76F0000}"/>
    <cellStyle name="Шапка 10 10" xfId="28616" xr:uid="{00000000-0005-0000-0000-0000C86F0000}"/>
    <cellStyle name="Шапка 10 11" xfId="28617" xr:uid="{00000000-0005-0000-0000-0000C96F0000}"/>
    <cellStyle name="Шапка 10 2" xfId="28618" xr:uid="{00000000-0005-0000-0000-0000CA6F0000}"/>
    <cellStyle name="Шапка 10 3" xfId="28619" xr:uid="{00000000-0005-0000-0000-0000CB6F0000}"/>
    <cellStyle name="Шапка 10 4" xfId="28620" xr:uid="{00000000-0005-0000-0000-0000CC6F0000}"/>
    <cellStyle name="Шапка 10 5" xfId="28621" xr:uid="{00000000-0005-0000-0000-0000CD6F0000}"/>
    <cellStyle name="Шапка 10 6" xfId="28622" xr:uid="{00000000-0005-0000-0000-0000CE6F0000}"/>
    <cellStyle name="Шапка 10 7" xfId="28623" xr:uid="{00000000-0005-0000-0000-0000CF6F0000}"/>
    <cellStyle name="Шапка 10 8" xfId="28624" xr:uid="{00000000-0005-0000-0000-0000D06F0000}"/>
    <cellStyle name="Шапка 10 9" xfId="28625" xr:uid="{00000000-0005-0000-0000-0000D16F0000}"/>
    <cellStyle name="Шапка 11" xfId="28626" xr:uid="{00000000-0005-0000-0000-0000D26F0000}"/>
    <cellStyle name="Шапка 11 10" xfId="28627" xr:uid="{00000000-0005-0000-0000-0000D36F0000}"/>
    <cellStyle name="Шапка 11 11" xfId="28628" xr:uid="{00000000-0005-0000-0000-0000D46F0000}"/>
    <cellStyle name="Шапка 11 2" xfId="28629" xr:uid="{00000000-0005-0000-0000-0000D56F0000}"/>
    <cellStyle name="Шапка 11 3" xfId="28630" xr:uid="{00000000-0005-0000-0000-0000D66F0000}"/>
    <cellStyle name="Шапка 11 4" xfId="28631" xr:uid="{00000000-0005-0000-0000-0000D76F0000}"/>
    <cellStyle name="Шапка 11 5" xfId="28632" xr:uid="{00000000-0005-0000-0000-0000D86F0000}"/>
    <cellStyle name="Шапка 11 6" xfId="28633" xr:uid="{00000000-0005-0000-0000-0000D96F0000}"/>
    <cellStyle name="Шапка 11 7" xfId="28634" xr:uid="{00000000-0005-0000-0000-0000DA6F0000}"/>
    <cellStyle name="Шапка 11 8" xfId="28635" xr:uid="{00000000-0005-0000-0000-0000DB6F0000}"/>
    <cellStyle name="Шапка 11 9" xfId="28636" xr:uid="{00000000-0005-0000-0000-0000DC6F0000}"/>
    <cellStyle name="Шапка 12" xfId="28637" xr:uid="{00000000-0005-0000-0000-0000DD6F0000}"/>
    <cellStyle name="Шапка 12 10" xfId="28638" xr:uid="{00000000-0005-0000-0000-0000DE6F0000}"/>
    <cellStyle name="Шапка 12 11" xfId="28639" xr:uid="{00000000-0005-0000-0000-0000DF6F0000}"/>
    <cellStyle name="Шапка 12 2" xfId="28640" xr:uid="{00000000-0005-0000-0000-0000E06F0000}"/>
    <cellStyle name="Шапка 12 3" xfId="28641" xr:uid="{00000000-0005-0000-0000-0000E16F0000}"/>
    <cellStyle name="Шапка 12 4" xfId="28642" xr:uid="{00000000-0005-0000-0000-0000E26F0000}"/>
    <cellStyle name="Шапка 12 5" xfId="28643" xr:uid="{00000000-0005-0000-0000-0000E36F0000}"/>
    <cellStyle name="Шапка 12 6" xfId="28644" xr:uid="{00000000-0005-0000-0000-0000E46F0000}"/>
    <cellStyle name="Шапка 12 7" xfId="28645" xr:uid="{00000000-0005-0000-0000-0000E56F0000}"/>
    <cellStyle name="Шапка 12 8" xfId="28646" xr:uid="{00000000-0005-0000-0000-0000E66F0000}"/>
    <cellStyle name="Шапка 12 9" xfId="28647" xr:uid="{00000000-0005-0000-0000-0000E76F0000}"/>
    <cellStyle name="Шапка 13" xfId="28648" xr:uid="{00000000-0005-0000-0000-0000E86F0000}"/>
    <cellStyle name="Шапка 13 10" xfId="28649" xr:uid="{00000000-0005-0000-0000-0000E96F0000}"/>
    <cellStyle name="Шапка 13 11" xfId="28650" xr:uid="{00000000-0005-0000-0000-0000EA6F0000}"/>
    <cellStyle name="Шапка 13 2" xfId="28651" xr:uid="{00000000-0005-0000-0000-0000EB6F0000}"/>
    <cellStyle name="Шапка 13 3" xfId="28652" xr:uid="{00000000-0005-0000-0000-0000EC6F0000}"/>
    <cellStyle name="Шапка 13 4" xfId="28653" xr:uid="{00000000-0005-0000-0000-0000ED6F0000}"/>
    <cellStyle name="Шапка 13 5" xfId="28654" xr:uid="{00000000-0005-0000-0000-0000EE6F0000}"/>
    <cellStyle name="Шапка 13 6" xfId="28655" xr:uid="{00000000-0005-0000-0000-0000EF6F0000}"/>
    <cellStyle name="Шапка 13 7" xfId="28656" xr:uid="{00000000-0005-0000-0000-0000F06F0000}"/>
    <cellStyle name="Шапка 13 8" xfId="28657" xr:uid="{00000000-0005-0000-0000-0000F16F0000}"/>
    <cellStyle name="Шапка 13 9" xfId="28658" xr:uid="{00000000-0005-0000-0000-0000F26F0000}"/>
    <cellStyle name="Шапка 14" xfId="28659" xr:uid="{00000000-0005-0000-0000-0000F36F0000}"/>
    <cellStyle name="Шапка 14 10" xfId="28660" xr:uid="{00000000-0005-0000-0000-0000F46F0000}"/>
    <cellStyle name="Шапка 14 11" xfId="28661" xr:uid="{00000000-0005-0000-0000-0000F56F0000}"/>
    <cellStyle name="Шапка 14 2" xfId="28662" xr:uid="{00000000-0005-0000-0000-0000F66F0000}"/>
    <cellStyle name="Шапка 14 3" xfId="28663" xr:uid="{00000000-0005-0000-0000-0000F76F0000}"/>
    <cellStyle name="Шапка 14 4" xfId="28664" xr:uid="{00000000-0005-0000-0000-0000F86F0000}"/>
    <cellStyle name="Шапка 14 5" xfId="28665" xr:uid="{00000000-0005-0000-0000-0000F96F0000}"/>
    <cellStyle name="Шапка 14 6" xfId="28666" xr:uid="{00000000-0005-0000-0000-0000FA6F0000}"/>
    <cellStyle name="Шапка 14 7" xfId="28667" xr:uid="{00000000-0005-0000-0000-0000FB6F0000}"/>
    <cellStyle name="Шапка 14 8" xfId="28668" xr:uid="{00000000-0005-0000-0000-0000FC6F0000}"/>
    <cellStyle name="Шапка 14 9" xfId="28669" xr:uid="{00000000-0005-0000-0000-0000FD6F0000}"/>
    <cellStyle name="Шапка 15" xfId="28670" xr:uid="{00000000-0005-0000-0000-0000FE6F0000}"/>
    <cellStyle name="Шапка 15 10" xfId="28671" xr:uid="{00000000-0005-0000-0000-0000FF6F0000}"/>
    <cellStyle name="Шапка 15 11" xfId="28672" xr:uid="{00000000-0005-0000-0000-000000700000}"/>
    <cellStyle name="Шапка 15 2" xfId="28673" xr:uid="{00000000-0005-0000-0000-000001700000}"/>
    <cellStyle name="Шапка 15 3" xfId="28674" xr:uid="{00000000-0005-0000-0000-000002700000}"/>
    <cellStyle name="Шапка 15 4" xfId="28675" xr:uid="{00000000-0005-0000-0000-000003700000}"/>
    <cellStyle name="Шапка 15 5" xfId="28676" xr:uid="{00000000-0005-0000-0000-000004700000}"/>
    <cellStyle name="Шапка 15 6" xfId="28677" xr:uid="{00000000-0005-0000-0000-000005700000}"/>
    <cellStyle name="Шапка 15 7" xfId="28678" xr:uid="{00000000-0005-0000-0000-000006700000}"/>
    <cellStyle name="Шапка 15 8" xfId="28679" xr:uid="{00000000-0005-0000-0000-000007700000}"/>
    <cellStyle name="Шапка 15 9" xfId="28680" xr:uid="{00000000-0005-0000-0000-000008700000}"/>
    <cellStyle name="Шапка 16" xfId="28681" xr:uid="{00000000-0005-0000-0000-000009700000}"/>
    <cellStyle name="Шапка 16 2" xfId="28682" xr:uid="{00000000-0005-0000-0000-00000A700000}"/>
    <cellStyle name="Шапка 17" xfId="28683" xr:uid="{00000000-0005-0000-0000-00000B700000}"/>
    <cellStyle name="Шапка 17 2" xfId="28684" xr:uid="{00000000-0005-0000-0000-00000C700000}"/>
    <cellStyle name="Шапка 18" xfId="28685" xr:uid="{00000000-0005-0000-0000-00000D700000}"/>
    <cellStyle name="Шапка 18 2" xfId="28686" xr:uid="{00000000-0005-0000-0000-00000E700000}"/>
    <cellStyle name="Шапка 19" xfId="28687" xr:uid="{00000000-0005-0000-0000-00000F700000}"/>
    <cellStyle name="Шапка 19 2" xfId="28688" xr:uid="{00000000-0005-0000-0000-000010700000}"/>
    <cellStyle name="Шапка 2" xfId="28689" xr:uid="{00000000-0005-0000-0000-000011700000}"/>
    <cellStyle name="Шапка 2 10" xfId="28690" xr:uid="{00000000-0005-0000-0000-000012700000}"/>
    <cellStyle name="Шапка 2 11" xfId="28691" xr:uid="{00000000-0005-0000-0000-000013700000}"/>
    <cellStyle name="Шапка 2 2" xfId="28692" xr:uid="{00000000-0005-0000-0000-000014700000}"/>
    <cellStyle name="Шапка 2 3" xfId="28693" xr:uid="{00000000-0005-0000-0000-000015700000}"/>
    <cellStyle name="Шапка 2 4" xfId="28694" xr:uid="{00000000-0005-0000-0000-000016700000}"/>
    <cellStyle name="Шапка 2 5" xfId="28695" xr:uid="{00000000-0005-0000-0000-000017700000}"/>
    <cellStyle name="Шапка 2 6" xfId="28696" xr:uid="{00000000-0005-0000-0000-000018700000}"/>
    <cellStyle name="Шапка 2 7" xfId="28697" xr:uid="{00000000-0005-0000-0000-000019700000}"/>
    <cellStyle name="Шапка 2 8" xfId="28698" xr:uid="{00000000-0005-0000-0000-00001A700000}"/>
    <cellStyle name="Шапка 2 9" xfId="28699" xr:uid="{00000000-0005-0000-0000-00001B700000}"/>
    <cellStyle name="Шапка 20" xfId="28700" xr:uid="{00000000-0005-0000-0000-00001C700000}"/>
    <cellStyle name="Шапка 20 2" xfId="28701" xr:uid="{00000000-0005-0000-0000-00001D700000}"/>
    <cellStyle name="Шапка 21" xfId="28702" xr:uid="{00000000-0005-0000-0000-00001E700000}"/>
    <cellStyle name="Шапка 21 2" xfId="28703" xr:uid="{00000000-0005-0000-0000-00001F700000}"/>
    <cellStyle name="Шапка 22" xfId="28704" xr:uid="{00000000-0005-0000-0000-000020700000}"/>
    <cellStyle name="Шапка 22 2" xfId="28705" xr:uid="{00000000-0005-0000-0000-000021700000}"/>
    <cellStyle name="Шапка 23" xfId="28706" xr:uid="{00000000-0005-0000-0000-000022700000}"/>
    <cellStyle name="Шапка 24" xfId="28707" xr:uid="{00000000-0005-0000-0000-000023700000}"/>
    <cellStyle name="Шапка 25" xfId="28708" xr:uid="{00000000-0005-0000-0000-000024700000}"/>
    <cellStyle name="Шапка 3" xfId="28709" xr:uid="{00000000-0005-0000-0000-000025700000}"/>
    <cellStyle name="Шапка 3 10" xfId="28710" xr:uid="{00000000-0005-0000-0000-000026700000}"/>
    <cellStyle name="Шапка 3 11" xfId="28711" xr:uid="{00000000-0005-0000-0000-000027700000}"/>
    <cellStyle name="Шапка 3 2" xfId="28712" xr:uid="{00000000-0005-0000-0000-000028700000}"/>
    <cellStyle name="Шапка 3 3" xfId="28713" xr:uid="{00000000-0005-0000-0000-000029700000}"/>
    <cellStyle name="Шапка 3 4" xfId="28714" xr:uid="{00000000-0005-0000-0000-00002A700000}"/>
    <cellStyle name="Шапка 3 5" xfId="28715" xr:uid="{00000000-0005-0000-0000-00002B700000}"/>
    <cellStyle name="Шапка 3 6" xfId="28716" xr:uid="{00000000-0005-0000-0000-00002C700000}"/>
    <cellStyle name="Шапка 3 7" xfId="28717" xr:uid="{00000000-0005-0000-0000-00002D700000}"/>
    <cellStyle name="Шапка 3 8" xfId="28718" xr:uid="{00000000-0005-0000-0000-00002E700000}"/>
    <cellStyle name="Шапка 3 9" xfId="28719" xr:uid="{00000000-0005-0000-0000-00002F700000}"/>
    <cellStyle name="Шапка 4" xfId="28720" xr:uid="{00000000-0005-0000-0000-000030700000}"/>
    <cellStyle name="Шапка 4 10" xfId="28721" xr:uid="{00000000-0005-0000-0000-000031700000}"/>
    <cellStyle name="Шапка 4 11" xfId="28722" xr:uid="{00000000-0005-0000-0000-000032700000}"/>
    <cellStyle name="Шапка 4 2" xfId="28723" xr:uid="{00000000-0005-0000-0000-000033700000}"/>
    <cellStyle name="Шапка 4 3" xfId="28724" xr:uid="{00000000-0005-0000-0000-000034700000}"/>
    <cellStyle name="Шапка 4 4" xfId="28725" xr:uid="{00000000-0005-0000-0000-000035700000}"/>
    <cellStyle name="Шапка 4 5" xfId="28726" xr:uid="{00000000-0005-0000-0000-000036700000}"/>
    <cellStyle name="Шапка 4 6" xfId="28727" xr:uid="{00000000-0005-0000-0000-000037700000}"/>
    <cellStyle name="Шапка 4 7" xfId="28728" xr:uid="{00000000-0005-0000-0000-000038700000}"/>
    <cellStyle name="Шапка 4 8" xfId="28729" xr:uid="{00000000-0005-0000-0000-000039700000}"/>
    <cellStyle name="Шапка 4 9" xfId="28730" xr:uid="{00000000-0005-0000-0000-00003A700000}"/>
    <cellStyle name="Шапка 5" xfId="28731" xr:uid="{00000000-0005-0000-0000-00003B700000}"/>
    <cellStyle name="Шапка 5 10" xfId="28732" xr:uid="{00000000-0005-0000-0000-00003C700000}"/>
    <cellStyle name="Шапка 5 11" xfId="28733" xr:uid="{00000000-0005-0000-0000-00003D700000}"/>
    <cellStyle name="Шапка 5 2" xfId="28734" xr:uid="{00000000-0005-0000-0000-00003E700000}"/>
    <cellStyle name="Шапка 5 3" xfId="28735" xr:uid="{00000000-0005-0000-0000-00003F700000}"/>
    <cellStyle name="Шапка 5 4" xfId="28736" xr:uid="{00000000-0005-0000-0000-000040700000}"/>
    <cellStyle name="Шапка 5 5" xfId="28737" xr:uid="{00000000-0005-0000-0000-000041700000}"/>
    <cellStyle name="Шапка 5 6" xfId="28738" xr:uid="{00000000-0005-0000-0000-000042700000}"/>
    <cellStyle name="Шапка 5 7" xfId="28739" xr:uid="{00000000-0005-0000-0000-000043700000}"/>
    <cellStyle name="Шапка 5 8" xfId="28740" xr:uid="{00000000-0005-0000-0000-000044700000}"/>
    <cellStyle name="Шапка 5 9" xfId="28741" xr:uid="{00000000-0005-0000-0000-000045700000}"/>
    <cellStyle name="Шапка 6" xfId="28742" xr:uid="{00000000-0005-0000-0000-000046700000}"/>
    <cellStyle name="Шапка 6 10" xfId="28743" xr:uid="{00000000-0005-0000-0000-000047700000}"/>
    <cellStyle name="Шапка 6 11" xfId="28744" xr:uid="{00000000-0005-0000-0000-000048700000}"/>
    <cellStyle name="Шапка 6 2" xfId="28745" xr:uid="{00000000-0005-0000-0000-000049700000}"/>
    <cellStyle name="Шапка 6 3" xfId="28746" xr:uid="{00000000-0005-0000-0000-00004A700000}"/>
    <cellStyle name="Шапка 6 4" xfId="28747" xr:uid="{00000000-0005-0000-0000-00004B700000}"/>
    <cellStyle name="Шапка 6 5" xfId="28748" xr:uid="{00000000-0005-0000-0000-00004C700000}"/>
    <cellStyle name="Шапка 6 6" xfId="28749" xr:uid="{00000000-0005-0000-0000-00004D700000}"/>
    <cellStyle name="Шапка 6 7" xfId="28750" xr:uid="{00000000-0005-0000-0000-00004E700000}"/>
    <cellStyle name="Шапка 6 8" xfId="28751" xr:uid="{00000000-0005-0000-0000-00004F700000}"/>
    <cellStyle name="Шапка 6 9" xfId="28752" xr:uid="{00000000-0005-0000-0000-000050700000}"/>
    <cellStyle name="Шапка 7" xfId="28753" xr:uid="{00000000-0005-0000-0000-000051700000}"/>
    <cellStyle name="Шапка 7 10" xfId="28754" xr:uid="{00000000-0005-0000-0000-000052700000}"/>
    <cellStyle name="Шапка 7 11" xfId="28755" xr:uid="{00000000-0005-0000-0000-000053700000}"/>
    <cellStyle name="Шапка 7 2" xfId="28756" xr:uid="{00000000-0005-0000-0000-000054700000}"/>
    <cellStyle name="Шапка 7 3" xfId="28757" xr:uid="{00000000-0005-0000-0000-000055700000}"/>
    <cellStyle name="Шапка 7 4" xfId="28758" xr:uid="{00000000-0005-0000-0000-000056700000}"/>
    <cellStyle name="Шапка 7 5" xfId="28759" xr:uid="{00000000-0005-0000-0000-000057700000}"/>
    <cellStyle name="Шапка 7 6" xfId="28760" xr:uid="{00000000-0005-0000-0000-000058700000}"/>
    <cellStyle name="Шапка 7 7" xfId="28761" xr:uid="{00000000-0005-0000-0000-000059700000}"/>
    <cellStyle name="Шапка 7 8" xfId="28762" xr:uid="{00000000-0005-0000-0000-00005A700000}"/>
    <cellStyle name="Шапка 7 9" xfId="28763" xr:uid="{00000000-0005-0000-0000-00005B700000}"/>
    <cellStyle name="Шапка 8" xfId="28764" xr:uid="{00000000-0005-0000-0000-00005C700000}"/>
    <cellStyle name="Шапка 8 10" xfId="28765" xr:uid="{00000000-0005-0000-0000-00005D700000}"/>
    <cellStyle name="Шапка 8 11" xfId="28766" xr:uid="{00000000-0005-0000-0000-00005E700000}"/>
    <cellStyle name="Шапка 8 2" xfId="28767" xr:uid="{00000000-0005-0000-0000-00005F700000}"/>
    <cellStyle name="Шапка 8 3" xfId="28768" xr:uid="{00000000-0005-0000-0000-000060700000}"/>
    <cellStyle name="Шапка 8 4" xfId="28769" xr:uid="{00000000-0005-0000-0000-000061700000}"/>
    <cellStyle name="Шапка 8 5" xfId="28770" xr:uid="{00000000-0005-0000-0000-000062700000}"/>
    <cellStyle name="Шапка 8 6" xfId="28771" xr:uid="{00000000-0005-0000-0000-000063700000}"/>
    <cellStyle name="Шапка 8 7" xfId="28772" xr:uid="{00000000-0005-0000-0000-000064700000}"/>
    <cellStyle name="Шапка 8 8" xfId="28773" xr:uid="{00000000-0005-0000-0000-000065700000}"/>
    <cellStyle name="Шапка 8 9" xfId="28774" xr:uid="{00000000-0005-0000-0000-000066700000}"/>
    <cellStyle name="Шапка 9" xfId="28775" xr:uid="{00000000-0005-0000-0000-000067700000}"/>
    <cellStyle name="Шапка 9 10" xfId="28776" xr:uid="{00000000-0005-0000-0000-000068700000}"/>
    <cellStyle name="Шапка 9 11" xfId="28777" xr:uid="{00000000-0005-0000-0000-000069700000}"/>
    <cellStyle name="Шапка 9 2" xfId="28778" xr:uid="{00000000-0005-0000-0000-00006A700000}"/>
    <cellStyle name="Шапка 9 3" xfId="28779" xr:uid="{00000000-0005-0000-0000-00006B700000}"/>
    <cellStyle name="Шапка 9 4" xfId="28780" xr:uid="{00000000-0005-0000-0000-00006C700000}"/>
    <cellStyle name="Шапка 9 5" xfId="28781" xr:uid="{00000000-0005-0000-0000-00006D700000}"/>
    <cellStyle name="Шапка 9 6" xfId="28782" xr:uid="{00000000-0005-0000-0000-00006E700000}"/>
    <cellStyle name="Шапка 9 7" xfId="28783" xr:uid="{00000000-0005-0000-0000-00006F700000}"/>
    <cellStyle name="Шапка 9 8" xfId="28784" xr:uid="{00000000-0005-0000-0000-000070700000}"/>
    <cellStyle name="Шапка 9 9" xfId="28785" xr:uid="{00000000-0005-0000-0000-000071700000}"/>
    <cellStyle name="常规 2" xfId="28786" xr:uid="{00000000-0005-0000-0000-0000727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Индексы инфляции"/>
      <sheetName val="Закупки"/>
      <sheetName val="FM IFRS2013"/>
      <sheetName val="КТГ и КИО КО 2011"/>
      <sheetName val="Справочники"/>
      <sheetName val="Vocab"/>
      <sheetName val="МЭП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Оглавление"/>
      <sheetName val="Case_Input"/>
      <sheetName val="TCC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Maint"/>
      <sheetName val="Легенда"/>
      <sheetName val="самосвалы"/>
      <sheetName val="Сводн. с расшир. ОВ и ОС"/>
      <sheetName val="Для подстановки"/>
      <sheetName val="Технический лист"/>
      <sheetName val="Варианты обеспечения"/>
      <sheetName val="mapping"/>
      <sheetName val="Расход ВВ в 2001 г."/>
      <sheetName val="протокол КВ (С) печать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">
          <cell r="K1" t="str">
            <v>Утверждаю:</v>
          </cell>
        </row>
      </sheetData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">
          <cell r="K1" t="str">
            <v>Утверждаю:</v>
          </cell>
        </row>
      </sheetData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30"/>
  <sheetViews>
    <sheetView showGridLines="0" zoomScale="70" zoomScaleNormal="70" zoomScaleSheetLayoutView="100" workbookViewId="0">
      <selection activeCell="B30" sqref="B30"/>
    </sheetView>
  </sheetViews>
  <sheetFormatPr defaultColWidth="9.109375" defaultRowHeight="13.2"/>
  <cols>
    <col min="1" max="1" width="3" style="19" bestFit="1" customWidth="1"/>
    <col min="2" max="2" width="39" style="68" customWidth="1"/>
    <col min="3" max="3" width="14" style="19" bestFit="1" customWidth="1"/>
    <col min="4" max="4" width="10.88671875" style="19" bestFit="1" customWidth="1"/>
    <col min="5" max="24" width="10" style="20" bestFit="1" customWidth="1"/>
    <col min="25" max="25" width="71.33203125" style="5" bestFit="1" customWidth="1"/>
    <col min="26" max="26" width="14" style="5" bestFit="1" customWidth="1"/>
    <col min="27" max="16384" width="9.109375" style="5"/>
  </cols>
  <sheetData>
    <row r="2" spans="1:26" ht="14.4">
      <c r="B2" s="27" t="s">
        <v>40</v>
      </c>
    </row>
    <row r="3" spans="1:26" s="1" customFormat="1" ht="27" customHeight="1">
      <c r="A3" s="121"/>
      <c r="B3" s="2" t="s">
        <v>0</v>
      </c>
      <c r="C3" s="60" t="s">
        <v>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 t="s">
        <v>1</v>
      </c>
    </row>
    <row r="4" spans="1:26" s="9" customFormat="1">
      <c r="A4" s="19">
        <v>1</v>
      </c>
      <c r="B4" s="63" t="s">
        <v>2</v>
      </c>
      <c r="C4" s="6" t="s">
        <v>3</v>
      </c>
      <c r="D4" s="6">
        <v>0</v>
      </c>
      <c r="E4" s="6">
        <f>D4+1</f>
        <v>1</v>
      </c>
      <c r="F4" s="6">
        <f>E4+1</f>
        <v>2</v>
      </c>
      <c r="G4" s="6">
        <f t="shared" ref="G4:N4" si="0">F4+1</f>
        <v>3</v>
      </c>
      <c r="H4" s="6">
        <f t="shared" si="0"/>
        <v>4</v>
      </c>
      <c r="I4" s="6">
        <f t="shared" si="0"/>
        <v>5</v>
      </c>
      <c r="J4" s="6">
        <f t="shared" si="0"/>
        <v>6</v>
      </c>
      <c r="K4" s="6">
        <f t="shared" si="0"/>
        <v>7</v>
      </c>
      <c r="L4" s="6">
        <f t="shared" si="0"/>
        <v>8</v>
      </c>
      <c r="M4" s="6">
        <f t="shared" si="0"/>
        <v>9</v>
      </c>
      <c r="N4" s="6">
        <f t="shared" si="0"/>
        <v>10</v>
      </c>
      <c r="O4" s="6">
        <f>N4+1</f>
        <v>11</v>
      </c>
      <c r="P4" s="6">
        <f>O4+1</f>
        <v>12</v>
      </c>
      <c r="Q4" s="23">
        <v>13</v>
      </c>
      <c r="R4" s="23">
        <v>14</v>
      </c>
      <c r="S4" s="23">
        <v>15</v>
      </c>
      <c r="T4" s="23">
        <v>16</v>
      </c>
      <c r="U4" s="23">
        <v>17</v>
      </c>
      <c r="V4" s="23">
        <v>18</v>
      </c>
      <c r="W4" s="23">
        <v>19</v>
      </c>
      <c r="X4" s="23">
        <v>20</v>
      </c>
      <c r="Y4" s="87" t="s">
        <v>84</v>
      </c>
      <c r="Z4" s="8"/>
    </row>
    <row r="5" spans="1:26" s="9" customFormat="1">
      <c r="A5" s="19">
        <f>A4+1</f>
        <v>2</v>
      </c>
      <c r="B5" s="63" t="s">
        <v>4</v>
      </c>
      <c r="C5" s="6"/>
      <c r="Y5" s="87"/>
      <c r="Z5" s="8"/>
    </row>
    <row r="6" spans="1:26" s="9" customFormat="1">
      <c r="A6" s="19">
        <f t="shared" ref="A6:A10" si="1">A5+1</f>
        <v>3</v>
      </c>
      <c r="B6" s="64" t="s">
        <v>82</v>
      </c>
      <c r="C6" s="10" t="s">
        <v>21</v>
      </c>
      <c r="D6" s="6">
        <v>8500</v>
      </c>
      <c r="E6" s="6">
        <f>D6</f>
        <v>8500</v>
      </c>
      <c r="F6" s="6">
        <f t="shared" ref="F6:X6" si="2">E6</f>
        <v>8500</v>
      </c>
      <c r="G6" s="6">
        <f t="shared" si="2"/>
        <v>8500</v>
      </c>
      <c r="H6" s="6">
        <f t="shared" si="2"/>
        <v>8500</v>
      </c>
      <c r="I6" s="6">
        <f t="shared" si="2"/>
        <v>8500</v>
      </c>
      <c r="J6" s="6">
        <f t="shared" si="2"/>
        <v>8500</v>
      </c>
      <c r="K6" s="6">
        <f t="shared" si="2"/>
        <v>8500</v>
      </c>
      <c r="L6" s="6">
        <f t="shared" si="2"/>
        <v>8500</v>
      </c>
      <c r="M6" s="6">
        <f t="shared" si="2"/>
        <v>8500</v>
      </c>
      <c r="N6" s="6">
        <f t="shared" si="2"/>
        <v>8500</v>
      </c>
      <c r="O6" s="6">
        <f t="shared" si="2"/>
        <v>8500</v>
      </c>
      <c r="P6" s="6">
        <f t="shared" si="2"/>
        <v>8500</v>
      </c>
      <c r="Q6" s="6">
        <f t="shared" si="2"/>
        <v>8500</v>
      </c>
      <c r="R6" s="6">
        <f t="shared" si="2"/>
        <v>8500</v>
      </c>
      <c r="S6" s="6">
        <f t="shared" si="2"/>
        <v>8500</v>
      </c>
      <c r="T6" s="6">
        <f t="shared" si="2"/>
        <v>8500</v>
      </c>
      <c r="U6" s="6">
        <f t="shared" si="2"/>
        <v>8500</v>
      </c>
      <c r="V6" s="6">
        <f t="shared" si="2"/>
        <v>8500</v>
      </c>
      <c r="W6" s="6">
        <f t="shared" si="2"/>
        <v>8500</v>
      </c>
      <c r="X6" s="6">
        <f t="shared" si="2"/>
        <v>8500</v>
      </c>
      <c r="Y6" s="87" t="s">
        <v>85</v>
      </c>
      <c r="Z6" s="8"/>
    </row>
    <row r="7" spans="1:26" s="9" customFormat="1">
      <c r="A7" s="19">
        <f t="shared" si="1"/>
        <v>4</v>
      </c>
      <c r="B7" s="64" t="s">
        <v>19</v>
      </c>
      <c r="C7" s="10" t="s">
        <v>21</v>
      </c>
      <c r="D7" s="58">
        <v>7300</v>
      </c>
      <c r="E7" s="6">
        <f>D7</f>
        <v>7300</v>
      </c>
      <c r="F7" s="6">
        <f t="shared" ref="F7:X7" si="3">E7</f>
        <v>7300</v>
      </c>
      <c r="G7" s="6">
        <f t="shared" si="3"/>
        <v>7300</v>
      </c>
      <c r="H7" s="6">
        <f t="shared" si="3"/>
        <v>7300</v>
      </c>
      <c r="I7" s="6">
        <f t="shared" si="3"/>
        <v>7300</v>
      </c>
      <c r="J7" s="6">
        <f t="shared" si="3"/>
        <v>7300</v>
      </c>
      <c r="K7" s="6">
        <f t="shared" si="3"/>
        <v>7300</v>
      </c>
      <c r="L7" s="6">
        <f t="shared" si="3"/>
        <v>7300</v>
      </c>
      <c r="M7" s="6">
        <f t="shared" si="3"/>
        <v>7300</v>
      </c>
      <c r="N7" s="6">
        <f t="shared" si="3"/>
        <v>7300</v>
      </c>
      <c r="O7" s="6">
        <f t="shared" si="3"/>
        <v>7300</v>
      </c>
      <c r="P7" s="6">
        <f t="shared" si="3"/>
        <v>7300</v>
      </c>
      <c r="Q7" s="6">
        <f t="shared" si="3"/>
        <v>7300</v>
      </c>
      <c r="R7" s="6">
        <f t="shared" si="3"/>
        <v>7300</v>
      </c>
      <c r="S7" s="6">
        <f t="shared" si="3"/>
        <v>7300</v>
      </c>
      <c r="T7" s="6">
        <f t="shared" si="3"/>
        <v>7300</v>
      </c>
      <c r="U7" s="6">
        <f t="shared" si="3"/>
        <v>7300</v>
      </c>
      <c r="V7" s="6">
        <f t="shared" si="3"/>
        <v>7300</v>
      </c>
      <c r="W7" s="6">
        <f t="shared" si="3"/>
        <v>7300</v>
      </c>
      <c r="X7" s="6">
        <f t="shared" si="3"/>
        <v>7300</v>
      </c>
      <c r="Y7" s="87" t="s">
        <v>89</v>
      </c>
      <c r="Z7" s="8"/>
    </row>
    <row r="8" spans="1:26" s="9" customFormat="1">
      <c r="A8" s="19">
        <f t="shared" si="1"/>
        <v>5</v>
      </c>
      <c r="B8" s="64" t="s">
        <v>20</v>
      </c>
      <c r="C8" s="10" t="s">
        <v>21</v>
      </c>
      <c r="D8" s="58">
        <v>15600</v>
      </c>
      <c r="E8" s="6">
        <f>D8</f>
        <v>15600</v>
      </c>
      <c r="F8" s="6">
        <f t="shared" ref="F8:X8" si="4">E8</f>
        <v>15600</v>
      </c>
      <c r="G8" s="6">
        <f t="shared" si="4"/>
        <v>15600</v>
      </c>
      <c r="H8" s="6">
        <f t="shared" si="4"/>
        <v>15600</v>
      </c>
      <c r="I8" s="6">
        <f t="shared" si="4"/>
        <v>15600</v>
      </c>
      <c r="J8" s="6">
        <f t="shared" si="4"/>
        <v>15600</v>
      </c>
      <c r="K8" s="6">
        <f t="shared" si="4"/>
        <v>15600</v>
      </c>
      <c r="L8" s="6">
        <f t="shared" si="4"/>
        <v>15600</v>
      </c>
      <c r="M8" s="6">
        <f t="shared" si="4"/>
        <v>15600</v>
      </c>
      <c r="N8" s="6">
        <f t="shared" si="4"/>
        <v>15600</v>
      </c>
      <c r="O8" s="6">
        <f t="shared" si="4"/>
        <v>15600</v>
      </c>
      <c r="P8" s="6">
        <f t="shared" si="4"/>
        <v>15600</v>
      </c>
      <c r="Q8" s="6">
        <f t="shared" si="4"/>
        <v>15600</v>
      </c>
      <c r="R8" s="6">
        <f t="shared" si="4"/>
        <v>15600</v>
      </c>
      <c r="S8" s="6">
        <f t="shared" si="4"/>
        <v>15600</v>
      </c>
      <c r="T8" s="6">
        <f t="shared" si="4"/>
        <v>15600</v>
      </c>
      <c r="U8" s="6">
        <f t="shared" si="4"/>
        <v>15600</v>
      </c>
      <c r="V8" s="6">
        <f t="shared" si="4"/>
        <v>15600</v>
      </c>
      <c r="W8" s="6">
        <f t="shared" si="4"/>
        <v>15600</v>
      </c>
      <c r="X8" s="6">
        <f t="shared" si="4"/>
        <v>15600</v>
      </c>
      <c r="Y8" s="87" t="s">
        <v>90</v>
      </c>
      <c r="Z8" s="8"/>
    </row>
    <row r="9" spans="1:26" s="9" customFormat="1">
      <c r="A9" s="19">
        <f t="shared" si="1"/>
        <v>6</v>
      </c>
      <c r="B9" s="63" t="s">
        <v>5</v>
      </c>
      <c r="C9" s="10" t="s">
        <v>6</v>
      </c>
      <c r="D9" s="58">
        <v>236</v>
      </c>
      <c r="E9" s="6">
        <v>236</v>
      </c>
      <c r="F9" s="6">
        <v>236</v>
      </c>
      <c r="G9" s="6">
        <v>236</v>
      </c>
      <c r="H9" s="6">
        <v>236</v>
      </c>
      <c r="I9" s="6">
        <v>236</v>
      </c>
      <c r="J9" s="6">
        <v>236</v>
      </c>
      <c r="K9" s="6">
        <v>236</v>
      </c>
      <c r="L9" s="6">
        <v>236</v>
      </c>
      <c r="M9" s="6">
        <v>236</v>
      </c>
      <c r="N9" s="6">
        <v>236</v>
      </c>
      <c r="O9" s="6">
        <v>236</v>
      </c>
      <c r="P9" s="6">
        <v>236</v>
      </c>
      <c r="Q9" s="23">
        <v>236</v>
      </c>
      <c r="R9" s="23">
        <v>236</v>
      </c>
      <c r="S9" s="23">
        <v>236</v>
      </c>
      <c r="T9" s="23">
        <v>236</v>
      </c>
      <c r="U9" s="23">
        <v>236</v>
      </c>
      <c r="V9" s="23">
        <v>236</v>
      </c>
      <c r="W9" s="23">
        <v>236</v>
      </c>
      <c r="X9" s="23">
        <v>236</v>
      </c>
      <c r="Y9" s="87" t="s">
        <v>7</v>
      </c>
      <c r="Z9" s="8"/>
    </row>
    <row r="10" spans="1:26" ht="26.4">
      <c r="A10" s="19">
        <f t="shared" si="1"/>
        <v>7</v>
      </c>
      <c r="B10" s="63" t="s">
        <v>8</v>
      </c>
      <c r="C10" s="11" t="s">
        <v>9</v>
      </c>
      <c r="D10" s="58">
        <v>140</v>
      </c>
      <c r="E10" s="6">
        <f>D10</f>
        <v>140</v>
      </c>
      <c r="F10" s="6">
        <f t="shared" ref="F10:X10" si="5">E10</f>
        <v>140</v>
      </c>
      <c r="G10" s="6">
        <f t="shared" si="5"/>
        <v>140</v>
      </c>
      <c r="H10" s="6">
        <f t="shared" si="5"/>
        <v>140</v>
      </c>
      <c r="I10" s="6">
        <f t="shared" si="5"/>
        <v>140</v>
      </c>
      <c r="J10" s="6">
        <f t="shared" si="5"/>
        <v>140</v>
      </c>
      <c r="K10" s="6">
        <f t="shared" si="5"/>
        <v>140</v>
      </c>
      <c r="L10" s="6">
        <f t="shared" si="5"/>
        <v>140</v>
      </c>
      <c r="M10" s="6">
        <f t="shared" si="5"/>
        <v>140</v>
      </c>
      <c r="N10" s="6">
        <f t="shared" si="5"/>
        <v>140</v>
      </c>
      <c r="O10" s="6">
        <f t="shared" si="5"/>
        <v>140</v>
      </c>
      <c r="P10" s="6">
        <f t="shared" si="5"/>
        <v>140</v>
      </c>
      <c r="Q10" s="6">
        <f t="shared" si="5"/>
        <v>140</v>
      </c>
      <c r="R10" s="6">
        <f t="shared" si="5"/>
        <v>140</v>
      </c>
      <c r="S10" s="6">
        <f t="shared" si="5"/>
        <v>140</v>
      </c>
      <c r="T10" s="6">
        <f t="shared" si="5"/>
        <v>140</v>
      </c>
      <c r="U10" s="6">
        <f t="shared" si="5"/>
        <v>140</v>
      </c>
      <c r="V10" s="6">
        <f t="shared" si="5"/>
        <v>140</v>
      </c>
      <c r="W10" s="6">
        <f t="shared" si="5"/>
        <v>140</v>
      </c>
      <c r="X10" s="6">
        <f t="shared" si="5"/>
        <v>140</v>
      </c>
      <c r="Y10" s="87" t="s">
        <v>10</v>
      </c>
      <c r="Z10" s="12"/>
    </row>
    <row r="11" spans="1:26" ht="18.75" customHeight="1">
      <c r="A11" s="19">
        <f>A10+1</f>
        <v>8</v>
      </c>
      <c r="B11" s="65" t="s">
        <v>26</v>
      </c>
      <c r="C11" s="21" t="s">
        <v>27</v>
      </c>
      <c r="D11" s="58">
        <v>2500</v>
      </c>
      <c r="E11" s="11">
        <v>2500</v>
      </c>
      <c r="F11" s="11">
        <v>2500</v>
      </c>
      <c r="G11" s="11">
        <v>2500</v>
      </c>
      <c r="H11" s="11">
        <v>2500</v>
      </c>
      <c r="I11" s="11">
        <v>2500</v>
      </c>
      <c r="J11" s="11">
        <v>2500</v>
      </c>
      <c r="K11" s="11">
        <v>2500</v>
      </c>
      <c r="L11" s="11">
        <v>2500</v>
      </c>
      <c r="M11" s="11">
        <v>2500</v>
      </c>
      <c r="N11" s="11">
        <v>2500</v>
      </c>
      <c r="O11" s="11">
        <v>2500</v>
      </c>
      <c r="P11" s="11">
        <v>2500</v>
      </c>
      <c r="Q11" s="21">
        <v>2500</v>
      </c>
      <c r="R11" s="21">
        <v>2500</v>
      </c>
      <c r="S11" s="21">
        <v>2500</v>
      </c>
      <c r="T11" s="21">
        <v>2500</v>
      </c>
      <c r="U11" s="21">
        <v>2500</v>
      </c>
      <c r="V11" s="21">
        <v>2500</v>
      </c>
      <c r="W11" s="21">
        <v>2500</v>
      </c>
      <c r="X11" s="21">
        <v>2500</v>
      </c>
      <c r="Y11" s="85" t="s">
        <v>88</v>
      </c>
      <c r="Z11" s="12"/>
    </row>
    <row r="12" spans="1:26">
      <c r="A12" s="19">
        <f>A11+1</f>
        <v>9</v>
      </c>
      <c r="B12" s="63" t="s">
        <v>11</v>
      </c>
      <c r="C12" s="11"/>
      <c r="D12" s="11"/>
      <c r="E12" s="57">
        <f>(8760-E13-E14-E15)/8760</f>
        <v>0.93755029173008619</v>
      </c>
      <c r="F12" s="57">
        <f>(8760-F13-F14-F15)/8760</f>
        <v>0.93038070776255699</v>
      </c>
      <c r="G12" s="57">
        <f t="shared" ref="G12:X12" si="6">(8760-G13-G14-G15)/8760</f>
        <v>0.92090265093860979</v>
      </c>
      <c r="H12" s="57">
        <f t="shared" si="6"/>
        <v>0.90840582191780817</v>
      </c>
      <c r="I12" s="57">
        <f t="shared" si="6"/>
        <v>0.93333288939624548</v>
      </c>
      <c r="J12" s="57">
        <f t="shared" si="6"/>
        <v>0.92172393455098933</v>
      </c>
      <c r="K12" s="57">
        <f t="shared" si="6"/>
        <v>0.93126858193810236</v>
      </c>
      <c r="L12" s="57">
        <f t="shared" si="6"/>
        <v>0.91113603500761031</v>
      </c>
      <c r="M12" s="57">
        <f t="shared" si="6"/>
        <v>0.91706259512937582</v>
      </c>
      <c r="N12" s="57">
        <f t="shared" si="6"/>
        <v>0.93222304667681377</v>
      </c>
      <c r="O12" s="57">
        <f t="shared" si="6"/>
        <v>0.91462094114662595</v>
      </c>
      <c r="P12" s="57">
        <f t="shared" si="6"/>
        <v>0.91328912988330779</v>
      </c>
      <c r="Q12" s="57">
        <f t="shared" si="6"/>
        <v>0.93377682648401816</v>
      </c>
      <c r="R12" s="57">
        <f t="shared" si="6"/>
        <v>0.93266698376458645</v>
      </c>
      <c r="S12" s="57">
        <f t="shared" si="6"/>
        <v>0.89848382800608828</v>
      </c>
      <c r="T12" s="57">
        <f t="shared" si="6"/>
        <v>0.92556399036022319</v>
      </c>
      <c r="U12" s="57">
        <f t="shared" si="6"/>
        <v>0.93422076357179096</v>
      </c>
      <c r="V12" s="57">
        <f t="shared" si="6"/>
        <v>0.90469894723490607</v>
      </c>
      <c r="W12" s="57">
        <f t="shared" si="6"/>
        <v>0.9344427321156773</v>
      </c>
      <c r="X12" s="57">
        <f t="shared" si="6"/>
        <v>0.9220124936580415</v>
      </c>
      <c r="Y12" s="87"/>
    </row>
    <row r="13" spans="1:26">
      <c r="A13" s="19">
        <f t="shared" ref="A13:A30" si="7">A12+1</f>
        <v>10</v>
      </c>
      <c r="B13" s="66" t="s">
        <v>32</v>
      </c>
      <c r="C13" s="21" t="s">
        <v>33</v>
      </c>
      <c r="D13" s="21"/>
      <c r="E13" s="36">
        <f>ТО!G7</f>
        <v>173.404</v>
      </c>
      <c r="F13" s="36">
        <f>ТО!H7</f>
        <v>202.00399999999999</v>
      </c>
      <c r="G13" s="36">
        <f>ТО!I7</f>
        <v>173.404</v>
      </c>
      <c r="H13" s="36">
        <f>ТО!J7</f>
        <v>202.00399999999999</v>
      </c>
      <c r="I13" s="36">
        <f>ТО!K7</f>
        <v>173.404</v>
      </c>
      <c r="J13" s="36">
        <f>ТО!L7</f>
        <v>202.00399999999999</v>
      </c>
      <c r="K13" s="36">
        <f>ТО!M7</f>
        <v>202.00399999999999</v>
      </c>
      <c r="L13" s="36">
        <f>ТО!N7</f>
        <v>173.404</v>
      </c>
      <c r="M13" s="36">
        <f>ТО!O7</f>
        <v>202.00399999999999</v>
      </c>
      <c r="N13" s="36">
        <f>ТО!P7</f>
        <v>173.404</v>
      </c>
      <c r="O13" s="36">
        <f>ТО!Q7</f>
        <v>202.00399999999999</v>
      </c>
      <c r="P13" s="36">
        <f>ТО!R7</f>
        <v>202.00399999999999</v>
      </c>
      <c r="Q13" s="36">
        <f>ТО!S7</f>
        <v>173.404</v>
      </c>
      <c r="R13" s="36">
        <f>ТО!T7</f>
        <v>197.404</v>
      </c>
      <c r="S13" s="36">
        <f>ТО!U7</f>
        <v>197.404</v>
      </c>
      <c r="T13" s="36">
        <f>ТО!V7</f>
        <v>173.404</v>
      </c>
      <c r="U13" s="36">
        <f>ТО!W7</f>
        <v>197.404</v>
      </c>
      <c r="V13" s="36">
        <f>ТО!X7</f>
        <v>197.404</v>
      </c>
      <c r="W13" s="36">
        <f>ТО!Y7</f>
        <v>173.404</v>
      </c>
      <c r="X13" s="36">
        <f>ТО!Z7</f>
        <v>197.404</v>
      </c>
      <c r="Y13" s="85"/>
    </row>
    <row r="14" spans="1:26">
      <c r="A14" s="19">
        <f t="shared" si="7"/>
        <v>11</v>
      </c>
      <c r="B14" s="66" t="s">
        <v>34</v>
      </c>
      <c r="C14" s="21" t="s">
        <v>33</v>
      </c>
      <c r="D14" s="21"/>
      <c r="E14" s="36">
        <f>Ремонты!G8</f>
        <v>139</v>
      </c>
      <c r="F14" s="36">
        <f>Ремонты!H8</f>
        <v>175</v>
      </c>
      <c r="G14" s="36">
        <f>Ремонты!I8</f>
        <v>289</v>
      </c>
      <c r="H14" s="36">
        <f>Ремонты!J8</f>
        <v>373</v>
      </c>
      <c r="I14" s="36">
        <f>Ремонты!K8</f>
        <v>177</v>
      </c>
      <c r="J14" s="36">
        <f>Ремонты!L8</f>
        <v>253</v>
      </c>
      <c r="K14" s="36">
        <f>Ремонты!M8</f>
        <v>167</v>
      </c>
      <c r="L14" s="36">
        <f>Ремонты!N8</f>
        <v>377</v>
      </c>
      <c r="M14" s="36">
        <f>Ремонты!O8</f>
        <v>295</v>
      </c>
      <c r="N14" s="36">
        <f>Ремонты!P8</f>
        <v>187</v>
      </c>
      <c r="O14" s="36">
        <f>Ремонты!Q8</f>
        <v>317</v>
      </c>
      <c r="P14" s="36">
        <f>Ремонты!R8</f>
        <v>329</v>
      </c>
      <c r="Q14" s="36">
        <f>Ремонты!S8</f>
        <v>173</v>
      </c>
      <c r="R14" s="36">
        <f>Ремонты!T8</f>
        <v>159</v>
      </c>
      <c r="S14" s="36">
        <f>Ремонты!U8</f>
        <v>467</v>
      </c>
      <c r="T14" s="36">
        <f>Ремонты!V8</f>
        <v>247</v>
      </c>
      <c r="U14" s="36">
        <f>Ремонты!W8</f>
        <v>145</v>
      </c>
      <c r="V14" s="36">
        <f>Ремонты!X8</f>
        <v>411</v>
      </c>
      <c r="W14" s="36">
        <f>Ремонты!Y8</f>
        <v>167</v>
      </c>
      <c r="X14" s="36">
        <f>Ремонты!Z8</f>
        <v>255</v>
      </c>
      <c r="Y14" s="85"/>
    </row>
    <row r="15" spans="1:26">
      <c r="A15" s="19">
        <f t="shared" si="7"/>
        <v>12</v>
      </c>
      <c r="B15" s="66" t="s">
        <v>35</v>
      </c>
      <c r="C15" s="21" t="s">
        <v>33</v>
      </c>
      <c r="D15" s="21"/>
      <c r="E15" s="36">
        <f>(8760-E13-E14)/12*20/60</f>
        <v>234.65544444444444</v>
      </c>
      <c r="F15" s="36">
        <f t="shared" ref="F15:X15" si="8">(8760-F13-F14)/12*20/60</f>
        <v>232.86099999999999</v>
      </c>
      <c r="G15" s="36">
        <f t="shared" si="8"/>
        <v>230.48877777777776</v>
      </c>
      <c r="H15" s="36">
        <f t="shared" si="8"/>
        <v>227.36099999999999</v>
      </c>
      <c r="I15" s="36">
        <f t="shared" si="8"/>
        <v>233.5998888888889</v>
      </c>
      <c r="J15" s="36">
        <f t="shared" si="8"/>
        <v>230.69433333333333</v>
      </c>
      <c r="K15" s="36">
        <f t="shared" si="8"/>
        <v>233.08322222222219</v>
      </c>
      <c r="L15" s="36">
        <f t="shared" si="8"/>
        <v>228.0443333333333</v>
      </c>
      <c r="M15" s="36">
        <f t="shared" si="8"/>
        <v>229.52766666666668</v>
      </c>
      <c r="N15" s="36">
        <f t="shared" si="8"/>
        <v>233.3221111111111</v>
      </c>
      <c r="O15" s="36">
        <f t="shared" si="8"/>
        <v>228.91655555555553</v>
      </c>
      <c r="P15" s="36">
        <f t="shared" si="8"/>
        <v>228.58322222222219</v>
      </c>
      <c r="Q15" s="36">
        <f t="shared" si="8"/>
        <v>233.71099999999996</v>
      </c>
      <c r="R15" s="36">
        <f t="shared" si="8"/>
        <v>233.43322222222224</v>
      </c>
      <c r="S15" s="36">
        <f t="shared" si="8"/>
        <v>224.87766666666664</v>
      </c>
      <c r="T15" s="36">
        <f t="shared" si="8"/>
        <v>231.65544444444444</v>
      </c>
      <c r="U15" s="36">
        <f t="shared" si="8"/>
        <v>233.8221111111111</v>
      </c>
      <c r="V15" s="36">
        <f t="shared" si="8"/>
        <v>226.43322222222224</v>
      </c>
      <c r="W15" s="36">
        <f t="shared" si="8"/>
        <v>233.87766666666664</v>
      </c>
      <c r="X15" s="36">
        <f t="shared" si="8"/>
        <v>230.76655555555556</v>
      </c>
      <c r="Y15" s="85"/>
    </row>
    <row r="16" spans="1:26">
      <c r="A16" s="19">
        <f t="shared" si="7"/>
        <v>13</v>
      </c>
      <c r="B16" s="65" t="s">
        <v>23</v>
      </c>
      <c r="C16" s="21" t="s">
        <v>25</v>
      </c>
      <c r="D16" s="56">
        <v>22</v>
      </c>
      <c r="E16" s="22">
        <f>D16</f>
        <v>22</v>
      </c>
      <c r="F16" s="22">
        <f t="shared" ref="F16:X16" si="9">E16</f>
        <v>22</v>
      </c>
      <c r="G16" s="22">
        <f t="shared" si="9"/>
        <v>22</v>
      </c>
      <c r="H16" s="22">
        <f t="shared" si="9"/>
        <v>22</v>
      </c>
      <c r="I16" s="22">
        <f t="shared" si="9"/>
        <v>22</v>
      </c>
      <c r="J16" s="22">
        <f t="shared" si="9"/>
        <v>22</v>
      </c>
      <c r="K16" s="22">
        <f t="shared" si="9"/>
        <v>22</v>
      </c>
      <c r="L16" s="22">
        <f t="shared" si="9"/>
        <v>22</v>
      </c>
      <c r="M16" s="22">
        <f t="shared" si="9"/>
        <v>22</v>
      </c>
      <c r="N16" s="22">
        <f t="shared" si="9"/>
        <v>22</v>
      </c>
      <c r="O16" s="22">
        <f t="shared" si="9"/>
        <v>22</v>
      </c>
      <c r="P16" s="22">
        <f t="shared" si="9"/>
        <v>22</v>
      </c>
      <c r="Q16" s="22">
        <f t="shared" si="9"/>
        <v>22</v>
      </c>
      <c r="R16" s="22">
        <f t="shared" si="9"/>
        <v>22</v>
      </c>
      <c r="S16" s="22">
        <f t="shared" si="9"/>
        <v>22</v>
      </c>
      <c r="T16" s="22">
        <f t="shared" si="9"/>
        <v>22</v>
      </c>
      <c r="U16" s="22">
        <f t="shared" si="9"/>
        <v>22</v>
      </c>
      <c r="V16" s="22">
        <f t="shared" si="9"/>
        <v>22</v>
      </c>
      <c r="W16" s="22">
        <f t="shared" si="9"/>
        <v>22</v>
      </c>
      <c r="X16" s="22">
        <f t="shared" si="9"/>
        <v>22</v>
      </c>
      <c r="Y16" s="85"/>
    </row>
    <row r="17" spans="1:25" ht="16.5" customHeight="1">
      <c r="A17" s="19">
        <f t="shared" si="7"/>
        <v>14</v>
      </c>
      <c r="B17" s="65" t="s">
        <v>24</v>
      </c>
      <c r="C17" s="21" t="s">
        <v>25</v>
      </c>
      <c r="D17" s="56">
        <v>15</v>
      </c>
      <c r="E17" s="22">
        <f>D17</f>
        <v>15</v>
      </c>
      <c r="F17" s="22">
        <f t="shared" ref="F17:X17" si="10">E17</f>
        <v>15</v>
      </c>
      <c r="G17" s="22">
        <f t="shared" si="10"/>
        <v>15</v>
      </c>
      <c r="H17" s="22">
        <f t="shared" si="10"/>
        <v>15</v>
      </c>
      <c r="I17" s="22">
        <f t="shared" si="10"/>
        <v>15</v>
      </c>
      <c r="J17" s="22">
        <f t="shared" si="10"/>
        <v>15</v>
      </c>
      <c r="K17" s="22">
        <f t="shared" si="10"/>
        <v>15</v>
      </c>
      <c r="L17" s="22">
        <f t="shared" si="10"/>
        <v>15</v>
      </c>
      <c r="M17" s="22">
        <f t="shared" si="10"/>
        <v>15</v>
      </c>
      <c r="N17" s="22">
        <f t="shared" si="10"/>
        <v>15</v>
      </c>
      <c r="O17" s="22">
        <f t="shared" si="10"/>
        <v>15</v>
      </c>
      <c r="P17" s="22">
        <f t="shared" si="10"/>
        <v>15</v>
      </c>
      <c r="Q17" s="22">
        <f t="shared" si="10"/>
        <v>15</v>
      </c>
      <c r="R17" s="22">
        <f t="shared" si="10"/>
        <v>15</v>
      </c>
      <c r="S17" s="22">
        <f t="shared" si="10"/>
        <v>15</v>
      </c>
      <c r="T17" s="22">
        <f t="shared" si="10"/>
        <v>15</v>
      </c>
      <c r="U17" s="22">
        <f t="shared" si="10"/>
        <v>15</v>
      </c>
      <c r="V17" s="22">
        <f t="shared" si="10"/>
        <v>15</v>
      </c>
      <c r="W17" s="22">
        <f t="shared" si="10"/>
        <v>15</v>
      </c>
      <c r="X17" s="22">
        <f t="shared" si="10"/>
        <v>15</v>
      </c>
      <c r="Y17" s="85"/>
    </row>
    <row r="18" spans="1:25" ht="26.4">
      <c r="A18" s="19">
        <f t="shared" si="7"/>
        <v>15</v>
      </c>
      <c r="B18" s="63" t="s">
        <v>31</v>
      </c>
      <c r="C18" s="13" t="s">
        <v>86</v>
      </c>
      <c r="D18" s="13"/>
      <c r="E18" s="195">
        <f t="shared" ref="E18:X18" si="11">SUM(E19:E22)</f>
        <v>448.25329599999998</v>
      </c>
      <c r="F18" s="195">
        <f t="shared" si="11"/>
        <v>631.64609599999994</v>
      </c>
      <c r="G18" s="195">
        <f t="shared" si="11"/>
        <v>3852.9560660000006</v>
      </c>
      <c r="H18" s="195">
        <f t="shared" si="11"/>
        <v>2038.5042960000001</v>
      </c>
      <c r="I18" s="195">
        <f t="shared" si="11"/>
        <v>664.86543599999982</v>
      </c>
      <c r="J18" s="195">
        <f t="shared" si="11"/>
        <v>3762.1226859999997</v>
      </c>
      <c r="K18" s="195">
        <f t="shared" si="11"/>
        <v>614.71143599999994</v>
      </c>
      <c r="L18" s="195">
        <f t="shared" si="11"/>
        <v>2161.7702959999997</v>
      </c>
      <c r="M18" s="195">
        <f t="shared" si="11"/>
        <v>7037.7755660000003</v>
      </c>
      <c r="N18" s="195">
        <f t="shared" si="11"/>
        <v>519.01629600000001</v>
      </c>
      <c r="O18" s="195">
        <f t="shared" si="11"/>
        <v>15545.378995999998</v>
      </c>
      <c r="P18" s="195">
        <f t="shared" si="11"/>
        <v>3772.0546859999999</v>
      </c>
      <c r="Q18" s="195">
        <f t="shared" si="11"/>
        <v>567.97403599999996</v>
      </c>
      <c r="R18" s="195">
        <f t="shared" si="11"/>
        <v>577.99669599999993</v>
      </c>
      <c r="S18" s="195">
        <f t="shared" si="11"/>
        <v>5377.2149259999997</v>
      </c>
      <c r="T18" s="195">
        <f t="shared" si="11"/>
        <v>579.19823599999995</v>
      </c>
      <c r="U18" s="195">
        <f t="shared" si="11"/>
        <v>571.12069599999995</v>
      </c>
      <c r="V18" s="195">
        <f t="shared" si="11"/>
        <v>8596.3857260000004</v>
      </c>
      <c r="W18" s="195">
        <f t="shared" si="11"/>
        <v>588.92229599999996</v>
      </c>
      <c r="X18" s="195">
        <f t="shared" si="11"/>
        <v>724.56956600000001</v>
      </c>
      <c r="Y18" s="87"/>
    </row>
    <row r="19" spans="1:25">
      <c r="A19" s="19">
        <f t="shared" si="7"/>
        <v>16</v>
      </c>
      <c r="B19" s="66" t="s">
        <v>36</v>
      </c>
      <c r="C19" s="24" t="s">
        <v>86</v>
      </c>
      <c r="D19" s="24"/>
      <c r="E19" s="196">
        <f>ТО!G9/1000</f>
        <v>274.82223999999997</v>
      </c>
      <c r="F19" s="196">
        <f>ТО!H9/1000</f>
        <v>274.82223999999997</v>
      </c>
      <c r="G19" s="196">
        <f>ТО!I9/1000</f>
        <v>274.82223999999997</v>
      </c>
      <c r="H19" s="196">
        <f>ТО!J9/1000</f>
        <v>274.82223999999997</v>
      </c>
      <c r="I19" s="196">
        <f>ТО!K9/1000</f>
        <v>274.82223999999997</v>
      </c>
      <c r="J19" s="196">
        <f>ТО!L9/1000</f>
        <v>274.82223999999997</v>
      </c>
      <c r="K19" s="196">
        <f>ТО!M9/1000</f>
        <v>274.82223999999997</v>
      </c>
      <c r="L19" s="196">
        <f>ТО!N9/1000</f>
        <v>274.82223999999997</v>
      </c>
      <c r="M19" s="196">
        <f>ТО!O9/1000</f>
        <v>274.82223999999997</v>
      </c>
      <c r="N19" s="196">
        <f>ТО!P9/1000</f>
        <v>274.82223999999997</v>
      </c>
      <c r="O19" s="196">
        <f>ТО!Q9/1000</f>
        <v>274.82223999999997</v>
      </c>
      <c r="P19" s="196">
        <f>ТО!R9/1000</f>
        <v>274.82223999999997</v>
      </c>
      <c r="Q19" s="196">
        <f>ТО!S9/1000</f>
        <v>274.82223999999997</v>
      </c>
      <c r="R19" s="196">
        <f>ТО!T9/1000</f>
        <v>274.82223999999997</v>
      </c>
      <c r="S19" s="196">
        <f>ТО!U9/1000</f>
        <v>274.82223999999997</v>
      </c>
      <c r="T19" s="196">
        <f>ТО!V9/1000</f>
        <v>274.82223999999997</v>
      </c>
      <c r="U19" s="196">
        <f>ТО!W9/1000</f>
        <v>274.82223999999997</v>
      </c>
      <c r="V19" s="196">
        <f>ТО!X9/1000</f>
        <v>274.82223999999997</v>
      </c>
      <c r="W19" s="196">
        <f>ТО!Y9/1000</f>
        <v>274.82223999999997</v>
      </c>
      <c r="X19" s="196">
        <f>ТО!Z9/1000</f>
        <v>274.82223999999997</v>
      </c>
      <c r="Y19" s="85" t="s">
        <v>117</v>
      </c>
    </row>
    <row r="20" spans="1:25" ht="26.4">
      <c r="A20" s="19">
        <f t="shared" si="7"/>
        <v>17</v>
      </c>
      <c r="B20" s="66" t="s">
        <v>37</v>
      </c>
      <c r="C20" s="24" t="s">
        <v>86</v>
      </c>
      <c r="D20" s="24"/>
      <c r="E20" s="86">
        <f>Ремонты!G10/1000</f>
        <v>0</v>
      </c>
      <c r="F20" s="86">
        <f>Ремонты!H10/1000</f>
        <v>151.6104</v>
      </c>
      <c r="G20" s="86">
        <f>Ремонты!I10/1000</f>
        <v>3293.5407700000005</v>
      </c>
      <c r="H20" s="86">
        <f>Ремонты!J10/1000</f>
        <v>1329.6506000000002</v>
      </c>
      <c r="I20" s="86">
        <f>Ремонты!K10/1000</f>
        <v>207.44413999999998</v>
      </c>
      <c r="J20" s="86">
        <f>Ремонты!L10/1000</f>
        <v>3259.1669900000002</v>
      </c>
      <c r="K20" s="86">
        <f>Ремонты!M10/1000</f>
        <v>47.961739999999999</v>
      </c>
      <c r="L20" s="86">
        <f>Ремонты!N10/1000</f>
        <v>1481.261</v>
      </c>
      <c r="M20" s="86">
        <f>Ремонты!O10/1000</f>
        <v>6533.29187</v>
      </c>
      <c r="N20" s="86">
        <f>Ремонты!P10/1000</f>
        <v>44.023000000000003</v>
      </c>
      <c r="O20" s="86">
        <f>Ремонты!Q10/1000</f>
        <v>14777.315299999998</v>
      </c>
      <c r="P20" s="86">
        <f>Ремонты!R10/1000</f>
        <v>3259.1669900000002</v>
      </c>
      <c r="Q20" s="86">
        <f>Ремонты!S10/1000</f>
        <v>99.856739999999988</v>
      </c>
      <c r="R20" s="86">
        <f>Ремонты!T10/1000</f>
        <v>107.58739999999999</v>
      </c>
      <c r="S20" s="86">
        <f>Ремонты!U10/1000</f>
        <v>4575.2296299999998</v>
      </c>
      <c r="T20" s="86">
        <f>Ремонты!V10/1000</f>
        <v>96.182940000000002</v>
      </c>
      <c r="U20" s="86">
        <f>Ремонты!W10/1000</f>
        <v>107.58739999999999</v>
      </c>
      <c r="V20" s="86">
        <f>Ремонты!X10/1000</f>
        <v>7876.5304299999998</v>
      </c>
      <c r="W20" s="86">
        <f>Ремонты!Y10/1000</f>
        <v>44.023000000000003</v>
      </c>
      <c r="X20" s="86">
        <f>Ремонты!Z10/1000</f>
        <v>237.35227000000003</v>
      </c>
      <c r="Y20" s="85"/>
    </row>
    <row r="21" spans="1:25" ht="16.5" customHeight="1">
      <c r="A21" s="19">
        <f t="shared" si="7"/>
        <v>18</v>
      </c>
      <c r="B21" s="66" t="s">
        <v>38</v>
      </c>
      <c r="C21" s="24" t="s">
        <v>86</v>
      </c>
      <c r="D21" s="24"/>
      <c r="E21" s="86">
        <f>ТО!G10/1000</f>
        <v>126.063056</v>
      </c>
      <c r="F21" s="86">
        <f>ТО!H10/1000</f>
        <v>147.91345599999997</v>
      </c>
      <c r="G21" s="86">
        <f>ТО!I10/1000</f>
        <v>126.063056</v>
      </c>
      <c r="H21" s="86">
        <f>ТО!J10/1000</f>
        <v>147.91345599999997</v>
      </c>
      <c r="I21" s="86">
        <f>ТО!K10/1000</f>
        <v>126.063056</v>
      </c>
      <c r="J21" s="86">
        <f>ТО!L10/1000</f>
        <v>147.91345599999997</v>
      </c>
      <c r="K21" s="86">
        <f>ТО!M10/1000</f>
        <v>147.91345599999997</v>
      </c>
      <c r="L21" s="86">
        <f>ТО!N10/1000</f>
        <v>126.063056</v>
      </c>
      <c r="M21" s="86">
        <f>ТО!O10/1000</f>
        <v>147.91345599999997</v>
      </c>
      <c r="N21" s="86">
        <f>ТО!P10/1000</f>
        <v>126.063056</v>
      </c>
      <c r="O21" s="86">
        <f>ТО!Q10/1000</f>
        <v>147.91345599999997</v>
      </c>
      <c r="P21" s="86">
        <f>ТО!R10/1000</f>
        <v>147.91345599999997</v>
      </c>
      <c r="Q21" s="86">
        <f>ТО!S10/1000</f>
        <v>126.063056</v>
      </c>
      <c r="R21" s="86">
        <f>ТО!T10/1000</f>
        <v>144.39905599999997</v>
      </c>
      <c r="S21" s="86">
        <f>ТО!U10/1000</f>
        <v>144.39905599999997</v>
      </c>
      <c r="T21" s="86">
        <f>ТО!V10/1000</f>
        <v>126.063056</v>
      </c>
      <c r="U21" s="86">
        <f>ТО!W10/1000</f>
        <v>144.39905599999997</v>
      </c>
      <c r="V21" s="86">
        <f>ТО!X10/1000</f>
        <v>144.39905599999997</v>
      </c>
      <c r="W21" s="86">
        <f>ТО!Y10/1000</f>
        <v>126.063056</v>
      </c>
      <c r="X21" s="86">
        <f>ТО!Z10/1000</f>
        <v>144.39905599999997</v>
      </c>
      <c r="Y21" s="85"/>
    </row>
    <row r="22" spans="1:25">
      <c r="A22" s="19">
        <f t="shared" si="7"/>
        <v>19</v>
      </c>
      <c r="B22" s="66" t="s">
        <v>39</v>
      </c>
      <c r="C22" s="24" t="s">
        <v>86</v>
      </c>
      <c r="D22" s="24"/>
      <c r="E22" s="86">
        <f>Ремонты!G11/1000</f>
        <v>47.368000000000002</v>
      </c>
      <c r="F22" s="86">
        <f>Ремонты!H11/1000</f>
        <v>57.3</v>
      </c>
      <c r="G22" s="86">
        <f>Ремонты!I11/1000</f>
        <v>158.53</v>
      </c>
      <c r="H22" s="86">
        <f>Ремонты!J11/1000</f>
        <v>286.11799999999999</v>
      </c>
      <c r="I22" s="86">
        <f>Ремонты!K11/1000</f>
        <v>56.536000000000001</v>
      </c>
      <c r="J22" s="86">
        <f>Ремонты!L11/1000</f>
        <v>80.22</v>
      </c>
      <c r="K22" s="86">
        <f>Ремонты!M11/1000</f>
        <v>144.01400000000001</v>
      </c>
      <c r="L22" s="86">
        <f>Ремонты!N11/1000</f>
        <v>279.62400000000002</v>
      </c>
      <c r="M22" s="86">
        <f>Ремонты!O11/1000</f>
        <v>81.748000000000005</v>
      </c>
      <c r="N22" s="86">
        <f>Ремонты!P11/1000</f>
        <v>74.108000000000004</v>
      </c>
      <c r="O22" s="86">
        <f>Ремонты!Q11/1000</f>
        <v>345.32799999999997</v>
      </c>
      <c r="P22" s="86">
        <f>Ремонты!R11/1000</f>
        <v>90.152000000000001</v>
      </c>
      <c r="Q22" s="86">
        <f>Ремонты!S11/1000</f>
        <v>67.231999999999999</v>
      </c>
      <c r="R22" s="86">
        <f>Ремонты!T11/1000</f>
        <v>51.188000000000002</v>
      </c>
      <c r="S22" s="86">
        <f>Ремонты!U11/1000</f>
        <v>382.76400000000001</v>
      </c>
      <c r="T22" s="86">
        <f>Ремонты!V11/1000</f>
        <v>82.13</v>
      </c>
      <c r="U22" s="86">
        <f>Ремонты!W11/1000</f>
        <v>44.311999999999998</v>
      </c>
      <c r="V22" s="86">
        <f>Ремонты!X11/1000</f>
        <v>300.63400000000001</v>
      </c>
      <c r="W22" s="86">
        <f>Ремонты!Y11/1000</f>
        <v>144.01400000000001</v>
      </c>
      <c r="X22" s="86">
        <f>Ремонты!Z11/1000</f>
        <v>67.995999999999995</v>
      </c>
      <c r="Y22" s="85" t="s">
        <v>116</v>
      </c>
    </row>
    <row r="23" spans="1:25">
      <c r="A23" s="19">
        <f t="shared" si="7"/>
        <v>20</v>
      </c>
      <c r="B23" s="14" t="s">
        <v>12</v>
      </c>
      <c r="C23" s="13"/>
      <c r="D23" s="13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62"/>
      <c r="R23" s="62"/>
      <c r="S23" s="62"/>
      <c r="T23" s="62"/>
      <c r="U23" s="62"/>
      <c r="V23" s="62"/>
      <c r="W23" s="62"/>
      <c r="X23" s="62"/>
      <c r="Y23" s="7"/>
    </row>
    <row r="24" spans="1:25" ht="15" customHeight="1">
      <c r="A24" s="19">
        <f t="shared" si="7"/>
        <v>21</v>
      </c>
      <c r="B24" s="67" t="s">
        <v>13</v>
      </c>
      <c r="C24" s="13"/>
      <c r="D24" s="49" t="s">
        <v>83</v>
      </c>
      <c r="E24" s="69" t="s">
        <v>83</v>
      </c>
      <c r="F24" s="69" t="s">
        <v>83</v>
      </c>
      <c r="G24" s="69" t="s">
        <v>83</v>
      </c>
      <c r="H24" s="69" t="s">
        <v>83</v>
      </c>
      <c r="I24" s="69" t="s">
        <v>83</v>
      </c>
      <c r="J24" s="69" t="s">
        <v>83</v>
      </c>
      <c r="K24" s="69" t="s">
        <v>83</v>
      </c>
      <c r="L24" s="69" t="s">
        <v>83</v>
      </c>
      <c r="M24" s="69" t="s">
        <v>83</v>
      </c>
      <c r="N24" s="69" t="s">
        <v>83</v>
      </c>
      <c r="O24" s="69" t="s">
        <v>83</v>
      </c>
      <c r="P24" s="69" t="s">
        <v>83</v>
      </c>
      <c r="Q24" s="69" t="s">
        <v>83</v>
      </c>
      <c r="R24" s="69" t="s">
        <v>83</v>
      </c>
      <c r="S24" s="69" t="s">
        <v>83</v>
      </c>
      <c r="T24" s="69" t="s">
        <v>83</v>
      </c>
      <c r="U24" s="69" t="s">
        <v>83</v>
      </c>
      <c r="V24" s="69" t="s">
        <v>83</v>
      </c>
      <c r="W24" s="69" t="s">
        <v>83</v>
      </c>
      <c r="X24" s="69" t="s">
        <v>83</v>
      </c>
      <c r="Y24" s="87" t="s">
        <v>97</v>
      </c>
    </row>
    <row r="25" spans="1:25" ht="26.4">
      <c r="A25" s="19">
        <f t="shared" si="7"/>
        <v>22</v>
      </c>
      <c r="B25" s="67" t="s">
        <v>14</v>
      </c>
      <c r="C25" s="13"/>
      <c r="D25" s="88">
        <v>0</v>
      </c>
      <c r="E25" s="197">
        <f>D25</f>
        <v>0</v>
      </c>
      <c r="F25" s="197">
        <f t="shared" ref="F25:X25" si="12">E25</f>
        <v>0</v>
      </c>
      <c r="G25" s="197">
        <f t="shared" si="12"/>
        <v>0</v>
      </c>
      <c r="H25" s="197">
        <f t="shared" si="12"/>
        <v>0</v>
      </c>
      <c r="I25" s="197">
        <f t="shared" si="12"/>
        <v>0</v>
      </c>
      <c r="J25" s="197">
        <f t="shared" si="12"/>
        <v>0</v>
      </c>
      <c r="K25" s="197">
        <f t="shared" si="12"/>
        <v>0</v>
      </c>
      <c r="L25" s="197">
        <f t="shared" si="12"/>
        <v>0</v>
      </c>
      <c r="M25" s="197">
        <f t="shared" si="12"/>
        <v>0</v>
      </c>
      <c r="N25" s="197">
        <f t="shared" si="12"/>
        <v>0</v>
      </c>
      <c r="O25" s="197">
        <f t="shared" si="12"/>
        <v>0</v>
      </c>
      <c r="P25" s="197">
        <f t="shared" si="12"/>
        <v>0</v>
      </c>
      <c r="Q25" s="197">
        <f t="shared" si="12"/>
        <v>0</v>
      </c>
      <c r="R25" s="197">
        <f t="shared" si="12"/>
        <v>0</v>
      </c>
      <c r="S25" s="197">
        <f t="shared" si="12"/>
        <v>0</v>
      </c>
      <c r="T25" s="197">
        <f t="shared" si="12"/>
        <v>0</v>
      </c>
      <c r="U25" s="197">
        <f t="shared" si="12"/>
        <v>0</v>
      </c>
      <c r="V25" s="197">
        <f t="shared" si="12"/>
        <v>0</v>
      </c>
      <c r="W25" s="197">
        <f t="shared" si="12"/>
        <v>0</v>
      </c>
      <c r="X25" s="197">
        <f t="shared" si="12"/>
        <v>0</v>
      </c>
      <c r="Y25" s="87" t="s">
        <v>118</v>
      </c>
    </row>
    <row r="26" spans="1:25">
      <c r="A26" s="19">
        <f t="shared" si="7"/>
        <v>23</v>
      </c>
      <c r="B26" s="14" t="s">
        <v>15</v>
      </c>
      <c r="C26" s="13"/>
      <c r="D26" s="1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25"/>
      <c r="R26" s="25"/>
      <c r="S26" s="25"/>
      <c r="T26" s="25"/>
      <c r="U26" s="25"/>
      <c r="V26" s="25"/>
      <c r="W26" s="25"/>
      <c r="X26" s="25"/>
      <c r="Y26" s="7" t="s">
        <v>87</v>
      </c>
    </row>
    <row r="27" spans="1:25">
      <c r="A27" s="19">
        <f t="shared" si="7"/>
        <v>24</v>
      </c>
      <c r="B27" s="67" t="s">
        <v>28</v>
      </c>
      <c r="C27" s="13" t="s">
        <v>16</v>
      </c>
      <c r="D27" s="59">
        <v>140</v>
      </c>
      <c r="E27" s="84">
        <f>D27</f>
        <v>140</v>
      </c>
      <c r="F27" s="84">
        <f t="shared" ref="F27:X27" si="13">E27</f>
        <v>140</v>
      </c>
      <c r="G27" s="84">
        <f t="shared" si="13"/>
        <v>140</v>
      </c>
      <c r="H27" s="84">
        <f t="shared" si="13"/>
        <v>140</v>
      </c>
      <c r="I27" s="84">
        <f t="shared" si="13"/>
        <v>140</v>
      </c>
      <c r="J27" s="84">
        <f t="shared" si="13"/>
        <v>140</v>
      </c>
      <c r="K27" s="84">
        <f t="shared" si="13"/>
        <v>140</v>
      </c>
      <c r="L27" s="84">
        <f t="shared" si="13"/>
        <v>140</v>
      </c>
      <c r="M27" s="84">
        <f t="shared" si="13"/>
        <v>140</v>
      </c>
      <c r="N27" s="84">
        <f t="shared" si="13"/>
        <v>140</v>
      </c>
      <c r="O27" s="84">
        <f t="shared" si="13"/>
        <v>140</v>
      </c>
      <c r="P27" s="84">
        <f t="shared" si="13"/>
        <v>140</v>
      </c>
      <c r="Q27" s="84">
        <f t="shared" si="13"/>
        <v>140</v>
      </c>
      <c r="R27" s="84">
        <f t="shared" si="13"/>
        <v>140</v>
      </c>
      <c r="S27" s="84">
        <f t="shared" si="13"/>
        <v>140</v>
      </c>
      <c r="T27" s="84">
        <f t="shared" si="13"/>
        <v>140</v>
      </c>
      <c r="U27" s="84">
        <f t="shared" si="13"/>
        <v>140</v>
      </c>
      <c r="V27" s="84">
        <f t="shared" si="13"/>
        <v>140</v>
      </c>
      <c r="W27" s="84">
        <f t="shared" si="13"/>
        <v>140</v>
      </c>
      <c r="X27" s="84">
        <f t="shared" si="13"/>
        <v>140</v>
      </c>
      <c r="Y27" s="85" t="s">
        <v>113</v>
      </c>
    </row>
    <row r="28" spans="1:25">
      <c r="A28" s="19">
        <f t="shared" si="7"/>
        <v>25</v>
      </c>
      <c r="B28" s="67" t="s">
        <v>29</v>
      </c>
      <c r="C28" s="13" t="s">
        <v>16</v>
      </c>
      <c r="D28" s="59">
        <v>165</v>
      </c>
      <c r="E28" s="84">
        <f>D28</f>
        <v>165</v>
      </c>
      <c r="F28" s="84">
        <f t="shared" ref="F28:X28" si="14">E28</f>
        <v>165</v>
      </c>
      <c r="G28" s="84">
        <f t="shared" si="14"/>
        <v>165</v>
      </c>
      <c r="H28" s="84">
        <f t="shared" si="14"/>
        <v>165</v>
      </c>
      <c r="I28" s="84">
        <f t="shared" si="14"/>
        <v>165</v>
      </c>
      <c r="J28" s="84">
        <f t="shared" si="14"/>
        <v>165</v>
      </c>
      <c r="K28" s="84">
        <f t="shared" si="14"/>
        <v>165</v>
      </c>
      <c r="L28" s="84">
        <f t="shared" si="14"/>
        <v>165</v>
      </c>
      <c r="M28" s="84">
        <f t="shared" si="14"/>
        <v>165</v>
      </c>
      <c r="N28" s="84">
        <f t="shared" si="14"/>
        <v>165</v>
      </c>
      <c r="O28" s="84">
        <f t="shared" si="14"/>
        <v>165</v>
      </c>
      <c r="P28" s="84">
        <f t="shared" si="14"/>
        <v>165</v>
      </c>
      <c r="Q28" s="84">
        <f t="shared" si="14"/>
        <v>165</v>
      </c>
      <c r="R28" s="84">
        <f t="shared" si="14"/>
        <v>165</v>
      </c>
      <c r="S28" s="84">
        <f t="shared" si="14"/>
        <v>165</v>
      </c>
      <c r="T28" s="84">
        <f t="shared" si="14"/>
        <v>165</v>
      </c>
      <c r="U28" s="84">
        <f t="shared" si="14"/>
        <v>165</v>
      </c>
      <c r="V28" s="84">
        <f t="shared" si="14"/>
        <v>165</v>
      </c>
      <c r="W28" s="84">
        <f t="shared" si="14"/>
        <v>165</v>
      </c>
      <c r="X28" s="84">
        <f t="shared" si="14"/>
        <v>165</v>
      </c>
      <c r="Y28" s="85" t="s">
        <v>114</v>
      </c>
    </row>
    <row r="29" spans="1:25">
      <c r="A29" s="19">
        <f t="shared" si="7"/>
        <v>26</v>
      </c>
      <c r="B29" s="67" t="s">
        <v>30</v>
      </c>
      <c r="C29" s="13" t="s">
        <v>16</v>
      </c>
      <c r="D29" s="59">
        <v>190</v>
      </c>
      <c r="E29" s="84">
        <f>D29</f>
        <v>190</v>
      </c>
      <c r="F29" s="84">
        <f t="shared" ref="F29:X29" si="15">E29</f>
        <v>190</v>
      </c>
      <c r="G29" s="84">
        <f t="shared" si="15"/>
        <v>190</v>
      </c>
      <c r="H29" s="84">
        <f t="shared" si="15"/>
        <v>190</v>
      </c>
      <c r="I29" s="84">
        <f t="shared" si="15"/>
        <v>190</v>
      </c>
      <c r="J29" s="84">
        <f t="shared" si="15"/>
        <v>190</v>
      </c>
      <c r="K29" s="84">
        <f t="shared" si="15"/>
        <v>190</v>
      </c>
      <c r="L29" s="84">
        <f t="shared" si="15"/>
        <v>190</v>
      </c>
      <c r="M29" s="84">
        <f t="shared" si="15"/>
        <v>190</v>
      </c>
      <c r="N29" s="84">
        <f t="shared" si="15"/>
        <v>190</v>
      </c>
      <c r="O29" s="84">
        <f t="shared" si="15"/>
        <v>190</v>
      </c>
      <c r="P29" s="84">
        <f t="shared" si="15"/>
        <v>190</v>
      </c>
      <c r="Q29" s="84">
        <f t="shared" si="15"/>
        <v>190</v>
      </c>
      <c r="R29" s="84">
        <f t="shared" si="15"/>
        <v>190</v>
      </c>
      <c r="S29" s="84">
        <f t="shared" si="15"/>
        <v>190</v>
      </c>
      <c r="T29" s="84">
        <f t="shared" si="15"/>
        <v>190</v>
      </c>
      <c r="U29" s="84">
        <f t="shared" si="15"/>
        <v>190</v>
      </c>
      <c r="V29" s="84">
        <f t="shared" si="15"/>
        <v>190</v>
      </c>
      <c r="W29" s="84">
        <f t="shared" si="15"/>
        <v>190</v>
      </c>
      <c r="X29" s="84">
        <f t="shared" si="15"/>
        <v>190</v>
      </c>
      <c r="Y29" s="85" t="s">
        <v>115</v>
      </c>
    </row>
    <row r="30" spans="1:25" ht="18" customHeight="1">
      <c r="A30" s="19">
        <f t="shared" si="7"/>
        <v>27</v>
      </c>
      <c r="B30" s="63" t="s">
        <v>17</v>
      </c>
      <c r="C30" s="17" t="s">
        <v>22</v>
      </c>
      <c r="D30" s="61" t="s">
        <v>91</v>
      </c>
      <c r="E30" s="89" t="str">
        <f>D30</f>
        <v>От 6 до 14</v>
      </c>
      <c r="F30" s="89" t="str">
        <f t="shared" ref="F30:X30" si="16">E30</f>
        <v>От 6 до 14</v>
      </c>
      <c r="G30" s="89" t="str">
        <f t="shared" si="16"/>
        <v>От 6 до 14</v>
      </c>
      <c r="H30" s="89" t="str">
        <f t="shared" si="16"/>
        <v>От 6 до 14</v>
      </c>
      <c r="I30" s="89" t="str">
        <f t="shared" si="16"/>
        <v>От 6 до 14</v>
      </c>
      <c r="J30" s="89" t="str">
        <f t="shared" si="16"/>
        <v>От 6 до 14</v>
      </c>
      <c r="K30" s="89" t="str">
        <f t="shared" si="16"/>
        <v>От 6 до 14</v>
      </c>
      <c r="L30" s="89" t="str">
        <f t="shared" si="16"/>
        <v>От 6 до 14</v>
      </c>
      <c r="M30" s="89" t="str">
        <f t="shared" si="16"/>
        <v>От 6 до 14</v>
      </c>
      <c r="N30" s="89" t="str">
        <f t="shared" si="16"/>
        <v>От 6 до 14</v>
      </c>
      <c r="O30" s="89" t="str">
        <f t="shared" si="16"/>
        <v>От 6 до 14</v>
      </c>
      <c r="P30" s="89" t="str">
        <f t="shared" si="16"/>
        <v>От 6 до 14</v>
      </c>
      <c r="Q30" s="89" t="str">
        <f t="shared" si="16"/>
        <v>От 6 до 14</v>
      </c>
      <c r="R30" s="89" t="str">
        <f t="shared" si="16"/>
        <v>От 6 до 14</v>
      </c>
      <c r="S30" s="89" t="str">
        <f t="shared" si="16"/>
        <v>От 6 до 14</v>
      </c>
      <c r="T30" s="89" t="str">
        <f t="shared" si="16"/>
        <v>От 6 до 14</v>
      </c>
      <c r="U30" s="89" t="str">
        <f t="shared" si="16"/>
        <v>От 6 до 14</v>
      </c>
      <c r="V30" s="89" t="str">
        <f t="shared" si="16"/>
        <v>От 6 до 14</v>
      </c>
      <c r="W30" s="89" t="str">
        <f t="shared" si="16"/>
        <v>От 6 до 14</v>
      </c>
      <c r="X30" s="89" t="str">
        <f t="shared" si="16"/>
        <v>От 6 до 14</v>
      </c>
      <c r="Y30" s="18" t="s">
        <v>92</v>
      </c>
    </row>
  </sheetData>
  <printOptions horizontalCentered="1" verticalCentered="1"/>
  <pageMargins left="0.19685039370078741" right="0.19685039370078741" top="0.19685039370078741" bottom="0.19685039370078741" header="0.15748031496062992" footer="0.15748031496062992"/>
  <pageSetup paperSize="9" scale="42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Z53"/>
  <sheetViews>
    <sheetView zoomScale="55" zoomScaleNormal="55" workbookViewId="0">
      <pane xSplit="5" ySplit="4" topLeftCell="F5" activePane="bottomRight" state="frozen"/>
      <selection activeCell="G3" sqref="G3:Z3"/>
      <selection pane="topRight" activeCell="G3" sqref="G3:Z3"/>
      <selection pane="bottomLeft" activeCell="G3" sqref="G3:Z3"/>
      <selection pane="bottomRight" activeCell="G26" sqref="G26"/>
    </sheetView>
  </sheetViews>
  <sheetFormatPr defaultRowHeight="14.4"/>
  <cols>
    <col min="1" max="1" width="5.5546875" customWidth="1"/>
    <col min="2" max="2" width="33.33203125" style="70" bestFit="1" customWidth="1"/>
    <col min="3" max="3" width="19.33203125" style="110" bestFit="1" customWidth="1"/>
    <col min="4" max="4" width="14.6640625" customWidth="1"/>
    <col min="5" max="5" width="9.33203125" style="54" bestFit="1" customWidth="1"/>
    <col min="6" max="6" width="9.33203125" bestFit="1" customWidth="1"/>
    <col min="7" max="26" width="11.33203125" style="54" bestFit="1" customWidth="1"/>
    <col min="27" max="27" width="5.5546875" customWidth="1"/>
  </cols>
  <sheetData>
    <row r="2" spans="2:26" ht="15" thickBot="1">
      <c r="B2" s="27" t="s">
        <v>40</v>
      </c>
    </row>
    <row r="3" spans="2:26" ht="15" thickBot="1">
      <c r="B3" s="165" t="s">
        <v>41</v>
      </c>
      <c r="C3" s="166"/>
      <c r="D3" s="167"/>
      <c r="E3" s="168"/>
      <c r="F3" s="167"/>
      <c r="G3" s="169">
        <f>'Данные-самосвал NHL NTE240'!E12</f>
        <v>0.93755029173008619</v>
      </c>
      <c r="H3" s="169">
        <f>'Данные-самосвал NHL NTE240'!F12</f>
        <v>0.93038070776255699</v>
      </c>
      <c r="I3" s="169">
        <f>'Данные-самосвал NHL NTE240'!G12</f>
        <v>0.92090265093860979</v>
      </c>
      <c r="J3" s="169">
        <f>'Данные-самосвал NHL NTE240'!H12</f>
        <v>0.90840582191780817</v>
      </c>
      <c r="K3" s="169">
        <f>'Данные-самосвал NHL NTE240'!I12</f>
        <v>0.93333288939624548</v>
      </c>
      <c r="L3" s="169">
        <f>'Данные-самосвал NHL NTE240'!J12</f>
        <v>0.92172393455098933</v>
      </c>
      <c r="M3" s="169">
        <f>'Данные-самосвал NHL NTE240'!K12</f>
        <v>0.93126858193810236</v>
      </c>
      <c r="N3" s="169">
        <f>'Данные-самосвал NHL NTE240'!L12</f>
        <v>0.91113603500761031</v>
      </c>
      <c r="O3" s="169">
        <f>'Данные-самосвал NHL NTE240'!M12</f>
        <v>0.91706259512937582</v>
      </c>
      <c r="P3" s="169">
        <f>'Данные-самосвал NHL NTE240'!N12</f>
        <v>0.93222304667681377</v>
      </c>
      <c r="Q3" s="169">
        <f>'Данные-самосвал NHL NTE240'!O12</f>
        <v>0.91462094114662595</v>
      </c>
      <c r="R3" s="169">
        <f>'Данные-самосвал NHL NTE240'!P12</f>
        <v>0.91328912988330779</v>
      </c>
      <c r="S3" s="169">
        <f>'Данные-самосвал NHL NTE240'!Q12</f>
        <v>0.93377682648401816</v>
      </c>
      <c r="T3" s="169">
        <f>'Данные-самосвал NHL NTE240'!R12</f>
        <v>0.93266698376458645</v>
      </c>
      <c r="U3" s="169">
        <f>'Данные-самосвал NHL NTE240'!S12</f>
        <v>0.89848382800608828</v>
      </c>
      <c r="V3" s="169">
        <f>'Данные-самосвал NHL NTE240'!T12</f>
        <v>0.92556399036022319</v>
      </c>
      <c r="W3" s="169">
        <f>'Данные-самосвал NHL NTE240'!U12</f>
        <v>0.93422076357179096</v>
      </c>
      <c r="X3" s="169">
        <f>'Данные-самосвал NHL NTE240'!V12</f>
        <v>0.90469894723490607</v>
      </c>
      <c r="Y3" s="169">
        <f>'Данные-самосвал NHL NTE240'!W12</f>
        <v>0.9344427321156773</v>
      </c>
      <c r="Z3" s="170">
        <f>'Данные-самосвал NHL NTE240'!X12</f>
        <v>0.9220124936580415</v>
      </c>
    </row>
    <row r="4" spans="2:26" ht="15" thickBot="1">
      <c r="B4" s="71" t="s">
        <v>42</v>
      </c>
      <c r="C4" s="139" t="s">
        <v>3</v>
      </c>
      <c r="D4" s="28"/>
      <c r="E4" s="103"/>
      <c r="F4" s="104"/>
      <c r="G4" s="29">
        <f>E4+1</f>
        <v>1</v>
      </c>
      <c r="H4" s="29">
        <f>G4+1</f>
        <v>2</v>
      </c>
      <c r="I4" s="29">
        <f t="shared" ref="I4:P4" si="0">H4+1</f>
        <v>3</v>
      </c>
      <c r="J4" s="29">
        <f t="shared" si="0"/>
        <v>4</v>
      </c>
      <c r="K4" s="29">
        <f t="shared" si="0"/>
        <v>5</v>
      </c>
      <c r="L4" s="29">
        <f t="shared" si="0"/>
        <v>6</v>
      </c>
      <c r="M4" s="29">
        <f t="shared" si="0"/>
        <v>7</v>
      </c>
      <c r="N4" s="29">
        <f t="shared" si="0"/>
        <v>8</v>
      </c>
      <c r="O4" s="29">
        <f t="shared" si="0"/>
        <v>9</v>
      </c>
      <c r="P4" s="29">
        <f t="shared" si="0"/>
        <v>10</v>
      </c>
      <c r="Q4" s="29">
        <f>P4+1</f>
        <v>11</v>
      </c>
      <c r="R4" s="29">
        <f>Q4+1</f>
        <v>12</v>
      </c>
      <c r="S4" s="29">
        <v>13</v>
      </c>
      <c r="T4" s="29">
        <v>14</v>
      </c>
      <c r="U4" s="29">
        <v>15</v>
      </c>
      <c r="V4" s="29">
        <v>16</v>
      </c>
      <c r="W4" s="29">
        <v>17</v>
      </c>
      <c r="X4" s="29">
        <v>18</v>
      </c>
      <c r="Y4" s="29">
        <v>19</v>
      </c>
      <c r="Z4" s="105">
        <v>20</v>
      </c>
    </row>
    <row r="5" spans="2:26">
      <c r="B5" s="72" t="s">
        <v>43</v>
      </c>
      <c r="C5" s="140" t="s">
        <v>44</v>
      </c>
      <c r="D5" s="30"/>
      <c r="E5" s="80"/>
      <c r="F5" s="31"/>
      <c r="G5" s="93">
        <v>0</v>
      </c>
      <c r="H5" s="93">
        <f>G6+1</f>
        <v>7001</v>
      </c>
      <c r="I5" s="93">
        <f t="shared" ref="I5:R5" si="1">H6+1</f>
        <v>14001</v>
      </c>
      <c r="J5" s="93">
        <f t="shared" si="1"/>
        <v>21001</v>
      </c>
      <c r="K5" s="93">
        <f t="shared" si="1"/>
        <v>28001</v>
      </c>
      <c r="L5" s="93">
        <f t="shared" si="1"/>
        <v>35001</v>
      </c>
      <c r="M5" s="93">
        <f t="shared" si="1"/>
        <v>42001</v>
      </c>
      <c r="N5" s="93">
        <f t="shared" si="1"/>
        <v>49001</v>
      </c>
      <c r="O5" s="93">
        <f t="shared" si="1"/>
        <v>56001</v>
      </c>
      <c r="P5" s="93">
        <f t="shared" si="1"/>
        <v>63001</v>
      </c>
      <c r="Q5" s="93">
        <f t="shared" si="1"/>
        <v>70001</v>
      </c>
      <c r="R5" s="93">
        <f t="shared" si="1"/>
        <v>77001</v>
      </c>
      <c r="S5" s="93">
        <f t="shared" ref="S5" si="2">R6+1</f>
        <v>84001</v>
      </c>
      <c r="T5" s="93">
        <f t="shared" ref="T5" si="3">S6+1</f>
        <v>91001</v>
      </c>
      <c r="U5" s="93">
        <f t="shared" ref="U5" si="4">T6+1</f>
        <v>98001</v>
      </c>
      <c r="V5" s="93">
        <f t="shared" ref="V5" si="5">U6+1</f>
        <v>105001</v>
      </c>
      <c r="W5" s="93">
        <f t="shared" ref="W5" si="6">V6+1</f>
        <v>112001</v>
      </c>
      <c r="X5" s="93">
        <f t="shared" ref="X5" si="7">W6+1</f>
        <v>119001</v>
      </c>
      <c r="Y5" s="93">
        <f t="shared" ref="Y5" si="8">X6+1</f>
        <v>126001</v>
      </c>
      <c r="Z5" s="106">
        <f t="shared" ref="Z5" si="9">Y6+1</f>
        <v>133001</v>
      </c>
    </row>
    <row r="6" spans="2:26">
      <c r="B6" s="73" t="s">
        <v>45</v>
      </c>
      <c r="C6" s="141" t="s">
        <v>44</v>
      </c>
      <c r="D6" s="32"/>
      <c r="E6" s="81"/>
      <c r="F6" s="33">
        <v>7000</v>
      </c>
      <c r="G6" s="94">
        <f>F6</f>
        <v>7000</v>
      </c>
      <c r="H6" s="94">
        <f t="shared" ref="H6:R6" si="10">G6+$F6</f>
        <v>14000</v>
      </c>
      <c r="I6" s="94">
        <f t="shared" si="10"/>
        <v>21000</v>
      </c>
      <c r="J6" s="94">
        <f t="shared" si="10"/>
        <v>28000</v>
      </c>
      <c r="K6" s="94">
        <f t="shared" si="10"/>
        <v>35000</v>
      </c>
      <c r="L6" s="94">
        <f t="shared" si="10"/>
        <v>42000</v>
      </c>
      <c r="M6" s="94">
        <f t="shared" si="10"/>
        <v>49000</v>
      </c>
      <c r="N6" s="94">
        <f t="shared" si="10"/>
        <v>56000</v>
      </c>
      <c r="O6" s="94">
        <f t="shared" si="10"/>
        <v>63000</v>
      </c>
      <c r="P6" s="94">
        <f t="shared" si="10"/>
        <v>70000</v>
      </c>
      <c r="Q6" s="94">
        <f t="shared" si="10"/>
        <v>77000</v>
      </c>
      <c r="R6" s="94">
        <f t="shared" si="10"/>
        <v>84000</v>
      </c>
      <c r="S6" s="98">
        <v>91000</v>
      </c>
      <c r="T6" s="98">
        <v>98000</v>
      </c>
      <c r="U6" s="98">
        <v>105000</v>
      </c>
      <c r="V6" s="98">
        <v>112000</v>
      </c>
      <c r="W6" s="98">
        <v>119000</v>
      </c>
      <c r="X6" s="98">
        <v>126000</v>
      </c>
      <c r="Y6" s="98">
        <v>133000</v>
      </c>
      <c r="Z6" s="107">
        <v>140000</v>
      </c>
    </row>
    <row r="7" spans="2:26">
      <c r="B7" s="74" t="s">
        <v>46</v>
      </c>
      <c r="C7" s="142" t="s">
        <v>47</v>
      </c>
      <c r="D7" s="21"/>
      <c r="E7" s="34"/>
      <c r="F7" s="35"/>
      <c r="G7" s="36">
        <f>G13</f>
        <v>173.404</v>
      </c>
      <c r="H7" s="36">
        <f t="shared" ref="H7:Z7" si="11">H13</f>
        <v>202.00399999999999</v>
      </c>
      <c r="I7" s="36">
        <f t="shared" si="11"/>
        <v>173.404</v>
      </c>
      <c r="J7" s="36">
        <f t="shared" si="11"/>
        <v>202.00399999999999</v>
      </c>
      <c r="K7" s="36">
        <f t="shared" si="11"/>
        <v>173.404</v>
      </c>
      <c r="L7" s="36">
        <f t="shared" si="11"/>
        <v>202.00399999999999</v>
      </c>
      <c r="M7" s="36">
        <f t="shared" si="11"/>
        <v>202.00399999999999</v>
      </c>
      <c r="N7" s="36">
        <f t="shared" si="11"/>
        <v>173.404</v>
      </c>
      <c r="O7" s="36">
        <f t="shared" si="11"/>
        <v>202.00399999999999</v>
      </c>
      <c r="P7" s="36">
        <f t="shared" si="11"/>
        <v>173.404</v>
      </c>
      <c r="Q7" s="36">
        <f t="shared" si="11"/>
        <v>202.00399999999999</v>
      </c>
      <c r="R7" s="36">
        <f t="shared" si="11"/>
        <v>202.00399999999999</v>
      </c>
      <c r="S7" s="36">
        <f t="shared" si="11"/>
        <v>173.404</v>
      </c>
      <c r="T7" s="36">
        <f t="shared" si="11"/>
        <v>197.404</v>
      </c>
      <c r="U7" s="36">
        <f t="shared" si="11"/>
        <v>197.404</v>
      </c>
      <c r="V7" s="36">
        <f t="shared" si="11"/>
        <v>173.404</v>
      </c>
      <c r="W7" s="36">
        <f t="shared" si="11"/>
        <v>197.404</v>
      </c>
      <c r="X7" s="36">
        <f t="shared" si="11"/>
        <v>197.404</v>
      </c>
      <c r="Y7" s="36">
        <f t="shared" si="11"/>
        <v>173.404</v>
      </c>
      <c r="Z7" s="37">
        <f t="shared" si="11"/>
        <v>197.404</v>
      </c>
    </row>
    <row r="8" spans="2:26">
      <c r="B8" s="75" t="s">
        <v>48</v>
      </c>
      <c r="C8" s="143" t="s">
        <v>95</v>
      </c>
      <c r="D8" s="24"/>
      <c r="E8" s="34"/>
      <c r="F8" s="35"/>
      <c r="G8" s="38">
        <f t="shared" ref="G8:Z8" si="12">SUM(G9:G10)</f>
        <v>400885.29599999997</v>
      </c>
      <c r="H8" s="38">
        <f t="shared" si="12"/>
        <v>422735.696</v>
      </c>
      <c r="I8" s="38">
        <f t="shared" si="12"/>
        <v>400885.29599999997</v>
      </c>
      <c r="J8" s="38">
        <f t="shared" si="12"/>
        <v>422735.696</v>
      </c>
      <c r="K8" s="38">
        <f t="shared" si="12"/>
        <v>400885.29599999997</v>
      </c>
      <c r="L8" s="38">
        <f t="shared" si="12"/>
        <v>422735.696</v>
      </c>
      <c r="M8" s="38">
        <f t="shared" si="12"/>
        <v>422735.696</v>
      </c>
      <c r="N8" s="38">
        <f t="shared" si="12"/>
        <v>400885.29599999997</v>
      </c>
      <c r="O8" s="38">
        <f t="shared" si="12"/>
        <v>422735.696</v>
      </c>
      <c r="P8" s="38">
        <f t="shared" si="12"/>
        <v>400885.29599999997</v>
      </c>
      <c r="Q8" s="38">
        <f t="shared" si="12"/>
        <v>422735.696</v>
      </c>
      <c r="R8" s="38">
        <f t="shared" si="12"/>
        <v>422735.696</v>
      </c>
      <c r="S8" s="38">
        <f t="shared" si="12"/>
        <v>400885.29599999997</v>
      </c>
      <c r="T8" s="38">
        <f t="shared" si="12"/>
        <v>419221.29599999997</v>
      </c>
      <c r="U8" s="38">
        <f t="shared" si="12"/>
        <v>419221.29599999997</v>
      </c>
      <c r="V8" s="38">
        <f t="shared" si="12"/>
        <v>400885.29599999997</v>
      </c>
      <c r="W8" s="38">
        <f t="shared" si="12"/>
        <v>419221.29599999997</v>
      </c>
      <c r="X8" s="38">
        <f t="shared" si="12"/>
        <v>419221.29599999997</v>
      </c>
      <c r="Y8" s="38">
        <f t="shared" si="12"/>
        <v>400885.29599999997</v>
      </c>
      <c r="Z8" s="39">
        <f t="shared" si="12"/>
        <v>419221.29599999997</v>
      </c>
    </row>
    <row r="9" spans="2:26">
      <c r="B9" s="76" t="s">
        <v>49</v>
      </c>
      <c r="C9" s="144" t="s">
        <v>95</v>
      </c>
      <c r="D9" s="26"/>
      <c r="E9" s="40"/>
      <c r="F9" s="41"/>
      <c r="G9" s="42">
        <f>G22</f>
        <v>274822.24</v>
      </c>
      <c r="H9" s="42">
        <f>H22</f>
        <v>274822.24</v>
      </c>
      <c r="I9" s="42">
        <f t="shared" ref="I9:Z9" si="13">I22</f>
        <v>274822.24</v>
      </c>
      <c r="J9" s="42">
        <f t="shared" si="13"/>
        <v>274822.24</v>
      </c>
      <c r="K9" s="42">
        <f t="shared" si="13"/>
        <v>274822.24</v>
      </c>
      <c r="L9" s="42">
        <f t="shared" si="13"/>
        <v>274822.24</v>
      </c>
      <c r="M9" s="42">
        <f t="shared" si="13"/>
        <v>274822.24</v>
      </c>
      <c r="N9" s="42">
        <f t="shared" si="13"/>
        <v>274822.24</v>
      </c>
      <c r="O9" s="42">
        <f t="shared" si="13"/>
        <v>274822.24</v>
      </c>
      <c r="P9" s="42">
        <f t="shared" si="13"/>
        <v>274822.24</v>
      </c>
      <c r="Q9" s="42">
        <f t="shared" si="13"/>
        <v>274822.24</v>
      </c>
      <c r="R9" s="42">
        <f t="shared" si="13"/>
        <v>274822.24</v>
      </c>
      <c r="S9" s="42">
        <f t="shared" si="13"/>
        <v>274822.24</v>
      </c>
      <c r="T9" s="42">
        <f t="shared" si="13"/>
        <v>274822.24</v>
      </c>
      <c r="U9" s="42">
        <f t="shared" si="13"/>
        <v>274822.24</v>
      </c>
      <c r="V9" s="42">
        <f t="shared" si="13"/>
        <v>274822.24</v>
      </c>
      <c r="W9" s="42">
        <f t="shared" si="13"/>
        <v>274822.24</v>
      </c>
      <c r="X9" s="42">
        <f t="shared" si="13"/>
        <v>274822.24</v>
      </c>
      <c r="Y9" s="42">
        <f t="shared" si="13"/>
        <v>274822.24</v>
      </c>
      <c r="Z9" s="43">
        <f t="shared" si="13"/>
        <v>274822.24</v>
      </c>
    </row>
    <row r="10" spans="2:26" ht="15" thickBot="1">
      <c r="B10" s="77" t="s">
        <v>50</v>
      </c>
      <c r="C10" s="145" t="s">
        <v>95</v>
      </c>
      <c r="D10" s="44"/>
      <c r="E10" s="45"/>
      <c r="F10" s="151">
        <v>191</v>
      </c>
      <c r="G10" s="46">
        <f>SUMPRODUCT(G14:G19,$F$14:$F$19)*$F10</f>
        <v>126063.056</v>
      </c>
      <c r="H10" s="46">
        <f>SUMPRODUCT(H14:H19,$F$14:$F$19)*$F10</f>
        <v>147913.45599999998</v>
      </c>
      <c r="I10" s="46">
        <f t="shared" ref="I10:Z10" si="14">SUMPRODUCT(I14:I19,$F$14:$F$19)*$F10</f>
        <v>126063.056</v>
      </c>
      <c r="J10" s="46">
        <f t="shared" si="14"/>
        <v>147913.45599999998</v>
      </c>
      <c r="K10" s="46">
        <f t="shared" si="14"/>
        <v>126063.056</v>
      </c>
      <c r="L10" s="46">
        <f t="shared" si="14"/>
        <v>147913.45599999998</v>
      </c>
      <c r="M10" s="46">
        <f t="shared" si="14"/>
        <v>147913.45599999998</v>
      </c>
      <c r="N10" s="46">
        <f t="shared" si="14"/>
        <v>126063.056</v>
      </c>
      <c r="O10" s="46">
        <f t="shared" si="14"/>
        <v>147913.45599999998</v>
      </c>
      <c r="P10" s="46">
        <f t="shared" si="14"/>
        <v>126063.056</v>
      </c>
      <c r="Q10" s="46">
        <f t="shared" si="14"/>
        <v>147913.45599999998</v>
      </c>
      <c r="R10" s="46">
        <f t="shared" si="14"/>
        <v>147913.45599999998</v>
      </c>
      <c r="S10" s="46">
        <f t="shared" si="14"/>
        <v>126063.056</v>
      </c>
      <c r="T10" s="46">
        <f t="shared" si="14"/>
        <v>144399.05599999998</v>
      </c>
      <c r="U10" s="46">
        <f t="shared" si="14"/>
        <v>144399.05599999998</v>
      </c>
      <c r="V10" s="46">
        <f t="shared" si="14"/>
        <v>126063.056</v>
      </c>
      <c r="W10" s="46">
        <f t="shared" si="14"/>
        <v>144399.05599999998</v>
      </c>
      <c r="X10" s="46">
        <f t="shared" si="14"/>
        <v>144399.05599999998</v>
      </c>
      <c r="Y10" s="46">
        <f t="shared" si="14"/>
        <v>126063.056</v>
      </c>
      <c r="Z10" s="47">
        <f t="shared" si="14"/>
        <v>144399.05599999998</v>
      </c>
    </row>
    <row r="11" spans="2:26" ht="15" thickBot="1">
      <c r="B11" s="333"/>
      <c r="C11" s="334"/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99"/>
      <c r="T11" s="99"/>
      <c r="U11" s="99"/>
      <c r="V11" s="99"/>
      <c r="W11" s="99"/>
      <c r="X11" s="99"/>
      <c r="Y11" s="99"/>
      <c r="Z11" s="99"/>
    </row>
    <row r="12" spans="2:26" ht="36">
      <c r="B12" s="100" t="s">
        <v>51</v>
      </c>
      <c r="C12" s="146" t="s">
        <v>52</v>
      </c>
      <c r="D12" s="48" t="s">
        <v>53</v>
      </c>
      <c r="E12" s="48" t="s">
        <v>54</v>
      </c>
      <c r="F12" s="48" t="s">
        <v>55</v>
      </c>
      <c r="G12" s="101" t="s">
        <v>56</v>
      </c>
      <c r="H12" s="101" t="s">
        <v>56</v>
      </c>
      <c r="I12" s="101" t="s">
        <v>56</v>
      </c>
      <c r="J12" s="101" t="s">
        <v>56</v>
      </c>
      <c r="K12" s="101" t="s">
        <v>56</v>
      </c>
      <c r="L12" s="101" t="s">
        <v>56</v>
      </c>
      <c r="M12" s="101" t="s">
        <v>56</v>
      </c>
      <c r="N12" s="101" t="s">
        <v>56</v>
      </c>
      <c r="O12" s="101" t="s">
        <v>56</v>
      </c>
      <c r="P12" s="101" t="s">
        <v>56</v>
      </c>
      <c r="Q12" s="101" t="s">
        <v>56</v>
      </c>
      <c r="R12" s="101" t="s">
        <v>56</v>
      </c>
      <c r="S12" s="101" t="s">
        <v>56</v>
      </c>
      <c r="T12" s="101" t="s">
        <v>56</v>
      </c>
      <c r="U12" s="101" t="s">
        <v>56</v>
      </c>
      <c r="V12" s="101" t="s">
        <v>56</v>
      </c>
      <c r="W12" s="101" t="s">
        <v>56</v>
      </c>
      <c r="X12" s="101" t="s">
        <v>56</v>
      </c>
      <c r="Y12" s="101" t="s">
        <v>56</v>
      </c>
      <c r="Z12" s="102" t="s">
        <v>56</v>
      </c>
    </row>
    <row r="13" spans="2:26" ht="15" thickBot="1">
      <c r="B13" s="174" t="s">
        <v>57</v>
      </c>
      <c r="C13" s="175"/>
      <c r="D13" s="176"/>
      <c r="E13" s="176"/>
      <c r="F13" s="177"/>
      <c r="G13" s="178">
        <f>SUM(G14:G19)</f>
        <v>173.404</v>
      </c>
      <c r="H13" s="178">
        <f t="shared" ref="H13:Z13" si="15">SUM(H14:H19)</f>
        <v>202.00399999999999</v>
      </c>
      <c r="I13" s="178">
        <f t="shared" si="15"/>
        <v>173.404</v>
      </c>
      <c r="J13" s="178">
        <f t="shared" si="15"/>
        <v>202.00399999999999</v>
      </c>
      <c r="K13" s="178">
        <f t="shared" si="15"/>
        <v>173.404</v>
      </c>
      <c r="L13" s="178">
        <f t="shared" si="15"/>
        <v>202.00399999999999</v>
      </c>
      <c r="M13" s="178">
        <f t="shared" si="15"/>
        <v>202.00399999999999</v>
      </c>
      <c r="N13" s="178">
        <f t="shared" si="15"/>
        <v>173.404</v>
      </c>
      <c r="O13" s="178">
        <f t="shared" si="15"/>
        <v>202.00399999999999</v>
      </c>
      <c r="P13" s="178">
        <f t="shared" si="15"/>
        <v>173.404</v>
      </c>
      <c r="Q13" s="178">
        <f t="shared" si="15"/>
        <v>202.00399999999999</v>
      </c>
      <c r="R13" s="178">
        <f t="shared" si="15"/>
        <v>202.00399999999999</v>
      </c>
      <c r="S13" s="178">
        <f t="shared" si="15"/>
        <v>173.404</v>
      </c>
      <c r="T13" s="178">
        <f t="shared" si="15"/>
        <v>197.404</v>
      </c>
      <c r="U13" s="178">
        <f t="shared" si="15"/>
        <v>197.404</v>
      </c>
      <c r="V13" s="178">
        <f t="shared" si="15"/>
        <v>173.404</v>
      </c>
      <c r="W13" s="178">
        <f t="shared" si="15"/>
        <v>197.404</v>
      </c>
      <c r="X13" s="178">
        <f t="shared" si="15"/>
        <v>197.404</v>
      </c>
      <c r="Y13" s="178">
        <f t="shared" si="15"/>
        <v>173.404</v>
      </c>
      <c r="Z13" s="179">
        <f t="shared" si="15"/>
        <v>197.404</v>
      </c>
    </row>
    <row r="14" spans="2:26">
      <c r="B14" s="180" t="s">
        <v>58</v>
      </c>
      <c r="C14" s="181">
        <v>250</v>
      </c>
      <c r="D14" s="182">
        <f>6/2.5</f>
        <v>2.4</v>
      </c>
      <c r="E14" s="192">
        <v>14</v>
      </c>
      <c r="F14" s="189">
        <v>3</v>
      </c>
      <c r="G14" s="183">
        <f>$E14*$D14</f>
        <v>33.6</v>
      </c>
      <c r="H14" s="183">
        <f t="shared" ref="H14:W18" si="16">$E14*$D14</f>
        <v>33.6</v>
      </c>
      <c r="I14" s="183">
        <f>$E14*$D14</f>
        <v>33.6</v>
      </c>
      <c r="J14" s="183">
        <f t="shared" si="16"/>
        <v>33.6</v>
      </c>
      <c r="K14" s="183">
        <f t="shared" si="16"/>
        <v>33.6</v>
      </c>
      <c r="L14" s="183">
        <f t="shared" si="16"/>
        <v>33.6</v>
      </c>
      <c r="M14" s="183">
        <f t="shared" si="16"/>
        <v>33.6</v>
      </c>
      <c r="N14" s="183">
        <f t="shared" si="16"/>
        <v>33.6</v>
      </c>
      <c r="O14" s="183">
        <f t="shared" si="16"/>
        <v>33.6</v>
      </c>
      <c r="P14" s="183">
        <f t="shared" si="16"/>
        <v>33.6</v>
      </c>
      <c r="Q14" s="183">
        <f t="shared" si="16"/>
        <v>33.6</v>
      </c>
      <c r="R14" s="183">
        <f t="shared" si="16"/>
        <v>33.6</v>
      </c>
      <c r="S14" s="183">
        <f t="shared" si="16"/>
        <v>33.6</v>
      </c>
      <c r="T14" s="183">
        <f t="shared" si="16"/>
        <v>33.6</v>
      </c>
      <c r="U14" s="183">
        <f t="shared" si="16"/>
        <v>33.6</v>
      </c>
      <c r="V14" s="183">
        <f t="shared" si="16"/>
        <v>33.6</v>
      </c>
      <c r="W14" s="183">
        <f t="shared" si="16"/>
        <v>33.6</v>
      </c>
      <c r="X14" s="183">
        <f t="shared" ref="S14:Z18" si="17">$E14*$D14</f>
        <v>33.6</v>
      </c>
      <c r="Y14" s="183">
        <f t="shared" si="17"/>
        <v>33.6</v>
      </c>
      <c r="Z14" s="184">
        <f t="shared" si="17"/>
        <v>33.6</v>
      </c>
    </row>
    <row r="15" spans="2:26">
      <c r="B15" s="185" t="s">
        <v>59</v>
      </c>
      <c r="C15" s="172">
        <v>500</v>
      </c>
      <c r="D15" s="173">
        <f>20.83/2.5</f>
        <v>8.331999999999999</v>
      </c>
      <c r="E15" s="193">
        <v>7</v>
      </c>
      <c r="F15" s="190">
        <v>4</v>
      </c>
      <c r="G15" s="132">
        <f>$E15*$D15</f>
        <v>58.323999999999991</v>
      </c>
      <c r="H15" s="132">
        <f t="shared" si="16"/>
        <v>58.323999999999991</v>
      </c>
      <c r="I15" s="132">
        <f t="shared" si="16"/>
        <v>58.323999999999991</v>
      </c>
      <c r="J15" s="132">
        <f t="shared" si="16"/>
        <v>58.323999999999991</v>
      </c>
      <c r="K15" s="132">
        <f t="shared" si="16"/>
        <v>58.323999999999991</v>
      </c>
      <c r="L15" s="132">
        <f t="shared" si="16"/>
        <v>58.323999999999991</v>
      </c>
      <c r="M15" s="132">
        <f t="shared" si="16"/>
        <v>58.323999999999991</v>
      </c>
      <c r="N15" s="132">
        <f t="shared" si="16"/>
        <v>58.323999999999991</v>
      </c>
      <c r="O15" s="132">
        <f t="shared" si="16"/>
        <v>58.323999999999991</v>
      </c>
      <c r="P15" s="132">
        <f t="shared" si="16"/>
        <v>58.323999999999991</v>
      </c>
      <c r="Q15" s="132">
        <f t="shared" si="16"/>
        <v>58.323999999999991</v>
      </c>
      <c r="R15" s="132">
        <f t="shared" si="16"/>
        <v>58.323999999999991</v>
      </c>
      <c r="S15" s="132">
        <f t="shared" si="16"/>
        <v>58.323999999999991</v>
      </c>
      <c r="T15" s="132">
        <f t="shared" si="16"/>
        <v>58.323999999999991</v>
      </c>
      <c r="U15" s="132">
        <f t="shared" si="16"/>
        <v>58.323999999999991</v>
      </c>
      <c r="V15" s="132">
        <f t="shared" si="16"/>
        <v>58.323999999999991</v>
      </c>
      <c r="W15" s="132">
        <f t="shared" si="16"/>
        <v>58.323999999999991</v>
      </c>
      <c r="X15" s="132">
        <f t="shared" si="17"/>
        <v>58.323999999999991</v>
      </c>
      <c r="Y15" s="132">
        <f t="shared" si="17"/>
        <v>58.323999999999991</v>
      </c>
      <c r="Z15" s="133">
        <f t="shared" si="17"/>
        <v>58.323999999999991</v>
      </c>
    </row>
    <row r="16" spans="2:26">
      <c r="B16" s="185" t="s">
        <v>60</v>
      </c>
      <c r="C16" s="172">
        <v>1000</v>
      </c>
      <c r="D16" s="173">
        <f>24.2/2.5</f>
        <v>9.68</v>
      </c>
      <c r="E16" s="193">
        <v>3</v>
      </c>
      <c r="F16" s="190">
        <v>4</v>
      </c>
      <c r="G16" s="132">
        <f>$E16*$D16</f>
        <v>29.04</v>
      </c>
      <c r="H16" s="132">
        <f t="shared" si="16"/>
        <v>29.04</v>
      </c>
      <c r="I16" s="132">
        <f t="shared" si="16"/>
        <v>29.04</v>
      </c>
      <c r="J16" s="132">
        <f t="shared" si="16"/>
        <v>29.04</v>
      </c>
      <c r="K16" s="132">
        <f t="shared" si="16"/>
        <v>29.04</v>
      </c>
      <c r="L16" s="132">
        <f t="shared" si="16"/>
        <v>29.04</v>
      </c>
      <c r="M16" s="132">
        <f t="shared" si="16"/>
        <v>29.04</v>
      </c>
      <c r="N16" s="132">
        <f t="shared" si="16"/>
        <v>29.04</v>
      </c>
      <c r="O16" s="132">
        <f t="shared" si="16"/>
        <v>29.04</v>
      </c>
      <c r="P16" s="132">
        <f t="shared" si="16"/>
        <v>29.04</v>
      </c>
      <c r="Q16" s="132">
        <f t="shared" si="16"/>
        <v>29.04</v>
      </c>
      <c r="R16" s="132">
        <f t="shared" si="16"/>
        <v>29.04</v>
      </c>
      <c r="S16" s="132">
        <f t="shared" si="17"/>
        <v>29.04</v>
      </c>
      <c r="T16" s="132">
        <f t="shared" si="17"/>
        <v>29.04</v>
      </c>
      <c r="U16" s="132">
        <f t="shared" si="17"/>
        <v>29.04</v>
      </c>
      <c r="V16" s="132">
        <f t="shared" si="17"/>
        <v>29.04</v>
      </c>
      <c r="W16" s="132">
        <f t="shared" si="17"/>
        <v>29.04</v>
      </c>
      <c r="X16" s="132">
        <f t="shared" si="17"/>
        <v>29.04</v>
      </c>
      <c r="Y16" s="132">
        <f t="shared" si="17"/>
        <v>29.04</v>
      </c>
      <c r="Z16" s="133">
        <f t="shared" si="17"/>
        <v>29.04</v>
      </c>
    </row>
    <row r="17" spans="2:26">
      <c r="B17" s="185" t="s">
        <v>61</v>
      </c>
      <c r="C17" s="172">
        <v>2000</v>
      </c>
      <c r="D17" s="173">
        <f>28.2/2.5</f>
        <v>11.28</v>
      </c>
      <c r="E17" s="193">
        <v>3</v>
      </c>
      <c r="F17" s="190">
        <v>4</v>
      </c>
      <c r="G17" s="132">
        <f>$E17*$D17</f>
        <v>33.839999999999996</v>
      </c>
      <c r="H17" s="132">
        <f t="shared" si="16"/>
        <v>33.839999999999996</v>
      </c>
      <c r="I17" s="132">
        <f t="shared" si="16"/>
        <v>33.839999999999996</v>
      </c>
      <c r="J17" s="132">
        <f t="shared" si="16"/>
        <v>33.839999999999996</v>
      </c>
      <c r="K17" s="132">
        <f t="shared" si="16"/>
        <v>33.839999999999996</v>
      </c>
      <c r="L17" s="132">
        <f t="shared" si="16"/>
        <v>33.839999999999996</v>
      </c>
      <c r="M17" s="132">
        <f t="shared" si="16"/>
        <v>33.839999999999996</v>
      </c>
      <c r="N17" s="132">
        <f t="shared" si="16"/>
        <v>33.839999999999996</v>
      </c>
      <c r="O17" s="132">
        <f t="shared" si="16"/>
        <v>33.839999999999996</v>
      </c>
      <c r="P17" s="132">
        <f t="shared" si="16"/>
        <v>33.839999999999996</v>
      </c>
      <c r="Q17" s="132">
        <f t="shared" si="16"/>
        <v>33.839999999999996</v>
      </c>
      <c r="R17" s="132">
        <f t="shared" si="16"/>
        <v>33.839999999999996</v>
      </c>
      <c r="S17" s="132">
        <f t="shared" si="17"/>
        <v>33.839999999999996</v>
      </c>
      <c r="T17" s="132">
        <f t="shared" si="17"/>
        <v>33.839999999999996</v>
      </c>
      <c r="U17" s="132">
        <f t="shared" si="17"/>
        <v>33.839999999999996</v>
      </c>
      <c r="V17" s="132">
        <f t="shared" si="17"/>
        <v>33.839999999999996</v>
      </c>
      <c r="W17" s="132">
        <f t="shared" si="17"/>
        <v>33.839999999999996</v>
      </c>
      <c r="X17" s="132">
        <f t="shared" si="17"/>
        <v>33.839999999999996</v>
      </c>
      <c r="Y17" s="132">
        <f t="shared" si="17"/>
        <v>33.839999999999996</v>
      </c>
      <c r="Z17" s="133">
        <f t="shared" si="17"/>
        <v>33.839999999999996</v>
      </c>
    </row>
    <row r="18" spans="2:26">
      <c r="B18" s="185" t="s">
        <v>62</v>
      </c>
      <c r="C18" s="172">
        <v>5000</v>
      </c>
      <c r="D18" s="173">
        <f>46.5/2.5</f>
        <v>18.600000000000001</v>
      </c>
      <c r="E18" s="193">
        <v>1</v>
      </c>
      <c r="F18" s="190">
        <v>4</v>
      </c>
      <c r="G18" s="132">
        <f>$E18*$D18</f>
        <v>18.600000000000001</v>
      </c>
      <c r="H18" s="132">
        <f t="shared" si="16"/>
        <v>18.600000000000001</v>
      </c>
      <c r="I18" s="132">
        <f t="shared" si="16"/>
        <v>18.600000000000001</v>
      </c>
      <c r="J18" s="132">
        <f t="shared" si="16"/>
        <v>18.600000000000001</v>
      </c>
      <c r="K18" s="132">
        <f t="shared" si="16"/>
        <v>18.600000000000001</v>
      </c>
      <c r="L18" s="132">
        <f t="shared" si="16"/>
        <v>18.600000000000001</v>
      </c>
      <c r="M18" s="132">
        <f t="shared" si="16"/>
        <v>18.600000000000001</v>
      </c>
      <c r="N18" s="132">
        <f t="shared" si="16"/>
        <v>18.600000000000001</v>
      </c>
      <c r="O18" s="132">
        <f t="shared" si="16"/>
        <v>18.600000000000001</v>
      </c>
      <c r="P18" s="132">
        <f t="shared" si="16"/>
        <v>18.600000000000001</v>
      </c>
      <c r="Q18" s="132">
        <f t="shared" si="16"/>
        <v>18.600000000000001</v>
      </c>
      <c r="R18" s="132">
        <f t="shared" si="16"/>
        <v>18.600000000000001</v>
      </c>
      <c r="S18" s="132">
        <f t="shared" si="17"/>
        <v>18.600000000000001</v>
      </c>
      <c r="T18" s="132">
        <f t="shared" si="17"/>
        <v>18.600000000000001</v>
      </c>
      <c r="U18" s="132">
        <f t="shared" si="17"/>
        <v>18.600000000000001</v>
      </c>
      <c r="V18" s="132">
        <f t="shared" si="17"/>
        <v>18.600000000000001</v>
      </c>
      <c r="W18" s="132">
        <f t="shared" si="17"/>
        <v>18.600000000000001</v>
      </c>
      <c r="X18" s="132">
        <f t="shared" si="17"/>
        <v>18.600000000000001</v>
      </c>
      <c r="Y18" s="132">
        <f t="shared" si="17"/>
        <v>18.600000000000001</v>
      </c>
      <c r="Z18" s="133">
        <f t="shared" si="17"/>
        <v>18.600000000000001</v>
      </c>
    </row>
    <row r="19" spans="2:26" ht="15" thickBot="1">
      <c r="B19" s="186" t="s">
        <v>63</v>
      </c>
      <c r="C19" s="187">
        <v>10000</v>
      </c>
      <c r="D19" s="188">
        <f>71.5/2.5</f>
        <v>28.6</v>
      </c>
      <c r="E19" s="194"/>
      <c r="F19" s="191">
        <v>4</v>
      </c>
      <c r="G19" s="134"/>
      <c r="H19" s="134">
        <f>$D19</f>
        <v>28.6</v>
      </c>
      <c r="I19" s="134"/>
      <c r="J19" s="134">
        <f>$D19</f>
        <v>28.6</v>
      </c>
      <c r="K19" s="134"/>
      <c r="L19" s="134">
        <f>$D19</f>
        <v>28.6</v>
      </c>
      <c r="M19" s="134">
        <f>$D19</f>
        <v>28.6</v>
      </c>
      <c r="N19" s="134"/>
      <c r="O19" s="134">
        <f>$D19</f>
        <v>28.6</v>
      </c>
      <c r="P19" s="134"/>
      <c r="Q19" s="134">
        <f>$D19</f>
        <v>28.6</v>
      </c>
      <c r="R19" s="134">
        <f>$D19</f>
        <v>28.6</v>
      </c>
      <c r="S19" s="134"/>
      <c r="T19" s="134">
        <v>24</v>
      </c>
      <c r="U19" s="134">
        <v>24</v>
      </c>
      <c r="V19" s="134"/>
      <c r="W19" s="134">
        <v>24</v>
      </c>
      <c r="X19" s="134">
        <v>24</v>
      </c>
      <c r="Y19" s="134"/>
      <c r="Z19" s="135">
        <v>24</v>
      </c>
    </row>
    <row r="20" spans="2:26" ht="15" thickBot="1">
      <c r="B20" s="335"/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336"/>
      <c r="O20" s="336"/>
      <c r="P20" s="336"/>
      <c r="Q20" s="336"/>
      <c r="R20" s="336"/>
      <c r="S20" s="99"/>
      <c r="T20" s="99"/>
      <c r="U20" s="99"/>
      <c r="V20" s="99"/>
      <c r="W20" s="99"/>
      <c r="X20" s="99"/>
      <c r="Y20" s="99"/>
      <c r="Z20" s="99"/>
    </row>
    <row r="21" spans="2:26" ht="26.4">
      <c r="B21" s="78" t="s">
        <v>48</v>
      </c>
      <c r="C21" s="160" t="s">
        <v>64</v>
      </c>
      <c r="D21" s="147" t="s">
        <v>93</v>
      </c>
      <c r="E21" s="147" t="s">
        <v>65</v>
      </c>
      <c r="F21" s="50" t="s">
        <v>54</v>
      </c>
      <c r="G21" s="51" t="s">
        <v>94</v>
      </c>
      <c r="H21" s="51" t="str">
        <f>G21</f>
        <v>¥</v>
      </c>
      <c r="I21" s="51" t="str">
        <f t="shared" ref="I21:Z21" si="18">H21</f>
        <v>¥</v>
      </c>
      <c r="J21" s="51" t="str">
        <f t="shared" si="18"/>
        <v>¥</v>
      </c>
      <c r="K21" s="51" t="str">
        <f t="shared" si="18"/>
        <v>¥</v>
      </c>
      <c r="L21" s="51" t="str">
        <f t="shared" si="18"/>
        <v>¥</v>
      </c>
      <c r="M21" s="51" t="str">
        <f t="shared" si="18"/>
        <v>¥</v>
      </c>
      <c r="N21" s="51" t="str">
        <f t="shared" si="18"/>
        <v>¥</v>
      </c>
      <c r="O21" s="51" t="str">
        <f t="shared" si="18"/>
        <v>¥</v>
      </c>
      <c r="P21" s="51" t="str">
        <f t="shared" si="18"/>
        <v>¥</v>
      </c>
      <c r="Q21" s="51" t="str">
        <f t="shared" si="18"/>
        <v>¥</v>
      </c>
      <c r="R21" s="51" t="str">
        <f t="shared" si="18"/>
        <v>¥</v>
      </c>
      <c r="S21" s="51" t="str">
        <f t="shared" si="18"/>
        <v>¥</v>
      </c>
      <c r="T21" s="51" t="str">
        <f t="shared" si="18"/>
        <v>¥</v>
      </c>
      <c r="U21" s="51" t="str">
        <f t="shared" si="18"/>
        <v>¥</v>
      </c>
      <c r="V21" s="51" t="str">
        <f t="shared" si="18"/>
        <v>¥</v>
      </c>
      <c r="W21" s="51" t="str">
        <f t="shared" si="18"/>
        <v>¥</v>
      </c>
      <c r="X21" s="51" t="str">
        <f t="shared" si="18"/>
        <v>¥</v>
      </c>
      <c r="Y21" s="51" t="str">
        <f t="shared" si="18"/>
        <v>¥</v>
      </c>
      <c r="Z21" s="52" t="str">
        <f t="shared" si="18"/>
        <v>¥</v>
      </c>
    </row>
    <row r="22" spans="2:26">
      <c r="B22" s="79" t="s">
        <v>66</v>
      </c>
      <c r="C22" s="161"/>
      <c r="D22" s="152"/>
      <c r="E22" s="152"/>
      <c r="F22" s="53"/>
      <c r="G22" s="92">
        <f t="shared" ref="G22:Z22" si="19">SUM(G23:G52)</f>
        <v>274822.24</v>
      </c>
      <c r="H22" s="92">
        <f t="shared" si="19"/>
        <v>274822.24</v>
      </c>
      <c r="I22" s="92">
        <f t="shared" si="19"/>
        <v>274822.24</v>
      </c>
      <c r="J22" s="92">
        <f t="shared" si="19"/>
        <v>274822.24</v>
      </c>
      <c r="K22" s="92">
        <f t="shared" si="19"/>
        <v>274822.24</v>
      </c>
      <c r="L22" s="92">
        <f t="shared" si="19"/>
        <v>274822.24</v>
      </c>
      <c r="M22" s="92">
        <f t="shared" si="19"/>
        <v>274822.24</v>
      </c>
      <c r="N22" s="92">
        <f t="shared" si="19"/>
        <v>274822.24</v>
      </c>
      <c r="O22" s="92">
        <f t="shared" si="19"/>
        <v>274822.24</v>
      </c>
      <c r="P22" s="92">
        <f t="shared" si="19"/>
        <v>274822.24</v>
      </c>
      <c r="Q22" s="92">
        <f t="shared" si="19"/>
        <v>274822.24</v>
      </c>
      <c r="R22" s="92">
        <f t="shared" si="19"/>
        <v>274822.24</v>
      </c>
      <c r="S22" s="92">
        <f t="shared" si="19"/>
        <v>274822.24</v>
      </c>
      <c r="T22" s="92">
        <f t="shared" si="19"/>
        <v>274822.24</v>
      </c>
      <c r="U22" s="92">
        <f t="shared" si="19"/>
        <v>274822.24</v>
      </c>
      <c r="V22" s="92">
        <f t="shared" si="19"/>
        <v>274822.24</v>
      </c>
      <c r="W22" s="92">
        <f t="shared" si="19"/>
        <v>274822.24</v>
      </c>
      <c r="X22" s="92">
        <f t="shared" si="19"/>
        <v>274822.24</v>
      </c>
      <c r="Y22" s="92">
        <f t="shared" si="19"/>
        <v>274822.24</v>
      </c>
      <c r="Z22" s="108">
        <f t="shared" si="19"/>
        <v>274822.24</v>
      </c>
    </row>
    <row r="23" spans="2:26">
      <c r="B23" s="90" t="s">
        <v>58</v>
      </c>
      <c r="C23" s="162"/>
      <c r="D23" s="156"/>
      <c r="E23" s="153">
        <f>VLOOKUP($B23,$B$14:$C$19,2,FALSE)</f>
        <v>250</v>
      </c>
      <c r="F23" s="136">
        <f>VLOOKUP($B23,$B$14:$E$19,4,FALSE)</f>
        <v>14</v>
      </c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8"/>
      <c r="T23" s="98"/>
      <c r="U23" s="98"/>
      <c r="V23" s="98"/>
      <c r="W23" s="98"/>
      <c r="X23" s="98"/>
      <c r="Y23" s="98"/>
      <c r="Z23" s="107"/>
    </row>
    <row r="24" spans="2:26">
      <c r="B24" s="90" t="s">
        <v>67</v>
      </c>
      <c r="C24" s="154">
        <v>4323856</v>
      </c>
      <c r="D24" s="157">
        <v>446.41</v>
      </c>
      <c r="E24" s="164">
        <v>1</v>
      </c>
      <c r="F24" s="137"/>
      <c r="G24" s="95">
        <f>IF(G$14=0,0,G$14/$D$14*$E24*$D24)</f>
        <v>6249.7400000000007</v>
      </c>
      <c r="H24" s="95">
        <f t="shared" ref="H24:W29" si="20">IF(H$14=0,0,H$14/$D$14*$E24*$D24)</f>
        <v>6249.7400000000007</v>
      </c>
      <c r="I24" s="95">
        <f t="shared" si="20"/>
        <v>6249.7400000000007</v>
      </c>
      <c r="J24" s="95">
        <f t="shared" si="20"/>
        <v>6249.7400000000007</v>
      </c>
      <c r="K24" s="95">
        <f t="shared" si="20"/>
        <v>6249.7400000000007</v>
      </c>
      <c r="L24" s="95">
        <f t="shared" si="20"/>
        <v>6249.7400000000007</v>
      </c>
      <c r="M24" s="95">
        <f t="shared" si="20"/>
        <v>6249.7400000000007</v>
      </c>
      <c r="N24" s="95">
        <f t="shared" si="20"/>
        <v>6249.7400000000007</v>
      </c>
      <c r="O24" s="95">
        <f t="shared" si="20"/>
        <v>6249.7400000000007</v>
      </c>
      <c r="P24" s="95">
        <f t="shared" si="20"/>
        <v>6249.7400000000007</v>
      </c>
      <c r="Q24" s="95">
        <f t="shared" si="20"/>
        <v>6249.7400000000007</v>
      </c>
      <c r="R24" s="95">
        <f t="shared" si="20"/>
        <v>6249.7400000000007</v>
      </c>
      <c r="S24" s="95">
        <f t="shared" si="20"/>
        <v>6249.7400000000007</v>
      </c>
      <c r="T24" s="95">
        <f t="shared" si="20"/>
        <v>6249.7400000000007</v>
      </c>
      <c r="U24" s="95">
        <f t="shared" si="20"/>
        <v>6249.7400000000007</v>
      </c>
      <c r="V24" s="95">
        <f t="shared" si="20"/>
        <v>6249.7400000000007</v>
      </c>
      <c r="W24" s="95">
        <f t="shared" si="20"/>
        <v>6249.7400000000007</v>
      </c>
      <c r="X24" s="95">
        <f t="shared" ref="S24:Z29" si="21">IF(X$14=0,0,X$14/$D$14*$E24*$D24)</f>
        <v>6249.7400000000007</v>
      </c>
      <c r="Y24" s="95">
        <f t="shared" si="21"/>
        <v>6249.7400000000007</v>
      </c>
      <c r="Z24" s="128">
        <f t="shared" si="21"/>
        <v>6249.7400000000007</v>
      </c>
    </row>
    <row r="25" spans="2:26">
      <c r="B25" s="90" t="s">
        <v>67</v>
      </c>
      <c r="C25" s="154">
        <v>5375337</v>
      </c>
      <c r="D25" s="157">
        <v>1131.08</v>
      </c>
      <c r="E25" s="164">
        <v>4</v>
      </c>
      <c r="F25" s="137"/>
      <c r="G25" s="95">
        <f>IF(G$14=0,0,G$14/$D$14*$E25*$D25)</f>
        <v>63340.480000000003</v>
      </c>
      <c r="H25" s="95">
        <f t="shared" si="20"/>
        <v>63340.480000000003</v>
      </c>
      <c r="I25" s="95">
        <f t="shared" si="20"/>
        <v>63340.480000000003</v>
      </c>
      <c r="J25" s="95">
        <f t="shared" si="20"/>
        <v>63340.480000000003</v>
      </c>
      <c r="K25" s="95">
        <f t="shared" si="20"/>
        <v>63340.480000000003</v>
      </c>
      <c r="L25" s="95">
        <f t="shared" si="20"/>
        <v>63340.480000000003</v>
      </c>
      <c r="M25" s="95">
        <f t="shared" si="20"/>
        <v>63340.480000000003</v>
      </c>
      <c r="N25" s="95">
        <f t="shared" si="20"/>
        <v>63340.480000000003</v>
      </c>
      <c r="O25" s="95">
        <f t="shared" si="20"/>
        <v>63340.480000000003</v>
      </c>
      <c r="P25" s="95">
        <f t="shared" si="20"/>
        <v>63340.480000000003</v>
      </c>
      <c r="Q25" s="95">
        <f t="shared" si="20"/>
        <v>63340.480000000003</v>
      </c>
      <c r="R25" s="95">
        <f t="shared" si="20"/>
        <v>63340.480000000003</v>
      </c>
      <c r="S25" s="95">
        <f t="shared" si="21"/>
        <v>63340.480000000003</v>
      </c>
      <c r="T25" s="95">
        <f t="shared" si="21"/>
        <v>63340.480000000003</v>
      </c>
      <c r="U25" s="95">
        <f t="shared" si="21"/>
        <v>63340.480000000003</v>
      </c>
      <c r="V25" s="95">
        <f t="shared" si="21"/>
        <v>63340.480000000003</v>
      </c>
      <c r="W25" s="95">
        <f t="shared" si="21"/>
        <v>63340.480000000003</v>
      </c>
      <c r="X25" s="95">
        <f t="shared" si="21"/>
        <v>63340.480000000003</v>
      </c>
      <c r="Y25" s="95">
        <f t="shared" si="21"/>
        <v>63340.480000000003</v>
      </c>
      <c r="Z25" s="128">
        <f t="shared" si="21"/>
        <v>63340.480000000003</v>
      </c>
    </row>
    <row r="26" spans="2:26">
      <c r="B26" s="90" t="s">
        <v>67</v>
      </c>
      <c r="C26" s="154">
        <v>2881458</v>
      </c>
      <c r="D26" s="157">
        <v>1711.91</v>
      </c>
      <c r="E26" s="164">
        <v>3</v>
      </c>
      <c r="F26" s="137"/>
      <c r="G26" s="95">
        <f t="shared" ref="G26:V29" si="22">IF(G$14=0,0,G$14/$D$14*$E26*$D26)</f>
        <v>71900.220000000016</v>
      </c>
      <c r="H26" s="95">
        <f t="shared" si="22"/>
        <v>71900.220000000016</v>
      </c>
      <c r="I26" s="95">
        <f t="shared" si="22"/>
        <v>71900.220000000016</v>
      </c>
      <c r="J26" s="95">
        <f t="shared" si="22"/>
        <v>71900.220000000016</v>
      </c>
      <c r="K26" s="95">
        <f t="shared" si="22"/>
        <v>71900.220000000016</v>
      </c>
      <c r="L26" s="95">
        <f t="shared" si="22"/>
        <v>71900.220000000016</v>
      </c>
      <c r="M26" s="95">
        <f t="shared" si="22"/>
        <v>71900.220000000016</v>
      </c>
      <c r="N26" s="95">
        <f t="shared" si="22"/>
        <v>71900.220000000016</v>
      </c>
      <c r="O26" s="95">
        <f t="shared" si="22"/>
        <v>71900.220000000016</v>
      </c>
      <c r="P26" s="95">
        <f t="shared" si="22"/>
        <v>71900.220000000016</v>
      </c>
      <c r="Q26" s="95">
        <f t="shared" si="22"/>
        <v>71900.220000000016</v>
      </c>
      <c r="R26" s="95">
        <f t="shared" si="22"/>
        <v>71900.220000000016</v>
      </c>
      <c r="S26" s="95">
        <f t="shared" si="22"/>
        <v>71900.220000000016</v>
      </c>
      <c r="T26" s="95">
        <f t="shared" si="22"/>
        <v>71900.220000000016</v>
      </c>
      <c r="U26" s="95">
        <f t="shared" si="22"/>
        <v>71900.220000000016</v>
      </c>
      <c r="V26" s="95">
        <f t="shared" si="22"/>
        <v>71900.220000000016</v>
      </c>
      <c r="W26" s="95">
        <f t="shared" si="21"/>
        <v>71900.220000000016</v>
      </c>
      <c r="X26" s="95">
        <f t="shared" si="21"/>
        <v>71900.220000000016</v>
      </c>
      <c r="Y26" s="95">
        <f t="shared" si="21"/>
        <v>71900.220000000016</v>
      </c>
      <c r="Z26" s="128">
        <f t="shared" si="21"/>
        <v>71900.220000000016</v>
      </c>
    </row>
    <row r="27" spans="2:26">
      <c r="B27" s="90" t="s">
        <v>100</v>
      </c>
      <c r="C27" s="154">
        <v>0</v>
      </c>
      <c r="D27" s="157">
        <v>0</v>
      </c>
      <c r="E27" s="164">
        <v>280</v>
      </c>
      <c r="F27" s="137"/>
      <c r="G27" s="95">
        <f t="shared" si="22"/>
        <v>0</v>
      </c>
      <c r="H27" s="95">
        <f t="shared" si="20"/>
        <v>0</v>
      </c>
      <c r="I27" s="95">
        <f t="shared" si="20"/>
        <v>0</v>
      </c>
      <c r="J27" s="95">
        <f t="shared" si="20"/>
        <v>0</v>
      </c>
      <c r="K27" s="95">
        <f t="shared" si="20"/>
        <v>0</v>
      </c>
      <c r="L27" s="95">
        <f t="shared" si="20"/>
        <v>0</v>
      </c>
      <c r="M27" s="95">
        <f t="shared" si="20"/>
        <v>0</v>
      </c>
      <c r="N27" s="95">
        <f t="shared" si="20"/>
        <v>0</v>
      </c>
      <c r="O27" s="95">
        <f t="shared" si="20"/>
        <v>0</v>
      </c>
      <c r="P27" s="95">
        <f t="shared" si="20"/>
        <v>0</v>
      </c>
      <c r="Q27" s="95">
        <f t="shared" si="20"/>
        <v>0</v>
      </c>
      <c r="R27" s="95">
        <f t="shared" si="20"/>
        <v>0</v>
      </c>
      <c r="S27" s="95">
        <f t="shared" si="21"/>
        <v>0</v>
      </c>
      <c r="T27" s="95">
        <f t="shared" si="21"/>
        <v>0</v>
      </c>
      <c r="U27" s="95">
        <f t="shared" si="21"/>
        <v>0</v>
      </c>
      <c r="V27" s="95">
        <f t="shared" si="21"/>
        <v>0</v>
      </c>
      <c r="W27" s="95">
        <f t="shared" si="21"/>
        <v>0</v>
      </c>
      <c r="X27" s="95">
        <f t="shared" si="21"/>
        <v>0</v>
      </c>
      <c r="Y27" s="95">
        <f t="shared" si="21"/>
        <v>0</v>
      </c>
      <c r="Z27" s="128">
        <f t="shared" si="21"/>
        <v>0</v>
      </c>
    </row>
    <row r="28" spans="2:26">
      <c r="B28" s="90" t="s">
        <v>101</v>
      </c>
      <c r="C28" s="154">
        <v>0</v>
      </c>
      <c r="D28" s="157">
        <v>0</v>
      </c>
      <c r="E28" s="164">
        <v>50</v>
      </c>
      <c r="F28" s="137"/>
      <c r="G28" s="95">
        <f t="shared" si="22"/>
        <v>0</v>
      </c>
      <c r="H28" s="95">
        <f t="shared" si="20"/>
        <v>0</v>
      </c>
      <c r="I28" s="95">
        <f t="shared" si="20"/>
        <v>0</v>
      </c>
      <c r="J28" s="95">
        <f t="shared" si="20"/>
        <v>0</v>
      </c>
      <c r="K28" s="95">
        <f t="shared" si="20"/>
        <v>0</v>
      </c>
      <c r="L28" s="95">
        <f t="shared" si="20"/>
        <v>0</v>
      </c>
      <c r="M28" s="95">
        <f t="shared" si="20"/>
        <v>0</v>
      </c>
      <c r="N28" s="95">
        <f t="shared" si="20"/>
        <v>0</v>
      </c>
      <c r="O28" s="95">
        <f t="shared" si="20"/>
        <v>0</v>
      </c>
      <c r="P28" s="95">
        <f t="shared" si="20"/>
        <v>0</v>
      </c>
      <c r="Q28" s="95">
        <f t="shared" si="20"/>
        <v>0</v>
      </c>
      <c r="R28" s="95">
        <f t="shared" si="20"/>
        <v>0</v>
      </c>
      <c r="S28" s="95">
        <f t="shared" si="21"/>
        <v>0</v>
      </c>
      <c r="T28" s="95">
        <f t="shared" si="21"/>
        <v>0</v>
      </c>
      <c r="U28" s="95">
        <f t="shared" si="21"/>
        <v>0</v>
      </c>
      <c r="V28" s="95">
        <f t="shared" si="21"/>
        <v>0</v>
      </c>
      <c r="W28" s="95">
        <f t="shared" si="21"/>
        <v>0</v>
      </c>
      <c r="X28" s="95">
        <f t="shared" si="21"/>
        <v>0</v>
      </c>
      <c r="Y28" s="95">
        <f t="shared" si="21"/>
        <v>0</v>
      </c>
      <c r="Z28" s="128">
        <f t="shared" si="21"/>
        <v>0</v>
      </c>
    </row>
    <row r="29" spans="2:26">
      <c r="B29" s="90" t="s">
        <v>102</v>
      </c>
      <c r="C29" s="154">
        <v>0</v>
      </c>
      <c r="D29" s="157">
        <v>0</v>
      </c>
      <c r="E29" s="164">
        <v>40</v>
      </c>
      <c r="F29" s="137"/>
      <c r="G29" s="95">
        <f t="shared" si="22"/>
        <v>0</v>
      </c>
      <c r="H29" s="95">
        <f t="shared" si="20"/>
        <v>0</v>
      </c>
      <c r="I29" s="95">
        <f t="shared" si="20"/>
        <v>0</v>
      </c>
      <c r="J29" s="95">
        <f t="shared" si="20"/>
        <v>0</v>
      </c>
      <c r="K29" s="95">
        <f t="shared" si="20"/>
        <v>0</v>
      </c>
      <c r="L29" s="95">
        <f t="shared" si="20"/>
        <v>0</v>
      </c>
      <c r="M29" s="95">
        <f t="shared" si="20"/>
        <v>0</v>
      </c>
      <c r="N29" s="95">
        <f t="shared" si="20"/>
        <v>0</v>
      </c>
      <c r="O29" s="95">
        <f t="shared" si="20"/>
        <v>0</v>
      </c>
      <c r="P29" s="95">
        <f t="shared" si="20"/>
        <v>0</v>
      </c>
      <c r="Q29" s="95">
        <f t="shared" si="20"/>
        <v>0</v>
      </c>
      <c r="R29" s="95">
        <f t="shared" si="20"/>
        <v>0</v>
      </c>
      <c r="S29" s="95">
        <f t="shared" si="21"/>
        <v>0</v>
      </c>
      <c r="T29" s="95">
        <f t="shared" si="21"/>
        <v>0</v>
      </c>
      <c r="U29" s="95">
        <f t="shared" si="21"/>
        <v>0</v>
      </c>
      <c r="V29" s="95">
        <f t="shared" si="21"/>
        <v>0</v>
      </c>
      <c r="W29" s="95">
        <f t="shared" si="21"/>
        <v>0</v>
      </c>
      <c r="X29" s="95">
        <f t="shared" si="21"/>
        <v>0</v>
      </c>
      <c r="Y29" s="95">
        <f t="shared" si="21"/>
        <v>0</v>
      </c>
      <c r="Z29" s="128">
        <f t="shared" si="21"/>
        <v>0</v>
      </c>
    </row>
    <row r="30" spans="2:26">
      <c r="B30" s="90" t="s">
        <v>59</v>
      </c>
      <c r="C30" s="162"/>
      <c r="D30" s="158"/>
      <c r="E30" s="153">
        <f>VLOOKUP($B30,$B$14:$C$19,2,FALSE)</f>
        <v>500</v>
      </c>
      <c r="F30" s="136">
        <f>VLOOKUP($B30,$B$14:$E$19,4,FALSE)</f>
        <v>7</v>
      </c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8"/>
      <c r="T30" s="98"/>
      <c r="U30" s="98"/>
      <c r="V30" s="98"/>
      <c r="W30" s="98"/>
      <c r="X30" s="98"/>
      <c r="Y30" s="98"/>
      <c r="Z30" s="107"/>
    </row>
    <row r="31" spans="2:26">
      <c r="B31" s="90" t="s">
        <v>67</v>
      </c>
      <c r="C31" s="154" t="s">
        <v>112</v>
      </c>
      <c r="D31" s="157">
        <v>1146.8599999999999</v>
      </c>
      <c r="E31" s="154">
        <v>3</v>
      </c>
      <c r="F31" s="137"/>
      <c r="G31" s="95">
        <f>IF(G$15=0,0,G$15/$D$15*$E31*$D31)</f>
        <v>24084.059999999998</v>
      </c>
      <c r="H31" s="95">
        <f t="shared" ref="H31:W34" si="23">IF(H$15=0,0,H$15/$D$15*$E31*$D31)</f>
        <v>24084.059999999998</v>
      </c>
      <c r="I31" s="95">
        <f t="shared" si="23"/>
        <v>24084.059999999998</v>
      </c>
      <c r="J31" s="95">
        <f t="shared" si="23"/>
        <v>24084.059999999998</v>
      </c>
      <c r="K31" s="95">
        <f t="shared" si="23"/>
        <v>24084.059999999998</v>
      </c>
      <c r="L31" s="95">
        <f t="shared" si="23"/>
        <v>24084.059999999998</v>
      </c>
      <c r="M31" s="95">
        <f t="shared" si="23"/>
        <v>24084.059999999998</v>
      </c>
      <c r="N31" s="95">
        <f t="shared" si="23"/>
        <v>24084.059999999998</v>
      </c>
      <c r="O31" s="95">
        <f t="shared" si="23"/>
        <v>24084.059999999998</v>
      </c>
      <c r="P31" s="95">
        <f t="shared" si="23"/>
        <v>24084.059999999998</v>
      </c>
      <c r="Q31" s="95">
        <f t="shared" si="23"/>
        <v>24084.059999999998</v>
      </c>
      <c r="R31" s="95">
        <f t="shared" si="23"/>
        <v>24084.059999999998</v>
      </c>
      <c r="S31" s="95">
        <f t="shared" si="23"/>
        <v>24084.059999999998</v>
      </c>
      <c r="T31" s="95">
        <f t="shared" si="23"/>
        <v>24084.059999999998</v>
      </c>
      <c r="U31" s="95">
        <f t="shared" si="23"/>
        <v>24084.059999999998</v>
      </c>
      <c r="V31" s="95">
        <f t="shared" si="23"/>
        <v>24084.059999999998</v>
      </c>
      <c r="W31" s="95">
        <f t="shared" si="23"/>
        <v>24084.059999999998</v>
      </c>
      <c r="X31" s="95">
        <f t="shared" ref="S31:Z34" si="24">IF(X$15=0,0,X$15/$D$15*$E31*$D31)</f>
        <v>24084.059999999998</v>
      </c>
      <c r="Y31" s="95">
        <f t="shared" si="24"/>
        <v>24084.059999999998</v>
      </c>
      <c r="Z31" s="128">
        <f t="shared" si="24"/>
        <v>24084.059999999998</v>
      </c>
    </row>
    <row r="32" spans="2:26">
      <c r="B32" s="90" t="s">
        <v>67</v>
      </c>
      <c r="C32" s="154">
        <v>20070596</v>
      </c>
      <c r="D32" s="157">
        <v>5185.6099999999997</v>
      </c>
      <c r="E32" s="154">
        <v>1</v>
      </c>
      <c r="F32" s="137"/>
      <c r="G32" s="95">
        <f t="shared" ref="G32:V34" si="25">IF(G$15=0,0,G$15/$D$15*$E32*$D32)</f>
        <v>36299.269999999997</v>
      </c>
      <c r="H32" s="95">
        <f t="shared" si="25"/>
        <v>36299.269999999997</v>
      </c>
      <c r="I32" s="95">
        <f t="shared" si="25"/>
        <v>36299.269999999997</v>
      </c>
      <c r="J32" s="95">
        <f t="shared" si="25"/>
        <v>36299.269999999997</v>
      </c>
      <c r="K32" s="95">
        <f t="shared" si="25"/>
        <v>36299.269999999997</v>
      </c>
      <c r="L32" s="95">
        <f t="shared" si="25"/>
        <v>36299.269999999997</v>
      </c>
      <c r="M32" s="95">
        <f t="shared" si="25"/>
        <v>36299.269999999997</v>
      </c>
      <c r="N32" s="95">
        <f t="shared" si="25"/>
        <v>36299.269999999997</v>
      </c>
      <c r="O32" s="95">
        <f t="shared" si="25"/>
        <v>36299.269999999997</v>
      </c>
      <c r="P32" s="95">
        <f t="shared" si="25"/>
        <v>36299.269999999997</v>
      </c>
      <c r="Q32" s="95">
        <f t="shared" si="25"/>
        <v>36299.269999999997</v>
      </c>
      <c r="R32" s="95">
        <f t="shared" si="25"/>
        <v>36299.269999999997</v>
      </c>
      <c r="S32" s="95">
        <f t="shared" si="25"/>
        <v>36299.269999999997</v>
      </c>
      <c r="T32" s="95">
        <f t="shared" si="25"/>
        <v>36299.269999999997</v>
      </c>
      <c r="U32" s="95">
        <f t="shared" si="25"/>
        <v>36299.269999999997</v>
      </c>
      <c r="V32" s="95">
        <f t="shared" si="25"/>
        <v>36299.269999999997</v>
      </c>
      <c r="W32" s="95">
        <f t="shared" si="23"/>
        <v>36299.269999999997</v>
      </c>
      <c r="X32" s="95">
        <f t="shared" si="24"/>
        <v>36299.269999999997</v>
      </c>
      <c r="Y32" s="95">
        <f t="shared" si="24"/>
        <v>36299.269999999997</v>
      </c>
      <c r="Z32" s="128">
        <f t="shared" si="24"/>
        <v>36299.269999999997</v>
      </c>
    </row>
    <row r="33" spans="2:26">
      <c r="B33" s="90" t="s">
        <v>67</v>
      </c>
      <c r="C33" s="154">
        <v>4328043</v>
      </c>
      <c r="D33" s="157">
        <v>2381.38</v>
      </c>
      <c r="E33" s="154">
        <v>1</v>
      </c>
      <c r="F33" s="137"/>
      <c r="G33" s="95">
        <f t="shared" si="25"/>
        <v>16669.66</v>
      </c>
      <c r="H33" s="95">
        <f t="shared" si="23"/>
        <v>16669.66</v>
      </c>
      <c r="I33" s="95">
        <f t="shared" si="23"/>
        <v>16669.66</v>
      </c>
      <c r="J33" s="95">
        <f t="shared" si="23"/>
        <v>16669.66</v>
      </c>
      <c r="K33" s="95">
        <f t="shared" si="23"/>
        <v>16669.66</v>
      </c>
      <c r="L33" s="95">
        <f t="shared" si="23"/>
        <v>16669.66</v>
      </c>
      <c r="M33" s="95">
        <f t="shared" si="23"/>
        <v>16669.66</v>
      </c>
      <c r="N33" s="95">
        <f t="shared" si="23"/>
        <v>16669.66</v>
      </c>
      <c r="O33" s="95">
        <f t="shared" si="23"/>
        <v>16669.66</v>
      </c>
      <c r="P33" s="95">
        <f t="shared" si="23"/>
        <v>16669.66</v>
      </c>
      <c r="Q33" s="95">
        <f t="shared" si="23"/>
        <v>16669.66</v>
      </c>
      <c r="R33" s="95">
        <f t="shared" si="23"/>
        <v>16669.66</v>
      </c>
      <c r="S33" s="95">
        <f t="shared" si="24"/>
        <v>16669.66</v>
      </c>
      <c r="T33" s="95">
        <f t="shared" si="24"/>
        <v>16669.66</v>
      </c>
      <c r="U33" s="95">
        <f t="shared" si="24"/>
        <v>16669.66</v>
      </c>
      <c r="V33" s="95">
        <f t="shared" si="24"/>
        <v>16669.66</v>
      </c>
      <c r="W33" s="95">
        <f t="shared" si="24"/>
        <v>16669.66</v>
      </c>
      <c r="X33" s="95">
        <f t="shared" si="24"/>
        <v>16669.66</v>
      </c>
      <c r="Y33" s="95">
        <f t="shared" si="24"/>
        <v>16669.66</v>
      </c>
      <c r="Z33" s="128">
        <f t="shared" si="24"/>
        <v>16669.66</v>
      </c>
    </row>
    <row r="34" spans="2:26">
      <c r="B34" s="90" t="s">
        <v>67</v>
      </c>
      <c r="C34" s="154">
        <v>3100308</v>
      </c>
      <c r="D34" s="157">
        <v>133.16999999999999</v>
      </c>
      <c r="E34" s="154">
        <v>2</v>
      </c>
      <c r="F34" s="137"/>
      <c r="G34" s="95">
        <f t="shared" si="25"/>
        <v>1864.3799999999999</v>
      </c>
      <c r="H34" s="95">
        <f t="shared" si="23"/>
        <v>1864.3799999999999</v>
      </c>
      <c r="I34" s="95">
        <f t="shared" si="23"/>
        <v>1864.3799999999999</v>
      </c>
      <c r="J34" s="95">
        <f t="shared" si="23"/>
        <v>1864.3799999999999</v>
      </c>
      <c r="K34" s="95">
        <f t="shared" si="23"/>
        <v>1864.3799999999999</v>
      </c>
      <c r="L34" s="95">
        <f t="shared" si="23"/>
        <v>1864.3799999999999</v>
      </c>
      <c r="M34" s="95">
        <f t="shared" si="23"/>
        <v>1864.3799999999999</v>
      </c>
      <c r="N34" s="95">
        <f t="shared" si="23"/>
        <v>1864.3799999999999</v>
      </c>
      <c r="O34" s="95">
        <f t="shared" si="23"/>
        <v>1864.3799999999999</v>
      </c>
      <c r="P34" s="95">
        <f t="shared" si="23"/>
        <v>1864.3799999999999</v>
      </c>
      <c r="Q34" s="95">
        <f t="shared" si="23"/>
        <v>1864.3799999999999</v>
      </c>
      <c r="R34" s="95">
        <f t="shared" si="23"/>
        <v>1864.3799999999999</v>
      </c>
      <c r="S34" s="95">
        <f t="shared" si="24"/>
        <v>1864.3799999999999</v>
      </c>
      <c r="T34" s="95">
        <f t="shared" si="24"/>
        <v>1864.3799999999999</v>
      </c>
      <c r="U34" s="95">
        <f t="shared" si="24"/>
        <v>1864.3799999999999</v>
      </c>
      <c r="V34" s="95">
        <f t="shared" si="24"/>
        <v>1864.3799999999999</v>
      </c>
      <c r="W34" s="95">
        <f t="shared" si="24"/>
        <v>1864.3799999999999</v>
      </c>
      <c r="X34" s="95">
        <f t="shared" si="24"/>
        <v>1864.3799999999999</v>
      </c>
      <c r="Y34" s="95">
        <f t="shared" si="24"/>
        <v>1864.3799999999999</v>
      </c>
      <c r="Z34" s="128">
        <f t="shared" si="24"/>
        <v>1864.3799999999999</v>
      </c>
    </row>
    <row r="35" spans="2:26">
      <c r="B35" s="90" t="s">
        <v>60</v>
      </c>
      <c r="C35" s="162"/>
      <c r="D35" s="158"/>
      <c r="E35" s="153">
        <f>VLOOKUP($B35,$B$14:$C$19,2,FALSE)</f>
        <v>1000</v>
      </c>
      <c r="F35" s="136">
        <f>VLOOKUP($B35,$B$14:$E$19,4,FALSE)</f>
        <v>3</v>
      </c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8"/>
      <c r="T35" s="98"/>
      <c r="U35" s="98"/>
      <c r="V35" s="98"/>
      <c r="W35" s="98"/>
      <c r="X35" s="98"/>
      <c r="Y35" s="98"/>
      <c r="Z35" s="107"/>
    </row>
    <row r="36" spans="2:26">
      <c r="B36" s="90" t="s">
        <v>67</v>
      </c>
      <c r="C36" s="154" t="s">
        <v>103</v>
      </c>
      <c r="D36" s="157">
        <v>810</v>
      </c>
      <c r="E36" s="154">
        <v>2</v>
      </c>
      <c r="F36" s="137"/>
      <c r="G36" s="95">
        <f>IF(G$16=0,0,G$16/$D$16*$E36*$D36)</f>
        <v>4860</v>
      </c>
      <c r="H36" s="95">
        <f t="shared" ref="H36:W41" si="26">IF(H$16=0,0,H$16/$D$16*$E36*$D36)</f>
        <v>4860</v>
      </c>
      <c r="I36" s="95">
        <f t="shared" si="26"/>
        <v>4860</v>
      </c>
      <c r="J36" s="95">
        <f t="shared" si="26"/>
        <v>4860</v>
      </c>
      <c r="K36" s="95">
        <f t="shared" si="26"/>
        <v>4860</v>
      </c>
      <c r="L36" s="95">
        <f t="shared" si="26"/>
        <v>4860</v>
      </c>
      <c r="M36" s="95">
        <f t="shared" si="26"/>
        <v>4860</v>
      </c>
      <c r="N36" s="95">
        <f t="shared" si="26"/>
        <v>4860</v>
      </c>
      <c r="O36" s="95">
        <f t="shared" si="26"/>
        <v>4860</v>
      </c>
      <c r="P36" s="95">
        <f t="shared" si="26"/>
        <v>4860</v>
      </c>
      <c r="Q36" s="95">
        <f t="shared" si="26"/>
        <v>4860</v>
      </c>
      <c r="R36" s="95">
        <f t="shared" si="26"/>
        <v>4860</v>
      </c>
      <c r="S36" s="95">
        <f t="shared" si="26"/>
        <v>4860</v>
      </c>
      <c r="T36" s="95">
        <f t="shared" si="26"/>
        <v>4860</v>
      </c>
      <c r="U36" s="95">
        <f t="shared" si="26"/>
        <v>4860</v>
      </c>
      <c r="V36" s="95">
        <f t="shared" si="26"/>
        <v>4860</v>
      </c>
      <c r="W36" s="95">
        <f t="shared" si="26"/>
        <v>4860</v>
      </c>
      <c r="X36" s="95">
        <f t="shared" ref="S36:Z41" si="27">IF(X$16=0,0,X$16/$D$16*$E36*$D36)</f>
        <v>4860</v>
      </c>
      <c r="Y36" s="95">
        <f t="shared" si="27"/>
        <v>4860</v>
      </c>
      <c r="Z36" s="128">
        <f t="shared" si="27"/>
        <v>4860</v>
      </c>
    </row>
    <row r="37" spans="2:26">
      <c r="B37" s="90" t="s">
        <v>67</v>
      </c>
      <c r="C37" s="154">
        <v>20042559</v>
      </c>
      <c r="D37" s="157">
        <v>814.95</v>
      </c>
      <c r="E37" s="154">
        <v>4</v>
      </c>
      <c r="F37" s="137"/>
      <c r="G37" s="95">
        <f t="shared" ref="G37:V41" si="28">IF(G$16=0,0,G$16/$D$16*$E37*$D37)</f>
        <v>9779.4000000000015</v>
      </c>
      <c r="H37" s="95">
        <f t="shared" si="28"/>
        <v>9779.4000000000015</v>
      </c>
      <c r="I37" s="95">
        <f t="shared" si="28"/>
        <v>9779.4000000000015</v>
      </c>
      <c r="J37" s="95">
        <f t="shared" si="28"/>
        <v>9779.4000000000015</v>
      </c>
      <c r="K37" s="95">
        <f t="shared" si="28"/>
        <v>9779.4000000000015</v>
      </c>
      <c r="L37" s="95">
        <f t="shared" si="28"/>
        <v>9779.4000000000015</v>
      </c>
      <c r="M37" s="95">
        <f t="shared" si="28"/>
        <v>9779.4000000000015</v>
      </c>
      <c r="N37" s="95">
        <f t="shared" si="28"/>
        <v>9779.4000000000015</v>
      </c>
      <c r="O37" s="95">
        <f t="shared" si="28"/>
        <v>9779.4000000000015</v>
      </c>
      <c r="P37" s="95">
        <f t="shared" si="28"/>
        <v>9779.4000000000015</v>
      </c>
      <c r="Q37" s="95">
        <f t="shared" si="28"/>
        <v>9779.4000000000015</v>
      </c>
      <c r="R37" s="95">
        <f t="shared" si="28"/>
        <v>9779.4000000000015</v>
      </c>
      <c r="S37" s="95">
        <f t="shared" si="28"/>
        <v>9779.4000000000015</v>
      </c>
      <c r="T37" s="95">
        <f t="shared" si="28"/>
        <v>9779.4000000000015</v>
      </c>
      <c r="U37" s="95">
        <f t="shared" si="28"/>
        <v>9779.4000000000015</v>
      </c>
      <c r="V37" s="95">
        <f t="shared" si="28"/>
        <v>9779.4000000000015</v>
      </c>
      <c r="W37" s="95">
        <f t="shared" si="26"/>
        <v>9779.4000000000015</v>
      </c>
      <c r="X37" s="95">
        <f t="shared" si="27"/>
        <v>9779.4000000000015</v>
      </c>
      <c r="Y37" s="95">
        <f t="shared" si="27"/>
        <v>9779.4000000000015</v>
      </c>
      <c r="Z37" s="128">
        <f t="shared" si="27"/>
        <v>9779.4000000000015</v>
      </c>
    </row>
    <row r="38" spans="2:26">
      <c r="B38" s="90" t="s">
        <v>67</v>
      </c>
      <c r="C38" s="154">
        <v>20042560</v>
      </c>
      <c r="D38" s="157">
        <v>1895.1</v>
      </c>
      <c r="E38" s="154">
        <v>4</v>
      </c>
      <c r="F38" s="137"/>
      <c r="G38" s="95">
        <f t="shared" si="28"/>
        <v>22741.199999999997</v>
      </c>
      <c r="H38" s="95">
        <f t="shared" si="26"/>
        <v>22741.199999999997</v>
      </c>
      <c r="I38" s="95">
        <f t="shared" si="26"/>
        <v>22741.199999999997</v>
      </c>
      <c r="J38" s="95">
        <f t="shared" si="26"/>
        <v>22741.199999999997</v>
      </c>
      <c r="K38" s="95">
        <f t="shared" si="26"/>
        <v>22741.199999999997</v>
      </c>
      <c r="L38" s="95">
        <f t="shared" si="26"/>
        <v>22741.199999999997</v>
      </c>
      <c r="M38" s="95">
        <f t="shared" si="26"/>
        <v>22741.199999999997</v>
      </c>
      <c r="N38" s="95">
        <f t="shared" si="26"/>
        <v>22741.199999999997</v>
      </c>
      <c r="O38" s="95">
        <f t="shared" si="26"/>
        <v>22741.199999999997</v>
      </c>
      <c r="P38" s="95">
        <f t="shared" si="26"/>
        <v>22741.199999999997</v>
      </c>
      <c r="Q38" s="95">
        <f t="shared" si="26"/>
        <v>22741.199999999997</v>
      </c>
      <c r="R38" s="95">
        <f t="shared" si="26"/>
        <v>22741.199999999997</v>
      </c>
      <c r="S38" s="95">
        <f t="shared" si="27"/>
        <v>22741.199999999997</v>
      </c>
      <c r="T38" s="95">
        <f t="shared" si="27"/>
        <v>22741.199999999997</v>
      </c>
      <c r="U38" s="95">
        <f t="shared" si="27"/>
        <v>22741.199999999997</v>
      </c>
      <c r="V38" s="95">
        <f t="shared" si="27"/>
        <v>22741.199999999997</v>
      </c>
      <c r="W38" s="95">
        <f t="shared" si="27"/>
        <v>22741.199999999997</v>
      </c>
      <c r="X38" s="95">
        <f t="shared" si="27"/>
        <v>22741.199999999997</v>
      </c>
      <c r="Y38" s="95">
        <f t="shared" si="27"/>
        <v>22741.199999999997</v>
      </c>
      <c r="Z38" s="128">
        <f t="shared" si="27"/>
        <v>22741.199999999997</v>
      </c>
    </row>
    <row r="39" spans="2:26">
      <c r="B39" s="90" t="s">
        <v>67</v>
      </c>
      <c r="C39" s="154">
        <v>20039876</v>
      </c>
      <c r="D39" s="157">
        <v>3242.88</v>
      </c>
      <c r="E39" s="154">
        <v>1</v>
      </c>
      <c r="F39" s="137"/>
      <c r="G39" s="95">
        <f t="shared" si="28"/>
        <v>9728.64</v>
      </c>
      <c r="H39" s="95">
        <f t="shared" si="26"/>
        <v>9728.64</v>
      </c>
      <c r="I39" s="95">
        <f t="shared" si="26"/>
        <v>9728.64</v>
      </c>
      <c r="J39" s="95">
        <f t="shared" si="26"/>
        <v>9728.64</v>
      </c>
      <c r="K39" s="95">
        <f t="shared" si="26"/>
        <v>9728.64</v>
      </c>
      <c r="L39" s="95">
        <f t="shared" si="26"/>
        <v>9728.64</v>
      </c>
      <c r="M39" s="95">
        <f t="shared" si="26"/>
        <v>9728.64</v>
      </c>
      <c r="N39" s="95">
        <f t="shared" si="26"/>
        <v>9728.64</v>
      </c>
      <c r="O39" s="95">
        <f t="shared" si="26"/>
        <v>9728.64</v>
      </c>
      <c r="P39" s="95">
        <f t="shared" si="26"/>
        <v>9728.64</v>
      </c>
      <c r="Q39" s="95">
        <f t="shared" si="26"/>
        <v>9728.64</v>
      </c>
      <c r="R39" s="95">
        <f t="shared" si="26"/>
        <v>9728.64</v>
      </c>
      <c r="S39" s="95">
        <f t="shared" si="27"/>
        <v>9728.64</v>
      </c>
      <c r="T39" s="95">
        <f t="shared" si="27"/>
        <v>9728.64</v>
      </c>
      <c r="U39" s="95">
        <f t="shared" si="27"/>
        <v>9728.64</v>
      </c>
      <c r="V39" s="95">
        <f t="shared" si="27"/>
        <v>9728.64</v>
      </c>
      <c r="W39" s="95">
        <f t="shared" si="27"/>
        <v>9728.64</v>
      </c>
      <c r="X39" s="95">
        <f t="shared" si="27"/>
        <v>9728.64</v>
      </c>
      <c r="Y39" s="95">
        <f t="shared" si="27"/>
        <v>9728.64</v>
      </c>
      <c r="Z39" s="128">
        <f t="shared" si="27"/>
        <v>9728.64</v>
      </c>
    </row>
    <row r="40" spans="2:26">
      <c r="B40" s="90" t="s">
        <v>67</v>
      </c>
      <c r="C40" s="154">
        <v>20046992</v>
      </c>
      <c r="D40" s="157">
        <v>64.400000000000006</v>
      </c>
      <c r="E40" s="154">
        <v>1</v>
      </c>
      <c r="F40" s="137"/>
      <c r="G40" s="95">
        <f t="shared" si="28"/>
        <v>193.20000000000002</v>
      </c>
      <c r="H40" s="95">
        <f t="shared" si="26"/>
        <v>193.20000000000002</v>
      </c>
      <c r="I40" s="95">
        <f t="shared" si="26"/>
        <v>193.20000000000002</v>
      </c>
      <c r="J40" s="95">
        <f t="shared" si="26"/>
        <v>193.20000000000002</v>
      </c>
      <c r="K40" s="95">
        <f t="shared" si="26"/>
        <v>193.20000000000002</v>
      </c>
      <c r="L40" s="95">
        <f t="shared" si="26"/>
        <v>193.20000000000002</v>
      </c>
      <c r="M40" s="95">
        <f t="shared" si="26"/>
        <v>193.20000000000002</v>
      </c>
      <c r="N40" s="95">
        <f t="shared" si="26"/>
        <v>193.20000000000002</v>
      </c>
      <c r="O40" s="95">
        <f t="shared" si="26"/>
        <v>193.20000000000002</v>
      </c>
      <c r="P40" s="95">
        <f t="shared" si="26"/>
        <v>193.20000000000002</v>
      </c>
      <c r="Q40" s="95">
        <f t="shared" si="26"/>
        <v>193.20000000000002</v>
      </c>
      <c r="R40" s="95">
        <f t="shared" si="26"/>
        <v>193.20000000000002</v>
      </c>
      <c r="S40" s="95">
        <f t="shared" si="27"/>
        <v>193.20000000000002</v>
      </c>
      <c r="T40" s="95">
        <f t="shared" si="27"/>
        <v>193.20000000000002</v>
      </c>
      <c r="U40" s="95">
        <f t="shared" si="27"/>
        <v>193.20000000000002</v>
      </c>
      <c r="V40" s="95">
        <f t="shared" si="27"/>
        <v>193.20000000000002</v>
      </c>
      <c r="W40" s="95">
        <f t="shared" si="27"/>
        <v>193.20000000000002</v>
      </c>
      <c r="X40" s="95">
        <f t="shared" si="27"/>
        <v>193.20000000000002</v>
      </c>
      <c r="Y40" s="95">
        <f t="shared" si="27"/>
        <v>193.20000000000002</v>
      </c>
      <c r="Z40" s="128">
        <f t="shared" si="27"/>
        <v>193.20000000000002</v>
      </c>
    </row>
    <row r="41" spans="2:26">
      <c r="B41" s="90" t="s">
        <v>67</v>
      </c>
      <c r="C41" s="154">
        <v>20046634</v>
      </c>
      <c r="D41" s="157">
        <v>452.98</v>
      </c>
      <c r="E41" s="154">
        <v>1</v>
      </c>
      <c r="F41" s="137"/>
      <c r="G41" s="95">
        <f t="shared" si="28"/>
        <v>1358.94</v>
      </c>
      <c r="H41" s="95">
        <f t="shared" si="26"/>
        <v>1358.94</v>
      </c>
      <c r="I41" s="95">
        <f t="shared" si="26"/>
        <v>1358.94</v>
      </c>
      <c r="J41" s="95">
        <f t="shared" si="26"/>
        <v>1358.94</v>
      </c>
      <c r="K41" s="95">
        <f t="shared" si="26"/>
        <v>1358.94</v>
      </c>
      <c r="L41" s="95">
        <f t="shared" si="26"/>
        <v>1358.94</v>
      </c>
      <c r="M41" s="95">
        <f t="shared" si="26"/>
        <v>1358.94</v>
      </c>
      <c r="N41" s="95">
        <f t="shared" si="26"/>
        <v>1358.94</v>
      </c>
      <c r="O41" s="95">
        <f t="shared" si="26"/>
        <v>1358.94</v>
      </c>
      <c r="P41" s="95">
        <f t="shared" si="26"/>
        <v>1358.94</v>
      </c>
      <c r="Q41" s="95">
        <f t="shared" si="26"/>
        <v>1358.94</v>
      </c>
      <c r="R41" s="95">
        <f t="shared" si="26"/>
        <v>1358.94</v>
      </c>
      <c r="S41" s="95">
        <f t="shared" si="27"/>
        <v>1358.94</v>
      </c>
      <c r="T41" s="95">
        <f t="shared" si="27"/>
        <v>1358.94</v>
      </c>
      <c r="U41" s="95">
        <f t="shared" si="27"/>
        <v>1358.94</v>
      </c>
      <c r="V41" s="95">
        <f t="shared" si="27"/>
        <v>1358.94</v>
      </c>
      <c r="W41" s="95">
        <f t="shared" si="27"/>
        <v>1358.94</v>
      </c>
      <c r="X41" s="95">
        <f t="shared" si="27"/>
        <v>1358.94</v>
      </c>
      <c r="Y41" s="95">
        <f t="shared" si="27"/>
        <v>1358.94</v>
      </c>
      <c r="Z41" s="128">
        <f t="shared" si="27"/>
        <v>1358.94</v>
      </c>
    </row>
    <row r="42" spans="2:26">
      <c r="B42" s="90" t="s">
        <v>67</v>
      </c>
      <c r="C42" s="154" t="s">
        <v>103</v>
      </c>
      <c r="D42" s="157">
        <v>810</v>
      </c>
      <c r="E42" s="154">
        <v>2</v>
      </c>
      <c r="F42" s="137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131"/>
      <c r="T42" s="131"/>
      <c r="U42" s="131"/>
      <c r="V42" s="131"/>
      <c r="W42" s="131"/>
      <c r="X42" s="131"/>
      <c r="Y42" s="131"/>
      <c r="Z42" s="130"/>
    </row>
    <row r="43" spans="2:26">
      <c r="B43" s="90" t="s">
        <v>61</v>
      </c>
      <c r="C43" s="162"/>
      <c r="D43" s="158"/>
      <c r="E43" s="153">
        <f>VLOOKUP($B43,$B$14:$C$19,2,FALSE)</f>
        <v>2000</v>
      </c>
      <c r="F43" s="136">
        <f>VLOOKUP($B43,$B$14:$E$19,4,FALSE)</f>
        <v>3</v>
      </c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8"/>
      <c r="T43" s="98"/>
      <c r="U43" s="98"/>
      <c r="V43" s="98"/>
      <c r="W43" s="98"/>
      <c r="X43" s="98"/>
      <c r="Y43" s="98"/>
      <c r="Z43" s="107"/>
    </row>
    <row r="44" spans="2:26">
      <c r="B44" s="90" t="s">
        <v>104</v>
      </c>
      <c r="C44" s="154">
        <v>0</v>
      </c>
      <c r="D44" s="157">
        <v>0</v>
      </c>
      <c r="E44" s="154">
        <v>80</v>
      </c>
      <c r="F44" s="137"/>
      <c r="G44" s="95">
        <f>IF(G$17=0,0,G$17/$D$17*$E44*$D44)</f>
        <v>0</v>
      </c>
      <c r="H44" s="95">
        <f t="shared" ref="H44:W44" si="29">IF(H$17=0,0,H$17/$D$17*$E44*$D44)</f>
        <v>0</v>
      </c>
      <c r="I44" s="95">
        <f t="shared" si="29"/>
        <v>0</v>
      </c>
      <c r="J44" s="95">
        <f t="shared" si="29"/>
        <v>0</v>
      </c>
      <c r="K44" s="95">
        <f t="shared" si="29"/>
        <v>0</v>
      </c>
      <c r="L44" s="95">
        <f t="shared" si="29"/>
        <v>0</v>
      </c>
      <c r="M44" s="95">
        <f t="shared" si="29"/>
        <v>0</v>
      </c>
      <c r="N44" s="95">
        <f t="shared" si="29"/>
        <v>0</v>
      </c>
      <c r="O44" s="95">
        <f t="shared" si="29"/>
        <v>0</v>
      </c>
      <c r="P44" s="95">
        <f t="shared" si="29"/>
        <v>0</v>
      </c>
      <c r="Q44" s="95">
        <f t="shared" si="29"/>
        <v>0</v>
      </c>
      <c r="R44" s="95">
        <f t="shared" si="29"/>
        <v>0</v>
      </c>
      <c r="S44" s="95">
        <f t="shared" si="29"/>
        <v>0</v>
      </c>
      <c r="T44" s="95">
        <f t="shared" si="29"/>
        <v>0</v>
      </c>
      <c r="U44" s="95">
        <f t="shared" si="29"/>
        <v>0</v>
      </c>
      <c r="V44" s="95">
        <f t="shared" si="29"/>
        <v>0</v>
      </c>
      <c r="W44" s="95">
        <f t="shared" si="29"/>
        <v>0</v>
      </c>
      <c r="X44" s="95">
        <f t="shared" ref="X44:Z44" si="30">IF(X$17=0,0,X$17/$D$17*$E44*$D44)</f>
        <v>0</v>
      </c>
      <c r="Y44" s="95">
        <f t="shared" si="30"/>
        <v>0</v>
      </c>
      <c r="Z44" s="128">
        <f t="shared" si="30"/>
        <v>0</v>
      </c>
    </row>
    <row r="45" spans="2:26">
      <c r="B45" s="90" t="s">
        <v>62</v>
      </c>
      <c r="C45" s="162"/>
      <c r="D45" s="158"/>
      <c r="E45" s="153">
        <f>VLOOKUP($B45,$B$14:$C$19,2,FALSE)</f>
        <v>5000</v>
      </c>
      <c r="F45" s="136">
        <f>VLOOKUP($B45,$B$14:$E$19,4,FALSE)</f>
        <v>1</v>
      </c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109"/>
    </row>
    <row r="46" spans="2:26">
      <c r="B46" s="90" t="s">
        <v>67</v>
      </c>
      <c r="C46" s="154">
        <v>20038263</v>
      </c>
      <c r="D46" s="157">
        <v>3851.98</v>
      </c>
      <c r="E46" s="154">
        <v>1</v>
      </c>
      <c r="F46" s="137"/>
      <c r="G46" s="95">
        <f>IF(G$18=0,0,G$18/$D$18*$E46*$D46)</f>
        <v>3851.98</v>
      </c>
      <c r="H46" s="95">
        <f t="shared" ref="H46:W51" si="31">IF(H$18=0,0,H$18/$D$18*$E46*$D46)</f>
        <v>3851.98</v>
      </c>
      <c r="I46" s="95">
        <f t="shared" si="31"/>
        <v>3851.98</v>
      </c>
      <c r="J46" s="95">
        <f t="shared" si="31"/>
        <v>3851.98</v>
      </c>
      <c r="K46" s="95">
        <f t="shared" si="31"/>
        <v>3851.98</v>
      </c>
      <c r="L46" s="95">
        <f t="shared" si="31"/>
        <v>3851.98</v>
      </c>
      <c r="M46" s="95">
        <f t="shared" si="31"/>
        <v>3851.98</v>
      </c>
      <c r="N46" s="95">
        <f t="shared" si="31"/>
        <v>3851.98</v>
      </c>
      <c r="O46" s="95">
        <f t="shared" si="31"/>
        <v>3851.98</v>
      </c>
      <c r="P46" s="95">
        <f t="shared" si="31"/>
        <v>3851.98</v>
      </c>
      <c r="Q46" s="95">
        <f t="shared" si="31"/>
        <v>3851.98</v>
      </c>
      <c r="R46" s="95">
        <f t="shared" si="31"/>
        <v>3851.98</v>
      </c>
      <c r="S46" s="95">
        <f t="shared" si="31"/>
        <v>3851.98</v>
      </c>
      <c r="T46" s="95">
        <f t="shared" si="31"/>
        <v>3851.98</v>
      </c>
      <c r="U46" s="95">
        <f t="shared" si="31"/>
        <v>3851.98</v>
      </c>
      <c r="V46" s="95">
        <f t="shared" si="31"/>
        <v>3851.98</v>
      </c>
      <c r="W46" s="95">
        <f t="shared" si="31"/>
        <v>3851.98</v>
      </c>
      <c r="X46" s="95">
        <f t="shared" ref="S46:Z51" si="32">IF(X$18=0,0,X$18/$D$18*$E46*$D46)</f>
        <v>3851.98</v>
      </c>
      <c r="Y46" s="95">
        <f t="shared" si="32"/>
        <v>3851.98</v>
      </c>
      <c r="Z46" s="128">
        <f t="shared" si="32"/>
        <v>3851.98</v>
      </c>
    </row>
    <row r="47" spans="2:26">
      <c r="B47" s="90" t="s">
        <v>105</v>
      </c>
      <c r="C47" s="154">
        <v>0</v>
      </c>
      <c r="D47" s="157">
        <v>0</v>
      </c>
      <c r="E47" s="154">
        <v>908</v>
      </c>
      <c r="F47" s="137"/>
      <c r="G47" s="95">
        <f t="shared" ref="G47:V51" si="33">IF(G$18=0,0,G$18/$D$18*$E47*$D47)</f>
        <v>0</v>
      </c>
      <c r="H47" s="95">
        <f t="shared" si="33"/>
        <v>0</v>
      </c>
      <c r="I47" s="95">
        <f t="shared" si="33"/>
        <v>0</v>
      </c>
      <c r="J47" s="95">
        <f t="shared" si="33"/>
        <v>0</v>
      </c>
      <c r="K47" s="95">
        <f t="shared" si="33"/>
        <v>0</v>
      </c>
      <c r="L47" s="95">
        <f t="shared" si="33"/>
        <v>0</v>
      </c>
      <c r="M47" s="95">
        <f t="shared" si="33"/>
        <v>0</v>
      </c>
      <c r="N47" s="95">
        <f t="shared" si="33"/>
        <v>0</v>
      </c>
      <c r="O47" s="95">
        <f t="shared" si="33"/>
        <v>0</v>
      </c>
      <c r="P47" s="95">
        <f t="shared" si="33"/>
        <v>0</v>
      </c>
      <c r="Q47" s="95">
        <f t="shared" si="33"/>
        <v>0</v>
      </c>
      <c r="R47" s="95">
        <f t="shared" si="33"/>
        <v>0</v>
      </c>
      <c r="S47" s="95">
        <f t="shared" si="33"/>
        <v>0</v>
      </c>
      <c r="T47" s="95">
        <f t="shared" si="33"/>
        <v>0</v>
      </c>
      <c r="U47" s="95">
        <f t="shared" si="33"/>
        <v>0</v>
      </c>
      <c r="V47" s="95">
        <f t="shared" si="33"/>
        <v>0</v>
      </c>
      <c r="W47" s="95">
        <f t="shared" si="31"/>
        <v>0</v>
      </c>
      <c r="X47" s="95">
        <f t="shared" si="32"/>
        <v>0</v>
      </c>
      <c r="Y47" s="95">
        <f t="shared" si="32"/>
        <v>0</v>
      </c>
      <c r="Z47" s="128">
        <f t="shared" si="32"/>
        <v>0</v>
      </c>
    </row>
    <row r="48" spans="2:26">
      <c r="B48" s="90" t="s">
        <v>67</v>
      </c>
      <c r="C48" s="154">
        <v>55894</v>
      </c>
      <c r="D48" s="157">
        <v>1901.07</v>
      </c>
      <c r="E48" s="154">
        <v>1</v>
      </c>
      <c r="F48" s="137"/>
      <c r="G48" s="95">
        <f t="shared" si="33"/>
        <v>1901.07</v>
      </c>
      <c r="H48" s="95">
        <f t="shared" si="31"/>
        <v>1901.07</v>
      </c>
      <c r="I48" s="95">
        <f t="shared" si="31"/>
        <v>1901.07</v>
      </c>
      <c r="J48" s="95">
        <f t="shared" si="31"/>
        <v>1901.07</v>
      </c>
      <c r="K48" s="95">
        <f t="shared" si="31"/>
        <v>1901.07</v>
      </c>
      <c r="L48" s="95">
        <f t="shared" si="31"/>
        <v>1901.07</v>
      </c>
      <c r="M48" s="95">
        <f t="shared" si="31"/>
        <v>1901.07</v>
      </c>
      <c r="N48" s="95">
        <f t="shared" si="31"/>
        <v>1901.07</v>
      </c>
      <c r="O48" s="95">
        <f t="shared" si="31"/>
        <v>1901.07</v>
      </c>
      <c r="P48" s="95">
        <f t="shared" si="31"/>
        <v>1901.07</v>
      </c>
      <c r="Q48" s="95">
        <f t="shared" si="31"/>
        <v>1901.07</v>
      </c>
      <c r="R48" s="95">
        <f t="shared" si="31"/>
        <v>1901.07</v>
      </c>
      <c r="S48" s="95">
        <f t="shared" si="32"/>
        <v>1901.07</v>
      </c>
      <c r="T48" s="95">
        <f t="shared" si="32"/>
        <v>1901.07</v>
      </c>
      <c r="U48" s="95">
        <f t="shared" si="32"/>
        <v>1901.07</v>
      </c>
      <c r="V48" s="95">
        <f t="shared" si="32"/>
        <v>1901.07</v>
      </c>
      <c r="W48" s="95">
        <f t="shared" si="32"/>
        <v>1901.07</v>
      </c>
      <c r="X48" s="95">
        <f t="shared" si="32"/>
        <v>1901.07</v>
      </c>
      <c r="Y48" s="95">
        <f t="shared" si="32"/>
        <v>1901.07</v>
      </c>
      <c r="Z48" s="128">
        <f t="shared" si="32"/>
        <v>1901.07</v>
      </c>
    </row>
    <row r="49" spans="2:26">
      <c r="B49" s="90" t="s">
        <v>102</v>
      </c>
      <c r="C49" s="154">
        <v>0</v>
      </c>
      <c r="D49" s="157">
        <v>0</v>
      </c>
      <c r="E49" s="154">
        <v>662</v>
      </c>
      <c r="F49" s="137"/>
      <c r="G49" s="97">
        <f t="shared" si="33"/>
        <v>0</v>
      </c>
      <c r="H49" s="95">
        <f t="shared" si="31"/>
        <v>0</v>
      </c>
      <c r="I49" s="95">
        <f t="shared" si="31"/>
        <v>0</v>
      </c>
      <c r="J49" s="95">
        <f t="shared" si="31"/>
        <v>0</v>
      </c>
      <c r="K49" s="95">
        <f t="shared" si="31"/>
        <v>0</v>
      </c>
      <c r="L49" s="95">
        <f t="shared" si="31"/>
        <v>0</v>
      </c>
      <c r="M49" s="95">
        <f t="shared" si="31"/>
        <v>0</v>
      </c>
      <c r="N49" s="95">
        <f t="shared" si="31"/>
        <v>0</v>
      </c>
      <c r="O49" s="95">
        <f t="shared" si="31"/>
        <v>0</v>
      </c>
      <c r="P49" s="95">
        <f t="shared" si="31"/>
        <v>0</v>
      </c>
      <c r="Q49" s="95">
        <f t="shared" si="31"/>
        <v>0</v>
      </c>
      <c r="R49" s="95">
        <f t="shared" si="31"/>
        <v>0</v>
      </c>
      <c r="S49" s="95">
        <f t="shared" si="32"/>
        <v>0</v>
      </c>
      <c r="T49" s="95">
        <f t="shared" si="32"/>
        <v>0</v>
      </c>
      <c r="U49" s="95">
        <f t="shared" si="32"/>
        <v>0</v>
      </c>
      <c r="V49" s="95">
        <f t="shared" si="32"/>
        <v>0</v>
      </c>
      <c r="W49" s="95">
        <f t="shared" si="32"/>
        <v>0</v>
      </c>
      <c r="X49" s="95">
        <f t="shared" si="32"/>
        <v>0</v>
      </c>
      <c r="Y49" s="95">
        <f t="shared" si="32"/>
        <v>0</v>
      </c>
      <c r="Z49" s="128">
        <f t="shared" si="32"/>
        <v>0</v>
      </c>
    </row>
    <row r="50" spans="2:26">
      <c r="B50" s="90" t="s">
        <v>68</v>
      </c>
      <c r="C50" s="154" t="s">
        <v>106</v>
      </c>
      <c r="D50" s="157">
        <v>0</v>
      </c>
      <c r="E50" s="154">
        <v>7</v>
      </c>
      <c r="F50" s="137"/>
      <c r="G50" s="97">
        <f t="shared" si="33"/>
        <v>0</v>
      </c>
      <c r="H50" s="95">
        <f t="shared" si="31"/>
        <v>0</v>
      </c>
      <c r="I50" s="95">
        <f t="shared" si="31"/>
        <v>0</v>
      </c>
      <c r="J50" s="95">
        <f t="shared" si="31"/>
        <v>0</v>
      </c>
      <c r="K50" s="95">
        <f t="shared" si="31"/>
        <v>0</v>
      </c>
      <c r="L50" s="95">
        <f t="shared" si="31"/>
        <v>0</v>
      </c>
      <c r="M50" s="95">
        <f t="shared" si="31"/>
        <v>0</v>
      </c>
      <c r="N50" s="95">
        <f t="shared" si="31"/>
        <v>0</v>
      </c>
      <c r="O50" s="95">
        <f t="shared" si="31"/>
        <v>0</v>
      </c>
      <c r="P50" s="95">
        <f t="shared" si="31"/>
        <v>0</v>
      </c>
      <c r="Q50" s="95">
        <f t="shared" si="31"/>
        <v>0</v>
      </c>
      <c r="R50" s="95">
        <f t="shared" si="31"/>
        <v>0</v>
      </c>
      <c r="S50" s="95">
        <f t="shared" si="32"/>
        <v>0</v>
      </c>
      <c r="T50" s="95">
        <f t="shared" si="32"/>
        <v>0</v>
      </c>
      <c r="U50" s="95">
        <f t="shared" si="32"/>
        <v>0</v>
      </c>
      <c r="V50" s="95">
        <f t="shared" si="32"/>
        <v>0</v>
      </c>
      <c r="W50" s="95">
        <f t="shared" si="32"/>
        <v>0</v>
      </c>
      <c r="X50" s="95">
        <f t="shared" si="32"/>
        <v>0</v>
      </c>
      <c r="Y50" s="95">
        <f t="shared" si="32"/>
        <v>0</v>
      </c>
      <c r="Z50" s="128">
        <f t="shared" si="32"/>
        <v>0</v>
      </c>
    </row>
    <row r="51" spans="2:26">
      <c r="B51" s="90" t="s">
        <v>68</v>
      </c>
      <c r="C51" s="154" t="s">
        <v>106</v>
      </c>
      <c r="D51" s="157">
        <v>0</v>
      </c>
      <c r="E51" s="154">
        <v>2.5</v>
      </c>
      <c r="F51" s="137"/>
      <c r="G51" s="97">
        <f t="shared" si="33"/>
        <v>0</v>
      </c>
      <c r="H51" s="95">
        <f t="shared" si="31"/>
        <v>0</v>
      </c>
      <c r="I51" s="95">
        <f t="shared" si="31"/>
        <v>0</v>
      </c>
      <c r="J51" s="95">
        <f t="shared" si="31"/>
        <v>0</v>
      </c>
      <c r="K51" s="95">
        <f t="shared" si="31"/>
        <v>0</v>
      </c>
      <c r="L51" s="95">
        <f t="shared" si="31"/>
        <v>0</v>
      </c>
      <c r="M51" s="95">
        <f t="shared" si="31"/>
        <v>0</v>
      </c>
      <c r="N51" s="95">
        <f t="shared" si="31"/>
        <v>0</v>
      </c>
      <c r="O51" s="95">
        <f t="shared" si="31"/>
        <v>0</v>
      </c>
      <c r="P51" s="95">
        <f t="shared" si="31"/>
        <v>0</v>
      </c>
      <c r="Q51" s="95">
        <f t="shared" si="31"/>
        <v>0</v>
      </c>
      <c r="R51" s="95">
        <f t="shared" si="31"/>
        <v>0</v>
      </c>
      <c r="S51" s="95">
        <f t="shared" si="32"/>
        <v>0</v>
      </c>
      <c r="T51" s="95">
        <f t="shared" si="32"/>
        <v>0</v>
      </c>
      <c r="U51" s="95">
        <f t="shared" si="32"/>
        <v>0</v>
      </c>
      <c r="V51" s="95">
        <f t="shared" si="32"/>
        <v>0</v>
      </c>
      <c r="W51" s="95">
        <f t="shared" si="32"/>
        <v>0</v>
      </c>
      <c r="X51" s="95">
        <f t="shared" si="32"/>
        <v>0</v>
      </c>
      <c r="Y51" s="95">
        <f t="shared" si="32"/>
        <v>0</v>
      </c>
      <c r="Z51" s="128">
        <f t="shared" si="32"/>
        <v>0</v>
      </c>
    </row>
    <row r="52" spans="2:26">
      <c r="B52" s="90" t="s">
        <v>63</v>
      </c>
      <c r="C52" s="162"/>
      <c r="D52" s="158"/>
      <c r="E52" s="153">
        <f>VLOOKUP($B52,$B$14:$C$19,2,FALSE)</f>
        <v>10000</v>
      </c>
      <c r="F52" s="137"/>
      <c r="G52" s="94"/>
      <c r="H52" s="94"/>
      <c r="I52" s="83"/>
      <c r="J52" s="94"/>
      <c r="K52" s="83"/>
      <c r="L52" s="94"/>
      <c r="M52" s="83"/>
      <c r="N52" s="94"/>
      <c r="O52" s="83"/>
      <c r="P52" s="94"/>
      <c r="Q52" s="83"/>
      <c r="R52" s="94"/>
      <c r="S52" s="94"/>
      <c r="T52" s="94"/>
      <c r="U52" s="94"/>
      <c r="V52" s="94"/>
      <c r="W52" s="94"/>
      <c r="X52" s="94"/>
      <c r="Y52" s="94"/>
      <c r="Z52" s="109"/>
    </row>
    <row r="53" spans="2:26" ht="15" thickBot="1">
      <c r="B53" s="91" t="s">
        <v>107</v>
      </c>
      <c r="C53" s="163"/>
      <c r="D53" s="159"/>
      <c r="E53" s="155">
        <v>1</v>
      </c>
      <c r="F53" s="138"/>
      <c r="G53" s="96">
        <f>IF(G$19=0,0,G$19/$D$19*$E53*$D53)</f>
        <v>0</v>
      </c>
      <c r="H53" s="96">
        <f t="shared" ref="H53:W53" si="34">IF(H$19=0,0,H$19/$D$19*$E53*$D53)</f>
        <v>0</v>
      </c>
      <c r="I53" s="96">
        <f t="shared" si="34"/>
        <v>0</v>
      </c>
      <c r="J53" s="96">
        <f t="shared" si="34"/>
        <v>0</v>
      </c>
      <c r="K53" s="96">
        <f t="shared" si="34"/>
        <v>0</v>
      </c>
      <c r="L53" s="96">
        <f t="shared" si="34"/>
        <v>0</v>
      </c>
      <c r="M53" s="96">
        <f t="shared" si="34"/>
        <v>0</v>
      </c>
      <c r="N53" s="96">
        <f t="shared" si="34"/>
        <v>0</v>
      </c>
      <c r="O53" s="96">
        <f t="shared" si="34"/>
        <v>0</v>
      </c>
      <c r="P53" s="96">
        <f t="shared" si="34"/>
        <v>0</v>
      </c>
      <c r="Q53" s="96">
        <f t="shared" si="34"/>
        <v>0</v>
      </c>
      <c r="R53" s="96">
        <f t="shared" si="34"/>
        <v>0</v>
      </c>
      <c r="S53" s="96">
        <f t="shared" si="34"/>
        <v>0</v>
      </c>
      <c r="T53" s="96">
        <f t="shared" si="34"/>
        <v>0</v>
      </c>
      <c r="U53" s="96">
        <f t="shared" si="34"/>
        <v>0</v>
      </c>
      <c r="V53" s="96">
        <f t="shared" si="34"/>
        <v>0</v>
      </c>
      <c r="W53" s="96">
        <f t="shared" si="34"/>
        <v>0</v>
      </c>
      <c r="X53" s="96">
        <f t="shared" ref="X53:Z53" si="35">IF(X$19=0,0,X$19/$D$19*$E53*$D53)</f>
        <v>0</v>
      </c>
      <c r="Y53" s="96">
        <f t="shared" si="35"/>
        <v>0</v>
      </c>
      <c r="Z53" s="129">
        <f t="shared" si="35"/>
        <v>0</v>
      </c>
    </row>
  </sheetData>
  <mergeCells count="2">
    <mergeCell ref="B11:R11"/>
    <mergeCell ref="B20:R20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B83"/>
  <sheetViews>
    <sheetView tabSelected="1" zoomScale="60" zoomScaleNormal="60" zoomScaleSheetLayoutView="85" workbookViewId="0">
      <pane xSplit="2" ySplit="6" topLeftCell="C7" activePane="bottomRight" state="frozen"/>
      <selection activeCell="G3" sqref="G3:Z3"/>
      <selection pane="topRight" activeCell="G3" sqref="G3:Z3"/>
      <selection pane="bottomLeft" activeCell="G3" sqref="G3:Z3"/>
      <selection pane="bottomRight" activeCell="K44" sqref="K44"/>
    </sheetView>
  </sheetViews>
  <sheetFormatPr defaultRowHeight="14.4"/>
  <cols>
    <col min="1" max="1" width="3.44140625" style="54" bestFit="1" customWidth="1"/>
    <col min="2" max="2" width="53.44140625" style="70" customWidth="1"/>
    <col min="3" max="3" width="10.88671875" style="54" bestFit="1" customWidth="1"/>
    <col min="4" max="4" width="14.33203125" style="99" customWidth="1"/>
    <col min="5" max="5" width="12.88671875" style="99" bestFit="1" customWidth="1"/>
    <col min="6" max="6" width="7.33203125" style="99" customWidth="1"/>
    <col min="7" max="7" width="8.44140625" style="99" customWidth="1"/>
    <col min="8" max="8" width="9.33203125" style="99" bestFit="1" customWidth="1"/>
    <col min="9" max="9" width="10.88671875" style="99" customWidth="1"/>
    <col min="10" max="10" width="11.21875" style="99" customWidth="1"/>
    <col min="11" max="11" width="9.5546875" style="99" customWidth="1"/>
    <col min="12" max="12" width="11.21875" style="99" bestFit="1" customWidth="1"/>
    <col min="13" max="13" width="9.5546875" style="99" bestFit="1" customWidth="1"/>
    <col min="14" max="15" width="11.21875" style="99" bestFit="1" customWidth="1"/>
    <col min="16" max="16" width="9.5546875" style="99" customWidth="1"/>
    <col min="17" max="17" width="12.33203125" style="99" bestFit="1" customWidth="1"/>
    <col min="18" max="18" width="11.21875" style="99" bestFit="1" customWidth="1"/>
    <col min="19" max="20" width="9.5546875" style="114" bestFit="1" customWidth="1"/>
    <col min="21" max="21" width="11.21875" style="114" bestFit="1" customWidth="1"/>
    <col min="22" max="23" width="9.5546875" style="114" bestFit="1" customWidth="1"/>
    <col min="24" max="24" width="11.21875" style="114" bestFit="1" customWidth="1"/>
    <col min="25" max="26" width="9.5546875" style="114" bestFit="1" customWidth="1"/>
  </cols>
  <sheetData>
    <row r="2" spans="1:26" ht="15" thickBot="1">
      <c r="B2" s="202" t="s">
        <v>40</v>
      </c>
      <c r="C2" s="20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204"/>
      <c r="T2" s="204"/>
      <c r="U2" s="204"/>
      <c r="V2" s="204"/>
      <c r="W2" s="204"/>
      <c r="X2" s="204"/>
      <c r="Y2" s="204"/>
      <c r="Z2" s="204"/>
    </row>
    <row r="3" spans="1:26" ht="15" thickBot="1">
      <c r="B3" s="245" t="s">
        <v>41</v>
      </c>
      <c r="C3" s="205"/>
      <c r="D3" s="206"/>
      <c r="E3" s="206"/>
      <c r="F3" s="206"/>
      <c r="G3" s="207">
        <f>'Данные-самосвал NHL NTE240'!E12</f>
        <v>0.93755029173008619</v>
      </c>
      <c r="H3" s="207">
        <f>'Данные-самосвал NHL NTE240'!F12</f>
        <v>0.93038070776255699</v>
      </c>
      <c r="I3" s="207">
        <f>'Данные-самосвал NHL NTE240'!G12</f>
        <v>0.92090265093860979</v>
      </c>
      <c r="J3" s="207">
        <f>'Данные-самосвал NHL NTE240'!H12</f>
        <v>0.90840582191780817</v>
      </c>
      <c r="K3" s="207">
        <f>'Данные-самосвал NHL NTE240'!I12</f>
        <v>0.93333288939624548</v>
      </c>
      <c r="L3" s="207">
        <f>'Данные-самосвал NHL NTE240'!J12</f>
        <v>0.92172393455098933</v>
      </c>
      <c r="M3" s="207">
        <f>'Данные-самосвал NHL NTE240'!K12</f>
        <v>0.93126858193810236</v>
      </c>
      <c r="N3" s="207">
        <f>'Данные-самосвал NHL NTE240'!L12</f>
        <v>0.91113603500761031</v>
      </c>
      <c r="O3" s="207">
        <f>'Данные-самосвал NHL NTE240'!M12</f>
        <v>0.91706259512937582</v>
      </c>
      <c r="P3" s="207">
        <f>'Данные-самосвал NHL NTE240'!N12</f>
        <v>0.93222304667681377</v>
      </c>
      <c r="Q3" s="207">
        <f>'Данные-самосвал NHL NTE240'!O12</f>
        <v>0.91462094114662595</v>
      </c>
      <c r="R3" s="207">
        <f>'Данные-самосвал NHL NTE240'!P12</f>
        <v>0.91328912988330779</v>
      </c>
      <c r="S3" s="208">
        <f>'Данные-самосвал NHL NTE240'!Q12</f>
        <v>0.93377682648401816</v>
      </c>
      <c r="T3" s="208">
        <f>'Данные-самосвал NHL NTE240'!R12</f>
        <v>0.93266698376458645</v>
      </c>
      <c r="U3" s="208">
        <f>'Данные-самосвал NHL NTE240'!S12</f>
        <v>0.89848382800608828</v>
      </c>
      <c r="V3" s="208">
        <f>'Данные-самосвал NHL NTE240'!T12</f>
        <v>0.92556399036022319</v>
      </c>
      <c r="W3" s="208">
        <f>'Данные-самосвал NHL NTE240'!U12</f>
        <v>0.93422076357179096</v>
      </c>
      <c r="X3" s="208">
        <f>'Данные-самосвал NHL NTE240'!V12</f>
        <v>0.90469894723490607</v>
      </c>
      <c r="Y3" s="208">
        <f>'Данные-самосвал NHL NTE240'!W12</f>
        <v>0.9344427321156773</v>
      </c>
      <c r="Z3" s="209">
        <f>'Данные-самосвал NHL NTE240'!X12</f>
        <v>0.9220124936580415</v>
      </c>
    </row>
    <row r="4" spans="1:26" s="54" customFormat="1">
      <c r="B4" s="267" t="s">
        <v>42</v>
      </c>
      <c r="C4" s="210"/>
      <c r="D4" s="127" t="s">
        <v>69</v>
      </c>
      <c r="E4" s="211"/>
      <c r="F4" s="211"/>
      <c r="G4" s="115">
        <v>1</v>
      </c>
      <c r="H4" s="115">
        <f>G4+1</f>
        <v>2</v>
      </c>
      <c r="I4" s="116">
        <f t="shared" ref="I4:P4" si="0">H4+1</f>
        <v>3</v>
      </c>
      <c r="J4" s="117">
        <f t="shared" si="0"/>
        <v>4</v>
      </c>
      <c r="K4" s="115">
        <f t="shared" si="0"/>
        <v>5</v>
      </c>
      <c r="L4" s="115">
        <f t="shared" si="0"/>
        <v>6</v>
      </c>
      <c r="M4" s="115">
        <f t="shared" si="0"/>
        <v>7</v>
      </c>
      <c r="N4" s="115">
        <f t="shared" si="0"/>
        <v>8</v>
      </c>
      <c r="O4" s="115">
        <f t="shared" si="0"/>
        <v>9</v>
      </c>
      <c r="P4" s="115">
        <f t="shared" si="0"/>
        <v>10</v>
      </c>
      <c r="Q4" s="115">
        <f>P4+1</f>
        <v>11</v>
      </c>
      <c r="R4" s="115">
        <f>Q4+1</f>
        <v>12</v>
      </c>
      <c r="S4" s="118">
        <f t="shared" ref="S4:Z4" si="1">R4+1</f>
        <v>13</v>
      </c>
      <c r="T4" s="118">
        <f t="shared" si="1"/>
        <v>14</v>
      </c>
      <c r="U4" s="118">
        <f t="shared" si="1"/>
        <v>15</v>
      </c>
      <c r="V4" s="118">
        <f t="shared" si="1"/>
        <v>16</v>
      </c>
      <c r="W4" s="118">
        <f t="shared" si="1"/>
        <v>17</v>
      </c>
      <c r="X4" s="118">
        <f t="shared" si="1"/>
        <v>18</v>
      </c>
      <c r="Y4" s="118">
        <f t="shared" si="1"/>
        <v>19</v>
      </c>
      <c r="Z4" s="119">
        <f t="shared" si="1"/>
        <v>20</v>
      </c>
    </row>
    <row r="5" spans="1:26" s="198" customFormat="1">
      <c r="A5" s="332"/>
      <c r="B5" s="212" t="s">
        <v>43</v>
      </c>
      <c r="C5" s="213"/>
      <c r="D5" s="214" t="s">
        <v>44</v>
      </c>
      <c r="E5" s="215"/>
      <c r="F5" s="215"/>
      <c r="G5" s="216">
        <v>0</v>
      </c>
      <c r="H5" s="216">
        <f>G6+1</f>
        <v>7001</v>
      </c>
      <c r="I5" s="217">
        <f t="shared" ref="I5:R5" si="2">H6+1</f>
        <v>14001</v>
      </c>
      <c r="J5" s="218">
        <f t="shared" si="2"/>
        <v>21001</v>
      </c>
      <c r="K5" s="216">
        <f t="shared" si="2"/>
        <v>28001</v>
      </c>
      <c r="L5" s="216">
        <f t="shared" si="2"/>
        <v>35001</v>
      </c>
      <c r="M5" s="216">
        <f t="shared" si="2"/>
        <v>42001</v>
      </c>
      <c r="N5" s="216">
        <f t="shared" si="2"/>
        <v>49001</v>
      </c>
      <c r="O5" s="216">
        <f t="shared" si="2"/>
        <v>56001</v>
      </c>
      <c r="P5" s="216">
        <f t="shared" si="2"/>
        <v>63001</v>
      </c>
      <c r="Q5" s="216">
        <f t="shared" si="2"/>
        <v>70001</v>
      </c>
      <c r="R5" s="216">
        <f t="shared" si="2"/>
        <v>77001</v>
      </c>
      <c r="S5" s="219">
        <v>84001</v>
      </c>
      <c r="T5" s="219">
        <v>91001</v>
      </c>
      <c r="U5" s="219">
        <v>98001</v>
      </c>
      <c r="V5" s="219">
        <v>105001</v>
      </c>
      <c r="W5" s="219">
        <v>112001</v>
      </c>
      <c r="X5" s="219">
        <v>119001</v>
      </c>
      <c r="Y5" s="219">
        <v>126001</v>
      </c>
      <c r="Z5" s="220">
        <v>133001</v>
      </c>
    </row>
    <row r="6" spans="1:26" s="198" customFormat="1" ht="15" thickBot="1">
      <c r="A6" s="332"/>
      <c r="B6" s="221" t="s">
        <v>45</v>
      </c>
      <c r="C6" s="222"/>
      <c r="D6" s="223" t="s">
        <v>44</v>
      </c>
      <c r="E6" s="224"/>
      <c r="F6" s="199">
        <f>ТО!F6</f>
        <v>7000</v>
      </c>
      <c r="G6" s="225">
        <f>F6</f>
        <v>7000</v>
      </c>
      <c r="H6" s="225">
        <f t="shared" ref="H6:R6" si="3">G6+$F6</f>
        <v>14000</v>
      </c>
      <c r="I6" s="226">
        <f t="shared" si="3"/>
        <v>21000</v>
      </c>
      <c r="J6" s="227">
        <f t="shared" si="3"/>
        <v>28000</v>
      </c>
      <c r="K6" s="225">
        <f t="shared" si="3"/>
        <v>35000</v>
      </c>
      <c r="L6" s="225">
        <f t="shared" si="3"/>
        <v>42000</v>
      </c>
      <c r="M6" s="225">
        <f t="shared" si="3"/>
        <v>49000</v>
      </c>
      <c r="N6" s="225">
        <f t="shared" si="3"/>
        <v>56000</v>
      </c>
      <c r="O6" s="225">
        <f t="shared" si="3"/>
        <v>63000</v>
      </c>
      <c r="P6" s="225">
        <f t="shared" si="3"/>
        <v>70000</v>
      </c>
      <c r="Q6" s="225">
        <f t="shared" si="3"/>
        <v>77000</v>
      </c>
      <c r="R6" s="225">
        <f t="shared" si="3"/>
        <v>84000</v>
      </c>
      <c r="S6" s="228">
        <v>91000</v>
      </c>
      <c r="T6" s="228">
        <v>98000</v>
      </c>
      <c r="U6" s="228">
        <v>105000</v>
      </c>
      <c r="V6" s="228">
        <v>112000</v>
      </c>
      <c r="W6" s="228">
        <v>119000</v>
      </c>
      <c r="X6" s="228">
        <v>126000</v>
      </c>
      <c r="Y6" s="228">
        <v>133000</v>
      </c>
      <c r="Z6" s="229">
        <v>140000</v>
      </c>
    </row>
    <row r="7" spans="1:26" ht="15" thickBot="1">
      <c r="B7" s="230"/>
      <c r="C7" s="231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204"/>
      <c r="T7" s="204"/>
      <c r="U7" s="204"/>
      <c r="V7" s="204"/>
      <c r="W7" s="204"/>
      <c r="X7" s="204"/>
      <c r="Y7" s="204"/>
      <c r="Z7" s="204"/>
    </row>
    <row r="8" spans="1:26" ht="15" thickBot="1">
      <c r="B8" s="272" t="s">
        <v>70</v>
      </c>
      <c r="C8" s="268"/>
      <c r="D8" s="123" t="s">
        <v>47</v>
      </c>
      <c r="E8" s="123"/>
      <c r="F8" s="123"/>
      <c r="G8" s="124">
        <f>G14</f>
        <v>139</v>
      </c>
      <c r="H8" s="124">
        <f t="shared" ref="H8:Z8" si="4">H14</f>
        <v>175</v>
      </c>
      <c r="I8" s="124">
        <f t="shared" si="4"/>
        <v>289</v>
      </c>
      <c r="J8" s="124">
        <f t="shared" si="4"/>
        <v>373</v>
      </c>
      <c r="K8" s="124">
        <f t="shared" si="4"/>
        <v>177</v>
      </c>
      <c r="L8" s="124">
        <f t="shared" si="4"/>
        <v>253</v>
      </c>
      <c r="M8" s="124">
        <f t="shared" si="4"/>
        <v>167</v>
      </c>
      <c r="N8" s="124">
        <f t="shared" si="4"/>
        <v>377</v>
      </c>
      <c r="O8" s="124">
        <f t="shared" si="4"/>
        <v>295</v>
      </c>
      <c r="P8" s="124">
        <f t="shared" si="4"/>
        <v>187</v>
      </c>
      <c r="Q8" s="124">
        <f t="shared" si="4"/>
        <v>317</v>
      </c>
      <c r="R8" s="124">
        <f t="shared" si="4"/>
        <v>329</v>
      </c>
      <c r="S8" s="124">
        <f t="shared" si="4"/>
        <v>173</v>
      </c>
      <c r="T8" s="124">
        <f t="shared" si="4"/>
        <v>159</v>
      </c>
      <c r="U8" s="124">
        <f t="shared" si="4"/>
        <v>467</v>
      </c>
      <c r="V8" s="124">
        <f t="shared" si="4"/>
        <v>247</v>
      </c>
      <c r="W8" s="124">
        <f t="shared" si="4"/>
        <v>145</v>
      </c>
      <c r="X8" s="124">
        <f t="shared" si="4"/>
        <v>411</v>
      </c>
      <c r="Y8" s="124">
        <f t="shared" si="4"/>
        <v>167</v>
      </c>
      <c r="Z8" s="125">
        <f t="shared" si="4"/>
        <v>255</v>
      </c>
    </row>
    <row r="9" spans="1:26" ht="21" customHeight="1" thickBot="1">
      <c r="B9" s="272" t="s">
        <v>123</v>
      </c>
      <c r="C9" s="269"/>
      <c r="D9" s="263" t="s">
        <v>96</v>
      </c>
      <c r="E9" s="123"/>
      <c r="F9" s="123"/>
      <c r="G9" s="264">
        <f t="shared" ref="G9:Z9" si="5">SUM(G10:G11)</f>
        <v>47368</v>
      </c>
      <c r="H9" s="264">
        <f t="shared" si="5"/>
        <v>208910.4</v>
      </c>
      <c r="I9" s="265">
        <f t="shared" si="5"/>
        <v>3452070.7700000005</v>
      </c>
      <c r="J9" s="265">
        <f t="shared" si="5"/>
        <v>1615768.6</v>
      </c>
      <c r="K9" s="265">
        <f t="shared" si="5"/>
        <v>263980.14</v>
      </c>
      <c r="L9" s="265">
        <f t="shared" si="5"/>
        <v>3339386.99</v>
      </c>
      <c r="M9" s="265">
        <f t="shared" si="5"/>
        <v>191975.74</v>
      </c>
      <c r="N9" s="265">
        <f t="shared" si="5"/>
        <v>1760885</v>
      </c>
      <c r="O9" s="265">
        <f t="shared" si="5"/>
        <v>6615039.8700000001</v>
      </c>
      <c r="P9" s="265">
        <f t="shared" si="5"/>
        <v>118131</v>
      </c>
      <c r="Q9" s="265">
        <f t="shared" si="5"/>
        <v>15122643.299999999</v>
      </c>
      <c r="R9" s="265">
        <f t="shared" si="5"/>
        <v>3349318.99</v>
      </c>
      <c r="S9" s="265">
        <f t="shared" si="5"/>
        <v>167088.74</v>
      </c>
      <c r="T9" s="265">
        <f t="shared" si="5"/>
        <v>158775.4</v>
      </c>
      <c r="U9" s="265">
        <f t="shared" si="5"/>
        <v>4957993.63</v>
      </c>
      <c r="V9" s="265">
        <f t="shared" si="5"/>
        <v>178312.94</v>
      </c>
      <c r="W9" s="265">
        <f t="shared" si="5"/>
        <v>151899.4</v>
      </c>
      <c r="X9" s="265">
        <f t="shared" si="5"/>
        <v>8177164.4299999997</v>
      </c>
      <c r="Y9" s="265">
        <f t="shared" si="5"/>
        <v>188037</v>
      </c>
      <c r="Z9" s="266">
        <f t="shared" si="5"/>
        <v>305348.27</v>
      </c>
    </row>
    <row r="10" spans="1:26" ht="18.75" customHeight="1">
      <c r="B10" s="273" t="s">
        <v>99</v>
      </c>
      <c r="C10" s="270"/>
      <c r="D10" s="260" t="s">
        <v>96</v>
      </c>
      <c r="E10" s="260"/>
      <c r="F10" s="260"/>
      <c r="G10" s="261">
        <f>G61</f>
        <v>0</v>
      </c>
      <c r="H10" s="261">
        <f t="shared" ref="H10:Z10" si="6">H61</f>
        <v>151610.4</v>
      </c>
      <c r="I10" s="261">
        <f t="shared" si="6"/>
        <v>3293540.7700000005</v>
      </c>
      <c r="J10" s="261">
        <f t="shared" si="6"/>
        <v>1329650.6000000001</v>
      </c>
      <c r="K10" s="261">
        <f t="shared" si="6"/>
        <v>207444.13999999998</v>
      </c>
      <c r="L10" s="261">
        <f t="shared" si="6"/>
        <v>3259166.99</v>
      </c>
      <c r="M10" s="261">
        <f t="shared" si="6"/>
        <v>47961.74</v>
      </c>
      <c r="N10" s="261">
        <f t="shared" si="6"/>
        <v>1481261</v>
      </c>
      <c r="O10" s="261">
        <f t="shared" si="6"/>
        <v>6533291.8700000001</v>
      </c>
      <c r="P10" s="261">
        <f t="shared" si="6"/>
        <v>44023</v>
      </c>
      <c r="Q10" s="261">
        <f t="shared" si="6"/>
        <v>14777315.299999999</v>
      </c>
      <c r="R10" s="261">
        <f t="shared" si="6"/>
        <v>3259166.99</v>
      </c>
      <c r="S10" s="261">
        <f t="shared" si="6"/>
        <v>99856.739999999991</v>
      </c>
      <c r="T10" s="261">
        <f t="shared" si="6"/>
        <v>107587.4</v>
      </c>
      <c r="U10" s="261">
        <f t="shared" si="6"/>
        <v>4575229.63</v>
      </c>
      <c r="V10" s="261">
        <f t="shared" si="6"/>
        <v>96182.94</v>
      </c>
      <c r="W10" s="261">
        <f t="shared" si="6"/>
        <v>107587.4</v>
      </c>
      <c r="X10" s="261">
        <f t="shared" si="6"/>
        <v>7876530.4299999997</v>
      </c>
      <c r="Y10" s="261">
        <f t="shared" si="6"/>
        <v>44023</v>
      </c>
      <c r="Z10" s="262">
        <f t="shared" si="6"/>
        <v>237352.27000000002</v>
      </c>
    </row>
    <row r="11" spans="1:26" ht="18.75" customHeight="1" thickBot="1">
      <c r="B11" s="111" t="s">
        <v>120</v>
      </c>
      <c r="C11" s="271"/>
      <c r="D11" s="200" t="s">
        <v>96</v>
      </c>
      <c r="E11" s="200"/>
      <c r="F11" s="200"/>
      <c r="G11" s="258">
        <f>G38*E36</f>
        <v>47368</v>
      </c>
      <c r="H11" s="258">
        <f>H38*E36</f>
        <v>57300</v>
      </c>
      <c r="I11" s="258">
        <f>I38*E36</f>
        <v>158530</v>
      </c>
      <c r="J11" s="258">
        <f>J38*E36</f>
        <v>286118</v>
      </c>
      <c r="K11" s="258">
        <f>K38*E36</f>
        <v>56536</v>
      </c>
      <c r="L11" s="258">
        <f>L38*E36</f>
        <v>80220</v>
      </c>
      <c r="M11" s="258">
        <f>M38*E36</f>
        <v>144014</v>
      </c>
      <c r="N11" s="258">
        <f>N38*E36</f>
        <v>279624</v>
      </c>
      <c r="O11" s="258">
        <f>O38*E36</f>
        <v>81748</v>
      </c>
      <c r="P11" s="258">
        <f>P38*E36</f>
        <v>74108</v>
      </c>
      <c r="Q11" s="258">
        <f>Q38*E36</f>
        <v>345328</v>
      </c>
      <c r="R11" s="258">
        <f>R38*E36</f>
        <v>90152</v>
      </c>
      <c r="S11" s="258">
        <f>S38*E36</f>
        <v>67232</v>
      </c>
      <c r="T11" s="258">
        <f>T38*E36</f>
        <v>51188</v>
      </c>
      <c r="U11" s="258">
        <f>U38*E36</f>
        <v>382764</v>
      </c>
      <c r="V11" s="258">
        <f>V38*E36</f>
        <v>82130</v>
      </c>
      <c r="W11" s="258">
        <f>W38*E36</f>
        <v>44312</v>
      </c>
      <c r="X11" s="258">
        <f>X38*E36</f>
        <v>300634</v>
      </c>
      <c r="Y11" s="258">
        <f>Y38*E36</f>
        <v>144014</v>
      </c>
      <c r="Z11" s="259">
        <f>Z38*E36</f>
        <v>67996</v>
      </c>
    </row>
    <row r="12" spans="1:26" ht="23.25" customHeight="1" thickBot="1">
      <c r="B12" s="55" t="s">
        <v>71</v>
      </c>
      <c r="C12" s="150"/>
      <c r="D12" s="201"/>
      <c r="E12" s="201"/>
      <c r="F12" s="201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204"/>
      <c r="T12" s="204"/>
      <c r="U12" s="204"/>
      <c r="V12" s="204"/>
      <c r="W12" s="204"/>
      <c r="X12" s="204"/>
      <c r="Y12" s="204"/>
      <c r="Z12" s="204"/>
    </row>
    <row r="13" spans="1:26" ht="16.5" customHeight="1" thickBot="1">
      <c r="B13" s="272" t="s">
        <v>72</v>
      </c>
      <c r="C13" s="269"/>
      <c r="D13" s="239" t="s">
        <v>69</v>
      </c>
      <c r="E13" s="240"/>
      <c r="F13" s="240"/>
      <c r="G13" s="122">
        <f t="shared" ref="G13:R13" si="7">G4</f>
        <v>1</v>
      </c>
      <c r="H13" s="122">
        <f t="shared" si="7"/>
        <v>2</v>
      </c>
      <c r="I13" s="122">
        <f t="shared" si="7"/>
        <v>3</v>
      </c>
      <c r="J13" s="122">
        <f t="shared" si="7"/>
        <v>4</v>
      </c>
      <c r="K13" s="122">
        <f t="shared" si="7"/>
        <v>5</v>
      </c>
      <c r="L13" s="122">
        <f t="shared" si="7"/>
        <v>6</v>
      </c>
      <c r="M13" s="122">
        <f t="shared" si="7"/>
        <v>7</v>
      </c>
      <c r="N13" s="122">
        <f t="shared" si="7"/>
        <v>8</v>
      </c>
      <c r="O13" s="122">
        <f t="shared" si="7"/>
        <v>9</v>
      </c>
      <c r="P13" s="122">
        <f t="shared" si="7"/>
        <v>10</v>
      </c>
      <c r="Q13" s="122">
        <f t="shared" si="7"/>
        <v>11</v>
      </c>
      <c r="R13" s="122">
        <f t="shared" si="7"/>
        <v>12</v>
      </c>
      <c r="S13" s="235">
        <v>13</v>
      </c>
      <c r="T13" s="235">
        <v>14</v>
      </c>
      <c r="U13" s="235">
        <v>15</v>
      </c>
      <c r="V13" s="235">
        <v>16</v>
      </c>
      <c r="W13" s="235">
        <v>17</v>
      </c>
      <c r="X13" s="235">
        <v>18</v>
      </c>
      <c r="Y13" s="235">
        <v>19</v>
      </c>
      <c r="Z13" s="236">
        <v>20</v>
      </c>
    </row>
    <row r="14" spans="1:26" ht="16.5" customHeight="1" thickBot="1">
      <c r="B14" s="274" t="s">
        <v>73</v>
      </c>
      <c r="C14" s="149"/>
      <c r="D14" s="246" t="s">
        <v>47</v>
      </c>
      <c r="E14" s="247"/>
      <c r="F14" s="247"/>
      <c r="G14" s="248">
        <f>SUM(G15:G34)</f>
        <v>139</v>
      </c>
      <c r="H14" s="248">
        <f t="shared" ref="H14:Z14" si="8">SUM(H15:H34)</f>
        <v>175</v>
      </c>
      <c r="I14" s="248">
        <f t="shared" si="8"/>
        <v>289</v>
      </c>
      <c r="J14" s="248">
        <f t="shared" si="8"/>
        <v>373</v>
      </c>
      <c r="K14" s="248">
        <f t="shared" si="8"/>
        <v>177</v>
      </c>
      <c r="L14" s="248">
        <f t="shared" si="8"/>
        <v>253</v>
      </c>
      <c r="M14" s="248">
        <f t="shared" si="8"/>
        <v>167</v>
      </c>
      <c r="N14" s="248">
        <f t="shared" si="8"/>
        <v>377</v>
      </c>
      <c r="O14" s="248">
        <f t="shared" si="8"/>
        <v>295</v>
      </c>
      <c r="P14" s="248">
        <f t="shared" si="8"/>
        <v>187</v>
      </c>
      <c r="Q14" s="248">
        <f t="shared" si="8"/>
        <v>317</v>
      </c>
      <c r="R14" s="248">
        <f t="shared" si="8"/>
        <v>329</v>
      </c>
      <c r="S14" s="248">
        <f t="shared" si="8"/>
        <v>173</v>
      </c>
      <c r="T14" s="248">
        <f t="shared" si="8"/>
        <v>159</v>
      </c>
      <c r="U14" s="248">
        <f t="shared" si="8"/>
        <v>467</v>
      </c>
      <c r="V14" s="248">
        <f t="shared" si="8"/>
        <v>247</v>
      </c>
      <c r="W14" s="248">
        <f t="shared" si="8"/>
        <v>145</v>
      </c>
      <c r="X14" s="248">
        <f t="shared" si="8"/>
        <v>411</v>
      </c>
      <c r="Y14" s="248">
        <f t="shared" si="8"/>
        <v>167</v>
      </c>
      <c r="Z14" s="248">
        <f t="shared" si="8"/>
        <v>255</v>
      </c>
    </row>
    <row r="15" spans="1:26" ht="16.5" customHeight="1">
      <c r="A15" s="54">
        <v>1</v>
      </c>
      <c r="B15" s="301" t="s">
        <v>80</v>
      </c>
      <c r="C15" s="305"/>
      <c r="D15" s="306" t="s">
        <v>47</v>
      </c>
      <c r="E15" s="302">
        <v>20000</v>
      </c>
      <c r="F15" s="254">
        <v>1</v>
      </c>
      <c r="G15" s="251">
        <v>30</v>
      </c>
      <c r="H15" s="251">
        <v>50</v>
      </c>
      <c r="I15" s="251">
        <v>60</v>
      </c>
      <c r="J15" s="251">
        <v>30</v>
      </c>
      <c r="K15" s="251">
        <v>50</v>
      </c>
      <c r="L15" s="251">
        <v>60</v>
      </c>
      <c r="M15" s="251">
        <v>30</v>
      </c>
      <c r="N15" s="251">
        <v>50</v>
      </c>
      <c r="O15" s="251">
        <v>60</v>
      </c>
      <c r="P15" s="251">
        <v>30</v>
      </c>
      <c r="Q15" s="251">
        <v>50</v>
      </c>
      <c r="R15" s="251">
        <v>60</v>
      </c>
      <c r="S15" s="251">
        <v>30</v>
      </c>
      <c r="T15" s="251">
        <v>50</v>
      </c>
      <c r="U15" s="251">
        <v>60</v>
      </c>
      <c r="V15" s="251">
        <v>30</v>
      </c>
      <c r="W15" s="251">
        <v>50</v>
      </c>
      <c r="X15" s="251">
        <v>60</v>
      </c>
      <c r="Y15" s="251">
        <v>30</v>
      </c>
      <c r="Z15" s="276">
        <v>50</v>
      </c>
    </row>
    <row r="16" spans="1:26" ht="16.5" customHeight="1">
      <c r="A16" s="54">
        <v>2</v>
      </c>
      <c r="B16" s="303" t="s">
        <v>130</v>
      </c>
      <c r="C16" s="307"/>
      <c r="D16" s="308" t="s">
        <v>47</v>
      </c>
      <c r="E16" s="216">
        <v>14000</v>
      </c>
      <c r="F16" s="255">
        <v>4</v>
      </c>
      <c r="G16" s="252">
        <v>0</v>
      </c>
      <c r="H16" s="252">
        <v>10</v>
      </c>
      <c r="I16" s="252">
        <v>0</v>
      </c>
      <c r="J16" s="252">
        <v>0</v>
      </c>
      <c r="K16" s="252">
        <v>0</v>
      </c>
      <c r="L16" s="252">
        <v>10</v>
      </c>
      <c r="M16" s="252">
        <v>0</v>
      </c>
      <c r="N16" s="252">
        <v>0</v>
      </c>
      <c r="O16" s="252">
        <v>0</v>
      </c>
      <c r="P16" s="252">
        <v>10</v>
      </c>
      <c r="Q16" s="252">
        <v>0</v>
      </c>
      <c r="R16" s="252">
        <v>10</v>
      </c>
      <c r="S16" s="252">
        <v>0</v>
      </c>
      <c r="T16" s="252">
        <v>10</v>
      </c>
      <c r="U16" s="252">
        <v>0</v>
      </c>
      <c r="V16" s="252">
        <v>10</v>
      </c>
      <c r="W16" s="252">
        <v>0</v>
      </c>
      <c r="X16" s="252">
        <v>0</v>
      </c>
      <c r="Y16" s="252">
        <v>0</v>
      </c>
      <c r="Z16" s="253">
        <v>12</v>
      </c>
    </row>
    <row r="17" spans="1:26" ht="16.5" customHeight="1">
      <c r="A17" s="54">
        <v>3</v>
      </c>
      <c r="B17" s="303" t="s">
        <v>131</v>
      </c>
      <c r="C17" s="307"/>
      <c r="D17" s="309" t="s">
        <v>47</v>
      </c>
      <c r="E17" s="216">
        <v>20000</v>
      </c>
      <c r="F17" s="255">
        <v>16</v>
      </c>
      <c r="G17" s="252">
        <v>0</v>
      </c>
      <c r="H17" s="252">
        <v>0</v>
      </c>
      <c r="I17" s="252">
        <v>12</v>
      </c>
      <c r="J17" s="252">
        <v>0</v>
      </c>
      <c r="K17" s="252">
        <v>0</v>
      </c>
      <c r="L17" s="252">
        <v>12</v>
      </c>
      <c r="M17" s="252">
        <v>0</v>
      </c>
      <c r="N17" s="252">
        <v>0</v>
      </c>
      <c r="O17" s="252">
        <v>12</v>
      </c>
      <c r="P17" s="252">
        <v>0</v>
      </c>
      <c r="Q17" s="252">
        <v>0</v>
      </c>
      <c r="R17" s="252">
        <v>12</v>
      </c>
      <c r="S17" s="252">
        <v>0</v>
      </c>
      <c r="T17" s="252">
        <v>0</v>
      </c>
      <c r="U17" s="252">
        <v>12</v>
      </c>
      <c r="V17" s="252">
        <v>0</v>
      </c>
      <c r="W17" s="252">
        <v>0</v>
      </c>
      <c r="X17" s="252">
        <v>12</v>
      </c>
      <c r="Y17" s="252">
        <v>0</v>
      </c>
      <c r="Z17" s="253">
        <v>0</v>
      </c>
    </row>
    <row r="18" spans="1:26" ht="16.5" customHeight="1">
      <c r="A18" s="54">
        <v>4</v>
      </c>
      <c r="B18" s="303" t="s">
        <v>132</v>
      </c>
      <c r="C18" s="307"/>
      <c r="D18" s="308" t="s">
        <v>47</v>
      </c>
      <c r="E18" s="216">
        <v>20000</v>
      </c>
      <c r="F18" s="255">
        <v>1</v>
      </c>
      <c r="G18" s="252">
        <v>0</v>
      </c>
      <c r="H18" s="252">
        <v>0</v>
      </c>
      <c r="I18" s="252">
        <v>2</v>
      </c>
      <c r="J18" s="252">
        <v>0</v>
      </c>
      <c r="K18" s="252">
        <v>0</v>
      </c>
      <c r="L18" s="252">
        <v>2</v>
      </c>
      <c r="M18" s="252">
        <v>0</v>
      </c>
      <c r="N18" s="252">
        <v>0</v>
      </c>
      <c r="O18" s="252">
        <v>2</v>
      </c>
      <c r="P18" s="252">
        <v>0</v>
      </c>
      <c r="Q18" s="252">
        <v>0</v>
      </c>
      <c r="R18" s="252">
        <v>2</v>
      </c>
      <c r="S18" s="252">
        <v>0</v>
      </c>
      <c r="T18" s="252">
        <v>0</v>
      </c>
      <c r="U18" s="252">
        <v>2</v>
      </c>
      <c r="V18" s="252">
        <v>0</v>
      </c>
      <c r="W18" s="252">
        <v>0</v>
      </c>
      <c r="X18" s="252">
        <v>2</v>
      </c>
      <c r="Y18" s="252">
        <v>0</v>
      </c>
      <c r="Z18" s="253">
        <v>0</v>
      </c>
    </row>
    <row r="19" spans="1:26" ht="16.5" customHeight="1">
      <c r="A19" s="54">
        <v>5</v>
      </c>
      <c r="B19" s="303" t="s">
        <v>109</v>
      </c>
      <c r="C19" s="307"/>
      <c r="D19" s="309" t="s">
        <v>47</v>
      </c>
      <c r="E19" s="216">
        <v>25000</v>
      </c>
      <c r="F19" s="255">
        <v>1</v>
      </c>
      <c r="G19" s="252">
        <v>0</v>
      </c>
      <c r="H19" s="252">
        <v>0</v>
      </c>
      <c r="I19" s="252">
        <v>0</v>
      </c>
      <c r="J19" s="252">
        <v>65</v>
      </c>
      <c r="K19" s="252">
        <v>0</v>
      </c>
      <c r="L19" s="252">
        <v>0</v>
      </c>
      <c r="M19" s="252">
        <v>0</v>
      </c>
      <c r="N19" s="252">
        <f>J19</f>
        <v>65</v>
      </c>
      <c r="O19" s="252">
        <v>0</v>
      </c>
      <c r="P19" s="252">
        <v>0</v>
      </c>
      <c r="Q19" s="252">
        <f>N19</f>
        <v>65</v>
      </c>
      <c r="R19" s="252">
        <v>0</v>
      </c>
      <c r="S19" s="252">
        <v>0</v>
      </c>
      <c r="T19" s="252">
        <v>0</v>
      </c>
      <c r="U19" s="252">
        <f>Q19</f>
        <v>65</v>
      </c>
      <c r="V19" s="252">
        <v>0</v>
      </c>
      <c r="W19" s="252">
        <v>0</v>
      </c>
      <c r="X19" s="252">
        <f>U19</f>
        <v>65</v>
      </c>
      <c r="Y19" s="252">
        <v>0</v>
      </c>
      <c r="Z19" s="253">
        <v>0</v>
      </c>
    </row>
    <row r="20" spans="1:26" ht="16.5" customHeight="1">
      <c r="A20" s="54">
        <v>6</v>
      </c>
      <c r="B20" s="303" t="s">
        <v>110</v>
      </c>
      <c r="C20" s="307"/>
      <c r="D20" s="308" t="s">
        <v>47</v>
      </c>
      <c r="E20" s="216">
        <v>25000</v>
      </c>
      <c r="F20" s="255">
        <v>2</v>
      </c>
      <c r="G20" s="252">
        <v>0</v>
      </c>
      <c r="H20" s="252">
        <v>0</v>
      </c>
      <c r="I20" s="252">
        <v>0</v>
      </c>
      <c r="J20" s="252">
        <v>12</v>
      </c>
      <c r="K20" s="252">
        <v>0</v>
      </c>
      <c r="L20" s="252">
        <v>0</v>
      </c>
      <c r="M20" s="252">
        <v>0</v>
      </c>
      <c r="N20" s="252">
        <f>J20</f>
        <v>12</v>
      </c>
      <c r="O20" s="252">
        <v>0</v>
      </c>
      <c r="P20" s="252">
        <v>0</v>
      </c>
      <c r="Q20" s="252">
        <f>N20</f>
        <v>12</v>
      </c>
      <c r="R20" s="252">
        <v>0</v>
      </c>
      <c r="S20" s="252">
        <v>0</v>
      </c>
      <c r="T20" s="252">
        <v>0</v>
      </c>
      <c r="U20" s="252">
        <f>Q20</f>
        <v>12</v>
      </c>
      <c r="V20" s="252">
        <v>0</v>
      </c>
      <c r="W20" s="252">
        <v>0</v>
      </c>
      <c r="X20" s="252">
        <f>U20</f>
        <v>12</v>
      </c>
      <c r="Y20" s="252">
        <v>0</v>
      </c>
      <c r="Z20" s="253">
        <v>0</v>
      </c>
    </row>
    <row r="21" spans="1:26" ht="16.5" customHeight="1">
      <c r="A21" s="54">
        <v>7</v>
      </c>
      <c r="B21" s="303" t="s">
        <v>111</v>
      </c>
      <c r="C21" s="307"/>
      <c r="D21" s="309" t="s">
        <v>47</v>
      </c>
      <c r="E21" s="216">
        <v>25000</v>
      </c>
      <c r="F21" s="255">
        <v>1</v>
      </c>
      <c r="G21" s="252">
        <v>0</v>
      </c>
      <c r="H21" s="252">
        <v>0</v>
      </c>
      <c r="I21" s="252">
        <v>0</v>
      </c>
      <c r="J21" s="252">
        <v>4</v>
      </c>
      <c r="K21" s="252">
        <v>0</v>
      </c>
      <c r="L21" s="252">
        <v>0</v>
      </c>
      <c r="M21" s="252">
        <v>0</v>
      </c>
      <c r="N21" s="252">
        <f>J21</f>
        <v>4</v>
      </c>
      <c r="O21" s="252">
        <v>0</v>
      </c>
      <c r="P21" s="252">
        <v>0</v>
      </c>
      <c r="Q21" s="252">
        <f>N21</f>
        <v>4</v>
      </c>
      <c r="R21" s="252">
        <v>0</v>
      </c>
      <c r="S21" s="252">
        <v>0</v>
      </c>
      <c r="T21" s="252">
        <v>0</v>
      </c>
      <c r="U21" s="252">
        <f>Q21</f>
        <v>4</v>
      </c>
      <c r="V21" s="252">
        <v>0</v>
      </c>
      <c r="W21" s="252">
        <v>0</v>
      </c>
      <c r="X21" s="252">
        <f>U21</f>
        <v>4</v>
      </c>
      <c r="Y21" s="252">
        <v>0</v>
      </c>
      <c r="Z21" s="253">
        <v>0</v>
      </c>
    </row>
    <row r="22" spans="1:26" ht="16.5" customHeight="1">
      <c r="A22" s="54">
        <v>8</v>
      </c>
      <c r="B22" s="304" t="s">
        <v>121</v>
      </c>
      <c r="C22" s="310" t="s">
        <v>108</v>
      </c>
      <c r="D22" s="308" t="s">
        <v>47</v>
      </c>
      <c r="E22" s="216">
        <v>20000</v>
      </c>
      <c r="F22" s="256">
        <v>0</v>
      </c>
      <c r="G22" s="252">
        <v>0</v>
      </c>
      <c r="H22" s="252">
        <v>8</v>
      </c>
      <c r="I22" s="252">
        <v>8</v>
      </c>
      <c r="J22" s="252">
        <v>0</v>
      </c>
      <c r="K22" s="252">
        <v>8</v>
      </c>
      <c r="L22" s="252">
        <v>0</v>
      </c>
      <c r="M22" s="252">
        <v>8</v>
      </c>
      <c r="N22" s="252">
        <v>8</v>
      </c>
      <c r="O22" s="252">
        <v>8</v>
      </c>
      <c r="P22" s="252">
        <v>0</v>
      </c>
      <c r="Q22" s="252">
        <v>8</v>
      </c>
      <c r="R22" s="252">
        <v>8</v>
      </c>
      <c r="S22" s="252">
        <v>8</v>
      </c>
      <c r="T22" s="252">
        <v>0</v>
      </c>
      <c r="U22" s="252">
        <v>8</v>
      </c>
      <c r="V22" s="252">
        <v>8</v>
      </c>
      <c r="W22" s="252">
        <v>0</v>
      </c>
      <c r="X22" s="252">
        <v>8</v>
      </c>
      <c r="Y22" s="252">
        <v>8</v>
      </c>
      <c r="Z22" s="253">
        <v>8</v>
      </c>
    </row>
    <row r="23" spans="1:26" ht="16.5" customHeight="1">
      <c r="A23" s="54">
        <v>9</v>
      </c>
      <c r="B23" s="304" t="s">
        <v>122</v>
      </c>
      <c r="C23" s="310"/>
      <c r="D23" s="308" t="s">
        <v>47</v>
      </c>
      <c r="E23" s="216">
        <v>15000</v>
      </c>
      <c r="F23" s="256">
        <v>4</v>
      </c>
      <c r="G23" s="252">
        <v>0</v>
      </c>
      <c r="H23" s="252">
        <v>0</v>
      </c>
      <c r="I23" s="252">
        <v>24</v>
      </c>
      <c r="J23" s="252">
        <v>0</v>
      </c>
      <c r="K23" s="252">
        <v>0</v>
      </c>
      <c r="L23" s="252">
        <v>4</v>
      </c>
      <c r="M23" s="252">
        <v>0</v>
      </c>
      <c r="N23" s="252">
        <v>0</v>
      </c>
      <c r="O23" s="252">
        <v>24</v>
      </c>
      <c r="P23" s="252">
        <v>0</v>
      </c>
      <c r="Q23" s="252">
        <v>0</v>
      </c>
      <c r="R23" s="252">
        <v>4</v>
      </c>
      <c r="S23" s="252">
        <v>0</v>
      </c>
      <c r="T23" s="252">
        <v>0</v>
      </c>
      <c r="U23" s="252">
        <v>24</v>
      </c>
      <c r="V23" s="252">
        <v>0</v>
      </c>
      <c r="W23" s="252">
        <v>0</v>
      </c>
      <c r="X23" s="252">
        <v>4</v>
      </c>
      <c r="Y23" s="252">
        <v>0</v>
      </c>
      <c r="Z23" s="253">
        <v>0</v>
      </c>
    </row>
    <row r="24" spans="1:26" ht="16.5" customHeight="1">
      <c r="A24" s="54">
        <v>10</v>
      </c>
      <c r="B24" s="303" t="s">
        <v>135</v>
      </c>
      <c r="C24" s="310"/>
      <c r="D24" s="308" t="s">
        <v>47</v>
      </c>
      <c r="E24" s="216">
        <v>25000</v>
      </c>
      <c r="F24" s="256">
        <v>2</v>
      </c>
      <c r="G24" s="252">
        <v>0</v>
      </c>
      <c r="H24" s="252">
        <v>0</v>
      </c>
      <c r="I24" s="252">
        <v>0</v>
      </c>
      <c r="J24" s="252">
        <v>30</v>
      </c>
      <c r="K24" s="252">
        <v>0</v>
      </c>
      <c r="L24" s="252">
        <v>0</v>
      </c>
      <c r="M24" s="252">
        <v>0</v>
      </c>
      <c r="N24" s="252">
        <v>30</v>
      </c>
      <c r="O24" s="252">
        <v>0</v>
      </c>
      <c r="P24" s="252">
        <v>0</v>
      </c>
      <c r="Q24" s="252">
        <v>0</v>
      </c>
      <c r="R24" s="252">
        <v>30</v>
      </c>
      <c r="S24" s="252">
        <v>0</v>
      </c>
      <c r="T24" s="252">
        <v>0</v>
      </c>
      <c r="U24" s="252">
        <v>0</v>
      </c>
      <c r="V24" s="252">
        <v>30</v>
      </c>
      <c r="W24" s="252">
        <v>0</v>
      </c>
      <c r="X24" s="252">
        <v>0</v>
      </c>
      <c r="Y24" s="252">
        <v>0</v>
      </c>
      <c r="Z24" s="253">
        <v>30</v>
      </c>
    </row>
    <row r="25" spans="1:26" ht="16.5" customHeight="1">
      <c r="A25" s="54">
        <v>11</v>
      </c>
      <c r="B25" s="303" t="s">
        <v>136</v>
      </c>
      <c r="C25" s="310"/>
      <c r="D25" s="308" t="s">
        <v>47</v>
      </c>
      <c r="E25" s="216">
        <v>20000</v>
      </c>
      <c r="F25" s="256">
        <v>2</v>
      </c>
      <c r="G25" s="252">
        <v>0</v>
      </c>
      <c r="H25" s="252">
        <v>0</v>
      </c>
      <c r="I25" s="252">
        <v>6</v>
      </c>
      <c r="J25" s="252">
        <v>0</v>
      </c>
      <c r="K25" s="252">
        <v>0</v>
      </c>
      <c r="L25" s="252">
        <v>6</v>
      </c>
      <c r="M25" s="252">
        <v>0</v>
      </c>
      <c r="N25" s="252">
        <v>0</v>
      </c>
      <c r="O25" s="252">
        <v>6</v>
      </c>
      <c r="P25" s="252">
        <v>0</v>
      </c>
      <c r="Q25" s="252">
        <v>0</v>
      </c>
      <c r="R25" s="252">
        <v>6</v>
      </c>
      <c r="S25" s="252">
        <v>0</v>
      </c>
      <c r="T25" s="252">
        <v>0</v>
      </c>
      <c r="U25" s="252">
        <v>6</v>
      </c>
      <c r="V25" s="252">
        <v>0</v>
      </c>
      <c r="W25" s="252">
        <v>0</v>
      </c>
      <c r="X25" s="252">
        <v>6</v>
      </c>
      <c r="Y25" s="252">
        <v>0</v>
      </c>
      <c r="Z25" s="253">
        <v>0</v>
      </c>
    </row>
    <row r="26" spans="1:26" ht="16.5" customHeight="1">
      <c r="A26" s="54">
        <v>12</v>
      </c>
      <c r="B26" s="304" t="s">
        <v>124</v>
      </c>
      <c r="C26" s="310"/>
      <c r="D26" s="308" t="s">
        <v>47</v>
      </c>
      <c r="E26" s="216">
        <v>20000</v>
      </c>
      <c r="F26" s="256">
        <v>2</v>
      </c>
      <c r="G26" s="252">
        <v>0</v>
      </c>
      <c r="H26" s="252">
        <v>0</v>
      </c>
      <c r="I26" s="252">
        <v>4</v>
      </c>
      <c r="J26" s="252">
        <v>0</v>
      </c>
      <c r="K26" s="252">
        <v>0</v>
      </c>
      <c r="L26" s="252">
        <v>4</v>
      </c>
      <c r="M26" s="252">
        <v>0</v>
      </c>
      <c r="N26" s="252">
        <v>0</v>
      </c>
      <c r="O26" s="252">
        <v>4</v>
      </c>
      <c r="P26" s="252">
        <v>0</v>
      </c>
      <c r="Q26" s="252">
        <v>0</v>
      </c>
      <c r="R26" s="252">
        <v>4</v>
      </c>
      <c r="S26" s="252">
        <v>0</v>
      </c>
      <c r="T26" s="252">
        <v>0</v>
      </c>
      <c r="U26" s="252">
        <v>4</v>
      </c>
      <c r="V26" s="252">
        <v>0</v>
      </c>
      <c r="W26" s="252">
        <v>0</v>
      </c>
      <c r="X26" s="252">
        <v>4</v>
      </c>
      <c r="Y26" s="252">
        <v>0</v>
      </c>
      <c r="Z26" s="253">
        <v>0</v>
      </c>
    </row>
    <row r="27" spans="1:26" ht="16.5" customHeight="1">
      <c r="A27" s="54">
        <v>13</v>
      </c>
      <c r="B27" s="304" t="s">
        <v>125</v>
      </c>
      <c r="C27" s="310"/>
      <c r="D27" s="308" t="s">
        <v>47</v>
      </c>
      <c r="E27" s="216">
        <v>20000</v>
      </c>
      <c r="F27" s="255">
        <v>1</v>
      </c>
      <c r="G27" s="252">
        <v>0</v>
      </c>
      <c r="H27" s="252">
        <v>0</v>
      </c>
      <c r="I27" s="252">
        <v>4</v>
      </c>
      <c r="J27" s="252">
        <v>0</v>
      </c>
      <c r="K27" s="252">
        <v>0</v>
      </c>
      <c r="L27" s="252">
        <v>4</v>
      </c>
      <c r="M27" s="252">
        <v>0</v>
      </c>
      <c r="N27" s="252">
        <v>0</v>
      </c>
      <c r="O27" s="252">
        <v>4</v>
      </c>
      <c r="P27" s="252">
        <v>0</v>
      </c>
      <c r="Q27" s="252">
        <v>0</v>
      </c>
      <c r="R27" s="252">
        <v>4</v>
      </c>
      <c r="S27" s="252">
        <v>0</v>
      </c>
      <c r="T27" s="252">
        <v>0</v>
      </c>
      <c r="U27" s="252">
        <v>4</v>
      </c>
      <c r="V27" s="252">
        <v>0</v>
      </c>
      <c r="W27" s="252">
        <v>0</v>
      </c>
      <c r="X27" s="252">
        <v>4</v>
      </c>
      <c r="Y27" s="252">
        <v>0</v>
      </c>
      <c r="Z27" s="253">
        <v>0</v>
      </c>
    </row>
    <row r="28" spans="1:26" ht="16.5" customHeight="1">
      <c r="A28" s="54">
        <v>14</v>
      </c>
      <c r="B28" s="304" t="s">
        <v>126</v>
      </c>
      <c r="C28" s="310"/>
      <c r="D28" s="308" t="s">
        <v>47</v>
      </c>
      <c r="E28" s="216">
        <v>30000</v>
      </c>
      <c r="F28" s="255">
        <v>1</v>
      </c>
      <c r="G28" s="252">
        <v>0</v>
      </c>
      <c r="H28" s="252">
        <v>0</v>
      </c>
      <c r="I28" s="252">
        <v>0</v>
      </c>
      <c r="J28" s="252">
        <v>0</v>
      </c>
      <c r="K28" s="252">
        <v>6</v>
      </c>
      <c r="L28" s="252">
        <v>0</v>
      </c>
      <c r="M28" s="252">
        <v>0</v>
      </c>
      <c r="N28" s="252">
        <v>0</v>
      </c>
      <c r="O28" s="252">
        <v>6</v>
      </c>
      <c r="P28" s="252">
        <v>0</v>
      </c>
      <c r="Q28" s="252">
        <v>0</v>
      </c>
      <c r="R28" s="252">
        <v>0</v>
      </c>
      <c r="S28" s="252">
        <v>6</v>
      </c>
      <c r="T28" s="252">
        <v>0</v>
      </c>
      <c r="U28" s="252">
        <v>0</v>
      </c>
      <c r="V28" s="252">
        <v>0</v>
      </c>
      <c r="W28" s="252">
        <v>6</v>
      </c>
      <c r="X28" s="252">
        <v>0</v>
      </c>
      <c r="Y28" s="252">
        <v>0</v>
      </c>
      <c r="Z28" s="252">
        <v>0</v>
      </c>
    </row>
    <row r="29" spans="1:26" ht="16.5" customHeight="1">
      <c r="A29" s="54">
        <v>15</v>
      </c>
      <c r="B29" s="304" t="s">
        <v>127</v>
      </c>
      <c r="C29" s="310"/>
      <c r="D29" s="308" t="s">
        <v>47</v>
      </c>
      <c r="E29" s="216">
        <v>20000</v>
      </c>
      <c r="F29" s="255">
        <v>1</v>
      </c>
      <c r="G29" s="252">
        <v>0</v>
      </c>
      <c r="H29" s="252">
        <v>0</v>
      </c>
      <c r="I29" s="252">
        <v>5</v>
      </c>
      <c r="J29" s="252">
        <v>0</v>
      </c>
      <c r="K29" s="252">
        <v>0</v>
      </c>
      <c r="L29" s="252">
        <v>5</v>
      </c>
      <c r="M29" s="252">
        <v>0</v>
      </c>
      <c r="N29" s="252">
        <v>0</v>
      </c>
      <c r="O29" s="252">
        <v>5</v>
      </c>
      <c r="P29" s="252">
        <v>0</v>
      </c>
      <c r="Q29" s="252">
        <v>0</v>
      </c>
      <c r="R29" s="252">
        <v>5</v>
      </c>
      <c r="S29" s="252">
        <v>0</v>
      </c>
      <c r="T29" s="252">
        <v>0</v>
      </c>
      <c r="U29" s="252">
        <v>5</v>
      </c>
      <c r="V29" s="252">
        <v>0</v>
      </c>
      <c r="W29" s="252">
        <v>0</v>
      </c>
      <c r="X29" s="252">
        <v>5</v>
      </c>
      <c r="Y29" s="252">
        <v>0</v>
      </c>
      <c r="Z29" s="253">
        <v>0</v>
      </c>
    </row>
    <row r="30" spans="1:26" ht="16.5" customHeight="1">
      <c r="A30" s="54">
        <v>16</v>
      </c>
      <c r="B30" s="304" t="s">
        <v>128</v>
      </c>
      <c r="C30" s="310"/>
      <c r="D30" s="308" t="s">
        <v>47</v>
      </c>
      <c r="E30" s="216">
        <v>20000</v>
      </c>
      <c r="F30" s="255">
        <v>1</v>
      </c>
      <c r="G30" s="252">
        <v>0</v>
      </c>
      <c r="H30" s="252">
        <v>0</v>
      </c>
      <c r="I30" s="252">
        <v>6</v>
      </c>
      <c r="J30" s="252">
        <v>0</v>
      </c>
      <c r="K30" s="252">
        <v>0</v>
      </c>
      <c r="L30" s="252">
        <v>6</v>
      </c>
      <c r="M30" s="252">
        <v>0</v>
      </c>
      <c r="N30" s="252">
        <v>0</v>
      </c>
      <c r="O30" s="252">
        <v>6</v>
      </c>
      <c r="P30" s="252">
        <v>0</v>
      </c>
      <c r="Q30" s="252">
        <v>0</v>
      </c>
      <c r="R30" s="252">
        <v>6</v>
      </c>
      <c r="S30" s="252">
        <v>0</v>
      </c>
      <c r="T30" s="252">
        <v>0</v>
      </c>
      <c r="U30" s="252">
        <v>6</v>
      </c>
      <c r="V30" s="252">
        <v>0</v>
      </c>
      <c r="W30" s="252">
        <v>0</v>
      </c>
      <c r="X30" s="252">
        <v>6</v>
      </c>
      <c r="Y30" s="252">
        <v>0</v>
      </c>
      <c r="Z30" s="253">
        <v>0</v>
      </c>
    </row>
    <row r="31" spans="1:26" ht="16.5" customHeight="1">
      <c r="A31" s="54">
        <v>17</v>
      </c>
      <c r="B31" s="304" t="s">
        <v>129</v>
      </c>
      <c r="C31" s="310"/>
      <c r="D31" s="308" t="s">
        <v>47</v>
      </c>
      <c r="E31" s="216">
        <v>20000</v>
      </c>
      <c r="F31" s="255">
        <v>1</v>
      </c>
      <c r="G31" s="252">
        <v>0</v>
      </c>
      <c r="H31" s="252">
        <v>0</v>
      </c>
      <c r="I31" s="252">
        <v>4</v>
      </c>
      <c r="J31" s="252">
        <v>0</v>
      </c>
      <c r="K31" s="252">
        <v>0</v>
      </c>
      <c r="L31" s="252">
        <v>4</v>
      </c>
      <c r="M31" s="252">
        <v>0</v>
      </c>
      <c r="N31" s="252">
        <v>0</v>
      </c>
      <c r="O31" s="252">
        <v>4</v>
      </c>
      <c r="P31" s="252">
        <v>0</v>
      </c>
      <c r="Q31" s="252">
        <v>0</v>
      </c>
      <c r="R31" s="252">
        <v>4</v>
      </c>
      <c r="S31" s="252">
        <v>0</v>
      </c>
      <c r="T31" s="252">
        <v>0</v>
      </c>
      <c r="U31" s="252">
        <v>4</v>
      </c>
      <c r="V31" s="252">
        <v>0</v>
      </c>
      <c r="W31" s="252">
        <v>0</v>
      </c>
      <c r="X31" s="252">
        <v>4</v>
      </c>
      <c r="Y31" s="252">
        <v>0</v>
      </c>
      <c r="Z31" s="253">
        <v>0</v>
      </c>
    </row>
    <row r="32" spans="1:26" ht="16.5" customHeight="1">
      <c r="A32" s="54">
        <v>18</v>
      </c>
      <c r="B32" s="303" t="s">
        <v>133</v>
      </c>
      <c r="C32" s="310"/>
      <c r="D32" s="308" t="s">
        <v>47</v>
      </c>
      <c r="E32" s="216">
        <v>15000</v>
      </c>
      <c r="F32" s="255">
        <v>1</v>
      </c>
      <c r="G32" s="252">
        <v>0</v>
      </c>
      <c r="H32" s="252">
        <v>0</v>
      </c>
      <c r="I32" s="252">
        <v>0</v>
      </c>
      <c r="J32" s="252">
        <v>3</v>
      </c>
      <c r="K32" s="252">
        <v>0</v>
      </c>
      <c r="L32" s="252">
        <v>0</v>
      </c>
      <c r="M32" s="252">
        <v>3</v>
      </c>
      <c r="N32" s="252">
        <v>0</v>
      </c>
      <c r="O32" s="252">
        <v>0</v>
      </c>
      <c r="P32" s="252">
        <v>3</v>
      </c>
      <c r="Q32" s="252">
        <v>0</v>
      </c>
      <c r="R32" s="252">
        <v>0</v>
      </c>
      <c r="S32" s="252">
        <v>3</v>
      </c>
      <c r="T32" s="252">
        <v>0</v>
      </c>
      <c r="U32" s="252">
        <v>0</v>
      </c>
      <c r="V32" s="252">
        <v>3</v>
      </c>
      <c r="W32" s="252">
        <v>0</v>
      </c>
      <c r="X32" s="252">
        <v>0</v>
      </c>
      <c r="Y32" s="252">
        <v>3</v>
      </c>
      <c r="Z32" s="253">
        <v>0</v>
      </c>
    </row>
    <row r="33" spans="1:26" ht="16.5" customHeight="1">
      <c r="A33" s="54">
        <v>19</v>
      </c>
      <c r="B33" s="303" t="s">
        <v>134</v>
      </c>
      <c r="C33" s="310"/>
      <c r="D33" s="308" t="s">
        <v>47</v>
      </c>
      <c r="E33" s="300">
        <v>25000</v>
      </c>
      <c r="F33" s="256">
        <v>4</v>
      </c>
      <c r="G33" s="252">
        <v>0</v>
      </c>
      <c r="H33" s="252">
        <v>0</v>
      </c>
      <c r="I33" s="252">
        <v>0</v>
      </c>
      <c r="J33" s="252">
        <v>3</v>
      </c>
      <c r="K33" s="252">
        <v>0</v>
      </c>
      <c r="L33" s="252">
        <v>0</v>
      </c>
      <c r="M33" s="252">
        <v>3</v>
      </c>
      <c r="N33" s="252">
        <v>0</v>
      </c>
      <c r="O33" s="252">
        <v>0</v>
      </c>
      <c r="P33" s="252">
        <v>3</v>
      </c>
      <c r="Q33" s="252">
        <v>0</v>
      </c>
      <c r="R33" s="252">
        <v>0</v>
      </c>
      <c r="S33" s="252">
        <v>3</v>
      </c>
      <c r="T33" s="252">
        <v>0</v>
      </c>
      <c r="U33" s="252">
        <v>0</v>
      </c>
      <c r="V33" s="252">
        <v>3</v>
      </c>
      <c r="W33" s="252">
        <v>0</v>
      </c>
      <c r="X33" s="252">
        <v>0</v>
      </c>
      <c r="Y33" s="252">
        <v>3</v>
      </c>
      <c r="Z33" s="253">
        <v>0</v>
      </c>
    </row>
    <row r="34" spans="1:26" ht="16.5" customHeight="1" thickBot="1">
      <c r="A34" s="54">
        <v>20</v>
      </c>
      <c r="B34" s="311" t="s">
        <v>137</v>
      </c>
      <c r="C34" s="312"/>
      <c r="D34" s="313" t="s">
        <v>47</v>
      </c>
      <c r="E34" s="283">
        <v>14000</v>
      </c>
      <c r="F34" s="257">
        <v>2</v>
      </c>
      <c r="G34" s="286">
        <v>109</v>
      </c>
      <c r="H34" s="286">
        <v>107</v>
      </c>
      <c r="I34" s="286">
        <v>154</v>
      </c>
      <c r="J34" s="286">
        <v>226</v>
      </c>
      <c r="K34" s="286">
        <v>113</v>
      </c>
      <c r="L34" s="286">
        <v>136</v>
      </c>
      <c r="M34" s="286">
        <v>123</v>
      </c>
      <c r="N34" s="286">
        <v>208</v>
      </c>
      <c r="O34" s="286">
        <v>154</v>
      </c>
      <c r="P34" s="286">
        <v>141</v>
      </c>
      <c r="Q34" s="286">
        <v>178</v>
      </c>
      <c r="R34" s="286">
        <v>174</v>
      </c>
      <c r="S34" s="286">
        <v>123</v>
      </c>
      <c r="T34" s="286">
        <v>99</v>
      </c>
      <c r="U34" s="286">
        <v>251</v>
      </c>
      <c r="V34" s="286">
        <v>163</v>
      </c>
      <c r="W34" s="286">
        <v>89</v>
      </c>
      <c r="X34" s="286">
        <v>215</v>
      </c>
      <c r="Y34" s="286">
        <v>123</v>
      </c>
      <c r="Z34" s="287">
        <v>155</v>
      </c>
    </row>
    <row r="35" spans="1:26" ht="16.5" customHeight="1">
      <c r="B35" s="82"/>
      <c r="C35" s="148"/>
      <c r="D35" s="113"/>
      <c r="E35" s="201"/>
      <c r="F35" s="201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204"/>
      <c r="T35" s="204"/>
      <c r="U35" s="204"/>
      <c r="V35" s="204"/>
      <c r="W35" s="204"/>
      <c r="X35" s="204"/>
      <c r="Y35" s="204"/>
      <c r="Z35" s="204"/>
    </row>
    <row r="36" spans="1:26" ht="16.5" customHeight="1" thickBot="1">
      <c r="B36" s="55" t="s">
        <v>74</v>
      </c>
      <c r="C36" s="150"/>
      <c r="D36" s="113"/>
      <c r="E36" s="234">
        <f>ТО!F10</f>
        <v>191</v>
      </c>
      <c r="F36" s="201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204"/>
      <c r="T36" s="204"/>
      <c r="U36" s="204"/>
      <c r="V36" s="204"/>
      <c r="W36" s="204"/>
      <c r="X36" s="204"/>
      <c r="Y36" s="204"/>
      <c r="Z36" s="204"/>
    </row>
    <row r="37" spans="1:26" ht="27" thickBot="1">
      <c r="B37" s="272" t="s">
        <v>72</v>
      </c>
      <c r="C37" s="269"/>
      <c r="D37" s="293" t="s">
        <v>69</v>
      </c>
      <c r="E37" s="294" t="s">
        <v>75</v>
      </c>
      <c r="F37" s="295"/>
      <c r="G37" s="296">
        <f t="shared" ref="G37:R37" si="9">G13</f>
        <v>1</v>
      </c>
      <c r="H37" s="297">
        <f t="shared" si="9"/>
        <v>2</v>
      </c>
      <c r="I37" s="297">
        <f t="shared" si="9"/>
        <v>3</v>
      </c>
      <c r="J37" s="297">
        <f t="shared" si="9"/>
        <v>4</v>
      </c>
      <c r="K37" s="297">
        <f t="shared" si="9"/>
        <v>5</v>
      </c>
      <c r="L37" s="297">
        <f t="shared" si="9"/>
        <v>6</v>
      </c>
      <c r="M37" s="297">
        <f t="shared" si="9"/>
        <v>7</v>
      </c>
      <c r="N37" s="297">
        <f t="shared" si="9"/>
        <v>8</v>
      </c>
      <c r="O37" s="297">
        <f t="shared" si="9"/>
        <v>9</v>
      </c>
      <c r="P37" s="297">
        <f t="shared" si="9"/>
        <v>10</v>
      </c>
      <c r="Q37" s="297">
        <f t="shared" si="9"/>
        <v>11</v>
      </c>
      <c r="R37" s="297">
        <f t="shared" si="9"/>
        <v>12</v>
      </c>
      <c r="S37" s="298">
        <v>13</v>
      </c>
      <c r="T37" s="298">
        <v>14</v>
      </c>
      <c r="U37" s="298">
        <v>15</v>
      </c>
      <c r="V37" s="298">
        <v>16</v>
      </c>
      <c r="W37" s="298">
        <v>17</v>
      </c>
      <c r="X37" s="298">
        <v>18</v>
      </c>
      <c r="Y37" s="298">
        <v>19</v>
      </c>
      <c r="Z37" s="299">
        <v>20</v>
      </c>
    </row>
    <row r="38" spans="1:26" ht="15" customHeight="1" thickBot="1">
      <c r="B38" s="79" t="s">
        <v>76</v>
      </c>
      <c r="C38" s="288"/>
      <c r="D38" s="289" t="s">
        <v>77</v>
      </c>
      <c r="E38" s="290"/>
      <c r="F38" s="291"/>
      <c r="G38" s="292">
        <f>SUM(G39:G58)</f>
        <v>248</v>
      </c>
      <c r="H38" s="292">
        <f t="shared" ref="H38:Z38" si="10">SUM(H39:H58)</f>
        <v>300</v>
      </c>
      <c r="I38" s="292">
        <f t="shared" si="10"/>
        <v>830</v>
      </c>
      <c r="J38" s="292">
        <f t="shared" si="10"/>
        <v>1498</v>
      </c>
      <c r="K38" s="292">
        <f t="shared" si="10"/>
        <v>296</v>
      </c>
      <c r="L38" s="292">
        <f t="shared" si="10"/>
        <v>420</v>
      </c>
      <c r="M38" s="292">
        <f t="shared" si="10"/>
        <v>754</v>
      </c>
      <c r="N38" s="292">
        <f t="shared" si="10"/>
        <v>1464</v>
      </c>
      <c r="O38" s="292">
        <f t="shared" si="10"/>
        <v>428</v>
      </c>
      <c r="P38" s="292">
        <f t="shared" si="10"/>
        <v>388</v>
      </c>
      <c r="Q38" s="292">
        <f t="shared" si="10"/>
        <v>1808</v>
      </c>
      <c r="R38" s="292">
        <f t="shared" si="10"/>
        <v>472</v>
      </c>
      <c r="S38" s="292">
        <f t="shared" si="10"/>
        <v>352</v>
      </c>
      <c r="T38" s="292">
        <f t="shared" si="10"/>
        <v>268</v>
      </c>
      <c r="U38" s="292">
        <f t="shared" si="10"/>
        <v>2004</v>
      </c>
      <c r="V38" s="292">
        <f t="shared" si="10"/>
        <v>430</v>
      </c>
      <c r="W38" s="292">
        <f t="shared" si="10"/>
        <v>232</v>
      </c>
      <c r="X38" s="292">
        <f t="shared" si="10"/>
        <v>1574</v>
      </c>
      <c r="Y38" s="292">
        <f t="shared" si="10"/>
        <v>754</v>
      </c>
      <c r="Z38" s="292">
        <f t="shared" si="10"/>
        <v>356</v>
      </c>
    </row>
    <row r="39" spans="1:26" ht="15" customHeight="1">
      <c r="A39" s="54">
        <v>1</v>
      </c>
      <c r="B39" s="314" t="s">
        <v>80</v>
      </c>
      <c r="C39" s="315"/>
      <c r="D39" s="316" t="s">
        <v>77</v>
      </c>
      <c r="E39" s="317">
        <f>E36</f>
        <v>191</v>
      </c>
      <c r="F39" s="318"/>
      <c r="G39" s="251">
        <v>30</v>
      </c>
      <c r="H39" s="251">
        <v>50</v>
      </c>
      <c r="I39" s="251">
        <v>450</v>
      </c>
      <c r="J39" s="251">
        <v>30</v>
      </c>
      <c r="K39" s="251">
        <v>30</v>
      </c>
      <c r="L39" s="251">
        <v>50</v>
      </c>
      <c r="M39" s="251">
        <v>450</v>
      </c>
      <c r="N39" s="251">
        <v>30</v>
      </c>
      <c r="O39" s="251">
        <v>30</v>
      </c>
      <c r="P39" s="251">
        <v>50</v>
      </c>
      <c r="Q39" s="251">
        <v>450</v>
      </c>
      <c r="R39" s="251">
        <v>30</v>
      </c>
      <c r="S39" s="251">
        <v>30</v>
      </c>
      <c r="T39" s="251">
        <v>50</v>
      </c>
      <c r="U39" s="251">
        <v>450</v>
      </c>
      <c r="V39" s="251">
        <v>30</v>
      </c>
      <c r="W39" s="251">
        <v>30</v>
      </c>
      <c r="X39" s="251">
        <v>50</v>
      </c>
      <c r="Y39" s="251">
        <v>450</v>
      </c>
      <c r="Z39" s="276">
        <v>30</v>
      </c>
    </row>
    <row r="40" spans="1:26" ht="15" customHeight="1">
      <c r="A40" s="54">
        <v>2</v>
      </c>
      <c r="B40" s="319" t="s">
        <v>130</v>
      </c>
      <c r="C40" s="320"/>
      <c r="D40" s="321" t="s">
        <v>77</v>
      </c>
      <c r="E40" s="322">
        <v>191</v>
      </c>
      <c r="F40" s="256"/>
      <c r="G40" s="252">
        <v>0</v>
      </c>
      <c r="H40" s="252">
        <v>20</v>
      </c>
      <c r="I40" s="252">
        <v>0</v>
      </c>
      <c r="J40" s="252">
        <v>0</v>
      </c>
      <c r="K40" s="252">
        <v>0</v>
      </c>
      <c r="L40" s="252">
        <v>20</v>
      </c>
      <c r="M40" s="252">
        <v>0</v>
      </c>
      <c r="N40" s="252">
        <v>0</v>
      </c>
      <c r="O40" s="252">
        <v>0</v>
      </c>
      <c r="P40" s="252">
        <v>20</v>
      </c>
      <c r="Q40" s="252">
        <v>0</v>
      </c>
      <c r="R40" s="252">
        <v>0</v>
      </c>
      <c r="S40" s="252">
        <v>0</v>
      </c>
      <c r="T40" s="252">
        <v>20</v>
      </c>
      <c r="U40" s="252">
        <v>0</v>
      </c>
      <c r="V40" s="252">
        <v>0</v>
      </c>
      <c r="W40" s="252">
        <v>0</v>
      </c>
      <c r="X40" s="252">
        <v>20</v>
      </c>
      <c r="Y40" s="252">
        <v>0</v>
      </c>
      <c r="Z40" s="253">
        <v>0</v>
      </c>
    </row>
    <row r="41" spans="1:26" ht="15" customHeight="1">
      <c r="A41" s="54">
        <v>3</v>
      </c>
      <c r="B41" s="319" t="s">
        <v>131</v>
      </c>
      <c r="C41" s="320"/>
      <c r="D41" s="321" t="s">
        <v>77</v>
      </c>
      <c r="E41" s="322">
        <v>191</v>
      </c>
      <c r="F41" s="256"/>
      <c r="G41" s="252">
        <v>0</v>
      </c>
      <c r="H41" s="252">
        <v>0</v>
      </c>
      <c r="I41" s="252">
        <v>6</v>
      </c>
      <c r="J41" s="252">
        <v>0</v>
      </c>
      <c r="K41" s="252">
        <v>0</v>
      </c>
      <c r="L41" s="252">
        <v>0</v>
      </c>
      <c r="M41" s="252">
        <v>6</v>
      </c>
      <c r="N41" s="252">
        <v>0</v>
      </c>
      <c r="O41" s="252">
        <v>0</v>
      </c>
      <c r="P41" s="252">
        <v>0</v>
      </c>
      <c r="Q41" s="252">
        <v>6</v>
      </c>
      <c r="R41" s="252">
        <v>0</v>
      </c>
      <c r="S41" s="252">
        <v>0</v>
      </c>
      <c r="T41" s="252">
        <v>0</v>
      </c>
      <c r="U41" s="252">
        <v>6</v>
      </c>
      <c r="V41" s="252">
        <v>0</v>
      </c>
      <c r="W41" s="252">
        <v>0</v>
      </c>
      <c r="X41" s="252">
        <v>0</v>
      </c>
      <c r="Y41" s="252">
        <v>6</v>
      </c>
      <c r="Z41" s="253">
        <v>0</v>
      </c>
    </row>
    <row r="42" spans="1:26" ht="15" customHeight="1">
      <c r="A42" s="54">
        <v>4</v>
      </c>
      <c r="B42" s="319" t="s">
        <v>132</v>
      </c>
      <c r="C42" s="320"/>
      <c r="D42" s="321" t="s">
        <v>77</v>
      </c>
      <c r="E42" s="322">
        <v>191</v>
      </c>
      <c r="F42" s="256"/>
      <c r="G42" s="284">
        <v>0</v>
      </c>
      <c r="H42" s="284">
        <v>0</v>
      </c>
      <c r="I42" s="284">
        <v>4</v>
      </c>
      <c r="J42" s="284">
        <v>0</v>
      </c>
      <c r="K42" s="284">
        <v>0</v>
      </c>
      <c r="L42" s="284">
        <v>4</v>
      </c>
      <c r="M42" s="284">
        <v>0</v>
      </c>
      <c r="N42" s="284">
        <v>0</v>
      </c>
      <c r="O42" s="284">
        <v>4</v>
      </c>
      <c r="P42" s="284">
        <v>0</v>
      </c>
      <c r="Q42" s="284">
        <v>0</v>
      </c>
      <c r="R42" s="284">
        <v>4</v>
      </c>
      <c r="S42" s="284">
        <v>0</v>
      </c>
      <c r="T42" s="284">
        <v>0</v>
      </c>
      <c r="U42" s="284">
        <v>4</v>
      </c>
      <c r="V42" s="284">
        <v>0</v>
      </c>
      <c r="W42" s="284">
        <v>0</v>
      </c>
      <c r="X42" s="284">
        <v>4</v>
      </c>
      <c r="Y42" s="284">
        <v>0</v>
      </c>
      <c r="Z42" s="285">
        <v>0</v>
      </c>
    </row>
    <row r="43" spans="1:26" ht="15" customHeight="1">
      <c r="A43" s="54">
        <v>5</v>
      </c>
      <c r="B43" s="319" t="s">
        <v>109</v>
      </c>
      <c r="C43" s="320"/>
      <c r="D43" s="321" t="s">
        <v>77</v>
      </c>
      <c r="E43" s="322">
        <v>191</v>
      </c>
      <c r="F43" s="256"/>
      <c r="G43" s="252">
        <v>0</v>
      </c>
      <c r="H43" s="252">
        <v>0</v>
      </c>
      <c r="I43" s="252">
        <v>0</v>
      </c>
      <c r="J43" s="252">
        <v>200</v>
      </c>
      <c r="K43" s="252">
        <v>0</v>
      </c>
      <c r="L43" s="252">
        <v>0</v>
      </c>
      <c r="M43" s="252">
        <v>0</v>
      </c>
      <c r="N43" s="252">
        <f>J43</f>
        <v>200</v>
      </c>
      <c r="O43" s="252">
        <v>0</v>
      </c>
      <c r="P43" s="252">
        <v>0</v>
      </c>
      <c r="Q43" s="252">
        <f>N43</f>
        <v>200</v>
      </c>
      <c r="R43" s="252">
        <v>0</v>
      </c>
      <c r="S43" s="252">
        <v>0</v>
      </c>
      <c r="T43" s="252">
        <v>0</v>
      </c>
      <c r="U43" s="252">
        <f>Q43</f>
        <v>200</v>
      </c>
      <c r="V43" s="252">
        <v>0</v>
      </c>
      <c r="W43" s="252">
        <v>0</v>
      </c>
      <c r="X43" s="252">
        <f>U43</f>
        <v>200</v>
      </c>
      <c r="Y43" s="252">
        <v>0</v>
      </c>
      <c r="Z43" s="253">
        <v>0</v>
      </c>
    </row>
    <row r="44" spans="1:26" ht="15" customHeight="1">
      <c r="A44" s="54">
        <v>6</v>
      </c>
      <c r="B44" s="323" t="s">
        <v>110</v>
      </c>
      <c r="C44" s="320"/>
      <c r="D44" s="321" t="s">
        <v>77</v>
      </c>
      <c r="E44" s="322">
        <v>191</v>
      </c>
      <c r="F44" s="256"/>
      <c r="G44" s="252">
        <v>0</v>
      </c>
      <c r="H44" s="252">
        <v>0</v>
      </c>
      <c r="I44" s="252">
        <v>0</v>
      </c>
      <c r="J44" s="252">
        <v>700</v>
      </c>
      <c r="K44" s="252">
        <v>0</v>
      </c>
      <c r="L44" s="252">
        <v>0</v>
      </c>
      <c r="M44" s="252">
        <v>0</v>
      </c>
      <c r="N44" s="252">
        <f>J44</f>
        <v>700</v>
      </c>
      <c r="O44" s="252">
        <v>0</v>
      </c>
      <c r="P44" s="252">
        <v>0</v>
      </c>
      <c r="Q44" s="252">
        <f>N44</f>
        <v>700</v>
      </c>
      <c r="R44" s="252">
        <v>0</v>
      </c>
      <c r="S44" s="252">
        <v>0</v>
      </c>
      <c r="T44" s="252">
        <v>0</v>
      </c>
      <c r="U44" s="252">
        <f>Q44</f>
        <v>700</v>
      </c>
      <c r="V44" s="252">
        <v>0</v>
      </c>
      <c r="W44" s="252">
        <v>0</v>
      </c>
      <c r="X44" s="252">
        <f>U44</f>
        <v>700</v>
      </c>
      <c r="Y44" s="252">
        <v>0</v>
      </c>
      <c r="Z44" s="253">
        <v>0</v>
      </c>
    </row>
    <row r="45" spans="1:26" ht="15" customHeight="1">
      <c r="A45" s="54">
        <v>7</v>
      </c>
      <c r="B45" s="323" t="s">
        <v>111</v>
      </c>
      <c r="C45" s="320"/>
      <c r="D45" s="321" t="s">
        <v>77</v>
      </c>
      <c r="E45" s="322">
        <v>191</v>
      </c>
      <c r="F45" s="256"/>
      <c r="G45" s="252">
        <v>0</v>
      </c>
      <c r="H45" s="252">
        <v>0</v>
      </c>
      <c r="I45" s="252">
        <v>0</v>
      </c>
      <c r="J45" s="252">
        <v>80</v>
      </c>
      <c r="K45" s="252">
        <v>0</v>
      </c>
      <c r="L45" s="252">
        <v>0</v>
      </c>
      <c r="M45" s="252">
        <v>0</v>
      </c>
      <c r="N45" s="252">
        <f>J45</f>
        <v>80</v>
      </c>
      <c r="O45" s="252">
        <v>0</v>
      </c>
      <c r="P45" s="252">
        <v>0</v>
      </c>
      <c r="Q45" s="252">
        <f>N45</f>
        <v>80</v>
      </c>
      <c r="R45" s="252">
        <v>0</v>
      </c>
      <c r="S45" s="252">
        <v>0</v>
      </c>
      <c r="T45" s="252">
        <v>0</v>
      </c>
      <c r="U45" s="252">
        <f>Q45</f>
        <v>80</v>
      </c>
      <c r="V45" s="252">
        <v>0</v>
      </c>
      <c r="W45" s="252">
        <v>0</v>
      </c>
      <c r="X45" s="252">
        <f>U45</f>
        <v>80</v>
      </c>
      <c r="Y45" s="252">
        <v>0</v>
      </c>
      <c r="Z45" s="253">
        <v>0</v>
      </c>
    </row>
    <row r="46" spans="1:26" ht="15" customHeight="1">
      <c r="A46" s="54">
        <v>8</v>
      </c>
      <c r="B46" s="304" t="str">
        <f>B22</f>
        <v>Регулировка клапанов ГРМ ДВС при ТО6 (10000 м\час)</v>
      </c>
      <c r="C46" s="310"/>
      <c r="D46" s="321" t="s">
        <v>77</v>
      </c>
      <c r="E46" s="324">
        <v>191</v>
      </c>
      <c r="F46" s="300"/>
      <c r="G46" s="284">
        <v>0</v>
      </c>
      <c r="H46" s="284">
        <v>16</v>
      </c>
      <c r="I46" s="284">
        <v>16</v>
      </c>
      <c r="J46" s="284">
        <v>0</v>
      </c>
      <c r="K46" s="284">
        <f t="shared" ref="K46:M46" si="11">I46</f>
        <v>16</v>
      </c>
      <c r="L46" s="284">
        <f t="shared" si="11"/>
        <v>0</v>
      </c>
      <c r="M46" s="284">
        <f t="shared" si="11"/>
        <v>16</v>
      </c>
      <c r="N46" s="284">
        <v>16</v>
      </c>
      <c r="O46" s="284">
        <f t="shared" ref="O46" si="12">M46</f>
        <v>16</v>
      </c>
      <c r="P46" s="284">
        <v>0</v>
      </c>
      <c r="Q46" s="284">
        <f t="shared" ref="Q46" si="13">O46</f>
        <v>16</v>
      </c>
      <c r="R46" s="284">
        <v>16</v>
      </c>
      <c r="S46" s="284">
        <f t="shared" ref="S46" si="14">Q46</f>
        <v>16</v>
      </c>
      <c r="T46" s="284">
        <v>0</v>
      </c>
      <c r="U46" s="284">
        <f t="shared" ref="U46" si="15">S46</f>
        <v>16</v>
      </c>
      <c r="V46" s="284">
        <v>16</v>
      </c>
      <c r="W46" s="284">
        <v>0</v>
      </c>
      <c r="X46" s="284">
        <f t="shared" ref="X46" si="16">V46</f>
        <v>16</v>
      </c>
      <c r="Y46" s="284">
        <v>16</v>
      </c>
      <c r="Z46" s="285">
        <f t="shared" ref="Z46" si="17">X46</f>
        <v>16</v>
      </c>
    </row>
    <row r="47" spans="1:26" ht="15" customHeight="1">
      <c r="A47" s="54">
        <v>9</v>
      </c>
      <c r="B47" s="323" t="s">
        <v>122</v>
      </c>
      <c r="C47" s="320"/>
      <c r="D47" s="321" t="s">
        <v>77</v>
      </c>
      <c r="E47" s="322">
        <v>191</v>
      </c>
      <c r="F47" s="256"/>
      <c r="G47" s="252">
        <v>0</v>
      </c>
      <c r="H47" s="252">
        <v>0</v>
      </c>
      <c r="I47" s="252">
        <v>0</v>
      </c>
      <c r="J47" s="252">
        <v>0</v>
      </c>
      <c r="K47" s="252">
        <v>0</v>
      </c>
      <c r="L47" s="252">
        <v>20</v>
      </c>
      <c r="M47" s="252">
        <v>0</v>
      </c>
      <c r="N47" s="252">
        <v>0</v>
      </c>
      <c r="O47" s="252">
        <v>0</v>
      </c>
      <c r="P47" s="252">
        <v>0</v>
      </c>
      <c r="Q47" s="252">
        <v>0</v>
      </c>
      <c r="R47" s="252">
        <v>20</v>
      </c>
      <c r="S47" s="252">
        <v>0</v>
      </c>
      <c r="T47" s="252">
        <v>0</v>
      </c>
      <c r="U47" s="252">
        <v>0</v>
      </c>
      <c r="V47" s="252">
        <v>0</v>
      </c>
      <c r="W47" s="252">
        <v>0</v>
      </c>
      <c r="X47" s="252">
        <v>20</v>
      </c>
      <c r="Y47" s="252">
        <v>0</v>
      </c>
      <c r="Z47" s="253">
        <v>0</v>
      </c>
    </row>
    <row r="48" spans="1:26" ht="15" customHeight="1">
      <c r="A48" s="54">
        <v>10</v>
      </c>
      <c r="B48" s="303" t="s">
        <v>135</v>
      </c>
      <c r="C48" s="320"/>
      <c r="D48" s="321" t="s">
        <v>77</v>
      </c>
      <c r="E48" s="322">
        <v>191</v>
      </c>
      <c r="F48" s="256"/>
      <c r="G48" s="252">
        <v>0</v>
      </c>
      <c r="H48" s="252">
        <v>0</v>
      </c>
      <c r="I48" s="252">
        <v>0</v>
      </c>
      <c r="J48" s="252">
        <v>0</v>
      </c>
      <c r="K48" s="252">
        <v>0</v>
      </c>
      <c r="L48" s="252">
        <v>0</v>
      </c>
      <c r="M48" s="252">
        <v>0</v>
      </c>
      <c r="N48" s="252">
        <v>22</v>
      </c>
      <c r="O48" s="252">
        <v>0</v>
      </c>
      <c r="P48" s="252">
        <v>0</v>
      </c>
      <c r="Q48" s="252">
        <v>0</v>
      </c>
      <c r="R48" s="252">
        <v>0</v>
      </c>
      <c r="S48" s="252">
        <v>0</v>
      </c>
      <c r="T48" s="252">
        <v>0</v>
      </c>
      <c r="U48" s="252">
        <v>0</v>
      </c>
      <c r="V48" s="252">
        <v>22</v>
      </c>
      <c r="W48" s="252">
        <v>0</v>
      </c>
      <c r="X48" s="252">
        <v>0</v>
      </c>
      <c r="Y48" s="252">
        <v>0</v>
      </c>
      <c r="Z48" s="253">
        <v>0</v>
      </c>
    </row>
    <row r="49" spans="1:26" ht="15" customHeight="1">
      <c r="A49" s="54">
        <v>11</v>
      </c>
      <c r="B49" s="303" t="s">
        <v>136</v>
      </c>
      <c r="C49" s="320"/>
      <c r="D49" s="321" t="s">
        <v>77</v>
      </c>
      <c r="E49" s="322">
        <v>191</v>
      </c>
      <c r="F49" s="256"/>
      <c r="G49" s="252">
        <v>0</v>
      </c>
      <c r="H49" s="252">
        <v>0</v>
      </c>
      <c r="I49" s="252">
        <v>0</v>
      </c>
      <c r="J49" s="252">
        <v>0</v>
      </c>
      <c r="K49" s="252">
        <v>0</v>
      </c>
      <c r="L49" s="252">
        <v>8</v>
      </c>
      <c r="M49" s="252">
        <v>0</v>
      </c>
      <c r="N49" s="252">
        <v>0</v>
      </c>
      <c r="O49" s="252">
        <v>0</v>
      </c>
      <c r="P49" s="252">
        <v>0</v>
      </c>
      <c r="Q49" s="252">
        <v>0</v>
      </c>
      <c r="R49" s="252">
        <v>8</v>
      </c>
      <c r="S49" s="252">
        <v>0</v>
      </c>
      <c r="T49" s="252">
        <v>0</v>
      </c>
      <c r="U49" s="252">
        <v>0</v>
      </c>
      <c r="V49" s="252">
        <v>0</v>
      </c>
      <c r="W49" s="252">
        <v>0</v>
      </c>
      <c r="X49" s="252">
        <v>8</v>
      </c>
      <c r="Y49" s="252">
        <v>0</v>
      </c>
      <c r="Z49" s="253">
        <v>0</v>
      </c>
    </row>
    <row r="50" spans="1:26" ht="15" customHeight="1">
      <c r="A50" s="54">
        <v>12</v>
      </c>
      <c r="B50" s="323" t="s">
        <v>124</v>
      </c>
      <c r="C50" s="320"/>
      <c r="D50" s="321" t="s">
        <v>77</v>
      </c>
      <c r="E50" s="322">
        <v>191</v>
      </c>
      <c r="F50" s="256"/>
      <c r="G50" s="284">
        <v>0</v>
      </c>
      <c r="H50" s="284">
        <v>0</v>
      </c>
      <c r="I50" s="284">
        <v>8</v>
      </c>
      <c r="J50" s="284">
        <v>0</v>
      </c>
      <c r="K50" s="284">
        <v>0</v>
      </c>
      <c r="L50" s="284">
        <v>8</v>
      </c>
      <c r="M50" s="284">
        <v>0</v>
      </c>
      <c r="N50" s="284">
        <v>0</v>
      </c>
      <c r="O50" s="284">
        <v>8</v>
      </c>
      <c r="P50" s="284">
        <v>0</v>
      </c>
      <c r="Q50" s="284">
        <v>0</v>
      </c>
      <c r="R50" s="284">
        <v>8</v>
      </c>
      <c r="S50" s="284">
        <v>0</v>
      </c>
      <c r="T50" s="284">
        <v>0</v>
      </c>
      <c r="U50" s="284">
        <v>8</v>
      </c>
      <c r="V50" s="284">
        <v>0</v>
      </c>
      <c r="W50" s="284">
        <v>0</v>
      </c>
      <c r="X50" s="284">
        <v>8</v>
      </c>
      <c r="Y50" s="284">
        <v>0</v>
      </c>
      <c r="Z50" s="285">
        <v>0</v>
      </c>
    </row>
    <row r="51" spans="1:26" ht="15" customHeight="1">
      <c r="A51" s="54">
        <v>13</v>
      </c>
      <c r="B51" s="323" t="s">
        <v>125</v>
      </c>
      <c r="C51" s="320"/>
      <c r="D51" s="321" t="s">
        <v>77</v>
      </c>
      <c r="E51" s="322">
        <v>191</v>
      </c>
      <c r="F51" s="256"/>
      <c r="G51" s="284">
        <v>0</v>
      </c>
      <c r="H51" s="284">
        <v>0</v>
      </c>
      <c r="I51" s="284">
        <v>8</v>
      </c>
      <c r="J51" s="284">
        <v>0</v>
      </c>
      <c r="K51" s="284">
        <v>0</v>
      </c>
      <c r="L51" s="284">
        <v>8</v>
      </c>
      <c r="M51" s="284">
        <v>0</v>
      </c>
      <c r="N51" s="284">
        <v>0</v>
      </c>
      <c r="O51" s="284">
        <v>8</v>
      </c>
      <c r="P51" s="284">
        <v>0</v>
      </c>
      <c r="Q51" s="284">
        <v>0</v>
      </c>
      <c r="R51" s="284">
        <v>8</v>
      </c>
      <c r="S51" s="284">
        <v>0</v>
      </c>
      <c r="T51" s="284">
        <v>0</v>
      </c>
      <c r="U51" s="284">
        <v>8</v>
      </c>
      <c r="V51" s="284">
        <v>0</v>
      </c>
      <c r="W51" s="284">
        <v>0</v>
      </c>
      <c r="X51" s="284">
        <v>8</v>
      </c>
      <c r="Y51" s="284">
        <v>0</v>
      </c>
      <c r="Z51" s="285">
        <v>0</v>
      </c>
    </row>
    <row r="52" spans="1:26" ht="15" customHeight="1">
      <c r="A52" s="54">
        <v>14</v>
      </c>
      <c r="B52" s="323" t="s">
        <v>126</v>
      </c>
      <c r="C52" s="320"/>
      <c r="D52" s="321" t="s">
        <v>77</v>
      </c>
      <c r="E52" s="322">
        <v>191</v>
      </c>
      <c r="F52" s="256"/>
      <c r="G52" s="284">
        <v>0</v>
      </c>
      <c r="H52" s="284">
        <v>0</v>
      </c>
      <c r="I52" s="284">
        <v>0</v>
      </c>
      <c r="J52" s="284">
        <v>0</v>
      </c>
      <c r="K52" s="284">
        <v>24</v>
      </c>
      <c r="L52" s="284">
        <v>0</v>
      </c>
      <c r="M52" s="284">
        <v>0</v>
      </c>
      <c r="N52" s="284">
        <v>0</v>
      </c>
      <c r="O52" s="284">
        <v>24</v>
      </c>
      <c r="P52" s="284">
        <v>0</v>
      </c>
      <c r="Q52" s="284">
        <v>0</v>
      </c>
      <c r="R52" s="284">
        <v>0</v>
      </c>
      <c r="S52" s="284">
        <v>24</v>
      </c>
      <c r="T52" s="284">
        <v>0</v>
      </c>
      <c r="U52" s="284">
        <v>0</v>
      </c>
      <c r="V52" s="284">
        <v>0</v>
      </c>
      <c r="W52" s="284">
        <v>24</v>
      </c>
      <c r="X52" s="284">
        <v>0</v>
      </c>
      <c r="Y52" s="284">
        <v>0</v>
      </c>
      <c r="Z52" s="284">
        <v>0</v>
      </c>
    </row>
    <row r="53" spans="1:26" ht="15" customHeight="1">
      <c r="A53" s="54">
        <v>15</v>
      </c>
      <c r="B53" s="323" t="s">
        <v>127</v>
      </c>
      <c r="C53" s="320"/>
      <c r="D53" s="321" t="s">
        <v>77</v>
      </c>
      <c r="E53" s="322">
        <v>191</v>
      </c>
      <c r="F53" s="256"/>
      <c r="G53" s="284">
        <v>0</v>
      </c>
      <c r="H53" s="284">
        <v>0</v>
      </c>
      <c r="I53" s="284">
        <v>10</v>
      </c>
      <c r="J53" s="284">
        <v>0</v>
      </c>
      <c r="K53" s="284">
        <v>0</v>
      </c>
      <c r="L53" s="284">
        <v>10</v>
      </c>
      <c r="M53" s="284">
        <v>0</v>
      </c>
      <c r="N53" s="284">
        <v>0</v>
      </c>
      <c r="O53" s="284">
        <v>10</v>
      </c>
      <c r="P53" s="284">
        <v>0</v>
      </c>
      <c r="Q53" s="284">
        <v>0</v>
      </c>
      <c r="R53" s="284">
        <v>10</v>
      </c>
      <c r="S53" s="284">
        <v>0</v>
      </c>
      <c r="T53" s="284">
        <v>0</v>
      </c>
      <c r="U53" s="284">
        <v>10</v>
      </c>
      <c r="V53" s="284">
        <v>0</v>
      </c>
      <c r="W53" s="284">
        <v>0</v>
      </c>
      <c r="X53" s="284">
        <v>10</v>
      </c>
      <c r="Y53" s="284">
        <v>0</v>
      </c>
      <c r="Z53" s="285">
        <v>0</v>
      </c>
    </row>
    <row r="54" spans="1:26" ht="15" customHeight="1">
      <c r="A54" s="54">
        <v>16</v>
      </c>
      <c r="B54" s="323" t="s">
        <v>128</v>
      </c>
      <c r="C54" s="320"/>
      <c r="D54" s="321" t="s">
        <v>77</v>
      </c>
      <c r="E54" s="322">
        <v>191</v>
      </c>
      <c r="F54" s="256"/>
      <c r="G54" s="284">
        <v>0</v>
      </c>
      <c r="H54" s="284">
        <v>0</v>
      </c>
      <c r="I54" s="284">
        <v>12</v>
      </c>
      <c r="J54" s="284">
        <v>0</v>
      </c>
      <c r="K54" s="284">
        <v>0</v>
      </c>
      <c r="L54" s="284">
        <v>12</v>
      </c>
      <c r="M54" s="284">
        <v>0</v>
      </c>
      <c r="N54" s="284">
        <v>0</v>
      </c>
      <c r="O54" s="284">
        <v>12</v>
      </c>
      <c r="P54" s="284">
        <v>0</v>
      </c>
      <c r="Q54" s="284">
        <v>0</v>
      </c>
      <c r="R54" s="284">
        <v>12</v>
      </c>
      <c r="S54" s="284">
        <v>0</v>
      </c>
      <c r="T54" s="284">
        <v>0</v>
      </c>
      <c r="U54" s="284">
        <v>12</v>
      </c>
      <c r="V54" s="284">
        <v>0</v>
      </c>
      <c r="W54" s="284">
        <v>0</v>
      </c>
      <c r="X54" s="284">
        <v>12</v>
      </c>
      <c r="Y54" s="284">
        <v>0</v>
      </c>
      <c r="Z54" s="285">
        <v>0</v>
      </c>
    </row>
    <row r="55" spans="1:26" ht="15" customHeight="1">
      <c r="A55" s="54">
        <v>17</v>
      </c>
      <c r="B55" s="323" t="s">
        <v>129</v>
      </c>
      <c r="C55" s="320"/>
      <c r="D55" s="321" t="s">
        <v>77</v>
      </c>
      <c r="E55" s="322">
        <v>191</v>
      </c>
      <c r="F55" s="256"/>
      <c r="G55" s="284">
        <v>0</v>
      </c>
      <c r="H55" s="284">
        <v>0</v>
      </c>
      <c r="I55" s="284">
        <v>8</v>
      </c>
      <c r="J55" s="284">
        <v>0</v>
      </c>
      <c r="K55" s="284">
        <v>0</v>
      </c>
      <c r="L55" s="284">
        <v>8</v>
      </c>
      <c r="M55" s="284">
        <v>0</v>
      </c>
      <c r="N55" s="284">
        <v>0</v>
      </c>
      <c r="O55" s="284">
        <v>8</v>
      </c>
      <c r="P55" s="284">
        <v>0</v>
      </c>
      <c r="Q55" s="284">
        <v>0</v>
      </c>
      <c r="R55" s="284">
        <v>8</v>
      </c>
      <c r="S55" s="284">
        <v>0</v>
      </c>
      <c r="T55" s="284">
        <v>0</v>
      </c>
      <c r="U55" s="284">
        <v>8</v>
      </c>
      <c r="V55" s="284">
        <v>0</v>
      </c>
      <c r="W55" s="284">
        <v>0</v>
      </c>
      <c r="X55" s="284">
        <v>8</v>
      </c>
      <c r="Y55" s="284">
        <v>0</v>
      </c>
      <c r="Z55" s="285">
        <v>0</v>
      </c>
    </row>
    <row r="56" spans="1:26" ht="15" customHeight="1">
      <c r="A56" s="54">
        <v>18</v>
      </c>
      <c r="B56" s="303" t="s">
        <v>133</v>
      </c>
      <c r="C56" s="320"/>
      <c r="D56" s="321" t="s">
        <v>77</v>
      </c>
      <c r="E56" s="322">
        <v>191</v>
      </c>
      <c r="F56" s="256"/>
      <c r="G56" s="284">
        <v>0</v>
      </c>
      <c r="H56" s="284">
        <v>0</v>
      </c>
      <c r="I56" s="284">
        <v>0</v>
      </c>
      <c r="J56" s="284">
        <v>20</v>
      </c>
      <c r="K56" s="284">
        <v>0</v>
      </c>
      <c r="L56" s="284">
        <v>0</v>
      </c>
      <c r="M56" s="284">
        <v>20</v>
      </c>
      <c r="N56" s="284">
        <v>0</v>
      </c>
      <c r="O56" s="284">
        <v>0</v>
      </c>
      <c r="P56" s="284">
        <v>20</v>
      </c>
      <c r="Q56" s="284">
        <v>0</v>
      </c>
      <c r="R56" s="284">
        <v>0</v>
      </c>
      <c r="S56" s="284">
        <v>20</v>
      </c>
      <c r="T56" s="284">
        <v>0</v>
      </c>
      <c r="U56" s="284">
        <v>0</v>
      </c>
      <c r="V56" s="284">
        <v>20</v>
      </c>
      <c r="W56" s="284">
        <v>0</v>
      </c>
      <c r="X56" s="284">
        <v>0</v>
      </c>
      <c r="Y56" s="284">
        <v>20</v>
      </c>
      <c r="Z56" s="285">
        <v>0</v>
      </c>
    </row>
    <row r="57" spans="1:26" ht="15" customHeight="1">
      <c r="A57" s="54">
        <v>19</v>
      </c>
      <c r="B57" s="303" t="s">
        <v>134</v>
      </c>
      <c r="C57" s="320"/>
      <c r="D57" s="321" t="s">
        <v>77</v>
      </c>
      <c r="E57" s="322">
        <v>191</v>
      </c>
      <c r="F57" s="256"/>
      <c r="G57" s="284">
        <v>0</v>
      </c>
      <c r="H57" s="284">
        <v>0</v>
      </c>
      <c r="I57" s="284">
        <v>0</v>
      </c>
      <c r="J57" s="284">
        <v>16</v>
      </c>
      <c r="K57" s="284">
        <v>0</v>
      </c>
      <c r="L57" s="284">
        <v>0</v>
      </c>
      <c r="M57" s="284">
        <v>16</v>
      </c>
      <c r="N57" s="284">
        <v>0</v>
      </c>
      <c r="O57" s="284">
        <v>0</v>
      </c>
      <c r="P57" s="284">
        <v>16</v>
      </c>
      <c r="Q57" s="284">
        <v>0</v>
      </c>
      <c r="R57" s="284">
        <v>0</v>
      </c>
      <c r="S57" s="284">
        <v>16</v>
      </c>
      <c r="T57" s="284">
        <v>0</v>
      </c>
      <c r="U57" s="284">
        <v>0</v>
      </c>
      <c r="V57" s="284">
        <v>16</v>
      </c>
      <c r="W57" s="284">
        <v>0</v>
      </c>
      <c r="X57" s="284">
        <v>0</v>
      </c>
      <c r="Y57" s="284">
        <v>16</v>
      </c>
      <c r="Z57" s="285">
        <v>0</v>
      </c>
    </row>
    <row r="58" spans="1:26" ht="15" customHeight="1" thickBot="1">
      <c r="A58" s="54">
        <v>20</v>
      </c>
      <c r="B58" s="311" t="s">
        <v>137</v>
      </c>
      <c r="C58" s="325"/>
      <c r="D58" s="326" t="s">
        <v>77</v>
      </c>
      <c r="E58" s="327">
        <v>191</v>
      </c>
      <c r="F58" s="257"/>
      <c r="G58" s="286">
        <f>G34*2</f>
        <v>218</v>
      </c>
      <c r="H58" s="286">
        <f t="shared" ref="H58:Z58" si="18">H34*2</f>
        <v>214</v>
      </c>
      <c r="I58" s="286">
        <f t="shared" si="18"/>
        <v>308</v>
      </c>
      <c r="J58" s="286">
        <f t="shared" si="18"/>
        <v>452</v>
      </c>
      <c r="K58" s="286">
        <f t="shared" si="18"/>
        <v>226</v>
      </c>
      <c r="L58" s="286">
        <f t="shared" si="18"/>
        <v>272</v>
      </c>
      <c r="M58" s="286">
        <f t="shared" si="18"/>
        <v>246</v>
      </c>
      <c r="N58" s="286">
        <f t="shared" si="18"/>
        <v>416</v>
      </c>
      <c r="O58" s="286">
        <f t="shared" si="18"/>
        <v>308</v>
      </c>
      <c r="P58" s="286">
        <f t="shared" si="18"/>
        <v>282</v>
      </c>
      <c r="Q58" s="286">
        <f t="shared" si="18"/>
        <v>356</v>
      </c>
      <c r="R58" s="286">
        <f t="shared" si="18"/>
        <v>348</v>
      </c>
      <c r="S58" s="286">
        <f t="shared" si="18"/>
        <v>246</v>
      </c>
      <c r="T58" s="286">
        <f t="shared" si="18"/>
        <v>198</v>
      </c>
      <c r="U58" s="286">
        <f t="shared" si="18"/>
        <v>502</v>
      </c>
      <c r="V58" s="286">
        <f t="shared" si="18"/>
        <v>326</v>
      </c>
      <c r="W58" s="286">
        <f t="shared" si="18"/>
        <v>178</v>
      </c>
      <c r="X58" s="286">
        <f t="shared" si="18"/>
        <v>430</v>
      </c>
      <c r="Y58" s="286">
        <f t="shared" si="18"/>
        <v>246</v>
      </c>
      <c r="Z58" s="287">
        <f t="shared" si="18"/>
        <v>310</v>
      </c>
    </row>
    <row r="59" spans="1:26" ht="16.5" customHeight="1"/>
    <row r="60" spans="1:26" ht="15" thickBot="1">
      <c r="B60" s="55" t="s">
        <v>119</v>
      </c>
      <c r="C60" s="231"/>
      <c r="D60" s="113"/>
      <c r="E60" s="113"/>
      <c r="F60" s="113"/>
      <c r="G60" s="237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204"/>
      <c r="T60" s="204"/>
      <c r="U60" s="204"/>
      <c r="V60" s="204"/>
      <c r="W60" s="204"/>
      <c r="X60" s="204"/>
      <c r="Y60" s="204"/>
      <c r="Z60" s="204"/>
    </row>
    <row r="61" spans="1:26" s="112" customFormat="1" ht="42" customHeight="1" thickBot="1">
      <c r="A61" s="54"/>
      <c r="B61" s="272" t="s">
        <v>99</v>
      </c>
      <c r="C61" s="149"/>
      <c r="D61" s="126" t="s">
        <v>98</v>
      </c>
      <c r="E61" s="126" t="s">
        <v>78</v>
      </c>
      <c r="F61" s="126" t="s">
        <v>79</v>
      </c>
      <c r="G61" s="243">
        <f t="shared" ref="G61:Z61" si="19">SUM(G62:G81)</f>
        <v>0</v>
      </c>
      <c r="H61" s="243">
        <f t="shared" si="19"/>
        <v>151610.4</v>
      </c>
      <c r="I61" s="243">
        <f t="shared" si="19"/>
        <v>3293540.7700000005</v>
      </c>
      <c r="J61" s="243">
        <f t="shared" si="19"/>
        <v>1329650.6000000001</v>
      </c>
      <c r="K61" s="243">
        <f t="shared" si="19"/>
        <v>207444.13999999998</v>
      </c>
      <c r="L61" s="243">
        <f t="shared" si="19"/>
        <v>3259166.99</v>
      </c>
      <c r="M61" s="243">
        <f t="shared" si="19"/>
        <v>47961.74</v>
      </c>
      <c r="N61" s="243">
        <f t="shared" si="19"/>
        <v>1481261</v>
      </c>
      <c r="O61" s="243">
        <f t="shared" si="19"/>
        <v>6533291.8700000001</v>
      </c>
      <c r="P61" s="243">
        <f t="shared" si="19"/>
        <v>44023</v>
      </c>
      <c r="Q61" s="243">
        <f t="shared" si="19"/>
        <v>14777315.299999999</v>
      </c>
      <c r="R61" s="243">
        <f t="shared" si="19"/>
        <v>3259166.99</v>
      </c>
      <c r="S61" s="243">
        <f t="shared" si="19"/>
        <v>99856.739999999991</v>
      </c>
      <c r="T61" s="243">
        <f t="shared" si="19"/>
        <v>107587.4</v>
      </c>
      <c r="U61" s="243">
        <f t="shared" si="19"/>
        <v>4575229.63</v>
      </c>
      <c r="V61" s="243">
        <f t="shared" si="19"/>
        <v>96182.94</v>
      </c>
      <c r="W61" s="243">
        <f t="shared" si="19"/>
        <v>107587.4</v>
      </c>
      <c r="X61" s="243">
        <f t="shared" si="19"/>
        <v>7876530.4299999997</v>
      </c>
      <c r="Y61" s="243">
        <f t="shared" si="19"/>
        <v>44023</v>
      </c>
      <c r="Z61" s="244">
        <f t="shared" si="19"/>
        <v>237352.27000000002</v>
      </c>
    </row>
    <row r="62" spans="1:26">
      <c r="A62" s="54">
        <v>1</v>
      </c>
      <c r="B62" s="275" t="s">
        <v>81</v>
      </c>
      <c r="C62" s="277"/>
      <c r="D62" s="278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32"/>
      <c r="T62" s="232"/>
      <c r="U62" s="232"/>
      <c r="V62" s="232"/>
      <c r="W62" s="232"/>
      <c r="X62" s="232"/>
      <c r="Y62" s="232"/>
      <c r="Z62" s="233"/>
    </row>
    <row r="63" spans="1:26">
      <c r="A63" s="54">
        <v>2</v>
      </c>
      <c r="B63" s="212" t="s">
        <v>80</v>
      </c>
      <c r="C63" s="328"/>
      <c r="D63" s="279">
        <v>2327660.9</v>
      </c>
      <c r="E63" s="216">
        <v>20000</v>
      </c>
      <c r="F63" s="215">
        <v>1</v>
      </c>
      <c r="G63" s="238">
        <v>0</v>
      </c>
      <c r="H63" s="238">
        <v>0</v>
      </c>
      <c r="I63" s="238">
        <f>$D63*$F63</f>
        <v>2327660.9</v>
      </c>
      <c r="J63" s="238">
        <v>0</v>
      </c>
      <c r="K63" s="238">
        <v>0</v>
      </c>
      <c r="L63" s="238">
        <f>$D63*$F63</f>
        <v>2327660.9</v>
      </c>
      <c r="M63" s="238">
        <v>0</v>
      </c>
      <c r="N63" s="238">
        <v>0</v>
      </c>
      <c r="O63" s="238">
        <v>5559540</v>
      </c>
      <c r="P63" s="238">
        <v>0</v>
      </c>
      <c r="Q63" s="238">
        <v>0</v>
      </c>
      <c r="R63" s="238">
        <f>$D63*$F63</f>
        <v>2327660.9</v>
      </c>
      <c r="S63" s="238">
        <v>0</v>
      </c>
      <c r="T63" s="238">
        <v>0</v>
      </c>
      <c r="U63" s="238">
        <f>$D63*$F63</f>
        <v>2327660.9</v>
      </c>
      <c r="V63" s="238">
        <v>0</v>
      </c>
      <c r="W63" s="238">
        <v>0</v>
      </c>
      <c r="X63" s="238">
        <v>5559540</v>
      </c>
      <c r="Y63" s="238">
        <v>0</v>
      </c>
      <c r="Z63" s="242">
        <v>0</v>
      </c>
    </row>
    <row r="64" spans="1:26">
      <c r="A64" s="54">
        <v>3</v>
      </c>
      <c r="B64" s="212" t="s">
        <v>130</v>
      </c>
      <c r="C64" s="328"/>
      <c r="D64" s="279">
        <v>107587.4</v>
      </c>
      <c r="E64" s="216">
        <v>14000</v>
      </c>
      <c r="F64" s="215">
        <v>4</v>
      </c>
      <c r="G64" s="238">
        <v>0</v>
      </c>
      <c r="H64" s="171">
        <v>107587.4</v>
      </c>
      <c r="I64" s="238">
        <v>0</v>
      </c>
      <c r="J64" s="238">
        <v>0</v>
      </c>
      <c r="K64" s="171">
        <v>107587.4</v>
      </c>
      <c r="L64" s="238">
        <v>0</v>
      </c>
      <c r="M64" s="238">
        <v>0</v>
      </c>
      <c r="N64" s="171">
        <v>107587.4</v>
      </c>
      <c r="O64" s="238">
        <v>0</v>
      </c>
      <c r="P64" s="238">
        <v>0</v>
      </c>
      <c r="Q64" s="171">
        <v>107587.4</v>
      </c>
      <c r="R64" s="238">
        <v>0</v>
      </c>
      <c r="S64" s="238">
        <v>0</v>
      </c>
      <c r="T64" s="171">
        <v>107587.4</v>
      </c>
      <c r="U64" s="238">
        <v>0</v>
      </c>
      <c r="V64" s="238">
        <v>0</v>
      </c>
      <c r="W64" s="171">
        <v>107587.4</v>
      </c>
      <c r="X64" s="238">
        <v>0</v>
      </c>
      <c r="Y64" s="238">
        <v>0</v>
      </c>
      <c r="Z64" s="280">
        <v>107587.4</v>
      </c>
    </row>
    <row r="65" spans="1:26">
      <c r="A65" s="54">
        <v>4</v>
      </c>
      <c r="B65" s="212" t="s">
        <v>131</v>
      </c>
      <c r="C65" s="328"/>
      <c r="D65" s="279">
        <v>34579.089999999997</v>
      </c>
      <c r="E65" s="216">
        <v>20000</v>
      </c>
      <c r="F65" s="215">
        <v>16</v>
      </c>
      <c r="G65" s="238">
        <v>0</v>
      </c>
      <c r="H65" s="238">
        <v>0</v>
      </c>
      <c r="I65" s="171">
        <v>34579.089999999997</v>
      </c>
      <c r="J65" s="238">
        <v>0</v>
      </c>
      <c r="K65" s="238">
        <v>0</v>
      </c>
      <c r="L65" s="171">
        <v>34579.089999999997</v>
      </c>
      <c r="M65" s="238">
        <v>0</v>
      </c>
      <c r="N65" s="238">
        <v>0</v>
      </c>
      <c r="O65" s="171">
        <v>34579.089999999997</v>
      </c>
      <c r="P65" s="238">
        <v>0</v>
      </c>
      <c r="Q65" s="238">
        <v>0</v>
      </c>
      <c r="R65" s="171">
        <v>34579.089999999997</v>
      </c>
      <c r="S65" s="238">
        <v>0</v>
      </c>
      <c r="T65" s="238">
        <v>0</v>
      </c>
      <c r="U65" s="171">
        <v>34579.089999999997</v>
      </c>
      <c r="V65" s="238">
        <v>0</v>
      </c>
      <c r="W65" s="238">
        <v>0</v>
      </c>
      <c r="X65" s="171">
        <v>34579.089999999997</v>
      </c>
      <c r="Y65" s="238">
        <v>0</v>
      </c>
      <c r="Z65" s="238">
        <v>0</v>
      </c>
    </row>
    <row r="66" spans="1:26">
      <c r="A66" s="54">
        <v>5</v>
      </c>
      <c r="B66" s="212" t="s">
        <v>132</v>
      </c>
      <c r="C66" s="328"/>
      <c r="D66" s="279">
        <v>9439.2900000000009</v>
      </c>
      <c r="E66" s="216">
        <v>20000</v>
      </c>
      <c r="F66" s="215">
        <v>1</v>
      </c>
      <c r="G66" s="238">
        <v>0</v>
      </c>
      <c r="H66" s="238">
        <v>0</v>
      </c>
      <c r="I66" s="171">
        <v>9439.2900000000009</v>
      </c>
      <c r="J66" s="238">
        <v>0</v>
      </c>
      <c r="K66" s="238">
        <v>0</v>
      </c>
      <c r="L66" s="171">
        <v>9439.2900000000009</v>
      </c>
      <c r="M66" s="238">
        <v>0</v>
      </c>
      <c r="N66" s="238">
        <v>0</v>
      </c>
      <c r="O66" s="171">
        <v>9439.2900000000009</v>
      </c>
      <c r="P66" s="238">
        <v>0</v>
      </c>
      <c r="Q66" s="238">
        <v>0</v>
      </c>
      <c r="R66" s="171">
        <v>9439.2900000000009</v>
      </c>
      <c r="S66" s="238">
        <v>0</v>
      </c>
      <c r="T66" s="238">
        <v>0</v>
      </c>
      <c r="U66" s="171">
        <v>9439.2900000000009</v>
      </c>
      <c r="V66" s="238">
        <v>0</v>
      </c>
      <c r="W66" s="238">
        <v>0</v>
      </c>
      <c r="X66" s="171">
        <v>9439.2900000000009</v>
      </c>
      <c r="Y66" s="238">
        <v>0</v>
      </c>
      <c r="Z66" s="238">
        <v>0</v>
      </c>
    </row>
    <row r="67" spans="1:26">
      <c r="A67" s="54">
        <v>6</v>
      </c>
      <c r="B67" s="212" t="s">
        <v>109</v>
      </c>
      <c r="C67" s="328"/>
      <c r="D67" s="279">
        <v>33592.959999999999</v>
      </c>
      <c r="E67" s="216">
        <v>25000</v>
      </c>
      <c r="F67" s="215">
        <v>1</v>
      </c>
      <c r="G67" s="238">
        <v>0</v>
      </c>
      <c r="H67" s="238">
        <v>0</v>
      </c>
      <c r="I67" s="238">
        <v>0</v>
      </c>
      <c r="J67" s="216">
        <v>33592.959999999999</v>
      </c>
      <c r="K67" s="238">
        <v>0</v>
      </c>
      <c r="L67" s="238">
        <v>0</v>
      </c>
      <c r="M67" s="238">
        <v>0</v>
      </c>
      <c r="N67" s="216">
        <v>33592.959999999999</v>
      </c>
      <c r="O67" s="238">
        <v>0</v>
      </c>
      <c r="P67" s="238">
        <v>0</v>
      </c>
      <c r="Q67" s="171">
        <v>2676370.06</v>
      </c>
      <c r="R67" s="238">
        <v>0</v>
      </c>
      <c r="S67" s="238">
        <v>0</v>
      </c>
      <c r="T67" s="238">
        <v>0</v>
      </c>
      <c r="U67" s="216">
        <v>33592.959999999999</v>
      </c>
      <c r="V67" s="238">
        <v>0</v>
      </c>
      <c r="W67" s="238">
        <v>0</v>
      </c>
      <c r="X67" s="216">
        <v>33592.959999999999</v>
      </c>
      <c r="Y67" s="238">
        <v>0</v>
      </c>
      <c r="Z67" s="238">
        <v>0</v>
      </c>
    </row>
    <row r="68" spans="1:26">
      <c r="A68" s="54">
        <v>7</v>
      </c>
      <c r="B68" s="212" t="s">
        <v>110</v>
      </c>
      <c r="C68" s="328"/>
      <c r="D68" s="279">
        <v>542755.97</v>
      </c>
      <c r="E68" s="216">
        <v>25000</v>
      </c>
      <c r="F68" s="215">
        <v>2</v>
      </c>
      <c r="G68" s="238">
        <v>0</v>
      </c>
      <c r="H68" s="238">
        <v>0</v>
      </c>
      <c r="I68" s="238">
        <v>0</v>
      </c>
      <c r="J68" s="216">
        <v>1085511.94</v>
      </c>
      <c r="K68" s="238">
        <v>0</v>
      </c>
      <c r="L68" s="238">
        <v>0</v>
      </c>
      <c r="M68" s="238">
        <v>0</v>
      </c>
      <c r="N68" s="216">
        <v>1085511.94</v>
      </c>
      <c r="O68" s="238">
        <v>0</v>
      </c>
      <c r="P68" s="238">
        <v>0</v>
      </c>
      <c r="Q68" s="171">
        <f>5867425.2*2</f>
        <v>11734850.4</v>
      </c>
      <c r="R68" s="238">
        <v>0</v>
      </c>
      <c r="S68" s="238">
        <v>0</v>
      </c>
      <c r="T68" s="238">
        <v>0</v>
      </c>
      <c r="U68" s="216">
        <v>1085511.94</v>
      </c>
      <c r="V68" s="238">
        <v>0</v>
      </c>
      <c r="W68" s="238">
        <v>0</v>
      </c>
      <c r="X68" s="216">
        <v>1085511.94</v>
      </c>
      <c r="Y68" s="238">
        <v>0</v>
      </c>
      <c r="Z68" s="238">
        <v>0</v>
      </c>
    </row>
    <row r="69" spans="1:26">
      <c r="A69" s="54">
        <v>8</v>
      </c>
      <c r="B69" s="212" t="s">
        <v>111</v>
      </c>
      <c r="C69" s="328"/>
      <c r="D69" s="279">
        <v>128694.84000000001</v>
      </c>
      <c r="E69" s="216">
        <v>25000</v>
      </c>
      <c r="F69" s="215">
        <v>1</v>
      </c>
      <c r="G69" s="238">
        <v>0</v>
      </c>
      <c r="H69" s="238">
        <v>0</v>
      </c>
      <c r="I69" s="238">
        <v>0</v>
      </c>
      <c r="J69" s="216">
        <v>128694.84000000001</v>
      </c>
      <c r="K69" s="238">
        <v>0</v>
      </c>
      <c r="L69" s="238">
        <v>0</v>
      </c>
      <c r="M69" s="238">
        <v>0</v>
      </c>
      <c r="N69" s="216">
        <v>128694.84000000001</v>
      </c>
      <c r="O69" s="238">
        <v>0</v>
      </c>
      <c r="P69" s="238">
        <v>0</v>
      </c>
      <c r="Q69" s="216">
        <v>128694.84000000001</v>
      </c>
      <c r="R69" s="238">
        <v>0</v>
      </c>
      <c r="S69" s="238">
        <v>0</v>
      </c>
      <c r="T69" s="238">
        <v>0</v>
      </c>
      <c r="U69" s="216">
        <v>128694.84000000001</v>
      </c>
      <c r="V69" s="238">
        <v>0</v>
      </c>
      <c r="W69" s="238">
        <v>0</v>
      </c>
      <c r="X69" s="216">
        <v>128694.84000000001</v>
      </c>
      <c r="Y69" s="238">
        <v>0</v>
      </c>
      <c r="Z69" s="238">
        <v>0</v>
      </c>
    </row>
    <row r="70" spans="1:26">
      <c r="A70" s="54">
        <v>9</v>
      </c>
      <c r="B70" s="212" t="s">
        <v>122</v>
      </c>
      <c r="C70" s="328"/>
      <c r="D70" s="279">
        <v>36095.040000000001</v>
      </c>
      <c r="E70" s="216">
        <v>20000</v>
      </c>
      <c r="F70" s="215">
        <v>4</v>
      </c>
      <c r="G70" s="238">
        <v>0</v>
      </c>
      <c r="H70" s="238">
        <v>0</v>
      </c>
      <c r="I70" s="171">
        <f>36095.04+H70</f>
        <v>36095.040000000001</v>
      </c>
      <c r="J70" s="238">
        <v>0</v>
      </c>
      <c r="K70" s="238">
        <v>0</v>
      </c>
      <c r="L70" s="238">
        <v>49683</v>
      </c>
      <c r="M70" s="238">
        <v>0</v>
      </c>
      <c r="N70" s="238">
        <v>0</v>
      </c>
      <c r="O70" s="171">
        <f t="shared" ref="O70" si="20">36095.04+N70</f>
        <v>36095.040000000001</v>
      </c>
      <c r="P70" s="238">
        <v>0</v>
      </c>
      <c r="Q70" s="238">
        <v>0</v>
      </c>
      <c r="R70" s="238">
        <v>49683</v>
      </c>
      <c r="S70" s="238">
        <v>0</v>
      </c>
      <c r="T70" s="238">
        <v>0</v>
      </c>
      <c r="U70" s="171">
        <f t="shared" ref="U70" si="21">36095.04+T70</f>
        <v>36095.040000000001</v>
      </c>
      <c r="V70" s="238">
        <v>0</v>
      </c>
      <c r="W70" s="238">
        <v>0</v>
      </c>
      <c r="X70" s="238">
        <v>49683</v>
      </c>
      <c r="Y70" s="238">
        <v>0</v>
      </c>
      <c r="Z70" s="238">
        <v>0</v>
      </c>
    </row>
    <row r="71" spans="1:26">
      <c r="A71" s="54">
        <v>10</v>
      </c>
      <c r="B71" s="212" t="s">
        <v>135</v>
      </c>
      <c r="C71" s="328"/>
      <c r="D71" s="279">
        <v>33889.120000000003</v>
      </c>
      <c r="E71" s="216">
        <v>25000</v>
      </c>
      <c r="F71" s="215">
        <v>2</v>
      </c>
      <c r="G71" s="238">
        <v>0</v>
      </c>
      <c r="H71" s="238">
        <v>0</v>
      </c>
      <c r="I71" s="238">
        <v>0</v>
      </c>
      <c r="J71" s="171">
        <v>33889.120000000003</v>
      </c>
      <c r="K71" s="238">
        <v>0</v>
      </c>
      <c r="L71" s="238">
        <v>0</v>
      </c>
      <c r="M71" s="238">
        <v>0</v>
      </c>
      <c r="N71" s="171">
        <v>33889.120000000003</v>
      </c>
      <c r="O71" s="238">
        <v>0</v>
      </c>
      <c r="P71" s="238">
        <v>0</v>
      </c>
      <c r="Q71" s="171">
        <v>33889.120000000003</v>
      </c>
      <c r="R71" s="238">
        <v>0</v>
      </c>
      <c r="S71" s="238">
        <v>0</v>
      </c>
      <c r="T71" s="238">
        <v>0</v>
      </c>
      <c r="U71" s="171">
        <v>33889.120000000003</v>
      </c>
      <c r="V71" s="238">
        <v>0</v>
      </c>
      <c r="W71" s="238">
        <v>0</v>
      </c>
      <c r="X71" s="171">
        <v>33889.120000000003</v>
      </c>
      <c r="Y71" s="238">
        <v>0</v>
      </c>
      <c r="Z71" s="238">
        <v>0</v>
      </c>
    </row>
    <row r="72" spans="1:26">
      <c r="A72" s="54">
        <v>11</v>
      </c>
      <c r="B72" s="212" t="s">
        <v>136</v>
      </c>
      <c r="C72" s="328"/>
      <c r="D72" s="279">
        <v>4198.2</v>
      </c>
      <c r="E72" s="216">
        <v>20000</v>
      </c>
      <c r="F72" s="215">
        <v>2</v>
      </c>
      <c r="G72" s="238">
        <v>0</v>
      </c>
      <c r="H72" s="238">
        <v>0</v>
      </c>
      <c r="I72" s="171">
        <v>4198.2</v>
      </c>
      <c r="J72" s="171">
        <v>0</v>
      </c>
      <c r="K72" s="238">
        <v>0</v>
      </c>
      <c r="L72" s="171">
        <v>4198.2</v>
      </c>
      <c r="M72" s="238">
        <v>0</v>
      </c>
      <c r="N72" s="171">
        <v>0</v>
      </c>
      <c r="O72" s="171">
        <v>4198.2</v>
      </c>
      <c r="P72" s="238">
        <v>0</v>
      </c>
      <c r="Q72" s="238">
        <v>0</v>
      </c>
      <c r="R72" s="171">
        <v>4198.2</v>
      </c>
      <c r="S72" s="238">
        <v>0</v>
      </c>
      <c r="T72" s="238">
        <v>0</v>
      </c>
      <c r="U72" s="171">
        <v>4198.2</v>
      </c>
      <c r="V72" s="171">
        <v>4198.2</v>
      </c>
      <c r="W72" s="238">
        <v>0</v>
      </c>
      <c r="X72" s="171">
        <v>4198.2</v>
      </c>
      <c r="Y72" s="238">
        <v>0</v>
      </c>
      <c r="Z72" s="280">
        <v>4198.2</v>
      </c>
    </row>
    <row r="73" spans="1:26">
      <c r="A73" s="54">
        <v>12</v>
      </c>
      <c r="B73" s="212" t="s">
        <v>124</v>
      </c>
      <c r="C73" s="328"/>
      <c r="D73" s="279">
        <v>76284.34</v>
      </c>
      <c r="E73" s="216">
        <v>20000</v>
      </c>
      <c r="F73" s="215">
        <v>1</v>
      </c>
      <c r="G73" s="238">
        <v>0</v>
      </c>
      <c r="H73" s="238">
        <v>0</v>
      </c>
      <c r="I73" s="238">
        <v>76284.34</v>
      </c>
      <c r="J73" s="171">
        <v>0</v>
      </c>
      <c r="K73" s="238">
        <v>0</v>
      </c>
      <c r="L73" s="238">
        <v>76284.34</v>
      </c>
      <c r="M73" s="238">
        <v>0</v>
      </c>
      <c r="N73" s="171">
        <v>0</v>
      </c>
      <c r="O73" s="238">
        <v>76284.34</v>
      </c>
      <c r="P73" s="238">
        <v>0</v>
      </c>
      <c r="Q73" s="238">
        <v>0</v>
      </c>
      <c r="R73" s="238">
        <v>76284.34</v>
      </c>
      <c r="S73" s="238">
        <v>0</v>
      </c>
      <c r="T73" s="238">
        <v>0</v>
      </c>
      <c r="U73" s="238">
        <v>76284.34</v>
      </c>
      <c r="V73" s="238">
        <v>0</v>
      </c>
      <c r="W73" s="238">
        <v>0</v>
      </c>
      <c r="X73" s="238">
        <v>76284.34</v>
      </c>
      <c r="Y73" s="238">
        <v>0</v>
      </c>
      <c r="Z73" s="242">
        <v>76284.34</v>
      </c>
    </row>
    <row r="74" spans="1:26">
      <c r="A74" s="54">
        <v>13</v>
      </c>
      <c r="B74" s="329" t="s">
        <v>125</v>
      </c>
      <c r="C74" s="330"/>
      <c r="D74" s="281">
        <v>49282.33</v>
      </c>
      <c r="E74" s="216">
        <v>20000</v>
      </c>
      <c r="F74" s="215">
        <v>1</v>
      </c>
      <c r="G74" s="238">
        <v>0</v>
      </c>
      <c r="H74" s="238">
        <v>0</v>
      </c>
      <c r="I74" s="238">
        <v>49282.33</v>
      </c>
      <c r="J74" s="171">
        <v>0</v>
      </c>
      <c r="K74" s="238">
        <v>0</v>
      </c>
      <c r="L74" s="238">
        <v>49282.33</v>
      </c>
      <c r="M74" s="238">
        <v>0</v>
      </c>
      <c r="N74" s="171">
        <v>0</v>
      </c>
      <c r="O74" s="238">
        <v>49282.33</v>
      </c>
      <c r="P74" s="238">
        <v>0</v>
      </c>
      <c r="Q74" s="238">
        <v>0</v>
      </c>
      <c r="R74" s="238">
        <v>49282.33</v>
      </c>
      <c r="S74" s="238">
        <v>0</v>
      </c>
      <c r="T74" s="238">
        <v>0</v>
      </c>
      <c r="U74" s="238">
        <v>49282.33</v>
      </c>
      <c r="V74" s="238">
        <v>0</v>
      </c>
      <c r="W74" s="238">
        <v>0</v>
      </c>
      <c r="X74" s="238">
        <v>49282.33</v>
      </c>
      <c r="Y74" s="238">
        <v>0</v>
      </c>
      <c r="Z74" s="242">
        <v>49282.33</v>
      </c>
    </row>
    <row r="75" spans="1:26">
      <c r="A75" s="54">
        <v>14</v>
      </c>
      <c r="B75" s="329" t="s">
        <v>126</v>
      </c>
      <c r="C75" s="330"/>
      <c r="D75" s="281">
        <v>504000</v>
      </c>
      <c r="E75" s="216">
        <v>20000</v>
      </c>
      <c r="F75" s="215">
        <v>1</v>
      </c>
      <c r="G75" s="238">
        <v>0</v>
      </c>
      <c r="H75" s="238">
        <v>0</v>
      </c>
      <c r="I75" s="238">
        <v>504000</v>
      </c>
      <c r="J75" s="171">
        <v>0</v>
      </c>
      <c r="K75" s="238">
        <v>0</v>
      </c>
      <c r="L75" s="238">
        <v>504000</v>
      </c>
      <c r="M75" s="238">
        <v>0</v>
      </c>
      <c r="N75" s="171">
        <v>0</v>
      </c>
      <c r="O75" s="238">
        <v>504000</v>
      </c>
      <c r="P75" s="238">
        <v>0</v>
      </c>
      <c r="Q75" s="238">
        <v>0</v>
      </c>
      <c r="R75" s="238">
        <v>504000</v>
      </c>
      <c r="S75" s="238">
        <v>0</v>
      </c>
      <c r="T75" s="238">
        <v>0</v>
      </c>
      <c r="U75" s="238">
        <v>504000</v>
      </c>
      <c r="V75" s="238">
        <v>0</v>
      </c>
      <c r="W75" s="238">
        <v>0</v>
      </c>
      <c r="X75" s="238">
        <v>504000</v>
      </c>
      <c r="Y75" s="238">
        <v>0</v>
      </c>
      <c r="Z75" s="242">
        <v>0</v>
      </c>
    </row>
    <row r="76" spans="1:26">
      <c r="A76" s="54">
        <v>15</v>
      </c>
      <c r="B76" s="329" t="s">
        <v>127</v>
      </c>
      <c r="C76" s="330"/>
      <c r="D76" s="281">
        <v>7872</v>
      </c>
      <c r="E76" s="216">
        <v>30000</v>
      </c>
      <c r="F76" s="215">
        <v>1</v>
      </c>
      <c r="G76" s="238">
        <v>0</v>
      </c>
      <c r="H76" s="238">
        <v>0</v>
      </c>
      <c r="I76" s="238">
        <v>0</v>
      </c>
      <c r="J76" s="238">
        <v>0</v>
      </c>
      <c r="K76" s="238">
        <v>7872</v>
      </c>
      <c r="L76" s="238">
        <v>0</v>
      </c>
      <c r="M76" s="238">
        <v>0</v>
      </c>
      <c r="N76" s="238">
        <v>0</v>
      </c>
      <c r="O76" s="238">
        <v>7872</v>
      </c>
      <c r="P76" s="238">
        <v>0</v>
      </c>
      <c r="Q76" s="238">
        <v>0</v>
      </c>
      <c r="R76" s="238">
        <v>0</v>
      </c>
      <c r="S76" s="238">
        <v>7872</v>
      </c>
      <c r="T76" s="238">
        <v>0</v>
      </c>
      <c r="U76" s="238">
        <v>0</v>
      </c>
      <c r="V76" s="238">
        <v>0</v>
      </c>
      <c r="W76" s="238">
        <v>0</v>
      </c>
      <c r="X76" s="238">
        <v>7872</v>
      </c>
      <c r="Y76" s="238">
        <v>0</v>
      </c>
      <c r="Z76" s="238">
        <v>0</v>
      </c>
    </row>
    <row r="77" spans="1:26">
      <c r="A77" s="54">
        <v>16</v>
      </c>
      <c r="B77" s="329" t="s">
        <v>128</v>
      </c>
      <c r="C77" s="330"/>
      <c r="D77" s="281">
        <v>69523.91</v>
      </c>
      <c r="E77" s="216">
        <v>20000</v>
      </c>
      <c r="F77" s="215">
        <v>1</v>
      </c>
      <c r="G77" s="238">
        <v>0</v>
      </c>
      <c r="H77" s="238">
        <v>0</v>
      </c>
      <c r="I77" s="238">
        <v>69523.91</v>
      </c>
      <c r="J77" s="238">
        <v>0</v>
      </c>
      <c r="K77" s="238">
        <v>0</v>
      </c>
      <c r="L77" s="238">
        <v>69523.91</v>
      </c>
      <c r="M77" s="238">
        <v>0</v>
      </c>
      <c r="N77" s="238">
        <v>0</v>
      </c>
      <c r="O77" s="238">
        <v>69523.91</v>
      </c>
      <c r="P77" s="238">
        <v>0</v>
      </c>
      <c r="Q77" s="238">
        <v>0</v>
      </c>
      <c r="R77" s="238">
        <v>69523.91</v>
      </c>
      <c r="S77" s="238">
        <v>0</v>
      </c>
      <c r="T77" s="238">
        <v>0</v>
      </c>
      <c r="U77" s="238">
        <v>69523.91</v>
      </c>
      <c r="V77" s="238">
        <v>0</v>
      </c>
      <c r="W77" s="238">
        <v>0</v>
      </c>
      <c r="X77" s="238">
        <v>69523.91</v>
      </c>
      <c r="Y77" s="238">
        <v>0</v>
      </c>
      <c r="Z77" s="238">
        <v>0</v>
      </c>
    </row>
    <row r="78" spans="1:26">
      <c r="A78" s="54">
        <v>17</v>
      </c>
      <c r="B78" s="329" t="s">
        <v>129</v>
      </c>
      <c r="C78" s="330"/>
      <c r="D78" s="281">
        <v>90492.93</v>
      </c>
      <c r="E78" s="216">
        <v>20000</v>
      </c>
      <c r="F78" s="215">
        <v>1</v>
      </c>
      <c r="G78" s="238">
        <v>0</v>
      </c>
      <c r="H78" s="238">
        <v>0</v>
      </c>
      <c r="I78" s="238">
        <v>90492.93</v>
      </c>
      <c r="J78" s="238">
        <v>0</v>
      </c>
      <c r="K78" s="238">
        <v>0</v>
      </c>
      <c r="L78" s="238">
        <v>90492.93</v>
      </c>
      <c r="M78" s="238">
        <v>0</v>
      </c>
      <c r="N78" s="238">
        <v>0</v>
      </c>
      <c r="O78" s="238">
        <v>90492.93</v>
      </c>
      <c r="P78" s="238">
        <v>0</v>
      </c>
      <c r="Q78" s="238">
        <v>0</v>
      </c>
      <c r="R78" s="238">
        <v>90492.93</v>
      </c>
      <c r="S78" s="238">
        <v>0</v>
      </c>
      <c r="T78" s="238">
        <v>0</v>
      </c>
      <c r="U78" s="238">
        <v>90492.93</v>
      </c>
      <c r="V78" s="238">
        <v>0</v>
      </c>
      <c r="W78" s="238">
        <v>0</v>
      </c>
      <c r="X78" s="238">
        <v>90492.93</v>
      </c>
      <c r="Y78" s="238">
        <v>0</v>
      </c>
      <c r="Z78" s="238">
        <v>0</v>
      </c>
    </row>
    <row r="79" spans="1:26">
      <c r="A79" s="54">
        <v>18</v>
      </c>
      <c r="B79" s="329" t="s">
        <v>133</v>
      </c>
      <c r="C79" s="330"/>
      <c r="D79" s="281">
        <v>47961.74</v>
      </c>
      <c r="E79" s="216">
        <v>15000</v>
      </c>
      <c r="F79" s="215">
        <v>1</v>
      </c>
      <c r="G79" s="238">
        <v>0</v>
      </c>
      <c r="H79" s="238">
        <v>0</v>
      </c>
      <c r="I79" s="238">
        <v>47961.74</v>
      </c>
      <c r="J79" s="238">
        <v>0</v>
      </c>
      <c r="K79" s="238">
        <v>47961.74</v>
      </c>
      <c r="L79" s="238">
        <v>0</v>
      </c>
      <c r="M79" s="238">
        <v>47961.74</v>
      </c>
      <c r="N79" s="238">
        <v>0</v>
      </c>
      <c r="O79" s="238">
        <v>47961.74</v>
      </c>
      <c r="P79" s="238">
        <v>0</v>
      </c>
      <c r="Q79" s="238">
        <v>47961.74</v>
      </c>
      <c r="R79" s="238">
        <v>0</v>
      </c>
      <c r="S79" s="238">
        <v>47961.74</v>
      </c>
      <c r="T79" s="238">
        <v>0</v>
      </c>
      <c r="U79" s="238">
        <v>0</v>
      </c>
      <c r="V79" s="238">
        <v>47961.74</v>
      </c>
      <c r="W79" s="238">
        <v>0</v>
      </c>
      <c r="X79" s="238">
        <v>47961.74</v>
      </c>
      <c r="Y79" s="238">
        <v>0</v>
      </c>
      <c r="Z79" s="238">
        <v>0</v>
      </c>
    </row>
    <row r="80" spans="1:26">
      <c r="A80" s="54">
        <v>19</v>
      </c>
      <c r="B80" s="329" t="s">
        <v>134</v>
      </c>
      <c r="C80" s="330"/>
      <c r="D80" s="281">
        <v>47961.74</v>
      </c>
      <c r="E80" s="216">
        <v>25000</v>
      </c>
      <c r="F80" s="215">
        <v>2</v>
      </c>
      <c r="G80" s="238">
        <v>0</v>
      </c>
      <c r="H80" s="238">
        <v>0</v>
      </c>
      <c r="I80" s="238">
        <v>0</v>
      </c>
      <c r="J80" s="238">
        <v>47961.74</v>
      </c>
      <c r="K80" s="238">
        <v>0</v>
      </c>
      <c r="L80" s="238">
        <v>0</v>
      </c>
      <c r="M80" s="238">
        <v>0</v>
      </c>
      <c r="N80" s="238">
        <v>47961.74</v>
      </c>
      <c r="O80" s="238">
        <v>0</v>
      </c>
      <c r="P80" s="238">
        <v>0</v>
      </c>
      <c r="Q80" s="238">
        <v>47961.74</v>
      </c>
      <c r="R80" s="238">
        <v>0</v>
      </c>
      <c r="S80" s="238">
        <v>0</v>
      </c>
      <c r="T80" s="238">
        <v>0</v>
      </c>
      <c r="U80" s="238">
        <v>47961.74</v>
      </c>
      <c r="V80" s="238">
        <v>0</v>
      </c>
      <c r="W80" s="238">
        <v>0</v>
      </c>
      <c r="X80" s="238">
        <v>47961.74</v>
      </c>
      <c r="Y80" s="238">
        <v>0</v>
      </c>
      <c r="Z80" s="238">
        <v>0</v>
      </c>
    </row>
    <row r="81" spans="1:28" ht="15" thickBot="1">
      <c r="A81" s="54">
        <v>20</v>
      </c>
      <c r="B81" s="221" t="s">
        <v>137</v>
      </c>
      <c r="C81" s="331"/>
      <c r="D81" s="282">
        <v>44023</v>
      </c>
      <c r="E81" s="225">
        <v>10000</v>
      </c>
      <c r="F81" s="224">
        <v>1</v>
      </c>
      <c r="G81" s="250">
        <v>0</v>
      </c>
      <c r="H81" s="249">
        <v>44023</v>
      </c>
      <c r="I81" s="249">
        <v>44023</v>
      </c>
      <c r="J81" s="250">
        <v>0</v>
      </c>
      <c r="K81" s="249">
        <v>44023</v>
      </c>
      <c r="L81" s="249">
        <v>44023</v>
      </c>
      <c r="M81" s="250">
        <v>0</v>
      </c>
      <c r="N81" s="249">
        <v>44023</v>
      </c>
      <c r="O81" s="249">
        <v>44023</v>
      </c>
      <c r="P81" s="249">
        <v>44023</v>
      </c>
      <c r="Q81" s="250">
        <v>0</v>
      </c>
      <c r="R81" s="249">
        <v>44023</v>
      </c>
      <c r="S81" s="249">
        <v>44023</v>
      </c>
      <c r="T81" s="238">
        <v>0</v>
      </c>
      <c r="U81" s="249">
        <v>44023</v>
      </c>
      <c r="V81" s="249">
        <v>44023</v>
      </c>
      <c r="W81" s="238">
        <v>0</v>
      </c>
      <c r="X81" s="249">
        <v>44023</v>
      </c>
      <c r="Y81" s="249">
        <v>44023</v>
      </c>
      <c r="Z81" s="238">
        <v>0</v>
      </c>
    </row>
    <row r="82" spans="1:28">
      <c r="AA82" s="110"/>
      <c r="AB82" s="110"/>
    </row>
    <row r="83" spans="1:28">
      <c r="AA83" s="110"/>
      <c r="AB83" s="110"/>
    </row>
  </sheetData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1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Данные-самосвал NHL NTE240</vt:lpstr>
      <vt:lpstr>ТО</vt:lpstr>
      <vt:lpstr>Ремонты</vt:lpstr>
      <vt:lpstr>'Данные-самосвал NHL NTE240'!Область_печати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1642590</cp:lastModifiedBy>
  <cp:lastPrinted>2026-07-22T11:25:36Z</cp:lastPrinted>
  <dcterms:created xsi:type="dcterms:W3CDTF">2015-08-04T10:07:23Z</dcterms:created>
  <dcterms:modified xsi:type="dcterms:W3CDTF">2026-07-27T13:28:30Z</dcterms:modified>
</cp:coreProperties>
</file>