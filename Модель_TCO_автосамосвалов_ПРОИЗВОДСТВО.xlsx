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Поставщик 6" sheetId="10" state="visible" r:id="rId10"/>
    <sheet name="Данные по годам" sheetId="11" state="visible" r:id="rId11"/>
    <sheet name="Производительность" sheetId="12" state="visible" r:id="rId12"/>
    <sheet name="Денежный поток" sheetId="13" state="visible" r:id="rId13"/>
    <sheet name="Расчёт аннуитета" sheetId="14" state="visible" r:id="rId14"/>
    <sheet name="Сравнение" sheetId="15" state="visible" r:id="rId15"/>
    <sheet name="Аналитика" sheetId="16" state="visible" r:id="rId16"/>
    <sheet name="Чувствительность" sheetId="17" state="visible" r:id="rId17"/>
    <sheet name="Справочник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4" fontId="1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4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руб/ткм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'Сравнение'!$D$12:$I$12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руб/ткм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поток'!$E$28:$N$28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поток'!$E$50:$N$50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поток'!$E$72:$N$72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поток'!$E$94:$N$94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поток'!$E$116:$N$116</f>
            </numRef>
          </val>
        </ser>
        <ser>
          <idx val="5"/>
          <order val="5"/>
          <tx>
            <strRef>
              <f>'Ввод данных'!I$7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поток'!$E$138:$N$138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руб/ткм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'Сравнение'!$D$22:$I$22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'Сравнение'!$D$23:$I$23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'Сравнение'!$D$24:$I$24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'Сравнение'!$D$25:$I$25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'Сравнение'!$D$26:$I$26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'Сравнение'!$D$27:$I$27</f>
            </numRef>
          </val>
        </ser>
        <ser>
          <idx val="6"/>
          <order val="6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'Сравнение'!$D$28:$I$28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руб/ткм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'Сравнение'!$D$12:$I$12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самосвала,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'Сравнение'!$D$5:$I$5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'Аналитика'!$D$7:$I$7</f>
            </numRef>
          </xVal>
          <yVal>
            <numRef>
              <f>'Аналитика'!$D$9:$I$9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грузооборот, тыс.ткм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руб/ткм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'Аналитика'!$D$24:$I$24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'Аналитика'!$D$25:$I$25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'Аналитика'!$D$26:$I$26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руб/ткм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'Чувствительность'!$B$22:$B$26</f>
            </numRef>
          </cat>
          <val>
            <numRef>
              <f>'Чувствительность'!$I$22:$I$26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'Чувствительность'!$B$22:$B$26</f>
            </numRef>
          </cat>
          <val>
            <numRef>
              <f>'Чувствительность'!$J$22:$J$26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(РУБ/ТКМ) НА ВЛАДЕНИЕ АВТОСАМОСВАЛАМИ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карьерных автосамосвалов одного класса по удельному аннуитету затрат (руб/ткм грузооборота, а также руб/т перевезённой массы) за полный срок эксплуатации. Метрика корректно сопоставляет самосвалы с разной ценой, грузоподъёмностью и производительностью. Лучший вариант — минимум руб/ткм.</t>
        </is>
      </c>
    </row>
    <row r="6">
      <c r="B6" s="4" t="n"/>
      <c r="C6" s="5" t="inlineStr">
        <is>
          <t>2. ПРОИЗВОДИТЕЛЬНОСТЬ (транспортный цикл из файла «Производительность»)</t>
        </is>
      </c>
    </row>
    <row r="7" ht="70" customHeight="1">
      <c r="C7" s="6" t="inlineStr">
        <is>
          <t>Время рейса = (подход + погрузка + разгрузка + прочее) + время движения; время движения = 2 × плечо / скорость × 60 (гружёный + порожний ход). Рейсов/час = 60 / время рейса. Часовая производительность (т/эфф.час) = рейсов/час × грузоподъёмность × КИГ. КИО = КТГ × (1 − простои_смены/(60 × смена)); эффективное время = КФВ × КИО. Годовой объём (тыс.т) = часовая × эффективное время; грузооборот (тыс.ткм) = объём × плечо; пробег = рейсы × 2 × плечо.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топливо (грузооборот × г/ткм × цена), ТОиР и сервис (задаются ПО ГОДАМ на листах «Поставщик N» — ТО, текущие и капитальные ремонты; годы капремонтов дают всплеск затрат), шины (пробег × удельный расход × цена), персонал, транспортный налог.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(руб/ткм) = общий аннуитет / средний годовой грузооборот; руб/т = руб/ткм × плечо.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грузоподъёмность, мощность двигателя, персонал) → листы «Поставщик 1…6»: по каждой машине задаются КТГ, простои и затраты ТОиР по годам — КТГ и ИТОГО ТОиР считаются автоматически.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«Аналитика», «Чувствительность». Правки — в листах «Поставщик N» и «Ввод данных».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Самосвалы сравниваются в одном классе и одной задаче; разница в производительности учтена через руб/ткм и руб/т.</t>
        </is>
      </c>
    </row>
    <row r="16">
      <c r="C16" s="6" t="inlineStr">
        <is>
          <t>• Данные примера — «в расчёте» из корпоративного файла 000_БСЛ-2027. Автосамосвалы (карьер «Сухой Лог»), горизонт 10 лет.</t>
        </is>
      </c>
    </row>
    <row r="17">
      <c r="C17" s="6" t="inlineStr">
        <is>
          <t>• Цена самосвалов в файле поставщика не указана — подставлена ОЦЕНКА, требует уточнения (жёлтые ячейки «Ввод данных»).</t>
        </is>
      </c>
    </row>
    <row r="18" ht="30" customHeight="1">
      <c r="C18" s="6" t="inlineStr">
        <is>
          <t>• Расход топлива (г/ткм), шины и КИГ — общие параметры; уточняются по данным поставщика/факту эксплуатации.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АВТОСАМОСВАЛОВ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ВЕРСИЯ «ДАННЫЕ ПРОИЗВОДСТВА» (паспорт завода: срок 8–20 лет, факт. КТГ, дифф. ТОиР). Ключевые показатели и графики;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руб/ткм</t>
        </is>
      </c>
      <c r="D5" s="11" t="inlineStr">
        <is>
          <t>Мин. NPV владения, тыс.руб</t>
        </is>
      </c>
      <c r="E5" s="11" t="inlineStr">
        <is>
          <t>Разброс аннуитета, руб/ткм</t>
        </is>
      </c>
    </row>
    <row r="6">
      <c r="B6" s="12" t="str">
        <f>INDEX('Ввод данных'!D7:I7,MATCH(MIN('Расчёт аннуитета'!D26:I26),'Расчёт аннуитета'!D26:I26,0))</f>
        <v>NHL NTE 240</v>
      </c>
      <c r="C6" s="13">
        <f>MIN('Расчёт аннуитета'!D26:I26)</f>
        <v>10.495817862907689</v>
      </c>
      <c r="D6" s="14">
        <f>MIN('Расчёт аннуитета'!D14:I14)</f>
        <v>813813.9788608504</v>
      </c>
      <c r="E6" s="13">
        <f>MAX('Расчёт аннуитета'!D26:I26)-MIN('Расчёт аннуитета'!D26:I26)</f>
        <v>4.777153972791577</v>
      </c>
    </row>
    <row r="8">
      <c r="B8" s="5" t="inlineStr">
        <is>
          <t>РЕЙТИНГ ПО УДЕЛЬНОМУ АННУИТЕТУ (руб/ткм)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Автосамосвал</t>
        </is>
      </c>
      <c r="D9" s="16" t="n"/>
      <c r="E9" s="16" t="n"/>
      <c r="F9" s="17" t="n"/>
      <c r="G9" s="15" t="inlineStr">
        <is>
          <t>руб/ткм</t>
        </is>
      </c>
      <c r="H9" s="17" t="n"/>
      <c r="I9" s="15" t="inlineStr">
        <is>
          <t>руб/т</t>
        </is>
      </c>
    </row>
    <row r="10">
      <c r="B10" s="18" t="n">
        <v>1</v>
      </c>
      <c r="C10" s="19" t="str">
        <f>INDEX('Ввод данных'!D7:I7,MATCH(SMALL('Расчёт аннуитета'!D26:I26,1),'Расчёт аннуитета'!D26:I26,0))</f>
        <v>NHL NTE 240</v>
      </c>
      <c r="G10" s="20">
        <f>SMALL('Расчёт аннуитета'!D26:I26,1)</f>
        <v>10.495817862907689</v>
      </c>
      <c r="I10" s="21">
        <f>INDEX('Расчёт аннуитета'!$D$28:$I$28,MATCH(SMALL('Расчёт аннуитета'!D26:I26,1),'Расчёт аннуитета'!D26:I26,0))</f>
        <v>50.41141319554563</v>
      </c>
    </row>
    <row r="11">
      <c r="B11" s="18" t="n">
        <v>2</v>
      </c>
      <c r="C11" s="22" t="str">
        <f>INDEX('Ввод данных'!D7:I7,MATCH(SMALL('Расчёт аннуитета'!D26:I26,2),'Расчёт аннуитета'!D26:I26,0))</f>
        <v>SANY SET240S</v>
      </c>
      <c r="G11" s="21">
        <f>SMALL('Расчёт аннуитета'!D26:I26,2)</f>
        <v>11.980933867821392</v>
      </c>
      <c r="I11" s="21">
        <f>INDEX('Расчёт аннуитета'!$D$28:$I$28,MATCH(SMALL('Расчёт аннуитета'!D26:I26,2),'Расчёт аннуитета'!D26:I26,0))</f>
        <v>52.59629967973591</v>
      </c>
    </row>
    <row r="12">
      <c r="B12" s="18" t="n">
        <v>3</v>
      </c>
      <c r="C12" s="22" t="str">
        <f>INDEX('Ввод данных'!D7:I7,MATCH(SMALL('Расчёт аннуитета'!D26:I26,3),'Расчёт аннуитета'!D26:I26,0))</f>
        <v>БелАЗ 7531
(ГПФК)</v>
      </c>
      <c r="G12" s="21">
        <f>SMALL('Расчёт аннуитета'!D26:I26,3)</f>
        <v>12.352307918893732</v>
      </c>
      <c r="I12" s="21">
        <f>INDEX('Расчёт аннуитета'!$D$28:$I$28,MATCH(SMALL('Расчёт аннуитета'!D26:I26,3),'Расчёт аннуитета'!D26:I26,0))</f>
        <v>52.54671788697393</v>
      </c>
    </row>
    <row r="13">
      <c r="B13" s="18" t="n">
        <v>4</v>
      </c>
      <c r="C13" s="22" t="str">
        <f>INDEX('Ввод данных'!D7:I7,MATCH(SMALL('Расчёт аннуитета'!D26:I26,4),'Расчёт аннуитета'!D26:I26,0))</f>
        <v>БелАЗ 7531
(БТЛ)</v>
      </c>
      <c r="G13" s="21">
        <f>SMALL('Расчёт аннуитета'!D26:I26,4)</f>
        <v>12.366911201251082</v>
      </c>
      <c r="I13" s="21">
        <f>INDEX('Расчёт аннуитета'!$D$28:$I$28,MATCH(SMALL('Расчёт аннуитета'!D26:I26,4),'Расчёт аннуитета'!D26:I26,0))</f>
        <v>52.60884025012209</v>
      </c>
    </row>
    <row r="14">
      <c r="B14" s="18" t="n">
        <v>5</v>
      </c>
      <c r="C14" s="22" t="str">
        <f>INDEX('Ввод данных'!D7:I7,MATCH(SMALL('Расчёт аннуитета'!D26:I26,5),'Расчёт аннуитета'!D26:I26,0))</f>
        <v>TZCO TZE240</v>
      </c>
      <c r="G14" s="21">
        <f>SMALL('Расчёт аннуитета'!D26:I26,5)</f>
        <v>15.220257618009487</v>
      </c>
      <c r="I14" s="21">
        <f>INDEX('Расчёт аннуитета'!$D$28:$I$28,MATCH(SMALL('Расчёт аннуитета'!D26:I26,5),'Расчёт аннуитета'!D26:I26,0))</f>
        <v>61.99210927815265</v>
      </c>
    </row>
    <row r="15">
      <c r="B15" s="18" t="n">
        <v>6</v>
      </c>
      <c r="C15" s="22" t="str">
        <f>INDEX('Ввод данных'!D7:I7,MATCH(SMALL('Расчёт аннуитета'!D26:I26,6),'Расчёт аннуитета'!D26:I26,0))</f>
        <v>Estar ESDE240
(ГПБ К)</v>
      </c>
      <c r="G15" s="21">
        <f>SMALL('Расчёт аннуитета'!D26:I26,6)</f>
        <v>15.272971835699266</v>
      </c>
      <c r="I15" s="21">
        <f>INDEX('Расчёт аннуитета'!$D$28:$I$28,MATCH(SMALL('Расчёт аннуитета'!D26:I26,6),'Расчёт аннуитета'!D26:I26,0))</f>
        <v>64.95594921722898</v>
      </c>
    </row>
  </sheetData>
  <mergeCells count="18">
    <mergeCell ref="C13:F13"/>
    <mergeCell ref="C9:F9"/>
    <mergeCell ref="G12:H12"/>
    <mergeCell ref="B1:N1"/>
    <mergeCell ref="C14:F14"/>
    <mergeCell ref="G15:H15"/>
    <mergeCell ref="G10:H10"/>
    <mergeCell ref="G11:H11"/>
    <mergeCell ref="C12:F12"/>
    <mergeCell ref="B8:J8"/>
    <mergeCell ref="G14:H14"/>
    <mergeCell ref="B4:J4"/>
    <mergeCell ref="C11:F11"/>
    <mergeCell ref="C10:F10"/>
    <mergeCell ref="G9:H9"/>
    <mergeCell ref="C15:F15"/>
    <mergeCell ref="B2:N2"/>
    <mergeCell ref="G13:H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3" customWidth="1" min="3" max="3"/>
    <col width="12" customWidth="1" min="4" max="4"/>
    <col width="54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5.083</v>
      </c>
      <c r="D9" s="24" t="inlineStr">
        <is>
          <t>лет</t>
        </is>
      </c>
      <c r="E9" s="25" t="inlineStr">
        <is>
          <t>Линейная; 61 мес ≈ 5,08 года</t>
        </is>
      </c>
    </row>
    <row r="10">
      <c r="B10" s="22" t="inlineStr">
        <is>
          <t>Цена дизельного топлива</t>
        </is>
      </c>
      <c r="C10" s="28" t="n">
        <v>66.01900000000001</v>
      </c>
      <c r="D10" s="24" t="inlineStr">
        <is>
          <t>тыс.руб/т</t>
        </is>
      </c>
      <c r="E10" s="25" t="inlineStr">
        <is>
          <t>СЛ 2025: 1 274 749,9 тыс.руб / 19 308,86 т</t>
        </is>
      </c>
    </row>
    <row r="12">
      <c r="B12" s="5" t="inlineStr">
        <is>
          <t>Эскалация цен (реальный/номинальный рост)</t>
        </is>
      </c>
      <c r="C12" s="4" t="n"/>
      <c r="D12" s="4" t="n"/>
      <c r="E12" s="4" t="n"/>
    </row>
    <row r="13">
      <c r="B13" s="15" t="inlineStr">
        <is>
          <t>Параметр</t>
        </is>
      </c>
      <c r="C13" s="15" t="inlineStr">
        <is>
          <t>Значение</t>
        </is>
      </c>
      <c r="D13" s="15" t="inlineStr">
        <is>
          <t>Ед.</t>
        </is>
      </c>
      <c r="E13" s="15" t="inlineStr">
        <is>
          <t>Комментарий</t>
        </is>
      </c>
    </row>
    <row r="14">
      <c r="B14" s="22" t="inlineStr">
        <is>
          <t>Эскалация цены топлива</t>
        </is>
      </c>
      <c r="C14" s="23" t="n">
        <v>0</v>
      </c>
      <c r="D14" s="24" t="inlineStr">
        <is>
          <t>%/год</t>
        </is>
      </c>
      <c r="E14" s="25" t="inlineStr">
        <is>
          <t>0 = данные уже с учётом инфляции</t>
        </is>
      </c>
    </row>
    <row r="15">
      <c r="B15" s="22" t="inlineStr">
        <is>
          <t>Эскалация ЗЧ/шин/расходников</t>
        </is>
      </c>
      <c r="C15" s="23" t="n">
        <v>0</v>
      </c>
      <c r="D15" s="24" t="inlineStr">
        <is>
          <t>%/год</t>
        </is>
      </c>
      <c r="E15" s="25" t="inlineStr">
        <is>
          <t>ТОиР задаётся по годам напрямую</t>
        </is>
      </c>
    </row>
    <row r="16">
      <c r="B16" s="22" t="inlineStr">
        <is>
          <t>Эскалация оплаты труда</t>
        </is>
      </c>
      <c r="C16" s="23" t="n">
        <v>0</v>
      </c>
      <c r="D16" s="24" t="inlineStr">
        <is>
          <t>%/год</t>
        </is>
      </c>
      <c r="E16" s="25" t="inlineStr">
        <is>
          <t>Рост ФОТ экипажей</t>
        </is>
      </c>
    </row>
    <row r="18">
      <c r="B18" s="5" t="inlineStr">
        <is>
          <t>Курсы валют</t>
        </is>
      </c>
      <c r="C18" s="4" t="n"/>
      <c r="D18" s="4" t="n"/>
      <c r="E18" s="4" t="n"/>
    </row>
    <row r="19">
      <c r="B19" s="15" t="inlineStr">
        <is>
          <t>Параметр</t>
        </is>
      </c>
      <c r="C19" s="15" t="inlineStr">
        <is>
          <t>Значение</t>
        </is>
      </c>
      <c r="D19" s="15" t="inlineStr">
        <is>
          <t>Ед.</t>
        </is>
      </c>
      <c r="E19" s="15" t="inlineStr">
        <is>
          <t>Комментарий</t>
        </is>
      </c>
    </row>
    <row r="20">
      <c r="B20" s="22" t="inlineStr">
        <is>
          <t>Курс юаня (CNY)</t>
        </is>
      </c>
      <c r="C20" s="28" t="n">
        <v>12.7702</v>
      </c>
      <c r="D20" s="24" t="inlineStr">
        <is>
          <t>руб</t>
        </is>
      </c>
      <c r="E20" s="25" t="inlineStr">
        <is>
          <t>Для оборудования из Китая</t>
        </is>
      </c>
    </row>
    <row r="21">
      <c r="B21" s="22" t="inlineStr">
        <is>
          <t>Курс доллара (USD)</t>
        </is>
      </c>
      <c r="C21" s="28" t="n">
        <v>94.0485</v>
      </c>
      <c r="D21" s="24" t="inlineStr">
        <is>
          <t>руб</t>
        </is>
      </c>
      <c r="E21" s="25" t="inlineStr"/>
    </row>
    <row r="22">
      <c r="B22" s="22" t="inlineStr">
        <is>
          <t>Курс евро (EUR)</t>
        </is>
      </c>
      <c r="C22" s="28" t="n">
        <v>100</v>
      </c>
      <c r="D22" s="24" t="inlineStr">
        <is>
          <t>руб</t>
        </is>
      </c>
      <c r="E22" s="25" t="inlineStr"/>
    </row>
    <row r="24">
      <c r="B24" s="5" t="inlineStr">
        <is>
          <t>Параметры производительности (транспортный цикл)</t>
        </is>
      </c>
      <c r="C24" s="4" t="n"/>
      <c r="D24" s="4" t="n"/>
      <c r="E24" s="4" t="n"/>
    </row>
    <row r="25">
      <c r="B25" s="15" t="inlineStr">
        <is>
          <t>Параметр</t>
        </is>
      </c>
      <c r="C25" s="15" t="inlineStr">
        <is>
          <t>Значение</t>
        </is>
      </c>
      <c r="D25" s="15" t="inlineStr">
        <is>
          <t>Ед.</t>
        </is>
      </c>
      <c r="E25" s="15" t="inlineStr">
        <is>
          <t>Комментарий</t>
        </is>
      </c>
    </row>
    <row r="26">
      <c r="B26" s="22" t="inlineStr">
        <is>
          <t>Календарный фонд времени</t>
        </is>
      </c>
      <c r="C26" s="26" t="n">
        <v>8760</v>
      </c>
      <c r="D26" s="24" t="inlineStr">
        <is>
          <t>час/год</t>
        </is>
      </c>
      <c r="E26" s="25" t="inlineStr">
        <is>
          <t>24 ч × 365 дн</t>
        </is>
      </c>
    </row>
    <row r="27">
      <c r="B27" s="22" t="inlineStr">
        <is>
          <t>Длительность смены</t>
        </is>
      </c>
      <c r="C27" s="26" t="n">
        <v>12</v>
      </c>
      <c r="D27" s="24" t="inlineStr">
        <is>
          <t>час</t>
        </is>
      </c>
      <c r="E27" s="25" t="inlineStr">
        <is>
          <t>Для пересчёта простоев</t>
        </is>
      </c>
    </row>
    <row r="28">
      <c r="B28" s="22" t="inlineStr">
        <is>
          <t>Расстояние транспортировки (плечо)</t>
        </is>
      </c>
      <c r="C28" s="28" t="n">
        <v>3.0396</v>
      </c>
      <c r="D28" s="24" t="inlineStr">
        <is>
          <t>км</t>
        </is>
      </c>
      <c r="E28" s="25" t="inlineStr">
        <is>
          <t>Среднее плечо откатки (гружёный ход)</t>
        </is>
      </c>
    </row>
    <row r="29">
      <c r="B29" s="22" t="inlineStr">
        <is>
          <t>Средняя техническая скорость</t>
        </is>
      </c>
      <c r="C29" s="27" t="n">
        <v>22.46</v>
      </c>
      <c r="D29" s="24" t="inlineStr">
        <is>
          <t>км/час</t>
        </is>
      </c>
      <c r="E29" s="25" t="inlineStr">
        <is>
          <t>С учётом профиля трассы</t>
        </is>
      </c>
    </row>
    <row r="30">
      <c r="B30" s="22" t="inlineStr">
        <is>
          <t>КИГ (использование грузоподъёмности)</t>
        </is>
      </c>
      <c r="C30" s="28" t="n">
        <v>0.9837</v>
      </c>
      <c r="D30" s="24" t="inlineStr">
        <is>
          <t>коэф.</t>
        </is>
      </c>
      <c r="E30" s="25" t="inlineStr">
        <is>
          <t>Доля номинальной грузоподъёмности (факт NTE)</t>
        </is>
      </c>
    </row>
    <row r="31">
      <c r="B31" s="22" t="inlineStr">
        <is>
          <t>Фикс. время рейса (подход+погр+разгр+прочее)</t>
        </is>
      </c>
      <c r="C31" s="29" t="n">
        <v>8.4</v>
      </c>
      <c r="D31" s="24" t="inlineStr">
        <is>
          <t>мин</t>
        </is>
      </c>
      <c r="E31" s="25" t="inlineStr">
        <is>
          <t>Подход/погрузка/разгрузка 7,9 + прочие 0,5</t>
        </is>
      </c>
    </row>
    <row r="32">
      <c r="B32" s="22" t="inlineStr">
        <is>
          <t>Удельный расход топлива</t>
        </is>
      </c>
      <c r="C32" s="26" t="n">
        <v>78.40000000000001</v>
      </c>
      <c r="D32" s="24" t="inlineStr">
        <is>
          <t>г/ткм</t>
        </is>
      </c>
      <c r="E32" s="25" t="inlineStr">
        <is>
          <t>На тонно-километр грузооборота</t>
        </is>
      </c>
    </row>
    <row r="34">
      <c r="B34" s="5" t="inlineStr">
        <is>
          <t>Шины</t>
        </is>
      </c>
      <c r="C34" s="4" t="n"/>
      <c r="D34" s="4" t="n"/>
      <c r="E34" s="4" t="n"/>
    </row>
    <row r="35">
      <c r="B35" s="15" t="inlineStr">
        <is>
          <t>Параметр</t>
        </is>
      </c>
      <c r="C35" s="15" t="inlineStr">
        <is>
          <t>Значение</t>
        </is>
      </c>
      <c r="D35" s="15" t="inlineStr">
        <is>
          <t>Ед.</t>
        </is>
      </c>
      <c r="E35" s="15" t="inlineStr">
        <is>
          <t>Комментарий</t>
        </is>
      </c>
    </row>
    <row r="36">
      <c r="B36" s="22" t="inlineStr">
        <is>
          <t>Удельный расход шин</t>
        </is>
      </c>
      <c r="C36" s="28" t="n">
        <v>0.0563</v>
      </c>
      <c r="D36" s="24" t="inlineStr">
        <is>
          <t>шт./тыс.км</t>
        </is>
      </c>
      <c r="E36" s="25" t="inlineStr">
        <is>
          <t>Комплект/износ на пробег</t>
        </is>
      </c>
    </row>
    <row r="37">
      <c r="B37" s="22" t="inlineStr">
        <is>
          <t>Цена шины</t>
        </is>
      </c>
      <c r="C37" s="27" t="n">
        <v>2985.38</v>
      </c>
      <c r="D37" s="24" t="inlineStr">
        <is>
          <t>тыс.руб/шт</t>
        </is>
      </c>
      <c r="E37" s="25" t="inlineStr">
        <is>
          <t>DDP, без НДС (типоразмер 50/80R57 и аналоги)</t>
        </is>
      </c>
    </row>
    <row r="39">
      <c r="B39" s="5" t="inlineStr">
        <is>
          <t>Транспортный налог и персонал</t>
        </is>
      </c>
      <c r="C39" s="4" t="n"/>
      <c r="D39" s="4" t="n"/>
      <c r="E39" s="4" t="n"/>
    </row>
    <row r="40">
      <c r="B40" s="15" t="inlineStr">
        <is>
          <t>Параметр</t>
        </is>
      </c>
      <c r="C40" s="15" t="inlineStr">
        <is>
          <t>Значение</t>
        </is>
      </c>
      <c r="D40" s="15" t="inlineStr">
        <is>
          <t>Ед.</t>
        </is>
      </c>
      <c r="E40" s="15" t="inlineStr">
        <is>
          <t>Комментарий</t>
        </is>
      </c>
    </row>
    <row r="41">
      <c r="B41" s="22" t="inlineStr">
        <is>
          <t>Ставка транспортного налога</t>
        </is>
      </c>
      <c r="C41" s="26" t="n">
        <v>85</v>
      </c>
      <c r="D41" s="24" t="inlineStr">
        <is>
          <t>руб/л.с.</t>
        </is>
      </c>
      <c r="E41" s="25" t="inlineStr">
        <is>
          <t>Иркутская область</t>
        </is>
      </c>
    </row>
    <row r="43">
      <c r="B43" s="5" t="inlineStr">
        <is>
          <t>Расчётные финансовые коэффициенты</t>
        </is>
      </c>
      <c r="C43" s="4" t="n"/>
      <c r="D43" s="4" t="n"/>
      <c r="E43" s="4" t="n"/>
    </row>
    <row r="44">
      <c r="B44" s="15" t="inlineStr">
        <is>
          <t>Параметр</t>
        </is>
      </c>
      <c r="C44" s="15" t="inlineStr">
        <is>
          <t>Значение</t>
        </is>
      </c>
      <c r="D44" s="15" t="inlineStr">
        <is>
          <t>Ед.</t>
        </is>
      </c>
      <c r="E44" s="15" t="inlineStr">
        <is>
          <t>Комментарий</t>
        </is>
      </c>
    </row>
    <row r="45">
      <c r="B45" s="22" t="inlineStr">
        <is>
          <t>Коэф. аннуитета Σдиск.факторов (r, N)</t>
        </is>
      </c>
      <c r="C45" s="30">
        <f>IF('Параметры'!C6=0,'Параметры'!C8,(1-(1+'Параметры'!C6)^-'Параметры'!C8)/'Параметры'!C6)</f>
        <v>5.650223028410867</v>
      </c>
      <c r="D45" s="24" t="inlineStr">
        <is>
          <t>коэф.</t>
        </is>
      </c>
      <c r="E45" s="25" t="inlineStr">
        <is>
          <t>Сумма дисконт-факторов за срок службы</t>
        </is>
      </c>
    </row>
    <row r="46">
      <c r="B46" s="22" t="inlineStr">
        <is>
          <t>Коэф. приведённой амортизации</t>
        </is>
      </c>
      <c r="C46" s="30">
        <f>(1/'Параметры'!C9)*((1-(1+'Параметры'!C6)^-INT('Параметры'!C9))/'Параметры'!C6+('Параметры'!C9-INT('Параметры'!C9))*(1+'Параметры'!C6)^-(INT('Параметры'!C9)+1))</f>
        <v>0.7174555548697079</v>
      </c>
      <c r="D46" s="24" t="inlineStr">
        <is>
          <t>коэф.</t>
        </is>
      </c>
      <c r="E46" s="25" t="inlineStr">
        <is>
          <t>Приведённая амортизация на 1 руб. цены (налог. щит)</t>
        </is>
      </c>
    </row>
    <row r="48">
      <c r="B48" s="7" t="inlineStr">
        <is>
          <t>Легенда:</t>
        </is>
      </c>
      <c r="C48" s="8" t="n"/>
      <c r="D48" s="9" t="inlineStr">
        <is>
          <t>— ввод данных</t>
        </is>
      </c>
    </row>
    <row r="49">
      <c r="C49" s="10" t="n"/>
      <c r="D49" s="9" t="inlineStr">
        <is>
          <t>— расчётные показатели</t>
        </is>
      </c>
    </row>
  </sheetData>
  <mergeCells count="11">
    <mergeCell ref="B18:E18"/>
    <mergeCell ref="B4:E4"/>
    <mergeCell ref="B2:F2"/>
    <mergeCell ref="B43:E43"/>
    <mergeCell ref="B12:E12"/>
    <mergeCell ref="D49:E49"/>
    <mergeCell ref="B39:E39"/>
    <mergeCell ref="B24:E24"/>
    <mergeCell ref="B1:F1"/>
    <mergeCell ref="B34:E34"/>
    <mergeCell ref="D48:E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1" max="11"/>
  </cols>
  <sheetData>
    <row r="1">
      <c r="B1" s="1" t="inlineStr">
        <is>
          <t>ВВОД ИСХОДНЫХ ДАННЫХ ПО АВТОСАМОСВАЛАМ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6 машин одного класса. Пример: самосвалы класса 220–240 т, карьер «Сухой Лог».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Самосвал 1</t>
        </is>
      </c>
      <c r="E4" s="15" t="inlineStr">
        <is>
          <t>Самосвал 2</t>
        </is>
      </c>
      <c r="F4" s="15" t="inlineStr">
        <is>
          <t>Самосвал 3</t>
        </is>
      </c>
      <c r="G4" s="15" t="inlineStr">
        <is>
          <t>Самосвал 4</t>
        </is>
      </c>
      <c r="H4" s="15" t="inlineStr">
        <is>
          <t>Самосвал 5</t>
        </is>
      </c>
      <c r="I4" s="15" t="inlineStr">
        <is>
          <t>Самосвал 6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1" t="inlineStr">
        <is>
          <t>NHL NTE 240</t>
        </is>
      </c>
      <c r="E7" s="31" t="inlineStr">
        <is>
          <t>Estar ESDE240
(ГПБ К)</t>
        </is>
      </c>
      <c r="F7" s="31" t="inlineStr">
        <is>
          <t>SANY SET240S</t>
        </is>
      </c>
      <c r="G7" s="31" t="inlineStr">
        <is>
          <t>TZCO TZE240</t>
        </is>
      </c>
      <c r="H7" s="31" t="inlineStr">
        <is>
          <t>БелАЗ 7531
(ГПФК)</t>
        </is>
      </c>
      <c r="I7" s="31" t="inlineStr">
        <is>
          <t>БелАЗ 7531
(БТЛ)</t>
        </is>
      </c>
      <c r="K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1" t="inlineStr">
        <is>
          <t>Горная Евразия</t>
        </is>
      </c>
      <c r="E8" s="31" t="inlineStr">
        <is>
          <t>ГПБ</t>
        </is>
      </c>
      <c r="F8" s="31" t="inlineStr">
        <is>
          <t>ИСТК</t>
        </is>
      </c>
      <c r="G8" s="31" t="inlineStr">
        <is>
          <t>ИСТК</t>
        </is>
      </c>
      <c r="H8" s="31" t="inlineStr">
        <is>
          <t>ГПФК</t>
        </is>
      </c>
      <c r="I8" s="31" t="inlineStr">
        <is>
          <t>БТЛ</t>
        </is>
      </c>
      <c r="K8" s="25" t="inlineStr"/>
    </row>
    <row r="9">
      <c r="B9" s="22" t="inlineStr">
        <is>
          <t>Двигатель / привод</t>
        </is>
      </c>
      <c r="C9" s="24" t="inlineStr">
        <is>
          <t>—</t>
        </is>
      </c>
      <c r="D9" s="31" t="inlineStr">
        <is>
          <t>электро (2500 л.с.)</t>
        </is>
      </c>
      <c r="E9" s="31" t="inlineStr">
        <is>
          <t>1864 л.с.</t>
        </is>
      </c>
      <c r="F9" s="31" t="inlineStr">
        <is>
          <t>2843 л.с.</t>
        </is>
      </c>
      <c r="G9" s="31" t="inlineStr">
        <is>
          <t>2500 л.с.</t>
        </is>
      </c>
      <c r="H9" s="31" t="inlineStr">
        <is>
          <t>2535 л.с.</t>
        </is>
      </c>
      <c r="I9" s="31" t="inlineStr">
        <is>
          <t>2535 л.с.</t>
        </is>
      </c>
      <c r="K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2" t="n">
        <v>312568.63</v>
      </c>
      <c r="E11" s="32" t="n">
        <v>319027.49</v>
      </c>
      <c r="F11" s="32" t="n">
        <v>296085.09</v>
      </c>
      <c r="G11" s="32" t="n">
        <v>302883.56</v>
      </c>
      <c r="H11" s="32" t="n">
        <v>287367.57</v>
      </c>
      <c r="I11" s="32" t="n">
        <v>287367.58</v>
      </c>
      <c r="K11" s="25" t="inlineStr">
        <is>
          <t>⚠ В файле поставщика цена не указана — ОЦЕНКА, уточнить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1" t="inlineStr">
        <is>
          <t>RUB</t>
        </is>
      </c>
      <c r="E12" s="31" t="inlineStr">
        <is>
          <t>RUB</t>
        </is>
      </c>
      <c r="F12" s="31" t="inlineStr">
        <is>
          <t>RUB</t>
        </is>
      </c>
      <c r="G12" s="31" t="inlineStr">
        <is>
          <t>RUB</t>
        </is>
      </c>
      <c r="H12" s="31" t="inlineStr">
        <is>
          <t>RUB</t>
        </is>
      </c>
      <c r="I12" s="31" t="inlineStr">
        <is>
          <t>RUB</t>
        </is>
      </c>
      <c r="K12" s="25" t="inlineStr">
        <is>
          <t>CNY / USD / EUR / RUB</t>
        </is>
      </c>
    </row>
    <row r="13">
      <c r="B13" s="22" t="inlineStr">
        <is>
          <t>Доставка, ПНР, шеф-монтаж</t>
        </is>
      </c>
      <c r="C13" s="24" t="inlineStr">
        <is>
          <t>тыс.руб</t>
        </is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K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K14" s="25" t="inlineStr">
        <is>
          <t>Реализация в конце срока (0 = не учитывать)</t>
        </is>
      </c>
    </row>
    <row r="15">
      <c r="B15" s="22" t="inlineStr">
        <is>
          <t>Срок службы (завод-изготовитель)</t>
        </is>
      </c>
      <c r="C15" s="24" t="inlineStr">
        <is>
          <t>лет</t>
        </is>
      </c>
      <c r="D15" s="32" t="n">
        <v>20</v>
      </c>
      <c r="E15" s="32" t="n">
        <v>10</v>
      </c>
      <c r="F15" s="32" t="n">
        <v>12</v>
      </c>
      <c r="G15" s="32" t="n">
        <v>8</v>
      </c>
      <c r="H15" s="32" t="n">
        <v>10</v>
      </c>
      <c r="I15" s="32" t="n">
        <v>10</v>
      </c>
      <c r="K15" s="25" t="inlineStr">
        <is>
          <t>Инвестиц. аннуитет (EAC) считается по этому сроку; влияет на чувствительность</t>
        </is>
      </c>
    </row>
    <row r="16">
      <c r="B16" s="5" t="inlineStr">
        <is>
          <t>C. ПРОИЗВОДИТЕЛЬНОСТЬ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22" t="inlineStr">
        <is>
          <t>Грузоподъёмность (в расчёте)</t>
        </is>
      </c>
      <c r="C17" s="24" t="inlineStr">
        <is>
          <t>т</t>
        </is>
      </c>
      <c r="D17" s="34" t="n">
        <v>227.8</v>
      </c>
      <c r="E17" s="34" t="n">
        <v>211.392</v>
      </c>
      <c r="F17" s="34" t="n">
        <v>216.362</v>
      </c>
      <c r="G17" s="34" t="n">
        <v>222</v>
      </c>
      <c r="H17" s="34" t="n">
        <v>226.5</v>
      </c>
      <c r="I17" s="34" t="n">
        <v>226.5</v>
      </c>
      <c r="K17" s="25" t="inlineStr">
        <is>
          <t>× КИГ (лист «Параметры») = фактическая загрузка</t>
        </is>
      </c>
    </row>
    <row r="18">
      <c r="B18" s="22" t="inlineStr">
        <is>
          <t>Эффективное плечо откатки (за срок службы)</t>
        </is>
      </c>
      <c r="C18" s="24" t="inlineStr">
        <is>
          <t>км</t>
        </is>
      </c>
      <c r="D18" s="35" t="n">
        <v>4.803</v>
      </c>
      <c r="E18" s="35" t="n">
        <v>4.253</v>
      </c>
      <c r="F18" s="35" t="n">
        <v>4.39</v>
      </c>
      <c r="G18" s="35" t="n">
        <v>4.073</v>
      </c>
      <c r="H18" s="35" t="n">
        <v>4.254</v>
      </c>
      <c r="I18" s="35" t="n">
        <v>4.254</v>
      </c>
      <c r="K18" s="25" t="inlineStr">
        <is>
          <t>Средневзвешенное по годам плечо за срок службы машины</t>
        </is>
      </c>
    </row>
    <row r="19">
      <c r="B19" s="5" t="inlineStr">
        <is>
          <t>D. ПРОЧИЕ ГОДОВЫЕ ЗАТРАТЫ И ПАРАМЕТРЫ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B20" s="22" t="inlineStr">
        <is>
          <t>Расходы на персонал (экипаж)</t>
        </is>
      </c>
      <c r="C20" s="24" t="inlineStr">
        <is>
          <t>тыс.руб/год</t>
        </is>
      </c>
      <c r="D20" s="34" t="n">
        <v>18475.6</v>
      </c>
      <c r="E20" s="34" t="n">
        <v>18475.6</v>
      </c>
      <c r="F20" s="34" t="n">
        <v>18475.6</v>
      </c>
      <c r="G20" s="34" t="n">
        <v>18475.6</v>
      </c>
      <c r="H20" s="34" t="n">
        <v>18475.6</v>
      </c>
      <c r="I20" s="34" t="n">
        <v>18475.6</v>
      </c>
      <c r="K20" s="25" t="inlineStr">
        <is>
          <t>ФОТ+отчисления+прочее на 1 машину</t>
        </is>
      </c>
    </row>
    <row r="21">
      <c r="B21" s="22" t="inlineStr">
        <is>
          <t>Мощность двигателя (транспортный налог)</t>
        </is>
      </c>
      <c r="C21" s="24" t="inlineStr">
        <is>
          <t>л.с.</t>
        </is>
      </c>
      <c r="D21" s="32" t="n">
        <v>2500</v>
      </c>
      <c r="E21" s="32" t="n">
        <v>2500</v>
      </c>
      <c r="F21" s="32" t="n">
        <v>2843</v>
      </c>
      <c r="G21" s="32" t="n">
        <v>2500</v>
      </c>
      <c r="H21" s="32" t="n">
        <v>2535</v>
      </c>
      <c r="I21" s="32" t="n">
        <v>2535</v>
      </c>
      <c r="K21" s="25" t="inlineStr">
        <is>
          <t>× ставку налога (руб/л.с.)</t>
        </is>
      </c>
    </row>
    <row r="22">
      <c r="B22" s="36" t="inlineStr">
        <is>
          <t>ℹ  КТГ, простои и затраты на ТОиР (ТО/ТР/капремонты/сервис) задаются ПО ГОДАМ на листах «Поставщик 1…6». Расход топлива (г/ткм), шины и КИГ — общие на листе «Параметры». Сводка — на листе «Данные по годам».</t>
        </is>
      </c>
    </row>
  </sheetData>
  <mergeCells count="7">
    <mergeCell ref="B1:K1"/>
    <mergeCell ref="B22:K22"/>
    <mergeCell ref="B2:K2"/>
    <mergeCell ref="B6:K6"/>
    <mergeCell ref="B16:K16"/>
    <mergeCell ref="B10:K10"/>
    <mergeCell ref="B19:K19"/>
  </mergeCells>
  <dataValidations count="1">
    <dataValidation sqref="D12:I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1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данных'!D7</f>
        <v>NHL NTE 240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139</v>
      </c>
      <c r="F9" s="32" t="n">
        <v>175</v>
      </c>
      <c r="G9" s="32" t="n">
        <v>289</v>
      </c>
      <c r="H9" s="32" t="n">
        <v>373</v>
      </c>
      <c r="I9" s="32" t="n">
        <v>177</v>
      </c>
      <c r="J9" s="32" t="n">
        <v>253</v>
      </c>
      <c r="K9" s="32" t="n">
        <v>167</v>
      </c>
      <c r="L9" s="32" t="n">
        <v>377</v>
      </c>
      <c r="M9" s="32" t="n">
        <v>295</v>
      </c>
      <c r="N9" s="32" t="n">
        <v>187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230.107</v>
      </c>
      <c r="F10" s="41">
        <f>('Параметры'!C26-F8-F9)/'Параметры'!C27*20/60</f>
        <v>229.107</v>
      </c>
      <c r="G10" s="41">
        <f>('Параметры'!C26-G8-G9)/'Параметры'!C27*20/60</f>
        <v>225.94033333333334</v>
      </c>
      <c r="H10" s="41">
        <f>('Параметры'!C26-H8-H9)/'Параметры'!C27*20/60</f>
        <v>223.607</v>
      </c>
      <c r="I10" s="41">
        <f>('Параметры'!C26-I8-I9)/'Параметры'!C27*20/60</f>
        <v>229.05144444444446</v>
      </c>
      <c r="J10" s="41">
        <f>('Параметры'!C26-J8-J9)/'Параметры'!C27*20/60</f>
        <v>226.94033333333334</v>
      </c>
      <c r="K10" s="41">
        <f>('Параметры'!C26-K8-K9)/'Параметры'!C27*20/60</f>
        <v>229.32922222222226</v>
      </c>
      <c r="L10" s="41">
        <f>('Параметры'!C26-L8-L9)/'Параметры'!C27*20/60</f>
        <v>223.49588888888894</v>
      </c>
      <c r="M10" s="41">
        <f>('Параметры'!C26-M8-M9)/'Параметры'!C27*20/60</f>
        <v>225.77366666666666</v>
      </c>
      <c r="N10" s="41">
        <f>('Параметры'!C26-N8-N9)/'Параметры'!C27*20/60</f>
        <v>228.77366666666666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0.9331</v>
      </c>
      <c r="F11" s="33" t="n">
        <v>0.926</v>
      </c>
      <c r="G11" s="33" t="n">
        <v>0.9165</v>
      </c>
      <c r="H11" s="33" t="n">
        <v>0.9041</v>
      </c>
      <c r="I11" s="33" t="n">
        <v>0.9288999999999999</v>
      </c>
      <c r="J11" s="33" t="n">
        <v>0.9173</v>
      </c>
      <c r="K11" s="33" t="n">
        <v>0.9268999999999999</v>
      </c>
      <c r="L11" s="33" t="n">
        <v>0.9068000000000001</v>
      </c>
      <c r="M11" s="33" t="n">
        <v>0.9127</v>
      </c>
      <c r="N11" s="33" t="n">
        <v>0.9278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1.2755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1097.695021941</v>
      </c>
      <c r="F18" s="42">
        <f>(F12+F13+F16)*$E$17</f>
        <v>1406.0629631410002</v>
      </c>
      <c r="G18" s="42">
        <f>(G12+G13+G16)*$E$17</f>
        <v>5547.099184076001</v>
      </c>
      <c r="H18" s="42">
        <f>(H12+H13+H16)*$E$17</f>
        <v>2491.484930206</v>
      </c>
      <c r="I18" s="42">
        <f>(I12+I13+I16)*$E$17</f>
        <v>1342.487374811</v>
      </c>
      <c r="J18" s="42">
        <f>(J12+J13+J16)*$E$17</f>
        <v>5623.151713406</v>
      </c>
      <c r="K18" s="42">
        <f>(K12+K13+K16)*$E$17</f>
        <v>1163.7426313110002</v>
      </c>
      <c r="L18" s="42">
        <f>(L12+L13+L16)*$E$17</f>
        <v>2657.752732706</v>
      </c>
      <c r="M18" s="42">
        <f>(M12+M13+M16)*$E$17</f>
        <v>5559.5761250760015</v>
      </c>
      <c r="N18" s="42">
        <f>(N12+N13+N16)*$E$17</f>
        <v>1406.0629631410002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2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данных'!E7</f>
        <v>Estar ESDE240
(ГПБ К)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420</v>
      </c>
      <c r="F9" s="32" t="n">
        <v>505</v>
      </c>
      <c r="G9" s="32" t="n">
        <v>905</v>
      </c>
      <c r="H9" s="32" t="n">
        <v>1287</v>
      </c>
      <c r="I9" s="32" t="n">
        <v>455</v>
      </c>
      <c r="J9" s="32" t="n">
        <v>1132</v>
      </c>
      <c r="K9" s="32" t="n">
        <v>485</v>
      </c>
      <c r="L9" s="32" t="n">
        <v>1290</v>
      </c>
      <c r="M9" s="32" t="n">
        <v>782</v>
      </c>
      <c r="N9" s="32" t="n">
        <v>1155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222.30144444444446</v>
      </c>
      <c r="F10" s="41">
        <f>('Параметры'!C26-F8-F9)/'Параметры'!C27*20/60</f>
        <v>219.94033333333334</v>
      </c>
      <c r="G10" s="41">
        <f>('Параметры'!C26-G8-G9)/'Параметры'!C27*20/60</f>
        <v>208.82922222222226</v>
      </c>
      <c r="H10" s="41">
        <f>('Параметры'!C26-H8-H9)/'Параметры'!C27*20/60</f>
        <v>198.21811111111114</v>
      </c>
      <c r="I10" s="41">
        <f>('Параметры'!C26-I8-I9)/'Параметры'!C27*20/60</f>
        <v>221.32922222222226</v>
      </c>
      <c r="J10" s="41">
        <f>('Параметры'!C26-J8-J9)/'Параметры'!C27*20/60</f>
        <v>202.52366666666666</v>
      </c>
      <c r="K10" s="41">
        <f>('Параметры'!C26-K8-K9)/'Параметры'!C27*20/60</f>
        <v>220.49588888888894</v>
      </c>
      <c r="L10" s="41">
        <f>('Параметры'!C26-L8-L9)/'Параметры'!C27*20/60</f>
        <v>198.1347777777778</v>
      </c>
      <c r="M10" s="41">
        <f>('Параметры'!C26-M8-M9)/'Параметры'!C27*20/60</f>
        <v>212.24588888888894</v>
      </c>
      <c r="N10" s="41">
        <f>('Параметры'!C26-N8-N9)/'Параметры'!C27*20/60</f>
        <v>201.8847777777778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0.9145</v>
      </c>
      <c r="F11" s="33" t="n">
        <v>0.8984</v>
      </c>
      <c r="G11" s="33" t="n">
        <v>0.852</v>
      </c>
      <c r="H11" s="33" t="n">
        <v>0.8085</v>
      </c>
      <c r="I11" s="33" t="n">
        <v>0.9018</v>
      </c>
      <c r="J11" s="33" t="n">
        <v>0.8247</v>
      </c>
      <c r="K11" s="33" t="n">
        <v>0.8914</v>
      </c>
      <c r="L11" s="33" t="n">
        <v>0.8132</v>
      </c>
      <c r="M11" s="33" t="n">
        <v>0.8589</v>
      </c>
      <c r="N11" s="33" t="n">
        <v>0.8366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2.528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2175.596248896</v>
      </c>
      <c r="F18" s="42">
        <f>(F12+F13+F16)*$E$17</f>
        <v>2786.7715960960004</v>
      </c>
      <c r="G18" s="42">
        <f>(G12+G13+G16)*$E$17</f>
        <v>10994.172275456001</v>
      </c>
      <c r="H18" s="42">
        <f>(H12+H13+H16)*$E$17</f>
        <v>4938.0430447359995</v>
      </c>
      <c r="I18" s="42">
        <f>(I12+I13+I16)*$E$17</f>
        <v>2660.7668236160002</v>
      </c>
      <c r="J18" s="42">
        <f>(J12+J13+J16)*$E$17</f>
        <v>11144.905943936</v>
      </c>
      <c r="K18" s="42">
        <f>(K12+K13+K16)*$E$17</f>
        <v>2306.500487616</v>
      </c>
      <c r="L18" s="42">
        <f>(L12+L13+L16)*$E$17</f>
        <v>5267.5804847360005</v>
      </c>
      <c r="M18" s="42">
        <f>(M12+M13+M16)*$E$17</f>
        <v>11018.901171456002</v>
      </c>
      <c r="N18" s="42">
        <f>(N12+N13+N16)*$E$17</f>
        <v>2786.7715960960004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3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данных'!F7</f>
        <v>SANY SET240S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280</v>
      </c>
      <c r="F9" s="32" t="n">
        <v>570</v>
      </c>
      <c r="G9" s="32" t="n">
        <v>750</v>
      </c>
      <c r="H9" s="32" t="n">
        <v>505</v>
      </c>
      <c r="I9" s="32" t="n">
        <v>930</v>
      </c>
      <c r="J9" s="32" t="n">
        <v>505</v>
      </c>
      <c r="K9" s="32" t="n">
        <v>750</v>
      </c>
      <c r="L9" s="32" t="n">
        <v>505</v>
      </c>
      <c r="M9" s="32" t="n">
        <v>930</v>
      </c>
      <c r="N9" s="32" t="n">
        <v>660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226.19033333333334</v>
      </c>
      <c r="F10" s="41">
        <f>('Параметры'!C26-F8-F9)/'Параметры'!C27*20/60</f>
        <v>218.1347777777778</v>
      </c>
      <c r="G10" s="41">
        <f>('Параметры'!C26-G8-G9)/'Параметры'!C27*20/60</f>
        <v>213.1347777777778</v>
      </c>
      <c r="H10" s="41">
        <f>('Параметры'!C26-H8-H9)/'Параметры'!C27*20/60</f>
        <v>219.94033333333334</v>
      </c>
      <c r="I10" s="41">
        <f>('Параметры'!C26-I8-I9)/'Параметры'!C27*20/60</f>
        <v>208.1347777777778</v>
      </c>
      <c r="J10" s="41">
        <f>('Параметры'!C26-J8-J9)/'Параметры'!C27*20/60</f>
        <v>219.94033333333334</v>
      </c>
      <c r="K10" s="41">
        <f>('Параметры'!C26-K8-K9)/'Параметры'!C27*20/60</f>
        <v>213.1347777777778</v>
      </c>
      <c r="L10" s="41">
        <f>('Параметры'!C26-L8-L9)/'Параметры'!C27*20/60</f>
        <v>219.94033333333334</v>
      </c>
      <c r="M10" s="41">
        <f>('Параметры'!C26-M8-M9)/'Параметры'!C27*20/60</f>
        <v>208.1347777777778</v>
      </c>
      <c r="N10" s="41">
        <f>('Параметры'!C26-N8-N9)/'Параметры'!C27*20/60</f>
        <v>215.6347777777778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0.9286</v>
      </c>
      <c r="F11" s="33" t="n">
        <v>0.8958</v>
      </c>
      <c r="G11" s="33" t="n">
        <v>0.8593</v>
      </c>
      <c r="H11" s="33" t="n">
        <v>0.8972</v>
      </c>
      <c r="I11" s="33" t="n">
        <v>0.8436</v>
      </c>
      <c r="J11" s="33" t="n">
        <v>0.8972</v>
      </c>
      <c r="K11" s="33" t="n">
        <v>0.8593</v>
      </c>
      <c r="L11" s="33" t="n">
        <v>0.8972</v>
      </c>
      <c r="M11" s="33" t="n">
        <v>0.8436</v>
      </c>
      <c r="N11" s="33" t="n">
        <v>0.8783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1.3644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1174.2023425608002</v>
      </c>
      <c r="F18" s="42">
        <f>(F12+F13+F16)*$E$17</f>
        <v>1504.0629611208</v>
      </c>
      <c r="G18" s="42">
        <f>(G12+G13+G16)*$E$17</f>
        <v>5933.721777148801</v>
      </c>
      <c r="H18" s="42">
        <f>(H12+H13+H16)*$E$17</f>
        <v>2665.1368394928</v>
      </c>
      <c r="I18" s="42">
        <f>(I12+I13+I16)*$E$17</f>
        <v>1436.0562714168002</v>
      </c>
      <c r="J18" s="42">
        <f>(J12+J13+J16)*$E$17</f>
        <v>6015.075027652801</v>
      </c>
      <c r="K18" s="42">
        <f>(K12+K13+K16)*$E$17</f>
        <v>1244.8533486168</v>
      </c>
      <c r="L18" s="42">
        <f>(L12+L13+L16)*$E$17</f>
        <v>2842.9932014928004</v>
      </c>
      <c r="M18" s="42">
        <f>(M12+M13+M16)*$E$17</f>
        <v>5947.068337948801</v>
      </c>
      <c r="N18" s="42">
        <f>(N12+N13+N16)*$E$17</f>
        <v>1504.0629611208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4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данных'!G7</f>
        <v>TZCO TZE240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425</v>
      </c>
      <c r="F9" s="32" t="n">
        <v>690</v>
      </c>
      <c r="G9" s="32" t="n">
        <v>1600</v>
      </c>
      <c r="H9" s="32" t="n">
        <v>690</v>
      </c>
      <c r="I9" s="32" t="n">
        <v>425</v>
      </c>
      <c r="J9" s="32" t="n">
        <v>1800</v>
      </c>
      <c r="K9" s="32" t="n">
        <v>425</v>
      </c>
      <c r="L9" s="32" t="n">
        <v>690</v>
      </c>
      <c r="M9" s="32" t="n">
        <v>425</v>
      </c>
      <c r="N9" s="32" t="n">
        <v>690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222.1625555555556</v>
      </c>
      <c r="F10" s="41">
        <f>('Параметры'!C26-F8-F9)/'Параметры'!C27*20/60</f>
        <v>214.80144444444446</v>
      </c>
      <c r="G10" s="41">
        <f>('Параметры'!C26-G8-G9)/'Параметры'!C27*20/60</f>
        <v>189.52366666666666</v>
      </c>
      <c r="H10" s="41">
        <f>('Параметры'!C26-H8-H9)/'Параметры'!C27*20/60</f>
        <v>214.80144444444446</v>
      </c>
      <c r="I10" s="41">
        <f>('Параметры'!C26-I8-I9)/'Параметры'!C27*20/60</f>
        <v>222.1625555555556</v>
      </c>
      <c r="J10" s="41">
        <f>('Параметры'!C26-J8-J9)/'Параметры'!C27*20/60</f>
        <v>183.96811111111114</v>
      </c>
      <c r="K10" s="41">
        <f>('Параметры'!C26-K8-K9)/'Параметры'!C27*20/60</f>
        <v>222.1625555555556</v>
      </c>
      <c r="L10" s="41">
        <f>('Параметры'!C26-L8-L9)/'Параметры'!C27*20/60</f>
        <v>214.80144444444446</v>
      </c>
      <c r="M10" s="41">
        <f>('Параметры'!C26-M8-M9)/'Параметры'!C27*20/60</f>
        <v>222.1625555555556</v>
      </c>
      <c r="N10" s="41">
        <f>('Параметры'!C26-N8-N9)/'Параметры'!C27*20/60</f>
        <v>214.80144444444446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0.8994</v>
      </c>
      <c r="F11" s="33" t="n">
        <v>0.8743</v>
      </c>
      <c r="G11" s="33" t="n">
        <v>0.7653</v>
      </c>
      <c r="H11" s="33" t="n">
        <v>0.8743</v>
      </c>
      <c r="I11" s="33" t="n">
        <v>0.8994</v>
      </c>
      <c r="J11" s="33" t="n">
        <v>0.7396</v>
      </c>
      <c r="K11" s="33" t="n">
        <v>0.8994</v>
      </c>
      <c r="L11" s="33" t="n">
        <v>0.8743</v>
      </c>
      <c r="M11" s="33" t="n">
        <v>0.8994</v>
      </c>
      <c r="N11" s="33" t="n">
        <v>0.8743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2.5162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2165.4411714684</v>
      </c>
      <c r="F18" s="42">
        <f>(F12+F13+F16)*$E$17</f>
        <v>2773.7637223484003</v>
      </c>
      <c r="G18" s="42">
        <f>(G12+G13+G16)*$E$17</f>
        <v>10942.8545409424</v>
      </c>
      <c r="H18" s="42">
        <f>(H12+H13+H16)*$E$17</f>
        <v>4914.9936349544</v>
      </c>
      <c r="I18" s="42">
        <f>(I12+I13+I16)*$E$17</f>
        <v>2648.3471050564003</v>
      </c>
      <c r="J18" s="42">
        <f>(J12+J13+J16)*$E$17</f>
        <v>11092.8846266344</v>
      </c>
      <c r="K18" s="42">
        <f>(K12+K13+K16)*$E$17</f>
        <v>2295.7343856564003</v>
      </c>
      <c r="L18" s="42">
        <f>(L12+L13+L16)*$E$17</f>
        <v>5242.992885954401</v>
      </c>
      <c r="M18" s="42">
        <f>(M12+M13+M16)*$E$17</f>
        <v>10967.468009342401</v>
      </c>
      <c r="N18" s="42">
        <f>(N12+N13+N16)*$E$17</f>
        <v>2773.7637223484003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5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данных'!H7</f>
        <v>БелАЗ 7531
(ГПФК)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135</v>
      </c>
      <c r="F9" s="32" t="n">
        <v>341</v>
      </c>
      <c r="G9" s="32" t="n">
        <v>417.667</v>
      </c>
      <c r="H9" s="32" t="n">
        <v>588</v>
      </c>
      <c r="I9" s="32" t="n">
        <v>402</v>
      </c>
      <c r="J9" s="32" t="n">
        <v>680.333</v>
      </c>
      <c r="K9" s="32" t="n">
        <v>549</v>
      </c>
      <c r="L9" s="32" t="n">
        <v>487</v>
      </c>
      <c r="M9" s="32" t="n">
        <v>793</v>
      </c>
      <c r="N9" s="32" t="n">
        <v>842.333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230.21811111111114</v>
      </c>
      <c r="F10" s="41">
        <f>('Параметры'!C26-F8-F9)/'Параметры'!C27*20/60</f>
        <v>224.49588888888894</v>
      </c>
      <c r="G10" s="41">
        <f>('Параметры'!C26-G8-G9)/'Параметры'!C27*20/60</f>
        <v>222.36625</v>
      </c>
      <c r="H10" s="41">
        <f>('Параметры'!C26-H8-H9)/'Параметры'!C27*20/60</f>
        <v>217.6347777777778</v>
      </c>
      <c r="I10" s="41">
        <f>('Параметры'!C26-I8-I9)/'Параметры'!C27*20/60</f>
        <v>222.80144444444446</v>
      </c>
      <c r="J10" s="41">
        <f>('Параметры'!C26-J8-J9)/'Параметры'!C27*20/60</f>
        <v>215.06997222222225</v>
      </c>
      <c r="K10" s="41">
        <f>('Параметры'!C26-K8-K9)/'Параметры'!C27*20/60</f>
        <v>218.71811111111114</v>
      </c>
      <c r="L10" s="41">
        <f>('Параметры'!C26-L8-L9)/'Параметры'!C27*20/60</f>
        <v>220.44033333333334</v>
      </c>
      <c r="M10" s="41">
        <f>('Параметры'!C26-M8-M9)/'Параметры'!C27*20/60</f>
        <v>211.94033333333334</v>
      </c>
      <c r="N10" s="41">
        <f>('Параметры'!C26-N8-N9)/'Параметры'!C27*20/60</f>
        <v>210.56997222222225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0.9066</v>
      </c>
      <c r="F11" s="33" t="n">
        <v>0.8842</v>
      </c>
      <c r="G11" s="33" t="n">
        <v>0.863</v>
      </c>
      <c r="H11" s="33" t="n">
        <v>0.8732</v>
      </c>
      <c r="I11" s="33" t="n">
        <v>0.8797</v>
      </c>
      <c r="J11" s="33" t="n">
        <v>0.8448</v>
      </c>
      <c r="K11" s="33" t="n">
        <v>0.8955</v>
      </c>
      <c r="L11" s="33" t="n">
        <v>0.853</v>
      </c>
      <c r="M11" s="33" t="n">
        <v>0.8405</v>
      </c>
      <c r="N11" s="33" t="n">
        <v>0.8595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1.554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1337.3720612280001</v>
      </c>
      <c r="F18" s="42">
        <f>(F12+F13+F16)*$E$17</f>
        <v>1713.0708308280002</v>
      </c>
      <c r="G18" s="42">
        <f>(G12+G13+G16)*$E$17</f>
        <v>6758.284697808001</v>
      </c>
      <c r="H18" s="42">
        <f>(H12+H13+H16)*$E$17</f>
        <v>3035.490067848</v>
      </c>
      <c r="I18" s="42">
        <f>(I12+I13+I16)*$E$17</f>
        <v>1635.613783188</v>
      </c>
      <c r="J18" s="42">
        <f>(J12+J13+J16)*$E$17</f>
        <v>6850.942973448001</v>
      </c>
      <c r="K18" s="42">
        <f>(K12+K13+K16)*$E$17</f>
        <v>1417.8408851880001</v>
      </c>
      <c r="L18" s="42">
        <f>(L12+L13+L16)*$E$17</f>
        <v>3238.0617378480006</v>
      </c>
      <c r="M18" s="42">
        <f>(M12+M13+M16)*$E$17</f>
        <v>6773.485925808001</v>
      </c>
      <c r="N18" s="42">
        <f>(N12+N13+N16)*$E$17</f>
        <v>1713.0708308280002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6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данных'!I7</f>
        <v>БелАЗ 7531
(БТЛ)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135</v>
      </c>
      <c r="F9" s="32" t="n">
        <v>341</v>
      </c>
      <c r="G9" s="32" t="n">
        <v>417.667</v>
      </c>
      <c r="H9" s="32" t="n">
        <v>588</v>
      </c>
      <c r="I9" s="32" t="n">
        <v>402</v>
      </c>
      <c r="J9" s="32" t="n">
        <v>680.333</v>
      </c>
      <c r="K9" s="32" t="n">
        <v>549</v>
      </c>
      <c r="L9" s="32" t="n">
        <v>487</v>
      </c>
      <c r="M9" s="32" t="n">
        <v>793</v>
      </c>
      <c r="N9" s="32" t="n">
        <v>842.333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230.21811111111114</v>
      </c>
      <c r="F10" s="41">
        <f>('Параметры'!C26-F8-F9)/'Параметры'!C27*20/60</f>
        <v>224.49588888888894</v>
      </c>
      <c r="G10" s="41">
        <f>('Параметры'!C26-G8-G9)/'Параметры'!C27*20/60</f>
        <v>222.36625</v>
      </c>
      <c r="H10" s="41">
        <f>('Параметры'!C26-H8-H9)/'Параметры'!C27*20/60</f>
        <v>217.6347777777778</v>
      </c>
      <c r="I10" s="41">
        <f>('Параметры'!C26-I8-I9)/'Параметры'!C27*20/60</f>
        <v>222.80144444444446</v>
      </c>
      <c r="J10" s="41">
        <f>('Параметры'!C26-J8-J9)/'Параметры'!C27*20/60</f>
        <v>215.06997222222225</v>
      </c>
      <c r="K10" s="41">
        <f>('Параметры'!C26-K8-K9)/'Параметры'!C27*20/60</f>
        <v>218.71811111111114</v>
      </c>
      <c r="L10" s="41">
        <f>('Параметры'!C26-L8-L9)/'Параметры'!C27*20/60</f>
        <v>220.44033333333334</v>
      </c>
      <c r="M10" s="41">
        <f>('Параметры'!C26-M8-M9)/'Параметры'!C27*20/60</f>
        <v>211.94033333333334</v>
      </c>
      <c r="N10" s="41">
        <f>('Параметры'!C26-N8-N9)/'Параметры'!C27*20/60</f>
        <v>210.56997222222225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0.9151</v>
      </c>
      <c r="F11" s="33" t="n">
        <v>0.8934</v>
      </c>
      <c r="G11" s="33" t="n">
        <v>0.8846000000000001</v>
      </c>
      <c r="H11" s="33" t="n">
        <v>0.8669</v>
      </c>
      <c r="I11" s="33" t="n">
        <v>0.8865</v>
      </c>
      <c r="J11" s="33" t="n">
        <v>0.856</v>
      </c>
      <c r="K11" s="33" t="n">
        <v>0.8373</v>
      </c>
      <c r="L11" s="33" t="n">
        <v>0.8777</v>
      </c>
      <c r="M11" s="33" t="n">
        <v>0.8442</v>
      </c>
      <c r="N11" s="33" t="n">
        <v>0.8383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1.5542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1337.5441811844</v>
      </c>
      <c r="F18" s="42">
        <f>(F12+F13+F16)*$E$17</f>
        <v>1713.2913032644</v>
      </c>
      <c r="G18" s="42">
        <f>(G12+G13+G16)*$E$17</f>
        <v>6759.154489918401</v>
      </c>
      <c r="H18" s="42">
        <f>(H12+H13+H16)*$E$17</f>
        <v>3035.8807358104</v>
      </c>
      <c r="I18" s="42">
        <f>(I12+I13+I16)*$E$17</f>
        <v>1635.8242868924</v>
      </c>
      <c r="J18" s="42">
        <f>(J12+J13+J16)*$E$17</f>
        <v>6851.8246906904005</v>
      </c>
      <c r="K18" s="42">
        <f>(K12+K13+K16)*$E$17</f>
        <v>1418.0233614924</v>
      </c>
      <c r="L18" s="42">
        <f>(L12+L13+L16)*$E$17</f>
        <v>3238.4784768104005</v>
      </c>
      <c r="M18" s="42">
        <f>(M12+M13+M16)*$E$17</f>
        <v>6774.357674318401</v>
      </c>
      <c r="N18" s="42">
        <f>(N12+N13+N16)*$E$17</f>
        <v>1713.2913032644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3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1…6». Правьте данные там,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7" t="inlineStr">
        <is>
          <t>Значения ТЯНУТСЯ из листов «Поставщик 1…6» (КТГ и ИТОГО ТОиР — авто). Чтобы изменить данные по машине — откройте её лист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NHL NTE 240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8">
        <f>'Поставщик 1'!E11</f>
        <v>0.9331</v>
      </c>
      <c r="F7" s="48">
        <f>'Поставщик 1'!F11</f>
        <v>0.926</v>
      </c>
      <c r="G7" s="48">
        <f>'Поставщик 1'!G11</f>
        <v>0.9165</v>
      </c>
      <c r="H7" s="48">
        <f>'Поставщик 1'!H11</f>
        <v>0.9041</v>
      </c>
      <c r="I7" s="48">
        <f>'Поставщик 1'!I11</f>
        <v>0.9289</v>
      </c>
      <c r="J7" s="48">
        <f>'Поставщик 1'!J11</f>
        <v>0.9173</v>
      </c>
      <c r="K7" s="48">
        <f>'Поставщик 1'!K11</f>
        <v>0.9269</v>
      </c>
      <c r="L7" s="48">
        <f>'Поставщик 1'!L11</f>
        <v>0.9068</v>
      </c>
      <c r="M7" s="48">
        <f>'Поставщик 1'!M11</f>
        <v>0.9127</v>
      </c>
      <c r="N7" s="48">
        <f>'Поставщик 1'!N11</f>
        <v>0.9278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49" t="str">
        <f>'Поставщик 1'!$D$5</f>
        <v>CNY</v>
      </c>
      <c r="E8" s="50">
        <f>'Поставщик 1'!E18</f>
        <v>1097.695021941</v>
      </c>
      <c r="F8" s="50">
        <f>'Поставщик 1'!F18</f>
        <v>1406.0629631410002</v>
      </c>
      <c r="G8" s="50">
        <f>'Поставщик 1'!G18</f>
        <v>5547.099184076001</v>
      </c>
      <c r="H8" s="50">
        <f>'Поставщик 1'!H18</f>
        <v>2491.484930206</v>
      </c>
      <c r="I8" s="50">
        <f>'Поставщик 1'!I18</f>
        <v>1342.487374811</v>
      </c>
      <c r="J8" s="50">
        <f>'Поставщик 1'!J18</f>
        <v>5623.151713406</v>
      </c>
      <c r="K8" s="50">
        <f>'Поставщик 1'!K18</f>
        <v>1163.7426313110002</v>
      </c>
      <c r="L8" s="50">
        <f>'Поставщик 1'!L18</f>
        <v>2657.752732706</v>
      </c>
      <c r="M8" s="50">
        <f>'Поставщик 1'!M18</f>
        <v>5559.5761250760015</v>
      </c>
      <c r="N8" s="50">
        <f>'Поставщик 1'!N18</f>
        <v>1406.0629631410002</v>
      </c>
    </row>
    <row r="9">
      <c r="B9" s="5" t="str">
        <f>"Вариант 2:  "&amp;'Ввод данных'!E7</f>
        <v>Вариант 2:  Estar ESDE240
(ГПБ К)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B10" s="22" t="inlineStr">
        <is>
          <t>КТГ (техготовность)</t>
        </is>
      </c>
      <c r="C10" s="24" t="inlineStr">
        <is>
          <t>коэф.</t>
        </is>
      </c>
      <c r="E10" s="48">
        <f>'Поставщик 2'!E11</f>
        <v>0.9145</v>
      </c>
      <c r="F10" s="48">
        <f>'Поставщик 2'!F11</f>
        <v>0.8984</v>
      </c>
      <c r="G10" s="48">
        <f>'Поставщик 2'!G11</f>
        <v>0.852</v>
      </c>
      <c r="H10" s="48">
        <f>'Поставщик 2'!H11</f>
        <v>0.8085</v>
      </c>
      <c r="I10" s="48">
        <f>'Поставщик 2'!I11</f>
        <v>0.9018</v>
      </c>
      <c r="J10" s="48">
        <f>'Поставщик 2'!J11</f>
        <v>0.8247</v>
      </c>
      <c r="K10" s="48">
        <f>'Поставщик 2'!K11</f>
        <v>0.8914</v>
      </c>
      <c r="L10" s="48">
        <f>'Поставщик 2'!L11</f>
        <v>0.8132</v>
      </c>
      <c r="M10" s="48">
        <f>'Поставщик 2'!M11</f>
        <v>0.8589</v>
      </c>
      <c r="N10" s="48">
        <f>'Поставщик 2'!N11</f>
        <v>0.8366</v>
      </c>
    </row>
    <row r="11">
      <c r="B11" s="22" t="inlineStr">
        <is>
          <t>Затраты на ТОиР и сервис</t>
        </is>
      </c>
      <c r="C11" s="24" t="inlineStr">
        <is>
          <t>тыс.вал/г</t>
        </is>
      </c>
      <c r="D11" s="49" t="str">
        <f>'Поставщик 2'!$D$5</f>
        <v>CNY</v>
      </c>
      <c r="E11" s="50">
        <f>'Поставщик 2'!E18</f>
        <v>2175.596248896</v>
      </c>
      <c r="F11" s="50">
        <f>'Поставщик 2'!F18</f>
        <v>2786.7715960960004</v>
      </c>
      <c r="G11" s="50">
        <f>'Поставщик 2'!G18</f>
        <v>10994.172275456001</v>
      </c>
      <c r="H11" s="50">
        <f>'Поставщик 2'!H18</f>
        <v>4938.0430447359995</v>
      </c>
      <c r="I11" s="50">
        <f>'Поставщик 2'!I18</f>
        <v>2660.7668236160002</v>
      </c>
      <c r="J11" s="50">
        <f>'Поставщик 2'!J18</f>
        <v>11144.905943936</v>
      </c>
      <c r="K11" s="50">
        <f>'Поставщик 2'!K18</f>
        <v>2306.500487616</v>
      </c>
      <c r="L11" s="50">
        <f>'Поставщик 2'!L18</f>
        <v>5267.5804847360005</v>
      </c>
      <c r="M11" s="50">
        <f>'Поставщик 2'!M18</f>
        <v>11018.901171456002</v>
      </c>
      <c r="N11" s="50">
        <f>'Поставщик 2'!N18</f>
        <v>2786.7715960960004</v>
      </c>
    </row>
    <row r="12">
      <c r="B12" s="5" t="str">
        <f>"Вариант 3:  "&amp;'Ввод данных'!F7</f>
        <v>Вариант 3:  SANY SET240S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B13" s="22" t="inlineStr">
        <is>
          <t>КТГ (техготовность)</t>
        </is>
      </c>
      <c r="C13" s="24" t="inlineStr">
        <is>
          <t>коэф.</t>
        </is>
      </c>
      <c r="E13" s="48">
        <f>'Поставщик 3'!E11</f>
        <v>0.9286</v>
      </c>
      <c r="F13" s="48">
        <f>'Поставщик 3'!F11</f>
        <v>0.8958</v>
      </c>
      <c r="G13" s="48">
        <f>'Поставщик 3'!G11</f>
        <v>0.8593</v>
      </c>
      <c r="H13" s="48">
        <f>'Поставщик 3'!H11</f>
        <v>0.8972</v>
      </c>
      <c r="I13" s="48">
        <f>'Поставщик 3'!I11</f>
        <v>0.8436</v>
      </c>
      <c r="J13" s="48">
        <f>'Поставщик 3'!J11</f>
        <v>0.8972</v>
      </c>
      <c r="K13" s="48">
        <f>'Поставщик 3'!K11</f>
        <v>0.8593</v>
      </c>
      <c r="L13" s="48">
        <f>'Поставщик 3'!L11</f>
        <v>0.8972</v>
      </c>
      <c r="M13" s="48">
        <f>'Поставщик 3'!M11</f>
        <v>0.8436</v>
      </c>
      <c r="N13" s="48">
        <f>'Поставщик 3'!N11</f>
        <v>0.8783</v>
      </c>
    </row>
    <row r="14">
      <c r="B14" s="22" t="inlineStr">
        <is>
          <t>Затраты на ТОиР и сервис</t>
        </is>
      </c>
      <c r="C14" s="24" t="inlineStr">
        <is>
          <t>тыс.вал/г</t>
        </is>
      </c>
      <c r="D14" s="49" t="str">
        <f>'Поставщик 3'!$D$5</f>
        <v>CNY</v>
      </c>
      <c r="E14" s="50">
        <f>'Поставщик 3'!E18</f>
        <v>1174.2023425608002</v>
      </c>
      <c r="F14" s="50">
        <f>'Поставщик 3'!F18</f>
        <v>1504.0629611208</v>
      </c>
      <c r="G14" s="50">
        <f>'Поставщик 3'!G18</f>
        <v>5933.721777148801</v>
      </c>
      <c r="H14" s="50">
        <f>'Поставщик 3'!H18</f>
        <v>2665.1368394928</v>
      </c>
      <c r="I14" s="50">
        <f>'Поставщик 3'!I18</f>
        <v>1436.0562714168002</v>
      </c>
      <c r="J14" s="50">
        <f>'Поставщик 3'!J18</f>
        <v>6015.075027652801</v>
      </c>
      <c r="K14" s="50">
        <f>'Поставщик 3'!K18</f>
        <v>1244.8533486168</v>
      </c>
      <c r="L14" s="50">
        <f>'Поставщик 3'!L18</f>
        <v>2842.9932014928004</v>
      </c>
      <c r="M14" s="50">
        <f>'Поставщик 3'!M18</f>
        <v>5947.068337948801</v>
      </c>
      <c r="N14" s="50">
        <f>'Поставщик 3'!N18</f>
        <v>1504.0629611208</v>
      </c>
    </row>
    <row r="15">
      <c r="B15" s="5" t="str">
        <f>"Вариант 4:  "&amp;'Ввод данных'!G7</f>
        <v>Вариант 4:  TZCO TZE240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22" t="inlineStr">
        <is>
          <t>КТГ (техготовность)</t>
        </is>
      </c>
      <c r="C16" s="24" t="inlineStr">
        <is>
          <t>коэф.</t>
        </is>
      </c>
      <c r="E16" s="48">
        <f>'Поставщик 4'!E11</f>
        <v>0.8994</v>
      </c>
      <c r="F16" s="48">
        <f>'Поставщик 4'!F11</f>
        <v>0.8743</v>
      </c>
      <c r="G16" s="48">
        <f>'Поставщик 4'!G11</f>
        <v>0.7653</v>
      </c>
      <c r="H16" s="48">
        <f>'Поставщик 4'!H11</f>
        <v>0.8743</v>
      </c>
      <c r="I16" s="48">
        <f>'Поставщик 4'!I11</f>
        <v>0.8994</v>
      </c>
      <c r="J16" s="48">
        <f>'Поставщик 4'!J11</f>
        <v>0.7396</v>
      </c>
      <c r="K16" s="48">
        <f>'Поставщик 4'!K11</f>
        <v>0.8994</v>
      </c>
      <c r="L16" s="48">
        <f>'Поставщик 4'!L11</f>
        <v>0.8743</v>
      </c>
      <c r="M16" s="48">
        <f>'Поставщик 4'!M11</f>
        <v>0.8994</v>
      </c>
      <c r="N16" s="48">
        <f>'Поставщик 4'!N11</f>
        <v>0.8743</v>
      </c>
    </row>
    <row r="17">
      <c r="B17" s="22" t="inlineStr">
        <is>
          <t>Затраты на ТОиР и сервис</t>
        </is>
      </c>
      <c r="C17" s="24" t="inlineStr">
        <is>
          <t>тыс.вал/г</t>
        </is>
      </c>
      <c r="D17" s="49" t="str">
        <f>'Поставщик 4'!$D$5</f>
        <v>CNY</v>
      </c>
      <c r="E17" s="50">
        <f>'Поставщик 4'!E18</f>
        <v>2165.4411714684</v>
      </c>
      <c r="F17" s="50">
        <f>'Поставщик 4'!F18</f>
        <v>2773.7637223484003</v>
      </c>
      <c r="G17" s="50">
        <f>'Поставщик 4'!G18</f>
        <v>10942.8545409424</v>
      </c>
      <c r="H17" s="50">
        <f>'Поставщик 4'!H18</f>
        <v>4914.9936349544</v>
      </c>
      <c r="I17" s="50">
        <f>'Поставщик 4'!I18</f>
        <v>2648.3471050564003</v>
      </c>
      <c r="J17" s="50">
        <f>'Поставщик 4'!J18</f>
        <v>11092.8846266344</v>
      </c>
      <c r="K17" s="50">
        <f>'Поставщик 4'!K18</f>
        <v>2295.7343856564003</v>
      </c>
      <c r="L17" s="50">
        <f>'Поставщик 4'!L18</f>
        <v>5242.992885954401</v>
      </c>
      <c r="M17" s="50">
        <f>'Поставщик 4'!M18</f>
        <v>10967.468009342401</v>
      </c>
      <c r="N17" s="50">
        <f>'Поставщик 4'!N18</f>
        <v>2773.7637223484003</v>
      </c>
    </row>
    <row r="18">
      <c r="B18" s="5" t="str">
        <f>"Вариант 5:  "&amp;'Ввод данных'!H7</f>
        <v>Вариант 5:  БелАЗ 7531
(ГПФК)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КТГ (техготовность)</t>
        </is>
      </c>
      <c r="C19" s="24" t="inlineStr">
        <is>
          <t>коэф.</t>
        </is>
      </c>
      <c r="E19" s="48">
        <f>'Поставщик 5'!E11</f>
        <v>0.9066</v>
      </c>
      <c r="F19" s="48">
        <f>'Поставщик 5'!F11</f>
        <v>0.8842</v>
      </c>
      <c r="G19" s="48">
        <f>'Поставщик 5'!G11</f>
        <v>0.863</v>
      </c>
      <c r="H19" s="48">
        <f>'Поставщик 5'!H11</f>
        <v>0.8732</v>
      </c>
      <c r="I19" s="48">
        <f>'Поставщик 5'!I11</f>
        <v>0.8797</v>
      </c>
      <c r="J19" s="48">
        <f>'Поставщик 5'!J11</f>
        <v>0.8448</v>
      </c>
      <c r="K19" s="48">
        <f>'Поставщик 5'!K11</f>
        <v>0.8955</v>
      </c>
      <c r="L19" s="48">
        <f>'Поставщик 5'!L11</f>
        <v>0.853</v>
      </c>
      <c r="M19" s="48">
        <f>'Поставщик 5'!M11</f>
        <v>0.8405</v>
      </c>
      <c r="N19" s="48">
        <f>'Поставщик 5'!N11</f>
        <v>0.8595</v>
      </c>
    </row>
    <row r="20">
      <c r="B20" s="22" t="inlineStr">
        <is>
          <t>Затраты на ТОиР и сервис</t>
        </is>
      </c>
      <c r="C20" s="24" t="inlineStr">
        <is>
          <t>тыс.вал/г</t>
        </is>
      </c>
      <c r="D20" s="49" t="str">
        <f>'Поставщик 5'!$D$5</f>
        <v>CNY</v>
      </c>
      <c r="E20" s="50">
        <f>'Поставщик 5'!E18</f>
        <v>1337.3720612280001</v>
      </c>
      <c r="F20" s="50">
        <f>'Поставщик 5'!F18</f>
        <v>1713.0708308280002</v>
      </c>
      <c r="G20" s="50">
        <f>'Поставщик 5'!G18</f>
        <v>6758.284697808001</v>
      </c>
      <c r="H20" s="50">
        <f>'Поставщик 5'!H18</f>
        <v>3035.490067848</v>
      </c>
      <c r="I20" s="50">
        <f>'Поставщик 5'!I18</f>
        <v>1635.613783188</v>
      </c>
      <c r="J20" s="50">
        <f>'Поставщик 5'!J18</f>
        <v>6850.942973448001</v>
      </c>
      <c r="K20" s="50">
        <f>'Поставщик 5'!K18</f>
        <v>1417.8408851880001</v>
      </c>
      <c r="L20" s="50">
        <f>'Поставщик 5'!L18</f>
        <v>3238.0617378480006</v>
      </c>
      <c r="M20" s="50">
        <f>'Поставщик 5'!M18</f>
        <v>6773.485925808001</v>
      </c>
      <c r="N20" s="50">
        <f>'Поставщик 5'!N18</f>
        <v>1713.0708308280002</v>
      </c>
    </row>
    <row r="21">
      <c r="B21" s="5" t="str">
        <f>"Вариант 6:  "&amp;'Ввод данных'!I7</f>
        <v>Вариант 6:  БелАЗ 7531
(БТЛ)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B22" s="22" t="inlineStr">
        <is>
          <t>КТГ (техготовность)</t>
        </is>
      </c>
      <c r="C22" s="24" t="inlineStr">
        <is>
          <t>коэф.</t>
        </is>
      </c>
      <c r="E22" s="48">
        <f>'Поставщик 6'!E11</f>
        <v>0.9151</v>
      </c>
      <c r="F22" s="48">
        <f>'Поставщик 6'!F11</f>
        <v>0.8934</v>
      </c>
      <c r="G22" s="48">
        <f>'Поставщик 6'!G11</f>
        <v>0.8846</v>
      </c>
      <c r="H22" s="48">
        <f>'Поставщик 6'!H11</f>
        <v>0.8669</v>
      </c>
      <c r="I22" s="48">
        <f>'Поставщик 6'!I11</f>
        <v>0.8865</v>
      </c>
      <c r="J22" s="48">
        <f>'Поставщик 6'!J11</f>
        <v>0.856</v>
      </c>
      <c r="K22" s="48">
        <f>'Поставщик 6'!K11</f>
        <v>0.8373</v>
      </c>
      <c r="L22" s="48">
        <f>'Поставщик 6'!L11</f>
        <v>0.8777</v>
      </c>
      <c r="M22" s="48">
        <f>'Поставщик 6'!M11</f>
        <v>0.8442</v>
      </c>
      <c r="N22" s="48">
        <f>'Поставщик 6'!N11</f>
        <v>0.8383</v>
      </c>
    </row>
    <row r="23">
      <c r="B23" s="22" t="inlineStr">
        <is>
          <t>Затраты на ТОиР и сервис</t>
        </is>
      </c>
      <c r="C23" s="24" t="inlineStr">
        <is>
          <t>тыс.вал/г</t>
        </is>
      </c>
      <c r="D23" s="49" t="str">
        <f>'Поставщик 6'!$D$5</f>
        <v>CNY</v>
      </c>
      <c r="E23" s="50">
        <f>'Поставщик 6'!E18</f>
        <v>1337.5441811844</v>
      </c>
      <c r="F23" s="50">
        <f>'Поставщик 6'!F18</f>
        <v>1713.2913032644</v>
      </c>
      <c r="G23" s="50">
        <f>'Поставщик 6'!G18</f>
        <v>6759.154489918401</v>
      </c>
      <c r="H23" s="50">
        <f>'Поставщик 6'!H18</f>
        <v>3035.8807358104</v>
      </c>
      <c r="I23" s="50">
        <f>'Поставщик 6'!I18</f>
        <v>1635.8242868924</v>
      </c>
      <c r="J23" s="50">
        <f>'Поставщик 6'!J18</f>
        <v>6851.8246906904005</v>
      </c>
      <c r="K23" s="50">
        <f>'Поставщик 6'!K18</f>
        <v>1418.0233614924</v>
      </c>
      <c r="L23" s="50">
        <f>'Поставщик 6'!L18</f>
        <v>3238.4784768104005</v>
      </c>
      <c r="M23" s="50">
        <f>'Поставщик 6'!M18</f>
        <v>6774.357674318401</v>
      </c>
      <c r="N23" s="50">
        <f>'Поставщик 6'!N18</f>
        <v>1713.2913032644</v>
      </c>
    </row>
  </sheetData>
  <mergeCells count="9">
    <mergeCell ref="B9:N9"/>
    <mergeCell ref="B1:N1"/>
    <mergeCell ref="B4:N4"/>
    <mergeCell ref="B12:N12"/>
    <mergeCell ref="B18:N18"/>
    <mergeCell ref="B21:N21"/>
    <mergeCell ref="B15:N15"/>
    <mergeCell ref="B6:N6"/>
    <mergeCell ref="B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 (транспортный цикл)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(т/эфф.час) — по времени рейса; полная погодовая таблица — с КТГ по годам.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1" t="inlineStr">
        <is>
          <t>Стоимость в рублях</t>
        </is>
      </c>
      <c r="C5" s="24" t="inlineStr">
        <is>
          <t>тыс.руб</t>
        </is>
      </c>
      <c r="D5" s="52">
        <f>'Ввод данных'!D11*IF('Ввод данных'!D12="CNY",'Параметры'!C20,IF('Ввод данных'!D12="USD",'Параметры'!C21,IF('Ввод данных'!D12="EUR",'Параметры'!C22,1)))+'Ввод данных'!D13</f>
        <v>312568.63</v>
      </c>
      <c r="E5" s="52">
        <f>'Ввод данных'!E11*IF('Ввод данных'!E12="CNY",'Параметры'!C20,IF('Ввод данных'!E12="USD",'Параметры'!C21,IF('Ввод данных'!E12="EUR",'Параметры'!C22,1)))+'Ввод данных'!E13</f>
        <v>319027.49</v>
      </c>
      <c r="F5" s="52">
        <f>'Ввод данных'!F11*IF('Ввод данных'!F12="CNY",'Параметры'!C20,IF('Ввод данных'!F12="USD",'Параметры'!C21,IF('Ввод данных'!F12="EUR",'Параметры'!C22,1)))+'Ввод данных'!F13</f>
        <v>296085.09</v>
      </c>
      <c r="G5" s="52">
        <f>'Ввод данных'!G11*IF('Ввод данных'!G12="CNY",'Параметры'!C20,IF('Ввод данных'!G12="USD",'Параметры'!C21,IF('Ввод данных'!G12="EUR",'Параметры'!C22,1)))+'Ввод данных'!G13</f>
        <v>302883.56</v>
      </c>
      <c r="H5" s="52">
        <f>'Ввод данных'!H11*IF('Ввод данных'!H12="CNY",'Параметры'!C20,IF('Ввод данных'!H12="USD",'Параметры'!C21,IF('Ввод данных'!H12="EUR",'Параметры'!C22,1)))+'Ввод данных'!H13</f>
        <v>287367.57</v>
      </c>
      <c r="I5" s="52">
        <f>'Ввод данных'!I11*IF('Ввод данных'!I12="CNY",'Параметры'!C20,IF('Ввод данных'!I12="USD",'Параметры'!C21,IF('Ввод данных'!I12="EUR",'Параметры'!C22,1)))+'Ввод данных'!I13</f>
        <v>287367.58</v>
      </c>
    </row>
    <row r="6">
      <c r="B6" s="22" t="inlineStr">
        <is>
          <t>Время движения (гружёный+порожний)</t>
        </is>
      </c>
      <c r="C6" s="24" t="inlineStr">
        <is>
          <t>мин</t>
        </is>
      </c>
      <c r="D6" s="53">
        <f>2*'Ввод данных'!D18/'Параметры'!C29*60</f>
        <v>25.66162065894924</v>
      </c>
      <c r="E6" s="53">
        <f>2*'Ввод данных'!E18/'Параметры'!C29*60</f>
        <v>22.72306322350846</v>
      </c>
      <c r="F6" s="53">
        <f>2*'Ввод данных'!F18/'Параметры'!C29*60</f>
        <v>23.45503116651825</v>
      </c>
      <c r="G6" s="53">
        <f>2*'Ввод данных'!G18/'Параметры'!C29*60</f>
        <v>21.761353517364203</v>
      </c>
      <c r="H6" s="53">
        <f>2*'Ввод данных'!H18/'Параметры'!C29*60</f>
        <v>22.72840605520926</v>
      </c>
      <c r="I6" s="53">
        <f>2*'Ввод данных'!I18/'Параметры'!C29*60</f>
        <v>22.72840605520926</v>
      </c>
    </row>
    <row r="7">
      <c r="B7" s="22" t="inlineStr">
        <is>
          <t>Время рейса</t>
        </is>
      </c>
      <c r="C7" s="24" t="inlineStr">
        <is>
          <t>мин</t>
        </is>
      </c>
      <c r="D7" s="53">
        <f>'Параметры'!C31+D6</f>
        <v>34.06162065894924</v>
      </c>
      <c r="E7" s="53">
        <f>'Параметры'!C31+E6</f>
        <v>31.12306322350846</v>
      </c>
      <c r="F7" s="53">
        <f>'Параметры'!C31+F6</f>
        <v>31.855031166518252</v>
      </c>
      <c r="G7" s="53">
        <f>'Параметры'!C31+G6</f>
        <v>30.161353517364205</v>
      </c>
      <c r="H7" s="53">
        <f>'Параметры'!C31+H6</f>
        <v>31.12840605520926</v>
      </c>
      <c r="I7" s="53">
        <f>'Параметры'!C31+I6</f>
        <v>31.12840605520926</v>
      </c>
    </row>
    <row r="8">
      <c r="B8" s="22" t="inlineStr">
        <is>
          <t>Рейсов в час</t>
        </is>
      </c>
      <c r="C8" s="24" t="inlineStr">
        <is>
          <t>рейс/час</t>
        </is>
      </c>
      <c r="D8" s="53">
        <f>60/D7</f>
        <v>1.761513364286611</v>
      </c>
      <c r="E8" s="53">
        <f>60/E7</f>
        <v>1.9278308040925634</v>
      </c>
      <c r="F8" s="53">
        <f>60/F7</f>
        <v>1.883532924088424</v>
      </c>
      <c r="G8" s="53">
        <f>60/G7</f>
        <v>1.9893006447955783</v>
      </c>
      <c r="H8" s="53">
        <f>60/H7</f>
        <v>1.9274999141807696</v>
      </c>
      <c r="I8" s="53">
        <f>60/I7</f>
        <v>1.9274999141807696</v>
      </c>
    </row>
    <row r="9">
      <c r="B9" s="39" t="inlineStr">
        <is>
          <t>Часовая производительность</t>
        </is>
      </c>
      <c r="C9" s="24" t="inlineStr">
        <is>
          <t>т/эфф.час</t>
        </is>
      </c>
      <c r="D9" s="54">
        <f>D8*'Ввод данных'!D17*'Параметры'!C30</f>
        <v>394.7319986510228</v>
      </c>
      <c r="E9" s="54">
        <f>E8*'Ввод данных'!E17*'Параметры'!C30</f>
        <v>400.88530278651376</v>
      </c>
      <c r="F9" s="54">
        <f>F8*'Ввод данных'!F17*'Параметры'!C30</f>
        <v>400.8822938281172</v>
      </c>
      <c r="G9" s="54">
        <f>G8*'Ввод данных'!G17*'Параметры'!C30</f>
        <v>434.4262598313611</v>
      </c>
      <c r="H9" s="54">
        <f>H8*'Ввод данных'!H17*'Параметры'!C30</f>
        <v>429.46249725378465</v>
      </c>
      <c r="I9" s="54">
        <f>I8*'Ввод данных'!I17*'Параметры'!C30</f>
        <v>429.46249725378465</v>
      </c>
    </row>
    <row r="10">
      <c r="B10" s="22" t="inlineStr">
        <is>
          <t>КИО (1-й год)</t>
        </is>
      </c>
      <c r="C10" s="24" t="inlineStr">
        <is>
          <t>коэф.</t>
        </is>
      </c>
      <c r="D10" s="55">
        <f>'Данные по годам'!E7*(1-102.38/(60*'Параметры'!C27))</f>
        <v>0.800418363888889</v>
      </c>
      <c r="E10" s="55">
        <f>'Данные по годам'!E10*(1-102.38/(60*'Параметры'!C27))</f>
        <v>0.7844631805555555</v>
      </c>
      <c r="F10" s="55">
        <f>'Данные по годам'!E13*(1-102.38/(60*'Параметры'!C27))</f>
        <v>0.7965582388888889</v>
      </c>
      <c r="G10" s="55">
        <f>'Данные по годам'!E16*(1-102.38/(60*'Параметры'!C27))</f>
        <v>0.7715103166666667</v>
      </c>
      <c r="H10" s="55">
        <f>'Данные по годам'!E19*(1-102.38/(60*'Параметры'!C27))</f>
        <v>0.7776865166666667</v>
      </c>
      <c r="I10" s="55">
        <f>'Данные по годам'!E22*(1-102.38/(60*'Параметры'!C27))</f>
        <v>0.7849778638888889</v>
      </c>
    </row>
    <row r="12">
      <c r="B12" s="5" t="inlineStr">
        <is>
          <t>ПОГОДОВАЯ ПРОИЗВОДИТЕЛЬНОСТЬ (КТГ по годам из «Данные по годам»; часовая производительность — из цикла выше)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B13" s="15" t="inlineStr">
        <is>
          <t>Показатель</t>
        </is>
      </c>
      <c r="C13" s="15" t="inlineStr">
        <is>
          <t>Ед.</t>
        </is>
      </c>
      <c r="E13" s="15" t="inlineStr">
        <is>
          <t>год 1</t>
        </is>
      </c>
      <c r="F13" s="15" t="inlineStr">
        <is>
          <t>год 2</t>
        </is>
      </c>
      <c r="G13" s="15" t="inlineStr">
        <is>
          <t>год 3</t>
        </is>
      </c>
      <c r="H13" s="15" t="inlineStr">
        <is>
          <t>год 4</t>
        </is>
      </c>
      <c r="I13" s="15" t="inlineStr">
        <is>
          <t>год 5</t>
        </is>
      </c>
      <c r="J13" s="15" t="inlineStr">
        <is>
          <t>год 6</t>
        </is>
      </c>
      <c r="K13" s="15" t="inlineStr">
        <is>
          <t>год 7</t>
        </is>
      </c>
      <c r="L13" s="15" t="inlineStr">
        <is>
          <t>год 8</t>
        </is>
      </c>
      <c r="M13" s="15" t="inlineStr">
        <is>
          <t>год 9</t>
        </is>
      </c>
      <c r="N13" s="15" t="inlineStr">
        <is>
          <t>год 10</t>
        </is>
      </c>
    </row>
    <row r="14">
      <c r="B14" s="5" t="str">
        <f>"Вариант 1:  "&amp;'Ввод данных'!D7</f>
        <v>Вариант 1:  NHL NTE 240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B15" s="39" t="inlineStr">
        <is>
          <t>КТГ (по годам)</t>
        </is>
      </c>
      <c r="C15" s="24" t="inlineStr">
        <is>
          <t>коэф.</t>
        </is>
      </c>
      <c r="E15" s="56">
        <f>'Данные по годам'!E7</f>
        <v>0.9331</v>
      </c>
      <c r="F15" s="56">
        <f>'Данные по годам'!F7</f>
        <v>0.926</v>
      </c>
      <c r="G15" s="56">
        <f>'Данные по годам'!G7</f>
        <v>0.9165</v>
      </c>
      <c r="H15" s="56">
        <f>'Данные по годам'!H7</f>
        <v>0.9041</v>
      </c>
      <c r="I15" s="56">
        <f>'Данные по годам'!I7</f>
        <v>0.9289</v>
      </c>
      <c r="J15" s="56">
        <f>'Данные по годам'!J7</f>
        <v>0.9173</v>
      </c>
      <c r="K15" s="56">
        <f>'Данные по годам'!K7</f>
        <v>0.9269</v>
      </c>
      <c r="L15" s="56">
        <f>'Данные по годам'!L7</f>
        <v>0.9068</v>
      </c>
      <c r="M15" s="56">
        <f>'Данные по годам'!M7</f>
        <v>0.9127</v>
      </c>
      <c r="N15" s="56">
        <f>'Данные по годам'!N7</f>
        <v>0.9278</v>
      </c>
    </row>
    <row r="16">
      <c r="B16" s="39" t="inlineStr">
        <is>
          <t>КИО</t>
        </is>
      </c>
      <c r="C16" s="24" t="inlineStr">
        <is>
          <t>коэф.</t>
        </is>
      </c>
      <c r="E16" s="56">
        <f>E15*(1-102.38/(60*'Параметры'!C27))</f>
        <v>0.800418363888889</v>
      </c>
      <c r="F16" s="56">
        <f>F15*(1-102.38/(60*'Параметры'!C27))</f>
        <v>0.7943279444444445</v>
      </c>
      <c r="G16" s="56">
        <f>G15*(1-102.38/(60*'Параметры'!C27))</f>
        <v>0.7861787916666667</v>
      </c>
      <c r="H16" s="56">
        <f>H15*(1-102.38/(60*'Параметры'!C27))</f>
        <v>0.7755420027777779</v>
      </c>
      <c r="I16" s="56">
        <f>I15*(1-102.38/(60*'Параметры'!C27))</f>
        <v>0.7968155805555556</v>
      </c>
      <c r="J16" s="56">
        <f>J15*(1-102.38/(60*'Параметры'!C27))</f>
        <v>0.7868650361111111</v>
      </c>
      <c r="K16" s="56">
        <f>K15*(1-102.38/(60*'Параметры'!C27))</f>
        <v>0.7950999694444444</v>
      </c>
      <c r="L16" s="56">
        <f>L15*(1-102.38/(60*'Параметры'!C27))</f>
        <v>0.7778580777777778</v>
      </c>
      <c r="M16" s="56">
        <f>M15*(1-102.38/(60*'Параметры'!C27))</f>
        <v>0.7829191305555555</v>
      </c>
      <c r="N16" s="56">
        <f>N15*(1-102.38/(60*'Параметры'!C27))</f>
        <v>0.7958719944444445</v>
      </c>
    </row>
    <row r="17">
      <c r="B17" s="39" t="inlineStr">
        <is>
          <t>Эффективное время</t>
        </is>
      </c>
      <c r="C17" s="24" t="inlineStr">
        <is>
          <t>час/год</t>
        </is>
      </c>
      <c r="E17" s="41">
        <f>'Параметры'!C26*E16</f>
        <v>7011.664867666667</v>
      </c>
      <c r="F17" s="41">
        <f>'Параметры'!C26*F16</f>
        <v>6958.312793333334</v>
      </c>
      <c r="G17" s="41">
        <f>'Параметры'!C26*G16</f>
        <v>6886.926215</v>
      </c>
      <c r="H17" s="41">
        <f>'Параметры'!C26*H16</f>
        <v>6793.747944333334</v>
      </c>
      <c r="I17" s="41">
        <f>'Параметры'!C26*I16</f>
        <v>6980.104485666667</v>
      </c>
      <c r="J17" s="41">
        <f>'Параметры'!C26*J16</f>
        <v>6892.937716333334</v>
      </c>
      <c r="K17" s="41">
        <f>'Параметры'!C26*K16</f>
        <v>6965.075732333333</v>
      </c>
      <c r="L17" s="41">
        <f>'Параметры'!C26*L16</f>
        <v>6814.036761333334</v>
      </c>
      <c r="M17" s="41">
        <f>'Параметры'!C26*M16</f>
        <v>6858.371583666666</v>
      </c>
      <c r="N17" s="41">
        <f>'Параметры'!C26*N16</f>
        <v>6971.838671333333</v>
      </c>
    </row>
    <row r="18">
      <c r="B18" s="39" t="inlineStr">
        <is>
          <t>Объём перевозки</t>
        </is>
      </c>
      <c r="C18" s="24" t="inlineStr">
        <is>
          <t>тыс.т</t>
        </is>
      </c>
      <c r="E18" s="41">
        <f>'Производительность'!D9*E17/1000</f>
        <v>2767.728487085223</v>
      </c>
      <c r="F18" s="41">
        <f>'Производительность'!D9*F17/1000</f>
        <v>2746.6687161514483</v>
      </c>
      <c r="G18" s="41">
        <f>'Производительность'!D9*G17/1000</f>
        <v>2718.490149409074</v>
      </c>
      <c r="H18" s="41">
        <f>'Производительность'!D9*H17/1000</f>
        <v>2681.7097043979747</v>
      </c>
      <c r="I18" s="41">
        <f>'Производительность'!D9*I17/1000</f>
        <v>2755.270594420173</v>
      </c>
      <c r="J18" s="41">
        <f>'Производительность'!D9*J17/1000</f>
        <v>2720.8630813452737</v>
      </c>
      <c r="K18" s="41">
        <f>'Производительность'!D9*K17/1000</f>
        <v>2749.338264579673</v>
      </c>
      <c r="L18" s="41">
        <f>'Производительность'!D9*L17/1000</f>
        <v>2689.7183496826497</v>
      </c>
      <c r="M18" s="41">
        <f>'Производительность'!D9*M17/1000</f>
        <v>2707.218722712124</v>
      </c>
      <c r="N18" s="41">
        <f>'Производительность'!D9*N17/1000</f>
        <v>2752.0078130078978</v>
      </c>
    </row>
    <row r="19">
      <c r="B19" s="39" t="inlineStr">
        <is>
          <t>Грузооборот</t>
        </is>
      </c>
      <c r="C19" s="24" t="inlineStr">
        <is>
          <t>тыс.ткм</t>
        </is>
      </c>
      <c r="E19" s="41">
        <f>E18*'Ввод данных'!D18</f>
        <v>13293.399923470326</v>
      </c>
      <c r="F19" s="41">
        <f>F18*'Ввод данных'!D18</f>
        <v>13192.249843675407</v>
      </c>
      <c r="G19" s="41">
        <f>G18*'Ввод данных'!D18</f>
        <v>13056.908187611783</v>
      </c>
      <c r="H19" s="41">
        <f>H18*'Ввод данных'!D18</f>
        <v>12880.251710223472</v>
      </c>
      <c r="I19" s="41">
        <f>I18*'Ввод данных'!D18</f>
        <v>13233.56466500009</v>
      </c>
      <c r="J19" s="41">
        <f>J18*'Ввод данных'!D18</f>
        <v>13068.305379701349</v>
      </c>
      <c r="K19" s="41">
        <f>K18*'Ввод данных'!D18</f>
        <v>13205.071684776169</v>
      </c>
      <c r="L19" s="41">
        <f>L18*'Ввод данных'!D18</f>
        <v>12918.717233525766</v>
      </c>
      <c r="M19" s="41">
        <f>M18*'Ввод данных'!D18</f>
        <v>13002.771525186332</v>
      </c>
      <c r="N19" s="41">
        <f>N18*'Ввод данных'!D18</f>
        <v>13217.893525876932</v>
      </c>
    </row>
    <row r="20">
      <c r="B20" s="39" t="inlineStr">
        <is>
          <t>Пробег</t>
        </is>
      </c>
      <c r="C20" s="24" t="inlineStr">
        <is>
          <t>тыс.км</t>
        </is>
      </c>
      <c r="E20" s="41">
        <f>'Производительность'!D8*E17*2*'Ввод данных'!D18/1000</f>
        <v>118.64506400304172</v>
      </c>
      <c r="F20" s="41">
        <f>'Производительность'!D8*F17*2*'Ввод данных'!D18/1000</f>
        <v>117.74228835796445</v>
      </c>
      <c r="G20" s="41">
        <f>'Производительность'!D8*G17*2*'Ввод данных'!D18/1000</f>
        <v>116.5343491145512</v>
      </c>
      <c r="H20" s="41">
        <f>'Производительность'!D8*H17*2*'Ввод данных'!D18/1000</f>
        <v>114.95767052314866</v>
      </c>
      <c r="I20" s="41">
        <f>'Производительность'!D8*I17*2*'Ввод данных'!D18/1000</f>
        <v>118.11102770595375</v>
      </c>
      <c r="J20" s="41">
        <f>'Производительность'!D8*J17*2*'Ввод данных'!D18/1000</f>
        <v>116.63607031399653</v>
      </c>
      <c r="K20" s="41">
        <f>'Производительность'!D8*K17*2*'Ввод данных'!D18/1000</f>
        <v>117.85672470734045</v>
      </c>
      <c r="L20" s="41">
        <f>'Производительность'!D8*L17*2*'Ввод данных'!D18/1000</f>
        <v>115.30097957127664</v>
      </c>
      <c r="M20" s="41">
        <f>'Производительность'!D8*M17*2*'Ввод данных'!D18/1000</f>
        <v>116.05117341718588</v>
      </c>
      <c r="N20" s="41">
        <f>'Производительность'!D8*N17*2*'Ввод данных'!D18/1000</f>
        <v>117.97116105671641</v>
      </c>
    </row>
    <row r="22">
      <c r="B22" s="5" t="str">
        <f>"Вариант 2:  "&amp;'Ввод данных'!E7</f>
        <v>Вариант 2:  Estar ESDE240
(ГПБ К)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B23" s="39" t="inlineStr">
        <is>
          <t>КТГ (по годам)</t>
        </is>
      </c>
      <c r="C23" s="24" t="inlineStr">
        <is>
          <t>коэф.</t>
        </is>
      </c>
      <c r="E23" s="56">
        <f>'Данные по годам'!E10</f>
        <v>0.9145</v>
      </c>
      <c r="F23" s="56">
        <f>'Данные по годам'!F10</f>
        <v>0.8984</v>
      </c>
      <c r="G23" s="56">
        <f>'Данные по годам'!G10</f>
        <v>0.852</v>
      </c>
      <c r="H23" s="56">
        <f>'Данные по годам'!H10</f>
        <v>0.8085</v>
      </c>
      <c r="I23" s="56">
        <f>'Данные по годам'!I10</f>
        <v>0.9018</v>
      </c>
      <c r="J23" s="56">
        <f>'Данные по годам'!J10</f>
        <v>0.8247</v>
      </c>
      <c r="K23" s="56">
        <f>'Данные по годам'!K10</f>
        <v>0.8914</v>
      </c>
      <c r="L23" s="56">
        <f>'Данные по годам'!L10</f>
        <v>0.8132</v>
      </c>
      <c r="M23" s="56">
        <f>'Данные по годам'!M10</f>
        <v>0.8589</v>
      </c>
      <c r="N23" s="56">
        <f>'Данные по годам'!N10</f>
        <v>0.8366</v>
      </c>
    </row>
    <row r="24">
      <c r="B24" s="39" t="inlineStr">
        <is>
          <t>КИО</t>
        </is>
      </c>
      <c r="C24" s="24" t="inlineStr">
        <is>
          <t>коэф.</t>
        </is>
      </c>
      <c r="E24" s="56">
        <f>E23*(1-102.38/(60*'Параметры'!C27))</f>
        <v>0.7844631805555555</v>
      </c>
      <c r="F24" s="56">
        <f>F23*(1-102.38/(60*'Параметры'!C27))</f>
        <v>0.7706525111111111</v>
      </c>
      <c r="G24" s="56">
        <f>G23*(1-102.38/(60*'Параметры'!C27))</f>
        <v>0.7308503333333334</v>
      </c>
      <c r="H24" s="56">
        <f>H23*(1-102.38/(60*'Параметры'!C27))</f>
        <v>0.6935357916666667</v>
      </c>
      <c r="I24" s="56">
        <f>I23*(1-102.38/(60*'Параметры'!C27))</f>
        <v>0.7735690500000001</v>
      </c>
      <c r="J24" s="56">
        <f>J23*(1-102.38/(60*'Параметры'!C27))</f>
        <v>0.7074322416666667</v>
      </c>
      <c r="K24" s="56">
        <f>K23*(1-102.38/(60*'Параметры'!C27))</f>
        <v>0.7646478722222222</v>
      </c>
      <c r="L24" s="56">
        <f>L23*(1-102.38/(60*'Параметры'!C27))</f>
        <v>0.6975674777777778</v>
      </c>
      <c r="M24" s="56">
        <f>M23*(1-102.38/(60*'Параметры'!C27))</f>
        <v>0.7367691916666667</v>
      </c>
      <c r="N24" s="56">
        <f>N23*(1-102.38/(60*'Параметры'!C27))</f>
        <v>0.7176401277777779</v>
      </c>
    </row>
    <row r="25">
      <c r="B25" s="39" t="inlineStr">
        <is>
          <t>Эффективное время</t>
        </is>
      </c>
      <c r="C25" s="24" t="inlineStr">
        <is>
          <t>час/год</t>
        </is>
      </c>
      <c r="E25" s="41">
        <f>'Параметры'!C26*E24</f>
        <v>6871.8974616666665</v>
      </c>
      <c r="F25" s="41">
        <f>'Параметры'!C26*F24</f>
        <v>6750.9159973333335</v>
      </c>
      <c r="G25" s="41">
        <f>'Параметры'!C26*G24</f>
        <v>6402.24892</v>
      </c>
      <c r="H25" s="41">
        <f>'Параметры'!C26*H24</f>
        <v>6075.373535</v>
      </c>
      <c r="I25" s="41">
        <f>'Параметры'!C26*I24</f>
        <v>6776.464878000001</v>
      </c>
      <c r="J25" s="41">
        <f>'Параметры'!C26*J24</f>
        <v>6197.106437</v>
      </c>
      <c r="K25" s="41">
        <f>'Параметры'!C26*K24</f>
        <v>6698.3153606666665</v>
      </c>
      <c r="L25" s="41">
        <f>'Параметры'!C26*L24</f>
        <v>6110.691105333334</v>
      </c>
      <c r="M25" s="41">
        <f>'Параметры'!C26*M24</f>
        <v>6454.098119</v>
      </c>
      <c r="N25" s="41">
        <f>'Параметры'!C26*N24</f>
        <v>6286.527519333334</v>
      </c>
    </row>
    <row r="26">
      <c r="B26" s="39" t="inlineStr">
        <is>
          <t>Объём перевозки</t>
        </is>
      </c>
      <c r="C26" s="24" t="inlineStr">
        <is>
          <t>тыс.т</t>
        </is>
      </c>
      <c r="E26" s="41">
        <f>'Производительность'!E9*E25/1000</f>
        <v>2754.842694638117</v>
      </c>
      <c r="F26" s="41">
        <f>'Производительность'!E9*F25/1000</f>
        <v>2706.343003677293</v>
      </c>
      <c r="G26" s="41">
        <f>'Производительность'!E9*G25/1000</f>
        <v>2566.5674968088306</v>
      </c>
      <c r="H26" s="41">
        <f>'Производительность'!E9*H25/1000</f>
        <v>2435.527959119647</v>
      </c>
      <c r="I26" s="41">
        <f>'Производительность'!E9*I25/1000</f>
        <v>2716.585174439206</v>
      </c>
      <c r="J26" s="41">
        <f>'Производительность'!E9*J25/1000</f>
        <v>2484.3288903969988</v>
      </c>
      <c r="K26" s="41">
        <f>'Производительность'!E9*K25/1000</f>
        <v>2685.2561815204126</v>
      </c>
      <c r="L26" s="41">
        <f>'Производительность'!E9*L25/1000</f>
        <v>2449.68625399641</v>
      </c>
      <c r="M26" s="41">
        <f>'Производительность'!E9*M25/1000</f>
        <v>2587.353078649184</v>
      </c>
      <c r="N26" s="41">
        <f>'Производительность'!E9*N25/1000</f>
        <v>2520.1764880636947</v>
      </c>
    </row>
    <row r="27">
      <c r="B27" s="39" t="inlineStr">
        <is>
          <t>Грузооборот</t>
        </is>
      </c>
      <c r="C27" s="24" t="inlineStr">
        <is>
          <t>тыс.ткм</t>
        </is>
      </c>
      <c r="E27" s="41">
        <f>E26*'Ввод данных'!E18</f>
        <v>11716.345980295911</v>
      </c>
      <c r="F27" s="41">
        <f>F26*'Ввод данных'!E18</f>
        <v>11510.076794639526</v>
      </c>
      <c r="G27" s="41">
        <f>G26*'Ввод данных'!E18</f>
        <v>10915.611563927956</v>
      </c>
      <c r="H27" s="41">
        <f>H26*'Ввод данных'!E18</f>
        <v>10358.30041013586</v>
      </c>
      <c r="I27" s="41">
        <f>I26*'Ввод данных'!E18</f>
        <v>11553.636746889944</v>
      </c>
      <c r="J27" s="41">
        <f>J26*'Ввод данных'!E18</f>
        <v>10565.850770858437</v>
      </c>
      <c r="K27" s="41">
        <f>K26*'Ввод данных'!E18</f>
        <v>11420.394540006315</v>
      </c>
      <c r="L27" s="41">
        <f>L26*'Ввод данных'!E18</f>
        <v>10418.515638246732</v>
      </c>
      <c r="M27" s="41">
        <f>M26*'Ввод данных'!E18</f>
        <v>11004.012643494982</v>
      </c>
      <c r="N27" s="41">
        <f>N26*'Ввод данных'!E18</f>
        <v>10718.310603734893</v>
      </c>
    </row>
    <row r="28">
      <c r="B28" s="39" t="inlineStr">
        <is>
          <t>Пробег</t>
        </is>
      </c>
      <c r="C28" s="24" t="inlineStr">
        <is>
          <t>тыс.км</t>
        </is>
      </c>
      <c r="E28" s="41">
        <f>'Производительность'!E8*E25*2*'Ввод данных'!E18/1000</f>
        <v>112.6862598115702</v>
      </c>
      <c r="F28" s="41">
        <f>'Производительность'!E8*F25*2*'Ввод данных'!E18/1000</f>
        <v>110.70239017464701</v>
      </c>
      <c r="G28" s="41">
        <f>'Производительность'!E8*G25*2*'Ввод данных'!E18/1000</f>
        <v>104.9849025253776</v>
      </c>
      <c r="H28" s="41">
        <f>'Производительность'!E8*H25*2*'Ввод данных'!E18/1000</f>
        <v>99.62475785418754</v>
      </c>
      <c r="I28" s="41">
        <f>'Производительность'!E8*I25*2*'Ввод данных'!E18/1000</f>
        <v>111.12134401101588</v>
      </c>
      <c r="J28" s="41">
        <f>'Производительность'!E8*J25*2*'Ввод данных'!E18/1000</f>
        <v>101.62094966276868</v>
      </c>
      <c r="K28" s="41">
        <f>'Производительность'!E8*K25*2*'Ввод данных'!E18/1000</f>
        <v>109.83983815859342</v>
      </c>
      <c r="L28" s="41">
        <f>'Производительность'!E8*L25*2*'Ввод данных'!E18/1000</f>
        <v>100.20389992210926</v>
      </c>
      <c r="M28" s="41">
        <f>'Производительность'!E8*M25*2*'Ввод данных'!E18/1000</f>
        <v>105.83513236977328</v>
      </c>
      <c r="N28" s="41">
        <f>'Производительность'!E8*N25*2*'Ввод данных'!E18/1000</f>
        <v>103.08728809005976</v>
      </c>
    </row>
    <row r="30">
      <c r="B30" s="5" t="str">
        <f>"Вариант 3:  "&amp;'Ввод данных'!F7</f>
        <v>Вариант 3:  SANY SET240S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B31" s="39" t="inlineStr">
        <is>
          <t>КТГ (по годам)</t>
        </is>
      </c>
      <c r="C31" s="24" t="inlineStr">
        <is>
          <t>коэф.</t>
        </is>
      </c>
      <c r="E31" s="56">
        <f>'Данные по годам'!E13</f>
        <v>0.9286</v>
      </c>
      <c r="F31" s="56">
        <f>'Данные по годам'!F13</f>
        <v>0.8958</v>
      </c>
      <c r="G31" s="56">
        <f>'Данные по годам'!G13</f>
        <v>0.8593</v>
      </c>
      <c r="H31" s="56">
        <f>'Данные по годам'!H13</f>
        <v>0.8972</v>
      </c>
      <c r="I31" s="56">
        <f>'Данные по годам'!I13</f>
        <v>0.8436</v>
      </c>
      <c r="J31" s="56">
        <f>'Данные по годам'!J13</f>
        <v>0.8972</v>
      </c>
      <c r="K31" s="56">
        <f>'Данные по годам'!K13</f>
        <v>0.8593</v>
      </c>
      <c r="L31" s="56">
        <f>'Данные по годам'!L13</f>
        <v>0.8972</v>
      </c>
      <c r="M31" s="56">
        <f>'Данные по годам'!M13</f>
        <v>0.8436</v>
      </c>
      <c r="N31" s="56">
        <f>'Данные по годам'!N13</f>
        <v>0.8783</v>
      </c>
    </row>
    <row r="32">
      <c r="B32" s="39" t="inlineStr">
        <is>
          <t>КИО</t>
        </is>
      </c>
      <c r="C32" s="24" t="inlineStr">
        <is>
          <t>коэф.</t>
        </is>
      </c>
      <c r="E32" s="56">
        <f>E31*(1-102.38/(60*'Параметры'!C27))</f>
        <v>0.7965582388888889</v>
      </c>
      <c r="F32" s="56">
        <f>F31*(1-102.38/(60*'Параметры'!C27))</f>
        <v>0.7684222166666668</v>
      </c>
      <c r="G32" s="56">
        <f>G31*(1-102.38/(60*'Параметры'!C27))</f>
        <v>0.7371123138888889</v>
      </c>
      <c r="H32" s="56">
        <f>H31*(1-102.38/(60*'Параметры'!C27))</f>
        <v>0.7696231444444445</v>
      </c>
      <c r="I32" s="56">
        <f>I31*(1-102.38/(60*'Параметры'!C27))</f>
        <v>0.7236447666666668</v>
      </c>
      <c r="J32" s="56">
        <f>J31*(1-102.38/(60*'Параметры'!C27))</f>
        <v>0.7696231444444445</v>
      </c>
      <c r="K32" s="56">
        <f>K31*(1-102.38/(60*'Параметры'!C27))</f>
        <v>0.7371123138888889</v>
      </c>
      <c r="L32" s="56">
        <f>L31*(1-102.38/(60*'Параметры'!C27))</f>
        <v>0.7696231444444445</v>
      </c>
      <c r="M32" s="56">
        <f>M31*(1-102.38/(60*'Параметры'!C27))</f>
        <v>0.7236447666666668</v>
      </c>
      <c r="N32" s="56">
        <f>N31*(1-102.38/(60*'Параметры'!C27))</f>
        <v>0.7534106194444444</v>
      </c>
    </row>
    <row r="33">
      <c r="B33" s="39" t="inlineStr">
        <is>
          <t>Эффективное время</t>
        </is>
      </c>
      <c r="C33" s="24" t="inlineStr">
        <is>
          <t>час/год</t>
        </is>
      </c>
      <c r="E33" s="41">
        <f>'Параметры'!C26*E32</f>
        <v>6977.850172666666</v>
      </c>
      <c r="F33" s="41">
        <f>'Параметры'!C26*F32</f>
        <v>6731.378618000001</v>
      </c>
      <c r="G33" s="41">
        <f>'Параметры'!C26*G32</f>
        <v>6457.1038696666665</v>
      </c>
      <c r="H33" s="41">
        <f>'Параметры'!C26*H32</f>
        <v>6741.898745333334</v>
      </c>
      <c r="I33" s="41">
        <f>'Параметры'!C26*I32</f>
        <v>6339.128156000001</v>
      </c>
      <c r="J33" s="41">
        <f>'Параметры'!C26*J32</f>
        <v>6741.898745333334</v>
      </c>
      <c r="K33" s="41">
        <f>'Параметры'!C26*K32</f>
        <v>6457.1038696666665</v>
      </c>
      <c r="L33" s="41">
        <f>'Параметры'!C26*L32</f>
        <v>6741.898745333334</v>
      </c>
      <c r="M33" s="41">
        <f>'Параметры'!C26*M32</f>
        <v>6339.128156000001</v>
      </c>
      <c r="N33" s="41">
        <f>'Параметры'!C26*N32</f>
        <v>6599.877026333334</v>
      </c>
    </row>
    <row r="34">
      <c r="B34" s="39" t="inlineStr">
        <is>
          <t>Объём перевозки</t>
        </is>
      </c>
      <c r="C34" s="24" t="inlineStr">
        <is>
          <t>тыс.т</t>
        </is>
      </c>
      <c r="E34" s="41">
        <f>'Производительность'!F9*E33/1000</f>
        <v>2797.296583207537</v>
      </c>
      <c r="F34" s="41">
        <f>'Производительность'!F9*F33/1000</f>
        <v>2698.4905010093817</v>
      </c>
      <c r="G34" s="41">
        <f>'Производительность'!F9*G33/1000</f>
        <v>2588.538610758385</v>
      </c>
      <c r="H34" s="41">
        <f>'Производительность'!F9*H33/1000</f>
        <v>2702.707833786132</v>
      </c>
      <c r="I34" s="41">
        <f>'Производительность'!F9*I33/1000</f>
        <v>2541.2442360476834</v>
      </c>
      <c r="J34" s="41">
        <f>'Производительность'!F9*J33/1000</f>
        <v>2702.707833786132</v>
      </c>
      <c r="K34" s="41">
        <f>'Производительность'!F9*K33/1000</f>
        <v>2588.538610758385</v>
      </c>
      <c r="L34" s="41">
        <f>'Производительность'!F9*L33/1000</f>
        <v>2702.707833786132</v>
      </c>
      <c r="M34" s="41">
        <f>'Производительность'!F9*M33/1000</f>
        <v>2541.2442360476834</v>
      </c>
      <c r="N34" s="41">
        <f>'Производительность'!F9*N33/1000</f>
        <v>2645.7738413</v>
      </c>
    </row>
    <row r="35">
      <c r="B35" s="39" t="inlineStr">
        <is>
          <t>Грузооборот</t>
        </is>
      </c>
      <c r="C35" s="24" t="inlineStr">
        <is>
          <t>тыс.ткм</t>
        </is>
      </c>
      <c r="E35" s="41">
        <f>E34*'Ввод данных'!F18</f>
        <v>12280.132000281086</v>
      </c>
      <c r="F35" s="41">
        <f>F34*'Ввод данных'!F18</f>
        <v>11846.373299431185</v>
      </c>
      <c r="G35" s="41">
        <f>G34*'Ввод данных'!F18</f>
        <v>11363.684501229309</v>
      </c>
      <c r="H35" s="41">
        <f>H34*'Ввод данных'!F18</f>
        <v>11864.887390321119</v>
      </c>
      <c r="I35" s="41">
        <f>I34*'Ввод данных'!F18</f>
        <v>11156.06219624933</v>
      </c>
      <c r="J35" s="41">
        <f>J34*'Ввод данных'!F18</f>
        <v>11864.887390321119</v>
      </c>
      <c r="K35" s="41">
        <f>K34*'Ввод данных'!F18</f>
        <v>11363.684501229309</v>
      </c>
      <c r="L35" s="41">
        <f>L34*'Ввод данных'!F18</f>
        <v>11864.887390321119</v>
      </c>
      <c r="M35" s="41">
        <f>M34*'Ввод данных'!F18</f>
        <v>11156.06219624933</v>
      </c>
      <c r="N35" s="41">
        <f>N34*'Ввод данных'!F18</f>
        <v>11614.947163307</v>
      </c>
    </row>
    <row r="36">
      <c r="B36" s="39" t="inlineStr">
        <is>
          <t>Пробег</t>
        </is>
      </c>
      <c r="C36" s="24" t="inlineStr">
        <is>
          <t>тыс.км</t>
        </is>
      </c>
      <c r="E36" s="41">
        <f>'Производительность'!F8*E33*2*'Ввод данных'!F18/1000</f>
        <v>115.39563253745762</v>
      </c>
      <c r="F36" s="41">
        <f>'Производительность'!F8*F33*2*'Ввод данных'!F18/1000</f>
        <v>111.31962914823879</v>
      </c>
      <c r="G36" s="41">
        <f>'Производительность'!F8*G33*2*'Ввод данных'!F18/1000</f>
        <v>106.78383269377268</v>
      </c>
      <c r="H36" s="41">
        <f>'Производительность'!F8*H33*2*'Ввод данных'!F18/1000</f>
        <v>111.49360490265666</v>
      </c>
      <c r="I36" s="41">
        <f>'Производительность'!F8*I33*2*'Ввод данных'!F18/1000</f>
        <v>104.83281887637224</v>
      </c>
      <c r="J36" s="41">
        <f>'Производительность'!F8*J33*2*'Ввод данных'!F18/1000</f>
        <v>111.49360490265666</v>
      </c>
      <c r="K36" s="41">
        <f>'Производительность'!F8*K33*2*'Ввод данных'!F18/1000</f>
        <v>106.78383269377268</v>
      </c>
      <c r="L36" s="41">
        <f>'Производительность'!F8*L33*2*'Ввод данных'!F18/1000</f>
        <v>111.49360490265666</v>
      </c>
      <c r="M36" s="41">
        <f>'Производительность'!F8*M33*2*'Ввод данных'!F18/1000</f>
        <v>104.83281887637224</v>
      </c>
      <c r="N36" s="41">
        <f>'Производительность'!F8*N33*2*'Ввод данных'!F18/1000</f>
        <v>109.14493221801533</v>
      </c>
    </row>
    <row r="38">
      <c r="B38" s="5" t="str">
        <f>"Вариант 4:  "&amp;'Ввод данных'!G7</f>
        <v>Вариант 4:  TZCO TZE240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B39" s="39" t="inlineStr">
        <is>
          <t>КТГ (по годам)</t>
        </is>
      </c>
      <c r="C39" s="24" t="inlineStr">
        <is>
          <t>коэф.</t>
        </is>
      </c>
      <c r="E39" s="56">
        <f>'Данные по годам'!E16</f>
        <v>0.8994</v>
      </c>
      <c r="F39" s="56">
        <f>'Данные по годам'!F16</f>
        <v>0.8743</v>
      </c>
      <c r="G39" s="56">
        <f>'Данные по годам'!G16</f>
        <v>0.7653</v>
      </c>
      <c r="H39" s="56">
        <f>'Данные по годам'!H16</f>
        <v>0.8743</v>
      </c>
      <c r="I39" s="56">
        <f>'Данные по годам'!I16</f>
        <v>0.8994</v>
      </c>
      <c r="J39" s="56">
        <f>'Данные по годам'!J16</f>
        <v>0.7396</v>
      </c>
      <c r="K39" s="56">
        <f>'Данные по годам'!K16</f>
        <v>0.8994</v>
      </c>
      <c r="L39" s="56">
        <f>'Данные по годам'!L16</f>
        <v>0.8743</v>
      </c>
      <c r="M39" s="56">
        <f>'Данные по годам'!M16</f>
        <v>0.8994</v>
      </c>
      <c r="N39" s="56">
        <f>'Данные по годам'!N16</f>
        <v>0.8743</v>
      </c>
    </row>
    <row r="40">
      <c r="B40" s="39" t="inlineStr">
        <is>
          <t>КИО</t>
        </is>
      </c>
      <c r="C40" s="24" t="inlineStr">
        <is>
          <t>коэф.</t>
        </is>
      </c>
      <c r="E40" s="56">
        <f>E39*(1-102.38/(60*'Параметры'!C27))</f>
        <v>0.7715103166666667</v>
      </c>
      <c r="F40" s="56">
        <f>F39*(1-102.38/(60*'Параметры'!C27))</f>
        <v>0.7499793972222222</v>
      </c>
      <c r="G40" s="56">
        <f>G39*(1-102.38/(60*'Параметры'!C27))</f>
        <v>0.6564785916666667</v>
      </c>
      <c r="H40" s="56">
        <f>H39*(1-102.38/(60*'Параметры'!C27))</f>
        <v>0.7499793972222222</v>
      </c>
      <c r="I40" s="56">
        <f>I39*(1-102.38/(60*'Параметры'!C27))</f>
        <v>0.7715103166666667</v>
      </c>
      <c r="J40" s="56">
        <f>J39*(1-102.38/(60*'Параметры'!C27))</f>
        <v>0.634432988888889</v>
      </c>
      <c r="K40" s="56">
        <f>K39*(1-102.38/(60*'Параметры'!C27))</f>
        <v>0.7715103166666667</v>
      </c>
      <c r="L40" s="56">
        <f>L39*(1-102.38/(60*'Параметры'!C27))</f>
        <v>0.7499793972222222</v>
      </c>
      <c r="M40" s="56">
        <f>M39*(1-102.38/(60*'Параметры'!C27))</f>
        <v>0.7715103166666667</v>
      </c>
      <c r="N40" s="56">
        <f>N39*(1-102.38/(60*'Параметры'!C27))</f>
        <v>0.7499793972222222</v>
      </c>
    </row>
    <row r="41">
      <c r="B41" s="39" t="inlineStr">
        <is>
          <t>Эффективное время</t>
        </is>
      </c>
      <c r="C41" s="24" t="inlineStr">
        <is>
          <t>час/год</t>
        </is>
      </c>
      <c r="E41" s="41">
        <f>'Параметры'!C26*E40</f>
        <v>6758.4303740000005</v>
      </c>
      <c r="F41" s="41">
        <f>'Параметры'!C26*F40</f>
        <v>6569.819519666667</v>
      </c>
      <c r="G41" s="41">
        <f>'Параметры'!C26*G40</f>
        <v>5750.752463</v>
      </c>
      <c r="H41" s="41">
        <f>'Параметры'!C26*H40</f>
        <v>6569.819519666667</v>
      </c>
      <c r="I41" s="41">
        <f>'Параметры'!C26*I40</f>
        <v>6758.4303740000005</v>
      </c>
      <c r="J41" s="41">
        <f>'Параметры'!C26*J40</f>
        <v>5557.632982666668</v>
      </c>
      <c r="K41" s="41">
        <f>'Параметры'!C26*K40</f>
        <v>6758.4303740000005</v>
      </c>
      <c r="L41" s="41">
        <f>'Параметры'!C26*L40</f>
        <v>6569.819519666667</v>
      </c>
      <c r="M41" s="41">
        <f>'Параметры'!C26*M40</f>
        <v>6758.4303740000005</v>
      </c>
      <c r="N41" s="41">
        <f>'Параметры'!C26*N40</f>
        <v>6569.819519666667</v>
      </c>
    </row>
    <row r="42">
      <c r="B42" s="39" t="inlineStr">
        <is>
          <t>Объём перевозки</t>
        </is>
      </c>
      <c r="C42" s="24" t="inlineStr">
        <is>
          <t>тыс.т</t>
        </is>
      </c>
      <c r="E42" s="41">
        <f>'Производительность'!G9*E41/1000</f>
        <v>2936.039629707487</v>
      </c>
      <c r="F42" s="41">
        <f>'Производительность'!G9*F41/1000</f>
        <v>2854.1021216958593</v>
      </c>
      <c r="G42" s="41">
        <f>'Производительность'!G9*G41/1000</f>
        <v>2498.2778837170777</v>
      </c>
      <c r="H42" s="41">
        <f>'Производительность'!G9*H41/1000</f>
        <v>2854.1021216958593</v>
      </c>
      <c r="I42" s="41">
        <f>'Производительность'!G9*I41/1000</f>
        <v>2936.039629707487</v>
      </c>
      <c r="J42" s="41">
        <f>'Производительность'!G9*J41/1000</f>
        <v>2414.381710175292</v>
      </c>
      <c r="K42" s="41">
        <f>'Производительность'!G9*K41/1000</f>
        <v>2936.039629707487</v>
      </c>
      <c r="L42" s="41">
        <f>'Производительность'!G9*L41/1000</f>
        <v>2854.1021216958593</v>
      </c>
      <c r="M42" s="41">
        <f>'Производительность'!G9*M41/1000</f>
        <v>2936.039629707487</v>
      </c>
      <c r="N42" s="41">
        <f>'Производительность'!G9*N41/1000</f>
        <v>2854.1021216958593</v>
      </c>
    </row>
    <row r="43">
      <c r="B43" s="39" t="inlineStr">
        <is>
          <t>Грузооборот</t>
        </is>
      </c>
      <c r="C43" s="24" t="inlineStr">
        <is>
          <t>тыс.ткм</t>
        </is>
      </c>
      <c r="E43" s="41">
        <f>E42*'Ввод данных'!G18</f>
        <v>11958.489411798597</v>
      </c>
      <c r="F43" s="41">
        <f>F42*'Ввод данных'!G18</f>
        <v>11624.757941667236</v>
      </c>
      <c r="G43" s="41">
        <f>G42*'Ввод данных'!G18</f>
        <v>10175.485820379658</v>
      </c>
      <c r="H43" s="41">
        <f>H42*'Ввод данных'!G18</f>
        <v>11624.757941667236</v>
      </c>
      <c r="I43" s="41">
        <f>I42*'Ввод данных'!G18</f>
        <v>11958.489411798597</v>
      </c>
      <c r="J43" s="41">
        <f>J42*'Ввод данных'!G18</f>
        <v>9833.776705543965</v>
      </c>
      <c r="K43" s="41">
        <f>K42*'Ввод данных'!G18</f>
        <v>11958.489411798597</v>
      </c>
      <c r="L43" s="41">
        <f>L42*'Ввод данных'!G18</f>
        <v>11624.757941667236</v>
      </c>
      <c r="M43" s="41">
        <f>M42*'Ввод данных'!G18</f>
        <v>11958.489411798597</v>
      </c>
      <c r="N43" s="41">
        <f>N42*'Ввод данных'!G18</f>
        <v>11624.757941667236</v>
      </c>
    </row>
    <row r="44">
      <c r="B44" s="39" t="inlineStr">
        <is>
          <t>Пробег</t>
        </is>
      </c>
      <c r="C44" s="24" t="inlineStr">
        <is>
          <t>тыс.км</t>
        </is>
      </c>
      <c r="E44" s="41">
        <f>'Производительность'!G8*E41*2*'Ввод данных'!G18/1000</f>
        <v>109.51930349195122</v>
      </c>
      <c r="F44" s="41">
        <f>'Производительность'!G8*F41*2*'Ввод данных'!G18/1000</f>
        <v>106.4628941994807</v>
      </c>
      <c r="G44" s="41">
        <f>'Производительность'!G8*G41*2*'Ввод данных'!G18/1000</f>
        <v>93.19004109672031</v>
      </c>
      <c r="H44" s="41">
        <f>'Производительность'!G8*H41*2*'Ввод данных'!G18/1000</f>
        <v>106.4628941994807</v>
      </c>
      <c r="I44" s="41">
        <f>'Производительность'!G8*I41*2*'Ввод данных'!G18/1000</f>
        <v>109.51930349195122</v>
      </c>
      <c r="J44" s="41">
        <f>'Производительность'!G8*J41*2*'Ввод данных'!G18/1000</f>
        <v>90.06057022753738</v>
      </c>
      <c r="K44" s="41">
        <f>'Производительность'!G8*K41*2*'Ввод данных'!G18/1000</f>
        <v>109.51930349195122</v>
      </c>
      <c r="L44" s="41">
        <f>'Производительность'!G8*L41*2*'Ввод данных'!G18/1000</f>
        <v>106.4628941994807</v>
      </c>
      <c r="M44" s="41">
        <f>'Производительность'!G8*M41*2*'Ввод данных'!G18/1000</f>
        <v>109.51930349195122</v>
      </c>
      <c r="N44" s="41">
        <f>'Производительность'!G8*N41*2*'Ввод данных'!G18/1000</f>
        <v>106.4628941994807</v>
      </c>
    </row>
    <row r="46">
      <c r="B46" s="5" t="str">
        <f>"Вариант 5:  "&amp;'Ввод данных'!H7</f>
        <v>Вариант 5:  БелАЗ 7531
(ГПФК)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39" t="inlineStr">
        <is>
          <t>КТГ (по годам)</t>
        </is>
      </c>
      <c r="C47" s="24" t="inlineStr">
        <is>
          <t>коэф.</t>
        </is>
      </c>
      <c r="E47" s="56">
        <f>'Данные по годам'!E19</f>
        <v>0.9066</v>
      </c>
      <c r="F47" s="56">
        <f>'Данные по годам'!F19</f>
        <v>0.8842</v>
      </c>
      <c r="G47" s="56">
        <f>'Данные по годам'!G19</f>
        <v>0.863</v>
      </c>
      <c r="H47" s="56">
        <f>'Данные по годам'!H19</f>
        <v>0.8732</v>
      </c>
      <c r="I47" s="56">
        <f>'Данные по годам'!I19</f>
        <v>0.8797</v>
      </c>
      <c r="J47" s="56">
        <f>'Данные по годам'!J19</f>
        <v>0.8448</v>
      </c>
      <c r="K47" s="56">
        <f>'Данные по годам'!K19</f>
        <v>0.8955</v>
      </c>
      <c r="L47" s="56">
        <f>'Данные по годам'!L19</f>
        <v>0.853</v>
      </c>
      <c r="M47" s="56">
        <f>'Данные по годам'!M19</f>
        <v>0.8405</v>
      </c>
      <c r="N47" s="56">
        <f>'Данные по годам'!N19</f>
        <v>0.8595</v>
      </c>
    </row>
    <row r="48">
      <c r="B48" s="39" t="inlineStr">
        <is>
          <t>КИО</t>
        </is>
      </c>
      <c r="C48" s="24" t="inlineStr">
        <is>
          <t>коэф.</t>
        </is>
      </c>
      <c r="E48" s="56">
        <f>E47*(1-102.38/(60*'Параметры'!C27))</f>
        <v>0.7776865166666667</v>
      </c>
      <c r="F48" s="56">
        <f>F47*(1-102.38/(60*'Параметры'!C27))</f>
        <v>0.7584716722222222</v>
      </c>
      <c r="G48" s="56">
        <f>G47*(1-102.38/(60*'Параметры'!C27))</f>
        <v>0.7402861944444444</v>
      </c>
      <c r="H48" s="56">
        <f>H47*(1-102.38/(60*'Параметры'!C27))</f>
        <v>0.7490358111111112</v>
      </c>
      <c r="I48" s="56">
        <f>I47*(1-102.38/(60*'Параметры'!C27))</f>
        <v>0.7546115472222223</v>
      </c>
      <c r="J48" s="56">
        <f>J47*(1-102.38/(60*'Параметры'!C27))</f>
        <v>0.7246741333333334</v>
      </c>
      <c r="K48" s="56">
        <f>K47*(1-102.38/(60*'Параметры'!C27))</f>
        <v>0.768164875</v>
      </c>
      <c r="L48" s="56">
        <f>L47*(1-102.38/(60*'Параметры'!C27))</f>
        <v>0.7317081388888889</v>
      </c>
      <c r="M48" s="56">
        <f>M47*(1-102.38/(60*'Параметры'!C27))</f>
        <v>0.7209855694444445</v>
      </c>
      <c r="N48" s="56">
        <f>N47*(1-102.38/(60*'Параметры'!C27))</f>
        <v>0.737283875</v>
      </c>
    </row>
    <row r="49">
      <c r="B49" s="39" t="inlineStr">
        <is>
          <t>Эффективное время</t>
        </is>
      </c>
      <c r="C49" s="24" t="inlineStr">
        <is>
          <t>час/год</t>
        </is>
      </c>
      <c r="E49" s="41">
        <f>'Параметры'!C26*E48</f>
        <v>6812.533886</v>
      </c>
      <c r="F49" s="41">
        <f>'Параметры'!C26*F48</f>
        <v>6644.211848666667</v>
      </c>
      <c r="G49" s="41">
        <f>'Параметры'!C26*G48</f>
        <v>6484.907063333333</v>
      </c>
      <c r="H49" s="41">
        <f>'Параметры'!C26*H48</f>
        <v>6561.553705333334</v>
      </c>
      <c r="I49" s="41">
        <f>'Параметры'!C26*I48</f>
        <v>6610.397153666668</v>
      </c>
      <c r="J49" s="41">
        <f>'Параметры'!C26*J48</f>
        <v>6348.145408</v>
      </c>
      <c r="K49" s="41">
        <f>'Параметры'!C26*K48</f>
        <v>6729.124304999999</v>
      </c>
      <c r="L49" s="41">
        <f>'Параметры'!C26*L48</f>
        <v>6409.763296666666</v>
      </c>
      <c r="M49" s="41">
        <f>'Параметры'!C26*M48</f>
        <v>6315.833588333334</v>
      </c>
      <c r="N49" s="41">
        <f>'Параметры'!C26*N48</f>
        <v>6458.606745</v>
      </c>
    </row>
    <row r="50">
      <c r="B50" s="39" t="inlineStr">
        <is>
          <t>Объём перевозки</t>
        </is>
      </c>
      <c r="C50" s="24" t="inlineStr">
        <is>
          <t>тыс.т</t>
        </is>
      </c>
      <c r="E50" s="41">
        <f>'Производительность'!H9*E49/1000</f>
        <v>2925.72781530759</v>
      </c>
      <c r="F50" s="41">
        <f>'Производительность'!H9*F49/1000</f>
        <v>2853.4398128115718</v>
      </c>
      <c r="G50" s="41">
        <f>'Производительность'!H9*G49/1000</f>
        <v>2785.02438187784</v>
      </c>
      <c r="H50" s="41">
        <f>'Производительность'!H9*H49/1000</f>
        <v>2817.941240157277</v>
      </c>
      <c r="I50" s="41">
        <f>'Производительность'!H9*I49/1000</f>
        <v>2838.917669452997</v>
      </c>
      <c r="J50" s="41">
        <f>'Производительность'!H9*J49/1000</f>
        <v>2726.290379849826</v>
      </c>
      <c r="K50" s="41">
        <f>'Производительность'!H9*K49/1000</f>
        <v>2889.906528356438</v>
      </c>
      <c r="L50" s="41">
        <f>'Производительность'!H9*L49/1000</f>
        <v>2752.752952192118</v>
      </c>
      <c r="M50" s="41">
        <f>'Производительность'!H9*M49/1000</f>
        <v>2712.413665084965</v>
      </c>
      <c r="N50" s="41">
        <f>'Производительность'!H9*N49/1000</f>
        <v>2773.7293814878376</v>
      </c>
    </row>
    <row r="51">
      <c r="B51" s="39" t="inlineStr">
        <is>
          <t>Грузооборот</t>
        </is>
      </c>
      <c r="C51" s="24" t="inlineStr">
        <is>
          <t>тыс.ткм</t>
        </is>
      </c>
      <c r="E51" s="41">
        <f>E50*'Ввод данных'!H18</f>
        <v>12446.046126318486</v>
      </c>
      <c r="F51" s="41">
        <f>F50*'Ввод данных'!H18</f>
        <v>12138.532963700425</v>
      </c>
      <c r="G51" s="41">
        <f>G50*'Ввод данных'!H18</f>
        <v>11847.49372050833</v>
      </c>
      <c r="H51" s="41">
        <f>H50*'Ввод данных'!H18</f>
        <v>11987.522035629056</v>
      </c>
      <c r="I51" s="41">
        <f>I50*'Ввод данных'!H18</f>
        <v>12076.755765853048</v>
      </c>
      <c r="J51" s="41">
        <f>J50*'Ввод данных'!H18</f>
        <v>11597.639275881158</v>
      </c>
      <c r="K51" s="41">
        <f>K50*'Ввод данных'!H18</f>
        <v>12293.662371628285</v>
      </c>
      <c r="L51" s="41">
        <f>L50*'Ввод данных'!H18</f>
        <v>11710.211058625267</v>
      </c>
      <c r="M51" s="41">
        <f>M50*'Ввод данных'!H18</f>
        <v>11538.60773127144</v>
      </c>
      <c r="N51" s="41">
        <f>N50*'Ввод данных'!H18</f>
        <v>11799.44478884926</v>
      </c>
    </row>
    <row r="52">
      <c r="B52" s="39" t="inlineStr">
        <is>
          <t>Пробег</t>
        </is>
      </c>
      <c r="C52" s="24" t="inlineStr">
        <is>
          <t>тыс.км</t>
        </is>
      </c>
      <c r="E52" s="41">
        <f>'Производительность'!H8*E49*2*'Ввод данных'!H18/1000</f>
        <v>111.71989635310291</v>
      </c>
      <c r="F52" s="41">
        <f>'Производительность'!H8*F49*2*'Ввод данных'!H18/1000</f>
        <v>108.95955477102756</v>
      </c>
      <c r="G52" s="41">
        <f>'Производительность'!H8*G49*2*'Ввод данных'!H18/1000</f>
        <v>106.3470886308491</v>
      </c>
      <c r="H52" s="41">
        <f>'Производительность'!H8*H49*2*'Ввод данных'!H18/1000</f>
        <v>107.60402988697271</v>
      </c>
      <c r="I52" s="41">
        <f>'Производительность'!H8*I49*2*'Ввод данных'!H18/1000</f>
        <v>108.40502186391424</v>
      </c>
      <c r="J52" s="41">
        <f>'Производительность'!H8*J49*2*'Ввод данных'!H18/1000</f>
        <v>104.10431109541291</v>
      </c>
      <c r="K52" s="41">
        <f>'Производительность'!H8*K49*2*'Ввод данных'!H18/1000</f>
        <v>110.35204851555665</v>
      </c>
      <c r="L52" s="41">
        <f>'Производительность'!H8*L49*2*'Ввод данных'!H18/1000</f>
        <v>105.11479328170833</v>
      </c>
      <c r="M52" s="41">
        <f>'Производительность'!H8*M49*2*'Ввод данных'!H18/1000</f>
        <v>103.57442409528238</v>
      </c>
      <c r="N52" s="41">
        <f>'Производительность'!H8*N49*2*'Ввод данных'!H18/1000</f>
        <v>105.91578525864983</v>
      </c>
    </row>
    <row r="54">
      <c r="B54" s="5" t="str">
        <f>"Вариант 6:  "&amp;'Ввод данных'!I7</f>
        <v>Вариант 6:  БелАЗ 7531
(БТЛ)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39" t="inlineStr">
        <is>
          <t>КТГ (по годам)</t>
        </is>
      </c>
      <c r="C55" s="24" t="inlineStr">
        <is>
          <t>коэф.</t>
        </is>
      </c>
      <c r="E55" s="56">
        <f>'Данные по годам'!E22</f>
        <v>0.9151</v>
      </c>
      <c r="F55" s="56">
        <f>'Данные по годам'!F22</f>
        <v>0.8934</v>
      </c>
      <c r="G55" s="56">
        <f>'Данные по годам'!G22</f>
        <v>0.8846</v>
      </c>
      <c r="H55" s="56">
        <f>'Данные по годам'!H22</f>
        <v>0.8669</v>
      </c>
      <c r="I55" s="56">
        <f>'Данные по годам'!I22</f>
        <v>0.8865</v>
      </c>
      <c r="J55" s="56">
        <f>'Данные по годам'!J22</f>
        <v>0.856</v>
      </c>
      <c r="K55" s="56">
        <f>'Данные по годам'!K22</f>
        <v>0.8373</v>
      </c>
      <c r="L55" s="56">
        <f>'Данные по годам'!L22</f>
        <v>0.8777</v>
      </c>
      <c r="M55" s="56">
        <f>'Данные по годам'!M22</f>
        <v>0.8442</v>
      </c>
      <c r="N55" s="56">
        <f>'Данные по годам'!N22</f>
        <v>0.8383</v>
      </c>
    </row>
    <row r="56">
      <c r="B56" s="39" t="inlineStr">
        <is>
          <t>КИО</t>
        </is>
      </c>
      <c r="C56" s="24" t="inlineStr">
        <is>
          <t>коэф.</t>
        </is>
      </c>
      <c r="E56" s="56">
        <f>E55*(1-102.38/(60*'Параметры'!C27))</f>
        <v>0.7849778638888889</v>
      </c>
      <c r="F56" s="56">
        <f>F55*(1-102.38/(60*'Параметры'!C27))</f>
        <v>0.7663634833333334</v>
      </c>
      <c r="G56" s="56">
        <f>G55*(1-102.38/(60*'Параметры'!C27))</f>
        <v>0.7588147944444446</v>
      </c>
      <c r="H56" s="56">
        <f>H55*(1-102.38/(60*'Параметры'!C27))</f>
        <v>0.7436316361111112</v>
      </c>
      <c r="I56" s="56">
        <f>I55*(1-102.38/(60*'Параметры'!C27))</f>
        <v>0.760444625</v>
      </c>
      <c r="J56" s="56">
        <f>J55*(1-102.38/(60*'Параметры'!C27))</f>
        <v>0.7342815555555556</v>
      </c>
      <c r="K56" s="56">
        <f>K55*(1-102.38/(60*'Параметры'!C27))</f>
        <v>0.7182405916666668</v>
      </c>
      <c r="L56" s="56">
        <f>L55*(1-102.38/(60*'Параметры'!C27))</f>
        <v>0.7528959361111112</v>
      </c>
      <c r="M56" s="56">
        <f>M55*(1-102.38/(60*'Параметры'!C27))</f>
        <v>0.72415945</v>
      </c>
      <c r="N56" s="56">
        <f>N55*(1-102.38/(60*'Параметры'!C27))</f>
        <v>0.7190983972222224</v>
      </c>
    </row>
    <row r="57">
      <c r="B57" s="39" t="inlineStr">
        <is>
          <t>Эффективное время</t>
        </is>
      </c>
      <c r="C57" s="24" t="inlineStr">
        <is>
          <t>час/год</t>
        </is>
      </c>
      <c r="E57" s="41">
        <f>'Параметры'!C26*E56</f>
        <v>6876.406087666667</v>
      </c>
      <c r="F57" s="41">
        <f>'Параметры'!C26*F56</f>
        <v>6713.344114</v>
      </c>
      <c r="G57" s="41">
        <f>'Параметры'!C26*G56</f>
        <v>6647.217599333334</v>
      </c>
      <c r="H57" s="41">
        <f>'Параметры'!C26*H56</f>
        <v>6514.213132333334</v>
      </c>
      <c r="I57" s="41">
        <f>'Параметры'!C26*I56</f>
        <v>6661.494915</v>
      </c>
      <c r="J57" s="41">
        <f>'Параметры'!C26*J56</f>
        <v>6432.306426666667</v>
      </c>
      <c r="K57" s="41">
        <f>'Параметры'!C26*K56</f>
        <v>6291.787583000001</v>
      </c>
      <c r="L57" s="41">
        <f>'Параметры'!C26*L56</f>
        <v>6595.368400333334</v>
      </c>
      <c r="M57" s="41">
        <f>'Параметры'!C26*M56</f>
        <v>6343.6367820000005</v>
      </c>
      <c r="N57" s="41">
        <f>'Параметры'!C26*N56</f>
        <v>6299.301959666668</v>
      </c>
    </row>
    <row r="58">
      <c r="B58" s="39" t="inlineStr">
        <is>
          <t>Объём перевозки</t>
        </is>
      </c>
      <c r="C58" s="24" t="inlineStr">
        <is>
          <t>тыс.т</t>
        </is>
      </c>
      <c r="E58" s="41">
        <f>'Производительность'!I9*E57/1000</f>
        <v>2953.158530540454</v>
      </c>
      <c r="F58" s="41">
        <f>'Производительность'!I9*F57/1000</f>
        <v>2883.1295281224366</v>
      </c>
      <c r="G58" s="41">
        <f>'Производительность'!I9*G57/1000</f>
        <v>2854.7306699990013</v>
      </c>
      <c r="H58" s="41">
        <f>'Производительность'!I9*H57/1000</f>
        <v>2797.610239455272</v>
      </c>
      <c r="I58" s="41">
        <f>'Производительность'!I9*I57/1000</f>
        <v>2860.862241639288</v>
      </c>
      <c r="J58" s="41">
        <f>'Производительность'!I9*J57/1000</f>
        <v>2762.434381097835</v>
      </c>
      <c r="K58" s="41">
        <f>'Производительность'!I9*K57/1000</f>
        <v>2702.086807585534</v>
      </c>
      <c r="L58" s="41">
        <f>'Производительность'!I9*L57/1000</f>
        <v>2832.4633835158525</v>
      </c>
      <c r="M58" s="41">
        <f>'Производительность'!I9*M57/1000</f>
        <v>2724.354094068682</v>
      </c>
      <c r="N58" s="41">
        <f>'Производительность'!I9*N57/1000</f>
        <v>2705.3139505541067</v>
      </c>
    </row>
    <row r="59">
      <c r="B59" s="39" t="inlineStr">
        <is>
          <t>Грузооборот</t>
        </is>
      </c>
      <c r="C59" s="24" t="inlineStr">
        <is>
          <t>тыс.ткм</t>
        </is>
      </c>
      <c r="E59" s="41">
        <f>E58*'Ввод данных'!I18</f>
        <v>12562.736388919091</v>
      </c>
      <c r="F59" s="41">
        <f>F58*'Ввод данных'!I18</f>
        <v>12264.833012632844</v>
      </c>
      <c r="G59" s="41">
        <f>G58*'Ввод данных'!I18</f>
        <v>12144.02427017575</v>
      </c>
      <c r="H59" s="41">
        <f>H58*'Ввод данных'!I18</f>
        <v>11901.033958642727</v>
      </c>
      <c r="I59" s="41">
        <f>I58*'Ввод данных'!I18</f>
        <v>12170.10797593353</v>
      </c>
      <c r="J59" s="41">
        <f>J58*'Ввод данных'!I18</f>
        <v>11751.395857190188</v>
      </c>
      <c r="K59" s="41">
        <f>K58*'Ввод данных'!I18</f>
        <v>11494.67727946886</v>
      </c>
      <c r="L59" s="41">
        <f>L58*'Ввод данных'!I18</f>
        <v>12049.299233476435</v>
      </c>
      <c r="M59" s="41">
        <f>M58*'Ввод данных'!I18</f>
        <v>11589.402316168173</v>
      </c>
      <c r="N59" s="41">
        <f>N58*'Ввод данных'!I18</f>
        <v>11508.405545657168</v>
      </c>
    </row>
    <row r="60">
      <c r="B60" s="39" t="inlineStr">
        <is>
          <t>Пробег</t>
        </is>
      </c>
      <c r="C60" s="24" t="inlineStr">
        <is>
          <t>тыс.км</t>
        </is>
      </c>
      <c r="E60" s="41">
        <f>'Производительность'!I8*E57*2*'Ввод данных'!I18/1000</f>
        <v>112.76734739987258</v>
      </c>
      <c r="F60" s="41">
        <f>'Производительность'!I8*F57*2*'Ввод данных'!I18/1000</f>
        <v>110.09326649223709</v>
      </c>
      <c r="G60" s="41">
        <f>'Производительность'!I8*G57*2*'Ввод данных'!I18/1000</f>
        <v>109.00884658499321</v>
      </c>
      <c r="H60" s="41">
        <f>'Производительность'!I8*H57*2*'Ввод данных'!I18/1000</f>
        <v>106.82768381701403</v>
      </c>
      <c r="I60" s="41">
        <f>'Производительность'!I8*I57*2*'Ввод данных'!I18/1000</f>
        <v>109.24298270132995</v>
      </c>
      <c r="J60" s="41">
        <f>'Производительность'!I8*J57*2*'Ввод данных'!I18/1000</f>
        <v>105.48448188645057</v>
      </c>
      <c r="K60" s="41">
        <f>'Производительность'!I8*K57*2*'Ввод данных'!I18/1000</f>
        <v>103.18008958355733</v>
      </c>
      <c r="L60" s="41">
        <f>'Производительность'!I8*L57*2*'Ввод данных'!I18/1000</f>
        <v>108.15856279408607</v>
      </c>
      <c r="M60" s="41">
        <f>'Производительность'!I8*M57*2*'Ввод данных'!I18/1000</f>
        <v>104.03037337446447</v>
      </c>
      <c r="N60" s="41">
        <f>'Производительность'!I8*N57*2*'Ввод данных'!I18/1000</f>
        <v>103.30331911847142</v>
      </c>
    </row>
  </sheetData>
  <mergeCells count="9">
    <mergeCell ref="B46:N46"/>
    <mergeCell ref="B22:N22"/>
    <mergeCell ref="B14:N14"/>
    <mergeCell ref="B1:N1"/>
    <mergeCell ref="B12:N12"/>
    <mergeCell ref="B30:N30"/>
    <mergeCell ref="B54:N54"/>
    <mergeCell ref="B38:N38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13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7" t="inlineStr">
        <is>
          <t>Период</t>
        </is>
      </c>
      <c r="D4" s="58" t="n">
        <v>0</v>
      </c>
      <c r="E4" s="58" t="n">
        <v>1</v>
      </c>
      <c r="F4" s="58" t="n">
        <v>2</v>
      </c>
      <c r="G4" s="58" t="n">
        <v>3</v>
      </c>
      <c r="H4" s="58" t="n">
        <v>4</v>
      </c>
      <c r="I4" s="58" t="n">
        <v>5</v>
      </c>
      <c r="J4" s="58" t="n">
        <v>6</v>
      </c>
      <c r="K4" s="58" t="n">
        <v>7</v>
      </c>
      <c r="L4" s="58" t="n">
        <v>8</v>
      </c>
      <c r="M4" s="58" t="n">
        <v>9</v>
      </c>
      <c r="N4" s="58" t="n">
        <v>10</v>
      </c>
    </row>
    <row r="5">
      <c r="B5" s="59" t="inlineStr">
        <is>
          <t>Календарный год</t>
        </is>
      </c>
      <c r="D5" s="24" t="n">
        <v>2027</v>
      </c>
      <c r="E5" s="24" t="n">
        <v>2028</v>
      </c>
      <c r="F5" s="24" t="n">
        <v>2029</v>
      </c>
      <c r="G5" s="24" t="n">
        <v>2030</v>
      </c>
      <c r="H5" s="24" t="n">
        <v>2031</v>
      </c>
      <c r="I5" s="24" t="n">
        <v>2032</v>
      </c>
      <c r="J5" s="24" t="n">
        <v>2033</v>
      </c>
      <c r="K5" s="24" t="n">
        <v>2034</v>
      </c>
      <c r="L5" s="24" t="n">
        <v>2035</v>
      </c>
      <c r="M5" s="24" t="n">
        <v>2036</v>
      </c>
      <c r="N5" s="24" t="n">
        <v>2037</v>
      </c>
    </row>
    <row r="6">
      <c r="B6" s="57" t="inlineStr">
        <is>
          <t>Дисконт-фактор</t>
        </is>
      </c>
      <c r="D6" s="60">
        <f>1/(1+'Параметры'!C6)^D$4</f>
        <v>1.0</v>
      </c>
      <c r="E6" s="60">
        <f>1/(1+'Параметры'!C6)^E$4</f>
        <v>0.8928571428571428</v>
      </c>
      <c r="F6" s="60">
        <f>1/(1+'Параметры'!C6)^F$4</f>
        <v>0.7971938775510203</v>
      </c>
      <c r="G6" s="60">
        <f>1/(1+'Параметры'!C6)^G$4</f>
        <v>0.7117802478134109</v>
      </c>
      <c r="H6" s="60">
        <f>1/(1+'Параметры'!C6)^H$4</f>
        <v>0.6355180784048311</v>
      </c>
      <c r="I6" s="60">
        <f>1/(1+'Параметры'!C6)^I$4</f>
        <v>0.5674268557185992</v>
      </c>
      <c r="J6" s="60">
        <f>1/(1+'Параметры'!C6)^J$4</f>
        <v>0.5066311211773206</v>
      </c>
      <c r="K6" s="60">
        <f>1/(1+'Параметры'!C6)^K$4</f>
        <v>0.4523492153368934</v>
      </c>
      <c r="L6" s="60">
        <f>1/(1+'Параметры'!C6)^L$4</f>
        <v>0.40388322797936904</v>
      </c>
      <c r="M6" s="60">
        <f>1/(1+'Параметры'!C6)^M$4</f>
        <v>0.36061002498157946</v>
      </c>
      <c r="N6" s="60">
        <f>1/(1+'Параметры'!C6)^N$4</f>
        <v>0.32197323659069593</v>
      </c>
    </row>
    <row r="8">
      <c r="B8" s="5" t="str">
        <f>"Вариант 1:  "&amp;'Ввод данных'!D7</f>
        <v>Вариант 1:  NHL NTE 240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5" t="n"/>
      <c r="E9" s="55">
        <f>'Данные по годам'!E7</f>
        <v>0.9331</v>
      </c>
      <c r="F9" s="55">
        <f>'Данные по годам'!F7</f>
        <v>0.926</v>
      </c>
      <c r="G9" s="55">
        <f>'Данные по годам'!G7</f>
        <v>0.9165</v>
      </c>
      <c r="H9" s="55">
        <f>'Данные по годам'!H7</f>
        <v>0.9041</v>
      </c>
      <c r="I9" s="55">
        <f>'Данные по годам'!I7</f>
        <v>0.9289</v>
      </c>
      <c r="J9" s="55">
        <f>'Данные по годам'!J7</f>
        <v>0.9173</v>
      </c>
      <c r="K9" s="55">
        <f>'Данные по годам'!K7</f>
        <v>0.9269</v>
      </c>
      <c r="L9" s="55">
        <f>'Данные по годам'!L7</f>
        <v>0.9068</v>
      </c>
      <c r="M9" s="55">
        <f>'Данные по годам'!M7</f>
        <v>0.9127</v>
      </c>
      <c r="N9" s="55">
        <f>'Данные по годам'!N7</f>
        <v>0.9278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52" t="n"/>
      <c r="E10" s="52">
        <f>'Параметры'!C26*E9*(1-102.38/(60*'Параметры'!C27))</f>
        <v>7011.664867666667</v>
      </c>
      <c r="F10" s="52">
        <f>'Параметры'!C26*F9*(1-102.38/(60*'Параметры'!C27))</f>
        <v>6958.3127933333335</v>
      </c>
      <c r="G10" s="52">
        <f>'Параметры'!C26*G9*(1-102.38/(60*'Параметры'!C27))</f>
        <v>6886.926215</v>
      </c>
      <c r="H10" s="52">
        <f>'Параметры'!C26*H9*(1-102.38/(60*'Параметры'!C27))</f>
        <v>6793.747944333334</v>
      </c>
      <c r="I10" s="52">
        <f>'Параметры'!C26*I9*(1-102.38/(60*'Параметры'!C27))</f>
        <v>6980.104485666667</v>
      </c>
      <c r="J10" s="52">
        <f>'Параметры'!C26*J9*(1-102.38/(60*'Параметры'!C27))</f>
        <v>6892.937716333334</v>
      </c>
      <c r="K10" s="52">
        <f>'Параметры'!C26*K9*(1-102.38/(60*'Параметры'!C27))</f>
        <v>6965.075732333333</v>
      </c>
      <c r="L10" s="52">
        <f>'Параметры'!C26*L9*(1-102.38/(60*'Параметры'!C27))</f>
        <v>6814.036761333334</v>
      </c>
      <c r="M10" s="52">
        <f>'Параметры'!C26*M9*(1-102.38/(60*'Параметры'!C27))</f>
        <v>6858.371583666667</v>
      </c>
      <c r="N10" s="52">
        <f>'Параметры'!C26*N9*(1-102.38/(60*'Параметры'!C27))</f>
        <v>6971.838671333333</v>
      </c>
    </row>
    <row r="11">
      <c r="B11" s="22" t="inlineStr">
        <is>
          <t>Объём перевозки</t>
        </is>
      </c>
      <c r="C11" s="24" t="inlineStr">
        <is>
          <t>тыс.т</t>
        </is>
      </c>
      <c r="D11" s="52" t="n"/>
      <c r="E11" s="52">
        <f>'Производительность'!D9*E10/1000</f>
        <v>2767.728487085223</v>
      </c>
      <c r="F11" s="52">
        <f>'Производительность'!D9*F10/1000</f>
        <v>2746.6687161514483</v>
      </c>
      <c r="G11" s="52">
        <f>'Производительность'!D9*G10/1000</f>
        <v>2718.490149409074</v>
      </c>
      <c r="H11" s="52">
        <f>'Производительность'!D9*H10/1000</f>
        <v>2681.7097043979747</v>
      </c>
      <c r="I11" s="52">
        <f>'Производительность'!D9*I10/1000</f>
        <v>2755.270594420173</v>
      </c>
      <c r="J11" s="52">
        <f>'Производительность'!D9*J10/1000</f>
        <v>2720.8630813452737</v>
      </c>
      <c r="K11" s="52">
        <f>'Производительность'!D9*K10/1000</f>
        <v>2749.338264579673</v>
      </c>
      <c r="L11" s="52">
        <f>'Производительность'!D9*L10/1000</f>
        <v>2689.7183496826497</v>
      </c>
      <c r="M11" s="52">
        <f>'Производительность'!D9*M10/1000</f>
        <v>2707.2187227121244</v>
      </c>
      <c r="N11" s="52">
        <f>'Производительность'!D9*N10/1000</f>
        <v>2752.0078130078978</v>
      </c>
    </row>
    <row r="12">
      <c r="B12" s="22" t="inlineStr">
        <is>
          <t>Грузооборот</t>
        </is>
      </c>
      <c r="C12" s="24" t="inlineStr">
        <is>
          <t>тыс.ткм</t>
        </is>
      </c>
      <c r="D12" s="52" t="n"/>
      <c r="E12" s="52">
        <f>E11*'Ввод данных'!D18</f>
        <v>13293.399923470326</v>
      </c>
      <c r="F12" s="52">
        <f>F11*'Ввод данных'!D18</f>
        <v>13192.249843675407</v>
      </c>
      <c r="G12" s="52">
        <f>G11*'Ввод данных'!D18</f>
        <v>13056.908187611783</v>
      </c>
      <c r="H12" s="52">
        <f>H11*'Ввод данных'!D18</f>
        <v>12880.251710223472</v>
      </c>
      <c r="I12" s="52">
        <f>I11*'Ввод данных'!D18</f>
        <v>13233.56466500009</v>
      </c>
      <c r="J12" s="52">
        <f>J11*'Ввод данных'!D18</f>
        <v>13068.305379701349</v>
      </c>
      <c r="K12" s="52">
        <f>K11*'Ввод данных'!D18</f>
        <v>13205.071684776169</v>
      </c>
      <c r="L12" s="52">
        <f>L11*'Ввод данных'!D18</f>
        <v>12918.717233525766</v>
      </c>
      <c r="M12" s="52">
        <f>M11*'Ввод данных'!D18</f>
        <v>13002.771525186334</v>
      </c>
      <c r="N12" s="52">
        <f>N11*'Ввод данных'!D18</f>
        <v>13217.893525876932</v>
      </c>
    </row>
    <row r="13">
      <c r="B13" s="22" t="inlineStr">
        <is>
          <t>Пробег</t>
        </is>
      </c>
      <c r="C13" s="24" t="inlineStr">
        <is>
          <t>тыс.км</t>
        </is>
      </c>
      <c r="D13" s="52" t="n"/>
      <c r="E13" s="52">
        <f>'Производительность'!D8*E10*2*'Ввод данных'!D18/1000</f>
        <v>118.64506400304172</v>
      </c>
      <c r="F13" s="52">
        <f>'Производительность'!D8*F10*2*'Ввод данных'!D18/1000</f>
        <v>117.74228835796445</v>
      </c>
      <c r="G13" s="52">
        <f>'Производительность'!D8*G10*2*'Ввод данных'!D18/1000</f>
        <v>116.5343491145512</v>
      </c>
      <c r="H13" s="52">
        <f>'Производительность'!D8*H10*2*'Ввод данных'!D18/1000</f>
        <v>114.95767052314866</v>
      </c>
      <c r="I13" s="52">
        <f>'Производительность'!D8*I10*2*'Ввод данных'!D18/1000</f>
        <v>118.11102770595375</v>
      </c>
      <c r="J13" s="52">
        <f>'Производительность'!D8*J10*2*'Ввод данных'!D18/1000</f>
        <v>116.63607031399653</v>
      </c>
      <c r="K13" s="52">
        <f>'Производительность'!D8*K10*2*'Ввод данных'!D18/1000</f>
        <v>117.85672470734045</v>
      </c>
      <c r="L13" s="52">
        <f>'Производительность'!D8*L10*2*'Ввод данных'!D18/1000</f>
        <v>115.30097957127664</v>
      </c>
      <c r="M13" s="52">
        <f>'Производительность'!D8*M10*2*'Ввод данных'!D18/1000</f>
        <v>116.05117341718591</v>
      </c>
      <c r="N13" s="52">
        <f>'Производительность'!D8*N10*2*'Ввод данных'!D18/1000</f>
        <v>117.97116105671641</v>
      </c>
    </row>
    <row r="14">
      <c r="B14" s="22" t="inlineStr">
        <is>
          <t>Топливо</t>
        </is>
      </c>
      <c r="C14" s="24" t="inlineStr">
        <is>
          <t>тыс.руб</t>
        </is>
      </c>
      <c r="D14" s="52" t="n"/>
      <c r="E14" s="52">
        <f>E12*'Параметры'!C32/1000*'Параметры'!C10*(1+'Параметры'!C14)^(E$4-1)</f>
        <v>68805.17041253086</v>
      </c>
      <c r="F14" s="52">
        <f>F12*'Параметры'!C32/1000*'Параметры'!C10*(1+'Параметры'!C14)^(F$4-1)</f>
        <v>68281.62876648117</v>
      </c>
      <c r="G14" s="52">
        <f>G12*'Параметры'!C32/1000*'Параметры'!C10*(1+'Параметры'!C14)^(G$4-1)</f>
        <v>67581.11529641469</v>
      </c>
      <c r="H14" s="52">
        <f>H12*'Параметры'!C32/1000*'Параметры'!C10*(1+'Параметры'!C14)^(H$4-1)</f>
        <v>66666.7608723279</v>
      </c>
      <c r="I14" s="52">
        <f>I12*'Параметры'!C32/1000*'Параметры'!C10*(1+'Параметры'!C14)^(I$4-1)</f>
        <v>68495.46972050147</v>
      </c>
      <c r="J14" s="52">
        <f>J12*'Параметры'!C32/1000*'Параметры'!C10*(1+'Параметры'!C14)^(J$4-1)</f>
        <v>67640.10590442027</v>
      </c>
      <c r="K14" s="52">
        <f>K12*'Параметры'!C32/1000*'Параметры'!C10*(1+'Параметры'!C14)^(K$4-1)</f>
        <v>68347.99320048746</v>
      </c>
      <c r="L14" s="52">
        <f>L12*'Параметры'!C32/1000*'Параметры'!C10*(1+'Параметры'!C14)^(L$4-1)</f>
        <v>66865.8541743468</v>
      </c>
      <c r="M14" s="52">
        <f>M12*'Параметры'!C32/1000*'Параметры'!C10*(1+'Параметры'!C14)^(M$4-1)</f>
        <v>67300.9099083881</v>
      </c>
      <c r="N14" s="52">
        <f>N12*'Параметры'!C32/1000*'Параметры'!C10*(1+'Параметры'!C14)^(N$4-1)</f>
        <v>68414.35763449375</v>
      </c>
    </row>
    <row r="15">
      <c r="B15" s="22" t="inlineStr">
        <is>
          <t>ТОиР и сервис (по годам)</t>
        </is>
      </c>
      <c r="C15" s="24" t="inlineStr">
        <is>
          <t>тыс.руб</t>
        </is>
      </c>
      <c r="D15" s="52" t="n"/>
      <c r="E15" s="52">
        <f>'Данные по годам'!E8*IF('Данные по годам'!$D$8="CNY",'Параметры'!C20,IF('Данные по годам'!$D$8="USD",'Параметры'!C21,IF('Данные по годам'!$D$8="EUR",'Параметры'!C22,1)))</f>
        <v>14017.78496919096</v>
      </c>
      <c r="F15" s="52">
        <f>'Данные по годам'!F8*IF('Данные по годам'!$D$8="CNY",'Параметры'!C20,IF('Данные по годам'!$D$8="USD",'Параметры'!C21,IF('Данные по годам'!$D$8="EUR",'Параметры'!C22,1)))</f>
        <v>17955.7052519032</v>
      </c>
      <c r="G15" s="52">
        <f>'Данные по годам'!G8*IF('Данные по годам'!$D$8="CNY",'Параметры'!C20,IF('Данные по годам'!$D$8="USD",'Параметры'!C21,IF('Данные по годам'!$D$8="EUR",'Параметры'!C22,1)))</f>
        <v>70837.56600048735</v>
      </c>
      <c r="H15" s="52">
        <f>'Данные по годам'!H8*IF('Данные по годам'!$D$8="CNY",'Параметры'!C20,IF('Данные по годам'!$D$8="USD",'Параметры'!C21,IF('Данные по годам'!$D$8="EUR",'Параметры'!C22,1)))</f>
        <v>31816.760855716664</v>
      </c>
      <c r="I15" s="52">
        <f>'Данные по годам'!I8*IF('Данные по годам'!$D$8="CNY",'Параметры'!C20,IF('Данные по годам'!$D$8="USD",'Параметры'!C21,IF('Данные по годам'!$D$8="EUR",'Параметры'!C22,1)))</f>
        <v>17143.832273811433</v>
      </c>
      <c r="J15" s="52">
        <f>'Данные по годам'!J8*IF('Данные по годам'!$D$8="CNY",'Параметры'!C20,IF('Данные по годам'!$D$8="USD",'Параметры'!C21,IF('Данные по годам'!$D$8="EUR",'Параметры'!C22,1)))</f>
        <v>71808.77201053732</v>
      </c>
      <c r="K15" s="52">
        <f>'Данные по годам'!K8*IF('Данные по годам'!$D$8="CNY",'Параметры'!C20,IF('Данные по годам'!$D$8="USD",'Параметры'!C21,IF('Данные по годам'!$D$8="EUR",'Параметры'!C22,1)))</f>
        <v>14861.226150367736</v>
      </c>
      <c r="L15" s="52">
        <f>'Данные по годам'!L8*IF('Данные по годам'!$D$8="CNY",'Параметры'!C20,IF('Данные по годам'!$D$8="USD",'Параметры'!C21,IF('Данные по годам'!$D$8="EUR",'Параметры'!C22,1)))</f>
        <v>33940.033947202166</v>
      </c>
      <c r="M15" s="52">
        <f>'Данные по годам'!M8*IF('Данные по годам'!$D$8="CNY",'Параметры'!C20,IF('Данные по годам'!$D$8="USD",'Параметры'!C21,IF('Данные по годам'!$D$8="EUR",'Параметры'!C22,1)))</f>
        <v>70996.89903244557</v>
      </c>
      <c r="N15" s="52">
        <f>'Данные по годам'!N8*IF('Данные по годам'!$D$8="CNY",'Параметры'!C20,IF('Данные по годам'!$D$8="USD",'Параметры'!C21,IF('Данные по годам'!$D$8="EUR",'Параметры'!C22,1)))</f>
        <v>17955.7052519032</v>
      </c>
    </row>
    <row r="16">
      <c r="B16" s="22" t="inlineStr">
        <is>
          <t>Шины</t>
        </is>
      </c>
      <c r="C16" s="24" t="inlineStr">
        <is>
          <t>тыс.руб</t>
        </is>
      </c>
      <c r="D16" s="52" t="n"/>
      <c r="E16" s="52">
        <f>E13*'Параметры'!C36*'Параметры'!C37*(1+'Параметры'!C15)^(E$4-1)</f>
        <v>19941.49384606246</v>
      </c>
      <c r="F16" s="52">
        <f>F13*'Параметры'!C36*'Параметры'!C37*(1+'Параметры'!C15)^(F$4-1)</f>
        <v>19789.758119659025</v>
      </c>
      <c r="G16" s="52">
        <f>G13*'Параметры'!C36*'Параметры'!C37*(1+'Параметры'!C15)^(G$4-1)</f>
        <v>19586.731443485416</v>
      </c>
      <c r="H16" s="52">
        <f>H13*'Параметры'!C36*'Параметры'!C37*(1+'Параметры'!C15)^(H$4-1)</f>
        <v>19321.728203006183</v>
      </c>
      <c r="I16" s="52">
        <f>I13*'Параметры'!C36*'Параметры'!C37*(1+'Параметры'!C15)^(I$4-1)</f>
        <v>19851.734683964653</v>
      </c>
      <c r="J16" s="52">
        <f>J13*'Параметры'!C36*'Параметры'!C37*(1+'Параметры'!C15)^(J$4-1)</f>
        <v>19603.828426742144</v>
      </c>
      <c r="K16" s="52">
        <f>K13*'Параметры'!C36*'Параметры'!C37*(1+'Параметры'!C15)^(K$4-1)</f>
        <v>19808.992225822843</v>
      </c>
      <c r="L16" s="52">
        <f>L13*'Параметры'!C36*'Параметры'!C37*(1+'Параметры'!C15)^(L$4-1)</f>
        <v>19379.430521497634</v>
      </c>
      <c r="M16" s="52">
        <f>M13*'Параметры'!C36*'Параметры'!C37*(1+'Параметры'!C15)^(M$4-1)</f>
        <v>19505.520773015975</v>
      </c>
      <c r="N16" s="52">
        <f>N13*'Параметры'!C36*'Параметры'!C37*(1+'Параметры'!C15)^(N$4-1)</f>
        <v>19828.226331986654</v>
      </c>
    </row>
    <row r="17">
      <c r="B17" s="22" t="inlineStr">
        <is>
          <t>Персонал</t>
        </is>
      </c>
      <c r="C17" s="24" t="inlineStr">
        <is>
          <t>тыс.руб</t>
        </is>
      </c>
      <c r="D17" s="52" t="n"/>
      <c r="E17" s="52">
        <f>'Ввод данных'!D20*(1+'Параметры'!C16)^(E$4-1)</f>
        <v>18475.6</v>
      </c>
      <c r="F17" s="52">
        <f>'Ввод данных'!D20*(1+'Параметры'!C16)^(F$4-1)</f>
        <v>18475.6</v>
      </c>
      <c r="G17" s="52">
        <f>'Ввод данных'!D20*(1+'Параметры'!C16)^(G$4-1)</f>
        <v>18475.6</v>
      </c>
      <c r="H17" s="52">
        <f>'Ввод данных'!D20*(1+'Параметры'!C16)^(H$4-1)</f>
        <v>18475.6</v>
      </c>
      <c r="I17" s="52">
        <f>'Ввод данных'!D20*(1+'Параметры'!C16)^(I$4-1)</f>
        <v>18475.6</v>
      </c>
      <c r="J17" s="52">
        <f>'Ввод данных'!D20*(1+'Параметры'!C16)^(J$4-1)</f>
        <v>18475.6</v>
      </c>
      <c r="K17" s="52">
        <f>'Ввод данных'!D20*(1+'Параметры'!C16)^(K$4-1)</f>
        <v>18475.6</v>
      </c>
      <c r="L17" s="52">
        <f>'Ввод данных'!D20*(1+'Параметры'!C16)^(L$4-1)</f>
        <v>18475.6</v>
      </c>
      <c r="M17" s="52">
        <f>'Ввод данных'!D20*(1+'Параметры'!C16)^(M$4-1)</f>
        <v>18475.6</v>
      </c>
      <c r="N17" s="52">
        <f>'Ввод данных'!D20*(1+'Параметры'!C16)^(N$4-1)</f>
        <v>18475.6</v>
      </c>
    </row>
    <row r="18">
      <c r="B18" s="22" t="inlineStr">
        <is>
          <t>Транспортный налог</t>
        </is>
      </c>
      <c r="C18" s="24" t="inlineStr">
        <is>
          <t>тыс.руб</t>
        </is>
      </c>
      <c r="D18" s="52" t="n"/>
      <c r="E18" s="52">
        <f>'Ввод данных'!D21*'Параметры'!C41/1000</f>
        <v>212.5</v>
      </c>
      <c r="F18" s="52">
        <f>'Ввод данных'!D21*'Параметры'!C41/1000</f>
        <v>212.5</v>
      </c>
      <c r="G18" s="52">
        <f>'Ввод данных'!D21*'Параметры'!C41/1000</f>
        <v>212.5</v>
      </c>
      <c r="H18" s="52">
        <f>'Ввод данных'!D21*'Параметры'!C41/1000</f>
        <v>212.5</v>
      </c>
      <c r="I18" s="52">
        <f>'Ввод данных'!D21*'Параметры'!C41/1000</f>
        <v>212.5</v>
      </c>
      <c r="J18" s="52">
        <f>'Ввод данных'!D21*'Параметры'!C41/1000</f>
        <v>212.5</v>
      </c>
      <c r="K18" s="52">
        <f>'Ввод данных'!D21*'Параметры'!C41/1000</f>
        <v>212.5</v>
      </c>
      <c r="L18" s="52">
        <f>'Ввод данных'!D21*'Параметры'!C41/1000</f>
        <v>212.5</v>
      </c>
      <c r="M18" s="52">
        <f>'Ввод данных'!D21*'Параметры'!C41/1000</f>
        <v>212.5</v>
      </c>
      <c r="N18" s="52">
        <f>'Ввод данных'!D21*'Параметры'!C41/1000</f>
        <v>212.5</v>
      </c>
    </row>
    <row r="19">
      <c r="B19" s="22" t="inlineStr">
        <is>
          <t>Итого денежные затраты</t>
        </is>
      </c>
      <c r="C19" s="24" t="inlineStr">
        <is>
          <t>тыс.руб</t>
        </is>
      </c>
      <c r="D19" s="52" t="n"/>
      <c r="E19" s="61">
        <f>E14+E15+E16+E17+E18</f>
        <v>121452.5492277843</v>
      </c>
      <c r="F19" s="61">
        <f>F14+F15+F16+F17+F18</f>
        <v>124715.1921380434</v>
      </c>
      <c r="G19" s="61">
        <f>G14+G15+G16+G17+G18</f>
        <v>176693.51274038746</v>
      </c>
      <c r="H19" s="61">
        <f>H14+H15+H16+H17+H18</f>
        <v>136493.34993105076</v>
      </c>
      <c r="I19" s="61">
        <f>I14+I15+I16+I17+I18</f>
        <v>124179.13667827754</v>
      </c>
      <c r="J19" s="61">
        <f>J14+J15+J16+J17+J18</f>
        <v>177740.80634169973</v>
      </c>
      <c r="K19" s="61">
        <f>K14+K15+K16+K17+K18</f>
        <v>121706.31157667804</v>
      </c>
      <c r="L19" s="61">
        <f>L14+L15+L16+L17+L18</f>
        <v>138873.41864304658</v>
      </c>
      <c r="M19" s="61">
        <f>M14+M15+M16+M17+M18</f>
        <v>176491.42971384965</v>
      </c>
      <c r="N19" s="61">
        <f>N14+N15+N16+N17+N18</f>
        <v>124886.38921838361</v>
      </c>
    </row>
    <row r="20">
      <c r="B20" s="22" t="inlineStr">
        <is>
          <t>Амортизация (НУ)</t>
        </is>
      </c>
      <c r="C20" s="24" t="inlineStr">
        <is>
          <t>тыс.руб</t>
        </is>
      </c>
      <c r="D20" s="52" t="n"/>
      <c r="E20" s="52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61492.94314381271</v>
      </c>
      <c r="F20" s="52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61492.94314381271</v>
      </c>
      <c r="G20" s="52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61492.94314381271</v>
      </c>
      <c r="H20" s="52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61492.94314381271</v>
      </c>
      <c r="I20" s="52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61492.94314381271</v>
      </c>
      <c r="J20" s="52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5103.914280936466</v>
      </c>
      <c r="K20" s="52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20" s="52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20" s="52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20" s="52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21">
      <c r="B21" s="22" t="inlineStr">
        <is>
          <t>Налогооблагаемая база</t>
        </is>
      </c>
      <c r="C21" s="24" t="inlineStr">
        <is>
          <t>тыс.руб</t>
        </is>
      </c>
      <c r="D21" s="52" t="n"/>
      <c r="E21" s="52">
        <f>E19+E20</f>
        <v>182945.492371597</v>
      </c>
      <c r="F21" s="52">
        <f>F19+F20</f>
        <v>186208.1352818561</v>
      </c>
      <c r="G21" s="52">
        <f>G19+G20</f>
        <v>238186.45588420017</v>
      </c>
      <c r="H21" s="52">
        <f>H19+H20</f>
        <v>197986.29307486347</v>
      </c>
      <c r="I21" s="52">
        <f>I19+I20</f>
        <v>185672.07982209025</v>
      </c>
      <c r="J21" s="52">
        <f>J19+J20</f>
        <v>182844.7206226362</v>
      </c>
      <c r="K21" s="52">
        <f>K19+K20</f>
        <v>121706.31157667804</v>
      </c>
      <c r="L21" s="52">
        <f>L19+L20</f>
        <v>138873.41864304658</v>
      </c>
      <c r="M21" s="52">
        <f>M19+M20</f>
        <v>176491.42971384965</v>
      </c>
      <c r="N21" s="52">
        <f>N19+N20</f>
        <v>124886.38921838361</v>
      </c>
    </row>
    <row r="22">
      <c r="B22" s="22" t="inlineStr">
        <is>
          <t>Налог на прибыль (щит)</t>
        </is>
      </c>
      <c r="C22" s="24" t="inlineStr">
        <is>
          <t>тыс.руб</t>
        </is>
      </c>
      <c r="D22" s="52" t="n"/>
      <c r="E22" s="52">
        <f>-E21*'Параметры'!C7</f>
        <v>-45736.37309289925</v>
      </c>
      <c r="F22" s="52">
        <f>-F21*'Параметры'!C7</f>
        <v>-46552.03382046403</v>
      </c>
      <c r="G22" s="52">
        <f>-G21*'Параметры'!C7</f>
        <v>-59546.61397105004</v>
      </c>
      <c r="H22" s="52">
        <f>-H21*'Параметры'!C7</f>
        <v>-49496.57326871587</v>
      </c>
      <c r="I22" s="52">
        <f>-I21*'Параметры'!C7</f>
        <v>-46418.01995552256</v>
      </c>
      <c r="J22" s="52">
        <f>-J21*'Параметры'!C7</f>
        <v>-45711.18015565905</v>
      </c>
      <c r="K22" s="52">
        <f>-K21*'Параметры'!C7</f>
        <v>-30426.57789416951</v>
      </c>
      <c r="L22" s="52">
        <f>-L21*'Параметры'!C7</f>
        <v>-34718.354660761644</v>
      </c>
      <c r="M22" s="52">
        <f>-M21*'Параметры'!C7</f>
        <v>-44122.85742846241</v>
      </c>
      <c r="N22" s="52">
        <f>-N21*'Параметры'!C7</f>
        <v>-31221.597304595904</v>
      </c>
    </row>
    <row r="23">
      <c r="B23" s="22" t="inlineStr">
        <is>
          <t>Операц. денежный поток</t>
        </is>
      </c>
      <c r="C23" s="24" t="inlineStr">
        <is>
          <t>тыс.руб</t>
        </is>
      </c>
      <c r="D23" s="52" t="n"/>
      <c r="E23" s="61">
        <f>E21+E22-E20</f>
        <v>75716.17613488506</v>
      </c>
      <c r="F23" s="61">
        <f>F21+F22-F20</f>
        <v>78163.15831757936</v>
      </c>
      <c r="G23" s="61">
        <f>G21+G22-G20</f>
        <v>117146.89876933742</v>
      </c>
      <c r="H23" s="61">
        <f>H21+H22-H20</f>
        <v>86996.77666233489</v>
      </c>
      <c r="I23" s="61">
        <f>I21+I22-I20</f>
        <v>77761.11672275499</v>
      </c>
      <c r="J23" s="61">
        <f>J21+J22-J20</f>
        <v>132029.6261860407</v>
      </c>
      <c r="K23" s="61">
        <f>K21+K22-K20</f>
        <v>91279.73368250852</v>
      </c>
      <c r="L23" s="61">
        <f>L21+L22-L20</f>
        <v>104155.06398228493</v>
      </c>
      <c r="M23" s="61">
        <f>M21+M22-M20</f>
        <v>132368.57228538723</v>
      </c>
      <c r="N23" s="61">
        <f>N21+N22-N20</f>
        <v>93664.79191378772</v>
      </c>
    </row>
    <row r="24">
      <c r="B24" s="22" t="inlineStr">
        <is>
          <t>Инвестиции / остаточная ст-ть</t>
        </is>
      </c>
      <c r="C24" s="24" t="inlineStr">
        <is>
          <t>тыс.руб</t>
        </is>
      </c>
      <c r="D24" s="52">
        <f>IF(D$4=0,'Производительность'!D5,IF(D$4='Параметры'!C8,-'Ввод данных'!D14*'Производительность'!D5,0))</f>
        <v>312568.63</v>
      </c>
      <c r="E24" s="52">
        <f>IF(E$4=0,'Производительность'!D5,IF(E$4='Параметры'!C8,-'Ввод данных'!D14*'Производительность'!D5,0))</f>
        <v>0.0</v>
      </c>
      <c r="F24" s="52">
        <f>IF(F$4=0,'Производительность'!D5,IF(F$4='Параметры'!C8,-'Ввод данных'!D14*'Производительность'!D5,0))</f>
        <v>0.0</v>
      </c>
      <c r="G24" s="52">
        <f>IF(G$4=0,'Производительность'!D5,IF(G$4='Параметры'!C8,-'Ввод данных'!D14*'Производительность'!D5,0))</f>
        <v>0.0</v>
      </c>
      <c r="H24" s="52">
        <f>IF(H$4=0,'Производительность'!D5,IF(H$4='Параметры'!C8,-'Ввод данных'!D14*'Производительность'!D5,0))</f>
        <v>0.0</v>
      </c>
      <c r="I24" s="52">
        <f>IF(I$4=0,'Производительность'!D5,IF(I$4='Параметры'!C8,-'Ввод данных'!D14*'Производительность'!D5,0))</f>
        <v>0.0</v>
      </c>
      <c r="J24" s="52">
        <f>IF(J$4=0,'Производительность'!D5,IF(J$4='Параметры'!C8,-'Ввод данных'!D14*'Производительность'!D5,0))</f>
        <v>0.0</v>
      </c>
      <c r="K24" s="52">
        <f>IF(K$4=0,'Производительность'!D5,IF(K$4='Параметры'!C8,-'Ввод данных'!D14*'Производительность'!D5,0))</f>
        <v>0.0</v>
      </c>
      <c r="L24" s="52">
        <f>IF(L$4=0,'Производительность'!D5,IF(L$4='Параметры'!C8,-'Ввод данных'!D14*'Производительность'!D5,0))</f>
        <v>0.0</v>
      </c>
      <c r="M24" s="52">
        <f>IF(M$4=0,'Производительность'!D5,IF(M$4='Параметры'!C8,-'Ввод данных'!D14*'Производительность'!D5,0))</f>
        <v>0.0</v>
      </c>
      <c r="N24" s="52">
        <f>IF(N$4=0,'Производительность'!D5,IF(N$4='Параметры'!C8,-'Ввод данных'!D14*'Производительность'!D5,0))</f>
        <v>-0.0</v>
      </c>
    </row>
    <row r="25">
      <c r="B25" s="22" t="inlineStr">
        <is>
          <t>Чистый денежный поток</t>
        </is>
      </c>
      <c r="C25" s="24" t="inlineStr">
        <is>
          <t>тыс.руб</t>
        </is>
      </c>
      <c r="D25" s="61">
        <f>0+D24</f>
        <v>312568.63</v>
      </c>
      <c r="E25" s="61">
        <f>E23+E24</f>
        <v>75716.17613488506</v>
      </c>
      <c r="F25" s="61">
        <f>F23+F24</f>
        <v>78163.15831757936</v>
      </c>
      <c r="G25" s="61">
        <f>G23+G24</f>
        <v>117146.89876933742</v>
      </c>
      <c r="H25" s="61">
        <f>H23+H24</f>
        <v>86996.77666233489</v>
      </c>
      <c r="I25" s="61">
        <f>I23+I24</f>
        <v>77761.11672275499</v>
      </c>
      <c r="J25" s="61">
        <f>J23+J24</f>
        <v>132029.6261860407</v>
      </c>
      <c r="K25" s="61">
        <f>K23+K24</f>
        <v>91279.73368250852</v>
      </c>
      <c r="L25" s="61">
        <f>L23+L24</f>
        <v>104155.06398228493</v>
      </c>
      <c r="M25" s="61">
        <f>M23+M24</f>
        <v>132368.57228538723</v>
      </c>
      <c r="N25" s="61">
        <f>N23+N24</f>
        <v>93664.79191378772</v>
      </c>
    </row>
    <row r="26">
      <c r="B26" s="22" t="inlineStr">
        <is>
          <t>Дисконтированный поток</t>
        </is>
      </c>
      <c r="C26" s="24" t="inlineStr">
        <is>
          <t>тыс.руб</t>
        </is>
      </c>
      <c r="D26" s="52">
        <f>D25*D$6</f>
        <v>312568.63</v>
      </c>
      <c r="E26" s="52">
        <f>E25*E$6</f>
        <v>67603.72869186166</v>
      </c>
      <c r="F26" s="52">
        <f>F25*F$6</f>
        <v>62311.19126082538</v>
      </c>
      <c r="G26" s="52">
        <f>G25*G$6</f>
        <v>83382.84863661155</v>
      </c>
      <c r="H26" s="52">
        <f>H25*H$6</f>
        <v>55288.02433186132</v>
      </c>
      <c r="I26" s="52">
        <f>I25*I$6</f>
        <v>44123.745959159845</v>
      </c>
      <c r="J26" s="52">
        <f>J25*J$6</f>
        <v>66890.31754325631</v>
      </c>
      <c r="K26" s="52">
        <f>K25*K$6</f>
        <v>41290.31590744333</v>
      </c>
      <c r="L26" s="52">
        <f>L25*L$6</f>
        <v>42066.483451562955</v>
      </c>
      <c r="M26" s="52">
        <f>M25*M$6</f>
        <v>47733.434158609496</v>
      </c>
      <c r="N26" s="52">
        <f>N25*N$6</f>
        <v>30157.556207076275</v>
      </c>
    </row>
    <row r="27">
      <c r="B27" s="22" t="inlineStr">
        <is>
          <t>Кумул. дисконт. поток</t>
        </is>
      </c>
      <c r="C27" s="24" t="inlineStr">
        <is>
          <t>тыс.руб</t>
        </is>
      </c>
      <c r="D27" s="52">
        <f>SUM($D26:D26)</f>
        <v>312568.63</v>
      </c>
      <c r="E27" s="52">
        <f>SUM($D26:E26)</f>
        <v>380172.3586918617</v>
      </c>
      <c r="F27" s="52">
        <f>SUM($D26:F26)</f>
        <v>442483.54995268706</v>
      </c>
      <c r="G27" s="52">
        <f>SUM($D26:G26)</f>
        <v>525866.3985892986</v>
      </c>
      <c r="H27" s="52">
        <f>SUM($D26:H26)</f>
        <v>581154.4229211599</v>
      </c>
      <c r="I27" s="52">
        <f>SUM($D26:I26)</f>
        <v>625278.1688803197</v>
      </c>
      <c r="J27" s="52">
        <f>SUM($D26:J26)</f>
        <v>692168.486423576</v>
      </c>
      <c r="K27" s="52">
        <f>SUM($D26:K26)</f>
        <v>733458.8023310194</v>
      </c>
      <c r="L27" s="52">
        <f>SUM($D26:L26)</f>
        <v>775525.2857825824</v>
      </c>
      <c r="M27" s="52">
        <f>SUM($D26:M26)</f>
        <v>823258.7199411918</v>
      </c>
      <c r="N27" s="52">
        <f>SUM($D26:N26)</f>
        <v>853416.2761482681</v>
      </c>
    </row>
    <row r="28">
      <c r="B28" s="39" t="inlineStr">
        <is>
          <t>Аннуитет по году</t>
        </is>
      </c>
      <c r="C28" s="24" t="inlineStr">
        <is>
          <t>руб/ткм</t>
        </is>
      </c>
      <c r="D28" s="62" t="n"/>
      <c r="E28" s="62">
        <f>SUM($D26:E26)/SUM($E$6:E$6)/(SUM($E12:E12)/E$4)</f>
        <v>32.03040939008545</v>
      </c>
      <c r="F28" s="62">
        <f>SUM($D26:F26)/SUM($E$6:F$6)/(SUM($E12:F12)/F$4)</f>
        <v>19.770455619114493</v>
      </c>
      <c r="G28" s="62">
        <f>SUM($D26:G26)/SUM($E$6:G$6)/(SUM($E12:G12)/G$4)</f>
        <v>16.610756887325632</v>
      </c>
      <c r="H28" s="62">
        <f>SUM($D26:H26)/SUM($E$6:H$6)/(SUM($E12:H12)/H$4)</f>
        <v>14.59945012942114</v>
      </c>
      <c r="I28" s="62">
        <f>SUM($D26:I26)/SUM($E$6:I$6)/(SUM($E12:I12)/I$4)</f>
        <v>13.209551318345653</v>
      </c>
      <c r="J28" s="62">
        <f>SUM($D26:J26)/SUM($E$6:J$6)/(SUM($E12:J12)/J$4)</f>
        <v>12.831034283183502</v>
      </c>
      <c r="K28" s="62">
        <f>SUM($D26:K26)/SUM($E$6:K$6)/(SUM($E12:K12)/K$4)</f>
        <v>12.237570622581334</v>
      </c>
      <c r="L28" s="62">
        <f>SUM($D26:L26)/SUM($E$6:L$6)/(SUM($E12:L12)/L$4)</f>
        <v>11.911700428652031</v>
      </c>
      <c r="M28" s="62">
        <f>SUM($D26:M26)/SUM($E$6:M$6)/(SUM($E12:M12)/M$4)</f>
        <v>11.799405196983198</v>
      </c>
      <c r="N28" s="62">
        <f>SUM($D26:N26)/SUM($E$6:N$6)/(SUM($E12:N12)/N$4)</f>
        <v>11.523778488104329</v>
      </c>
    </row>
    <row r="30">
      <c r="B30" s="5" t="str">
        <f>"Вариант 2:  "&amp;'Ввод данных'!E7</f>
        <v>Вариант 2:  Estar ESDE240
(ГПБ К)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B31" s="22" t="inlineStr">
        <is>
          <t>КТГ</t>
        </is>
      </c>
      <c r="C31" s="24" t="inlineStr">
        <is>
          <t>коэф.</t>
        </is>
      </c>
      <c r="D31" s="55" t="n"/>
      <c r="E31" s="55">
        <f>'Данные по годам'!E10</f>
        <v>0.9145</v>
      </c>
      <c r="F31" s="55">
        <f>'Данные по годам'!F10</f>
        <v>0.8984</v>
      </c>
      <c r="G31" s="55">
        <f>'Данные по годам'!G10</f>
        <v>0.852</v>
      </c>
      <c r="H31" s="55">
        <f>'Данные по годам'!H10</f>
        <v>0.8085</v>
      </c>
      <c r="I31" s="55">
        <f>'Данные по годам'!I10</f>
        <v>0.9018</v>
      </c>
      <c r="J31" s="55">
        <f>'Данные по годам'!J10</f>
        <v>0.8247</v>
      </c>
      <c r="K31" s="55">
        <f>'Данные по годам'!K10</f>
        <v>0.8914</v>
      </c>
      <c r="L31" s="55">
        <f>'Данные по годам'!L10</f>
        <v>0.8132</v>
      </c>
      <c r="M31" s="55">
        <f>'Данные по годам'!M10</f>
        <v>0.8589</v>
      </c>
      <c r="N31" s="55">
        <f>'Данные по годам'!N10</f>
        <v>0.8366</v>
      </c>
    </row>
    <row r="32">
      <c r="B32" s="22" t="inlineStr">
        <is>
          <t>Эффективное время</t>
        </is>
      </c>
      <c r="C32" s="24" t="inlineStr">
        <is>
          <t>час/год</t>
        </is>
      </c>
      <c r="D32" s="52" t="n"/>
      <c r="E32" s="52">
        <f>'Параметры'!C26*E31*(1-102.38/(60*'Параметры'!C27))</f>
        <v>6871.8974616666665</v>
      </c>
      <c r="F32" s="52">
        <f>'Параметры'!C26*F31*(1-102.38/(60*'Параметры'!C27))</f>
        <v>6750.9159973333335</v>
      </c>
      <c r="G32" s="52">
        <f>'Параметры'!C26*G31*(1-102.38/(60*'Параметры'!C27))</f>
        <v>6402.24892</v>
      </c>
      <c r="H32" s="52">
        <f>'Параметры'!C26*H31*(1-102.38/(60*'Параметры'!C27))</f>
        <v>6075.373535000001</v>
      </c>
      <c r="I32" s="52">
        <f>'Параметры'!C26*I31*(1-102.38/(60*'Параметры'!C27))</f>
        <v>6776.464878000001</v>
      </c>
      <c r="J32" s="52">
        <f>'Параметры'!C26*J31*(1-102.38/(60*'Параметры'!C27))</f>
        <v>6197.106437</v>
      </c>
      <c r="K32" s="52">
        <f>'Параметры'!C26*K31*(1-102.38/(60*'Параметры'!C27))</f>
        <v>6698.3153606666665</v>
      </c>
      <c r="L32" s="52">
        <f>'Параметры'!C26*L31*(1-102.38/(60*'Параметры'!C27))</f>
        <v>6110.691105333334</v>
      </c>
      <c r="M32" s="52">
        <f>'Параметры'!C26*M31*(1-102.38/(60*'Параметры'!C27))</f>
        <v>6454.098119</v>
      </c>
      <c r="N32" s="52">
        <f>'Параметры'!C26*N31*(1-102.38/(60*'Параметры'!C27))</f>
        <v>6286.527519333334</v>
      </c>
    </row>
    <row r="33">
      <c r="B33" s="22" t="inlineStr">
        <is>
          <t>Объём перевозки</t>
        </is>
      </c>
      <c r="C33" s="24" t="inlineStr">
        <is>
          <t>тыс.т</t>
        </is>
      </c>
      <c r="D33" s="52" t="n"/>
      <c r="E33" s="52">
        <f>'Производительность'!E9*E32/1000</f>
        <v>2754.842694638117</v>
      </c>
      <c r="F33" s="52">
        <f>'Производительность'!E9*F32/1000</f>
        <v>2706.343003677293</v>
      </c>
      <c r="G33" s="52">
        <f>'Производительность'!E9*G32/1000</f>
        <v>2566.5674968088306</v>
      </c>
      <c r="H33" s="52">
        <f>'Производительность'!E9*H32/1000</f>
        <v>2435.5279591196477</v>
      </c>
      <c r="I33" s="52">
        <f>'Производительность'!E9*I32/1000</f>
        <v>2716.585174439206</v>
      </c>
      <c r="J33" s="52">
        <f>'Производительность'!E9*J32/1000</f>
        <v>2484.3288903969988</v>
      </c>
      <c r="K33" s="52">
        <f>'Производительность'!E9*K32/1000</f>
        <v>2685.2561815204126</v>
      </c>
      <c r="L33" s="52">
        <f>'Производительность'!E9*L32/1000</f>
        <v>2449.68625399641</v>
      </c>
      <c r="M33" s="52">
        <f>'Производительность'!E9*M32/1000</f>
        <v>2587.353078649184</v>
      </c>
      <c r="N33" s="52">
        <f>'Производительность'!E9*N32/1000</f>
        <v>2520.1764880636947</v>
      </c>
    </row>
    <row r="34">
      <c r="B34" s="22" t="inlineStr">
        <is>
          <t>Грузооборот</t>
        </is>
      </c>
      <c r="C34" s="24" t="inlineStr">
        <is>
          <t>тыс.ткм</t>
        </is>
      </c>
      <c r="D34" s="52" t="n"/>
      <c r="E34" s="52">
        <f>E33*'Ввод данных'!E18</f>
        <v>11716.345980295911</v>
      </c>
      <c r="F34" s="52">
        <f>F33*'Ввод данных'!E18</f>
        <v>11510.076794639526</v>
      </c>
      <c r="G34" s="52">
        <f>G33*'Ввод данных'!E18</f>
        <v>10915.611563927956</v>
      </c>
      <c r="H34" s="52">
        <f>H33*'Ввод данных'!E18</f>
        <v>10358.300410135862</v>
      </c>
      <c r="I34" s="52">
        <f>I33*'Ввод данных'!E18</f>
        <v>11553.636746889944</v>
      </c>
      <c r="J34" s="52">
        <f>J33*'Ввод данных'!E18</f>
        <v>10565.850770858437</v>
      </c>
      <c r="K34" s="52">
        <f>K33*'Ввод данных'!E18</f>
        <v>11420.394540006315</v>
      </c>
      <c r="L34" s="52">
        <f>L33*'Ввод данных'!E18</f>
        <v>10418.515638246732</v>
      </c>
      <c r="M34" s="52">
        <f>M33*'Ввод данных'!E18</f>
        <v>11004.012643494982</v>
      </c>
      <c r="N34" s="52">
        <f>N33*'Ввод данных'!E18</f>
        <v>10718.310603734893</v>
      </c>
    </row>
    <row r="35">
      <c r="B35" s="22" t="inlineStr">
        <is>
          <t>Пробег</t>
        </is>
      </c>
      <c r="C35" s="24" t="inlineStr">
        <is>
          <t>тыс.км</t>
        </is>
      </c>
      <c r="D35" s="52" t="n"/>
      <c r="E35" s="52">
        <f>'Производительность'!E8*E32*2*'Ввод данных'!E18/1000</f>
        <v>112.6862598115702</v>
      </c>
      <c r="F35" s="52">
        <f>'Производительность'!E8*F32*2*'Ввод данных'!E18/1000</f>
        <v>110.70239017464701</v>
      </c>
      <c r="G35" s="52">
        <f>'Производительность'!E8*G32*2*'Ввод данных'!E18/1000</f>
        <v>104.9849025253776</v>
      </c>
      <c r="H35" s="52">
        <f>'Производительность'!E8*H32*2*'Ввод данных'!E18/1000</f>
        <v>99.62475785418755</v>
      </c>
      <c r="I35" s="52">
        <f>'Производительность'!E8*I32*2*'Ввод данных'!E18/1000</f>
        <v>111.12134401101588</v>
      </c>
      <c r="J35" s="52">
        <f>'Производительность'!E8*J32*2*'Ввод данных'!E18/1000</f>
        <v>101.62094966276868</v>
      </c>
      <c r="K35" s="52">
        <f>'Производительность'!E8*K32*2*'Ввод данных'!E18/1000</f>
        <v>109.83983815859342</v>
      </c>
      <c r="L35" s="52">
        <f>'Производительность'!E8*L32*2*'Ввод данных'!E18/1000</f>
        <v>100.20389992210926</v>
      </c>
      <c r="M35" s="52">
        <f>'Производительность'!E8*M32*2*'Ввод данных'!E18/1000</f>
        <v>105.83513236977328</v>
      </c>
      <c r="N35" s="52">
        <f>'Производительность'!E8*N32*2*'Ввод данных'!E18/1000</f>
        <v>103.08728809005976</v>
      </c>
    </row>
    <row r="36">
      <c r="B36" s="22" t="inlineStr">
        <is>
          <t>Топливо</t>
        </is>
      </c>
      <c r="C36" s="24" t="inlineStr">
        <is>
          <t>тыс.руб</t>
        </is>
      </c>
      <c r="D36" s="52" t="n"/>
      <c r="E36" s="52">
        <f>E34*'Параметры'!C32/1000*'Параметры'!C10*(1+'Параметры'!C14)^(E$4-1)</f>
        <v>60642.51330941542</v>
      </c>
      <c r="F36" s="52">
        <f>F34*'Параметры'!C32/1000*'Параметры'!C10*(1+'Параметры'!C14)^(F$4-1)</f>
        <v>59574.886776576066</v>
      </c>
      <c r="G36" s="52">
        <f>G34*'Параметры'!C32/1000*'Параметры'!C10*(1+'Параметры'!C14)^(G$4-1)</f>
        <v>56498.00037137445</v>
      </c>
      <c r="H36" s="52">
        <f>H34*'Параметры'!C32/1000*'Параметры'!C10*(1+'Параметры'!C14)^(H$4-1)</f>
        <v>53613.419366497954</v>
      </c>
      <c r="I36" s="52">
        <f>I34*'Параметры'!C32/1000*'Параметры'!C10*(1+'Параметры'!C14)^(I$4-1)</f>
        <v>59800.3482804055</v>
      </c>
      <c r="J36" s="52">
        <f>J34*'Параметры'!C32/1000*'Параметры'!C10*(1+'Параметры'!C14)^(J$4-1)</f>
        <v>54687.67712003818</v>
      </c>
      <c r="K36" s="52">
        <f>K34*'Параметры'!C32/1000*'Параметры'!C10*(1+'Параметры'!C14)^(K$4-1)</f>
        <v>59110.701327515475</v>
      </c>
      <c r="L36" s="52">
        <f>L34*'Параметры'!C32/1000*'Параметры'!C10*(1+'Параметры'!C14)^(L$4-1)</f>
        <v>53925.08673943863</v>
      </c>
      <c r="M36" s="52">
        <f>M34*'Параметры'!C32/1000*'Параметры'!C10*(1+'Параметры'!C14)^(M$4-1)</f>
        <v>56955.55459973419</v>
      </c>
      <c r="N36" s="52">
        <f>N34*'Параметры'!C32/1000*'Параметры'!C10*(1+'Параметры'!C14)^(N$4-1)</f>
        <v>55476.79238344116</v>
      </c>
    </row>
    <row r="37">
      <c r="B37" s="22" t="inlineStr">
        <is>
          <t>ТОиР и сервис (по годам)</t>
        </is>
      </c>
      <c r="C37" s="24" t="inlineStr">
        <is>
          <t>тыс.руб</t>
        </is>
      </c>
      <c r="D37" s="52" t="n"/>
      <c r="E37" s="52">
        <f>'Данные по годам'!E11*IF('Данные по годам'!$D$11="CNY",'Параметры'!C20,IF('Данные по годам'!$D$11="USD",'Параметры'!C21,IF('Данные по годам'!$D$11="EUR",'Параметры'!C22,1)))</f>
        <v>27782.7992176517</v>
      </c>
      <c r="F37" s="52">
        <f>'Данные по годам'!F11*IF('Данные по годам'!$D$11="CNY",'Параметры'!C20,IF('Данные по годам'!$D$11="USD",'Параметры'!C21,IF('Данные по годам'!$D$11="EUR",'Параметры'!C22,1)))</f>
        <v>35587.63063646515</v>
      </c>
      <c r="G37" s="52">
        <f>'Данные по годам'!G11*IF('Данные по годам'!$D$11="CNY",'Параметры'!C20,IF('Данные по годам'!$D$11="USD",'Параметры'!C21,IF('Данные по годам'!$D$11="EUR",'Параметры'!C22,1)))</f>
        <v>140397.77879202823</v>
      </c>
      <c r="H37" s="52">
        <f>'Данные по годам'!H11*IF('Данные по годам'!$D$11="CNY",'Параметры'!C20,IF('Данные по годам'!$D$11="USD",'Параметры'!C21,IF('Данные по годам'!$D$11="EUR",'Параметры'!C22,1)))</f>
        <v>63059.79728988767</v>
      </c>
      <c r="I37" s="52">
        <f>'Данные по годам'!I11*IF('Данные по годам'!$D$11="CNY",'Параметры'!C20,IF('Данные по годам'!$D$11="USD",'Параметры'!C21,IF('Данные по годам'!$D$11="EUR",'Параметры'!C22,1)))</f>
        <v>33978.52449094105</v>
      </c>
      <c r="J37" s="52">
        <f>'Данные по годам'!J11*IF('Данные по годам'!$D$11="CNY",'Параметры'!C20,IF('Данные по годам'!$D$11="USD",'Параметры'!C21,IF('Данные по годам'!$D$11="EUR",'Параметры'!C22,1)))</f>
        <v>142322.67788525153</v>
      </c>
      <c r="K37" s="52">
        <f>'Данные по годам'!K11*IF('Данные по годам'!$D$11="CNY",'Параметры'!C20,IF('Данные по годам'!$D$11="USD",'Параметры'!C21,IF('Данные по годам'!$D$11="EUR",'Параметры'!C22,1)))</f>
        <v>29454.472526953847</v>
      </c>
      <c r="L37" s="52">
        <f>'Данные по годам'!L11*IF('Данные по годам'!$D$11="CNY",'Параметры'!C20,IF('Данные по годам'!$D$11="USD",'Параметры'!C21,IF('Данные по годам'!$D$11="EUR",'Параметры'!C22,1)))</f>
        <v>67268.05630617568</v>
      </c>
      <c r="M37" s="52">
        <f>'Данные по годам'!M11*IF('Данные по годам'!$D$11="CNY",'Параметры'!C20,IF('Данные по годам'!$D$11="USD",'Параметры'!C21,IF('Данные по годам'!$D$11="EUR",'Параметры'!C22,1)))</f>
        <v>140713.57173972746</v>
      </c>
      <c r="N37" s="52">
        <f>'Данные по годам'!N11*IF('Данные по годам'!$D$11="CNY",'Параметры'!C20,IF('Данные по годам'!$D$11="USD",'Параметры'!C21,IF('Данные по годам'!$D$11="EUR",'Параметры'!C22,1)))</f>
        <v>35587.63063646515</v>
      </c>
    </row>
    <row r="38">
      <c r="B38" s="22" t="inlineStr">
        <is>
          <t>Шины</t>
        </is>
      </c>
      <c r="C38" s="24" t="inlineStr">
        <is>
          <t>тыс.руб</t>
        </is>
      </c>
      <c r="D38" s="52" t="n"/>
      <c r="E38" s="52">
        <f>E35*'Параметры'!C36*'Параметры'!C37*(1+'Параметры'!C15)^(E$4-1)</f>
        <v>18939.956545605746</v>
      </c>
      <c r="F38" s="52">
        <f>F35*'Параметры'!C36*'Параметры'!C37*(1+'Параметры'!C15)^(F$4-1)</f>
        <v>18606.51389893079</v>
      </c>
      <c r="G38" s="52">
        <f>G35*'Параметры'!C36*'Параметры'!C37*(1+'Параметры'!C15)^(G$4-1)</f>
        <v>17645.536333358228</v>
      </c>
      <c r="H38" s="52">
        <f>H35*'Параметры'!C36*'Параметры'!C37*(1+'Параметры'!C15)^(H$4-1)</f>
        <v>16744.61986563395</v>
      </c>
      <c r="I38" s="52">
        <f>I35*'Параметры'!C36*'Параметры'!C37*(1+'Параметры'!C15)^(I$4-1)</f>
        <v>18676.930358477053</v>
      </c>
      <c r="J38" s="52">
        <f>J35*'Параметры'!C36*'Параметры'!C37*(1+'Параметры'!C15)^(J$4-1)</f>
        <v>17080.13358464851</v>
      </c>
      <c r="K38" s="52">
        <f>K35*'Параметры'!C36*'Параметры'!C37*(1+'Параметры'!C15)^(K$4-1)</f>
        <v>18461.538835159063</v>
      </c>
      <c r="L38" s="52">
        <f>L35*'Параметры'!C36*'Параметры'!C37*(1+'Параметры'!C15)^(L$4-1)</f>
        <v>16841.960265594967</v>
      </c>
      <c r="M38" s="52">
        <f>M35*'Параметры'!C36*'Параметры'!C37*(1+'Параметры'!C15)^(M$4-1)</f>
        <v>17788.440324790354</v>
      </c>
      <c r="N38" s="52">
        <f>N35*'Параметры'!C36*'Параметры'!C37*(1+'Параметры'!C15)^(N$4-1)</f>
        <v>17326.591193060438</v>
      </c>
    </row>
    <row r="39">
      <c r="B39" s="22" t="inlineStr">
        <is>
          <t>Персонал</t>
        </is>
      </c>
      <c r="C39" s="24" t="inlineStr">
        <is>
          <t>тыс.руб</t>
        </is>
      </c>
      <c r="D39" s="52" t="n"/>
      <c r="E39" s="52">
        <f>'Ввод данных'!E20*(1+'Параметры'!C16)^(E$4-1)</f>
        <v>18475.6</v>
      </c>
      <c r="F39" s="52">
        <f>'Ввод данных'!E20*(1+'Параметры'!C16)^(F$4-1)</f>
        <v>18475.6</v>
      </c>
      <c r="G39" s="52">
        <f>'Ввод данных'!E20*(1+'Параметры'!C16)^(G$4-1)</f>
        <v>18475.6</v>
      </c>
      <c r="H39" s="52">
        <f>'Ввод данных'!E20*(1+'Параметры'!C16)^(H$4-1)</f>
        <v>18475.6</v>
      </c>
      <c r="I39" s="52">
        <f>'Ввод данных'!E20*(1+'Параметры'!C16)^(I$4-1)</f>
        <v>18475.6</v>
      </c>
      <c r="J39" s="52">
        <f>'Ввод данных'!E20*(1+'Параметры'!C16)^(J$4-1)</f>
        <v>18475.6</v>
      </c>
      <c r="K39" s="52">
        <f>'Ввод данных'!E20*(1+'Параметры'!C16)^(K$4-1)</f>
        <v>18475.6</v>
      </c>
      <c r="L39" s="52">
        <f>'Ввод данных'!E20*(1+'Параметры'!C16)^(L$4-1)</f>
        <v>18475.6</v>
      </c>
      <c r="M39" s="52">
        <f>'Ввод данных'!E20*(1+'Параметры'!C16)^(M$4-1)</f>
        <v>18475.6</v>
      </c>
      <c r="N39" s="52">
        <f>'Ввод данных'!E20*(1+'Параметры'!C16)^(N$4-1)</f>
        <v>18475.6</v>
      </c>
    </row>
    <row r="40">
      <c r="B40" s="22" t="inlineStr">
        <is>
          <t>Транспортный налог</t>
        </is>
      </c>
      <c r="C40" s="24" t="inlineStr">
        <is>
          <t>тыс.руб</t>
        </is>
      </c>
      <c r="D40" s="52" t="n"/>
      <c r="E40" s="52">
        <f>'Ввод данных'!E21*'Параметры'!C41/1000</f>
        <v>212.5</v>
      </c>
      <c r="F40" s="52">
        <f>'Ввод данных'!E21*'Параметры'!C41/1000</f>
        <v>212.5</v>
      </c>
      <c r="G40" s="52">
        <f>'Ввод данных'!E21*'Параметры'!C41/1000</f>
        <v>212.5</v>
      </c>
      <c r="H40" s="52">
        <f>'Ввод данных'!E21*'Параметры'!C41/1000</f>
        <v>212.5</v>
      </c>
      <c r="I40" s="52">
        <f>'Ввод данных'!E21*'Параметры'!C41/1000</f>
        <v>212.5</v>
      </c>
      <c r="J40" s="52">
        <f>'Ввод данных'!E21*'Параметры'!C41/1000</f>
        <v>212.5</v>
      </c>
      <c r="K40" s="52">
        <f>'Ввод данных'!E21*'Параметры'!C41/1000</f>
        <v>212.5</v>
      </c>
      <c r="L40" s="52">
        <f>'Ввод данных'!E21*'Параметры'!C41/1000</f>
        <v>212.5</v>
      </c>
      <c r="M40" s="52">
        <f>'Ввод данных'!E21*'Параметры'!C41/1000</f>
        <v>212.5</v>
      </c>
      <c r="N40" s="52">
        <f>'Ввод данных'!E21*'Параметры'!C41/1000</f>
        <v>212.5</v>
      </c>
    </row>
    <row r="41">
      <c r="B41" s="22" t="inlineStr">
        <is>
          <t>Итого денежные затраты</t>
        </is>
      </c>
      <c r="C41" s="24" t="inlineStr">
        <is>
          <t>тыс.руб</t>
        </is>
      </c>
      <c r="D41" s="52" t="n"/>
      <c r="E41" s="61">
        <f>E36+E37+E38+E39+E40</f>
        <v>126053.36907267285</v>
      </c>
      <c r="F41" s="61">
        <f>F36+F37+F38+F39+F40</f>
        <v>132457.13131197199</v>
      </c>
      <c r="G41" s="61">
        <f>G36+G37+G38+G39+G40</f>
        <v>233229.41549676092</v>
      </c>
      <c r="H41" s="61">
        <f>H36+H37+H38+H39+H40</f>
        <v>152105.9365220196</v>
      </c>
      <c r="I41" s="61">
        <f>I36+I37+I38+I39+I40</f>
        <v>131143.9031298236</v>
      </c>
      <c r="J41" s="61">
        <f>J36+J37+J38+J39+J40</f>
        <v>232778.58858993824</v>
      </c>
      <c r="K41" s="61">
        <f>K36+K37+K38+K39+K40</f>
        <v>125714.8126896284</v>
      </c>
      <c r="L41" s="61">
        <f>L36+L37+L38+L39+L40</f>
        <v>156723.20331120928</v>
      </c>
      <c r="M41" s="61">
        <f>M36+M37+M38+M39+M40</f>
        <v>234145.66666425203</v>
      </c>
      <c r="N41" s="61">
        <f>N36+N37+N38+N39+N40</f>
        <v>127079.11421296673</v>
      </c>
    </row>
    <row r="42">
      <c r="B42" s="22" t="inlineStr">
        <is>
          <t>Амортизация (НУ)</t>
        </is>
      </c>
      <c r="C42" s="24" t="inlineStr">
        <is>
          <t>тыс.руб</t>
        </is>
      </c>
      <c r="D42" s="52" t="n"/>
      <c r="E42" s="52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62763.62187684438</v>
      </c>
      <c r="F42" s="52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62763.62187684438</v>
      </c>
      <c r="G42" s="52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62763.62187684438</v>
      </c>
      <c r="H42" s="52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62763.62187684438</v>
      </c>
      <c r="I42" s="52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62763.62187684438</v>
      </c>
      <c r="J42" s="52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5209.3806157780955</v>
      </c>
      <c r="K42" s="52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42" s="52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42" s="52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42" s="52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43">
      <c r="B43" s="22" t="inlineStr">
        <is>
          <t>Налогооблагаемая база</t>
        </is>
      </c>
      <c r="C43" s="24" t="inlineStr">
        <is>
          <t>тыс.руб</t>
        </is>
      </c>
      <c r="D43" s="52" t="n"/>
      <c r="E43" s="52">
        <f>E41+E42</f>
        <v>188816.99094951723</v>
      </c>
      <c r="F43" s="52">
        <f>F41+F42</f>
        <v>195220.75318881636</v>
      </c>
      <c r="G43" s="52">
        <f>G41+G42</f>
        <v>295993.0373736053</v>
      </c>
      <c r="H43" s="52">
        <f>H41+H42</f>
        <v>214869.55839886397</v>
      </c>
      <c r="I43" s="52">
        <f>I41+I42</f>
        <v>193907.52500666797</v>
      </c>
      <c r="J43" s="52">
        <f>J41+J42</f>
        <v>237987.96920571633</v>
      </c>
      <c r="K43" s="52">
        <f>K41+K42</f>
        <v>125714.8126896284</v>
      </c>
      <c r="L43" s="52">
        <f>L41+L42</f>
        <v>156723.20331120928</v>
      </c>
      <c r="M43" s="52">
        <f>M41+M42</f>
        <v>234145.66666425203</v>
      </c>
      <c r="N43" s="52">
        <f>N41+N42</f>
        <v>127079.11421296673</v>
      </c>
    </row>
    <row r="44">
      <c r="B44" s="22" t="inlineStr">
        <is>
          <t>Налог на прибыль (щит)</t>
        </is>
      </c>
      <c r="C44" s="24" t="inlineStr">
        <is>
          <t>тыс.руб</t>
        </is>
      </c>
      <c r="D44" s="52" t="n"/>
      <c r="E44" s="52">
        <f>-E43*'Параметры'!C7</f>
        <v>-47204.24773737931</v>
      </c>
      <c r="F44" s="52">
        <f>-F43*'Параметры'!C7</f>
        <v>-48805.18829720409</v>
      </c>
      <c r="G44" s="52">
        <f>-G43*'Параметры'!C7</f>
        <v>-73998.25934340133</v>
      </c>
      <c r="H44" s="52">
        <f>-H43*'Параметры'!C7</f>
        <v>-53717.38959971599</v>
      </c>
      <c r="I44" s="52">
        <f>-I43*'Параметры'!C7</f>
        <v>-48476.88125166699</v>
      </c>
      <c r="J44" s="52">
        <f>-J43*'Параметры'!C7</f>
        <v>-59496.99230142908</v>
      </c>
      <c r="K44" s="52">
        <f>-K43*'Параметры'!C7</f>
        <v>-31428.7031724071</v>
      </c>
      <c r="L44" s="52">
        <f>-L43*'Параметры'!C7</f>
        <v>-39180.80082780232</v>
      </c>
      <c r="M44" s="52">
        <f>-M43*'Параметры'!C7</f>
        <v>-58536.41666606301</v>
      </c>
      <c r="N44" s="52">
        <f>-N43*'Параметры'!C7</f>
        <v>-31769.778553241682</v>
      </c>
    </row>
    <row r="45">
      <c r="B45" s="22" t="inlineStr">
        <is>
          <t>Операц. денежный поток</t>
        </is>
      </c>
      <c r="C45" s="24" t="inlineStr">
        <is>
          <t>тыс.руб</t>
        </is>
      </c>
      <c r="D45" s="52" t="n"/>
      <c r="E45" s="61">
        <f>E43+E44-E42</f>
        <v>78849.12133529354</v>
      </c>
      <c r="F45" s="61">
        <f>F43+F44-F42</f>
        <v>83651.9430147679</v>
      </c>
      <c r="G45" s="61">
        <f>G43+G44-G42</f>
        <v>159231.1561533596</v>
      </c>
      <c r="H45" s="61">
        <f>H43+H44-H42</f>
        <v>98388.54692230359</v>
      </c>
      <c r="I45" s="61">
        <f>I43+I44-I42</f>
        <v>82667.0218781566</v>
      </c>
      <c r="J45" s="61">
        <f>J43+J44-J42</f>
        <v>173281.59628850914</v>
      </c>
      <c r="K45" s="61">
        <f>K43+K44-K42</f>
        <v>94286.1095172213</v>
      </c>
      <c r="L45" s="61">
        <f>L43+L44-L42</f>
        <v>117542.40248340696</v>
      </c>
      <c r="M45" s="61">
        <f>M43+M44-M42</f>
        <v>175609.249998189</v>
      </c>
      <c r="N45" s="61">
        <f>N43+N44-N42</f>
        <v>95309.33565972504</v>
      </c>
    </row>
    <row r="46">
      <c r="B46" s="22" t="inlineStr">
        <is>
          <t>Инвестиции / остаточная ст-ть</t>
        </is>
      </c>
      <c r="C46" s="24" t="inlineStr">
        <is>
          <t>тыс.руб</t>
        </is>
      </c>
      <c r="D46" s="52">
        <f>IF(D$4=0,'Производительность'!E5,IF(D$4='Параметры'!C8,-'Ввод данных'!E14*'Производительность'!E5,0))</f>
        <v>319027.49</v>
      </c>
      <c r="E46" s="52">
        <f>IF(E$4=0,'Производительность'!E5,IF(E$4='Параметры'!C8,-'Ввод данных'!E14*'Производительность'!E5,0))</f>
        <v>0.0</v>
      </c>
      <c r="F46" s="52">
        <f>IF(F$4=0,'Производительность'!E5,IF(F$4='Параметры'!C8,-'Ввод данных'!E14*'Производительность'!E5,0))</f>
        <v>0.0</v>
      </c>
      <c r="G46" s="52">
        <f>IF(G$4=0,'Производительность'!E5,IF(G$4='Параметры'!C8,-'Ввод данных'!E14*'Производительность'!E5,0))</f>
        <v>0.0</v>
      </c>
      <c r="H46" s="52">
        <f>IF(H$4=0,'Производительность'!E5,IF(H$4='Параметры'!C8,-'Ввод данных'!E14*'Производительность'!E5,0))</f>
        <v>0.0</v>
      </c>
      <c r="I46" s="52">
        <f>IF(I$4=0,'Производительность'!E5,IF(I$4='Параметры'!C8,-'Ввод данных'!E14*'Производительность'!E5,0))</f>
        <v>0.0</v>
      </c>
      <c r="J46" s="52">
        <f>IF(J$4=0,'Производительность'!E5,IF(J$4='Параметры'!C8,-'Ввод данных'!E14*'Производительность'!E5,0))</f>
        <v>0.0</v>
      </c>
      <c r="K46" s="52">
        <f>IF(K$4=0,'Производительность'!E5,IF(K$4='Параметры'!C8,-'Ввод данных'!E14*'Производительность'!E5,0))</f>
        <v>0.0</v>
      </c>
      <c r="L46" s="52">
        <f>IF(L$4=0,'Производительность'!E5,IF(L$4='Параметры'!C8,-'Ввод данных'!E14*'Производительность'!E5,0))</f>
        <v>0.0</v>
      </c>
      <c r="M46" s="52">
        <f>IF(M$4=0,'Производительность'!E5,IF(M$4='Параметры'!C8,-'Ввод данных'!E14*'Производительность'!E5,0))</f>
        <v>0.0</v>
      </c>
      <c r="N46" s="52">
        <f>IF(N$4=0,'Производительность'!E5,IF(N$4='Параметры'!C8,-'Ввод данных'!E14*'Производительность'!E5,0))</f>
        <v>-0.0</v>
      </c>
    </row>
    <row r="47">
      <c r="B47" s="22" t="inlineStr">
        <is>
          <t>Чистый денежный поток</t>
        </is>
      </c>
      <c r="C47" s="24" t="inlineStr">
        <is>
          <t>тыс.руб</t>
        </is>
      </c>
      <c r="D47" s="61">
        <f>0+D46</f>
        <v>319027.49</v>
      </c>
      <c r="E47" s="61">
        <f>E45+E46</f>
        <v>78849.12133529354</v>
      </c>
      <c r="F47" s="61">
        <f>F45+F46</f>
        <v>83651.9430147679</v>
      </c>
      <c r="G47" s="61">
        <f>G45+G46</f>
        <v>159231.1561533596</v>
      </c>
      <c r="H47" s="61">
        <f>H45+H46</f>
        <v>98388.54692230359</v>
      </c>
      <c r="I47" s="61">
        <f>I45+I46</f>
        <v>82667.0218781566</v>
      </c>
      <c r="J47" s="61">
        <f>J45+J46</f>
        <v>173281.59628850914</v>
      </c>
      <c r="K47" s="61">
        <f>K45+K46</f>
        <v>94286.1095172213</v>
      </c>
      <c r="L47" s="61">
        <f>L45+L46</f>
        <v>117542.40248340696</v>
      </c>
      <c r="M47" s="61">
        <f>M45+M46</f>
        <v>175609.249998189</v>
      </c>
      <c r="N47" s="61">
        <f>N45+N46</f>
        <v>95309.33565972504</v>
      </c>
    </row>
    <row r="48">
      <c r="B48" s="22" t="inlineStr">
        <is>
          <t>Дисконтированный поток</t>
        </is>
      </c>
      <c r="C48" s="24" t="inlineStr">
        <is>
          <t>тыс.руб</t>
        </is>
      </c>
      <c r="D48" s="52">
        <f>D47*D$6</f>
        <v>319027.49</v>
      </c>
      <c r="E48" s="52">
        <f>E47*E$6</f>
        <v>70401.00119222638</v>
      </c>
      <c r="F48" s="52">
        <f>F47*F$6</f>
        <v>66686.8168166198</v>
      </c>
      <c r="G48" s="52">
        <f>G47*G$6</f>
        <v>113337.59178645421</v>
      </c>
      <c r="H48" s="52">
        <f>H47*H$6</f>
        <v>62527.700277105934</v>
      </c>
      <c r="I48" s="52">
        <f>I47*I$6</f>
        <v>46907.488295943054</v>
      </c>
      <c r="J48" s="52">
        <f>J47*J$6</f>
        <v>87789.84940704322</v>
      </c>
      <c r="K48" s="52">
        <f>K47*K$6</f>
        <v>42650.24765728345</v>
      </c>
      <c r="L48" s="52">
        <f>L47*L$6</f>
        <v>47473.40493944861</v>
      </c>
      <c r="M48" s="52">
        <f>M47*M$6</f>
        <v>63326.45602884337</v>
      </c>
      <c r="N48" s="52">
        <f>N47*N$6</f>
        <v>30687.0552796707</v>
      </c>
    </row>
    <row r="49">
      <c r="B49" s="22" t="inlineStr">
        <is>
          <t>Кумул. дисконт. поток</t>
        </is>
      </c>
      <c r="C49" s="24" t="inlineStr">
        <is>
          <t>тыс.руб</t>
        </is>
      </c>
      <c r="D49" s="52">
        <f>SUM($D48:D48)</f>
        <v>319027.49</v>
      </c>
      <c r="E49" s="52">
        <f>SUM($D48:E48)</f>
        <v>389428.49119222636</v>
      </c>
      <c r="F49" s="52">
        <f>SUM($D48:F48)</f>
        <v>456115.3080088461</v>
      </c>
      <c r="G49" s="52">
        <f>SUM($D48:G48)</f>
        <v>569452.8997953003</v>
      </c>
      <c r="H49" s="52">
        <f>SUM($D48:H48)</f>
        <v>631980.6000724062</v>
      </c>
      <c r="I49" s="52">
        <f>SUM($D48:I48)</f>
        <v>678888.0883683492</v>
      </c>
      <c r="J49" s="52">
        <f>SUM($D48:J48)</f>
        <v>766677.9377753924</v>
      </c>
      <c r="K49" s="52">
        <f>SUM($D48:K48)</f>
        <v>809328.185432676</v>
      </c>
      <c r="L49" s="52">
        <f>SUM($D48:L48)</f>
        <v>856801.5903721246</v>
      </c>
      <c r="M49" s="52">
        <f>SUM($D48:M48)</f>
        <v>920128.046400968</v>
      </c>
      <c r="N49" s="52">
        <f>SUM($D48:N48)</f>
        <v>950815.1016806387</v>
      </c>
    </row>
    <row r="50">
      <c r="B50" s="39" t="inlineStr">
        <is>
          <t>Аннуитет по году</t>
        </is>
      </c>
      <c r="C50" s="24" t="inlineStr">
        <is>
          <t>руб/ткм</t>
        </is>
      </c>
      <c r="D50" s="62" t="n"/>
      <c r="E50" s="62">
        <f>SUM($D48:E48)/SUM($E$6:E$6)/(SUM($E34:E34)/E$4)</f>
        <v>37.226615778401396</v>
      </c>
      <c r="F50" s="62">
        <f>SUM($D48:F48)/SUM($E$6:F$6)/(SUM($E34:F34)/F$4)</f>
        <v>23.239271046521598</v>
      </c>
      <c r="G50" s="62">
        <f>SUM($D48:G48)/SUM($E$6:G$6)/(SUM($E34:G34)/G$4)</f>
        <v>20.83277744553296</v>
      </c>
      <c r="H50" s="62">
        <f>SUM($D48:H48)/SUM($E$6:H$6)/(SUM($E34:H34)/H$4)</f>
        <v>18.70276057873021</v>
      </c>
      <c r="I50" s="62">
        <f>SUM($D48:I48)/SUM($E$6:I$6)/(SUM($E34:I34)/I$4)</f>
        <v>16.799002602879476</v>
      </c>
      <c r="J50" s="62">
        <f>SUM($D48:J48)/SUM($E$6:J$6)/(SUM($E34:J34)/J$4)</f>
        <v>16.79462230947529</v>
      </c>
      <c r="K50" s="62">
        <f>SUM($D48:K48)/SUM($E$6:K$6)/(SUM($E34:K34)/K$4)</f>
        <v>15.906761512801049</v>
      </c>
      <c r="L50" s="62">
        <f>SUM($D48:L48)/SUM($E$6:L$6)/(SUM($E34:L34)/L$4)</f>
        <v>15.5983781246367</v>
      </c>
      <c r="M50" s="62">
        <f>SUM($D48:M48)/SUM($E$6:M$6)/(SUM($E34:M34)/M$4)</f>
        <v>15.625925888746805</v>
      </c>
      <c r="N50" s="62">
        <f>SUM($D48:N48)/SUM($E$6:N$6)/(SUM($E34:N34)/N$4)</f>
        <v>15.272971835699277</v>
      </c>
    </row>
    <row r="52">
      <c r="B52" s="5" t="str">
        <f>"Вариант 3:  "&amp;'Ввод данных'!F7</f>
        <v>Вариант 3:  SANY SET240S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B53" s="22" t="inlineStr">
        <is>
          <t>КТГ</t>
        </is>
      </c>
      <c r="C53" s="24" t="inlineStr">
        <is>
          <t>коэф.</t>
        </is>
      </c>
      <c r="D53" s="55" t="n"/>
      <c r="E53" s="55">
        <f>'Данные по годам'!E13</f>
        <v>0.9286</v>
      </c>
      <c r="F53" s="55">
        <f>'Данные по годам'!F13</f>
        <v>0.8958</v>
      </c>
      <c r="G53" s="55">
        <f>'Данные по годам'!G13</f>
        <v>0.8593</v>
      </c>
      <c r="H53" s="55">
        <f>'Данные по годам'!H13</f>
        <v>0.8972</v>
      </c>
      <c r="I53" s="55">
        <f>'Данные по годам'!I13</f>
        <v>0.8436</v>
      </c>
      <c r="J53" s="55">
        <f>'Данные по годам'!J13</f>
        <v>0.8972</v>
      </c>
      <c r="K53" s="55">
        <f>'Данные по годам'!K13</f>
        <v>0.8593</v>
      </c>
      <c r="L53" s="55">
        <f>'Данные по годам'!L13</f>
        <v>0.8972</v>
      </c>
      <c r="M53" s="55">
        <f>'Данные по годам'!M13</f>
        <v>0.8436</v>
      </c>
      <c r="N53" s="55">
        <f>'Данные по годам'!N13</f>
        <v>0.8783</v>
      </c>
    </row>
    <row r="54">
      <c r="B54" s="22" t="inlineStr">
        <is>
          <t>Эффективное время</t>
        </is>
      </c>
      <c r="C54" s="24" t="inlineStr">
        <is>
          <t>час/год</t>
        </is>
      </c>
      <c r="D54" s="52" t="n"/>
      <c r="E54" s="52">
        <f>'Параметры'!C26*E53*(1-102.38/(60*'Параметры'!C27))</f>
        <v>6977.850172666667</v>
      </c>
      <c r="F54" s="52">
        <f>'Параметры'!C26*F53*(1-102.38/(60*'Параметры'!C27))</f>
        <v>6731.378618000001</v>
      </c>
      <c r="G54" s="52">
        <f>'Параметры'!C26*G53*(1-102.38/(60*'Параметры'!C27))</f>
        <v>6457.1038696666665</v>
      </c>
      <c r="H54" s="52">
        <f>'Параметры'!C26*H53*(1-102.38/(60*'Параметры'!C27))</f>
        <v>6741.898745333334</v>
      </c>
      <c r="I54" s="52">
        <f>'Параметры'!C26*I53*(1-102.38/(60*'Параметры'!C27))</f>
        <v>6339.128156</v>
      </c>
      <c r="J54" s="52">
        <f>'Параметры'!C26*J53*(1-102.38/(60*'Параметры'!C27))</f>
        <v>6741.898745333334</v>
      </c>
      <c r="K54" s="52">
        <f>'Параметры'!C26*K53*(1-102.38/(60*'Параметры'!C27))</f>
        <v>6457.1038696666665</v>
      </c>
      <c r="L54" s="52">
        <f>'Параметры'!C26*L53*(1-102.38/(60*'Параметры'!C27))</f>
        <v>6741.898745333334</v>
      </c>
      <c r="M54" s="52">
        <f>'Параметры'!C26*M53*(1-102.38/(60*'Параметры'!C27))</f>
        <v>6339.128156</v>
      </c>
      <c r="N54" s="52">
        <f>'Параметры'!C26*N53*(1-102.38/(60*'Параметры'!C27))</f>
        <v>6599.877026333334</v>
      </c>
    </row>
    <row r="55">
      <c r="B55" s="22" t="inlineStr">
        <is>
          <t>Объём перевозки</t>
        </is>
      </c>
      <c r="C55" s="24" t="inlineStr">
        <is>
          <t>тыс.т</t>
        </is>
      </c>
      <c r="D55" s="52" t="n"/>
      <c r="E55" s="52">
        <f>'Производительность'!F9*E54/1000</f>
        <v>2797.2965832075374</v>
      </c>
      <c r="F55" s="52">
        <f>'Производительность'!F9*F54/1000</f>
        <v>2698.4905010093817</v>
      </c>
      <c r="G55" s="52">
        <f>'Производительность'!F9*G54/1000</f>
        <v>2588.538610758385</v>
      </c>
      <c r="H55" s="52">
        <f>'Производительность'!F9*H54/1000</f>
        <v>2702.707833786132</v>
      </c>
      <c r="I55" s="52">
        <f>'Производительность'!F9*I54/1000</f>
        <v>2541.244236047683</v>
      </c>
      <c r="J55" s="52">
        <f>'Производительность'!F9*J54/1000</f>
        <v>2702.707833786132</v>
      </c>
      <c r="K55" s="52">
        <f>'Производительность'!F9*K54/1000</f>
        <v>2588.538610758385</v>
      </c>
      <c r="L55" s="52">
        <f>'Производительность'!F9*L54/1000</f>
        <v>2702.707833786132</v>
      </c>
      <c r="M55" s="52">
        <f>'Производительность'!F9*M54/1000</f>
        <v>2541.244236047683</v>
      </c>
      <c r="N55" s="52">
        <f>'Производительность'!F9*N54/1000</f>
        <v>2645.7738413</v>
      </c>
    </row>
    <row r="56">
      <c r="B56" s="22" t="inlineStr">
        <is>
          <t>Грузооборот</t>
        </is>
      </c>
      <c r="C56" s="24" t="inlineStr">
        <is>
          <t>тыс.ткм</t>
        </is>
      </c>
      <c r="D56" s="52" t="n"/>
      <c r="E56" s="52">
        <f>E55*'Ввод данных'!F18</f>
        <v>12280.132000281088</v>
      </c>
      <c r="F56" s="52">
        <f>F55*'Ввод данных'!F18</f>
        <v>11846.373299431185</v>
      </c>
      <c r="G56" s="52">
        <f>G55*'Ввод данных'!F18</f>
        <v>11363.684501229309</v>
      </c>
      <c r="H56" s="52">
        <f>H55*'Ввод данных'!F18</f>
        <v>11864.887390321119</v>
      </c>
      <c r="I56" s="52">
        <f>I55*'Ввод данных'!F18</f>
        <v>11156.062196249328</v>
      </c>
      <c r="J56" s="52">
        <f>J55*'Ввод данных'!F18</f>
        <v>11864.887390321119</v>
      </c>
      <c r="K56" s="52">
        <f>K55*'Ввод данных'!F18</f>
        <v>11363.684501229309</v>
      </c>
      <c r="L56" s="52">
        <f>L55*'Ввод данных'!F18</f>
        <v>11864.887390321119</v>
      </c>
      <c r="M56" s="52">
        <f>M55*'Ввод данных'!F18</f>
        <v>11156.062196249328</v>
      </c>
      <c r="N56" s="52">
        <f>N55*'Ввод данных'!F18</f>
        <v>11614.947163307</v>
      </c>
    </row>
    <row r="57">
      <c r="B57" s="22" t="inlineStr">
        <is>
          <t>Пробег</t>
        </is>
      </c>
      <c r="C57" s="24" t="inlineStr">
        <is>
          <t>тыс.км</t>
        </is>
      </c>
      <c r="D57" s="52" t="n"/>
      <c r="E57" s="52">
        <f>'Производительность'!F8*E54*2*'Ввод данных'!F18/1000</f>
        <v>115.39563253745763</v>
      </c>
      <c r="F57" s="52">
        <f>'Производительность'!F8*F54*2*'Ввод данных'!F18/1000</f>
        <v>111.31962914823879</v>
      </c>
      <c r="G57" s="52">
        <f>'Производительность'!F8*G54*2*'Ввод данных'!F18/1000</f>
        <v>106.78383269377268</v>
      </c>
      <c r="H57" s="52">
        <f>'Производительность'!F8*H54*2*'Ввод данных'!F18/1000</f>
        <v>111.49360490265666</v>
      </c>
      <c r="I57" s="52">
        <f>'Производительность'!F8*I54*2*'Ввод данных'!F18/1000</f>
        <v>104.83281887637222</v>
      </c>
      <c r="J57" s="52">
        <f>'Производительность'!F8*J54*2*'Ввод данных'!F18/1000</f>
        <v>111.49360490265666</v>
      </c>
      <c r="K57" s="52">
        <f>'Производительность'!F8*K54*2*'Ввод данных'!F18/1000</f>
        <v>106.78383269377268</v>
      </c>
      <c r="L57" s="52">
        <f>'Производительность'!F8*L54*2*'Ввод данных'!F18/1000</f>
        <v>111.49360490265666</v>
      </c>
      <c r="M57" s="52">
        <f>'Производительность'!F8*M54*2*'Ввод данных'!F18/1000</f>
        <v>104.83281887637222</v>
      </c>
      <c r="N57" s="52">
        <f>'Производительность'!F8*N54*2*'Ввод данных'!F18/1000</f>
        <v>109.14493221801533</v>
      </c>
    </row>
    <row r="58">
      <c r="B58" s="22" t="inlineStr">
        <is>
          <t>Топливо</t>
        </is>
      </c>
      <c r="C58" s="24" t="inlineStr">
        <is>
          <t>тыс.руб</t>
        </is>
      </c>
      <c r="D58" s="52" t="n"/>
      <c r="E58" s="52">
        <f>E56*'Параметры'!C32/1000*'Параметры'!C10*(1+'Параметры'!C14)^(E$4-1)</f>
        <v>63560.60750688209</v>
      </c>
      <c r="F58" s="52">
        <f>F56*'Параметры'!C32/1000*'Параметры'!C10*(1+'Параметры'!C14)^(F$4-1)</f>
        <v>61315.520358243564</v>
      </c>
      <c r="G58" s="52">
        <f>G56*'Параметры'!C32/1000*'Параметры'!C10*(1+'Параметры'!C14)^(G$4-1)</f>
        <v>58817.17642759398</v>
      </c>
      <c r="H58" s="52">
        <f>H56*'Параметры'!C32/1000*'Параметры'!C10*(1+'Параметры'!C14)^(H$4-1)</f>
        <v>61411.34724873423</v>
      </c>
      <c r="I58" s="52">
        <f>I56*'Параметры'!C32/1000*'Параметры'!C10*(1+'Параметры'!C14)^(I$4-1)</f>
        <v>57742.54629852006</v>
      </c>
      <c r="J58" s="52">
        <f>J56*'Параметры'!C32/1000*'Параметры'!C10*(1+'Параметры'!C14)^(J$4-1)</f>
        <v>61411.34724873423</v>
      </c>
      <c r="K58" s="52">
        <f>K56*'Параметры'!C32/1000*'Параметры'!C10*(1+'Параметры'!C14)^(K$4-1)</f>
        <v>58817.17642759398</v>
      </c>
      <c r="L58" s="52">
        <f>L56*'Параметры'!C32/1000*'Параметры'!C10*(1+'Параметры'!C14)^(L$4-1)</f>
        <v>61411.34724873423</v>
      </c>
      <c r="M58" s="52">
        <f>M56*'Параметры'!C32/1000*'Параметры'!C10*(1+'Параметры'!C14)^(M$4-1)</f>
        <v>57742.54629852006</v>
      </c>
      <c r="N58" s="52">
        <f>N56*'Параметры'!C32/1000*'Параметры'!C10*(1+'Параметры'!C14)^(N$4-1)</f>
        <v>60117.68422711022</v>
      </c>
    </row>
    <row r="59">
      <c r="B59" s="22" t="inlineStr">
        <is>
          <t>ТОиР и сервис (по годам)</t>
        </is>
      </c>
      <c r="C59" s="24" t="inlineStr">
        <is>
          <t>тыс.руб</t>
        </is>
      </c>
      <c r="D59" s="52" t="n"/>
      <c r="E59" s="52">
        <f>'Данные по годам'!E14*IF('Данные по годам'!$D$14="CNY",'Параметры'!C20,IF('Данные по годам'!$D$14="USD",'Параметры'!C21,IF('Данные по годам'!$D$14="EUR",'Параметры'!C22,1)))</f>
        <v>14994.798754969932</v>
      </c>
      <c r="F59" s="52">
        <f>'Данные по годам'!F14*IF('Данные по годам'!$D$14="CNY",'Параметры'!C20,IF('Данные по годам'!$D$14="USD",'Параметры'!C21,IF('Данные по годам'!$D$14="EUR",'Параметры'!C22,1)))</f>
        <v>19207.184826104844</v>
      </c>
      <c r="G59" s="52">
        <f>'Данные по годам'!G14*IF('Данные по годам'!$D$14="CNY",'Параметры'!C20,IF('Данные по годам'!$D$14="USD",'Параметры'!C21,IF('Данные по годам'!$D$14="EUR",'Параметры'!C22,1)))</f>
        <v>75774.81383854563</v>
      </c>
      <c r="H59" s="52">
        <f>'Данные по годам'!H14*IF('Данные по годам'!$D$14="CNY",'Параметры'!C20,IF('Данные по годам'!$D$14="USD",'Параметры'!C21,IF('Данные по годам'!$D$14="EUR",'Параметры'!C22,1)))</f>
        <v>34034.330467690954</v>
      </c>
      <c r="I59" s="52">
        <f>'Данные по годам'!I14*IF('Данные по годам'!$D$14="CNY",'Параметры'!C20,IF('Данные по годам'!$D$14="USD",'Параметры'!C21,IF('Данные по годам'!$D$14="EUR",'Параметры'!C22,1)))</f>
        <v>18338.72579724682</v>
      </c>
      <c r="J59" s="52">
        <f>'Данные по годам'!J14*IF('Данные по годам'!$D$14="CNY",'Параметры'!C20,IF('Данные по годам'!$D$14="USD",'Параметры'!C21,IF('Данные по годам'!$D$14="EUR",'Параметры'!C22,1)))</f>
        <v>76813.7111181318</v>
      </c>
      <c r="K59" s="52">
        <f>'Данные по годам'!K14*IF('Данные по годам'!$D$14="CNY",'Параметры'!C20,IF('Данные по годам'!$D$14="USD",'Параметры'!C21,IF('Данные по годам'!$D$14="EUR",'Параметры'!C22,1)))</f>
        <v>15897.026232506261</v>
      </c>
      <c r="L59" s="52">
        <f>'Данные по годам'!L14*IF('Данные по годам'!$D$14="CNY",'Параметры'!C20,IF('Данные по годам'!$D$14="USD",'Параметры'!C21,IF('Данные по годам'!$D$14="EUR",'Параметры'!C22,1)))</f>
        <v>36305.59178170336</v>
      </c>
      <c r="M59" s="52">
        <f>'Данные по годам'!M14*IF('Данные по годам'!$D$14="CNY",'Параметры'!C20,IF('Данные по годам'!$D$14="USD",'Параметры'!C21,IF('Данные по годам'!$D$14="EUR",'Параметры'!C22,1)))</f>
        <v>75945.25208927378</v>
      </c>
      <c r="N59" s="52">
        <f>'Данные по годам'!N14*IF('Данные по годам'!$D$14="CNY",'Параметры'!C20,IF('Данные по годам'!$D$14="USD",'Параметры'!C21,IF('Данные по годам'!$D$14="EUR",'Параметры'!C22,1)))</f>
        <v>19207.184826104844</v>
      </c>
    </row>
    <row r="60">
      <c r="B60" s="22" t="inlineStr">
        <is>
          <t>Шины</t>
        </is>
      </c>
      <c r="C60" s="24" t="inlineStr">
        <is>
          <t>тыс.руб</t>
        </is>
      </c>
      <c r="D60" s="52" t="n"/>
      <c r="E60" s="52">
        <f>E57*'Параметры'!C36*'Параметры'!C37*(1+'Параметры'!C15)^(E$4-1)</f>
        <v>19395.339498061217</v>
      </c>
      <c r="F60" s="52">
        <f>F57*'Параметры'!C36*'Параметры'!C37*(1+'Параметры'!C15)^(F$4-1)</f>
        <v>18710.257508467843</v>
      </c>
      <c r="G60" s="52">
        <f>G57*'Параметры'!C36*'Параметры'!C37*(1+'Параметры'!C15)^(G$4-1)</f>
        <v>17947.894928584967</v>
      </c>
      <c r="H60" s="52">
        <f>H57*'Параметры'!C36*'Параметры'!C37*(1+'Параметры'!C15)^(H$4-1)</f>
        <v>18739.498812901704</v>
      </c>
      <c r="I60" s="52">
        <f>I57*'Параметры'!C36*'Параметры'!C37*(1+'Параметры'!C15)^(I$4-1)</f>
        <v>17619.974586005213</v>
      </c>
      <c r="J60" s="52">
        <f>J57*'Параметры'!C36*'Параметры'!C37*(1+'Параметры'!C15)^(J$4-1)</f>
        <v>18739.498812901704</v>
      </c>
      <c r="K60" s="52">
        <f>K57*'Параметры'!C36*'Параметры'!C37*(1+'Параметры'!C15)^(K$4-1)</f>
        <v>17947.894928584967</v>
      </c>
      <c r="L60" s="52">
        <f>L57*'Параметры'!C36*'Параметры'!C37*(1+'Параметры'!C15)^(L$4-1)</f>
        <v>18739.498812901704</v>
      </c>
      <c r="M60" s="52">
        <f>M57*'Параметры'!C36*'Параметры'!C37*(1+'Параметры'!C15)^(M$4-1)</f>
        <v>17619.974586005213</v>
      </c>
      <c r="N60" s="52">
        <f>N57*'Параметры'!C36*'Параметры'!C37*(1+'Параметры'!C15)^(N$4-1)</f>
        <v>18344.74120304455</v>
      </c>
    </row>
    <row r="61">
      <c r="B61" s="22" t="inlineStr">
        <is>
          <t>Персонал</t>
        </is>
      </c>
      <c r="C61" s="24" t="inlineStr">
        <is>
          <t>тыс.руб</t>
        </is>
      </c>
      <c r="D61" s="52" t="n"/>
      <c r="E61" s="52">
        <f>'Ввод данных'!F20*(1+'Параметры'!C16)^(E$4-1)</f>
        <v>18475.6</v>
      </c>
      <c r="F61" s="52">
        <f>'Ввод данных'!F20*(1+'Параметры'!C16)^(F$4-1)</f>
        <v>18475.6</v>
      </c>
      <c r="G61" s="52">
        <f>'Ввод данных'!F20*(1+'Параметры'!C16)^(G$4-1)</f>
        <v>18475.6</v>
      </c>
      <c r="H61" s="52">
        <f>'Ввод данных'!F20*(1+'Параметры'!C16)^(H$4-1)</f>
        <v>18475.6</v>
      </c>
      <c r="I61" s="52">
        <f>'Ввод данных'!F20*(1+'Параметры'!C16)^(I$4-1)</f>
        <v>18475.6</v>
      </c>
      <c r="J61" s="52">
        <f>'Ввод данных'!F20*(1+'Параметры'!C16)^(J$4-1)</f>
        <v>18475.6</v>
      </c>
      <c r="K61" s="52">
        <f>'Ввод данных'!F20*(1+'Параметры'!C16)^(K$4-1)</f>
        <v>18475.6</v>
      </c>
      <c r="L61" s="52">
        <f>'Ввод данных'!F20*(1+'Параметры'!C16)^(L$4-1)</f>
        <v>18475.6</v>
      </c>
      <c r="M61" s="52">
        <f>'Ввод данных'!F20*(1+'Параметры'!C16)^(M$4-1)</f>
        <v>18475.6</v>
      </c>
      <c r="N61" s="52">
        <f>'Ввод данных'!F20*(1+'Параметры'!C16)^(N$4-1)</f>
        <v>18475.6</v>
      </c>
    </row>
    <row r="62">
      <c r="B62" s="22" t="inlineStr">
        <is>
          <t>Транспортный налог</t>
        </is>
      </c>
      <c r="C62" s="24" t="inlineStr">
        <is>
          <t>тыс.руб</t>
        </is>
      </c>
      <c r="D62" s="52" t="n"/>
      <c r="E62" s="52">
        <f>'Ввод данных'!F21*'Параметры'!C41/1000</f>
        <v>241.655</v>
      </c>
      <c r="F62" s="52">
        <f>'Ввод данных'!F21*'Параметры'!C41/1000</f>
        <v>241.655</v>
      </c>
      <c r="G62" s="52">
        <f>'Ввод данных'!F21*'Параметры'!C41/1000</f>
        <v>241.655</v>
      </c>
      <c r="H62" s="52">
        <f>'Ввод данных'!F21*'Параметры'!C41/1000</f>
        <v>241.655</v>
      </c>
      <c r="I62" s="52">
        <f>'Ввод данных'!F21*'Параметры'!C41/1000</f>
        <v>241.655</v>
      </c>
      <c r="J62" s="52">
        <f>'Ввод данных'!F21*'Параметры'!C41/1000</f>
        <v>241.655</v>
      </c>
      <c r="K62" s="52">
        <f>'Ввод данных'!F21*'Параметры'!C41/1000</f>
        <v>241.655</v>
      </c>
      <c r="L62" s="52">
        <f>'Ввод данных'!F21*'Параметры'!C41/1000</f>
        <v>241.655</v>
      </c>
      <c r="M62" s="52">
        <f>'Ввод данных'!F21*'Параметры'!C41/1000</f>
        <v>241.655</v>
      </c>
      <c r="N62" s="52">
        <f>'Ввод данных'!F21*'Параметры'!C41/1000</f>
        <v>241.655</v>
      </c>
    </row>
    <row r="63">
      <c r="B63" s="22" t="inlineStr">
        <is>
          <t>Итого денежные затраты</t>
        </is>
      </c>
      <c r="C63" s="24" t="inlineStr">
        <is>
          <t>тыс.руб</t>
        </is>
      </c>
      <c r="D63" s="52" t="n"/>
      <c r="E63" s="61">
        <f>E58+E59+E60+E61+E62</f>
        <v>116668.00075991324</v>
      </c>
      <c r="F63" s="61">
        <f>F58+F59+F60+F61+F62</f>
        <v>117950.21769281625</v>
      </c>
      <c r="G63" s="61">
        <f>G58+G59+G60+G61+G62</f>
        <v>171257.1401947246</v>
      </c>
      <c r="H63" s="61">
        <f>H58+H59+H60+H61+H62</f>
        <v>132902.4315293269</v>
      </c>
      <c r="I63" s="61">
        <f>I58+I59+I60+I61+I62</f>
        <v>112418.50168177209</v>
      </c>
      <c r="J63" s="61">
        <f>J58+J59+J60+J61+J62</f>
        <v>175681.81217976773</v>
      </c>
      <c r="K63" s="61">
        <f>K58+K59+K60+K61+K62</f>
        <v>111379.3525886852</v>
      </c>
      <c r="L63" s="61">
        <f>L58+L59+L60+L61+L62</f>
        <v>135173.6928433393</v>
      </c>
      <c r="M63" s="61">
        <f>M58+M59+M60+M61+M62</f>
        <v>170025.02797379903</v>
      </c>
      <c r="N63" s="61">
        <f>N58+N59+N60+N61+N62</f>
        <v>116386.86525625963</v>
      </c>
    </row>
    <row r="64">
      <c r="B64" s="22" t="inlineStr">
        <is>
          <t>Амортизация (НУ)</t>
        </is>
      </c>
      <c r="C64" s="24" t="inlineStr">
        <is>
          <t>тыс.руб</t>
        </is>
      </c>
      <c r="D64" s="52" t="n"/>
      <c r="E64" s="52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58250.06688963211</v>
      </c>
      <c r="F64" s="52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58250.06688963211</v>
      </c>
      <c r="G64" s="52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58250.06688963211</v>
      </c>
      <c r="H64" s="52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58250.06688963211</v>
      </c>
      <c r="I64" s="52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58250.06688963211</v>
      </c>
      <c r="J64" s="52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4834.755551839476</v>
      </c>
      <c r="K64" s="52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64" s="52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64" s="52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64" s="52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65">
      <c r="B65" s="22" t="inlineStr">
        <is>
          <t>Налогооблагаемая база</t>
        </is>
      </c>
      <c r="C65" s="24" t="inlineStr">
        <is>
          <t>тыс.руб</t>
        </is>
      </c>
      <c r="D65" s="52" t="n"/>
      <c r="E65" s="52">
        <f>E63+E64</f>
        <v>174918.06764954535</v>
      </c>
      <c r="F65" s="52">
        <f>F63+F64</f>
        <v>176200.28458244837</v>
      </c>
      <c r="G65" s="52">
        <f>G63+G64</f>
        <v>229507.20708435672</v>
      </c>
      <c r="H65" s="52">
        <f>H63+H64</f>
        <v>191152.498418959</v>
      </c>
      <c r="I65" s="52">
        <f>I63+I64</f>
        <v>170668.5685714042</v>
      </c>
      <c r="J65" s="52">
        <f>J63+J64</f>
        <v>180516.5677316072</v>
      </c>
      <c r="K65" s="52">
        <f>K63+K64</f>
        <v>111379.3525886852</v>
      </c>
      <c r="L65" s="52">
        <f>L63+L64</f>
        <v>135173.6928433393</v>
      </c>
      <c r="M65" s="52">
        <f>M63+M64</f>
        <v>170025.02797379903</v>
      </c>
      <c r="N65" s="52">
        <f>N63+N64</f>
        <v>116386.86525625963</v>
      </c>
    </row>
    <row r="66">
      <c r="B66" s="22" t="inlineStr">
        <is>
          <t>Налог на прибыль (щит)</t>
        </is>
      </c>
      <c r="C66" s="24" t="inlineStr">
        <is>
          <t>тыс.руб</t>
        </is>
      </c>
      <c r="D66" s="52" t="n"/>
      <c r="E66" s="52">
        <f>-E65*'Параметры'!C7</f>
        <v>-43729.51691238634</v>
      </c>
      <c r="F66" s="52">
        <f>-F65*'Параметры'!C7</f>
        <v>-44050.07114561209</v>
      </c>
      <c r="G66" s="52">
        <f>-G65*'Параметры'!C7</f>
        <v>-57376.80177108918</v>
      </c>
      <c r="H66" s="52">
        <f>-H65*'Параметры'!C7</f>
        <v>-47788.12460473975</v>
      </c>
      <c r="I66" s="52">
        <f>-I65*'Параметры'!C7</f>
        <v>-42667.14214285105</v>
      </c>
      <c r="J66" s="52">
        <f>-J65*'Параметры'!C7</f>
        <v>-45129.1419329018</v>
      </c>
      <c r="K66" s="52">
        <f>-K65*'Параметры'!C7</f>
        <v>-27844.8381471713</v>
      </c>
      <c r="L66" s="52">
        <f>-L65*'Параметры'!C7</f>
        <v>-33793.42321083482</v>
      </c>
      <c r="M66" s="52">
        <f>-M65*'Параметры'!C7</f>
        <v>-42506.25699344976</v>
      </c>
      <c r="N66" s="52">
        <f>-N65*'Параметры'!C7</f>
        <v>-29096.716314064906</v>
      </c>
    </row>
    <row r="67">
      <c r="B67" s="22" t="inlineStr">
        <is>
          <t>Операц. денежный поток</t>
        </is>
      </c>
      <c r="C67" s="24" t="inlineStr">
        <is>
          <t>тыс.руб</t>
        </is>
      </c>
      <c r="D67" s="52" t="n"/>
      <c r="E67" s="61">
        <f>E65+E66-E64</f>
        <v>72938.48384752689</v>
      </c>
      <c r="F67" s="61">
        <f>F65+F66-F64</f>
        <v>73900.14654720415</v>
      </c>
      <c r="G67" s="61">
        <f>G65+G66-G64</f>
        <v>113880.33842363543</v>
      </c>
      <c r="H67" s="61">
        <f>H65+H66-H64</f>
        <v>85114.30692458714</v>
      </c>
      <c r="I67" s="61">
        <f>I65+I66-I64</f>
        <v>69751.35953892104</v>
      </c>
      <c r="J67" s="61">
        <f>J65+J66-J64</f>
        <v>130552.67024686592</v>
      </c>
      <c r="K67" s="61">
        <f>K65+K66-K64</f>
        <v>83534.5144415139</v>
      </c>
      <c r="L67" s="61">
        <f>L65+L66-L64</f>
        <v>101380.26963250447</v>
      </c>
      <c r="M67" s="61">
        <f>M65+M66-M64</f>
        <v>127518.77098034928</v>
      </c>
      <c r="N67" s="61">
        <f>N65+N66-N64</f>
        <v>87290.14894219472</v>
      </c>
    </row>
    <row r="68">
      <c r="B68" s="22" t="inlineStr">
        <is>
          <t>Инвестиции / остаточная ст-ть</t>
        </is>
      </c>
      <c r="C68" s="24" t="inlineStr">
        <is>
          <t>тыс.руб</t>
        </is>
      </c>
      <c r="D68" s="52">
        <f>IF(D$4=0,'Производительность'!F5,IF(D$4='Параметры'!C8,-'Ввод данных'!F14*'Производительность'!F5,0))</f>
        <v>296085.09</v>
      </c>
      <c r="E68" s="52">
        <f>IF(E$4=0,'Производительность'!F5,IF(E$4='Параметры'!C8,-'Ввод данных'!F14*'Производительность'!F5,0))</f>
        <v>0.0</v>
      </c>
      <c r="F68" s="52">
        <f>IF(F$4=0,'Производительность'!F5,IF(F$4='Параметры'!C8,-'Ввод данных'!F14*'Производительность'!F5,0))</f>
        <v>0.0</v>
      </c>
      <c r="G68" s="52">
        <f>IF(G$4=0,'Производительность'!F5,IF(G$4='Параметры'!C8,-'Ввод данных'!F14*'Производительность'!F5,0))</f>
        <v>0.0</v>
      </c>
      <c r="H68" s="52">
        <f>IF(H$4=0,'Производительность'!F5,IF(H$4='Параметры'!C8,-'Ввод данных'!F14*'Производительность'!F5,0))</f>
        <v>0.0</v>
      </c>
      <c r="I68" s="52">
        <f>IF(I$4=0,'Производительность'!F5,IF(I$4='Параметры'!C8,-'Ввод данных'!F14*'Производительность'!F5,0))</f>
        <v>0.0</v>
      </c>
      <c r="J68" s="52">
        <f>IF(J$4=0,'Производительность'!F5,IF(J$4='Параметры'!C8,-'Ввод данных'!F14*'Производительность'!F5,0))</f>
        <v>0.0</v>
      </c>
      <c r="K68" s="52">
        <f>IF(K$4=0,'Производительность'!F5,IF(K$4='Параметры'!C8,-'Ввод данных'!F14*'Производительность'!F5,0))</f>
        <v>0.0</v>
      </c>
      <c r="L68" s="52">
        <f>IF(L$4=0,'Производительность'!F5,IF(L$4='Параметры'!C8,-'Ввод данных'!F14*'Производительность'!F5,0))</f>
        <v>0.0</v>
      </c>
      <c r="M68" s="52">
        <f>IF(M$4=0,'Производительность'!F5,IF(M$4='Параметры'!C8,-'Ввод данных'!F14*'Производительность'!F5,0))</f>
        <v>0.0</v>
      </c>
      <c r="N68" s="52">
        <f>IF(N$4=0,'Производительность'!F5,IF(N$4='Параметры'!C8,-'Ввод данных'!F14*'Производительность'!F5,0))</f>
        <v>-0.0</v>
      </c>
    </row>
    <row r="69">
      <c r="B69" s="22" t="inlineStr">
        <is>
          <t>Чистый денежный поток</t>
        </is>
      </c>
      <c r="C69" s="24" t="inlineStr">
        <is>
          <t>тыс.руб</t>
        </is>
      </c>
      <c r="D69" s="61">
        <f>0+D68</f>
        <v>296085.09</v>
      </c>
      <c r="E69" s="61">
        <f>E67+E68</f>
        <v>72938.48384752689</v>
      </c>
      <c r="F69" s="61">
        <f>F67+F68</f>
        <v>73900.14654720415</v>
      </c>
      <c r="G69" s="61">
        <f>G67+G68</f>
        <v>113880.33842363543</v>
      </c>
      <c r="H69" s="61">
        <f>H67+H68</f>
        <v>85114.30692458714</v>
      </c>
      <c r="I69" s="61">
        <f>I67+I68</f>
        <v>69751.35953892104</v>
      </c>
      <c r="J69" s="61">
        <f>J67+J68</f>
        <v>130552.67024686592</v>
      </c>
      <c r="K69" s="61">
        <f>K67+K68</f>
        <v>83534.5144415139</v>
      </c>
      <c r="L69" s="61">
        <f>L67+L68</f>
        <v>101380.26963250447</v>
      </c>
      <c r="M69" s="61">
        <f>M67+M68</f>
        <v>127518.77098034928</v>
      </c>
      <c r="N69" s="61">
        <f>N67+N68</f>
        <v>87290.14894219472</v>
      </c>
    </row>
    <row r="70">
      <c r="B70" s="22" t="inlineStr">
        <is>
          <t>Дисконтированный поток</t>
        </is>
      </c>
      <c r="C70" s="24" t="inlineStr">
        <is>
          <t>тыс.руб</t>
        </is>
      </c>
      <c r="D70" s="52">
        <f>D69*D$6</f>
        <v>296085.09</v>
      </c>
      <c r="E70" s="52">
        <f>E69*E$6</f>
        <v>65123.64629243472</v>
      </c>
      <c r="F70" s="52">
        <f>F69*F$6</f>
        <v>58912.74437755432</v>
      </c>
      <c r="G70" s="52">
        <f>G69*G$6</f>
        <v>81057.77550425033</v>
      </c>
      <c r="H70" s="52">
        <f>H69*H$6</f>
        <v>54091.680781472634</v>
      </c>
      <c r="I70" s="52">
        <f>I69*I$6</f>
        <v>39578.79462526749</v>
      </c>
      <c r="J70" s="52">
        <f>J69*J$6</f>
        <v>66142.0456998627</v>
      </c>
      <c r="K70" s="52">
        <f>K69*K$6</f>
        <v>37786.7720611672</v>
      </c>
      <c r="L70" s="52">
        <f>L69*L$6</f>
        <v>40945.790552594706</v>
      </c>
      <c r="M70" s="52">
        <f>M69*M$6</f>
        <v>45984.54718884406</v>
      </c>
      <c r="N70" s="52">
        <f>N69*N$6</f>
        <v>28105.091777402347</v>
      </c>
    </row>
    <row r="71">
      <c r="B71" s="22" t="inlineStr">
        <is>
          <t>Кумул. дисконт. поток</t>
        </is>
      </c>
      <c r="C71" s="24" t="inlineStr">
        <is>
          <t>тыс.руб</t>
        </is>
      </c>
      <c r="D71" s="52">
        <f>SUM($D70:D70)</f>
        <v>296085.09</v>
      </c>
      <c r="E71" s="52">
        <f>SUM($D70:E70)</f>
        <v>361208.73629243474</v>
      </c>
      <c r="F71" s="52">
        <f>SUM($D70:F70)</f>
        <v>420121.4806699891</v>
      </c>
      <c r="G71" s="52">
        <f>SUM($D70:G70)</f>
        <v>501179.2561742394</v>
      </c>
      <c r="H71" s="52">
        <f>SUM($D70:H70)</f>
        <v>555270.936955712</v>
      </c>
      <c r="I71" s="52">
        <f>SUM($D70:I70)</f>
        <v>594849.7315809795</v>
      </c>
      <c r="J71" s="52">
        <f>SUM($D70:J70)</f>
        <v>660991.7772808422</v>
      </c>
      <c r="K71" s="52">
        <f>SUM($D70:K70)</f>
        <v>698778.5493420095</v>
      </c>
      <c r="L71" s="52">
        <f>SUM($D70:L70)</f>
        <v>739724.3398946042</v>
      </c>
      <c r="M71" s="52">
        <f>SUM($D70:M70)</f>
        <v>785708.8870834482</v>
      </c>
      <c r="N71" s="52">
        <f>SUM($D70:N70)</f>
        <v>813813.9788608506</v>
      </c>
    </row>
    <row r="72">
      <c r="B72" s="39" t="inlineStr">
        <is>
          <t>Аннуитет по году</t>
        </is>
      </c>
      <c r="C72" s="24" t="inlineStr">
        <is>
          <t>руб/ткм</t>
        </is>
      </c>
      <c r="D72" s="62" t="n"/>
      <c r="E72" s="62">
        <f>SUM($D70:E70)/SUM($E$6:E$6)/(SUM($E56:E56)/E$4)</f>
        <v>32.94376515156896</v>
      </c>
      <c r="F72" s="62">
        <f>SUM($D70:F70)/SUM($E$6:F$6)/(SUM($E56:F56)/F$4)</f>
        <v>20.60680437073977</v>
      </c>
      <c r="G72" s="62">
        <f>SUM($D70:G70)/SUM($E$6:G$6)/(SUM($E56:G56)/G$4)</f>
        <v>17.63857620002194</v>
      </c>
      <c r="H72" s="62">
        <f>SUM($D70:H70)/SUM($E$6:H$6)/(SUM($E56:H56)/H$4)</f>
        <v>15.442003246002649</v>
      </c>
      <c r="I72" s="62">
        <f>SUM($D70:I70)/SUM($E$6:I$6)/(SUM($E56:I56)/I$4)</f>
        <v>14.101340899396662</v>
      </c>
      <c r="J72" s="62">
        <f>SUM($D70:J70)/SUM($E$6:J$6)/(SUM($E56:J56)/J$4)</f>
        <v>13.706673189388784</v>
      </c>
      <c r="K72" s="62">
        <f>SUM($D70:K70)/SUM($E$6:K$6)/(SUM($E56:K56)/K$4)</f>
        <v>13.112395414987207</v>
      </c>
      <c r="L72" s="62">
        <f>SUM($D70:L70)/SUM($E$6:L$6)/(SUM($E56:L56)/L$4)</f>
        <v>12.726606476433242</v>
      </c>
      <c r="M72" s="62">
        <f>SUM($D70:M70)/SUM($E$6:M$6)/(SUM($E56:M56)/M$4)</f>
        <v>12.668388366692493</v>
      </c>
      <c r="N72" s="62">
        <f>SUM($D70:N70)/SUM($E$6:N$6)/(SUM($E56:N56)/N$4)</f>
        <v>12.376492743605453</v>
      </c>
    </row>
    <row r="74">
      <c r="B74" s="5" t="str">
        <f>"Вариант 4:  "&amp;'Ввод данных'!G7</f>
        <v>Вариант 4:  TZCO TZE240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B75" s="22" t="inlineStr">
        <is>
          <t>КТГ</t>
        </is>
      </c>
      <c r="C75" s="24" t="inlineStr">
        <is>
          <t>коэф.</t>
        </is>
      </c>
      <c r="D75" s="55" t="n"/>
      <c r="E75" s="55">
        <f>'Данные по годам'!E16</f>
        <v>0.8994</v>
      </c>
      <c r="F75" s="55">
        <f>'Данные по годам'!F16</f>
        <v>0.8743</v>
      </c>
      <c r="G75" s="55">
        <f>'Данные по годам'!G16</f>
        <v>0.7653</v>
      </c>
      <c r="H75" s="55">
        <f>'Данные по годам'!H16</f>
        <v>0.8743</v>
      </c>
      <c r="I75" s="55">
        <f>'Данные по годам'!I16</f>
        <v>0.8994</v>
      </c>
      <c r="J75" s="55">
        <f>'Данные по годам'!J16</f>
        <v>0.7396</v>
      </c>
      <c r="K75" s="55">
        <f>'Данные по годам'!K16</f>
        <v>0.8994</v>
      </c>
      <c r="L75" s="55">
        <f>'Данные по годам'!L16</f>
        <v>0.8743</v>
      </c>
      <c r="M75" s="55">
        <f>'Данные по годам'!M16</f>
        <v>0.8994</v>
      </c>
      <c r="N75" s="55">
        <f>'Данные по годам'!N16</f>
        <v>0.8743</v>
      </c>
    </row>
    <row r="76">
      <c r="B76" s="22" t="inlineStr">
        <is>
          <t>Эффективное время</t>
        </is>
      </c>
      <c r="C76" s="24" t="inlineStr">
        <is>
          <t>час/год</t>
        </is>
      </c>
      <c r="D76" s="52" t="n"/>
      <c r="E76" s="52">
        <f>'Параметры'!C26*E75*(1-102.38/(60*'Параметры'!C27))</f>
        <v>6758.4303740000005</v>
      </c>
      <c r="F76" s="52">
        <f>'Параметры'!C26*F75*(1-102.38/(60*'Параметры'!C27))</f>
        <v>6569.819519666667</v>
      </c>
      <c r="G76" s="52">
        <f>'Параметры'!C26*G75*(1-102.38/(60*'Параметры'!C27))</f>
        <v>5750.752463000001</v>
      </c>
      <c r="H76" s="52">
        <f>'Параметры'!C26*H75*(1-102.38/(60*'Параметры'!C27))</f>
        <v>6569.819519666667</v>
      </c>
      <c r="I76" s="52">
        <f>'Параметры'!C26*I75*(1-102.38/(60*'Параметры'!C27))</f>
        <v>6758.4303740000005</v>
      </c>
      <c r="J76" s="52">
        <f>'Параметры'!C26*J75*(1-102.38/(60*'Параметры'!C27))</f>
        <v>5557.632982666668</v>
      </c>
      <c r="K76" s="52">
        <f>'Параметры'!C26*K75*(1-102.38/(60*'Параметры'!C27))</f>
        <v>6758.4303740000005</v>
      </c>
      <c r="L76" s="52">
        <f>'Параметры'!C26*L75*(1-102.38/(60*'Параметры'!C27))</f>
        <v>6569.819519666667</v>
      </c>
      <c r="M76" s="52">
        <f>'Параметры'!C26*M75*(1-102.38/(60*'Параметры'!C27))</f>
        <v>6758.4303740000005</v>
      </c>
      <c r="N76" s="52">
        <f>'Параметры'!C26*N75*(1-102.38/(60*'Параметры'!C27))</f>
        <v>6569.819519666667</v>
      </c>
    </row>
    <row r="77">
      <c r="B77" s="22" t="inlineStr">
        <is>
          <t>Объём перевозки</t>
        </is>
      </c>
      <c r="C77" s="24" t="inlineStr">
        <is>
          <t>тыс.т</t>
        </is>
      </c>
      <c r="D77" s="52" t="n"/>
      <c r="E77" s="52">
        <f>'Производительность'!G9*E76/1000</f>
        <v>2936.039629707487</v>
      </c>
      <c r="F77" s="52">
        <f>'Производительность'!G9*F76/1000</f>
        <v>2854.1021216958593</v>
      </c>
      <c r="G77" s="52">
        <f>'Производительность'!G9*G76/1000</f>
        <v>2498.277883717078</v>
      </c>
      <c r="H77" s="52">
        <f>'Производительность'!G9*H76/1000</f>
        <v>2854.1021216958593</v>
      </c>
      <c r="I77" s="52">
        <f>'Производительность'!G9*I76/1000</f>
        <v>2936.039629707487</v>
      </c>
      <c r="J77" s="52">
        <f>'Производительность'!G9*J76/1000</f>
        <v>2414.381710175292</v>
      </c>
      <c r="K77" s="52">
        <f>'Производительность'!G9*K76/1000</f>
        <v>2936.039629707487</v>
      </c>
      <c r="L77" s="52">
        <f>'Производительность'!G9*L76/1000</f>
        <v>2854.1021216958593</v>
      </c>
      <c r="M77" s="52">
        <f>'Производительность'!G9*M76/1000</f>
        <v>2936.039629707487</v>
      </c>
      <c r="N77" s="52">
        <f>'Производительность'!G9*N76/1000</f>
        <v>2854.1021216958593</v>
      </c>
    </row>
    <row r="78">
      <c r="B78" s="22" t="inlineStr">
        <is>
          <t>Грузооборот</t>
        </is>
      </c>
      <c r="C78" s="24" t="inlineStr">
        <is>
          <t>тыс.ткм</t>
        </is>
      </c>
      <c r="D78" s="52" t="n"/>
      <c r="E78" s="52">
        <f>E77*'Ввод данных'!G18</f>
        <v>11958.489411798597</v>
      </c>
      <c r="F78" s="52">
        <f>F77*'Ввод данных'!G18</f>
        <v>11624.757941667236</v>
      </c>
      <c r="G78" s="52">
        <f>G77*'Ввод данных'!G18</f>
        <v>10175.48582037966</v>
      </c>
      <c r="H78" s="52">
        <f>H77*'Ввод данных'!G18</f>
        <v>11624.757941667236</v>
      </c>
      <c r="I78" s="52">
        <f>I77*'Ввод данных'!G18</f>
        <v>11958.489411798597</v>
      </c>
      <c r="J78" s="52">
        <f>J77*'Ввод данных'!G18</f>
        <v>9833.776705543965</v>
      </c>
      <c r="K78" s="52">
        <f>K77*'Ввод данных'!G18</f>
        <v>11958.489411798597</v>
      </c>
      <c r="L78" s="52">
        <f>L77*'Ввод данных'!G18</f>
        <v>11624.757941667236</v>
      </c>
      <c r="M78" s="52">
        <f>M77*'Ввод данных'!G18</f>
        <v>11958.489411798597</v>
      </c>
      <c r="N78" s="52">
        <f>N77*'Ввод данных'!G18</f>
        <v>11624.757941667236</v>
      </c>
    </row>
    <row r="79">
      <c r="B79" s="22" t="inlineStr">
        <is>
          <t>Пробег</t>
        </is>
      </c>
      <c r="C79" s="24" t="inlineStr">
        <is>
          <t>тыс.км</t>
        </is>
      </c>
      <c r="D79" s="52" t="n"/>
      <c r="E79" s="52">
        <f>'Производительность'!G8*E76*2*'Ввод данных'!G18/1000</f>
        <v>109.51930349195122</v>
      </c>
      <c r="F79" s="52">
        <f>'Производительность'!G8*F76*2*'Ввод данных'!G18/1000</f>
        <v>106.4628941994807</v>
      </c>
      <c r="G79" s="52">
        <f>'Производительность'!G8*G76*2*'Ввод данных'!G18/1000</f>
        <v>93.19004109672032</v>
      </c>
      <c r="H79" s="52">
        <f>'Производительность'!G8*H76*2*'Ввод данных'!G18/1000</f>
        <v>106.4628941994807</v>
      </c>
      <c r="I79" s="52">
        <f>'Производительность'!G8*I76*2*'Ввод данных'!G18/1000</f>
        <v>109.51930349195122</v>
      </c>
      <c r="J79" s="52">
        <f>'Производительность'!G8*J76*2*'Ввод данных'!G18/1000</f>
        <v>90.06057022753738</v>
      </c>
      <c r="K79" s="52">
        <f>'Производительность'!G8*K76*2*'Ввод данных'!G18/1000</f>
        <v>109.51930349195122</v>
      </c>
      <c r="L79" s="52">
        <f>'Производительность'!G8*L76*2*'Ввод данных'!G18/1000</f>
        <v>106.4628941994807</v>
      </c>
      <c r="M79" s="52">
        <f>'Производительность'!G8*M76*2*'Ввод данных'!G18/1000</f>
        <v>109.51930349195122</v>
      </c>
      <c r="N79" s="52">
        <f>'Производительность'!G8*N76*2*'Ввод данных'!G18/1000</f>
        <v>106.4628941994807</v>
      </c>
    </row>
    <row r="80">
      <c r="B80" s="22" t="inlineStr">
        <is>
          <t>Топливо</t>
        </is>
      </c>
      <c r="C80" s="24" t="inlineStr">
        <is>
          <t>тыс.руб</t>
        </is>
      </c>
      <c r="D80" s="52" t="n"/>
      <c r="E80" s="52">
        <f>E78*'Параметры'!C32/1000*'Параметры'!C10*(1+'Параметры'!C14)^(E$4-1)</f>
        <v>61895.82097823848</v>
      </c>
      <c r="F80" s="52">
        <f>F78*'Параметры'!C32/1000*'Параметры'!C10*(1+'Параметры'!C14)^(F$4-1)</f>
        <v>60168.46373279287</v>
      </c>
      <c r="G80" s="52">
        <f>G78*'Параметры'!C32/1000*'Параметры'!C10*(1+'Параметры'!C14)^(G$4-1)</f>
        <v>52667.19123265056</v>
      </c>
      <c r="H80" s="52">
        <f>H78*'Параметры'!C32/1000*'Параметры'!C10*(1+'Параметры'!C14)^(H$4-1)</f>
        <v>60168.46373279287</v>
      </c>
      <c r="I80" s="52">
        <f>I78*'Параметры'!C32/1000*'Параметры'!C10*(1+'Параметры'!C14)^(I$4-1)</f>
        <v>61895.82097823848</v>
      </c>
      <c r="J80" s="52">
        <f>J78*'Параметры'!C32/1000*'Параметры'!C10*(1+'Параметры'!C14)^(J$4-1)</f>
        <v>50898.54257894729</v>
      </c>
      <c r="K80" s="52">
        <f>K78*'Параметры'!C32/1000*'Параметры'!C10*(1+'Параметры'!C14)^(K$4-1)</f>
        <v>61895.82097823848</v>
      </c>
      <c r="L80" s="52">
        <f>L78*'Параметры'!C32/1000*'Параметры'!C10*(1+'Параметры'!C14)^(L$4-1)</f>
        <v>60168.46373279287</v>
      </c>
      <c r="M80" s="52">
        <f>M78*'Параметры'!C32/1000*'Параметры'!C10*(1+'Параметры'!C14)^(M$4-1)</f>
        <v>61895.82097823848</v>
      </c>
      <c r="N80" s="52">
        <f>N78*'Параметры'!C32/1000*'Параметры'!C10*(1+'Параметры'!C14)^(N$4-1)</f>
        <v>60168.46373279287</v>
      </c>
    </row>
    <row r="81">
      <c r="B81" s="22" t="inlineStr">
        <is>
          <t>ТОиР и сервис (по годам)</t>
        </is>
      </c>
      <c r="C81" s="24" t="inlineStr">
        <is>
          <t>тыс.руб</t>
        </is>
      </c>
      <c r="D81" s="52" t="n"/>
      <c r="E81" s="52">
        <f>'Данные по годам'!E17*IF('Данные по годам'!$D$17="CNY",'Параметры'!C20,IF('Данные по годам'!$D$17="USD",'Параметры'!C21,IF('Данные по годам'!$D$17="EUR",'Параметры'!C22,1)))</f>
        <v>27653.116847885765</v>
      </c>
      <c r="F81" s="52">
        <f>'Данные по годам'!F17*IF('Данные по годам'!$D$17="CNY",'Параметры'!C20,IF('Данные по годам'!$D$17="USD",'Параметры'!C21,IF('Данные по годам'!$D$17="EUR",'Параметры'!C22,1)))</f>
        <v>35421.51748713354</v>
      </c>
      <c r="G81" s="52">
        <f>'Данные по годам'!G17*IF('Данные по годам'!$D$17="CNY",'Параметры'!C20,IF('Данные по годам'!$D$17="USD",'Параметры'!C21,IF('Данные по годам'!$D$17="EUR",'Параметры'!C22,1)))</f>
        <v>139742.44105874264</v>
      </c>
      <c r="H81" s="52">
        <f>'Данные по годам'!H17*IF('Данные по годам'!$D$17="CNY",'Параметры'!C20,IF('Данные по годам'!$D$17="USD",'Параметры'!C21,IF('Данные по годам'!$D$17="EUR",'Параметры'!C22,1)))</f>
        <v>62765.45171709468</v>
      </c>
      <c r="I81" s="52">
        <f>'Данные по годам'!I17*IF('Данные по годам'!$D$17="CNY",'Параметры'!C20,IF('Данные по годам'!$D$17="USD",'Параметры'!C21,IF('Данные по годам'!$D$17="EUR",'Параметры'!C22,1)))</f>
        <v>33819.92220099125</v>
      </c>
      <c r="J81" s="52">
        <f>'Данные по годам'!J17*IF('Данные по годам'!$D$17="CNY",'Параметры'!C20,IF('Данные по годам'!$D$17="USD",'Параметры'!C21,IF('Данные по годам'!$D$17="EUR",'Параметры'!C22,1)))</f>
        <v>141658.35525904663</v>
      </c>
      <c r="K81" s="52">
        <f>'Данные по годам'!K17*IF('Данные по годам'!$D$17="CNY",'Параметры'!C20,IF('Данные по годам'!$D$17="USD",'Параметры'!C21,IF('Данные по годам'!$D$17="EUR",'Параметры'!C22,1)))</f>
        <v>29316.987251709365</v>
      </c>
      <c r="L81" s="52">
        <f>'Данные по годам'!L17*IF('Данные по годам'!$D$17="CNY",'Параметры'!C20,IF('Данные по годам'!$D$17="USD",'Параметры'!C21,IF('Данные по годам'!$D$17="EUR",'Параметры'!C22,1)))</f>
        <v>66954.06775221489</v>
      </c>
      <c r="M81" s="52">
        <f>'Данные по годам'!M17*IF('Данные по годам'!$D$17="CNY",'Параметры'!C20,IF('Данные по годам'!$D$17="USD",'Параметры'!C21,IF('Данные по годам'!$D$17="EUR",'Параметры'!C22,1)))</f>
        <v>140056.75997290434</v>
      </c>
      <c r="N81" s="52">
        <f>'Данные по годам'!N17*IF('Данные по годам'!$D$17="CNY",'Параметры'!C20,IF('Данные по годам'!$D$17="USD",'Параметры'!C21,IF('Данные по годам'!$D$17="EUR",'Параметры'!C22,1)))</f>
        <v>35421.51748713354</v>
      </c>
    </row>
    <row r="82">
      <c r="B82" s="22" t="inlineStr">
        <is>
          <t>Шины</t>
        </is>
      </c>
      <c r="C82" s="24" t="inlineStr">
        <is>
          <t>тыс.руб</t>
        </is>
      </c>
      <c r="D82" s="52" t="n"/>
      <c r="E82" s="52">
        <f>E79*'Параметры'!C36*'Параметры'!C37*(1+'Параметры'!C15)^(E$4-1)</f>
        <v>18407.664363970514</v>
      </c>
      <c r="F82" s="52">
        <f>F79*'Параметры'!C36*'Параметры'!C37*(1+'Параметры'!C15)^(F$4-1)</f>
        <v>17893.952583299335</v>
      </c>
      <c r="G82" s="52">
        <f>G79*'Параметры'!C36*'Параметры'!C37*(1+'Параметры'!C15)^(G$4-1)</f>
        <v>15663.092659269105</v>
      </c>
      <c r="H82" s="52">
        <f>H79*'Параметры'!C36*'Параметры'!C37*(1+'Параметры'!C15)^(H$4-1)</f>
        <v>17893.952583299335</v>
      </c>
      <c r="I82" s="52">
        <f>I79*'Параметры'!C36*'Параметры'!C37*(1+'Параметры'!C15)^(I$4-1)</f>
        <v>18407.664363970514</v>
      </c>
      <c r="J82" s="52">
        <f>J79*'Параметры'!C36*'Параметры'!C37*(1+'Параметры'!C15)^(J$4-1)</f>
        <v>15137.100915713358</v>
      </c>
      <c r="K82" s="52">
        <f>K79*'Параметры'!C36*'Параметры'!C37*(1+'Параметры'!C15)^(K$4-1)</f>
        <v>18407.664363970514</v>
      </c>
      <c r="L82" s="52">
        <f>L79*'Параметры'!C36*'Параметры'!C37*(1+'Параметры'!C15)^(L$4-1)</f>
        <v>17893.952583299335</v>
      </c>
      <c r="M82" s="52">
        <f>M79*'Параметры'!C36*'Параметры'!C37*(1+'Параметры'!C15)^(M$4-1)</f>
        <v>18407.664363970514</v>
      </c>
      <c r="N82" s="52">
        <f>N79*'Параметры'!C36*'Параметры'!C37*(1+'Параметры'!C15)^(N$4-1)</f>
        <v>17893.952583299335</v>
      </c>
    </row>
    <row r="83">
      <c r="B83" s="22" t="inlineStr">
        <is>
          <t>Персонал</t>
        </is>
      </c>
      <c r="C83" s="24" t="inlineStr">
        <is>
          <t>тыс.руб</t>
        </is>
      </c>
      <c r="D83" s="52" t="n"/>
      <c r="E83" s="52">
        <f>'Ввод данных'!G20*(1+'Параметры'!C16)^(E$4-1)</f>
        <v>18475.6</v>
      </c>
      <c r="F83" s="52">
        <f>'Ввод данных'!G20*(1+'Параметры'!C16)^(F$4-1)</f>
        <v>18475.6</v>
      </c>
      <c r="G83" s="52">
        <f>'Ввод данных'!G20*(1+'Параметры'!C16)^(G$4-1)</f>
        <v>18475.6</v>
      </c>
      <c r="H83" s="52">
        <f>'Ввод данных'!G20*(1+'Параметры'!C16)^(H$4-1)</f>
        <v>18475.6</v>
      </c>
      <c r="I83" s="52">
        <f>'Ввод данных'!G20*(1+'Параметры'!C16)^(I$4-1)</f>
        <v>18475.6</v>
      </c>
      <c r="J83" s="52">
        <f>'Ввод данных'!G20*(1+'Параметры'!C16)^(J$4-1)</f>
        <v>18475.6</v>
      </c>
      <c r="K83" s="52">
        <f>'Ввод данных'!G20*(1+'Параметры'!C16)^(K$4-1)</f>
        <v>18475.6</v>
      </c>
      <c r="L83" s="52">
        <f>'Ввод данных'!G20*(1+'Параметры'!C16)^(L$4-1)</f>
        <v>18475.6</v>
      </c>
      <c r="M83" s="52">
        <f>'Ввод данных'!G20*(1+'Параметры'!C16)^(M$4-1)</f>
        <v>18475.6</v>
      </c>
      <c r="N83" s="52">
        <f>'Ввод данных'!G20*(1+'Параметры'!C16)^(N$4-1)</f>
        <v>18475.6</v>
      </c>
    </row>
    <row r="84">
      <c r="B84" s="22" t="inlineStr">
        <is>
          <t>Транспортный налог</t>
        </is>
      </c>
      <c r="C84" s="24" t="inlineStr">
        <is>
          <t>тыс.руб</t>
        </is>
      </c>
      <c r="D84" s="52" t="n"/>
      <c r="E84" s="52">
        <f>'Ввод данных'!G21*'Параметры'!C41/1000</f>
        <v>212.5</v>
      </c>
      <c r="F84" s="52">
        <f>'Ввод данных'!G21*'Параметры'!C41/1000</f>
        <v>212.5</v>
      </c>
      <c r="G84" s="52">
        <f>'Ввод данных'!G21*'Параметры'!C41/1000</f>
        <v>212.5</v>
      </c>
      <c r="H84" s="52">
        <f>'Ввод данных'!G21*'Параметры'!C41/1000</f>
        <v>212.5</v>
      </c>
      <c r="I84" s="52">
        <f>'Ввод данных'!G21*'Параметры'!C41/1000</f>
        <v>212.5</v>
      </c>
      <c r="J84" s="52">
        <f>'Ввод данных'!G21*'Параметры'!C41/1000</f>
        <v>212.5</v>
      </c>
      <c r="K84" s="52">
        <f>'Ввод данных'!G21*'Параметры'!C41/1000</f>
        <v>212.5</v>
      </c>
      <c r="L84" s="52">
        <f>'Ввод данных'!G21*'Параметры'!C41/1000</f>
        <v>212.5</v>
      </c>
      <c r="M84" s="52">
        <f>'Ввод данных'!G21*'Параметры'!C41/1000</f>
        <v>212.5</v>
      </c>
      <c r="N84" s="52">
        <f>'Ввод данных'!G21*'Параметры'!C41/1000</f>
        <v>212.5</v>
      </c>
    </row>
    <row r="85">
      <c r="B85" s="22" t="inlineStr">
        <is>
          <t>Итого денежные затраты</t>
        </is>
      </c>
      <c r="C85" s="24" t="inlineStr">
        <is>
          <t>тыс.руб</t>
        </is>
      </c>
      <c r="D85" s="52" t="n"/>
      <c r="E85" s="61">
        <f>E80+E81+E82+E83+E84</f>
        <v>126644.70219009477</v>
      </c>
      <c r="F85" s="61">
        <f>F80+F81+F82+F83+F84</f>
        <v>132172.03380322576</v>
      </c>
      <c r="G85" s="61">
        <f>G80+G81+G82+G83+G84</f>
        <v>226760.82495066233</v>
      </c>
      <c r="H85" s="61">
        <f>H80+H81+H82+H83+H84</f>
        <v>159515.9680331869</v>
      </c>
      <c r="I85" s="61">
        <f>I80+I81+I82+I83+I84</f>
        <v>132811.50754320025</v>
      </c>
      <c r="J85" s="61">
        <f>J80+J81+J82+J83+J84</f>
        <v>226382.09875370728</v>
      </c>
      <c r="K85" s="61">
        <f>K80+K81+K82+K83+K84</f>
        <v>128308.57259391836</v>
      </c>
      <c r="L85" s="61">
        <f>L80+L81+L82+L83+L84</f>
        <v>163704.5840683071</v>
      </c>
      <c r="M85" s="61">
        <f>M80+M81+M82+M83+M84</f>
        <v>239048.34531511334</v>
      </c>
      <c r="N85" s="61">
        <f>N80+N81+N82+N83+N84</f>
        <v>132172.03380322576</v>
      </c>
    </row>
    <row r="86">
      <c r="B86" s="22" t="inlineStr">
        <is>
          <t>Амортизация (НУ)</t>
        </is>
      </c>
      <c r="C86" s="24" t="inlineStr">
        <is>
          <t>тыс.руб</t>
        </is>
      </c>
      <c r="D86" s="52" t="n"/>
      <c r="E86" s="52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59587.55852842809</v>
      </c>
      <c r="F86" s="52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59587.55852842809</v>
      </c>
      <c r="G86" s="52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59587.55852842809</v>
      </c>
      <c r="H86" s="52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59587.55852842809</v>
      </c>
      <c r="I86" s="52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59587.55852842809</v>
      </c>
      <c r="J86" s="52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4945.767357859542</v>
      </c>
      <c r="K86" s="52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86" s="52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86" s="52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86" s="52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87">
      <c r="B87" s="22" t="inlineStr">
        <is>
          <t>Налогооблагаемая база</t>
        </is>
      </c>
      <c r="C87" s="24" t="inlineStr">
        <is>
          <t>тыс.руб</t>
        </is>
      </c>
      <c r="D87" s="52" t="n"/>
      <c r="E87" s="52">
        <f>E85+E86</f>
        <v>186232.26071852286</v>
      </c>
      <c r="F87" s="52">
        <f>F85+F86</f>
        <v>191759.59233165384</v>
      </c>
      <c r="G87" s="52">
        <f>G85+G86</f>
        <v>286348.3834790904</v>
      </c>
      <c r="H87" s="52">
        <f>H85+H86</f>
        <v>219103.52656161497</v>
      </c>
      <c r="I87" s="52">
        <f>I85+I86</f>
        <v>192399.06607162833</v>
      </c>
      <c r="J87" s="52">
        <f>J85+J86</f>
        <v>231327.86611156684</v>
      </c>
      <c r="K87" s="52">
        <f>K85+K86</f>
        <v>128308.57259391836</v>
      </c>
      <c r="L87" s="52">
        <f>L85+L86</f>
        <v>163704.5840683071</v>
      </c>
      <c r="M87" s="52">
        <f>M85+M86</f>
        <v>239048.34531511334</v>
      </c>
      <c r="N87" s="52">
        <f>N85+N86</f>
        <v>132172.03380322576</v>
      </c>
    </row>
    <row r="88">
      <c r="B88" s="22" t="inlineStr">
        <is>
          <t>Налог на прибыль (щит)</t>
        </is>
      </c>
      <c r="C88" s="24" t="inlineStr">
        <is>
          <t>тыс.руб</t>
        </is>
      </c>
      <c r="D88" s="52" t="n"/>
      <c r="E88" s="52">
        <f>-E87*'Параметры'!C7</f>
        <v>-46558.065179630714</v>
      </c>
      <c r="F88" s="52">
        <f>-F87*'Параметры'!C7</f>
        <v>-47939.89808291346</v>
      </c>
      <c r="G88" s="52">
        <f>-G87*'Параметры'!C7</f>
        <v>-71587.0958697726</v>
      </c>
      <c r="H88" s="52">
        <f>-H87*'Параметры'!C7</f>
        <v>-54775.88164040374</v>
      </c>
      <c r="I88" s="52">
        <f>-I87*'Параметры'!C7</f>
        <v>-48099.76651790708</v>
      </c>
      <c r="J88" s="52">
        <f>-J87*'Параметры'!C7</f>
        <v>-57831.96652789171</v>
      </c>
      <c r="K88" s="52">
        <f>-K87*'Параметры'!C7</f>
        <v>-32077.14314847959</v>
      </c>
      <c r="L88" s="52">
        <f>-L87*'Параметры'!C7</f>
        <v>-40926.146017076775</v>
      </c>
      <c r="M88" s="52">
        <f>-M87*'Параметры'!C7</f>
        <v>-59762.086328778336</v>
      </c>
      <c r="N88" s="52">
        <f>-N87*'Параметры'!C7</f>
        <v>-33043.00845080644</v>
      </c>
    </row>
    <row r="89">
      <c r="B89" s="22" t="inlineStr">
        <is>
          <t>Операц. денежный поток</t>
        </is>
      </c>
      <c r="C89" s="24" t="inlineStr">
        <is>
          <t>тыс.руб</t>
        </is>
      </c>
      <c r="D89" s="52" t="n"/>
      <c r="E89" s="61">
        <f>E87+E88-E86</f>
        <v>80086.63701046407</v>
      </c>
      <c r="F89" s="61">
        <f>F87+F88-F86</f>
        <v>84232.1357203123</v>
      </c>
      <c r="G89" s="61">
        <f>G87+G88-G86</f>
        <v>155173.72908088972</v>
      </c>
      <c r="H89" s="61">
        <f>H87+H88-H86</f>
        <v>104740.08639278315</v>
      </c>
      <c r="I89" s="61">
        <f>I87+I88-I86</f>
        <v>84711.74102529316</v>
      </c>
      <c r="J89" s="61">
        <f>J87+J88-J86</f>
        <v>168550.1322258156</v>
      </c>
      <c r="K89" s="61">
        <f>K87+K88-K86</f>
        <v>96231.42944543877</v>
      </c>
      <c r="L89" s="61">
        <f>L87+L88-L86</f>
        <v>122778.43805123033</v>
      </c>
      <c r="M89" s="61">
        <f>M87+M88-M86</f>
        <v>179286.25898633501</v>
      </c>
      <c r="N89" s="61">
        <f>N87+N88-N86</f>
        <v>99129.02535241932</v>
      </c>
    </row>
    <row r="90">
      <c r="B90" s="22" t="inlineStr">
        <is>
          <t>Инвестиции / остаточная ст-ть</t>
        </is>
      </c>
      <c r="C90" s="24" t="inlineStr">
        <is>
          <t>тыс.руб</t>
        </is>
      </c>
      <c r="D90" s="52">
        <f>IF(D$4=0,'Производительность'!G5,IF(D$4='Параметры'!C8,-'Ввод данных'!G14*'Производительность'!G5,0))</f>
        <v>302883.56</v>
      </c>
      <c r="E90" s="52">
        <f>IF(E$4=0,'Производительность'!G5,IF(E$4='Параметры'!C8,-'Ввод данных'!G14*'Производительность'!G5,0))</f>
        <v>0.0</v>
      </c>
      <c r="F90" s="52">
        <f>IF(F$4=0,'Производительность'!G5,IF(F$4='Параметры'!C8,-'Ввод данных'!G14*'Производительность'!G5,0))</f>
        <v>0.0</v>
      </c>
      <c r="G90" s="52">
        <f>IF(G$4=0,'Производительность'!G5,IF(G$4='Параметры'!C8,-'Ввод данных'!G14*'Производительность'!G5,0))</f>
        <v>0.0</v>
      </c>
      <c r="H90" s="52">
        <f>IF(H$4=0,'Производительность'!G5,IF(H$4='Параметры'!C8,-'Ввод данных'!G14*'Производительность'!G5,0))</f>
        <v>0.0</v>
      </c>
      <c r="I90" s="52">
        <f>IF(I$4=0,'Производительность'!G5,IF(I$4='Параметры'!C8,-'Ввод данных'!G14*'Производительность'!G5,0))</f>
        <v>0.0</v>
      </c>
      <c r="J90" s="52">
        <f>IF(J$4=0,'Производительность'!G5,IF(J$4='Параметры'!C8,-'Ввод данных'!G14*'Производительность'!G5,0))</f>
        <v>0.0</v>
      </c>
      <c r="K90" s="52">
        <f>IF(K$4=0,'Производительность'!G5,IF(K$4='Параметры'!C8,-'Ввод данных'!G14*'Производительность'!G5,0))</f>
        <v>0.0</v>
      </c>
      <c r="L90" s="52">
        <f>IF(L$4=0,'Производительность'!G5,IF(L$4='Параметры'!C8,-'Ввод данных'!G14*'Производительность'!G5,0))</f>
        <v>0.0</v>
      </c>
      <c r="M90" s="52">
        <f>IF(M$4=0,'Производительность'!G5,IF(M$4='Параметры'!C8,-'Ввод данных'!G14*'Производительность'!G5,0))</f>
        <v>0.0</v>
      </c>
      <c r="N90" s="52">
        <f>IF(N$4=0,'Производительность'!G5,IF(N$4='Параметры'!C8,-'Ввод данных'!G14*'Производительность'!G5,0))</f>
        <v>-0.0</v>
      </c>
    </row>
    <row r="91">
      <c r="B91" s="22" t="inlineStr">
        <is>
          <t>Чистый денежный поток</t>
        </is>
      </c>
      <c r="C91" s="24" t="inlineStr">
        <is>
          <t>тыс.руб</t>
        </is>
      </c>
      <c r="D91" s="61">
        <f>0+D90</f>
        <v>302883.56</v>
      </c>
      <c r="E91" s="61">
        <f>E89+E90</f>
        <v>80086.63701046407</v>
      </c>
      <c r="F91" s="61">
        <f>F89+F90</f>
        <v>84232.1357203123</v>
      </c>
      <c r="G91" s="61">
        <f>G89+G90</f>
        <v>155173.72908088972</v>
      </c>
      <c r="H91" s="61">
        <f>H89+H90</f>
        <v>104740.08639278315</v>
      </c>
      <c r="I91" s="61">
        <f>I89+I90</f>
        <v>84711.74102529316</v>
      </c>
      <c r="J91" s="61">
        <f>J89+J90</f>
        <v>168550.1322258156</v>
      </c>
      <c r="K91" s="61">
        <f>K89+K90</f>
        <v>96231.42944543877</v>
      </c>
      <c r="L91" s="61">
        <f>L89+L90</f>
        <v>122778.43805123033</v>
      </c>
      <c r="M91" s="61">
        <f>M89+M90</f>
        <v>179286.25898633501</v>
      </c>
      <c r="N91" s="61">
        <f>N89+N90</f>
        <v>99129.02535241932</v>
      </c>
    </row>
    <row r="92">
      <c r="B92" s="22" t="inlineStr">
        <is>
          <t>Дисконтированный поток</t>
        </is>
      </c>
      <c r="C92" s="24" t="inlineStr">
        <is>
          <t>тыс.руб</t>
        </is>
      </c>
      <c r="D92" s="52">
        <f>D91*D$6</f>
        <v>302883.56</v>
      </c>
      <c r="E92" s="52">
        <f>E91*E$6</f>
        <v>71505.92590220005</v>
      </c>
      <c r="F92" s="52">
        <f>F91*F$6</f>
        <v>67149.34288927958</v>
      </c>
      <c r="G92" s="52">
        <f>G91*G$6</f>
        <v>110449.59533932677</v>
      </c>
      <c r="H92" s="52">
        <f>H91*H$6</f>
        <v>66564.21843629755</v>
      </c>
      <c r="I92" s="52">
        <f>I91*I$6</f>
        <v>48067.71685243036</v>
      </c>
      <c r="J92" s="52">
        <f>J91*J$6</f>
        <v>85392.7424641506</v>
      </c>
      <c r="K92" s="52">
        <f>K91*K$6</f>
        <v>43530.21160039184</v>
      </c>
      <c r="L92" s="52">
        <f>L91*L$6</f>
        <v>49588.1518863959</v>
      </c>
      <c r="M92" s="52">
        <f>M91*M$6</f>
        <v>64652.4223319162</v>
      </c>
      <c r="N92" s="52">
        <f>N91*N$6</f>
        <v>31916.893132799603</v>
      </c>
    </row>
    <row r="93">
      <c r="B93" s="22" t="inlineStr">
        <is>
          <t>Кумул. дисконт. поток</t>
        </is>
      </c>
      <c r="C93" s="24" t="inlineStr">
        <is>
          <t>тыс.руб</t>
        </is>
      </c>
      <c r="D93" s="52">
        <f>SUM($D92:D92)</f>
        <v>302883.56</v>
      </c>
      <c r="E93" s="52">
        <f>SUM($D92:E92)</f>
        <v>374389.48590220005</v>
      </c>
      <c r="F93" s="52">
        <f>SUM($D92:F92)</f>
        <v>441538.82879147964</v>
      </c>
      <c r="G93" s="52">
        <f>SUM($D92:G92)</f>
        <v>551988.4241308065</v>
      </c>
      <c r="H93" s="52">
        <f>SUM($D92:H92)</f>
        <v>618552.642567104</v>
      </c>
      <c r="I93" s="52">
        <f>SUM($D92:I92)</f>
        <v>666620.3594195343</v>
      </c>
      <c r="J93" s="52">
        <f>SUM($D92:J92)</f>
        <v>752013.101883685</v>
      </c>
      <c r="K93" s="52">
        <f>SUM($D92:K92)</f>
        <v>795543.3134840769</v>
      </c>
      <c r="L93" s="52">
        <f>SUM($D92:L92)</f>
        <v>845131.4653704728</v>
      </c>
      <c r="M93" s="52">
        <f>SUM($D92:M92)</f>
        <v>909783.8877023889</v>
      </c>
      <c r="N93" s="52">
        <f>SUM($D92:N92)</f>
        <v>941700.7808351886</v>
      </c>
    </row>
    <row r="94">
      <c r="B94" s="39" t="inlineStr">
        <is>
          <t>Аннуитет по году</t>
        </is>
      </c>
      <c r="C94" s="24" t="inlineStr">
        <is>
          <t>руб/ткм</t>
        </is>
      </c>
      <c r="D94" s="62" t="n"/>
      <c r="E94" s="62">
        <f>SUM($D92:E92)/SUM($E$6:E$6)/(SUM($E78:E78)/E$4)</f>
        <v>35.06431370811387</v>
      </c>
      <c r="F94" s="62">
        <f>SUM($D92:F92)/SUM($E$6:F$6)/(SUM($E78:F78)/F$4)</f>
        <v>22.156210125607988</v>
      </c>
      <c r="G94" s="62">
        <f>SUM($D92:G92)/SUM($E$6:G$6)/(SUM($E78:G78)/G$4)</f>
        <v>20.423143530062532</v>
      </c>
      <c r="H94" s="62">
        <f>SUM($D92:H92)/SUM($E$6:H$6)/(SUM($E78:H78)/H$4)</f>
        <v>17.94915513067396</v>
      </c>
      <c r="I94" s="62">
        <f>SUM($D92:I92)/SUM($E$6:I$6)/(SUM($E78:I78)/I$4)</f>
        <v>16.124920478194863</v>
      </c>
      <c r="J94" s="62">
        <f>SUM($D92:J92)/SUM($E$6:J$6)/(SUM($E78:J78)/J$4)</f>
        <v>16.33704787306218</v>
      </c>
      <c r="K94" s="62">
        <f>SUM($D92:K92)/SUM($E$6:K$6)/(SUM($E78:K78)/K$4)</f>
        <v>15.419664675828253</v>
      </c>
      <c r="L94" s="62">
        <f>SUM($D92:L92)/SUM($E$6:L$6)/(SUM($E78:L78)/L$4)</f>
        <v>14.995965730676343</v>
      </c>
      <c r="M94" s="62">
        <f>SUM($D92:M92)/SUM($E$6:M$6)/(SUM($E78:M78)/M$4)</f>
        <v>14.960694636731507</v>
      </c>
      <c r="N94" s="62">
        <f>SUM($D92:N92)/SUM($E$6:N$6)/(SUM($E78:N78)/N$4)</f>
        <v>14.57607513909691</v>
      </c>
    </row>
    <row r="96">
      <c r="B96" s="5" t="str">
        <f>"Вариант 5:  "&amp;'Ввод данных'!H7</f>
        <v>Вариант 5:  БелАЗ 7531
(ГПФК)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B97" s="22" t="inlineStr">
        <is>
          <t>КТГ</t>
        </is>
      </c>
      <c r="C97" s="24" t="inlineStr">
        <is>
          <t>коэф.</t>
        </is>
      </c>
      <c r="D97" s="55" t="n"/>
      <c r="E97" s="55">
        <f>'Данные по годам'!E19</f>
        <v>0.9066</v>
      </c>
      <c r="F97" s="55">
        <f>'Данные по годам'!F19</f>
        <v>0.8842</v>
      </c>
      <c r="G97" s="55">
        <f>'Данные по годам'!G19</f>
        <v>0.863</v>
      </c>
      <c r="H97" s="55">
        <f>'Данные по годам'!H19</f>
        <v>0.8732</v>
      </c>
      <c r="I97" s="55">
        <f>'Данные по годам'!I19</f>
        <v>0.8797</v>
      </c>
      <c r="J97" s="55">
        <f>'Данные по годам'!J19</f>
        <v>0.8448</v>
      </c>
      <c r="K97" s="55">
        <f>'Данные по годам'!K19</f>
        <v>0.8955</v>
      </c>
      <c r="L97" s="55">
        <f>'Данные по годам'!L19</f>
        <v>0.853</v>
      </c>
      <c r="M97" s="55">
        <f>'Данные по годам'!M19</f>
        <v>0.8405</v>
      </c>
      <c r="N97" s="55">
        <f>'Данные по годам'!N19</f>
        <v>0.8595</v>
      </c>
    </row>
    <row r="98">
      <c r="B98" s="22" t="inlineStr">
        <is>
          <t>Эффективное время</t>
        </is>
      </c>
      <c r="C98" s="24" t="inlineStr">
        <is>
          <t>час/год</t>
        </is>
      </c>
      <c r="D98" s="52" t="n"/>
      <c r="E98" s="52">
        <f>'Параметры'!C26*E97*(1-102.38/(60*'Параметры'!C27))</f>
        <v>6812.533886</v>
      </c>
      <c r="F98" s="52">
        <f>'Параметры'!C26*F97*(1-102.38/(60*'Параметры'!C27))</f>
        <v>6644.211848666667</v>
      </c>
      <c r="G98" s="52">
        <f>'Параметры'!C26*G97*(1-102.38/(60*'Параметры'!C27))</f>
        <v>6484.907063333334</v>
      </c>
      <c r="H98" s="52">
        <f>'Параметры'!C26*H97*(1-102.38/(60*'Параметры'!C27))</f>
        <v>6561.553705333334</v>
      </c>
      <c r="I98" s="52">
        <f>'Параметры'!C26*I97*(1-102.38/(60*'Параметры'!C27))</f>
        <v>6610.397153666668</v>
      </c>
      <c r="J98" s="52">
        <f>'Параметры'!C26*J97*(1-102.38/(60*'Параметры'!C27))</f>
        <v>6348.145408</v>
      </c>
      <c r="K98" s="52">
        <f>'Параметры'!C26*K97*(1-102.38/(60*'Параметры'!C27))</f>
        <v>6729.124305</v>
      </c>
      <c r="L98" s="52">
        <f>'Параметры'!C26*L97*(1-102.38/(60*'Параметры'!C27))</f>
        <v>6409.763296666667</v>
      </c>
      <c r="M98" s="52">
        <f>'Параметры'!C26*M97*(1-102.38/(60*'Параметры'!C27))</f>
        <v>6315.833588333334</v>
      </c>
      <c r="N98" s="52">
        <f>'Параметры'!C26*N97*(1-102.38/(60*'Параметры'!C27))</f>
        <v>6458.606745000001</v>
      </c>
    </row>
    <row r="99">
      <c r="B99" s="22" t="inlineStr">
        <is>
          <t>Объём перевозки</t>
        </is>
      </c>
      <c r="C99" s="24" t="inlineStr">
        <is>
          <t>тыс.т</t>
        </is>
      </c>
      <c r="D99" s="52" t="n"/>
      <c r="E99" s="52">
        <f>'Производительность'!H9*E98/1000</f>
        <v>2925.72781530759</v>
      </c>
      <c r="F99" s="52">
        <f>'Производительность'!H9*F98/1000</f>
        <v>2853.4398128115718</v>
      </c>
      <c r="G99" s="52">
        <f>'Производительность'!H9*G98/1000</f>
        <v>2785.0243818778404</v>
      </c>
      <c r="H99" s="52">
        <f>'Производительность'!H9*H98/1000</f>
        <v>2817.941240157277</v>
      </c>
      <c r="I99" s="52">
        <f>'Производительность'!H9*I98/1000</f>
        <v>2838.917669452997</v>
      </c>
      <c r="J99" s="52">
        <f>'Производительность'!H9*J98/1000</f>
        <v>2726.290379849826</v>
      </c>
      <c r="K99" s="52">
        <f>'Производительность'!H9*K98/1000</f>
        <v>2889.9065283564382</v>
      </c>
      <c r="L99" s="52">
        <f>'Производительность'!H9*L98/1000</f>
        <v>2752.752952192118</v>
      </c>
      <c r="M99" s="52">
        <f>'Производительность'!H9*M98/1000</f>
        <v>2712.413665084965</v>
      </c>
      <c r="N99" s="52">
        <f>'Производительность'!H9*N98/1000</f>
        <v>2773.729381487838</v>
      </c>
    </row>
    <row r="100">
      <c r="B100" s="22" t="inlineStr">
        <is>
          <t>Грузооборот</t>
        </is>
      </c>
      <c r="C100" s="24" t="inlineStr">
        <is>
          <t>тыс.ткм</t>
        </is>
      </c>
      <c r="D100" s="52" t="n"/>
      <c r="E100" s="52">
        <f>E99*'Ввод данных'!H18</f>
        <v>12446.046126318486</v>
      </c>
      <c r="F100" s="52">
        <f>F99*'Ввод данных'!H18</f>
        <v>12138.532963700425</v>
      </c>
      <c r="G100" s="52">
        <f>G99*'Ввод данных'!H18</f>
        <v>11847.493720508332</v>
      </c>
      <c r="H100" s="52">
        <f>H99*'Ввод данных'!H18</f>
        <v>11987.522035629056</v>
      </c>
      <c r="I100" s="52">
        <f>I99*'Ввод данных'!H18</f>
        <v>12076.755765853048</v>
      </c>
      <c r="J100" s="52">
        <f>J99*'Ввод данных'!H18</f>
        <v>11597.639275881158</v>
      </c>
      <c r="K100" s="52">
        <f>K99*'Ввод данных'!H18</f>
        <v>12293.662371628287</v>
      </c>
      <c r="L100" s="52">
        <f>L99*'Ввод данных'!H18</f>
        <v>11710.211058625267</v>
      </c>
      <c r="M100" s="52">
        <f>M99*'Ввод данных'!H18</f>
        <v>11538.60773127144</v>
      </c>
      <c r="N100" s="52">
        <f>N99*'Ввод данных'!H18</f>
        <v>11799.444788849261</v>
      </c>
    </row>
    <row r="101">
      <c r="B101" s="22" t="inlineStr">
        <is>
          <t>Пробег</t>
        </is>
      </c>
      <c r="C101" s="24" t="inlineStr">
        <is>
          <t>тыс.км</t>
        </is>
      </c>
      <c r="D101" s="52" t="n"/>
      <c r="E101" s="52">
        <f>'Производительность'!H8*E98*2*'Ввод данных'!H18/1000</f>
        <v>111.71989635310291</v>
      </c>
      <c r="F101" s="52">
        <f>'Производительность'!H8*F98*2*'Ввод данных'!H18/1000</f>
        <v>108.95955477102756</v>
      </c>
      <c r="G101" s="52">
        <f>'Производительность'!H8*G98*2*'Ввод данных'!H18/1000</f>
        <v>106.34708863084911</v>
      </c>
      <c r="H101" s="52">
        <f>'Производительность'!H8*H98*2*'Ввод данных'!H18/1000</f>
        <v>107.60402988697271</v>
      </c>
      <c r="I101" s="52">
        <f>'Производительность'!H8*I98*2*'Ввод данных'!H18/1000</f>
        <v>108.40502186391424</v>
      </c>
      <c r="J101" s="52">
        <f>'Производительность'!H8*J98*2*'Ввод данных'!H18/1000</f>
        <v>104.10431109541291</v>
      </c>
      <c r="K101" s="52">
        <f>'Производительность'!H8*K98*2*'Ввод данных'!H18/1000</f>
        <v>110.35204851555666</v>
      </c>
      <c r="L101" s="52">
        <f>'Производительность'!H8*L98*2*'Ввод данных'!H18/1000</f>
        <v>105.11479328170834</v>
      </c>
      <c r="M101" s="52">
        <f>'Производительность'!H8*M98*2*'Ввод данных'!H18/1000</f>
        <v>103.57442409528238</v>
      </c>
      <c r="N101" s="52">
        <f>'Производительность'!H8*N98*2*'Ввод данных'!H18/1000</f>
        <v>105.91578525864985</v>
      </c>
    </row>
    <row r="102">
      <c r="B102" s="22" t="inlineStr">
        <is>
          <t>Топливо</t>
        </is>
      </c>
      <c r="C102" s="24" t="inlineStr">
        <is>
          <t>тыс.руб</t>
        </is>
      </c>
      <c r="D102" s="52" t="n"/>
      <c r="E102" s="52">
        <f>E100*'Параметры'!C32/1000*'Параметры'!C10*(1+'Параметры'!C14)^(E$4-1)</f>
        <v>64419.36070633215</v>
      </c>
      <c r="F102" s="52">
        <f>F100*'Параметры'!C32/1000*'Параметры'!C10*(1+'Параметры'!C14)^(F$4-1)</f>
        <v>62827.70652607422</v>
      </c>
      <c r="G102" s="52">
        <f>G100*'Параметры'!C32/1000*'Параметры'!C10*(1+'Параметры'!C14)^(G$4-1)</f>
        <v>61321.31953404439</v>
      </c>
      <c r="H102" s="52">
        <f>H100*'Параметры'!C32/1000*'Параметры'!C10*(1+'Параметры'!C14)^(H$4-1)</f>
        <v>62046.090633983265</v>
      </c>
      <c r="I102" s="52">
        <f>I100*'Параметры'!C32/1000*'Параметры'!C10*(1+'Параметры'!C14)^(I$4-1)</f>
        <v>62507.95457021883</v>
      </c>
      <c r="J102" s="52">
        <f>J100*'Параметры'!C32/1000*'Параметры'!C10*(1+'Параметры'!C14)^(J$4-1)</f>
        <v>60028.10051258483</v>
      </c>
      <c r="K102" s="52">
        <f>K100*'Параметры'!C32/1000*'Параметры'!C10*(1+'Параметры'!C14)^(K$4-1)</f>
        <v>63630.63921522219</v>
      </c>
      <c r="L102" s="52">
        <f>L100*'Параметры'!C32/1000*'Параметры'!C10*(1+'Параметры'!C14)^(L$4-1)</f>
        <v>60610.75963214353</v>
      </c>
      <c r="M102" s="52">
        <f>M100*'Параметры'!C32/1000*'Параметры'!C10*(1+'Параметры'!C14)^(M$4-1)</f>
        <v>59722.55975476745</v>
      </c>
      <c r="N102" s="52">
        <f>N100*'Параметры'!C32/1000*'Параметры'!C10*(1+'Параметры'!C14)^(N$4-1)</f>
        <v>61072.623568379095</v>
      </c>
    </row>
    <row r="103">
      <c r="B103" s="22" t="inlineStr">
        <is>
          <t>ТОиР и сервис (по годам)</t>
        </is>
      </c>
      <c r="C103" s="24" t="inlineStr">
        <is>
          <t>тыс.руб</t>
        </is>
      </c>
      <c r="D103" s="52" t="n"/>
      <c r="E103" s="52">
        <f>'Данные по годам'!E20*IF('Данные по годам'!$D$20="CNY",'Параметры'!C20,IF('Данные по годам'!$D$20="USD",'Параметры'!C21,IF('Данные по годам'!$D$20="EUR",'Параметры'!C22,1)))</f>
        <v>17078.508696293808</v>
      </c>
      <c r="F103" s="52">
        <f>'Данные по годам'!F20*IF('Данные по годам'!$D$20="CNY",'Параметры'!C20,IF('Данные по годам'!$D$20="USD",'Параметры'!C21,IF('Данные по годам'!$D$20="EUR",'Параметры'!C22,1)))</f>
        <v>21876.25712383973</v>
      </c>
      <c r="G103" s="52">
        <f>'Данные по годам'!G20*IF('Данные по годам'!$D$20="CNY",'Параметры'!C20,IF('Данные по годам'!$D$20="USD",'Параметры'!C21,IF('Данные по годам'!$D$20="EUR",'Параметры'!C22,1)))</f>
        <v>86304.64724794774</v>
      </c>
      <c r="H103" s="52">
        <f>'Данные по годам'!H20*IF('Данные по годам'!$D$20="CNY",'Параметры'!C20,IF('Данные по годам'!$D$20="USD",'Параметры'!C21,IF('Данные по годам'!$D$20="EUR",'Параметры'!C22,1)))</f>
        <v>38763.81526443253</v>
      </c>
      <c r="I103" s="52">
        <f>'Данные по годам'!I20*IF('Данные по годам'!$D$20="CNY",'Параметры'!C20,IF('Данные по годам'!$D$20="USD",'Параметры'!C21,IF('Данные по годам'!$D$20="EUR",'Параметры'!C22,1)))</f>
        <v>20887.1151340674</v>
      </c>
      <c r="J103" s="52">
        <f>'Данные по годам'!J20*IF('Данные по годам'!$D$20="CNY",'Параметры'!C20,IF('Данные по годам'!$D$20="USD",'Параметры'!C21,IF('Данные по годам'!$D$20="EUR",'Параметры'!C22,1)))</f>
        <v>87487.91195952566</v>
      </c>
      <c r="K103" s="52">
        <f>'Данные по годам'!K20*IF('Данные по годам'!$D$20="CNY",'Параметры'!C20,IF('Данные по годам'!$D$20="USD",'Параметры'!C21,IF('Данные по годам'!$D$20="EUR",'Параметры'!C22,1)))</f>
        <v>18106.1116720278</v>
      </c>
      <c r="L103" s="52">
        <f>'Данные по годам'!L20*IF('Данные по годам'!$D$20="CNY",'Параметры'!C20,IF('Данные по годам'!$D$20="USD",'Параметры'!C21,IF('Данные по годам'!$D$20="EUR",'Параметры'!C22,1)))</f>
        <v>41350.69600466654</v>
      </c>
      <c r="M103" s="52">
        <f>'Данные по годам'!M20*IF('Данные по годам'!$D$20="CNY",'Параметры'!C20,IF('Данные по годам'!$D$20="USD",'Параметры'!C21,IF('Данные по годам'!$D$20="EUR",'Параметры'!C22,1)))</f>
        <v>86498.76996975334</v>
      </c>
      <c r="N103" s="52">
        <f>'Данные по годам'!N20*IF('Данные по годам'!$D$20="CNY",'Параметры'!C20,IF('Данные по годам'!$D$20="USD",'Параметры'!C21,IF('Данные по годам'!$D$20="EUR",'Параметры'!C22,1)))</f>
        <v>21876.25712383973</v>
      </c>
    </row>
    <row r="104">
      <c r="B104" s="22" t="inlineStr">
        <is>
          <t>Шины</t>
        </is>
      </c>
      <c r="C104" s="24" t="inlineStr">
        <is>
          <t>тыс.руб</t>
        </is>
      </c>
      <c r="D104" s="52" t="n"/>
      <c r="E104" s="52">
        <f>E101*'Параметры'!C36*'Параметры'!C37*(1+'Параметры'!C15)^(E$4-1)</f>
        <v>18777.533177031466</v>
      </c>
      <c r="F104" s="52">
        <f>F101*'Параметры'!C36*'Параметры'!C37*(1+'Параметры'!C15)^(F$4-1)</f>
        <v>18313.583537537193</v>
      </c>
      <c r="G104" s="52">
        <f>G101*'Параметры'!C36*'Параметры'!C37*(1+'Параметры'!C15)^(G$4-1)</f>
        <v>17874.488343015833</v>
      </c>
      <c r="H104" s="52">
        <f>H101*'Параметры'!C36*'Параметры'!C37*(1+'Параметры'!C15)^(H$4-1)</f>
        <v>18085.751125285547</v>
      </c>
      <c r="I104" s="52">
        <f>I101*'Параметры'!C36*'Параметры'!C37*(1+'Параметры'!C15)^(I$4-1)</f>
        <v>18220.3793688888</v>
      </c>
      <c r="J104" s="52">
        <f>J101*'Параметры'!C36*'Параметры'!C37*(1+'Параметры'!C15)^(J$4-1)</f>
        <v>17497.52926092674</v>
      </c>
      <c r="K104" s="52">
        <f>K101*'Параметры'!C36*'Параметры'!C37*(1+'Параметры'!C15)^(K$4-1)</f>
        <v>18547.629561032078</v>
      </c>
      <c r="L104" s="52">
        <f>L101*'Параметры'!C36*'Параметры'!C37*(1+'Параметры'!C15)^(L$4-1)</f>
        <v>17667.367968241608</v>
      </c>
      <c r="M104" s="52">
        <f>M101*'Параметры'!C36*'Параметры'!C37*(1+'Параметры'!C15)^(M$4-1)</f>
        <v>17408.467499773826</v>
      </c>
      <c r="N104" s="52">
        <f>N101*'Параметры'!C36*'Параметры'!C37*(1+'Параметры'!C15)^(N$4-1)</f>
        <v>17801.996211844853</v>
      </c>
    </row>
    <row r="105">
      <c r="B105" s="22" t="inlineStr">
        <is>
          <t>Персонал</t>
        </is>
      </c>
      <c r="C105" s="24" t="inlineStr">
        <is>
          <t>тыс.руб</t>
        </is>
      </c>
      <c r="D105" s="52" t="n"/>
      <c r="E105" s="52">
        <f>'Ввод данных'!H20*(1+'Параметры'!C16)^(E$4-1)</f>
        <v>18475.6</v>
      </c>
      <c r="F105" s="52">
        <f>'Ввод данных'!H20*(1+'Параметры'!C16)^(F$4-1)</f>
        <v>18475.6</v>
      </c>
      <c r="G105" s="52">
        <f>'Ввод данных'!H20*(1+'Параметры'!C16)^(G$4-1)</f>
        <v>18475.6</v>
      </c>
      <c r="H105" s="52">
        <f>'Ввод данных'!H20*(1+'Параметры'!C16)^(H$4-1)</f>
        <v>18475.6</v>
      </c>
      <c r="I105" s="52">
        <f>'Ввод данных'!H20*(1+'Параметры'!C16)^(I$4-1)</f>
        <v>18475.6</v>
      </c>
      <c r="J105" s="52">
        <f>'Ввод данных'!H20*(1+'Параметры'!C16)^(J$4-1)</f>
        <v>18475.6</v>
      </c>
      <c r="K105" s="52">
        <f>'Ввод данных'!H20*(1+'Параметры'!C16)^(K$4-1)</f>
        <v>18475.6</v>
      </c>
      <c r="L105" s="52">
        <f>'Ввод данных'!H20*(1+'Параметры'!C16)^(L$4-1)</f>
        <v>18475.6</v>
      </c>
      <c r="M105" s="52">
        <f>'Ввод данных'!H20*(1+'Параметры'!C16)^(M$4-1)</f>
        <v>18475.6</v>
      </c>
      <c r="N105" s="52">
        <f>'Ввод данных'!H20*(1+'Параметры'!C16)^(N$4-1)</f>
        <v>18475.6</v>
      </c>
    </row>
    <row r="106">
      <c r="B106" s="22" t="inlineStr">
        <is>
          <t>Транспортный налог</t>
        </is>
      </c>
      <c r="C106" s="24" t="inlineStr">
        <is>
          <t>тыс.руб</t>
        </is>
      </c>
      <c r="D106" s="52" t="n"/>
      <c r="E106" s="52">
        <f>'Ввод данных'!H21*'Параметры'!C41/1000</f>
        <v>215.475</v>
      </c>
      <c r="F106" s="52">
        <f>'Ввод данных'!H21*'Параметры'!C41/1000</f>
        <v>215.475</v>
      </c>
      <c r="G106" s="52">
        <f>'Ввод данных'!H21*'Параметры'!C41/1000</f>
        <v>215.475</v>
      </c>
      <c r="H106" s="52">
        <f>'Ввод данных'!H21*'Параметры'!C41/1000</f>
        <v>215.475</v>
      </c>
      <c r="I106" s="52">
        <f>'Ввод данных'!H21*'Параметры'!C41/1000</f>
        <v>215.475</v>
      </c>
      <c r="J106" s="52">
        <f>'Ввод данных'!H21*'Параметры'!C41/1000</f>
        <v>215.475</v>
      </c>
      <c r="K106" s="52">
        <f>'Ввод данных'!H21*'Параметры'!C41/1000</f>
        <v>215.475</v>
      </c>
      <c r="L106" s="52">
        <f>'Ввод данных'!H21*'Параметры'!C41/1000</f>
        <v>215.475</v>
      </c>
      <c r="M106" s="52">
        <f>'Ввод данных'!H21*'Параметры'!C41/1000</f>
        <v>215.475</v>
      </c>
      <c r="N106" s="52">
        <f>'Ввод данных'!H21*'Параметры'!C41/1000</f>
        <v>215.475</v>
      </c>
    </row>
    <row r="107">
      <c r="B107" s="22" t="inlineStr">
        <is>
          <t>Итого денежные затраты</t>
        </is>
      </c>
      <c r="C107" s="24" t="inlineStr">
        <is>
          <t>тыс.руб</t>
        </is>
      </c>
      <c r="D107" s="52" t="n"/>
      <c r="E107" s="61">
        <f>E102+E103+E104+E105+E106</f>
        <v>118966.47757965742</v>
      </c>
      <c r="F107" s="61">
        <f>F102+F103+F104+F105+F106</f>
        <v>121708.62218745114</v>
      </c>
      <c r="G107" s="61">
        <f>G102+G103+G104+G105+G106</f>
        <v>184191.53012500796</v>
      </c>
      <c r="H107" s="61">
        <f>H102+H103+H104+H105+H106</f>
        <v>137586.73202370136</v>
      </c>
      <c r="I107" s="61">
        <f>I102+I103+I104+I105+I106</f>
        <v>120306.52407317504</v>
      </c>
      <c r="J107" s="61">
        <f>J102+J103+J104+J105+J106</f>
        <v>183704.61673303726</v>
      </c>
      <c r="K107" s="61">
        <f>K102+K103+K104+K105+K106</f>
        <v>118975.45544828207</v>
      </c>
      <c r="L107" s="61">
        <f>L102+L103+L104+L105+L106</f>
        <v>138319.89860505168</v>
      </c>
      <c r="M107" s="61">
        <f>M102+M103+M104+M105+M106</f>
        <v>182320.87222429464</v>
      </c>
      <c r="N107" s="61">
        <f>N102+N103+N104+N105+N106</f>
        <v>119441.9519040637</v>
      </c>
    </row>
    <row r="108">
      <c r="B108" s="22" t="inlineStr">
        <is>
          <t>Амортизация (НУ)</t>
        </is>
      </c>
      <c r="C108" s="24" t="inlineStr">
        <is>
          <t>тыс.руб</t>
        </is>
      </c>
      <c r="D108" s="52" t="n"/>
      <c r="E108" s="52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56535.03246114499</v>
      </c>
      <c r="F108" s="52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56535.03246114499</v>
      </c>
      <c r="G108" s="52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56535.03246114499</v>
      </c>
      <c r="H108" s="52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56535.03246114499</v>
      </c>
      <c r="I108" s="52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56535.03246114499</v>
      </c>
      <c r="J108" s="52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4692.407694275044</v>
      </c>
      <c r="K108" s="52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108" s="52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108" s="52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108" s="52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109">
      <c r="B109" s="22" t="inlineStr">
        <is>
          <t>Налогооблагаемая база</t>
        </is>
      </c>
      <c r="C109" s="24" t="inlineStr">
        <is>
          <t>тыс.руб</t>
        </is>
      </c>
      <c r="D109" s="52" t="n"/>
      <c r="E109" s="52">
        <f>E107+E108</f>
        <v>175501.51004080242</v>
      </c>
      <c r="F109" s="52">
        <f>F107+F108</f>
        <v>178243.65464859613</v>
      </c>
      <c r="G109" s="52">
        <f>G107+G108</f>
        <v>240726.56258615296</v>
      </c>
      <c r="H109" s="52">
        <f>H107+H108</f>
        <v>194121.76448484635</v>
      </c>
      <c r="I109" s="52">
        <f>I107+I108</f>
        <v>176841.55653432003</v>
      </c>
      <c r="J109" s="52">
        <f>J107+J108</f>
        <v>188397.0244273123</v>
      </c>
      <c r="K109" s="52">
        <f>K107+K108</f>
        <v>118975.45544828207</v>
      </c>
      <c r="L109" s="52">
        <f>L107+L108</f>
        <v>138319.89860505168</v>
      </c>
      <c r="M109" s="52">
        <f>M107+M108</f>
        <v>182320.87222429464</v>
      </c>
      <c r="N109" s="52">
        <f>N107+N108</f>
        <v>119441.9519040637</v>
      </c>
    </row>
    <row r="110">
      <c r="B110" s="22" t="inlineStr">
        <is>
          <t>Налог на прибыль (щит)</t>
        </is>
      </c>
      <c r="C110" s="24" t="inlineStr">
        <is>
          <t>тыс.руб</t>
        </is>
      </c>
      <c r="D110" s="52" t="n"/>
      <c r="E110" s="52">
        <f>-E109*'Параметры'!C7</f>
        <v>-43875.377510200604</v>
      </c>
      <c r="F110" s="52">
        <f>-F109*'Параметры'!C7</f>
        <v>-44560.91366214903</v>
      </c>
      <c r="G110" s="52">
        <f>-G109*'Параметры'!C7</f>
        <v>-60181.64064653824</v>
      </c>
      <c r="H110" s="52">
        <f>-H109*'Параметры'!C7</f>
        <v>-48530.44112121159</v>
      </c>
      <c r="I110" s="52">
        <f>-I109*'Параметры'!C7</f>
        <v>-44210.38913358001</v>
      </c>
      <c r="J110" s="52">
        <f>-J109*'Параметры'!C7</f>
        <v>-47099.25610682808</v>
      </c>
      <c r="K110" s="52">
        <f>-K109*'Параметры'!C7</f>
        <v>-29743.863862070517</v>
      </c>
      <c r="L110" s="52">
        <f>-L109*'Параметры'!C7</f>
        <v>-34579.97465126292</v>
      </c>
      <c r="M110" s="52">
        <f>-M109*'Параметры'!C7</f>
        <v>-45580.21805607366</v>
      </c>
      <c r="N110" s="52">
        <f>-N109*'Параметры'!C7</f>
        <v>-29860.487976015924</v>
      </c>
    </row>
    <row r="111">
      <c r="B111" s="22" t="inlineStr">
        <is>
          <t>Операц. денежный поток</t>
        </is>
      </c>
      <c r="C111" s="24" t="inlineStr">
        <is>
          <t>тыс.руб</t>
        </is>
      </c>
      <c r="D111" s="52" t="n"/>
      <c r="E111" s="61">
        <f>E109+E110-E108</f>
        <v>75091.10006945682</v>
      </c>
      <c r="F111" s="61">
        <f>F109+F110-F108</f>
        <v>77147.70852530209</v>
      </c>
      <c r="G111" s="61">
        <f>G109+G110-G108</f>
        <v>124009.88947846973</v>
      </c>
      <c r="H111" s="61">
        <f>H109+H110-H108</f>
        <v>89056.29090248977</v>
      </c>
      <c r="I111" s="61">
        <f>I109+I110-I108</f>
        <v>76096.13493959504</v>
      </c>
      <c r="J111" s="61">
        <f>J109+J110-J108</f>
        <v>136605.36062620918</v>
      </c>
      <c r="K111" s="61">
        <f>K109+K110-K108</f>
        <v>89231.59158621155</v>
      </c>
      <c r="L111" s="61">
        <f>L109+L110-L108</f>
        <v>103739.92395378876</v>
      </c>
      <c r="M111" s="61">
        <f>M109+M110-M108</f>
        <v>136740.654168221</v>
      </c>
      <c r="N111" s="61">
        <f>N109+N110-N108</f>
        <v>89581.46392804777</v>
      </c>
    </row>
    <row r="112">
      <c r="B112" s="22" t="inlineStr">
        <is>
          <t>Инвестиции / остаточная ст-ть</t>
        </is>
      </c>
      <c r="C112" s="24" t="inlineStr">
        <is>
          <t>тыс.руб</t>
        </is>
      </c>
      <c r="D112" s="52">
        <f>IF(D$4=0,'Производительность'!H5,IF(D$4='Параметры'!C8,-'Ввод данных'!H14*'Производительность'!H5,0))</f>
        <v>287367.57</v>
      </c>
      <c r="E112" s="52">
        <f>IF(E$4=0,'Производительность'!H5,IF(E$4='Параметры'!C8,-'Ввод данных'!H14*'Производительность'!H5,0))</f>
        <v>0.0</v>
      </c>
      <c r="F112" s="52">
        <f>IF(F$4=0,'Производительность'!H5,IF(F$4='Параметры'!C8,-'Ввод данных'!H14*'Производительность'!H5,0))</f>
        <v>0.0</v>
      </c>
      <c r="G112" s="52">
        <f>IF(G$4=0,'Производительность'!H5,IF(G$4='Параметры'!C8,-'Ввод данных'!H14*'Производительность'!H5,0))</f>
        <v>0.0</v>
      </c>
      <c r="H112" s="52">
        <f>IF(H$4=0,'Производительность'!H5,IF(H$4='Параметры'!C8,-'Ввод данных'!H14*'Производительность'!H5,0))</f>
        <v>0.0</v>
      </c>
      <c r="I112" s="52">
        <f>IF(I$4=0,'Производительность'!H5,IF(I$4='Параметры'!C8,-'Ввод данных'!H14*'Производительность'!H5,0))</f>
        <v>0.0</v>
      </c>
      <c r="J112" s="52">
        <f>IF(J$4=0,'Производительность'!H5,IF(J$4='Параметры'!C8,-'Ввод данных'!H14*'Производительность'!H5,0))</f>
        <v>0.0</v>
      </c>
      <c r="K112" s="52">
        <f>IF(K$4=0,'Производительность'!H5,IF(K$4='Параметры'!C8,-'Ввод данных'!H14*'Производительность'!H5,0))</f>
        <v>0.0</v>
      </c>
      <c r="L112" s="52">
        <f>IF(L$4=0,'Производительность'!H5,IF(L$4='Параметры'!C8,-'Ввод данных'!H14*'Производительность'!H5,0))</f>
        <v>0.0</v>
      </c>
      <c r="M112" s="52">
        <f>IF(M$4=0,'Производительность'!H5,IF(M$4='Параметры'!C8,-'Ввод данных'!H14*'Производительность'!H5,0))</f>
        <v>0.0</v>
      </c>
      <c r="N112" s="52">
        <f>IF(N$4=0,'Производительность'!H5,IF(N$4='Параметры'!C8,-'Ввод данных'!H14*'Производительность'!H5,0))</f>
        <v>-0.0</v>
      </c>
    </row>
    <row r="113">
      <c r="B113" s="22" t="inlineStr">
        <is>
          <t>Чистый денежный поток</t>
        </is>
      </c>
      <c r="C113" s="24" t="inlineStr">
        <is>
          <t>тыс.руб</t>
        </is>
      </c>
      <c r="D113" s="61">
        <f>0+D112</f>
        <v>287367.57</v>
      </c>
      <c r="E113" s="61">
        <f>E111+E112</f>
        <v>75091.10006945682</v>
      </c>
      <c r="F113" s="61">
        <f>F111+F112</f>
        <v>77147.70852530209</v>
      </c>
      <c r="G113" s="61">
        <f>G111+G112</f>
        <v>124009.88947846973</v>
      </c>
      <c r="H113" s="61">
        <f>H111+H112</f>
        <v>89056.29090248977</v>
      </c>
      <c r="I113" s="61">
        <f>I111+I112</f>
        <v>76096.13493959504</v>
      </c>
      <c r="J113" s="61">
        <f>J111+J112</f>
        <v>136605.36062620918</v>
      </c>
      <c r="K113" s="61">
        <f>K111+K112</f>
        <v>89231.59158621155</v>
      </c>
      <c r="L113" s="61">
        <f>L111+L112</f>
        <v>103739.92395378876</v>
      </c>
      <c r="M113" s="61">
        <f>M111+M112</f>
        <v>136740.654168221</v>
      </c>
      <c r="N113" s="61">
        <f>N111+N112</f>
        <v>89581.46392804777</v>
      </c>
    </row>
    <row r="114">
      <c r="B114" s="22" t="inlineStr">
        <is>
          <t>Дисконтированный поток</t>
        </is>
      </c>
      <c r="C114" s="24" t="inlineStr">
        <is>
          <t>тыс.руб</t>
        </is>
      </c>
      <c r="D114" s="52">
        <f>D113*D$6</f>
        <v>287367.57</v>
      </c>
      <c r="E114" s="52">
        <f>E113*E$6</f>
        <v>67045.62506201501</v>
      </c>
      <c r="F114" s="52">
        <f>F113*F$6</f>
        <v>61501.680903461485</v>
      </c>
      <c r="G114" s="52">
        <f>G113*G$6</f>
        <v>88267.78986429887</v>
      </c>
      <c r="H114" s="52">
        <f>H113*H$6</f>
        <v>56596.88286421194</v>
      </c>
      <c r="I114" s="52">
        <f>I113*I$6</f>
        <v>43178.99058111265</v>
      </c>
      <c r="J114" s="52">
        <f>J113*J$6</f>
        <v>69208.52701288856</v>
      </c>
      <c r="K114" s="52">
        <f>K113*K$6</f>
        <v>40363.84043728493</v>
      </c>
      <c r="L114" s="52">
        <f>L113*L$6</f>
        <v>41898.815356790474</v>
      </c>
      <c r="M114" s="52">
        <f>M113*M$6</f>
        <v>49310.05071559969</v>
      </c>
      <c r="N114" s="52">
        <f>N113*N$6</f>
        <v>28842.833879446218</v>
      </c>
    </row>
    <row r="115">
      <c r="B115" s="22" t="inlineStr">
        <is>
          <t>Кумул. дисконт. поток</t>
        </is>
      </c>
      <c r="C115" s="24" t="inlineStr">
        <is>
          <t>тыс.руб</t>
        </is>
      </c>
      <c r="D115" s="52">
        <f>SUM($D114:D114)</f>
        <v>287367.57</v>
      </c>
      <c r="E115" s="52">
        <f>SUM($D114:E114)</f>
        <v>354413.19506201503</v>
      </c>
      <c r="F115" s="52">
        <f>SUM($D114:F114)</f>
        <v>415914.8759654765</v>
      </c>
      <c r="G115" s="52">
        <f>SUM($D114:G114)</f>
        <v>504182.6658297754</v>
      </c>
      <c r="H115" s="52">
        <f>SUM($D114:H114)</f>
        <v>560779.5486939873</v>
      </c>
      <c r="I115" s="52">
        <f>SUM($D114:I114)</f>
        <v>603958.5392751</v>
      </c>
      <c r="J115" s="52">
        <f>SUM($D114:J114)</f>
        <v>673167.0662879886</v>
      </c>
      <c r="K115" s="52">
        <f>SUM($D114:K114)</f>
        <v>713530.9067252735</v>
      </c>
      <c r="L115" s="52">
        <f>SUM($D114:L114)</f>
        <v>755429.7220820639</v>
      </c>
      <c r="M115" s="52">
        <f>SUM($D114:M114)</f>
        <v>804739.7727976636</v>
      </c>
      <c r="N115" s="52">
        <f>SUM($D114:N114)</f>
        <v>833582.6066771098</v>
      </c>
    </row>
    <row r="116">
      <c r="B116" s="39" t="inlineStr">
        <is>
          <t>Аннуитет по году</t>
        </is>
      </c>
      <c r="C116" s="24" t="inlineStr">
        <is>
          <t>руб/ткм</t>
        </is>
      </c>
      <c r="D116" s="62" t="n"/>
      <c r="E116" s="62">
        <f>SUM($D114:E114)/SUM($E$6:E$6)/(SUM($E100:E100)/E$4)</f>
        <v>31.89308270600727</v>
      </c>
      <c r="F116" s="62">
        <f>SUM($D114:F114)/SUM($E$6:F$6)/(SUM($E100:F100)/F$4)</f>
        <v>20.020358816200844</v>
      </c>
      <c r="G116" s="62">
        <f>SUM($D114:G114)/SUM($E$6:G$6)/(SUM($E100:G100)/G$4)</f>
        <v>17.285533548341935</v>
      </c>
      <c r="H116" s="62">
        <f>SUM($D114:H114)/SUM($E$6:H$6)/(SUM($E100:H100)/H$4)</f>
        <v>15.252332382593695</v>
      </c>
      <c r="I116" s="62">
        <f>SUM($D114:I114)/SUM($E$6:I$6)/(SUM($E100:I100)/I$4)</f>
        <v>13.847444911045033</v>
      </c>
      <c r="J116" s="62">
        <f>SUM($D114:J114)/SUM($E$6:J$6)/(SUM($E100:J100)/J$4)</f>
        <v>13.626507028308984</v>
      </c>
      <c r="K116" s="62">
        <f>SUM($D114:K114)/SUM($E$6:K$6)/(SUM($E100:K100)/K$4)</f>
        <v>12.969088582716308</v>
      </c>
      <c r="L116" s="62">
        <f>SUM($D114:L114)/SUM($E$6:L$6)/(SUM($E100:L100)/L$4)</f>
        <v>12.659607135031308</v>
      </c>
      <c r="M116" s="62">
        <f>SUM($D114:M114)/SUM($E$6:M$6)/(SUM($E100:M100)/M$4)</f>
        <v>12.628563380909782</v>
      </c>
      <c r="N116" s="62">
        <f>SUM($D114:N114)/SUM($E$6:N$6)/(SUM($E100:N100)/N$4)</f>
        <v>12.35230791889374</v>
      </c>
    </row>
    <row r="118">
      <c r="B118" s="5" t="str">
        <f>"Вариант 6:  "&amp;'Ввод данных'!I7</f>
        <v>Вариант 6:  БелАЗ 7531
(БТЛ)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B119" s="22" t="inlineStr">
        <is>
          <t>КТГ</t>
        </is>
      </c>
      <c r="C119" s="24" t="inlineStr">
        <is>
          <t>коэф.</t>
        </is>
      </c>
      <c r="D119" s="55" t="n"/>
      <c r="E119" s="55">
        <f>'Данные по годам'!E22</f>
        <v>0.9151</v>
      </c>
      <c r="F119" s="55">
        <f>'Данные по годам'!F22</f>
        <v>0.8934</v>
      </c>
      <c r="G119" s="55">
        <f>'Данные по годам'!G22</f>
        <v>0.8846</v>
      </c>
      <c r="H119" s="55">
        <f>'Данные по годам'!H22</f>
        <v>0.8669</v>
      </c>
      <c r="I119" s="55">
        <f>'Данные по годам'!I22</f>
        <v>0.8865</v>
      </c>
      <c r="J119" s="55">
        <f>'Данные по годам'!J22</f>
        <v>0.856</v>
      </c>
      <c r="K119" s="55">
        <f>'Данные по годам'!K22</f>
        <v>0.8373</v>
      </c>
      <c r="L119" s="55">
        <f>'Данные по годам'!L22</f>
        <v>0.8777</v>
      </c>
      <c r="M119" s="55">
        <f>'Данные по годам'!M22</f>
        <v>0.8442</v>
      </c>
      <c r="N119" s="55">
        <f>'Данные по годам'!N22</f>
        <v>0.8383</v>
      </c>
    </row>
    <row r="120">
      <c r="B120" s="22" t="inlineStr">
        <is>
          <t>Эффективное время</t>
        </is>
      </c>
      <c r="C120" s="24" t="inlineStr">
        <is>
          <t>час/год</t>
        </is>
      </c>
      <c r="D120" s="52" t="n"/>
      <c r="E120" s="52">
        <f>'Параметры'!C26*E119*(1-102.38/(60*'Параметры'!C27))</f>
        <v>6876.406087666667</v>
      </c>
      <c r="F120" s="52">
        <f>'Параметры'!C26*F119*(1-102.38/(60*'Параметры'!C27))</f>
        <v>6713.344114</v>
      </c>
      <c r="G120" s="52">
        <f>'Параметры'!C26*G119*(1-102.38/(60*'Параметры'!C27))</f>
        <v>6647.217599333334</v>
      </c>
      <c r="H120" s="52">
        <f>'Параметры'!C26*H119*(1-102.38/(60*'Параметры'!C27))</f>
        <v>6514.213132333333</v>
      </c>
      <c r="I120" s="52">
        <f>'Параметры'!C26*I119*(1-102.38/(60*'Параметры'!C27))</f>
        <v>6661.494915</v>
      </c>
      <c r="J120" s="52">
        <f>'Параметры'!C26*J119*(1-102.38/(60*'Параметры'!C27))</f>
        <v>6432.306426666667</v>
      </c>
      <c r="K120" s="52">
        <f>'Параметры'!C26*K119*(1-102.38/(60*'Параметры'!C27))</f>
        <v>6291.787583000001</v>
      </c>
      <c r="L120" s="52">
        <f>'Параметры'!C26*L119*(1-102.38/(60*'Параметры'!C27))</f>
        <v>6595.368400333334</v>
      </c>
      <c r="M120" s="52">
        <f>'Параметры'!C26*M119*(1-102.38/(60*'Параметры'!C27))</f>
        <v>6343.6367820000005</v>
      </c>
      <c r="N120" s="52">
        <f>'Параметры'!C26*N119*(1-102.38/(60*'Параметры'!C27))</f>
        <v>6299.301959666667</v>
      </c>
    </row>
    <row r="121">
      <c r="B121" s="22" t="inlineStr">
        <is>
          <t>Объём перевозки</t>
        </is>
      </c>
      <c r="C121" s="24" t="inlineStr">
        <is>
          <t>тыс.т</t>
        </is>
      </c>
      <c r="D121" s="52" t="n"/>
      <c r="E121" s="52">
        <f>'Производительность'!I9*E120/1000</f>
        <v>2953.158530540454</v>
      </c>
      <c r="F121" s="52">
        <f>'Производительность'!I9*F120/1000</f>
        <v>2883.1295281224366</v>
      </c>
      <c r="G121" s="52">
        <f>'Производительность'!I9*G120/1000</f>
        <v>2854.7306699990013</v>
      </c>
      <c r="H121" s="52">
        <f>'Производительность'!I9*H120/1000</f>
        <v>2797.6102394552718</v>
      </c>
      <c r="I121" s="52">
        <f>'Производительность'!I9*I120/1000</f>
        <v>2860.862241639288</v>
      </c>
      <c r="J121" s="52">
        <f>'Производительность'!I9*J120/1000</f>
        <v>2762.434381097835</v>
      </c>
      <c r="K121" s="52">
        <f>'Производительность'!I9*K120/1000</f>
        <v>2702.086807585534</v>
      </c>
      <c r="L121" s="52">
        <f>'Производительность'!I9*L120/1000</f>
        <v>2832.4633835158525</v>
      </c>
      <c r="M121" s="52">
        <f>'Производительность'!I9*M120/1000</f>
        <v>2724.354094068682</v>
      </c>
      <c r="N121" s="52">
        <f>'Производительность'!I9*N120/1000</f>
        <v>2705.313950554106</v>
      </c>
    </row>
    <row r="122">
      <c r="B122" s="22" t="inlineStr">
        <is>
          <t>Грузооборот</t>
        </is>
      </c>
      <c r="C122" s="24" t="inlineStr">
        <is>
          <t>тыс.ткм</t>
        </is>
      </c>
      <c r="D122" s="52" t="n"/>
      <c r="E122" s="52">
        <f>E121*'Ввод данных'!I18</f>
        <v>12562.736388919091</v>
      </c>
      <c r="F122" s="52">
        <f>F121*'Ввод данных'!I18</f>
        <v>12264.833012632844</v>
      </c>
      <c r="G122" s="52">
        <f>G121*'Ввод данных'!I18</f>
        <v>12144.02427017575</v>
      </c>
      <c r="H122" s="52">
        <f>H121*'Ввод данных'!I18</f>
        <v>11901.033958642725</v>
      </c>
      <c r="I122" s="52">
        <f>I121*'Ввод данных'!I18</f>
        <v>12170.10797593353</v>
      </c>
      <c r="J122" s="52">
        <f>J121*'Ввод данных'!I18</f>
        <v>11751.395857190188</v>
      </c>
      <c r="K122" s="52">
        <f>K121*'Ввод данных'!I18</f>
        <v>11494.67727946886</v>
      </c>
      <c r="L122" s="52">
        <f>L121*'Ввод данных'!I18</f>
        <v>12049.299233476435</v>
      </c>
      <c r="M122" s="52">
        <f>M121*'Ввод данных'!I18</f>
        <v>11589.402316168173</v>
      </c>
      <c r="N122" s="52">
        <f>N121*'Ввод данных'!I18</f>
        <v>11508.405545657166</v>
      </c>
    </row>
    <row r="123">
      <c r="B123" s="22" t="inlineStr">
        <is>
          <t>Пробег</t>
        </is>
      </c>
      <c r="C123" s="24" t="inlineStr">
        <is>
          <t>тыс.км</t>
        </is>
      </c>
      <c r="D123" s="52" t="n"/>
      <c r="E123" s="52">
        <f>'Производительность'!I8*E120*2*'Ввод данных'!I18/1000</f>
        <v>112.76734739987258</v>
      </c>
      <c r="F123" s="52">
        <f>'Производительность'!I8*F120*2*'Ввод данных'!I18/1000</f>
        <v>110.09326649223709</v>
      </c>
      <c r="G123" s="52">
        <f>'Производительность'!I8*G120*2*'Ввод данных'!I18/1000</f>
        <v>109.00884658499321</v>
      </c>
      <c r="H123" s="52">
        <f>'Производительность'!I8*H120*2*'Ввод данных'!I18/1000</f>
        <v>106.82768381701402</v>
      </c>
      <c r="I123" s="52">
        <f>'Производительность'!I8*I120*2*'Ввод данных'!I18/1000</f>
        <v>109.24298270132995</v>
      </c>
      <c r="J123" s="52">
        <f>'Производительность'!I8*J120*2*'Ввод данных'!I18/1000</f>
        <v>105.48448188645057</v>
      </c>
      <c r="K123" s="52">
        <f>'Производительность'!I8*K120*2*'Ввод данных'!I18/1000</f>
        <v>103.18008958355733</v>
      </c>
      <c r="L123" s="52">
        <f>'Производительность'!I8*L120*2*'Ввод данных'!I18/1000</f>
        <v>108.15856279408607</v>
      </c>
      <c r="M123" s="52">
        <f>'Производительность'!I8*M120*2*'Ввод данных'!I18/1000</f>
        <v>104.03037337446447</v>
      </c>
      <c r="N123" s="52">
        <f>'Производительность'!I8*N120*2*'Ввод данных'!I18/1000</f>
        <v>103.30331911847139</v>
      </c>
    </row>
    <row r="124">
      <c r="B124" s="22" t="inlineStr">
        <is>
          <t>Топливо</t>
        </is>
      </c>
      <c r="C124" s="24" t="inlineStr">
        <is>
          <t>тыс.руб</t>
        </is>
      </c>
      <c r="D124" s="52" t="n"/>
      <c r="E124" s="52">
        <f>E122*'Параметры'!C32/1000*'Параметры'!C10*(1+'Параметры'!C14)^(E$4-1)</f>
        <v>65023.33662294789</v>
      </c>
      <c r="F124" s="52">
        <f>F122*'Параметры'!C32/1000*'Параметры'!C10*(1+'Параметры'!C14)^(F$4-1)</f>
        <v>63481.42163582301</v>
      </c>
      <c r="G124" s="52">
        <f>G122*'Параметры'!C32/1000*'Параметры'!C10*(1+'Параметры'!C14)^(G$4-1)</f>
        <v>62856.12892215027</v>
      </c>
      <c r="H124" s="52">
        <f>H122*'Параметры'!C32/1000*'Параметры'!C10*(1+'Параметры'!C14)^(H$4-1)</f>
        <v>61598.43789578572</v>
      </c>
      <c r="I124" s="52">
        <f>I122*'Параметры'!C32/1000*'Параметры'!C10*(1+'Параметры'!C14)^(I$4-1)</f>
        <v>62991.13530351142</v>
      </c>
      <c r="J124" s="52">
        <f>J122*'Параметры'!C32/1000*'Параметры'!C10*(1+'Параметры'!C14)^(J$4-1)</f>
        <v>60823.92760271379</v>
      </c>
      <c r="K124" s="52">
        <f>K122*'Параметры'!C32/1000*'Параметры'!C10*(1+'Параметры'!C14)^(K$4-1)</f>
        <v>59495.18058615918</v>
      </c>
      <c r="L124" s="52">
        <f>L122*'Параметры'!C32/1000*'Параметры'!C10*(1+'Параметры'!C14)^(L$4-1)</f>
        <v>62365.84258983866</v>
      </c>
      <c r="M124" s="52">
        <f>M122*'Параметры'!C32/1000*'Параметры'!C10*(1+'Параметры'!C14)^(M$4-1)</f>
        <v>59985.46691847076</v>
      </c>
      <c r="N124" s="52">
        <f>N122*'Параметры'!C32/1000*'Параметры'!C10*(1+'Параметры'!C14)^(N$4-1)</f>
        <v>59566.236576349256</v>
      </c>
    </row>
    <row r="125">
      <c r="B125" s="22" t="inlineStr">
        <is>
          <t>ТОиР и сервис (по годам)</t>
        </is>
      </c>
      <c r="C125" s="24" t="inlineStr">
        <is>
          <t>тыс.руб</t>
        </is>
      </c>
      <c r="D125" s="52" t="n"/>
      <c r="E125" s="52">
        <f>'Данные по годам'!E23*IF('Данные по годам'!$D$23="CNY",'Параметры'!C20,IF('Данные по годам'!$D$23="USD",'Параметры'!C21,IF('Данные по годам'!$D$23="EUR",'Параметры'!C22,1)))</f>
        <v>17080.706702561027</v>
      </c>
      <c r="F125" s="52">
        <f>'Данные по годам'!F23*IF('Данные по годам'!$D$23="CNY",'Параметры'!C20,IF('Данные по годам'!$D$23="USD",'Параметры'!C21,IF('Данные по годам'!$D$23="EUR",'Параметры'!C22,1)))</f>
        <v>21879.07260094704</v>
      </c>
      <c r="G125" s="52">
        <f>'Данные по годам'!G23*IF('Данные по годам'!$D$23="CNY",'Параметры'!C20,IF('Данные по годам'!$D$23="USD",'Параметры'!C21,IF('Данные по годам'!$D$23="EUR",'Параметры'!C22,1)))</f>
        <v>86315.75466715597</v>
      </c>
      <c r="H125" s="52">
        <f>'Данные по годам'!H23*IF('Данные по годам'!$D$23="CNY",'Параметры'!C20,IF('Данные по годам'!$D$23="USD",'Параметры'!C21,IF('Данные по годам'!$D$23="EUR",'Параметры'!C22,1)))</f>
        <v>38768.80417244597</v>
      </c>
      <c r="I125" s="52">
        <f>'Данные по годам'!I23*IF('Данные по годам'!$D$23="CNY",'Параметры'!C20,IF('Данные по годам'!$D$23="USD",'Параметры'!C21,IF('Данные по годам'!$D$23="EUR",'Параметры'!C22,1)))</f>
        <v>20889.80330847333</v>
      </c>
      <c r="J125" s="52">
        <f>'Данные по годам'!J23*IF('Данные по годам'!$D$23="CNY",'Параметры'!C20,IF('Данные по годам'!$D$23="USD",'Параметры'!C21,IF('Данные по годам'!$D$23="EUR",'Параметры'!C22,1)))</f>
        <v>87499.17166505456</v>
      </c>
      <c r="K125" s="52">
        <f>'Данные по годам'!K23*IF('Данные по годам'!$D$23="CNY",'Параметры'!C20,IF('Данные по годам'!$D$23="USD",'Параметры'!C21,IF('Данные по годам'!$D$23="EUR",'Параметры'!C22,1)))</f>
        <v>18108.441930930247</v>
      </c>
      <c r="L125" s="52">
        <f>'Данные по годам'!L23*IF('Данные по годам'!$D$23="CNY",'Параметры'!C20,IF('Данные по годам'!$D$23="USD",'Параметры'!C21,IF('Данные по годам'!$D$23="EUR",'Параметры'!C22,1)))</f>
        <v>41356.01784456418</v>
      </c>
      <c r="M125" s="52">
        <f>'Данные по годам'!M23*IF('Данные по годам'!$D$23="CNY",'Параметры'!C20,IF('Данные по годам'!$D$23="USD",'Параметры'!C21,IF('Данные по годам'!$D$23="EUR",'Параметры'!C22,1)))</f>
        <v>86509.90237258085</v>
      </c>
      <c r="N125" s="52">
        <f>'Данные по годам'!N23*IF('Данные по годам'!$D$23="CNY",'Параметры'!C20,IF('Данные по годам'!$D$23="USD",'Параметры'!C21,IF('Данные по годам'!$D$23="EUR",'Параметры'!C22,1)))</f>
        <v>21879.07260094704</v>
      </c>
    </row>
    <row r="126">
      <c r="B126" s="22" t="inlineStr">
        <is>
          <t>Шины</t>
        </is>
      </c>
      <c r="C126" s="24" t="inlineStr">
        <is>
          <t>тыс.руб</t>
        </is>
      </c>
      <c r="D126" s="52" t="n"/>
      <c r="E126" s="52">
        <f>E123*'Параметры'!C36*'Параметры'!C37*(1+'Параметры'!C15)^(E$4-1)</f>
        <v>18953.58549558956</v>
      </c>
      <c r="F126" s="52">
        <f>F123*'Параметры'!C36*'Параметры'!C37*(1+'Параметры'!C15)^(F$4-1)</f>
        <v>18504.134282329487</v>
      </c>
      <c r="G126" s="52">
        <f>G123*'Параметры'!C36*'Параметры'!C37*(1+'Параметры'!C15)^(G$4-1)</f>
        <v>18321.868352528167</v>
      </c>
      <c r="H126" s="52">
        <f>H123*'Параметры'!C36*'Параметры'!C37*(1+'Параметры'!C15)^(H$4-1)</f>
        <v>17955.265289177783</v>
      </c>
      <c r="I126" s="52">
        <f>I123*'Параметры'!C36*'Параметры'!C37*(1+'Параметры'!C15)^(I$4-1)</f>
        <v>18361.22122373527</v>
      </c>
      <c r="J126" s="52">
        <f>J123*'Параметры'!C36*'Параметры'!C37*(1+'Параметры'!C15)^(J$4-1)</f>
        <v>17729.504080673873</v>
      </c>
      <c r="K126" s="52">
        <f>K123*'Параметры'!C36*'Параметры'!C37*(1+'Параметры'!C15)^(K$4-1)</f>
        <v>17342.18897984607</v>
      </c>
      <c r="L126" s="52">
        <f>L123*'Параметры'!C36*'Параметры'!C37*(1+'Параметры'!C15)^(L$4-1)</f>
        <v>18178.95529393395</v>
      </c>
      <c r="M126" s="52">
        <f>M123*'Параметры'!C36*'Параметры'!C37*(1+'Параметры'!C15)^(M$4-1)</f>
        <v>17485.102038440287</v>
      </c>
      <c r="N126" s="52">
        <f>N123*'Параметры'!C36*'Параметры'!C37*(1+'Параметры'!C15)^(N$4-1)</f>
        <v>17362.90101732349</v>
      </c>
    </row>
    <row r="127">
      <c r="B127" s="22" t="inlineStr">
        <is>
          <t>Персонал</t>
        </is>
      </c>
      <c r="C127" s="24" t="inlineStr">
        <is>
          <t>тыс.руб</t>
        </is>
      </c>
      <c r="D127" s="52" t="n"/>
      <c r="E127" s="52">
        <f>'Ввод данных'!I20*(1+'Параметры'!C16)^(E$4-1)</f>
        <v>18475.6</v>
      </c>
      <c r="F127" s="52">
        <f>'Ввод данных'!I20*(1+'Параметры'!C16)^(F$4-1)</f>
        <v>18475.6</v>
      </c>
      <c r="G127" s="52">
        <f>'Ввод данных'!I20*(1+'Параметры'!C16)^(G$4-1)</f>
        <v>18475.6</v>
      </c>
      <c r="H127" s="52">
        <f>'Ввод данных'!I20*(1+'Параметры'!C16)^(H$4-1)</f>
        <v>18475.6</v>
      </c>
      <c r="I127" s="52">
        <f>'Ввод данных'!I20*(1+'Параметры'!C16)^(I$4-1)</f>
        <v>18475.6</v>
      </c>
      <c r="J127" s="52">
        <f>'Ввод данных'!I20*(1+'Параметры'!C16)^(J$4-1)</f>
        <v>18475.6</v>
      </c>
      <c r="K127" s="52">
        <f>'Ввод данных'!I20*(1+'Параметры'!C16)^(K$4-1)</f>
        <v>18475.6</v>
      </c>
      <c r="L127" s="52">
        <f>'Ввод данных'!I20*(1+'Параметры'!C16)^(L$4-1)</f>
        <v>18475.6</v>
      </c>
      <c r="M127" s="52">
        <f>'Ввод данных'!I20*(1+'Параметры'!C16)^(M$4-1)</f>
        <v>18475.6</v>
      </c>
      <c r="N127" s="52">
        <f>'Ввод данных'!I20*(1+'Параметры'!C16)^(N$4-1)</f>
        <v>18475.6</v>
      </c>
    </row>
    <row r="128">
      <c r="B128" s="22" t="inlineStr">
        <is>
          <t>Транспортный налог</t>
        </is>
      </c>
      <c r="C128" s="24" t="inlineStr">
        <is>
          <t>тыс.руб</t>
        </is>
      </c>
      <c r="D128" s="52" t="n"/>
      <c r="E128" s="52">
        <f>'Ввод данных'!I21*'Параметры'!C41/1000</f>
        <v>215.475</v>
      </c>
      <c r="F128" s="52">
        <f>'Ввод данных'!I21*'Параметры'!C41/1000</f>
        <v>215.475</v>
      </c>
      <c r="G128" s="52">
        <f>'Ввод данных'!I21*'Параметры'!C41/1000</f>
        <v>215.475</v>
      </c>
      <c r="H128" s="52">
        <f>'Ввод данных'!I21*'Параметры'!C41/1000</f>
        <v>215.475</v>
      </c>
      <c r="I128" s="52">
        <f>'Ввод данных'!I21*'Параметры'!C41/1000</f>
        <v>215.475</v>
      </c>
      <c r="J128" s="52">
        <f>'Ввод данных'!I21*'Параметры'!C41/1000</f>
        <v>215.475</v>
      </c>
      <c r="K128" s="52">
        <f>'Ввод данных'!I21*'Параметры'!C41/1000</f>
        <v>215.475</v>
      </c>
      <c r="L128" s="52">
        <f>'Ввод данных'!I21*'Параметры'!C41/1000</f>
        <v>215.475</v>
      </c>
      <c r="M128" s="52">
        <f>'Ввод данных'!I21*'Параметры'!C41/1000</f>
        <v>215.475</v>
      </c>
      <c r="N128" s="52">
        <f>'Ввод данных'!I21*'Параметры'!C41/1000</f>
        <v>215.475</v>
      </c>
    </row>
    <row r="129">
      <c r="B129" s="22" t="inlineStr">
        <is>
          <t>Итого денежные затраты</t>
        </is>
      </c>
      <c r="C129" s="24" t="inlineStr">
        <is>
          <t>тыс.руб</t>
        </is>
      </c>
      <c r="D129" s="52" t="n"/>
      <c r="E129" s="61">
        <f>E124+E125+E126+E127+E128</f>
        <v>119748.70382109849</v>
      </c>
      <c r="F129" s="61">
        <f>F124+F125+F126+F127+F128</f>
        <v>122555.70351909954</v>
      </c>
      <c r="G129" s="61">
        <f>G124+G125+G126+G127+G128</f>
        <v>186184.8269418344</v>
      </c>
      <c r="H129" s="61">
        <f>H124+H125+H126+H127+H128</f>
        <v>137013.58235740947</v>
      </c>
      <c r="I129" s="61">
        <f>I124+I125+I126+I127+I128</f>
        <v>120933.23483572001</v>
      </c>
      <c r="J129" s="61">
        <f>J124+J125+J126+J127+J128</f>
        <v>184743.67834844225</v>
      </c>
      <c r="K129" s="61">
        <f>K124+K125+K126+K127+K128</f>
        <v>113636.8864969355</v>
      </c>
      <c r="L129" s="61">
        <f>L124+L125+L126+L127+L128</f>
        <v>140591.8907283368</v>
      </c>
      <c r="M129" s="61">
        <f>M124+M125+M126+M127+M128</f>
        <v>182671.54632949192</v>
      </c>
      <c r="N129" s="61">
        <f>N124+N125+N126+N127+N128</f>
        <v>117499.28519461979</v>
      </c>
    </row>
    <row r="130">
      <c r="B130" s="22" t="inlineStr">
        <is>
          <t>Амортизация (НУ)</t>
        </is>
      </c>
      <c r="C130" s="24" t="inlineStr">
        <is>
          <t>тыс.руб</t>
        </is>
      </c>
      <c r="D130" s="52" t="n"/>
      <c r="E130" s="52">
        <f>IF(E$4&lt;=INT('Параметры'!C9),'Производительность'!I5/'Параметры'!C9,IF(E$4=INT('Параметры'!C9)+1,'Производительность'!I5*('Параметры'!C9-INT('Параметры'!C9))/'Параметры'!C9,0))</f>
        <v>56535.03442848712</v>
      </c>
      <c r="F130" s="52">
        <f>IF(F$4&lt;=INT('Параметры'!C9),'Производительность'!I5/'Параметры'!C9,IF(F$4=INT('Параметры'!C9)+1,'Производительность'!I5*('Параметры'!C9-INT('Параметры'!C9))/'Параметры'!C9,0))</f>
        <v>56535.03442848712</v>
      </c>
      <c r="G130" s="52">
        <f>IF(G$4&lt;=INT('Параметры'!C9),'Производительность'!I5/'Параметры'!C9,IF(G$4=INT('Параметры'!C9)+1,'Производительность'!I5*('Параметры'!C9-INT('Параметры'!C9))/'Параметры'!C9,0))</f>
        <v>56535.03442848712</v>
      </c>
      <c r="H130" s="52">
        <f>IF(H$4&lt;=INT('Параметры'!C9),'Производительность'!I5/'Параметры'!C9,IF(H$4=INT('Параметры'!C9)+1,'Производительность'!I5*('Параметры'!C9-INT('Параметры'!C9))/'Параметры'!C9,0))</f>
        <v>56535.03442848712</v>
      </c>
      <c r="I130" s="52">
        <f>IF(I$4&lt;=INT('Параметры'!C9),'Производительность'!I5/'Параметры'!C9,IF(I$4=INT('Параметры'!C9)+1,'Производительность'!I5*('Параметры'!C9-INT('Параметры'!C9))/'Параметры'!C9,0))</f>
        <v>56535.03442848712</v>
      </c>
      <c r="J130" s="52">
        <f>IF(J$4&lt;=INT('Параметры'!C9),'Производительность'!I5/'Параметры'!C9,IF(J$4=INT('Параметры'!C9)+1,'Производительность'!I5*('Параметры'!C9-INT('Параметры'!C9))/'Параметры'!C9,0))</f>
        <v>4692.407857564441</v>
      </c>
      <c r="K130" s="52">
        <f>IF(K$4&lt;=INT('Параметры'!C9),'Производительность'!I5/'Параметры'!C9,IF(K$4=INT('Параметры'!C9)+1,'Производительность'!I5*('Параметры'!C9-INT('Параметры'!C9))/'Параметры'!C9,0))</f>
        <v>0.0</v>
      </c>
      <c r="L130" s="52">
        <f>IF(L$4&lt;=INT('Параметры'!C9),'Производительность'!I5/'Параметры'!C9,IF(L$4=INT('Параметры'!C9)+1,'Производительность'!I5*('Параметры'!C9-INT('Параметры'!C9))/'Параметры'!C9,0))</f>
        <v>0.0</v>
      </c>
      <c r="M130" s="52">
        <f>IF(M$4&lt;=INT('Параметры'!C9),'Производительность'!I5/'Параметры'!C9,IF(M$4=INT('Параметры'!C9)+1,'Производительность'!I5*('Параметры'!C9-INT('Параметры'!C9))/'Параметры'!C9,0))</f>
        <v>0.0</v>
      </c>
      <c r="N130" s="52">
        <f>IF(N$4&lt;=INT('Параметры'!C9),'Производительность'!I5/'Параметры'!C9,IF(N$4=INT('Параметры'!C9)+1,'Производительность'!I5*('Параметры'!C9-INT('Параметры'!C9))/'Параметры'!C9,0))</f>
        <v>0.0</v>
      </c>
    </row>
    <row r="131">
      <c r="B131" s="22" t="inlineStr">
        <is>
          <t>Налогооблагаемая база</t>
        </is>
      </c>
      <c r="C131" s="24" t="inlineStr">
        <is>
          <t>тыс.руб</t>
        </is>
      </c>
      <c r="D131" s="52" t="n"/>
      <c r="E131" s="52">
        <f>E129+E130</f>
        <v>176283.7382495856</v>
      </c>
      <c r="F131" s="52">
        <f>F129+F130</f>
        <v>179090.73794758666</v>
      </c>
      <c r="G131" s="52">
        <f>G129+G130</f>
        <v>242719.86137032154</v>
      </c>
      <c r="H131" s="52">
        <f>H129+H130</f>
        <v>193548.6167858966</v>
      </c>
      <c r="I131" s="52">
        <f>I129+I130</f>
        <v>177468.26926420713</v>
      </c>
      <c r="J131" s="52">
        <f>J129+J130</f>
        <v>189436.0862060067</v>
      </c>
      <c r="K131" s="52">
        <f>K129+K130</f>
        <v>113636.8864969355</v>
      </c>
      <c r="L131" s="52">
        <f>L129+L130</f>
        <v>140591.8907283368</v>
      </c>
      <c r="M131" s="52">
        <f>M129+M130</f>
        <v>182671.54632949192</v>
      </c>
      <c r="N131" s="52">
        <f>N129+N130</f>
        <v>117499.28519461979</v>
      </c>
    </row>
    <row r="132">
      <c r="B132" s="22" t="inlineStr">
        <is>
          <t>Налог на прибыль (щит)</t>
        </is>
      </c>
      <c r="C132" s="24" t="inlineStr">
        <is>
          <t>тыс.руб</t>
        </is>
      </c>
      <c r="D132" s="52" t="n"/>
      <c r="E132" s="52">
        <f>-E131*'Параметры'!C7</f>
        <v>-44070.9345623964</v>
      </c>
      <c r="F132" s="52">
        <f>-F131*'Параметры'!C7</f>
        <v>-44772.684486896665</v>
      </c>
      <c r="G132" s="52">
        <f>-G131*'Параметры'!C7</f>
        <v>-60679.965342580384</v>
      </c>
      <c r="H132" s="52">
        <f>-H131*'Параметры'!C7</f>
        <v>-48387.15419647415</v>
      </c>
      <c r="I132" s="52">
        <f>-I131*'Параметры'!C7</f>
        <v>-44367.06731605178</v>
      </c>
      <c r="J132" s="52">
        <f>-J131*'Параметры'!C7</f>
        <v>-47359.021551501675</v>
      </c>
      <c r="K132" s="52">
        <f>-K131*'Параметры'!C7</f>
        <v>-28409.221624233876</v>
      </c>
      <c r="L132" s="52">
        <f>-L131*'Параметры'!C7</f>
        <v>-35147.9726820842</v>
      </c>
      <c r="M132" s="52">
        <f>-M131*'Параметры'!C7</f>
        <v>-45667.88658237298</v>
      </c>
      <c r="N132" s="52">
        <f>-N131*'Параметры'!C7</f>
        <v>-29374.821298654948</v>
      </c>
    </row>
    <row r="133">
      <c r="B133" s="22" t="inlineStr">
        <is>
          <t>Операц. денежный поток</t>
        </is>
      </c>
      <c r="C133" s="24" t="inlineStr">
        <is>
          <t>тыс.руб</t>
        </is>
      </c>
      <c r="D133" s="52" t="n"/>
      <c r="E133" s="61">
        <f>E131+E132-E130</f>
        <v>75677.76925870209</v>
      </c>
      <c r="F133" s="61">
        <f>F131+F132-F130</f>
        <v>77783.01903220286</v>
      </c>
      <c r="G133" s="61">
        <f>G131+G132-G130</f>
        <v>125504.86159925401</v>
      </c>
      <c r="H133" s="61">
        <f>H131+H132-H130</f>
        <v>88626.42816093532</v>
      </c>
      <c r="I133" s="61">
        <f>I131+I132-I130</f>
        <v>76566.16751966823</v>
      </c>
      <c r="J133" s="61">
        <f>J131+J132-J130</f>
        <v>137384.65679694057</v>
      </c>
      <c r="K133" s="61">
        <f>K131+K132-K130</f>
        <v>85227.66487270163</v>
      </c>
      <c r="L133" s="61">
        <f>L131+L132-L130</f>
        <v>105443.9180462526</v>
      </c>
      <c r="M133" s="61">
        <f>M131+M132-M130</f>
        <v>137003.65974711895</v>
      </c>
      <c r="N133" s="61">
        <f>N131+N132-N130</f>
        <v>88124.46389596484</v>
      </c>
    </row>
    <row r="134">
      <c r="B134" s="22" t="inlineStr">
        <is>
          <t>Инвестиции / остаточная ст-ть</t>
        </is>
      </c>
      <c r="C134" s="24" t="inlineStr">
        <is>
          <t>тыс.руб</t>
        </is>
      </c>
      <c r="D134" s="52">
        <f>IF(D$4=0,'Производительность'!I5,IF(D$4='Параметры'!C8,-'Ввод данных'!I14*'Производительность'!I5,0))</f>
        <v>287367.58</v>
      </c>
      <c r="E134" s="52">
        <f>IF(E$4=0,'Производительность'!I5,IF(E$4='Параметры'!C8,-'Ввод данных'!I14*'Производительность'!I5,0))</f>
        <v>0.0</v>
      </c>
      <c r="F134" s="52">
        <f>IF(F$4=0,'Производительность'!I5,IF(F$4='Параметры'!C8,-'Ввод данных'!I14*'Производительность'!I5,0))</f>
        <v>0.0</v>
      </c>
      <c r="G134" s="52">
        <f>IF(G$4=0,'Производительность'!I5,IF(G$4='Параметры'!C8,-'Ввод данных'!I14*'Производительность'!I5,0))</f>
        <v>0.0</v>
      </c>
      <c r="H134" s="52">
        <f>IF(H$4=0,'Производительность'!I5,IF(H$4='Параметры'!C8,-'Ввод данных'!I14*'Производительность'!I5,0))</f>
        <v>0.0</v>
      </c>
      <c r="I134" s="52">
        <f>IF(I$4=0,'Производительность'!I5,IF(I$4='Параметры'!C8,-'Ввод данных'!I14*'Производительность'!I5,0))</f>
        <v>0.0</v>
      </c>
      <c r="J134" s="52">
        <f>IF(J$4=0,'Производительность'!I5,IF(J$4='Параметры'!C8,-'Ввод данных'!I14*'Производительность'!I5,0))</f>
        <v>0.0</v>
      </c>
      <c r="K134" s="52">
        <f>IF(K$4=0,'Производительность'!I5,IF(K$4='Параметры'!C8,-'Ввод данных'!I14*'Производительность'!I5,0))</f>
        <v>0.0</v>
      </c>
      <c r="L134" s="52">
        <f>IF(L$4=0,'Производительность'!I5,IF(L$4='Параметры'!C8,-'Ввод данных'!I14*'Производительность'!I5,0))</f>
        <v>0.0</v>
      </c>
      <c r="M134" s="52">
        <f>IF(M$4=0,'Производительность'!I5,IF(M$4='Параметры'!C8,-'Ввод данных'!I14*'Производительность'!I5,0))</f>
        <v>0.0</v>
      </c>
      <c r="N134" s="52">
        <f>IF(N$4=0,'Производительность'!I5,IF(N$4='Параметры'!C8,-'Ввод данных'!I14*'Производительность'!I5,0))</f>
        <v>-0.0</v>
      </c>
    </row>
    <row r="135">
      <c r="B135" s="22" t="inlineStr">
        <is>
          <t>Чистый денежный поток</t>
        </is>
      </c>
      <c r="C135" s="24" t="inlineStr">
        <is>
          <t>тыс.руб</t>
        </is>
      </c>
      <c r="D135" s="61">
        <f>0+D134</f>
        <v>287367.58</v>
      </c>
      <c r="E135" s="61">
        <f>E133+E134</f>
        <v>75677.76925870209</v>
      </c>
      <c r="F135" s="61">
        <f>F133+F134</f>
        <v>77783.01903220286</v>
      </c>
      <c r="G135" s="61">
        <f>G133+G134</f>
        <v>125504.86159925401</v>
      </c>
      <c r="H135" s="61">
        <f>H133+H134</f>
        <v>88626.42816093532</v>
      </c>
      <c r="I135" s="61">
        <f>I133+I134</f>
        <v>76566.16751966823</v>
      </c>
      <c r="J135" s="61">
        <f>J133+J134</f>
        <v>137384.65679694057</v>
      </c>
      <c r="K135" s="61">
        <f>K133+K134</f>
        <v>85227.66487270163</v>
      </c>
      <c r="L135" s="61">
        <f>L133+L134</f>
        <v>105443.9180462526</v>
      </c>
      <c r="M135" s="61">
        <f>M133+M134</f>
        <v>137003.65974711895</v>
      </c>
      <c r="N135" s="61">
        <f>N133+N134</f>
        <v>88124.46389596484</v>
      </c>
    </row>
    <row r="136">
      <c r="B136" s="22" t="inlineStr">
        <is>
          <t>Дисконтированный поток</t>
        </is>
      </c>
      <c r="C136" s="24" t="inlineStr">
        <is>
          <t>тыс.руб</t>
        </is>
      </c>
      <c r="D136" s="52">
        <f>D135*D$6</f>
        <v>287367.58</v>
      </c>
      <c r="E136" s="52">
        <f>E135*E$6</f>
        <v>67569.43683812686</v>
      </c>
      <c r="F136" s="52">
        <f>F135*F$6</f>
        <v>62008.14654990662</v>
      </c>
      <c r="G136" s="52">
        <f>G135*G$6</f>
        <v>89331.88149090485</v>
      </c>
      <c r="H136" s="52">
        <f>H135*H$6</f>
        <v>56323.697320721425</v>
      </c>
      <c r="I136" s="52">
        <f>I135*I$6</f>
        <v>43445.69969010888</v>
      </c>
      <c r="J136" s="52">
        <f>J135*J$6</f>
        <v>69603.3427055954</v>
      </c>
      <c r="K136" s="52">
        <f>K135*K$6</f>
        <v>38552.667330162294</v>
      </c>
      <c r="L136" s="52">
        <f>L135*L$6</f>
        <v>42587.02999131254</v>
      </c>
      <c r="M136" s="52">
        <f>M135*M$6</f>
        <v>49404.893163976376</v>
      </c>
      <c r="N136" s="52">
        <f>N135*N$6</f>
        <v>28373.71886340373</v>
      </c>
    </row>
    <row r="137">
      <c r="B137" s="22" t="inlineStr">
        <is>
          <t>Кумул. дисконт. поток</t>
        </is>
      </c>
      <c r="C137" s="24" t="inlineStr">
        <is>
          <t>тыс.руб</t>
        </is>
      </c>
      <c r="D137" s="52">
        <f>SUM($D136:D136)</f>
        <v>287367.58</v>
      </c>
      <c r="E137" s="52">
        <f>SUM($D136:E136)</f>
        <v>354937.0168381269</v>
      </c>
      <c r="F137" s="52">
        <f>SUM($D136:F136)</f>
        <v>416945.1633880335</v>
      </c>
      <c r="G137" s="52">
        <f>SUM($D136:G136)</f>
        <v>506277.04487893835</v>
      </c>
      <c r="H137" s="52">
        <f>SUM($D136:H136)</f>
        <v>562600.7421996598</v>
      </c>
      <c r="I137" s="52">
        <f>SUM($D136:I136)</f>
        <v>606046.4418897687</v>
      </c>
      <c r="J137" s="52">
        <f>SUM($D136:J136)</f>
        <v>675649.7845953641</v>
      </c>
      <c r="K137" s="52">
        <f>SUM($D136:K136)</f>
        <v>714202.4519255264</v>
      </c>
      <c r="L137" s="52">
        <f>SUM($D136:L136)</f>
        <v>756789.4819168389</v>
      </c>
      <c r="M137" s="52">
        <f>SUM($D136:M136)</f>
        <v>806194.3750808153</v>
      </c>
      <c r="N137" s="52">
        <f>SUM($D136:N136)</f>
        <v>834568.093944219</v>
      </c>
    </row>
    <row r="138">
      <c r="B138" s="39" t="inlineStr">
        <is>
          <t>Аннуитет по году</t>
        </is>
      </c>
      <c r="C138" s="24" t="inlineStr">
        <is>
          <t>руб/ткм</t>
        </is>
      </c>
      <c r="D138" s="62" t="n"/>
      <c r="E138" s="62">
        <f>SUM($D136:E136)/SUM($E$6:E$6)/(SUM($E122:E122)/E$4)</f>
        <v>31.643540591151883</v>
      </c>
      <c r="F138" s="62">
        <f>SUM($D136:F136)/SUM($E$6:F$6)/(SUM($E122:F122)/F$4)</f>
        <v>19.873525474651636</v>
      </c>
      <c r="G138" s="62">
        <f>SUM($D136:G136)/SUM($E$6:G$6)/(SUM($E122:G122)/G$4)</f>
        <v>17.104044801608</v>
      </c>
      <c r="H138" s="62">
        <f>SUM($D136:H136)/SUM($E$6:H$6)/(SUM($E122:H122)/H$4)</f>
        <v>15.160022876131487</v>
      </c>
      <c r="I138" s="62">
        <f>SUM($D136:I136)/SUM($E$6:I$6)/(SUM($E122:I122)/I$4)</f>
        <v>13.770940908741402</v>
      </c>
      <c r="J138" s="62">
        <f>SUM($D136:J136)/SUM($E$6:J$6)/(SUM($E122:J122)/J$4)</f>
        <v>13.54521862884512</v>
      </c>
      <c r="K138" s="62">
        <f>SUM($D136:K136)/SUM($E$6:K$6)/(SUM($E122:K122)/K$4)</f>
        <v>12.996517402785813</v>
      </c>
      <c r="L138" s="62">
        <f>SUM($D136:L136)/SUM($E$6:L$6)/(SUM($E122:L122)/L$4)</f>
        <v>12.650767280672975</v>
      </c>
      <c r="M138" s="62">
        <f>SUM($D136:M136)/SUM($E$6:M$6)/(SUM($E122:M122)/M$4)</f>
        <v>12.617274097345417</v>
      </c>
      <c r="N138" s="62">
        <f>SUM($D136:N136)/SUM($E$6:N$6)/(SUM($E122:N122)/N$4)</f>
        <v>12.366911201251094</v>
      </c>
    </row>
  </sheetData>
  <mergeCells count="8">
    <mergeCell ref="B1:N1"/>
    <mergeCell ref="B8:N8"/>
    <mergeCell ref="B118:N118"/>
    <mergeCell ref="B96:N96"/>
    <mergeCell ref="B74:N74"/>
    <mergeCell ref="B52:N52"/>
    <mergeCell ref="B30:N30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руб/ткм и руб/т.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NPV топлива</t>
        </is>
      </c>
      <c r="C6" s="24" t="inlineStr">
        <is>
          <t>тыс.руб</t>
        </is>
      </c>
      <c r="D6" s="52">
        <f>SUMPRODUCT('Денежный поток'!E14:N14,'Денежный поток'!$E$6:$N$6)</f>
        <v>383692.6038116312</v>
      </c>
      <c r="E6" s="52">
        <f>SUMPRODUCT('Денежный поток'!E36:N36,'Денежный поток'!$E$6:$N$6)</f>
        <v>324482.0007218702</v>
      </c>
      <c r="F6" s="52">
        <f>SUMPRODUCT('Денежный поток'!E58:N58,'Денежный поток'!$E$6:$N$6)</f>
        <v>341989.1400482658</v>
      </c>
      <c r="G6" s="52">
        <f>SUMPRODUCT('Денежный поток'!E80:N80,'Денежный поток'!$E$6:$N$6)</f>
        <v>333856.25440002885</v>
      </c>
      <c r="H6" s="52">
        <f>SUMPRODUCT('Денежный поток'!E102:N102,'Денежный поток'!$E$6:$N$6)</f>
        <v>351025.9046319719</v>
      </c>
      <c r="I6" s="52">
        <f>SUMPRODUCT('Денежный поток'!E124:N124,'Денежный поток'!$E$6:$N$6)</f>
        <v>352019.5903881015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52">
        <f>SUMPRODUCT('Денежный поток'!E15:N15,'Денежный поток'!$E$6:$N$6)</f>
        <v>195393.11877460044</v>
      </c>
      <c r="E7" s="52">
        <f>SUMPRODUCT('Денежный поток'!E37:N37,'Денежный поток'!$E$6:$N$6)</f>
        <v>387262.88064460206</v>
      </c>
      <c r="F7" s="52">
        <f>SUMPRODUCT('Денежный поток'!E59:N59,'Денежный поток'!$E$6:$N$6)</f>
        <v>209011.65915802808</v>
      </c>
      <c r="G7" s="52">
        <f>SUMPRODUCT('Денежный поток'!E81:N81,'Денежный поток'!$E$6:$N$6)</f>
        <v>385455.2453631122</v>
      </c>
      <c r="H7" s="52">
        <f>SUMPRODUCT('Денежный поток'!E103:N103,'Денежный поток'!$E$6:$N$6)</f>
        <v>238056.37520637322</v>
      </c>
      <c r="I7" s="52">
        <f>SUMPRODUCT('Денежный поток'!E125:N125,'Денежный поток'!$E$6:$N$6)</f>
        <v>238087.0130925002</v>
      </c>
    </row>
    <row r="8">
      <c r="B8" s="22" t="inlineStr">
        <is>
          <t>NPV шин</t>
        </is>
      </c>
      <c r="C8" s="24" t="inlineStr">
        <is>
          <t>тыс.руб</t>
        </is>
      </c>
      <c r="D8" s="52">
        <f>SUMPRODUCT('Денежный поток'!E16:N16,'Денежный поток'!$E$6:$N$6)</f>
        <v>111203.9059247188</v>
      </c>
      <c r="E8" s="52">
        <f>SUMPRODUCT('Денежный поток'!E38:N38,'Денежный поток'!$E$6:$N$6)</f>
        <v>101342.68284934771</v>
      </c>
      <c r="F8" s="52">
        <f>SUMPRODUCT('Денежный поток'!E60:N60,'Денежный поток'!$E$6:$N$6)</f>
        <v>104357.0182234008</v>
      </c>
      <c r="G8" s="52">
        <f>SUMPRODUCT('Денежный поток'!E82:N82,'Денежный поток'!$E$6:$N$6)</f>
        <v>99288.02590676912</v>
      </c>
      <c r="H8" s="52">
        <f>SUMPRODUCT('Денежный поток'!E104:N104,'Денежный поток'!$E$6:$N$6)</f>
        <v>102320.17980234984</v>
      </c>
      <c r="I8" s="52">
        <f>SUMPRODUCT('Денежный поток'!E126:N126,'Денежный поток'!$E$6:$N$6)</f>
        <v>102609.82824109062</v>
      </c>
    </row>
    <row r="9">
      <c r="B9" s="22" t="inlineStr">
        <is>
          <t>NPV персонала</t>
        </is>
      </c>
      <c r="C9" s="24" t="inlineStr">
        <is>
          <t>тыс.руб</t>
        </is>
      </c>
      <c r="D9" s="52">
        <f>SUMPRODUCT('Денежный поток'!E17:N17,'Денежный поток'!$E$6:$N$6)</f>
        <v>104391.26058370774</v>
      </c>
      <c r="E9" s="52">
        <f>SUMPRODUCT('Денежный поток'!E39:N39,'Денежный поток'!$E$6:$N$6)</f>
        <v>104391.26058370774</v>
      </c>
      <c r="F9" s="52">
        <f>SUMPRODUCT('Денежный поток'!E61:N61,'Денежный поток'!$E$6:$N$6)</f>
        <v>104391.26058370774</v>
      </c>
      <c r="G9" s="52">
        <f>SUMPRODUCT('Денежный поток'!E83:N83,'Денежный поток'!$E$6:$N$6)</f>
        <v>104391.26058370774</v>
      </c>
      <c r="H9" s="52">
        <f>SUMPRODUCT('Денежный поток'!E105:N105,'Денежный поток'!$E$6:$N$6)</f>
        <v>104391.26058370774</v>
      </c>
      <c r="I9" s="52">
        <f>SUMPRODUCT('Денежный поток'!E127:N127,'Денежный поток'!$E$6:$N$6)</f>
        <v>104391.26058370774</v>
      </c>
    </row>
    <row r="10">
      <c r="B10" s="22" t="inlineStr">
        <is>
          <t>NPV транспортного налога</t>
        </is>
      </c>
      <c r="C10" s="24" t="inlineStr">
        <is>
          <t>тыс.руб</t>
        </is>
      </c>
      <c r="D10" s="52">
        <f>SUMPRODUCT('Денежный поток'!E18:N18,'Денежный поток'!$E$6:$N$6)</f>
        <v>1200.6723935373082</v>
      </c>
      <c r="E10" s="52">
        <f>SUMPRODUCT('Денежный поток'!E40:N40,'Денежный поток'!$E$6:$N$6)</f>
        <v>1200.6723935373082</v>
      </c>
      <c r="F10" s="52">
        <f>SUMPRODUCT('Денежный поток'!E62:N62,'Денежный поток'!$E$6:$N$6)</f>
        <v>1365.404645930627</v>
      </c>
      <c r="G10" s="52">
        <f>SUMPRODUCT('Денежный поток'!E84:N84,'Денежный поток'!$E$6:$N$6)</f>
        <v>1200.6723935373082</v>
      </c>
      <c r="H10" s="52">
        <f>SUMPRODUCT('Денежный поток'!E106:N106,'Денежный поток'!$E$6:$N$6)</f>
        <v>1217.4818070468307</v>
      </c>
      <c r="I10" s="52">
        <f>SUMPRODUCT('Денежный поток'!E128:N128,'Денежный поток'!$E$6:$N$6)</f>
        <v>1217.4818070468307</v>
      </c>
    </row>
    <row r="11">
      <c r="B11" s="22" t="inlineStr">
        <is>
          <t>NPV налога (щит)</t>
        </is>
      </c>
      <c r="C11" s="24" t="inlineStr">
        <is>
          <t>тыс.руб</t>
        </is>
      </c>
      <c r="D11" s="52">
        <f>SUMPRODUCT('Денежный поток'!E22:N22,'Денежный поток'!$E$6:$N$6)</f>
        <v>-255033.91533992745</v>
      </c>
      <c r="E11" s="52">
        <f>SUMPRODUCT('Денежный поток'!E44:N44,'Денежный поток'!$E$6:$N$6)</f>
        <v>-286891.88551242626</v>
      </c>
      <c r="F11" s="52">
        <f>SUMPRODUCT('Денежный поток'!E66:N66,'Денежный поток'!$E$6:$N$6)</f>
        <v>-243385.5937984826</v>
      </c>
      <c r="G11" s="52">
        <f>SUMPRODUCT('Денежный поток'!E88:N88,'Денежный поток'!$E$6:$N$6)</f>
        <v>-285374.23781196686</v>
      </c>
      <c r="H11" s="52">
        <f>SUMPRODUCT('Денежный поток'!E110:N110,'Денежный поток'!$E$6:$N$6)</f>
        <v>-250796.16535433976</v>
      </c>
      <c r="I11" s="52">
        <f>SUMPRODUCT('Денежный поток'!E132:N132,'Денежный поток'!$E$6:$N$6)</f>
        <v>-251124.66016822797</v>
      </c>
    </row>
    <row r="12">
      <c r="B12" s="22" t="inlineStr">
        <is>
          <t>NPV инвестиций (за вычетом остат.)</t>
        </is>
      </c>
      <c r="C12" s="24" t="inlineStr">
        <is>
          <t>тыс.руб</t>
        </is>
      </c>
      <c r="D12" s="52">
        <f>'Производительность'!D5*(1-'Ввод данных'!D14*'Денежный поток'!$N$6)</f>
        <v>312568.63</v>
      </c>
      <c r="E12" s="52">
        <f>'Производительность'!E5*(1-'Ввод данных'!E14*'Денежный поток'!$N$6)</f>
        <v>319027.49</v>
      </c>
      <c r="F12" s="52">
        <f>'Производительность'!F5*(1-'Ввод данных'!F14*'Денежный поток'!$N$6)</f>
        <v>296085.09</v>
      </c>
      <c r="G12" s="52">
        <f>'Производительность'!G5*(1-'Ввод данных'!G14*'Денежный поток'!$N$6)</f>
        <v>302883.56</v>
      </c>
      <c r="H12" s="52">
        <f>'Производительность'!H5*(1-'Ввод данных'!H14*'Денежный поток'!$N$6)</f>
        <v>287367.57</v>
      </c>
      <c r="I12" s="52">
        <f>'Производительность'!I5*(1-'Ввод данных'!I14*'Денежный поток'!$N$6)</f>
        <v>287367.58</v>
      </c>
    </row>
    <row r="13">
      <c r="B13" s="51" t="inlineStr">
        <is>
          <t>NPV операционных затрат</t>
        </is>
      </c>
      <c r="C13" s="24" t="inlineStr">
        <is>
          <t>тыс.руб</t>
        </is>
      </c>
      <c r="D13" s="61">
        <f>D6+D7+D8+D9+D10+D11</f>
        <v>540847.6461482681</v>
      </c>
      <c r="E13" s="61">
        <f>E6+E7+E8+E9+E10+E11</f>
        <v>631787.6116806387</v>
      </c>
      <c r="F13" s="61">
        <f>F6+F7+F8+F9+F10+F11</f>
        <v>517728.8888608505</v>
      </c>
      <c r="G13" s="61">
        <f>G6+G7+G8+G9+G10+G11</f>
        <v>638817.2208351884</v>
      </c>
      <c r="H13" s="61">
        <f>H6+H7+H8+H9+H10+H11</f>
        <v>546215.0366771098</v>
      </c>
      <c r="I13" s="61">
        <f>I6+I7+I8+I9+I10+I11</f>
        <v>547200.5139442189</v>
      </c>
    </row>
    <row r="14">
      <c r="B14" s="39" t="inlineStr">
        <is>
          <t>NPV полной стоимости владения</t>
        </is>
      </c>
      <c r="C14" s="24" t="inlineStr">
        <is>
          <t>тыс.руб</t>
        </is>
      </c>
      <c r="D14" s="63">
        <f>D12+D13</f>
        <v>853416.2761482681</v>
      </c>
      <c r="E14" s="63">
        <f>E12+E13</f>
        <v>950815.1016806387</v>
      </c>
      <c r="F14" s="63">
        <f>F12+F13</f>
        <v>813813.9788608504</v>
      </c>
      <c r="G14" s="63">
        <f>G12+G13</f>
        <v>941700.7808351885</v>
      </c>
      <c r="H14" s="63">
        <f>H12+H13</f>
        <v>833582.6066771098</v>
      </c>
      <c r="I14" s="63">
        <f>I12+I13</f>
        <v>834568.0939442189</v>
      </c>
    </row>
    <row r="15">
      <c r="B15" s="22" t="inlineStr">
        <is>
          <t>Средний годовой грузооборот</t>
        </is>
      </c>
      <c r="C15" s="24" t="inlineStr">
        <is>
          <t>тыс.ткм/год</t>
        </is>
      </c>
      <c r="D15" s="52">
        <f>AVERAGE('Денежный поток'!E12:N12)</f>
        <v>13106.913367904765</v>
      </c>
      <c r="E15" s="52">
        <f>AVERAGE('Денежный поток'!E34:N34)</f>
        <v>11018.105569223055</v>
      </c>
      <c r="F15" s="52">
        <f>AVERAGE('Денежный поток'!E56:N56)</f>
        <v>11637.56080289399</v>
      </c>
      <c r="G15" s="52">
        <f>AVERAGE('Денежный поток'!E78:N78)</f>
        <v>11434.225193978697</v>
      </c>
      <c r="H15" s="52">
        <f>AVERAGE('Денежный поток'!E100:N100)</f>
        <v>11943.591583826475</v>
      </c>
      <c r="I15" s="52">
        <f>AVERAGE('Денежный поток'!E122:N122)</f>
        <v>11943.591583826474</v>
      </c>
    </row>
    <row r="16">
      <c r="B16" s="22" t="inlineStr">
        <is>
          <t>Средний годовой объём перевозки</t>
        </is>
      </c>
      <c r="C16" s="24" t="inlineStr">
        <is>
          <t>тыс.т/год</t>
        </is>
      </c>
      <c r="D16" s="52">
        <f>AVERAGE('Денежный поток'!E11:N11)</f>
        <v>2728.9013882791514</v>
      </c>
      <c r="E16" s="52">
        <f>AVERAGE('Денежный поток'!E33:N33)</f>
        <v>2590.6667221309795</v>
      </c>
      <c r="F16" s="52">
        <f>AVERAGE('Денежный поток'!E55:N55)</f>
        <v>2650.925012048745</v>
      </c>
      <c r="G16" s="52">
        <f>AVERAGE('Денежный поток'!E77:N77)</f>
        <v>2807.3226599505756</v>
      </c>
      <c r="H16" s="52">
        <f>AVERAGE('Денежный поток'!E99:N99)</f>
        <v>2807.614382657846</v>
      </c>
      <c r="I16" s="52">
        <f>AVERAGE('Денежный поток'!E121:N121)</f>
        <v>2807.614382657847</v>
      </c>
    </row>
    <row r="17">
      <c r="B17" s="5" t="inlineStr">
        <is>
          <t>УДЕЛЬНЫЙ АННУИТЕТ (руб/ткм) — ГЛАВНЫЙ КРИТЕРИЙ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B18" s="22" t="inlineStr">
        <is>
          <t>Инвестиционный (по сроку службы)</t>
        </is>
      </c>
      <c r="C18" s="24" t="inlineStr">
        <is>
          <t>руб/ткм</t>
        </is>
      </c>
      <c r="D18" s="53">
        <f>D12/(IF('Параметры'!C6=0,'Ввод данных'!D15,(1-(1+'Параметры'!C6)^-'Ввод данных'!D15)/'Параметры'!C6))/D15</f>
        <v>3.1926896660153563</v>
      </c>
      <c r="E18" s="53">
        <f>E12/(IF('Параметры'!C6=0,'Ввод данных'!E15,(1-(1+'Параметры'!C6)^-'Ввод данных'!E15)/'Параметры'!C6))/E15</f>
        <v>5.1245482544096275</v>
      </c>
      <c r="F18" s="53">
        <f>F12/(IF('Параметры'!C6=0,'Ввод данных'!F15,(1-(1+'Параметры'!C6)^-'Ввод данных'!F15)/'Параметры'!C6))/F15</f>
        <v>4.107306721344425</v>
      </c>
      <c r="G18" s="53">
        <f>G12/(IF('Параметры'!C6=0,'Ввод данных'!G15,(1-(1+'Параметры'!C6)^-'Ввод данных'!G15)/'Параметры'!C6))/G15</f>
        <v>5.332352669279914</v>
      </c>
      <c r="H18" s="53">
        <f>H12/(IF('Параметры'!C6=0,'Ввод данных'!H15,(1-(1+'Параметры'!C6)^-'Ввод данных'!H15)/'Параметры'!C6))/H15</f>
        <v>4.258309473003695</v>
      </c>
      <c r="I18" s="53">
        <f>I12/(IF('Параметры'!C6=0,'Ввод данных'!I15,(1-(1+'Параметры'!C6)^-'Ввод данных'!I15)/'Параметры'!C6))/I15</f>
        <v>4.258309621187064</v>
      </c>
    </row>
    <row r="19">
      <c r="B19" s="22" t="inlineStr">
        <is>
          <t>Топливо</t>
        </is>
      </c>
      <c r="C19" s="24" t="inlineStr">
        <is>
          <t>руб/ткм</t>
        </is>
      </c>
      <c r="D19" s="53">
        <f>D6/'Параметры'!C45/D15</f>
        <v>5.181045519550211</v>
      </c>
      <c r="E19" s="53">
        <f>E6/'Параметры'!C45/E15</f>
        <v>5.212164225680375</v>
      </c>
      <c r="F19" s="53">
        <f>F6/'Параметры'!C45/F15</f>
        <v>5.20097494039598</v>
      </c>
      <c r="G19" s="53">
        <f>G6/'Параметры'!C45/G15</f>
        <v>5.16757971197217</v>
      </c>
      <c r="H19" s="53">
        <f>H6/'Параметры'!C45/H15</f>
        <v>5.201620123537312</v>
      </c>
      <c r="I19" s="53">
        <f>I6/'Параметры'!C45/I15</f>
        <v>5.216344893867228</v>
      </c>
    </row>
    <row r="20">
      <c r="B20" s="22" t="inlineStr">
        <is>
          <t>ТОиР + капремонты</t>
        </is>
      </c>
      <c r="C20" s="24" t="inlineStr">
        <is>
          <t>руб/ткм</t>
        </is>
      </c>
      <c r="D20" s="53">
        <f>D7/'Параметры'!C45/D15</f>
        <v>2.638415837369336</v>
      </c>
      <c r="E20" s="53">
        <f>E7/'Параметры'!C45/E15</f>
        <v>6.220615405289806</v>
      </c>
      <c r="F20" s="53">
        <f>F7/'Параметры'!C45/F15</f>
        <v>3.1786518173590834</v>
      </c>
      <c r="G20" s="53">
        <f>G7/'Параметры'!C45/G15</f>
        <v>5.9662524801018115</v>
      </c>
      <c r="H20" s="53">
        <f>H7/'Параметры'!C45/H15</f>
        <v>3.527599574476065</v>
      </c>
      <c r="I20" s="53">
        <f>I7/'Параметры'!C45/I15</f>
        <v>3.5280535769953034</v>
      </c>
    </row>
    <row r="21">
      <c r="B21" s="22" t="inlineStr">
        <is>
          <t>Шины</t>
        </is>
      </c>
      <c r="C21" s="24" t="inlineStr">
        <is>
          <t>руб/ткм</t>
        </is>
      </c>
      <c r="D21" s="53">
        <f>D8/'Параметры'!C45/D15</f>
        <v>1.5015991781551303</v>
      </c>
      <c r="E21" s="53">
        <f>E8/'Параметры'!C45/E15</f>
        <v>1.6278705903770652</v>
      </c>
      <c r="F21" s="53">
        <f>F8/'Параметры'!C45/F15</f>
        <v>1.5870627837999576</v>
      </c>
      <c r="G21" s="53">
        <f>G8/'Параметры'!C45/G15</f>
        <v>1.53682544974225</v>
      </c>
      <c r="H21" s="53">
        <f>H8/'Параметры'!C45/H15</f>
        <v>1.5162148983331263</v>
      </c>
      <c r="I21" s="53">
        <f>I8/'Параметры'!C45/I15</f>
        <v>1.5205070064876083</v>
      </c>
    </row>
    <row r="22">
      <c r="B22" s="22" t="inlineStr">
        <is>
          <t>Персонал</t>
        </is>
      </c>
      <c r="C22" s="24" t="inlineStr">
        <is>
          <t>руб/ткм</t>
        </is>
      </c>
      <c r="D22" s="53">
        <f>D9/'Параметры'!C45/D15</f>
        <v>1.409607241720363</v>
      </c>
      <c r="E22" s="53">
        <f>E9/'Параметры'!C45/E15</f>
        <v>1.6768399870489534</v>
      </c>
      <c r="F22" s="53">
        <f>F9/'Параметры'!C45/F15</f>
        <v>1.5875835420258804</v>
      </c>
      <c r="G22" s="53">
        <f>G9/'Параметры'!C45/G15</f>
        <v>1.6158156487707889</v>
      </c>
      <c r="H22" s="53">
        <f>H9/'Параметры'!C45/H15</f>
        <v>1.5469048711460371</v>
      </c>
      <c r="I22" s="53">
        <f>I9/'Параметры'!C45/I15</f>
        <v>1.5469048711460374</v>
      </c>
    </row>
    <row r="23">
      <c r="B23" s="22" t="inlineStr">
        <is>
          <t>Транспортный налог</t>
        </is>
      </c>
      <c r="C23" s="24" t="inlineStr">
        <is>
          <t>руб/ткм</t>
        </is>
      </c>
      <c r="D23" s="53">
        <f>D10/'Параметры'!C45/D15</f>
        <v>0.01621281792556545</v>
      </c>
      <c r="E23" s="53">
        <f>E10/'Параметры'!C45/E15</f>
        <v>0.01928643709800507</v>
      </c>
      <c r="F23" s="53">
        <f>F10/'Параметры'!C45/F15</f>
        <v>0.020765090218897577</v>
      </c>
      <c r="G23" s="53">
        <f>G10/'Параметры'!C45/G15</f>
        <v>0.01858455613694779</v>
      </c>
      <c r="H23" s="53">
        <f>H10/'Параметры'!C45/H15</f>
        <v>0.018041055614442417</v>
      </c>
      <c r="I23" s="53">
        <f>I10/'Параметры'!C45/I15</f>
        <v>0.01804105561444242</v>
      </c>
    </row>
    <row r="24">
      <c r="B24" s="22" t="inlineStr">
        <is>
          <t>Налог на прибыль (щит)</t>
        </is>
      </c>
      <c r="C24" s="24" t="inlineStr">
        <is>
          <t>руб/ткм</t>
        </is>
      </c>
      <c r="D24" s="53">
        <f>D11/'Параметры'!C45/D15</f>
        <v>-3.443752397828274</v>
      </c>
      <c r="E24" s="53">
        <f>E11/'Параметры'!C45/E15</f>
        <v>-4.608353064204564</v>
      </c>
      <c r="F24" s="53">
        <f>F11/'Параметры'!C45/F15</f>
        <v>-3.701411027322832</v>
      </c>
      <c r="G24" s="53">
        <f>G11/'Параметры'!C45/G15</f>
        <v>-4.417152897994394</v>
      </c>
      <c r="H24" s="53">
        <f>H11/'Параметры'!C45/H15</f>
        <v>-3.7163820772169447</v>
      </c>
      <c r="I24" s="53">
        <f>I11/'Параметры'!C45/I15</f>
        <v>-3.7212498240465988</v>
      </c>
    </row>
    <row r="25">
      <c r="B25" s="51" t="inlineStr">
        <is>
          <t>Операционный аннуитет</t>
        </is>
      </c>
      <c r="C25" s="24" t="inlineStr">
        <is>
          <t>руб/ткм</t>
        </is>
      </c>
      <c r="D25" s="64">
        <f>D13/'Параметры'!C45/D15</f>
        <v>7.303128196892332</v>
      </c>
      <c r="E25" s="64">
        <f>E13/'Параметры'!C45/E15</f>
        <v>10.14842358128964</v>
      </c>
      <c r="F25" s="64">
        <f>F13/'Параметры'!C45/F15</f>
        <v>7.873627146476967</v>
      </c>
      <c r="G25" s="64">
        <f>G13/'Параметры'!C45/G15</f>
        <v>9.887904948729574</v>
      </c>
      <c r="H25" s="64">
        <f>H13/'Параметры'!C45/H15</f>
        <v>8.093998445890039</v>
      </c>
      <c r="I25" s="64">
        <f>I13/'Параметры'!C45/I15</f>
        <v>8.108601580064018</v>
      </c>
    </row>
    <row r="26">
      <c r="B26" s="39" t="inlineStr">
        <is>
          <t>ОБЩИЙ АННУИТЕТ</t>
        </is>
      </c>
      <c r="C26" s="24" t="inlineStr">
        <is>
          <t>руб/ткм</t>
        </is>
      </c>
      <c r="D26" s="65">
        <f>D18+D25</f>
        <v>10.495817862907689</v>
      </c>
      <c r="E26" s="65">
        <f>E18+E25</f>
        <v>15.272971835699266</v>
      </c>
      <c r="F26" s="65">
        <f>F18+F25</f>
        <v>11.980933867821392</v>
      </c>
      <c r="G26" s="65">
        <f>G18+G25</f>
        <v>15.220257618009487</v>
      </c>
      <c r="H26" s="65">
        <f>H18+H25</f>
        <v>12.352307918893732</v>
      </c>
      <c r="I26" s="65">
        <f>I18+I25</f>
        <v>12.366911201251082</v>
      </c>
    </row>
    <row r="27">
      <c r="B27" s="5" t="inlineStr">
        <is>
          <t>ДОПОЛНИТЕЛЬНЫЕ ПОКАЗАТЕЛИ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51" t="inlineStr">
        <is>
          <t>Удельный аннуитет на тонну</t>
        </is>
      </c>
      <c r="C28" s="24" t="inlineStr">
        <is>
          <t>руб/т</t>
        </is>
      </c>
      <c r="D28" s="64">
        <f>D26*'Ввод данных'!D18</f>
        <v>50.41141319554563</v>
      </c>
      <c r="E28" s="64">
        <f>E26*'Ввод данных'!E18</f>
        <v>64.95594921722898</v>
      </c>
      <c r="F28" s="64">
        <f>F26*'Ввод данных'!F18</f>
        <v>52.59629967973591</v>
      </c>
      <c r="G28" s="64">
        <f>G26*'Ввод данных'!G18</f>
        <v>61.99210927815265</v>
      </c>
      <c r="H28" s="64">
        <f>H26*'Ввод данных'!H18</f>
        <v>52.54671788697393</v>
      </c>
      <c r="I28" s="64">
        <f>I26*'Ввод данных'!I18</f>
        <v>52.60884025012209</v>
      </c>
    </row>
    <row r="29">
      <c r="B29" s="22" t="inlineStr">
        <is>
          <t>Себестоимость (без дисконта)</t>
        </is>
      </c>
      <c r="C29" s="24" t="inlineStr">
        <is>
          <t>руб/ткм</t>
        </is>
      </c>
      <c r="D29" s="53">
        <f>AVERAGE('Денежный поток'!E19:N19)/D15</f>
        <v>10.858636631369718</v>
      </c>
      <c r="E29" s="53">
        <f>AVERAGE('Денежный поток'!E41:N41)/E15</f>
        <v>14.988340151815184</v>
      </c>
      <c r="F29" s="53">
        <f>AVERAGE('Денежный поток'!E63:N63)/F15</f>
        <v>11.684948983142954</v>
      </c>
      <c r="G29" s="53">
        <f>AVERAGE('Денежный поток'!E85:N85)/G15</f>
        <v>14.583591303875702</v>
      </c>
      <c r="H29" s="53">
        <f>AVERAGE('Денежный поток'!E107:N107)/H15</f>
        <v>11.935460710445815</v>
      </c>
      <c r="I29" s="53">
        <f>AVERAGE('Денежный поток'!E129:N129)/I15</f>
        <v>11.935935087595007</v>
      </c>
    </row>
    <row r="30">
      <c r="B30" s="22" t="inlineStr">
        <is>
          <t>Доля инвестиций в аннуитете</t>
        </is>
      </c>
      <c r="C30" s="24" t="inlineStr">
        <is>
          <t>%</t>
        </is>
      </c>
      <c r="D30" s="55">
        <f>D18/D26</f>
        <v>0.30418683972197624</v>
      </c>
      <c r="E30" s="55">
        <f>E18/E26</f>
        <v>0.3355305247425019</v>
      </c>
      <c r="F30" s="55">
        <f>F18/F26</f>
        <v>0.3428202481257245</v>
      </c>
      <c r="G30" s="55">
        <f>G18/G26</f>
        <v>0.3503457564982584</v>
      </c>
      <c r="H30" s="55">
        <f>H18/H26</f>
        <v>0.3447379632182183</v>
      </c>
      <c r="I30" s="55">
        <f>I18/I26</f>
        <v>0.3443308965262303</v>
      </c>
    </row>
  </sheetData>
  <mergeCells count="5">
    <mergeCell ref="B1:K1"/>
    <mergeCell ref="B5:I5"/>
    <mergeCell ref="B2:K2"/>
    <mergeCell ref="B27:I27"/>
    <mergeCell ref="B17:I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СРАВНИТЕЛЬНЫЙ АНАЛИЗ АВТОСАМОСВАЛОВ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(руб/ткм).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52">
        <f>'Производительность'!D5</f>
        <v>312568.63</v>
      </c>
      <c r="E5" s="52">
        <f>'Производительность'!E5</f>
        <v>319027.49</v>
      </c>
      <c r="F5" s="52">
        <f>'Производительность'!F5</f>
        <v>296085.09</v>
      </c>
      <c r="G5" s="52">
        <f>'Производительность'!G5</f>
        <v>302883.56</v>
      </c>
      <c r="H5" s="52">
        <f>'Производительность'!H5</f>
        <v>287367.57</v>
      </c>
      <c r="I5" s="52">
        <f>'Производительность'!I5</f>
        <v>287367.58</v>
      </c>
    </row>
    <row r="6">
      <c r="B6" s="22" t="inlineStr">
        <is>
          <t>Часовая производительность</t>
        </is>
      </c>
      <c r="C6" s="24" t="inlineStr">
        <is>
          <t>т/эфф.час</t>
        </is>
      </c>
      <c r="D6" s="66">
        <f>'Производительность'!D9</f>
        <v>394.7319986510228</v>
      </c>
      <c r="E6" s="66">
        <f>'Производительность'!E9</f>
        <v>400.88530278651376</v>
      </c>
      <c r="F6" s="66">
        <f>'Производительность'!F9</f>
        <v>400.8822938281172</v>
      </c>
      <c r="G6" s="66">
        <f>'Производительность'!G9</f>
        <v>434.4262598313611</v>
      </c>
      <c r="H6" s="66">
        <f>'Производительность'!H9</f>
        <v>429.46249725378465</v>
      </c>
      <c r="I6" s="66">
        <f>'Производительность'!I9</f>
        <v>429.46249725378465</v>
      </c>
    </row>
    <row r="7">
      <c r="B7" s="22" t="inlineStr">
        <is>
          <t>Средний годовой грузооборот</t>
        </is>
      </c>
      <c r="C7" s="24" t="inlineStr">
        <is>
          <t>тыс.ткм</t>
        </is>
      </c>
      <c r="D7" s="52">
        <f>'Расчёт аннуитета'!D15</f>
        <v>13106.913367904765</v>
      </c>
      <c r="E7" s="52">
        <f>'Расчёт аннуитета'!E15</f>
        <v>11018.105569223055</v>
      </c>
      <c r="F7" s="52">
        <f>'Расчёт аннуитета'!F15</f>
        <v>11637.56080289399</v>
      </c>
      <c r="G7" s="52">
        <f>'Расчёт аннуитета'!G15</f>
        <v>11434.225193978697</v>
      </c>
      <c r="H7" s="52">
        <f>'Расчёт аннуитета'!H15</f>
        <v>11943.591583826475</v>
      </c>
      <c r="I7" s="52">
        <f>'Расчёт аннуитета'!I15</f>
        <v>11943.591583826474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52">
        <f>'Расчёт аннуитета'!D14</f>
        <v>853416.2761482681</v>
      </c>
      <c r="E8" s="52">
        <f>'Расчёт аннуитета'!E14</f>
        <v>950815.1016806387</v>
      </c>
      <c r="F8" s="52">
        <f>'Расчёт аннуитета'!F14</f>
        <v>813813.9788608504</v>
      </c>
      <c r="G8" s="52">
        <f>'Расчёт аннуитета'!G14</f>
        <v>941700.7808351885</v>
      </c>
      <c r="H8" s="52">
        <f>'Расчёт аннуитета'!H14</f>
        <v>833582.6066771098</v>
      </c>
      <c r="I8" s="52">
        <f>'Расчёт аннуитета'!I14</f>
        <v>834568.0939442189</v>
      </c>
    </row>
    <row r="9">
      <c r="B9" s="22" t="inlineStr">
        <is>
          <t>Себестоимость (без дисконта)</t>
        </is>
      </c>
      <c r="C9" s="24" t="inlineStr">
        <is>
          <t>руб/ткм</t>
        </is>
      </c>
      <c r="D9" s="53">
        <f>'Расчёт аннуитета'!D29</f>
        <v>10.858636631369718</v>
      </c>
      <c r="E9" s="53">
        <f>'Расчёт аннуитета'!E29</f>
        <v>14.988340151815184</v>
      </c>
      <c r="F9" s="53">
        <f>'Расчёт аннуитета'!F29</f>
        <v>11.684948983142954</v>
      </c>
      <c r="G9" s="53">
        <f>'Расчёт аннуитета'!G29</f>
        <v>14.583591303875702</v>
      </c>
      <c r="H9" s="53">
        <f>'Расчёт аннуитета'!H29</f>
        <v>11.935460710445815</v>
      </c>
      <c r="I9" s="53">
        <f>'Расчёт аннуитета'!I29</f>
        <v>11.935935087595007</v>
      </c>
    </row>
    <row r="10">
      <c r="B10" s="22" t="inlineStr">
        <is>
          <t>Инвестиционный аннуитет</t>
        </is>
      </c>
      <c r="C10" s="24" t="inlineStr">
        <is>
          <t>руб/ткм</t>
        </is>
      </c>
      <c r="D10" s="53">
        <f>'Расчёт аннуитета'!D18</f>
        <v>3.1926896660153563</v>
      </c>
      <c r="E10" s="53">
        <f>'Расчёт аннуитета'!E18</f>
        <v>5.1245482544096275</v>
      </c>
      <c r="F10" s="53">
        <f>'Расчёт аннуитета'!F18</f>
        <v>4.107306721344425</v>
      </c>
      <c r="G10" s="53">
        <f>'Расчёт аннуитета'!G18</f>
        <v>5.332352669279914</v>
      </c>
      <c r="H10" s="53">
        <f>'Расчёт аннуитета'!H18</f>
        <v>4.258309473003695</v>
      </c>
      <c r="I10" s="53">
        <f>'Расчёт аннуитета'!I18</f>
        <v>4.258309621187064</v>
      </c>
    </row>
    <row r="11">
      <c r="B11" s="22" t="inlineStr">
        <is>
          <t>Операционный аннуитет</t>
        </is>
      </c>
      <c r="C11" s="24" t="inlineStr">
        <is>
          <t>руб/ткм</t>
        </is>
      </c>
      <c r="D11" s="53">
        <f>'Расчёт аннуитета'!D25</f>
        <v>7.303128196892332</v>
      </c>
      <c r="E11" s="53">
        <f>'Расчёт аннуитета'!E25</f>
        <v>10.14842358128964</v>
      </c>
      <c r="F11" s="53">
        <f>'Расчёт аннуитета'!F25</f>
        <v>7.873627146476967</v>
      </c>
      <c r="G11" s="53">
        <f>'Расчёт аннуитета'!G25</f>
        <v>9.887904948729574</v>
      </c>
      <c r="H11" s="53">
        <f>'Расчёт аннуитета'!H25</f>
        <v>8.093998445890039</v>
      </c>
      <c r="I11" s="53">
        <f>'Расчёт аннуитета'!I25</f>
        <v>8.108601580064018</v>
      </c>
    </row>
    <row r="12">
      <c r="B12" s="51" t="inlineStr">
        <is>
          <t>ОБЩИЙ АННУИТЕТ</t>
        </is>
      </c>
      <c r="C12" s="24" t="inlineStr">
        <is>
          <t>руб/ткм</t>
        </is>
      </c>
      <c r="D12" s="67">
        <f>'Расчёт аннуитета'!D26</f>
        <v>10.495817862907689</v>
      </c>
      <c r="E12" s="67">
        <f>'Расчёт аннуитета'!E26</f>
        <v>15.272971835699266</v>
      </c>
      <c r="F12" s="67">
        <f>'Расчёт аннуитета'!F26</f>
        <v>11.980933867821392</v>
      </c>
      <c r="G12" s="67">
        <f>'Расчёт аннуитета'!G26</f>
        <v>15.220257618009487</v>
      </c>
      <c r="H12" s="67">
        <f>'Расчёт аннуитета'!H26</f>
        <v>12.352307918893732</v>
      </c>
      <c r="I12" s="67">
        <f>'Расчёт аннуитета'!I26</f>
        <v>12.366911201251082</v>
      </c>
    </row>
    <row r="13">
      <c r="B13" s="22" t="inlineStr">
        <is>
          <t>Аннуитет на тонну</t>
        </is>
      </c>
      <c r="C13" s="24" t="inlineStr">
        <is>
          <t>руб/т</t>
        </is>
      </c>
      <c r="D13" s="53">
        <f>'Расчёт аннуитета'!D28</f>
        <v>50.41141319554563</v>
      </c>
      <c r="E13" s="53">
        <f>'Расчёт аннуитета'!E28</f>
        <v>64.95594921722898</v>
      </c>
      <c r="F13" s="53">
        <f>'Расчёт аннуитета'!F28</f>
        <v>52.59629967973591</v>
      </c>
      <c r="G13" s="53">
        <f>'Расчёт аннуитета'!G28</f>
        <v>61.99210927815265</v>
      </c>
      <c r="H13" s="53">
        <f>'Расчёт аннуитета'!H28</f>
        <v>52.54671788697393</v>
      </c>
      <c r="I13" s="53">
        <f>'Расчёт аннуитета'!I28</f>
        <v>52.60884025012209</v>
      </c>
    </row>
    <row r="14">
      <c r="B14" s="5" t="inlineStr">
        <is>
          <t>РАНЖИРОВАНИЕ (критерий: минимум аннуитета руб/ткм)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68" t="inlineStr">
        <is>
          <t>Место в рейтинге</t>
        </is>
      </c>
      <c r="D15" s="18">
        <f>RANK(D12,D12:I12,1)</f>
        <v>1.0</v>
      </c>
      <c r="E15" s="18">
        <f>RANK(E12,D12:I12,1)</f>
        <v>6.0</v>
      </c>
      <c r="F15" s="18">
        <f>RANK(F12,D12:I12,1)</f>
        <v>2.0</v>
      </c>
      <c r="G15" s="18">
        <f>RANK(G12,D12:I12,1)</f>
        <v>5.0</v>
      </c>
      <c r="H15" s="18">
        <f>RANK(H12,D12:I12,1)</f>
        <v>3.0</v>
      </c>
      <c r="I15" s="18">
        <f>RANK(I12,D12:I12,1)</f>
        <v>4.0</v>
      </c>
    </row>
    <row r="16">
      <c r="B16" s="69" t="inlineStr">
        <is>
          <t>Отклонение от лучшего</t>
        </is>
      </c>
      <c r="D16" s="70">
        <f>D12/MIN(D12:I12)-1</f>
        <v>0.0</v>
      </c>
      <c r="E16" s="70">
        <f>E12/MIN(D12:I12)-1</f>
        <v>0.45514833004811184</v>
      </c>
      <c r="F16" s="70">
        <f>F12/MIN(D12:I12)-1</f>
        <v>0.1414959771893638</v>
      </c>
      <c r="G16" s="70">
        <f>G12/MIN(D12:I12)-1</f>
        <v>0.4501259279467882</v>
      </c>
      <c r="H16" s="70">
        <f>H12/MIN(D12:I12)-1</f>
        <v>0.17687902745977468</v>
      </c>
      <c r="I16" s="70">
        <f>I12/MIN(D12:I12)-1</f>
        <v>0.17827037042590588</v>
      </c>
    </row>
    <row r="18">
      <c r="B18" s="71" t="inlineStr">
        <is>
          <t>РЕКОМЕНДУЕМЫЙ ВАРИАНТ:</t>
        </is>
      </c>
      <c r="C18" s="72" t="str">
        <f>INDEX(D4:I4,MATCH(MIN(D12:I12),D12:I12,0))&amp;"  ("&amp;TEXT(MIN(D12:I12),"0.00")&amp;" руб/ткм)"</f>
        <v>NHL NTE 240  (10.50 руб/ткм)</v>
      </c>
      <c r="D18" s="73" t="n"/>
      <c r="E18" s="73" t="n"/>
      <c r="F18" s="73" t="n"/>
      <c r="G18" s="73" t="n"/>
      <c r="H18" s="73" t="n"/>
      <c r="I18" s="73" t="n"/>
    </row>
    <row r="20">
      <c r="B20" s="5" t="inlineStr">
        <is>
          <t>СТРУКТУРА УДЕЛЬНОГО АННУИТЕТА (руб/ткм)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B21" s="74" t="inlineStr">
        <is>
          <t>Статья</t>
        </is>
      </c>
      <c r="D21" s="15" t="str">
        <f>'Ввод данных'!D7</f>
        <v>NHL NTE 240</v>
      </c>
      <c r="E21" s="15" t="str">
        <f>'Ввод данных'!E7</f>
        <v>Estar ESDE240
(ГПБ К)</v>
      </c>
      <c r="F21" s="15" t="str">
        <f>'Ввод данных'!F7</f>
        <v>SANY SET240S</v>
      </c>
      <c r="G21" s="15" t="str">
        <f>'Ввод данных'!G7</f>
        <v>TZCO TZE240</v>
      </c>
      <c r="H21" s="15" t="str">
        <f>'Ввод данных'!H7</f>
        <v>БелАЗ 7531
(ГПФК)</v>
      </c>
      <c r="I21" s="15" t="str">
        <f>'Ввод данных'!I7</f>
        <v>БелАЗ 7531
(БТЛ)</v>
      </c>
    </row>
    <row r="22">
      <c r="B22" s="22" t="inlineStr">
        <is>
          <t>Инвестиционный</t>
        </is>
      </c>
      <c r="D22" s="53">
        <f>'Расчёт аннуитета'!D18</f>
        <v>3.1926896660153563</v>
      </c>
      <c r="E22" s="53">
        <f>'Расчёт аннуитета'!E18</f>
        <v>5.1245482544096275</v>
      </c>
      <c r="F22" s="53">
        <f>'Расчёт аннуитета'!F18</f>
        <v>4.107306721344425</v>
      </c>
      <c r="G22" s="53">
        <f>'Расчёт аннуитета'!G18</f>
        <v>5.332352669279914</v>
      </c>
      <c r="H22" s="53">
        <f>'Расчёт аннуитета'!H18</f>
        <v>4.258309473003695</v>
      </c>
      <c r="I22" s="53">
        <f>'Расчёт аннуитета'!I18</f>
        <v>4.258309621187064</v>
      </c>
    </row>
    <row r="23">
      <c r="B23" s="22" t="inlineStr">
        <is>
          <t>Топливо</t>
        </is>
      </c>
      <c r="D23" s="53">
        <f>'Расчёт аннуитета'!D19</f>
        <v>5.181045519550211</v>
      </c>
      <c r="E23" s="53">
        <f>'Расчёт аннуитета'!E19</f>
        <v>5.212164225680375</v>
      </c>
      <c r="F23" s="53">
        <f>'Расчёт аннуитета'!F19</f>
        <v>5.20097494039598</v>
      </c>
      <c r="G23" s="53">
        <f>'Расчёт аннуитета'!G19</f>
        <v>5.16757971197217</v>
      </c>
      <c r="H23" s="53">
        <f>'Расчёт аннуитета'!H19</f>
        <v>5.201620123537312</v>
      </c>
      <c r="I23" s="53">
        <f>'Расчёт аннуитета'!I19</f>
        <v>5.216344893867228</v>
      </c>
    </row>
    <row r="24">
      <c r="B24" s="22" t="inlineStr">
        <is>
          <t>ТОиР + капремонты</t>
        </is>
      </c>
      <c r="D24" s="53">
        <f>'Расчёт аннуитета'!D20</f>
        <v>2.638415837369336</v>
      </c>
      <c r="E24" s="53">
        <f>'Расчёт аннуитета'!E20</f>
        <v>6.220615405289806</v>
      </c>
      <c r="F24" s="53">
        <f>'Расчёт аннуитета'!F20</f>
        <v>3.1786518173590834</v>
      </c>
      <c r="G24" s="53">
        <f>'Расчёт аннуитета'!G20</f>
        <v>5.9662524801018115</v>
      </c>
      <c r="H24" s="53">
        <f>'Расчёт аннуитета'!H20</f>
        <v>3.527599574476065</v>
      </c>
      <c r="I24" s="53">
        <f>'Расчёт аннуитета'!I20</f>
        <v>3.5280535769953034</v>
      </c>
    </row>
    <row r="25">
      <c r="B25" s="22" t="inlineStr">
        <is>
          <t>Шины</t>
        </is>
      </c>
      <c r="D25" s="53">
        <f>'Расчёт аннуитета'!D21</f>
        <v>1.5015991781551303</v>
      </c>
      <c r="E25" s="53">
        <f>'Расчёт аннуитета'!E21</f>
        <v>1.6278705903770652</v>
      </c>
      <c r="F25" s="53">
        <f>'Расчёт аннуитета'!F21</f>
        <v>1.5870627837999576</v>
      </c>
      <c r="G25" s="53">
        <f>'Расчёт аннуитета'!G21</f>
        <v>1.53682544974225</v>
      </c>
      <c r="H25" s="53">
        <f>'Расчёт аннуитета'!H21</f>
        <v>1.5162148983331263</v>
      </c>
      <c r="I25" s="53">
        <f>'Расчёт аннуитета'!I21</f>
        <v>1.5205070064876083</v>
      </c>
    </row>
    <row r="26">
      <c r="B26" s="22" t="inlineStr">
        <is>
          <t>Персонал</t>
        </is>
      </c>
      <c r="D26" s="53">
        <f>'Расчёт аннуитета'!D22</f>
        <v>1.409607241720363</v>
      </c>
      <c r="E26" s="53">
        <f>'Расчёт аннуитета'!E22</f>
        <v>1.6768399870489534</v>
      </c>
      <c r="F26" s="53">
        <f>'Расчёт аннуитета'!F22</f>
        <v>1.5875835420258804</v>
      </c>
      <c r="G26" s="53">
        <f>'Расчёт аннуитета'!G22</f>
        <v>1.6158156487707889</v>
      </c>
      <c r="H26" s="53">
        <f>'Расчёт аннуитета'!H22</f>
        <v>1.5469048711460371</v>
      </c>
      <c r="I26" s="53">
        <f>'Расчёт аннуитета'!I22</f>
        <v>1.5469048711460374</v>
      </c>
    </row>
    <row r="27">
      <c r="B27" s="22" t="inlineStr">
        <is>
          <t>Транспортный налог</t>
        </is>
      </c>
      <c r="D27" s="53">
        <f>'Расчёт аннуитета'!D23</f>
        <v>0.01621281792556545</v>
      </c>
      <c r="E27" s="53">
        <f>'Расчёт аннуитета'!E23</f>
        <v>0.01928643709800507</v>
      </c>
      <c r="F27" s="53">
        <f>'Расчёт аннуитета'!F23</f>
        <v>0.020765090218897577</v>
      </c>
      <c r="G27" s="53">
        <f>'Расчёт аннуитета'!G23</f>
        <v>0.01858455613694779</v>
      </c>
      <c r="H27" s="53">
        <f>'Расчёт аннуитета'!H23</f>
        <v>0.018041055614442417</v>
      </c>
      <c r="I27" s="53">
        <f>'Расчёт аннуитета'!I23</f>
        <v>0.01804105561444242</v>
      </c>
    </row>
    <row r="28">
      <c r="B28" s="22" t="inlineStr">
        <is>
          <t>Налог (щит)</t>
        </is>
      </c>
      <c r="D28" s="53">
        <f>'Расчёт аннуитета'!D24</f>
        <v>-3.443752397828274</v>
      </c>
      <c r="E28" s="53">
        <f>'Расчёт аннуитета'!E24</f>
        <v>-4.608353064204564</v>
      </c>
      <c r="F28" s="53">
        <f>'Расчёт аннуитета'!F24</f>
        <v>-3.701411027322832</v>
      </c>
      <c r="G28" s="53">
        <f>'Расчёт аннуитета'!G24</f>
        <v>-4.417152897994394</v>
      </c>
      <c r="H28" s="53">
        <f>'Расчёт аннуитета'!H24</f>
        <v>-3.7163820772169447</v>
      </c>
      <c r="I28" s="53">
        <f>'Расчёт аннуитета'!I24</f>
        <v>-3.7212498240465988</v>
      </c>
    </row>
  </sheetData>
  <mergeCells count="5">
    <mergeCell ref="B1:K1"/>
    <mergeCell ref="C18:I18"/>
    <mergeCell ref="B20:I20"/>
    <mergeCell ref="B14:I14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52">
        <f>'Производительность'!D5</f>
        <v>312568.63</v>
      </c>
      <c r="E6" s="52">
        <f>'Производительность'!E5</f>
        <v>319027.49</v>
      </c>
      <c r="F6" s="52">
        <f>'Производительность'!F5</f>
        <v>296085.09</v>
      </c>
      <c r="G6" s="52">
        <f>'Производительность'!G5</f>
        <v>302883.56</v>
      </c>
      <c r="H6" s="52">
        <f>'Производительность'!H5</f>
        <v>287367.57</v>
      </c>
      <c r="I6" s="52">
        <f>'Производительность'!I5</f>
        <v>287367.58</v>
      </c>
    </row>
    <row r="7">
      <c r="B7" s="22" t="inlineStr">
        <is>
          <t>Средний годовой грузооборот</t>
        </is>
      </c>
      <c r="C7" s="24" t="inlineStr">
        <is>
          <t>тыс.ткм</t>
        </is>
      </c>
      <c r="D7" s="52">
        <f>'Расчёт аннуитета'!D15</f>
        <v>13106.913367904765</v>
      </c>
      <c r="E7" s="52">
        <f>'Расчёт аннуитета'!E15</f>
        <v>11018.105569223055</v>
      </c>
      <c r="F7" s="52">
        <f>'Расчёт аннуитета'!F15</f>
        <v>11637.56080289399</v>
      </c>
      <c r="G7" s="52">
        <f>'Расчёт аннуитета'!G15</f>
        <v>11434.225193978697</v>
      </c>
      <c r="H7" s="52">
        <f>'Расчёт аннуитета'!H15</f>
        <v>11943.591583826475</v>
      </c>
      <c r="I7" s="52">
        <f>'Расчёт аннуитета'!I15</f>
        <v>11943.591583826474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5">
        <f>AVERAGE('Данные по годам'!E7:N7)</f>
        <v>0.9200099999999999</v>
      </c>
      <c r="E8" s="55">
        <f>AVERAGE('Данные по годам'!E10:N10)</f>
        <v>0.8600000000000001</v>
      </c>
      <c r="F8" s="55">
        <f>AVERAGE('Данные по годам'!E13:N13)</f>
        <v>0.8800100000000001</v>
      </c>
      <c r="G8" s="55">
        <f>AVERAGE('Данные по годам'!E16:N16)</f>
        <v>0.85997</v>
      </c>
      <c r="H8" s="55">
        <f>AVERAGE('Данные по годам'!E19:N19)</f>
        <v>0.8700000000000001</v>
      </c>
      <c r="I8" s="55">
        <f>AVERAGE('Данные по годам'!E22:N22)</f>
        <v>0.8699999999999999</v>
      </c>
    </row>
    <row r="9">
      <c r="B9" s="39" t="inlineStr">
        <is>
          <t>Аннуитет</t>
        </is>
      </c>
      <c r="C9" s="24" t="inlineStr">
        <is>
          <t>руб/ткм</t>
        </is>
      </c>
      <c r="D9" s="65">
        <f>'Расчёт аннуитета'!D26</f>
        <v>10.495817862907689</v>
      </c>
      <c r="E9" s="65">
        <f>'Расчёт аннуитета'!E26</f>
        <v>15.272971835699266</v>
      </c>
      <c r="F9" s="65">
        <f>'Расчёт аннуитета'!F26</f>
        <v>11.980933867821392</v>
      </c>
      <c r="G9" s="65">
        <f>'Расчёт аннуитета'!G26</f>
        <v>15.220257618009487</v>
      </c>
      <c r="H9" s="65">
        <f>'Расчёт аннуитета'!H26</f>
        <v>12.352307918893732</v>
      </c>
      <c r="I9" s="65">
        <f>'Расчёт аннуитета'!I26</f>
        <v>12.366911201251082</v>
      </c>
    </row>
    <row r="10">
      <c r="B10" s="22" t="inlineStr">
        <is>
          <t>Аннуитет</t>
        </is>
      </c>
      <c r="C10" s="24" t="inlineStr">
        <is>
          <t>руб/т</t>
        </is>
      </c>
      <c r="D10" s="53">
        <f>'Расчёт аннуитета'!D28</f>
        <v>50.41141319554563</v>
      </c>
      <c r="E10" s="53">
        <f>'Расчёт аннуитета'!E28</f>
        <v>64.95594921722898</v>
      </c>
      <c r="F10" s="53">
        <f>'Расчёт аннуитета'!F28</f>
        <v>52.59629967973591</v>
      </c>
      <c r="G10" s="53">
        <f>'Расчёт аннуитета'!G28</f>
        <v>61.99210927815265</v>
      </c>
      <c r="H10" s="53">
        <f>'Расчёт аннуитета'!H28</f>
        <v>52.54671788697393</v>
      </c>
      <c r="I10" s="53">
        <f>'Расчёт аннуитета'!I28</f>
        <v>52.60884025012209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52">
        <f>'Расчёт аннуитета'!D14</f>
        <v>853416.2761482681</v>
      </c>
      <c r="E11" s="52">
        <f>'Расчёт аннуитета'!E14</f>
        <v>950815.1016806387</v>
      </c>
      <c r="F11" s="52">
        <f>'Расчёт аннуитета'!F14</f>
        <v>813813.9788608504</v>
      </c>
      <c r="G11" s="52">
        <f>'Расчёт аннуитета'!G14</f>
        <v>941700.7808351885</v>
      </c>
      <c r="H11" s="52">
        <f>'Расчёт аннуитета'!H14</f>
        <v>833582.6066771098</v>
      </c>
      <c r="I11" s="52">
        <f>'Расчёт аннуитета'!I14</f>
        <v>834568.0939442189</v>
      </c>
    </row>
    <row r="12">
      <c r="B12" s="22" t="inlineStr">
        <is>
          <t>Доля CAPEX</t>
        </is>
      </c>
      <c r="C12" s="24" t="inlineStr">
        <is>
          <t>%</t>
        </is>
      </c>
      <c r="D12" s="55">
        <f>'Расчёт аннуитета'!D18/'Расчёт аннуитета'!D26</f>
        <v>0.30418683972197624</v>
      </c>
      <c r="E12" s="55">
        <f>'Расчёт аннуитета'!E18/'Расчёт аннуитета'!E26</f>
        <v>0.3355305247425019</v>
      </c>
      <c r="F12" s="55">
        <f>'Расчёт аннуитета'!F18/'Расчёт аннуитета'!F26</f>
        <v>0.3428202481257245</v>
      </c>
      <c r="G12" s="55">
        <f>'Расчёт аннуитета'!G18/'Расчёт аннуитета'!G26</f>
        <v>0.3503457564982584</v>
      </c>
      <c r="H12" s="55">
        <f>'Расчёт аннуитета'!H18/'Расчёт аннуитета'!H26</f>
        <v>0.3447379632182183</v>
      </c>
      <c r="I12" s="55">
        <f>'Расчёт аннуитета'!I18/'Расчёт аннуитета'!I26</f>
        <v>0.3443308965262303</v>
      </c>
    </row>
    <row r="13">
      <c r="B13" s="22" t="inlineStr">
        <is>
          <t>Доля топлива</t>
        </is>
      </c>
      <c r="C13" s="24" t="inlineStr">
        <is>
          <t>%</t>
        </is>
      </c>
      <c r="D13" s="55">
        <f>'Расчёт аннуитета'!D19/'Расчёт аннуитета'!D26</f>
        <v>0.493629518654289</v>
      </c>
      <c r="E13" s="55">
        <f>'Расчёт аннуитета'!E19/'Расчёт аннуитета'!E26</f>
        <v>0.34126719290461777</v>
      </c>
      <c r="F13" s="55">
        <f>'Расчёт аннуитета'!F19/'Расчёт аннуитета'!F26</f>
        <v>0.4341043025339496</v>
      </c>
      <c r="G13" s="55">
        <f>'Расчёт аннуитета'!G19/'Расчёт аннуитета'!G26</f>
        <v>0.33951985844560156</v>
      </c>
      <c r="H13" s="55">
        <f>'Расчёт аннуитета'!H19/'Расчёт аннуитета'!H26</f>
        <v>0.4211051212203887</v>
      </c>
      <c r="I13" s="55">
        <f>'Расчёт аннуитета'!I19/'Расчёт аннуитета'!I26</f>
        <v>0.4217985242215957</v>
      </c>
    </row>
    <row r="14">
      <c r="B14" s="22" t="inlineStr">
        <is>
          <t>Доля ТОиР</t>
        </is>
      </c>
      <c r="C14" s="24" t="inlineStr">
        <is>
          <t>%</t>
        </is>
      </c>
      <c r="D14" s="55">
        <f>'Расчёт аннуитета'!D20/'Расчёт аннуитета'!D26</f>
        <v>0.2513778222746719</v>
      </c>
      <c r="E14" s="55">
        <f>'Расчёт аннуитета'!E20/'Расчёт аннуитета'!E26</f>
        <v>0.40729567710913006</v>
      </c>
      <c r="F14" s="55">
        <f>'Расчёт аннуитета'!F20/'Расчёт аннуитета'!F26</f>
        <v>0.2653091864480083</v>
      </c>
      <c r="G14" s="55">
        <f>'Расчёт аннуитета'!G20/'Расчёт аннуитета'!G26</f>
        <v>0.3919941849763566</v>
      </c>
      <c r="H14" s="55">
        <f>'Расчёт аннуитета'!H20/'Расчёт аннуитета'!H26</f>
        <v>0.28558222460438754</v>
      </c>
      <c r="I14" s="55">
        <f>'Расчёт аннуитета'!I20/'Расчёт аннуитета'!I26</f>
        <v>0.28528171016853365</v>
      </c>
    </row>
    <row r="15">
      <c r="B15" s="39" t="inlineStr">
        <is>
          <t>Место в рейтинге</t>
        </is>
      </c>
      <c r="C15" s="24" t="inlineStr"/>
      <c r="D15" s="63">
        <f>RANK(D9,D9:I9,1)</f>
        <v>1.0</v>
      </c>
      <c r="E15" s="63">
        <f>RANK(E9,D9:I9,1)</f>
        <v>6.0</v>
      </c>
      <c r="F15" s="63">
        <f>RANK(F9,D9:I9,1)</f>
        <v>2.0</v>
      </c>
      <c r="G15" s="63">
        <f>RANK(G9,D9:I9,1)</f>
        <v>5.0</v>
      </c>
      <c r="H15" s="63">
        <f>RANK(H9,D9:I9,1)</f>
        <v>3.0</v>
      </c>
      <c r="I15" s="63">
        <f>RANK(I9,D9:I9,1)</f>
        <v>4.0</v>
      </c>
    </row>
    <row r="16">
      <c r="B16" s="5" t="inlineStr">
        <is>
          <t>РАЗЛОЖЕНИЕ ПРЕВЫШЕНИЯ АННУИТЕТА НАД ЛУЧШИМ (руб/ткм)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22" t="inlineStr">
        <is>
          <t>Δ инвестиции</t>
        </is>
      </c>
      <c r="C17" s="24" t="inlineStr">
        <is>
          <t>руб/ткм</t>
        </is>
      </c>
      <c r="D17" s="53">
        <f>'Расчёт аннуитета'!D18-MIN(D18:I18)</f>
        <v>0.5715338549777549</v>
      </c>
      <c r="E17" s="53">
        <f>'Расчёт аннуитета'!E18-MIN(D18:I18)</f>
        <v>2.503392443372026</v>
      </c>
      <c r="F17" s="53">
        <f>'Расчёт аннуитета'!F18-MIN(D18:I18)</f>
        <v>1.486150910306824</v>
      </c>
      <c r="G17" s="53">
        <f>'Расчёт аннуитета'!G18-MIN(D18:I18)</f>
        <v>2.711196858242313</v>
      </c>
      <c r="H17" s="53">
        <f>'Расчёт аннуитета'!H18-MIN(D18:I18)</f>
        <v>1.6371536619660931</v>
      </c>
      <c r="I17" s="53">
        <f>'Расчёт аннуитета'!I18-MIN(D18:I18)</f>
        <v>1.6371538101494627</v>
      </c>
    </row>
    <row r="18">
      <c r="B18" s="22" t="inlineStr">
        <is>
          <t>Δ топливо</t>
        </is>
      </c>
      <c r="C18" s="24" t="inlineStr">
        <is>
          <t>руб/ткм</t>
        </is>
      </c>
      <c r="D18" s="53">
        <f>'Расчёт аннуитета'!D19-MIN(D19:I19)</f>
        <v>2.6346216186156424</v>
      </c>
      <c r="E18" s="53">
        <f>'Расчёт аннуитета'!E19-MIN(D19:I19)</f>
        <v>2.6657403247458067</v>
      </c>
      <c r="F18" s="53">
        <f>'Расчёт аннуитета'!F19-MIN(D19:I19)</f>
        <v>2.6545510394614116</v>
      </c>
      <c r="G18" s="53">
        <f>'Расчёт аннуитета'!G19-MIN(D19:I19)</f>
        <v>2.6211558110376014</v>
      </c>
      <c r="H18" s="53">
        <f>'Расчёт аннуитета'!H19-MIN(D19:I19)</f>
        <v>2.6551962226027435</v>
      </c>
      <c r="I18" s="53">
        <f>'Расчёт аннуитета'!I19-MIN(D19:I19)</f>
        <v>2.669920992932659</v>
      </c>
    </row>
    <row r="19">
      <c r="B19" s="22" t="inlineStr">
        <is>
          <t>Δ ТОиР</t>
        </is>
      </c>
      <c r="C19" s="24" t="inlineStr">
        <is>
          <t>руб/ткм</t>
        </is>
      </c>
      <c r="D19" s="53">
        <f>'Расчёт аннуитета'!D20-MIN(D20:I20)</f>
        <v>2.5464239009345686</v>
      </c>
      <c r="E19" s="53">
        <f>'Расчёт аннуитета'!E20-MIN(D20:I20)</f>
        <v>6.1286234688550385</v>
      </c>
      <c r="F19" s="53">
        <f>'Расчёт аннуитета'!F20-MIN(D20:I20)</f>
        <v>3.0866598809243158</v>
      </c>
      <c r="G19" s="53">
        <f>'Расчёт аннуитета'!G20-MIN(D20:I20)</f>
        <v>5.874260543667044</v>
      </c>
      <c r="H19" s="53">
        <f>'Расчёт аннуитета'!H20-MIN(D20:I20)</f>
        <v>3.435607638041297</v>
      </c>
      <c r="I19" s="53">
        <f>'Расчёт аннуитета'!I20-MIN(D20:I20)</f>
        <v>3.4360616405605358</v>
      </c>
    </row>
    <row r="20">
      <c r="B20" s="22" t="inlineStr">
        <is>
          <t>Δ шины</t>
        </is>
      </c>
      <c r="C20" s="24" t="inlineStr">
        <is>
          <t>руб/ткм</t>
        </is>
      </c>
      <c r="D20" s="53">
        <f>'Расчёт аннуитета'!D21-MIN(D21:I21)</f>
        <v>0.09199193643476744</v>
      </c>
      <c r="E20" s="53">
        <f>'Расчёт аннуитета'!E21-MIN(D21:I21)</f>
        <v>0.21826334865670227</v>
      </c>
      <c r="F20" s="53">
        <f>'Расчёт аннуитета'!F21-MIN(D21:I21)</f>
        <v>0.17745554207959469</v>
      </c>
      <c r="G20" s="53">
        <f>'Расчёт аннуитета'!G21-MIN(D21:I21)</f>
        <v>0.1272182080218871</v>
      </c>
      <c r="H20" s="53">
        <f>'Расчёт аннуитета'!H21-MIN(D21:I21)</f>
        <v>0.10660765661276339</v>
      </c>
      <c r="I20" s="53">
        <f>'Расчёт аннуитета'!I21-MIN(D21:I21)</f>
        <v>0.11089976476724539</v>
      </c>
    </row>
    <row r="21">
      <c r="B21" s="22" t="inlineStr">
        <is>
          <t>Δ персонал</t>
        </is>
      </c>
      <c r="C21" s="24" t="inlineStr">
        <is>
          <t>руб/ткм</t>
        </is>
      </c>
      <c r="D21" s="53">
        <f>'Расчёт аннуитета'!D22-MIN(D22:I22)</f>
        <v>1.409607241720363</v>
      </c>
      <c r="E21" s="53">
        <f>'Расчёт аннуитета'!E22-MIN(D22:I22)</f>
        <v>1.6768399870489534</v>
      </c>
      <c r="F21" s="53">
        <f>'Расчёт аннуитета'!F22-MIN(D22:I22)</f>
        <v>1.5875835420258804</v>
      </c>
      <c r="G21" s="53">
        <f>'Расчёт аннуитета'!G22-MIN(D22:I22)</f>
        <v>1.6158156487707889</v>
      </c>
      <c r="H21" s="53">
        <f>'Расчёт аннуитета'!H22-MIN(D22:I22)</f>
        <v>1.5469048711460371</v>
      </c>
      <c r="I21" s="53">
        <f>'Расчёт аннуитета'!I22-MIN(D22:I22)</f>
        <v>1.5469048711460374</v>
      </c>
    </row>
    <row r="22">
      <c r="B22" s="39" t="inlineStr">
        <is>
          <t>ИТОГО превышение над лучшим</t>
        </is>
      </c>
      <c r="C22" s="24" t="inlineStr">
        <is>
          <t>руб/ткм</t>
        </is>
      </c>
      <c r="D22" s="65">
        <f>D9-MIN(D9:I9)</f>
        <v>0.0</v>
      </c>
      <c r="E22" s="65">
        <f>E9-MIN(D9:I9)</f>
        <v>4.777153972791577</v>
      </c>
      <c r="F22" s="65">
        <f>F9-MIN(D9:I9)</f>
        <v>1.4851160049137029</v>
      </c>
      <c r="G22" s="65">
        <f>G9-MIN(D9:I9)</f>
        <v>4.724439755101798</v>
      </c>
      <c r="H22" s="65">
        <f>H9-MIN(D9:I9)</f>
        <v>1.8564900559860433</v>
      </c>
      <c r="I22" s="65">
        <f>I9-MIN(D9:I9)</f>
        <v>1.8710933383433925</v>
      </c>
    </row>
    <row r="23">
      <c r="B23" s="5" t="inlineStr">
        <is>
          <t>ДИАПАЗОН РИСКА АННУИТЕТА (руб/ткм)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22" t="inlineStr">
        <is>
          <t>Оптимистичный (КТГ +10%, ДТ −20%)</t>
        </is>
      </c>
      <c r="C24" s="24" t="inlineStr">
        <is>
          <t>руб/ткм</t>
        </is>
      </c>
      <c r="D24" s="53">
        <f>('Расчёт аннуитета'!D18+'Расчёт аннуитета'!D20+'Расчёт аннуитета'!D22+'Расчёт аннуитета'!D23+'Расчёт аннуитета'!D24)/1.1+('Расчёт аннуитета'!D19+'Расчёт аннуитета'!D21)-0.2*'Расчёт аннуитета'!D19</f>
        <v>9.11295665307016</v>
      </c>
      <c r="E24" s="53">
        <f>('Расчёт аннуитета'!E18+'Расчёт аннуитета'!E20+'Расчёт аннуитета'!E22+'Расчёт аннуитета'!E23+'Расчёт аннуитета'!E24)/1.1+('Расчёт аннуитета'!E19+'Расчёт аннуитета'!E21)-0.2*'Расчёт аннуитета'!E19</f>
        <v>13.463908352413938</v>
      </c>
      <c r="F24" s="53">
        <f>('Расчёт аннуитета'!F18+'Расчёт аннуитета'!F20+'Расчёт аннуитета'!F22+'Расчёт аннуитета'!F23+'Расчёт аннуитета'!F24)/1.1+('Расчёт аннуитета'!F19+'Расчёт аннуитета'!F21)-0.2*'Расчёт аннуитета'!F19</f>
        <v>10.468657412139883</v>
      </c>
      <c r="G24" s="53">
        <f>('Расчёт аннуитета'!G18+'Расчёт аннуитета'!G20+'Расчёт аннуитета'!G22+'Расчёт аннуитета'!G23+'Расчёт аннуитета'!G24)/1.1+('Расчёт аннуитета'!G19+'Расчёт аннуитета'!G21)-0.2*'Расчёт аннуитета'!G19</f>
        <v>13.412573270497319</v>
      </c>
      <c r="H24" s="53">
        <f>('Расчёт аннуитета'!H18+'Расчёт аннуитета'!H20+'Расчёт аннуитета'!H22+'Расчёт аннуитета'!H23+'Расчёт аннуитета'!H24)/1.1+('Расчёт аннуитета'!H19+'Расчёт аннуитета'!H21)-0.2*'Расчёт аннуитета'!H19</f>
        <v>10.79975908536597</v>
      </c>
      <c r="I24" s="53">
        <f>('Расчёт аннуитета'!I18+'Расчёт аннуитета'!I20+'Расчёт аннуитета'!I22+'Расчёт аннуитета'!I23+'Расчёт аннуитета'!I24)/1.1+('Расчёт аннуитета'!I19+'Расчёт аннуитета'!I21)-0.2*'Расчёт аннуитета'!I19</f>
        <v>10.811818649668888</v>
      </c>
    </row>
    <row r="25">
      <c r="B25" s="39" t="inlineStr">
        <is>
          <t>Базовый</t>
        </is>
      </c>
      <c r="C25" s="24" t="inlineStr">
        <is>
          <t>руб/ткм</t>
        </is>
      </c>
      <c r="D25" s="65">
        <f>'Расчёт аннуитета'!D26</f>
        <v>10.495817862907689</v>
      </c>
      <c r="E25" s="65">
        <f>'Расчёт аннуитета'!E26</f>
        <v>15.272971835699266</v>
      </c>
      <c r="F25" s="65">
        <f>'Расчёт аннуитета'!F26</f>
        <v>11.980933867821392</v>
      </c>
      <c r="G25" s="65">
        <f>'Расчёт аннуитета'!G26</f>
        <v>15.220257618009487</v>
      </c>
      <c r="H25" s="65">
        <f>'Расчёт аннуитета'!H26</f>
        <v>12.352307918893732</v>
      </c>
      <c r="I25" s="65">
        <f>'Расчёт аннуитета'!I26</f>
        <v>12.366911201251082</v>
      </c>
    </row>
    <row r="26">
      <c r="B26" s="22" t="inlineStr">
        <is>
          <t>Пессимистичный (КТГ −10%, ДТ +20%)</t>
        </is>
      </c>
      <c r="C26" s="24" t="inlineStr">
        <is>
          <t>руб/ткм</t>
        </is>
      </c>
      <c r="D26" s="53">
        <f>('Расчёт аннуитета'!D18+'Расчёт аннуитета'!D20+'Расчёт аннуитета'!D22+'Расчёт аннуитета'!D23+'Расчёт аннуитета'!D24)/0.9+('Расчёт аннуитета'!D19+'Расчёт аннуитета'!D21)+0.2*'Расчёт аннуитета'!D19</f>
        <v>11.955712874062437</v>
      </c>
      <c r="E26" s="53">
        <f>('Расчёт аннуитета'!E18+'Расчёт аннуитета'!E20+'Расчёт аннуитета'!E22+'Расчёт аннуитета'!E23+'Расчёт аннуитета'!E24)/0.9+('Расчёт аннуитета'!E19+'Расчёт аннуитета'!E21)+0.2*'Расчёт аннуитета'!E19</f>
        <v>17.252397683017772</v>
      </c>
      <c r="F26" s="53">
        <f>('Расчёт аннуитета'!F18+'Расчёт аннуитета'!F20+'Расчёт аннуитета'!F22+'Расчёт аннуитета'!F23+'Расчёт аннуитета'!F24)/0.9+('Расчёт аннуитета'!F19+'Расчёт аннуитета'!F21)+0.2*'Расчёт аннуитета'!F19</f>
        <v>13.59811731630342</v>
      </c>
      <c r="G26" s="53">
        <f>('Расчёт аннуитета'!G18+'Расчёт аннуитета'!G20+'Расчёт аннуитета'!G22+'Расчёт аннуитета'!G23+'Расчёт аннуитета'!G24)/0.9+('Расчёт аннуитета'!G19+'Расчёт аннуитета'!G21)+0.2*'Расчёт аннуитета'!G19</f>
        <v>17.19997938888115</v>
      </c>
      <c r="H26" s="53">
        <f>('Расчёт аннуитета'!H18+'Расчёт аннуитета'!H20+'Расчёт аннуитета'!H22+'Расчёт аннуитета'!H23+'Расчёт аннуитета'!H24)/0.9+('Расчёт аннуитета'!H19+'Расчёт аннуитета'!H21)+0.2*'Расчёт аннуитета'!H19</f>
        <v>14.018684487714895</v>
      </c>
      <c r="I26" s="53">
        <f>('Расчёт аннуитета'!I18+'Расчёт аннуитета'!I20+'Расчёт аннуитета'!I22+'Расчёт аннуитета'!I23+'Расчёт аннуитета'!I24)/0.9+('Расчёт аннуитета'!I19+'Расчёт аннуитета'!I21)+0.2*'Расчёт аннуитета'!I19</f>
        <v>14.035742324568558</v>
      </c>
    </row>
    <row r="27">
      <c r="B27" s="22" t="inlineStr">
        <is>
          <t>Ширина диапазона (риск)</t>
        </is>
      </c>
      <c r="C27" s="24" t="inlineStr">
        <is>
          <t>руб/ткм</t>
        </is>
      </c>
      <c r="D27" s="53">
        <f>D26-D24</f>
        <v>2.8427562209922765</v>
      </c>
      <c r="E27" s="53">
        <f>E26-E24</f>
        <v>3.7884893306038343</v>
      </c>
      <c r="F27" s="53">
        <f>F26-F24</f>
        <v>3.129459904163536</v>
      </c>
      <c r="G27" s="53">
        <f>G26-G24</f>
        <v>3.7874061183838315</v>
      </c>
      <c r="H27" s="53">
        <f>H26-H24</f>
        <v>3.2189254023489244</v>
      </c>
      <c r="I27" s="53">
        <f>I26-I24</f>
        <v>3.2239236748996696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22" t="inlineStr">
        <is>
          <t>Эффект +1 п.п. КТГ на аннуитет</t>
        </is>
      </c>
      <c r="C29" s="24" t="inlineStr">
        <is>
          <t>руб/ткм</t>
        </is>
      </c>
      <c r="D29" s="53">
        <f>-('Расчёт аннуитета'!D18+'Расчёт аннуитета'!D20+'Расчёт аннуитета'!D22+'Расчёт аннуитета'!D23+'Расчёт аннуитета'!D24)*0.01/AVERAGE('Данные по годам'!E7:N7)</f>
        <v>-0.041447083892591906</v>
      </c>
      <c r="E29" s="53">
        <f>-('Расчёт аннуитета'!E18+'Расчёт аннуитета'!E20+'Расчёт аннуитета'!E22+'Расчёт аннуитета'!E23+'Расчёт аннуитета'!E24)*0.01/AVERAGE('Данные по годам'!E10:N10)</f>
        <v>-0.09805740720513755</v>
      </c>
      <c r="F29" s="53">
        <f>-('Расчёт аннуитета'!F18+'Расчёт аннуитета'!F20+'Расчёт аннуитета'!F22+'Расчёт аннуитета'!F23+'Расчёт аннуитета'!F24)*0.01/AVERAGE('Данные по годам'!E13:N13)</f>
        <v>-0.059009512887642813</v>
      </c>
      <c r="G29" s="53">
        <f>-('Расчёт аннуитета'!G18+'Расчёт аннуитета'!G20+'Расчёт аннуитета'!G22+'Расчёт аннуитета'!G23+'Расчёт аннуитета'!G24)*0.01/AVERAGE('Данные по годам'!E16:N16)</f>
        <v>-0.09902499454975253</v>
      </c>
      <c r="H29" s="53">
        <f>-('Расчёт аннуитета'!H18+'Расчёт аннуитета'!H20+'Расчёт аннуитета'!H22+'Расчёт аннуитета'!H23+'Расчёт аннуитета'!H24)*0.01/AVERAGE('Данные по годам'!E19:N19)</f>
        <v>-0.06476405628762406</v>
      </c>
      <c r="I29" s="53">
        <f>-('Расчёт аннуитета'!I18+'Расчёт аннуитета'!I20+'Расчёт аннуитета'!I22+'Расчёт аннуитета'!I23+'Расчёт аннуитета'!I24)*0.01/AVERAGE('Данные по годам'!E22:N22)</f>
        <v>-0.06471332529765805</v>
      </c>
    </row>
    <row r="31">
      <c r="B31" s="71" t="inlineStr">
        <is>
          <t>ВЫВОД:</t>
        </is>
      </c>
      <c r="C31" s="75" t="str">
        <f>"Лучший по удельному TCO: "&amp;INDEX(D4:I4,MATCH(MIN(D9:I9),D9:I9,0))&amp;" ("&amp;TEXT(MIN(D9:I9),"0.00")&amp;" руб/ткм, "&amp;TEXT(MIN(D10:I10),"0.00")&amp;" руб/т). "&amp;"Отрыв от худшего: "&amp;TEXT(MAX(D9:I9)-MIN(D9:I9),"0.00")&amp;" руб/ткм."</f>
        <v>Лучший по удельному TCO: NHL NTE 240 (10.50 руб/ткм, 50.41 руб/т). Отрыв от худшего: 4.78 руб/ткм.</v>
      </c>
      <c r="D31" s="76" t="n"/>
      <c r="E31" s="76" t="n"/>
      <c r="F31" s="76" t="n"/>
      <c r="G31" s="76" t="n"/>
      <c r="H31" s="76" t="n"/>
    </row>
    <row r="33">
      <c r="B33" s="7" t="inlineStr">
        <is>
          <t>Метод (лучшие практики):</t>
        </is>
      </c>
    </row>
    <row r="34">
      <c r="B34" s="59" t="inlineStr">
        <is>
          <t>•  Levelized cost — приведённые затраты на единицу транспортной работы (руб/ткм, руб/т) уравнивают самосвалы с разной ценой, грузоподъёмностью и производительностью.</t>
        </is>
      </c>
    </row>
    <row r="35">
      <c r="B35" s="59" t="inlineStr">
        <is>
          <t>•  Многокритериальная оценка — не только цена, но и структура затрат, КТГ, доля топлива.</t>
        </is>
      </c>
    </row>
    <row r="36">
      <c r="B36" s="59" t="inlineStr">
        <is>
          <t>•  Разложение над лучшим — показывает, за счёт каких статей вариант дороже (управляемость).</t>
        </is>
      </c>
    </row>
    <row r="37">
      <c r="B37" s="59" t="inlineStr">
        <is>
          <t>•  Диапазон риска — устойчивость выбора к колебаниям КТГ и цены топлива.</t>
        </is>
      </c>
    </row>
    <row r="38">
      <c r="B38" s="59" t="inlineStr">
        <is>
          <t>•  Ценность готовности — сколько руб/ткм даёт рост КТГ на 1 п.п. (обоснование сервисного контракта).</t>
        </is>
      </c>
    </row>
  </sheetData>
  <mergeCells count="12">
    <mergeCell ref="C31:I31"/>
    <mergeCell ref="B1:K1"/>
    <mergeCell ref="B34:K34"/>
    <mergeCell ref="B16:I16"/>
    <mergeCell ref="B35:K35"/>
    <mergeCell ref="B28:I28"/>
    <mergeCell ref="B5:I5"/>
    <mergeCell ref="B38:K38"/>
    <mergeCell ref="B2:K2"/>
    <mergeCell ref="B23:I23"/>
    <mergeCell ref="B36:K36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самосвал (1–6):</t>
        </is>
      </c>
      <c r="C4" s="38" t="n">
        <v>1</v>
      </c>
      <c r="D4" s="77" t="str">
        <f>INDEX('Ввод данных'!D7:I7,$C$4)</f>
        <v>NHL NTE 240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руб/ткм</t>
        </is>
      </c>
      <c r="D7" s="53">
        <f>INDEX('Расчёт аннуитета'!D26:I26,$C$4)</f>
        <v>10.495817862907689</v>
      </c>
    </row>
    <row r="8">
      <c r="B8" s="22" t="inlineStr">
        <is>
          <t>— инвестиционный</t>
        </is>
      </c>
      <c r="C8" s="24" t="inlineStr">
        <is>
          <t>руб/ткм</t>
        </is>
      </c>
      <c r="D8" s="53">
        <f>INDEX('Расчёт аннуитета'!D18:I18,$C$4)</f>
        <v>3.1926896660153563</v>
      </c>
    </row>
    <row r="9">
      <c r="B9" s="22" t="inlineStr">
        <is>
          <t>— топливо</t>
        </is>
      </c>
      <c r="C9" s="24" t="inlineStr">
        <is>
          <t>руб/ткм</t>
        </is>
      </c>
      <c r="D9" s="53">
        <f>INDEX('Расчёт аннуитета'!D19:I19,$C$4)</f>
        <v>5.181045519550211</v>
      </c>
    </row>
    <row r="10">
      <c r="B10" s="22" t="inlineStr">
        <is>
          <t>— ТОиР + капремонты</t>
        </is>
      </c>
      <c r="C10" s="24" t="inlineStr">
        <is>
          <t>руб/ткм</t>
        </is>
      </c>
      <c r="D10" s="53">
        <f>INDEX('Расчёт аннуитета'!D20:I20,$C$4)</f>
        <v>2.638415837369336</v>
      </c>
    </row>
    <row r="11">
      <c r="B11" s="22" t="inlineStr">
        <is>
          <t>— шины</t>
        </is>
      </c>
      <c r="C11" s="24" t="inlineStr">
        <is>
          <t>руб/ткм</t>
        </is>
      </c>
      <c r="D11" s="53">
        <f>INDEX('Расчёт аннуитета'!D21:I21,$C$4)</f>
        <v>1.5015991781551303</v>
      </c>
    </row>
    <row r="12">
      <c r="B12" s="22" t="inlineStr">
        <is>
          <t>— персонал</t>
        </is>
      </c>
      <c r="C12" s="24" t="inlineStr">
        <is>
          <t>руб/ткм</t>
        </is>
      </c>
      <c r="D12" s="53">
        <f>INDEX('Расчёт аннуитета'!D22:I22,$C$4)</f>
        <v>1.409607241720363</v>
      </c>
    </row>
    <row r="13">
      <c r="B13" s="22" t="inlineStr">
        <is>
          <t>Средний годовой грузооборот</t>
        </is>
      </c>
      <c r="C13" s="24" t="inlineStr">
        <is>
          <t>тыс.ткм</t>
        </is>
      </c>
      <c r="D13" s="52">
        <f>INDEX('Расчёт аннуитета'!D15:I15,$C$4)</f>
        <v>13106.913367904765</v>
      </c>
    </row>
    <row r="14">
      <c r="B14" s="22" t="inlineStr">
        <is>
          <t>Стоимость (руб)</t>
        </is>
      </c>
      <c r="C14" s="24" t="inlineStr">
        <is>
          <t>тыс.руб</t>
        </is>
      </c>
      <c r="D14" s="52">
        <f>INDEX('Производительность'!D5:I5,$C$4)</f>
        <v>312568.63</v>
      </c>
    </row>
    <row r="15">
      <c r="B15" s="22" t="inlineStr">
        <is>
          <t>Срок службы (EAC)</t>
        </is>
      </c>
      <c r="C15" s="24" t="inlineStr">
        <is>
          <t>лет</t>
        </is>
      </c>
      <c r="D15" s="52">
        <f>INDEX('Ввод данных'!D15:I15,$C$4)</f>
        <v>20.0</v>
      </c>
    </row>
    <row r="16">
      <c r="B16" s="22" t="inlineStr">
        <is>
          <t>Плечо откатки</t>
        </is>
      </c>
      <c r="C16" s="24" t="inlineStr">
        <is>
          <t>км</t>
        </is>
      </c>
      <c r="D16" s="78">
        <f>INDEX('Ввод данных'!D18:I18,$C$4)</f>
        <v>4.803</v>
      </c>
    </row>
    <row r="17">
      <c r="B17" s="22" t="inlineStr">
        <is>
          <t>Постоянные (инв+ТОиР+перс+налоги)</t>
        </is>
      </c>
      <c r="C17" s="24" t="inlineStr">
        <is>
          <t>руб/ткм</t>
        </is>
      </c>
      <c r="D17" s="53">
        <f>INDEX('Расчёт аннуитета'!D18:I18,$C$4)+INDEX('Расчёт аннуитета'!D20:I20,$C$4)+INDEX('Расчёт аннуитета'!D22:I22,$C$4)+INDEX('Расчёт аннуитета'!D23:I23,$C$4)+INDEX('Расчёт аннуитета'!D24:I24,$C$4)</f>
        <v>3.8131731652023473</v>
      </c>
    </row>
    <row r="18">
      <c r="B18" s="22" t="inlineStr">
        <is>
          <t>Переменные (топливо+шины)</t>
        </is>
      </c>
      <c r="C18" s="24" t="inlineStr">
        <is>
          <t>руб/ткм</t>
        </is>
      </c>
      <c r="D18" s="53">
        <f>INDEX('Расчёт аннуитета'!D19:I19,$C$4)+INDEX('Расчёт аннуитета'!D21:I21,$C$4)</f>
        <v>6.682644697705341</v>
      </c>
    </row>
    <row r="20">
      <c r="B20" s="5" t="inlineStr">
        <is>
          <t>ТОРНАДО: ВЛИЯНИЕ ДРАЙВЕРОВ НА ОБЩИЙ АННУИТЕТ (руб/ткм) — жёлтый «Диапазон ±» редактируется</t>
        </is>
      </c>
      <c r="C20" s="4" t="n"/>
      <c r="D20" s="4" t="n"/>
      <c r="E20" s="4" t="n"/>
      <c r="F20" s="4" t="n"/>
      <c r="G20" s="4" t="n"/>
      <c r="H20" s="4" t="n"/>
    </row>
    <row r="21">
      <c r="B21" s="15" t="inlineStr">
        <is>
          <t>Драйвер</t>
        </is>
      </c>
      <c r="C21" s="15" t="inlineStr">
        <is>
          <t>Диапазон ±</t>
        </is>
      </c>
      <c r="D21" s="15" t="inlineStr">
        <is>
          <t>При снижении</t>
        </is>
      </c>
      <c r="E21" s="15" t="inlineStr">
        <is>
          <t>При росте</t>
        </is>
      </c>
      <c r="F21" s="15" t="inlineStr">
        <is>
          <t>Размах</t>
        </is>
      </c>
      <c r="I21" s="79" t="inlineStr">
        <is>
          <t>низкое</t>
        </is>
      </c>
      <c r="J21" s="79" t="inlineStr">
        <is>
          <t>высокое</t>
        </is>
      </c>
    </row>
    <row r="22">
      <c r="B22" s="22" t="inlineStr">
        <is>
          <t>Расход / цена ДТ</t>
        </is>
      </c>
      <c r="C22" s="23" t="n">
        <v>0.2</v>
      </c>
      <c r="D22" s="53">
        <f>$D$7-C22*($D$9*(1-'Параметры'!C7))</f>
        <v>9.718661034975158</v>
      </c>
      <c r="E22" s="53">
        <f>$D$7+C22*($D$9*(1-'Параметры'!C7))</f>
        <v>11.27297469084022</v>
      </c>
      <c r="F22" s="53">
        <f>E22-D22</f>
        <v>1.5543136558650623</v>
      </c>
      <c r="I22" s="80">
        <f>D22-$D$7</f>
        <v>-0.7771568279325312</v>
      </c>
      <c r="J22" s="80">
        <f>E22-$D$7</f>
        <v>0.7771568279325312</v>
      </c>
    </row>
    <row r="23">
      <c r="B23" s="22" t="inlineStr">
        <is>
          <t>Затраты на ТОиР/ремонты</t>
        </is>
      </c>
      <c r="C23" s="23" t="n">
        <v>0.25</v>
      </c>
      <c r="D23" s="53">
        <f>$D$7-C23*($D$10*(1-'Параметры'!C7))</f>
        <v>10.001114893400938</v>
      </c>
      <c r="E23" s="53">
        <f>$D$7+C23*($D$10*(1-'Параметры'!C7))</f>
        <v>10.99052083241444</v>
      </c>
      <c r="F23" s="53">
        <f>E23-D23</f>
        <v>0.9894059390135013</v>
      </c>
      <c r="I23" s="80">
        <f>D23-$D$7</f>
        <v>-0.49470296950675063</v>
      </c>
      <c r="J23" s="80">
        <f>E23-$D$7</f>
        <v>0.49470296950675063</v>
      </c>
    </row>
    <row r="24">
      <c r="B24" s="22" t="inlineStr">
        <is>
          <t>Цена приобретения</t>
        </is>
      </c>
      <c r="C24" s="23" t="n">
        <v>0.15</v>
      </c>
      <c r="D24" s="53">
        <f>$D$7-C24*($D$8*(1-'Параметры'!C7*'Параметры'!C46))</f>
        <v>10.102812398100054</v>
      </c>
      <c r="E24" s="53">
        <f>$D$7+C24*($D$8*(1-'Параметры'!C7*'Параметры'!C46))</f>
        <v>10.888823327715324</v>
      </c>
      <c r="F24" s="53">
        <f>E24-D24</f>
        <v>0.7860109296152693</v>
      </c>
      <c r="I24" s="80">
        <f>D24-$D$7</f>
        <v>-0.39300546480763465</v>
      </c>
      <c r="J24" s="80">
        <f>E24-$D$7</f>
        <v>0.39300546480763465</v>
      </c>
    </row>
    <row r="25">
      <c r="B25" s="22" t="inlineStr">
        <is>
          <t>Производительность (плечо/КТГ)</t>
        </is>
      </c>
      <c r="C25" s="23" t="n">
        <v>0.15</v>
      </c>
      <c r="D25" s="53">
        <f>$D$7-C25*($D$17)</f>
        <v>9.923841888127336</v>
      </c>
      <c r="E25" s="53">
        <f>$D$7+C25*($D$17)</f>
        <v>11.067793837688042</v>
      </c>
      <c r="F25" s="53">
        <f>E25-D25</f>
        <v>1.1439519495607051</v>
      </c>
      <c r="I25" s="80">
        <f>D25-$D$7</f>
        <v>-0.5719759747803526</v>
      </c>
      <c r="J25" s="80">
        <f>E25-$D$7</f>
        <v>0.5719759747803526</v>
      </c>
    </row>
    <row r="26">
      <c r="B26" s="22" t="inlineStr">
        <is>
          <t>Расходы на персонал</t>
        </is>
      </c>
      <c r="C26" s="23" t="n">
        <v>0.15</v>
      </c>
      <c r="D26" s="53">
        <f>$D$7-C26*($D$12*(1-'Параметры'!C7))</f>
        <v>10.337237048214147</v>
      </c>
      <c r="E26" s="53">
        <f>$D$7+C26*($D$12*(1-'Параметры'!C7))</f>
        <v>10.65439867760123</v>
      </c>
      <c r="F26" s="53">
        <f>E26-D26</f>
        <v>0.31716162938708337</v>
      </c>
      <c r="I26" s="80">
        <f>D26-$D$7</f>
        <v>-0.15858081469354168</v>
      </c>
      <c r="J26" s="80">
        <f>E26-$D$7</f>
        <v>0.15858081469354168</v>
      </c>
    </row>
    <row r="29">
      <c r="B29" s="5" t="inlineStr">
        <is>
          <t>ВЛИЯНИЕ ПРОИЗВОДИТЕЛЬНОСТИ (КТГ / УТИЛИЗАЦИИ)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Изменение производительности</t>
        </is>
      </c>
      <c r="C30" s="15" t="inlineStr">
        <is>
          <t>-15%</t>
        </is>
      </c>
      <c r="D30" s="15" t="inlineStr">
        <is>
          <t>-10%</t>
        </is>
      </c>
      <c r="E30" s="15" t="inlineStr">
        <is>
          <t>0%</t>
        </is>
      </c>
      <c r="F30" s="15" t="inlineStr">
        <is>
          <t>+10%</t>
        </is>
      </c>
      <c r="G30" s="15" t="inlineStr">
        <is>
          <t>+15%</t>
        </is>
      </c>
    </row>
    <row r="31">
      <c r="B31" s="51" t="inlineStr">
        <is>
          <t>Общий аннуитет, руб/ткм</t>
        </is>
      </c>
      <c r="C31" s="64">
        <f>$D$17/(1+-0.15)+$D$18</f>
        <v>11.168730774413985</v>
      </c>
      <c r="D31" s="64">
        <f>$D$17/(1+-0.1)+$D$18</f>
        <v>10.919503770152394</v>
      </c>
      <c r="E31" s="67">
        <f>$D$17/(1+0.0)+$D$18</f>
        <v>10.495817862907689</v>
      </c>
      <c r="F31" s="64">
        <f>$D$17/(1+0.1)+$D$18</f>
        <v>10.149165756980203</v>
      </c>
      <c r="G31" s="64">
        <f>$D$17/(1+0.15)+$D$18</f>
        <v>9.99844745005521</v>
      </c>
    </row>
    <row r="33">
      <c r="B33" s="5" t="inlineStr">
        <is>
          <t>ВЛИЯНИЕ СТАВКИ ДИСКОНТИРОВАНИЯ</t>
        </is>
      </c>
      <c r="C33" s="4" t="n"/>
      <c r="D33" s="4" t="n"/>
      <c r="E33" s="4" t="n"/>
      <c r="F33" s="4" t="n"/>
      <c r="G33" s="4" t="n"/>
      <c r="H33" s="4" t="n"/>
    </row>
    <row r="34">
      <c r="B34" s="15" t="inlineStr">
        <is>
          <t>Ставка дисконтирования</t>
        </is>
      </c>
      <c r="C34" s="81" t="n">
        <v>0.08</v>
      </c>
      <c r="D34" s="81" t="n">
        <v>0.1</v>
      </c>
      <c r="E34" s="81" t="n">
        <v>0.12</v>
      </c>
      <c r="F34" s="81" t="n">
        <v>0.14</v>
      </c>
      <c r="G34" s="81" t="n">
        <v>0.16</v>
      </c>
    </row>
    <row r="35">
      <c r="B35" s="51" t="inlineStr">
        <is>
          <t>Общий аннуитет, руб/ткм (оценка)</t>
        </is>
      </c>
      <c r="C35" s="64">
        <f>$D$14*(1-INDEX('Ввод данных'!D14:I14,$C$4)/(1+C34)^$D$15)/((1-(1+C34)^-$D$15)/C34)/$D$13+$D$7-$D$8</f>
        <v>9.732060507704979</v>
      </c>
      <c r="D35" s="64">
        <f>$D$14*(1-INDEX('Ввод данных'!D14:I14,$C$4)/(1+D34)^$D$15)/((1-(1+D34)^-$D$15)/D34)/$D$13+$D$7-$D$8</f>
        <v>10.104260161750792</v>
      </c>
      <c r="E35" s="67">
        <f>$D$14*(1-INDEX('Ввод данных'!D14:I14,$C$4)/(1+E34)^$D$15)/((1-(1+E34)^-$D$15)/E34)/$D$13+$D$7-$D$8</f>
        <v>10.495817862907689</v>
      </c>
      <c r="F35" s="64">
        <f>$D$14*(1-INDEX('Ввод данных'!D14:I14,$C$4)/(1+F34)^$D$15)/((1-(1+F34)^-$D$15)/F34)/$D$13+$D$7-$D$8</f>
        <v>10.903784304215561</v>
      </c>
      <c r="G35" s="64">
        <f>$D$14*(1-INDEX('Ввод данных'!D14:I14,$C$4)/(1+G34)^$D$15)/((1-(1+G34)^-$D$15)/G34)/$D$13+$D$7-$D$8</f>
        <v>11.325434727680788</v>
      </c>
    </row>
    <row r="37">
      <c r="B37" s="59" t="inlineStr">
        <is>
          <t>Оценка по ставке: инвестиционный аннуитет пересчитан точно по СРОКУ СЛУЖБЫ выбранной машины, операционный принят постоянным (аннуитет равномерного потока ≈ инвариантен к ставке).</t>
        </is>
      </c>
    </row>
    <row r="39">
      <c r="B39" s="5" t="inlineStr">
        <is>
          <t>ИНТЕРАКТИВНЫЙ КАЛЬКУЛЯТОР СЦЕНАРИЯ (меняйте жёлтые ячейки — результат пересчитывается)</t>
        </is>
      </c>
      <c r="C39" s="4" t="n"/>
      <c r="D39" s="4" t="n"/>
      <c r="E39" s="4" t="n"/>
      <c r="F39" s="4" t="n"/>
      <c r="G39" s="4" t="n"/>
      <c r="H39" s="4" t="n"/>
    </row>
    <row r="40">
      <c r="B40" s="15" t="inlineStr">
        <is>
          <t>Драйвер (множитель к базе)</t>
        </is>
      </c>
      <c r="C40" s="15" t="inlineStr">
        <is>
          <t>Множитель</t>
        </is>
      </c>
      <c r="D40" s="15" t="inlineStr">
        <is>
          <t>Влияние на аннуитет, руб/ткм</t>
        </is>
      </c>
      <c r="E40" s="16" t="n"/>
      <c r="F40" s="17" t="n"/>
    </row>
    <row r="41">
      <c r="B41" s="22" t="inlineStr">
        <is>
          <t>Производительность / КТГ, ×</t>
        </is>
      </c>
      <c r="C41" s="27" t="n">
        <v>1</v>
      </c>
    </row>
    <row r="42">
      <c r="B42" s="22" t="inlineStr">
        <is>
          <t>Цена / расход ДТ, ×</t>
        </is>
      </c>
      <c r="C42" s="27" t="n">
        <v>1</v>
      </c>
    </row>
    <row r="43">
      <c r="B43" s="22" t="inlineStr">
        <is>
          <t>Затраты на ТОиР, ×</t>
        </is>
      </c>
      <c r="C43" s="27" t="n">
        <v>1</v>
      </c>
    </row>
    <row r="44">
      <c r="B44" s="22" t="inlineStr">
        <is>
          <t>Цена приобретения, ×</t>
        </is>
      </c>
      <c r="C44" s="27" t="n">
        <v>1</v>
      </c>
    </row>
    <row r="45">
      <c r="B45" s="22" t="inlineStr">
        <is>
          <t>Ставка дисконтирования, ×</t>
        </is>
      </c>
      <c r="C45" s="27" t="n">
        <v>1</v>
      </c>
    </row>
    <row r="46">
      <c r="B46" s="51" t="inlineStr">
        <is>
          <t>АННУИТЕТ СЦЕНАРИЯ (выбранная машина)</t>
        </is>
      </c>
      <c r="C46" s="82">
        <f>(($D$8*$C$44*$C$45+$D$10*$C$43+$D$17-$D$8-$D$10)+$D$9*$C$42+$D$11)/$C$41</f>
        <v>10.495817862907689</v>
      </c>
      <c r="D46" s="77" t="str">
        <f>IF(C46&lt;$D$7,"▼ лучше базы на "&amp;TEXT($D$7-C46,"0.00")&amp;" руб/ткм","▲ хуже базы на "&amp;TEXT(C46-$D$7,"0.00")&amp;" руб/ткм")</f>
        <v>▲ хуже базы на 0.00 руб/ткм</v>
      </c>
    </row>
    <row r="48">
      <c r="B48" s="83" t="inlineStr">
        <is>
          <t>Базовый аннуитет (для сравнения):</t>
        </is>
      </c>
      <c r="C48" s="84">
        <f>$D$7</f>
        <v>10.495817862907689</v>
      </c>
    </row>
    <row r="50">
      <c r="B50" s="59" t="inlineStr">
        <is>
          <t>•  Множитель 1,00 = базовый сценарий. Пример: КТГ ×1,10 → +10% производительности → все постоянные затраты на ткм снижаются; ДТ ×1,15 → +15% к топливной составляющей; Цена ×0,90 → скидка 10%.</t>
        </is>
      </c>
    </row>
    <row r="51">
      <c r="B51" s="59" t="inlineStr">
        <is>
          <t>•  Ставка дисконтирования ×: приближённо масштабирует инвестиционную составляющую (точный расчёт — в таблице ставок выше).</t>
        </is>
      </c>
    </row>
    <row r="52">
      <c r="B52" s="59" t="inlineStr">
        <is>
          <t>•  Все зависимые ячейки (дашборд, сравнение) обновляются при пересчёте книги; в мобильных просмотрщиках без пересчёта показываются кэшированные значения базового сценария.</t>
        </is>
      </c>
    </row>
  </sheetData>
  <mergeCells count="15">
    <mergeCell ref="B50:H50"/>
    <mergeCell ref="B1:K1"/>
    <mergeCell ref="B52:H52"/>
    <mergeCell ref="B48"/>
    <mergeCell ref="D46:H46"/>
    <mergeCell ref="B39:H39"/>
    <mergeCell ref="D40:F40"/>
    <mergeCell ref="B6:H6"/>
    <mergeCell ref="B29:H29"/>
    <mergeCell ref="B33:H33"/>
    <mergeCell ref="B2:K2"/>
    <mergeCell ref="D4:H4"/>
    <mergeCell ref="B51:H51"/>
    <mergeCell ref="B20:H20"/>
    <mergeCell ref="B37:H37"/>
  </mergeCells>
  <dataValidations count="1">
    <dataValidation sqref="C4" showDropDown="0" showInputMessage="0" showErrorMessage="0" allowBlank="0" type="whole" operator="between">
      <formula1>1</formula1>
      <formula2>6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220–240 т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85" t="inlineStr">
        <is>
          <t>12%</t>
        </is>
      </c>
      <c r="D5" s="85" t="inlineStr">
        <is>
          <t>8–16%</t>
        </is>
      </c>
      <c r="E5" s="22" t="inlineStr">
        <is>
          <t>Согласуется с эскалацией</t>
        </is>
      </c>
    </row>
    <row r="6">
      <c r="B6" s="86" t="inlineStr">
        <is>
          <t>Налог на прибыль</t>
        </is>
      </c>
      <c r="C6" s="87" t="inlineStr">
        <is>
          <t>25%</t>
        </is>
      </c>
      <c r="D6" s="87" t="inlineStr">
        <is>
          <t>20–25%</t>
        </is>
      </c>
      <c r="E6" s="86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85" t="inlineStr">
        <is>
          <t>0,85–0,94</t>
        </is>
      </c>
      <c r="D7" s="85" t="inlineStr">
        <is>
          <t>0,80–0,95</t>
        </is>
      </c>
      <c r="E7" s="22" t="inlineStr">
        <is>
          <t>Зависит от бренда и сервиса</t>
        </is>
      </c>
    </row>
    <row r="8">
      <c r="B8" s="86" t="inlineStr">
        <is>
          <t>КИО (использование)</t>
        </is>
      </c>
      <c r="C8" s="87" t="inlineStr">
        <is>
          <t>0,78–0,80</t>
        </is>
      </c>
      <c r="D8" s="87" t="inlineStr">
        <is>
          <t>0,72–0,85</t>
        </is>
      </c>
      <c r="E8" s="86" t="inlineStr">
        <is>
          <t>Доля рабочего времени в КФВ</t>
        </is>
      </c>
    </row>
    <row r="9">
      <c r="B9" s="22" t="inlineStr">
        <is>
          <t>КИГ (использование г/п)</t>
        </is>
      </c>
      <c r="C9" s="85" t="inlineStr">
        <is>
          <t>0,98</t>
        </is>
      </c>
      <c r="D9" s="85" t="inlineStr">
        <is>
          <t>0,90–1,00</t>
        </is>
      </c>
      <c r="E9" s="22" t="inlineStr">
        <is>
          <t>Доля номинальной грузоподъёмности</t>
        </is>
      </c>
    </row>
    <row r="10">
      <c r="B10" s="86" t="inlineStr">
        <is>
          <t>Грузоподъёмность</t>
        </is>
      </c>
      <c r="C10" s="87" t="inlineStr">
        <is>
          <t>211–231</t>
        </is>
      </c>
      <c r="D10" s="87" t="inlineStr">
        <is>
          <t>200–240 т</t>
        </is>
      </c>
      <c r="E10" s="86" t="inlineStr">
        <is>
          <t>Класс 220–240 т</t>
        </is>
      </c>
    </row>
    <row r="11">
      <c r="B11" s="22" t="inlineStr">
        <is>
          <t>Средняя тех. скорость</t>
        </is>
      </c>
      <c r="C11" s="85" t="inlineStr">
        <is>
          <t>22,5</t>
        </is>
      </c>
      <c r="D11" s="85" t="inlineStr">
        <is>
          <t>18–28 км/ч</t>
        </is>
      </c>
      <c r="E11" s="22" t="inlineStr">
        <is>
          <t>Профиль трассы, плечо</t>
        </is>
      </c>
    </row>
    <row r="12">
      <c r="B12" s="86" t="inlineStr">
        <is>
          <t>Расход топлива</t>
        </is>
      </c>
      <c r="C12" s="87" t="inlineStr">
        <is>
          <t>90</t>
        </is>
      </c>
      <c r="D12" s="87" t="inlineStr">
        <is>
          <t>80–110 г/ткм</t>
        </is>
      </c>
      <c r="E12" s="86" t="inlineStr">
        <is>
          <t>Двигатель, плечо, уклоны</t>
        </is>
      </c>
    </row>
    <row r="13">
      <c r="B13" s="22" t="inlineStr">
        <is>
          <t>Шины (удельный расход)</t>
        </is>
      </c>
      <c r="C13" s="85" t="inlineStr">
        <is>
          <t>0,075</t>
        </is>
      </c>
      <c r="D13" s="85" t="inlineStr">
        <is>
          <t>0,05–0,10 шт/тыс.км</t>
        </is>
      </c>
      <c r="E13" s="22" t="inlineStr">
        <is>
          <t>Тип, трасса, давление</t>
        </is>
      </c>
    </row>
    <row r="14">
      <c r="B14" s="86" t="inlineStr">
        <is>
          <t>Срок амортизации (НУ)</t>
        </is>
      </c>
      <c r="C14" s="87" t="inlineStr">
        <is>
          <t>61 мес</t>
        </is>
      </c>
      <c r="D14" s="87" t="inlineStr">
        <is>
          <t>5–7 лет</t>
        </is>
      </c>
      <c r="E14" s="86" t="inlineStr">
        <is>
          <t>Линейная амортизация</t>
        </is>
      </c>
    </row>
    <row r="15">
      <c r="B15" s="22" t="inlineStr">
        <is>
          <t>Остаточная стоимость</t>
        </is>
      </c>
      <c r="C15" s="85" t="inlineStr">
        <is>
          <t>0–10%</t>
        </is>
      </c>
      <c r="D15" s="85" t="inlineStr">
        <is>
          <t>0–20%</t>
        </is>
      </c>
      <c r="E15" s="22" t="inlineStr">
        <is>
          <t>Реализация в конце срока</t>
        </is>
      </c>
    </row>
    <row r="17">
      <c r="B17" s="7" t="inlineStr">
        <is>
          <t>Методические примечания:</t>
        </is>
      </c>
    </row>
    <row r="18">
      <c r="B18" s="83" t="inlineStr">
        <is>
          <t>•  Производительность считается по транспортному циклу (методика листа «Производительность» исходного файла): время рейса = фикс. операции + движение (2·плечо/скорость); объём = рейсы × грузоподъёмность × КИГ.</t>
        </is>
      </c>
    </row>
    <row r="19">
      <c r="B19" s="83" t="inlineStr">
        <is>
          <t>•  ТОиР задаётся по годам (ТО, текущие и капитальные ремонты, сервис) — «рваный» график капремонтов учитывается дисконтированием.</t>
        </is>
      </c>
    </row>
    <row r="20">
      <c r="B20" s="83" t="inlineStr">
        <is>
          <t>•  Цена самосвалов в исходном файле не заполнена — в модель подставлена ОЦЕНКА; замените жёлтые ячейки данными ТКП.</t>
        </is>
      </c>
    </row>
    <row r="21">
      <c r="B21" s="83" t="inlineStr">
        <is>
          <t>•  Значения таблицы — ориентир порядка величин, а не норматив.</t>
        </is>
      </c>
    </row>
  </sheetData>
  <mergeCells count="6">
    <mergeCell ref="B18:I18"/>
    <mergeCell ref="B21:I21"/>
    <mergeCell ref="B2:I2"/>
    <mergeCell ref="B20:I20"/>
    <mergeCell ref="B19:I19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2026-07-31T21:01:19Z</dcterms:created>
  <dcterms:modified xsi:type="dcterms:W3CDTF">2026-07-31T21:01:20Z</dcterms:modified>
</cp:coreProperties>
</file>