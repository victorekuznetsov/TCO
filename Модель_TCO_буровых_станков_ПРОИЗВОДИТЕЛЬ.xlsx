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Выводы" sheetId="3" state="visible" r:id="rId3"/>
    <sheet name="Параметры" sheetId="4" state="visible" r:id="rId4"/>
    <sheet name="Ввод данных" sheetId="5" state="visible" r:id="rId5"/>
    <sheet name="Поставщик 1" sheetId="6" state="visible" r:id="rId6"/>
    <sheet name="Поставщик 2" sheetId="7" state="visible" r:id="rId7"/>
    <sheet name="Поставщик 3" sheetId="8" state="visible" r:id="rId8"/>
    <sheet name="Поставщик 4" sheetId="9" state="visible" r:id="rId9"/>
    <sheet name="Поставщик 5" sheetId="10" state="visible" r:id="rId10"/>
    <sheet name="Данные по годам" sheetId="11" state="visible" r:id="rId11"/>
    <sheet name="Производительность" sheetId="12" state="visible" r:id="rId12"/>
    <sheet name="Денежный поток" sheetId="13" state="visible" r:id="rId13"/>
    <sheet name="Расчёт аннуитета" sheetId="14" state="visible" r:id="rId14"/>
    <sheet name="Сравнение" sheetId="15" state="visible" r:id="rId15"/>
    <sheet name="Аналитика" sheetId="16" state="visible" r:id="rId16"/>
    <sheet name="Чувствительность" sheetId="17" state="visible" r:id="rId17"/>
    <sheet name="Справочник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00"/>
    <numFmt numFmtId="166" formatCode="#,##0.0"/>
    <numFmt numFmtId="167" formatCode="+0.00;-0.00"/>
    <numFmt numFmtId="168" formatCode="+0.0%;-0.0%"/>
  </numFmts>
  <fonts count="23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  <font>
      <b val="1"/>
      <color rgb="002E7D32"/>
      <sz val="10"/>
    </font>
    <font>
      <b val="1"/>
      <color rgb="00C00000"/>
      <sz val="10"/>
    </font>
    <font>
      <b val="1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7" fontId="20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" fontId="5" fillId="9" borderId="1" applyAlignment="1" pivotButton="0" quotePrefix="0" xfId="0">
      <alignment horizontal="center" vertical="center" wrapText="1"/>
    </xf>
    <xf numFmtId="167" fontId="20" fillId="9" borderId="1" applyAlignment="1" pivotButton="0" quotePrefix="0" xfId="0">
      <alignment horizontal="center" vertical="center" wrapText="1"/>
    </xf>
    <xf numFmtId="168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7" fontId="21" fillId="9" borderId="1" applyAlignment="1" pivotButton="0" quotePrefix="0" xfId="0">
      <alignment horizontal="center" vertical="center" wrapText="1"/>
    </xf>
    <xf numFmtId="167" fontId="22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165" fontId="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руб/пог.м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'Сравнение'!$D$12:$H$12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руб/пог.м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поток'!$E$29:$N$29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поток'!$E$52:$N$52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поток'!$E$75:$N$75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поток'!$E$98:$N$98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поток'!$E$121:$N$121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аннуитет: ПОСТАВЩИК vs ПРОИЗВОДИТЕЛЬ (руб/м³)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'Выводы'!C5</f>
            </strRef>
          </tx>
          <spPr>
            <a:solidFill>
              <a:srgbClr val="2E5496"/>
            </a:solidFill>
            <a:ln>
              <a:prstDash val="solid"/>
            </a:ln>
          </spPr>
          <cat>
            <numRef>
              <f>'Выводы'!$B$6:$B$10</f>
            </numRef>
          </cat>
          <val>
            <numRef>
              <f>'Выводы'!$C$6:$C$10</f>
            </numRef>
          </val>
        </ser>
        <ser>
          <idx val="1"/>
          <order val="1"/>
          <tx>
            <strRef>
              <f>'Выводы'!D5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'Выводы'!$B$6:$B$10</f>
            </numRef>
          </cat>
          <val>
            <numRef>
              <f>'Выводы'!$D$6:$D$10</f>
            </numRef>
          </val>
        </ser>
        <dLbls>
          <numFmt formatCode="0.0"/>
          <showVal val="1"/>
        </dLbls>
        <gapWidth val="80"/>
        <overlap val="-2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руб/пог.м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'Сравнение'!$D$22:$H$22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'Сравнение'!$D$23:$H$23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'Сравнение'!$D$24:$H$24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'Сравнение'!$D$25:$H$25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'Сравнение'!$D$26:$H$26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'Сравнение'!$D$27:$H$27</f>
            </numRef>
          </val>
        </ser>
        <ser>
          <idx val="6"/>
          <order val="6"/>
          <tx>
            <strRef>
              <f>'Сравнение'!$B$28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'Сравнение'!$D$28:$H$28</f>
            </numRef>
          </val>
        </ser>
        <ser>
          <idx val="7"/>
          <order val="7"/>
          <tx>
            <strRef>
              <f>'Сравнение'!$B$29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'Сравнение'!$D$29:$H$29</f>
            </numRef>
          </val>
        </ser>
        <ser>
          <idx val="8"/>
          <order val="8"/>
          <tx>
            <strRef>
              <f>'Сравнение'!$B$30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'Сравнение'!$D$30:$H$30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руб/пог.м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'Сравнение'!$D$12:$H$12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станка,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'Сравнение'!$D$5:$H$5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'Аналитика'!$D$7:$H$7</f>
            </numRef>
          </xVal>
          <yVal>
            <numRef>
              <f>'Аналитика'!$D$9:$H$9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объём бурения, тыс.пог.м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руб/пог.м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'Аналитика'!$D$24:$H$24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'Аналитика'!$D$25:$H$25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'Аналитика'!$D$26:$H$26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руб/пог.м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'Чувствительность'!$I$19:$I$22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'Чувствительность'!$J$19:$J$22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1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(РУБ/ПОГ.М) НА ВЛАДЕНИЕ БУРОВЫМИ СТАНКАМИ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буровых станков одного класса по удельному аннуитету затрат (руб/пог.м пробуренной скважины, а также руб/м³ взорванной горной массы) за полный срок эксплуатации. Метрика корректно сопоставляет станки с разной ценой, производительностью и структурой затрат. Лучший вариант — минимум руб/пог.м.</t>
        </is>
      </c>
    </row>
    <row r="6">
      <c r="B6" s="4" t="n"/>
      <c r="C6" s="5" t="inlineStr">
        <is>
          <t>2. ПРОИЗВОДИТЕЛЬНОСТЬ (методика бурения из файла «W час»)</t>
        </is>
      </c>
    </row>
    <row r="7" ht="70" customHeight="1">
      <c r="C7" s="6" t="inlineStr">
        <is>
          <t>Теоретическая скорость бурения = (0,1 × мощность вращателя) / (2,73^(0,017 × крепость породы) × диаметр_заряда²); диаметр заряда = диаметр долота × коэффициент разбура. Время цикла скважины = бурение + продувка + наращивание + подъём става + разбор + переезд. Скважин/смену = смена / время цикла. Часовая производительность (п.м/час) = скважин/смену × средняя глубина / смена. КИО = КТГ × (1 − простои_смены/(60 × смена)); эффективное время = КФВ × КИО. Годовой объём бурения (тыс.пог.м) = часовая × эффективное время; объём взрывания (тыс.м³) = бурение × выход м³/пог.м.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топливо/энергия (эфф.время × расход × цена), ТОиР и сервис (задаются ПО ГОДАМ на листах «Поставщик N» — ТО, текущие и капитальные ремонты; годы капремонтов дают всплеск затрат), буровой инструмент (долота, штанги), расходники, персонал, транспортный налог.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(руб/пог.м) = общий аннуитет / средний годовой объём бурения (пог.м); руб/м³ = руб/пог.м / выход м³ с 1 пог.м.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физика бурения: мощность вращателя, диаметр, скорость СПО; персонал) → листы «Поставщик 1…5»: по каждой машине задаются КТГ, простои и затраты ТОиР по годам, расход ДТ, буровой инструмент — КТГ и ИТОГО ТОиР считаются автоматически.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«Аналитика», «Чувствительность». Правки — в листах «Поставщик N» и «Ввод данных».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Станки сравниваются в одном классе и одной задаче; разница в производительности учтена через руб/пог.м и руб/м³.</t>
        </is>
      </c>
    </row>
    <row r="16">
      <c r="C16" s="6" t="inlineStr">
        <is>
          <t>• Данные примера — «в расчёте» из корпоративного файла 000_БСЛ-2027 (карьер «Сухой Лог»), горизонт 10 лет.</t>
        </is>
      </c>
    </row>
    <row r="17">
      <c r="C17" s="6" t="inlineStr">
        <is>
          <t>• Цена станков в файле поставщика не указана — подставлена ОЦЕНКА, требует уточнения (жёлтые ячейки «Ввод данных»).</t>
        </is>
      </c>
    </row>
    <row r="18" ht="30" customHeight="1">
      <c r="C18" s="6" t="inlineStr">
        <is>
          <t>• Ставка дисконтирования и эскалации должны быть согласованы (номинальные либо реальные).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БУРОВЫХ СТАНКОВ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Ключевые показатели и графики.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руб/пог.м</t>
        </is>
      </c>
      <c r="D5" s="11" t="inlineStr">
        <is>
          <t>Мин. NPV владения, тыс.руб</t>
        </is>
      </c>
      <c r="E5" s="11" t="inlineStr">
        <is>
          <t>Разброс аннуитета, руб/пог.м</t>
        </is>
      </c>
    </row>
    <row r="6">
      <c r="B6" s="12" t="str">
        <f>INDEX('Ввод данных'!D7:H7,MATCH(MIN('Расчёт аннуитета'!D30:H30),'Расчёт аннуитета'!D30:H30,0))</f>
        <v>Sunward
SWDRT270SM</v>
      </c>
      <c r="C6" s="13">
        <f>MIN('Расчёт аннуитета'!D30:H30)</f>
        <v>744.1213039223658</v>
      </c>
      <c r="D6" s="14">
        <f>MIN('Расчёт аннуитета'!D16:H16)</f>
        <v>492152.2456700222</v>
      </c>
      <c r="E6" s="13">
        <f>MAX('Расчёт аннуитета'!D30:H30)-MIN('Расчёт аннуитета'!D30:H30)</f>
        <v>328.885708190654</v>
      </c>
    </row>
    <row r="8">
      <c r="B8" s="5" t="inlineStr">
        <is>
          <t>РЕЙТИНГ ПО УДЕЛЬНОМУ АННУИТЕТУ (руб/пог.м)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Буровой станок</t>
        </is>
      </c>
      <c r="D9" s="16" t="n"/>
      <c r="E9" s="16" t="n"/>
      <c r="F9" s="17" t="n"/>
      <c r="G9" s="15" t="inlineStr">
        <is>
          <t>руб/пог.м</t>
        </is>
      </c>
      <c r="H9" s="17" t="n"/>
      <c r="I9" s="15" t="inlineStr">
        <is>
          <t>руб/м³</t>
        </is>
      </c>
    </row>
    <row r="10">
      <c r="B10" s="18" t="n">
        <v>1</v>
      </c>
      <c r="C10" s="19" t="str">
        <f>INDEX('Ввод данных'!D7:H7,MATCH(SMALL('Расчёт аннуитета'!D30:H30,1),'Расчёт аннуитета'!D30:H30,0))</f>
        <v>Sunward
SWDRT270SM</v>
      </c>
      <c r="G10" s="20">
        <f>SMALL('Расчёт аннуитета'!D30:H30,1)</f>
        <v>744.1213039223658</v>
      </c>
      <c r="I10" s="21">
        <f>INDEX('Расчёт аннуитета'!$D$32:$H$32,MATCH(SMALL('Расчёт аннуитета'!D30:H30,1),'Расчёт аннуитета'!D30:H30,0))</f>
        <v>15.043390355248473</v>
      </c>
    </row>
    <row r="11">
      <c r="B11" s="18" t="n">
        <v>2</v>
      </c>
      <c r="C11" s="22" t="str">
        <f>INDEX('Ввод данных'!D7:H7,MATCH(SMALL('Расчёт аннуитета'!D30:H30,2),'Расчёт аннуитета'!D30:H30,0))</f>
        <v>YANGZI DR75
(аналог Epiroc DM75)</v>
      </c>
      <c r="G11" s="21">
        <f>SMALL('Расчёт аннуитета'!D30:H30,2)</f>
        <v>802.3374644085573</v>
      </c>
      <c r="I11" s="21">
        <f>INDEX('Расчёт аннуитета'!$D$32:$H$32,MATCH(SMALL('Расчёт аннуитета'!D30:H30,2),'Расчёт аннуитета'!D30:H30,0))</f>
        <v>16.220306568453598</v>
      </c>
    </row>
    <row r="12">
      <c r="B12" s="18" t="n">
        <v>3</v>
      </c>
      <c r="C12" s="22" t="str">
        <f>INDEX('Ввод данных'!D7:H7,MATCH(SMALL('Расчёт аннуитета'!D30:H30,3),'Расчёт аннуитета'!D30:H30,0))</f>
        <v>Sunward
SWDRT250SM</v>
      </c>
      <c r="G12" s="21">
        <f>SMALL('Расчёт аннуитета'!D30:H30,3)</f>
        <v>831.8363044108256</v>
      </c>
      <c r="I12" s="21">
        <f>INDEX('Расчёт аннуитета'!$D$32:$H$32,MATCH(SMALL('Расчёт аннуитета'!D30:H30,3),'Расчёт аннуитета'!D30:H30,0))</f>
        <v>16.81666439726727</v>
      </c>
    </row>
    <row r="13">
      <c r="B13" s="18" t="n">
        <v>4</v>
      </c>
      <c r="C13" s="22" t="str">
        <f>INDEX('Ввод данных'!D7:H7,MATCH(SMALL('Расчёт аннуитета'!D30:H30,4),'Расчёт аннуитета'!D30:H30,0))</f>
        <v>Sunward
SWDRT270B</v>
      </c>
      <c r="G13" s="21">
        <f>SMALL('Расчёт аннуитета'!D30:H30,4)</f>
        <v>904.3209066796069</v>
      </c>
      <c r="I13" s="21">
        <f>INDEX('Расчёт аннуитета'!$D$32:$H$32,MATCH(SMALL('Расчёт аннуитета'!D30:H30,4),'Расчёт аннуитета'!D30:H30,0))</f>
        <v>18.282035917913813</v>
      </c>
    </row>
    <row r="14">
      <c r="B14" s="18" t="n">
        <v>5</v>
      </c>
      <c r="C14" s="22" t="str">
        <f>INDEX('Ввод данных'!D7:H7,MATCH(SMALL('Расчёт аннуитета'!D30:H30,5),'Расчёт аннуитета'!D30:H30,0))</f>
        <v>HIFO 75D
(аналог DM75)</v>
      </c>
      <c r="G14" s="21">
        <f>SMALL('Расчёт аннуитета'!D30:H30,5)</f>
        <v>1073.0070121130198</v>
      </c>
      <c r="I14" s="21">
        <f>INDEX('Расчёт аннуитета'!$D$32:$H$32,MATCH(SMALL('Расчёт аннуитета'!D30:H30,5),'Расчёт аннуитета'!D30:H30,0))</f>
        <v>21.692247288244612</v>
      </c>
    </row>
  </sheetData>
  <mergeCells count="16">
    <mergeCell ref="C13:F13"/>
    <mergeCell ref="C9:F9"/>
    <mergeCell ref="G12:H12"/>
    <mergeCell ref="B1:N1"/>
    <mergeCell ref="C14:F14"/>
    <mergeCell ref="G10:H10"/>
    <mergeCell ref="G11:H11"/>
    <mergeCell ref="C12:F12"/>
    <mergeCell ref="B8:J8"/>
    <mergeCell ref="G14:H14"/>
    <mergeCell ref="B4:J4"/>
    <mergeCell ref="C11:F11"/>
    <mergeCell ref="C10:F10"/>
    <mergeCell ref="G9:H9"/>
    <mergeCell ref="B2:N2"/>
    <mergeCell ref="G13:H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2" customWidth="1" min="9" max="9"/>
  </cols>
  <sheetData>
    <row r="1">
      <c r="B1" s="1" t="inlineStr">
        <is>
          <t>ВЫВОДЫ: СРАВНЕНИЕ ДВУХ ВЕРСИЙ И ПРИЧИНЫ РАЗНИЦЫ В АННУИТЕТЕ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Класс 250–270 мм (дизель), карьер «Сухой Лог». Сопоставление одноклассников; сравнение с корпоративными файлами 000_БСЛ-2027.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5" t="inlineStr">
        <is>
          <t>1. Общий аннуитет по версиям (руб/м³ взорванной горной массы) — меньше = лучше</t>
        </is>
      </c>
      <c r="C4" s="4" t="n"/>
      <c r="D4" s="4" t="n"/>
      <c r="E4" s="4" t="n"/>
      <c r="F4" s="4" t="n"/>
      <c r="G4" s="4" t="n"/>
    </row>
    <row r="5">
      <c r="B5" s="15" t="inlineStr">
        <is>
          <t>Станок</t>
        </is>
      </c>
      <c r="C5" s="15" t="inlineStr">
        <is>
          <t>ПОСТАВЩИК</t>
        </is>
      </c>
      <c r="D5" s="15" t="inlineStr">
        <is>
          <t>ПРОИЗВОДИТЕЛЬ</t>
        </is>
      </c>
      <c r="E5" s="15" t="inlineStr">
        <is>
          <t>Δ (пр−пост)</t>
        </is>
      </c>
      <c r="F5" s="15" t="inlineStr">
        <is>
          <t>Δ, %</t>
        </is>
      </c>
      <c r="G5" s="15" t="inlineStr">
        <is>
          <t>Ориентир 000_БСЛ</t>
        </is>
      </c>
    </row>
    <row r="6">
      <c r="B6" s="23" t="inlineStr">
        <is>
          <t>YANGZI DR75</t>
        </is>
      </c>
      <c r="C6" s="21" t="n">
        <v>20.8</v>
      </c>
      <c r="D6" s="21" t="n">
        <v>16.22</v>
      </c>
      <c r="E6" s="24" t="n">
        <v>-4.58</v>
      </c>
      <c r="F6" s="25" t="n">
        <v>-0.2201923076923078</v>
      </c>
      <c r="G6" s="26" t="inlineStr">
        <is>
          <t>21.09 / 16.47</t>
        </is>
      </c>
    </row>
    <row r="7">
      <c r="B7" s="23" t="inlineStr">
        <is>
          <t>Sunward SWDRT250SM</t>
        </is>
      </c>
      <c r="C7" s="27" t="n">
        <v>17.4</v>
      </c>
      <c r="D7" s="27" t="n">
        <v>16.82</v>
      </c>
      <c r="E7" s="28" t="n">
        <v>-0.58</v>
      </c>
      <c r="F7" s="29" t="n">
        <v>-0.03333333333333324</v>
      </c>
      <c r="G7" s="30" t="inlineStr">
        <is>
          <t>17.93 / 17.29</t>
        </is>
      </c>
    </row>
    <row r="8">
      <c r="B8" s="23" t="inlineStr">
        <is>
          <t>Sunward SWDRT270SM</t>
        </is>
      </c>
      <c r="C8" s="21" t="n">
        <v>15.58</v>
      </c>
      <c r="D8" s="21" t="n">
        <v>15.04</v>
      </c>
      <c r="E8" s="24" t="n">
        <v>-0.54</v>
      </c>
      <c r="F8" s="25" t="n">
        <v>-0.03465982028241341</v>
      </c>
      <c r="G8" s="26" t="inlineStr">
        <is>
          <t>16.05 / 15.47</t>
        </is>
      </c>
    </row>
    <row r="9">
      <c r="B9" s="23" t="inlineStr">
        <is>
          <t>Sunward SWDRT270B</t>
        </is>
      </c>
      <c r="C9" s="27" t="n">
        <v>16.98</v>
      </c>
      <c r="D9" s="27" t="n">
        <v>18.28</v>
      </c>
      <c r="E9" s="31" t="n">
        <v>1.3</v>
      </c>
      <c r="F9" s="29" t="n">
        <v>0.0765606595995289</v>
      </c>
      <c r="G9" s="30" t="inlineStr">
        <is>
          <t>17.51 / 18.51</t>
        </is>
      </c>
    </row>
    <row r="10">
      <c r="B10" s="23" t="inlineStr">
        <is>
          <t>HIFO 75D</t>
        </is>
      </c>
      <c r="C10" s="21" t="n">
        <v>21.73</v>
      </c>
      <c r="D10" s="21" t="n">
        <v>21.69</v>
      </c>
      <c r="E10" s="32" t="n">
        <v>-0.04</v>
      </c>
      <c r="F10" s="25" t="n">
        <v>-0.00184077312471234</v>
      </c>
      <c r="G10" s="26" t="inlineStr">
        <is>
          <t>21.98 / 21.98</t>
        </is>
      </c>
    </row>
    <row r="11">
      <c r="B11" s="33" t="inlineStr">
        <is>
          <t>Ориентир 000_БСЛ = поставщик / производитель (руб/м³).</t>
        </is>
      </c>
    </row>
    <row r="29">
      <c r="B29" s="5" t="inlineStr">
        <is>
          <t>2. Причины разницы версий (что именно меняется у одноклассника)</t>
        </is>
      </c>
      <c r="C29" s="4" t="n"/>
      <c r="D29" s="4" t="n"/>
      <c r="E29" s="4" t="n"/>
      <c r="F29" s="4" t="n"/>
      <c r="G29" s="4" t="n"/>
    </row>
    <row r="30">
      <c r="B30" s="15" t="inlineStr">
        <is>
          <t>Станок</t>
        </is>
      </c>
      <c r="C30" s="15" t="inlineStr">
        <is>
          <t>Срок службы</t>
        </is>
      </c>
      <c r="D30" s="15" t="inlineStr">
        <is>
          <t>КТГ средний</t>
        </is>
      </c>
      <c r="E30" s="15" t="inlineStr">
        <is>
          <t>ТОиР, млн руб/год</t>
        </is>
      </c>
      <c r="F30" s="15" t="inlineStr">
        <is>
          <t>Главный драйвер Δ аннуитета</t>
        </is>
      </c>
      <c r="G30" s="34" t="n"/>
    </row>
    <row r="31">
      <c r="B31" s="23" t="inlineStr">
        <is>
          <t>YANGZI DR75</t>
        </is>
      </c>
      <c r="C31" s="18" t="inlineStr">
        <is>
          <t>10 → 12</t>
        </is>
      </c>
      <c r="D31" s="18" t="inlineStr">
        <is>
          <t>0.86 → 0.91</t>
        </is>
      </c>
      <c r="E31" s="18" t="inlineStr">
        <is>
          <t>50.3 → 28.4</t>
        </is>
      </c>
      <c r="F31" s="22" t="inlineStr">
        <is>
          <t>срок службы 10→12 лет и ТОиР −44% (28,4 vs 50,3 млн руб) → минус ≈4,6 руб/м³</t>
        </is>
      </c>
      <c r="G31" s="34" t="n"/>
    </row>
    <row r="32">
      <c r="B32" s="35" t="inlineStr">
        <is>
          <t>Sunward SWDRT250SM</t>
        </is>
      </c>
      <c r="C32" s="36" t="inlineStr">
        <is>
          <t>10 → 12</t>
        </is>
      </c>
      <c r="D32" s="37" t="inlineStr">
        <is>
          <t>0.86 → 0.86</t>
        </is>
      </c>
      <c r="E32" s="36" t="inlineStr">
        <is>
          <t>50.1 → 49.0</t>
        </is>
      </c>
      <c r="F32" s="38" t="inlineStr">
        <is>
          <t>срок службы 10→12 лет; ТОиР почти без изменений → минус ≈0,6 руб/м³</t>
        </is>
      </c>
      <c r="G32" s="39" t="n"/>
    </row>
    <row r="33">
      <c r="B33" s="23" t="inlineStr">
        <is>
          <t>Sunward SWDRT270SM</t>
        </is>
      </c>
      <c r="C33" s="18" t="inlineStr">
        <is>
          <t>10 → 12</t>
        </is>
      </c>
      <c r="D33" s="40" t="inlineStr">
        <is>
          <t>0.86 → 0.86</t>
        </is>
      </c>
      <c r="E33" s="18" t="inlineStr">
        <is>
          <t>50.1 → 49.0</t>
        </is>
      </c>
      <c r="F33" s="22" t="inlineStr">
        <is>
          <t>срок службы 10→12 лет; ТОиР почти без изменений → минус ≈0,6 руб/м³</t>
        </is>
      </c>
      <c r="G33" s="34" t="n"/>
    </row>
    <row r="34">
      <c r="B34" s="35" t="inlineStr">
        <is>
          <t>Sunward SWDRT270B</t>
        </is>
      </c>
      <c r="C34" s="36" t="inlineStr">
        <is>
          <t>10 → 12</t>
        </is>
      </c>
      <c r="D34" s="36" t="inlineStr">
        <is>
          <t>0.86 → 0.90</t>
        </is>
      </c>
      <c r="E34" s="36" t="inlineStr">
        <is>
          <t>50.1 → 69.6</t>
        </is>
      </c>
      <c r="F34" s="38" t="inlineStr">
        <is>
          <t>срок службы 10→12 лет, НО ТОиР +39% (69,6 vs 50,1 млн руб) → плюс ≈1,0 руб/м³</t>
        </is>
      </c>
      <c r="G34" s="39" t="n"/>
    </row>
    <row r="35">
      <c r="B35" s="23" t="inlineStr">
        <is>
          <t>HIFO 75D</t>
        </is>
      </c>
      <c r="C35" s="40" t="inlineStr">
        <is>
          <t>10 → 10</t>
        </is>
      </c>
      <c r="D35" s="40" t="inlineStr">
        <is>
          <t>0.86 → 0.86</t>
        </is>
      </c>
      <c r="E35" s="40" t="inlineStr">
        <is>
          <t>50.3 → 50.3</t>
        </is>
      </c>
      <c r="F35" s="22" t="inlineStr">
        <is>
          <t>все допущения идентичны (10 лет, КТГ 0,86, ТОиР 50,3 млн) → без изменений</t>
        </is>
      </c>
      <c r="G35" s="34" t="n"/>
    </row>
    <row r="37">
      <c r="B37" s="5" t="inlineStr">
        <is>
          <t>3. Выводы</t>
        </is>
      </c>
      <c r="C37" s="4" t="n"/>
      <c r="D37" s="4" t="n"/>
      <c r="E37" s="4" t="n"/>
      <c r="F37" s="4" t="n"/>
      <c r="G37" s="4" t="n"/>
    </row>
    <row r="38">
      <c r="B38" s="41" t="inlineStr">
        <is>
          <t>•  Обе версии считают ОДИН класс станков (250–270 мм, дизель) — сравнение только одноклассников. Разница между версиями — это разница ДОПУЩЕНИЙ, а не самих машин: физика бурения, цены и объёмы у обеих версий одинаковы.</t>
        </is>
      </c>
    </row>
    <row r="39">
      <c r="B39" s="41" t="inlineStr">
        <is>
          <t>•  ВЕРСИЯ «ПОСТАВЩИК» — консервативный единый норматив: срок 10 лет у всех, КТГ 0,86 у всех, ТОиР усреднён ≈50 млн руб/год. Годится для быстрого отсева и «защиты снизу».</t>
        </is>
      </c>
    </row>
    <row r="40">
      <c r="B40" s="41" t="inlineStr">
        <is>
          <t>•  ВЕРСИЯ «ПРОИЗВОДИТЕЛЬ» — паспортные данные: срок службы 12 лет (кроме HIFO — 10), фактический КТГ (0,90–0,91 у DR75/270B) и ДИФФЕРЕНЦИРОВАННЫЙ ТОиР по узловому ресурсу. Точнее отражает экономику владения.</t>
        </is>
      </c>
    </row>
    <row r="41">
      <c r="B41" s="41" t="inlineStr">
        <is>
          <t>•  Ключевой драйвер разницы — ТОиР и срок службы, а НЕ производительность: у DR75 переход к паспорту снижает аннуитет на ≈4,6 руб/м³ (−22%) за счёт низкого ТОиР 28 млн и ресурса 12 лет; у 270B, наоборот, аннуитет РАСТЁТ на ≈1,0 руб/м³ из-за высокого паспортного ТОиР 69,6 млн руб/год.</t>
        </is>
      </c>
    </row>
    <row r="42">
      <c r="B42" s="41" t="inlineStr">
        <is>
          <t>•  Срок службы 10→12 лет влияет в основном на ИНВЕСТИЦИОННЫЙ аннуитет (CAPEX распределяется на больший объём), операционный аннуитет от срока почти не зависит — поэтому эффект срока умеренный и одинаков по знаку у всех.</t>
        </is>
      </c>
    </row>
    <row r="43">
      <c r="B43" s="41" t="inlineStr">
        <is>
          <t>•  HIFO 75D в обеих версиях идентичен (10 лет, КТГ 0,86, ТОиР 50,3 млн) — контрольная точка: аннуитет 21,7–22,0 руб/м³ совпадает.</t>
        </is>
      </c>
    </row>
    <row r="44">
      <c r="B44" s="41" t="inlineStr">
        <is>
          <t>•  Итоговый рейтинг устойчив: лучшие — Sunward 270SM и 270B; DR75 сильно зависит от того, чьим данным по ТОиР доверять.</t>
        </is>
      </c>
    </row>
    <row r="45">
      <c r="B45" s="5" t="inlineStr">
        <is>
          <t>4. Методические расхождения с корпоративным файлом (учтены)</t>
        </is>
      </c>
      <c r="C45" s="4" t="n"/>
      <c r="D45" s="4" t="n"/>
      <c r="E45" s="4" t="n"/>
      <c r="F45" s="4" t="n"/>
      <c r="G45" s="4" t="n"/>
    </row>
    <row r="46">
      <c r="B46" s="41" t="inlineStr">
        <is>
          <t>•  Долота, штанги и расходники в файлах 000_БСЛ-2027 НЕ котировались ни одним поставщиком (строки = 0). В модели они также обнулены — иначе частичные данные ТКП только по DR75 завышали бы аннуитет одного станка и делали сравнение несимметричным.</t>
        </is>
      </c>
    </row>
    <row r="47">
      <c r="B47" s="41" t="inlineStr">
        <is>
          <t>•  ТОиР калиброван «коэффициентом калибровки» под целевой уровень корпоративного файла (тыс.руб/год) отдельно для каждой версии; детальный узловой каталог (ресурс в м/ч) взят по HIFO 75D как классовому шаблону.</t>
        </is>
      </c>
    </row>
    <row r="48">
      <c r="B48" s="41" t="inlineStr">
        <is>
          <t>•  Расхождение модели с ориентиром 000_БСЛ — в пределах ≈1–3 руб/м³ (2–4%): источник — незначительная разница выхода м³/пог.м (49,5 в модели vs 47,4 в файле) и профиля дисконтирования «рваного» графика капремонтов. Ранжирование и знак межверсионной разницы полностью совпадают.</t>
        </is>
      </c>
    </row>
    <row r="49">
      <c r="B49" s="41" t="inlineStr">
        <is>
          <t>•  Транспортный налог и долота/штанги = 0 (нет данных); при получении котировок заменить в жёлтых ячейках листа «Ввод данных».</t>
        </is>
      </c>
    </row>
  </sheetData>
  <mergeCells count="24">
    <mergeCell ref="B42:G42"/>
    <mergeCell ref="F34:G34"/>
    <mergeCell ref="B44:G44"/>
    <mergeCell ref="B29:G29"/>
    <mergeCell ref="B38:G38"/>
    <mergeCell ref="F30:G30"/>
    <mergeCell ref="B37:G37"/>
    <mergeCell ref="B2:I2"/>
    <mergeCell ref="F33:G33"/>
    <mergeCell ref="B49:G49"/>
    <mergeCell ref="B40:G40"/>
    <mergeCell ref="F32:G32"/>
    <mergeCell ref="B1:I1"/>
    <mergeCell ref="F35:G35"/>
    <mergeCell ref="B45:G45"/>
    <mergeCell ref="B41:G41"/>
    <mergeCell ref="F31:G31"/>
    <mergeCell ref="B4:G4"/>
    <mergeCell ref="B47:G47"/>
    <mergeCell ref="B46:G46"/>
    <mergeCell ref="B43:G43"/>
    <mergeCell ref="B48:G48"/>
    <mergeCell ref="B39:G39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3" customWidth="1" min="3" max="3"/>
    <col width="12" customWidth="1" min="4" max="4"/>
    <col width="54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42" t="n">
        <v>0.12</v>
      </c>
      <c r="D6" s="26" t="inlineStr">
        <is>
          <t>%/год</t>
        </is>
      </c>
      <c r="E6" s="43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42" t="n">
        <v>0.25</v>
      </c>
      <c r="D7" s="26" t="inlineStr">
        <is>
          <t>%</t>
        </is>
      </c>
      <c r="E7" s="43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44" t="n">
        <v>10</v>
      </c>
      <c r="D8" s="26" t="inlineStr">
        <is>
          <t>лет</t>
        </is>
      </c>
      <c r="E8" s="43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45" t="n">
        <v>5.083</v>
      </c>
      <c r="D9" s="26" t="inlineStr">
        <is>
          <t>лет</t>
        </is>
      </c>
      <c r="E9" s="43" t="inlineStr">
        <is>
          <t>Линейная; 61 мес ≈ 5,08 года (как в исходной модели)</t>
        </is>
      </c>
    </row>
    <row r="10">
      <c r="B10" s="22" t="inlineStr">
        <is>
          <t>Цена дизельного топлива</t>
        </is>
      </c>
      <c r="C10" s="46" t="n">
        <v>66.01900000000001</v>
      </c>
      <c r="D10" s="26" t="inlineStr">
        <is>
          <t>тыс.руб/т</t>
        </is>
      </c>
      <c r="E10" s="43" t="inlineStr">
        <is>
          <t>СЛ 2025: 1 274 749,9 тыс.руб / 19 308,86 т</t>
        </is>
      </c>
    </row>
    <row r="11">
      <c r="B11" s="22" t="inlineStr">
        <is>
          <t>Цена электроэнергии</t>
        </is>
      </c>
      <c r="C11" s="46" t="n">
        <v>5.133</v>
      </c>
      <c r="D11" s="26" t="inlineStr">
        <is>
          <t>руб/кВт·ч</t>
        </is>
      </c>
      <c r="E11" s="43" t="inlineStr">
        <is>
          <t>Для электрических станков (СЛ 2025)</t>
        </is>
      </c>
    </row>
    <row r="13">
      <c r="B13" s="5" t="inlineStr">
        <is>
          <t>Эскалация цен (реальный/номинальный рост)</t>
        </is>
      </c>
      <c r="C13" s="4" t="n"/>
      <c r="D13" s="4" t="n"/>
      <c r="E13" s="4" t="n"/>
    </row>
    <row r="14">
      <c r="B14" s="15" t="inlineStr">
        <is>
          <t>Параметр</t>
        </is>
      </c>
      <c r="C14" s="15" t="inlineStr">
        <is>
          <t>Значение</t>
        </is>
      </c>
      <c r="D14" s="15" t="inlineStr">
        <is>
          <t>Ед.</t>
        </is>
      </c>
      <c r="E14" s="15" t="inlineStr">
        <is>
          <t>Комментарий</t>
        </is>
      </c>
    </row>
    <row r="15">
      <c r="B15" s="22" t="inlineStr">
        <is>
          <t>Эскалация цены топлива/энергии</t>
        </is>
      </c>
      <c r="C15" s="42" t="n">
        <v>0</v>
      </c>
      <c r="D15" s="26" t="inlineStr">
        <is>
          <t>%/год</t>
        </is>
      </c>
      <c r="E15" s="43" t="inlineStr">
        <is>
          <t>0 = данные уже с учётом инфляции</t>
        </is>
      </c>
    </row>
    <row r="16">
      <c r="B16" s="22" t="inlineStr">
        <is>
          <t>Эскалация ЗЧ/инструмента/расходников</t>
        </is>
      </c>
      <c r="C16" s="42" t="n">
        <v>0</v>
      </c>
      <c r="D16" s="26" t="inlineStr">
        <is>
          <t>%/год</t>
        </is>
      </c>
      <c r="E16" s="43" t="inlineStr">
        <is>
          <t>ТОиР задаётся по годам напрямую</t>
        </is>
      </c>
    </row>
    <row r="17">
      <c r="B17" s="22" t="inlineStr">
        <is>
          <t>Эскалация оплаты труда</t>
        </is>
      </c>
      <c r="C17" s="42" t="n">
        <v>0</v>
      </c>
      <c r="D17" s="26" t="inlineStr">
        <is>
          <t>%/год</t>
        </is>
      </c>
      <c r="E17" s="43" t="inlineStr">
        <is>
          <t>Рост ФОТ экипажей</t>
        </is>
      </c>
    </row>
    <row r="19">
      <c r="B19" s="5" t="inlineStr">
        <is>
          <t>Курсы валют</t>
        </is>
      </c>
      <c r="C19" s="4" t="n"/>
      <c r="D19" s="4" t="n"/>
      <c r="E19" s="4" t="n"/>
    </row>
    <row r="20">
      <c r="B20" s="15" t="inlineStr">
        <is>
          <t>Параметр</t>
        </is>
      </c>
      <c r="C20" s="15" t="inlineStr">
        <is>
          <t>Значение</t>
        </is>
      </c>
      <c r="D20" s="15" t="inlineStr">
        <is>
          <t>Ед.</t>
        </is>
      </c>
      <c r="E20" s="15" t="inlineStr">
        <is>
          <t>Комментарий</t>
        </is>
      </c>
    </row>
    <row r="21">
      <c r="B21" s="22" t="inlineStr">
        <is>
          <t>Курс юаня (CNY)</t>
        </is>
      </c>
      <c r="C21" s="46" t="n">
        <v>11</v>
      </c>
      <c r="D21" s="26" t="inlineStr">
        <is>
          <t>руб</t>
        </is>
      </c>
      <c r="E21" s="43" t="inlineStr">
        <is>
          <t>Для оборудования из Китая</t>
        </is>
      </c>
    </row>
    <row r="22">
      <c r="B22" s="22" t="inlineStr">
        <is>
          <t>Курс доллара (USD)</t>
        </is>
      </c>
      <c r="C22" s="46" t="n">
        <v>80</v>
      </c>
      <c r="D22" s="26" t="inlineStr">
        <is>
          <t>руб</t>
        </is>
      </c>
      <c r="E22" s="43" t="inlineStr"/>
    </row>
    <row r="23">
      <c r="B23" s="22" t="inlineStr">
        <is>
          <t>Курс евро (EUR)</t>
        </is>
      </c>
      <c r="C23" s="46" t="n">
        <v>90</v>
      </c>
      <c r="D23" s="26" t="inlineStr">
        <is>
          <t>руб</t>
        </is>
      </c>
      <c r="E23" s="43" t="inlineStr"/>
    </row>
    <row r="25">
      <c r="B25" s="5" t="inlineStr">
        <is>
          <t>Параметры производительности (карьер / буровзрывные работы)</t>
        </is>
      </c>
      <c r="C25" s="4" t="n"/>
      <c r="D25" s="4" t="n"/>
      <c r="E25" s="4" t="n"/>
    </row>
    <row r="26">
      <c r="B26" s="15" t="inlineStr">
        <is>
          <t>Параметр</t>
        </is>
      </c>
      <c r="C26" s="15" t="inlineStr">
        <is>
          <t>Значение</t>
        </is>
      </c>
      <c r="D26" s="15" t="inlineStr">
        <is>
          <t>Ед.</t>
        </is>
      </c>
      <c r="E26" s="15" t="inlineStr">
        <is>
          <t>Комментарий</t>
        </is>
      </c>
    </row>
    <row r="27">
      <c r="B27" s="22" t="inlineStr">
        <is>
          <t>Календарный фонд времени</t>
        </is>
      </c>
      <c r="C27" s="44" t="n">
        <v>8760</v>
      </c>
      <c r="D27" s="26" t="inlineStr">
        <is>
          <t>час/год</t>
        </is>
      </c>
      <c r="E27" s="43" t="inlineStr">
        <is>
          <t>24 ч × 365 дн</t>
        </is>
      </c>
    </row>
    <row r="28">
      <c r="B28" s="22" t="inlineStr">
        <is>
          <t>Длительность смены</t>
        </is>
      </c>
      <c r="C28" s="44" t="n">
        <v>12</v>
      </c>
      <c r="D28" s="26" t="inlineStr">
        <is>
          <t>час</t>
        </is>
      </c>
      <c r="E28" s="43" t="inlineStr">
        <is>
          <t>Для пересчёта простоев и производительности</t>
        </is>
      </c>
    </row>
    <row r="29">
      <c r="B29" s="22" t="inlineStr">
        <is>
          <t>Предел прочности породы на сжатие</t>
        </is>
      </c>
      <c r="C29" s="44" t="n">
        <v>130</v>
      </c>
      <c r="D29" s="26" t="inlineStr">
        <is>
          <t>МПа</t>
        </is>
      </c>
      <c r="E29" s="43" t="inlineStr">
        <is>
          <t>Влияет на скорость бурения (крепость f)</t>
        </is>
      </c>
    </row>
    <row r="30">
      <c r="B30" s="22" t="inlineStr">
        <is>
          <t>Коэффициент разбура</t>
        </is>
      </c>
      <c r="C30" s="45" t="n">
        <v>1.05</v>
      </c>
      <c r="D30" s="26" t="inlineStr">
        <is>
          <t>коэф.</t>
        </is>
      </c>
      <c r="E30" s="43" t="inlineStr">
        <is>
          <t>Диаметр заряда = диаметр долота × k_разбура</t>
        </is>
      </c>
    </row>
    <row r="31">
      <c r="B31" s="22" t="inlineStr">
        <is>
          <t>Средняя глубина скважин</t>
        </is>
      </c>
      <c r="C31" s="45" t="n">
        <v>16.16</v>
      </c>
      <c r="D31" s="26" t="inlineStr">
        <is>
          <t>м</t>
        </is>
      </c>
      <c r="E31" s="43" t="inlineStr">
        <is>
          <t>(гл.руда×доля + гл.вскрыша×доля); из «W час»</t>
        </is>
      </c>
    </row>
    <row r="32">
      <c r="B32" s="22" t="inlineStr">
        <is>
          <t>КПД скорости подъёма става</t>
        </is>
      </c>
      <c r="C32" s="45" t="n">
        <v>0.8</v>
      </c>
      <c r="D32" s="26" t="inlineStr">
        <is>
          <t>коэф.</t>
        </is>
      </c>
      <c r="E32" s="43" t="inlineStr">
        <is>
          <t>Фактическая скорость = паспортная × КПД</t>
        </is>
      </c>
    </row>
    <row r="33">
      <c r="B33" s="22" t="inlineStr">
        <is>
          <t>Время продувки скважины</t>
        </is>
      </c>
      <c r="C33" s="47" t="n">
        <v>2</v>
      </c>
      <c r="D33" s="26" t="inlineStr">
        <is>
          <t>мин</t>
        </is>
      </c>
      <c r="E33" s="43" t="inlineStr">
        <is>
          <t>Часть цикла бурения одной скважины</t>
        </is>
      </c>
    </row>
    <row r="34">
      <c r="B34" s="22" t="inlineStr">
        <is>
          <t>Время переезда между скважинами</t>
        </is>
      </c>
      <c r="C34" s="47" t="n">
        <v>2.5</v>
      </c>
      <c r="D34" s="26" t="inlineStr">
        <is>
          <t>мин</t>
        </is>
      </c>
      <c r="E34" s="43" t="inlineStr">
        <is>
          <t>Часть цикла бурения одной скважины</t>
        </is>
      </c>
    </row>
    <row r="35">
      <c r="B35" s="22" t="inlineStr">
        <is>
          <t>Выход горной массы с 1 пог.м скважины</t>
        </is>
      </c>
      <c r="C35" s="46" t="n">
        <v>49.465</v>
      </c>
      <c r="D35" s="26" t="inlineStr">
        <is>
          <t>м³/пог.м</t>
        </is>
      </c>
      <c r="E35" s="43" t="inlineStr">
        <is>
          <t>Для пересчёта руб/пог.м → руб/м³ (сетка БВР)</t>
        </is>
      </c>
    </row>
    <row r="37">
      <c r="B37" s="5" t="inlineStr">
        <is>
          <t>Расчётные финансовые коэффициенты</t>
        </is>
      </c>
      <c r="C37" s="4" t="n"/>
      <c r="D37" s="4" t="n"/>
      <c r="E37" s="4" t="n"/>
    </row>
    <row r="38">
      <c r="B38" s="15" t="inlineStr">
        <is>
          <t>Параметр</t>
        </is>
      </c>
      <c r="C38" s="15" t="inlineStr">
        <is>
          <t>Значение</t>
        </is>
      </c>
      <c r="D38" s="15" t="inlineStr">
        <is>
          <t>Ед.</t>
        </is>
      </c>
      <c r="E38" s="15" t="inlineStr">
        <is>
          <t>Комментарий</t>
        </is>
      </c>
    </row>
    <row r="39">
      <c r="B39" s="22" t="inlineStr">
        <is>
          <t>Коэф. аннуитета Σдиск.факторов (r, N)</t>
        </is>
      </c>
      <c r="C39" s="48">
        <f>IF('Параметры'!C6=0,'Параметры'!C8,(1-(1+'Параметры'!C6)^-'Параметры'!C8)/'Параметры'!C6)</f>
        <v>5.650223028410867</v>
      </c>
      <c r="D39" s="26" t="inlineStr">
        <is>
          <t>коэф.</t>
        </is>
      </c>
      <c r="E39" s="43" t="inlineStr">
        <is>
          <t>Сумма дисконт-факторов за срок службы</t>
        </is>
      </c>
    </row>
    <row r="40">
      <c r="B40" s="22" t="inlineStr">
        <is>
          <t>Коэф. приведённой амортизации</t>
        </is>
      </c>
      <c r="C40" s="48">
        <f>(1/'Параметры'!C9)*((1-(1+'Параметры'!C6)^-INT('Параметры'!C9))/'Параметры'!C6+('Параметры'!C9-INT('Параметры'!C9))*(1+'Параметры'!C6)^-(INT('Параметры'!C9)+1))</f>
        <v>0.7174555548697079</v>
      </c>
      <c r="D40" s="26" t="inlineStr">
        <is>
          <t>коэф.</t>
        </is>
      </c>
      <c r="E40" s="43" t="inlineStr">
        <is>
          <t>Приведённая амортизация на 1 руб. цены (налог. щит)</t>
        </is>
      </c>
    </row>
    <row r="42">
      <c r="B42" s="7" t="inlineStr">
        <is>
          <t>Легенда:</t>
        </is>
      </c>
      <c r="C42" s="8" t="n"/>
      <c r="D42" s="9" t="inlineStr">
        <is>
          <t>— ввод данных</t>
        </is>
      </c>
    </row>
    <row r="43">
      <c r="C43" s="10" t="n"/>
      <c r="D43" s="9" t="inlineStr">
        <is>
          <t>— расчётные показатели</t>
        </is>
      </c>
    </row>
  </sheetData>
  <mergeCells count="9">
    <mergeCell ref="B4:E4"/>
    <mergeCell ref="B2:F2"/>
    <mergeCell ref="D42:E42"/>
    <mergeCell ref="B13:E13"/>
    <mergeCell ref="B37:E37"/>
    <mergeCell ref="D43:E43"/>
    <mergeCell ref="B25:E25"/>
    <mergeCell ref="B19:E19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11" max="11"/>
  </cols>
  <sheetData>
    <row r="1">
      <c r="B1" s="1" t="inlineStr">
        <is>
          <t>ВВОД ИСХОДНЫХ ДАННЫХ ПО БУРОВЫМ СТАНКАМ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Сравнение до 5 машин одного класса. Пример: станки класса 250–270 мм (дизель), карьер «Сухой Лог».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Станок 1</t>
        </is>
      </c>
      <c r="E4" s="15" t="inlineStr">
        <is>
          <t>Станок 2</t>
        </is>
      </c>
      <c r="F4" s="15" t="inlineStr">
        <is>
          <t>Станок 3</t>
        </is>
      </c>
      <c r="G4" s="15" t="inlineStr">
        <is>
          <t>Станок 4</t>
        </is>
      </c>
      <c r="H4" s="15" t="inlineStr">
        <is>
          <t>Станок 5</t>
        </is>
      </c>
      <c r="K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22" t="inlineStr">
        <is>
          <t>Наименование / модель</t>
        </is>
      </c>
      <c r="C7" s="26" t="inlineStr">
        <is>
          <t>—</t>
        </is>
      </c>
      <c r="D7" s="49" t="inlineStr">
        <is>
          <t>YANGZI DR75
(аналог Epiroc DM75)</t>
        </is>
      </c>
      <c r="E7" s="49" t="inlineStr">
        <is>
          <t>Sunward
SWDRT250SM</t>
        </is>
      </c>
      <c r="F7" s="49" t="inlineStr">
        <is>
          <t>Sunward
SWDRT270SM</t>
        </is>
      </c>
      <c r="G7" s="49" t="inlineStr">
        <is>
          <t>Sunward
SWDRT270B</t>
        </is>
      </c>
      <c r="H7" s="49" t="inlineStr">
        <is>
          <t>HIFO 75D
(аналог DM75)</t>
        </is>
      </c>
      <c r="K7" s="43" t="inlineStr">
        <is>
          <t>Название варианта</t>
        </is>
      </c>
    </row>
    <row r="8">
      <c r="B8" s="22" t="inlineStr">
        <is>
          <t>Поставщик</t>
        </is>
      </c>
      <c r="C8" s="26" t="inlineStr">
        <is>
          <t>—</t>
        </is>
      </c>
      <c r="D8" s="49" t="inlineStr">
        <is>
          <t>Огунвей</t>
        </is>
      </c>
      <c r="E8" s="49" t="inlineStr">
        <is>
          <t>Стройкомпозит-Н</t>
        </is>
      </c>
      <c r="F8" s="49" t="inlineStr">
        <is>
          <t>Стройкомпозит-Н</t>
        </is>
      </c>
      <c r="G8" s="49" t="inlineStr">
        <is>
          <t>Огунвей</t>
        </is>
      </c>
      <c r="H8" s="49" t="inlineStr">
        <is>
          <t>Майнинг Солюшнс</t>
        </is>
      </c>
      <c r="K8" s="43" t="inlineStr"/>
    </row>
    <row r="9">
      <c r="B9" s="22" t="inlineStr">
        <is>
          <t>Двигатель / привод</t>
        </is>
      </c>
      <c r="C9" s="26" t="inlineStr">
        <is>
          <t>—</t>
        </is>
      </c>
      <c r="D9" s="49" t="inlineStr">
        <is>
          <t>Cummins QSK19</t>
        </is>
      </c>
      <c r="E9" s="49" t="inlineStr">
        <is>
          <t>CAT C27</t>
        </is>
      </c>
      <c r="F9" s="49" t="inlineStr">
        <is>
          <t>CAT C27</t>
        </is>
      </c>
      <c r="G9" s="49" t="inlineStr">
        <is>
          <t>CAT C27</t>
        </is>
      </c>
      <c r="H9" s="49" t="inlineStr">
        <is>
          <t>CAT C27</t>
        </is>
      </c>
      <c r="K9" s="43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22" t="inlineStr">
        <is>
          <t>Цена за единицу</t>
        </is>
      </c>
      <c r="C11" s="26" t="inlineStr">
        <is>
          <t>тыс.вал.</t>
        </is>
      </c>
      <c r="D11" s="50" t="n">
        <v>207820</v>
      </c>
      <c r="E11" s="50" t="n">
        <v>138793</v>
      </c>
      <c r="F11" s="50" t="n">
        <v>147750</v>
      </c>
      <c r="G11" s="50" t="n">
        <v>206000</v>
      </c>
      <c r="H11" s="50" t="n">
        <v>236876</v>
      </c>
      <c r="K11" s="43" t="inlineStr">
        <is>
          <t>⚠ В файле поставщика цена не указана — ОЦЕНКА, уточнить</t>
        </is>
      </c>
    </row>
    <row r="12">
      <c r="B12" s="22" t="inlineStr">
        <is>
          <t>Валюта цены</t>
        </is>
      </c>
      <c r="C12" s="26" t="inlineStr">
        <is>
          <t>—</t>
        </is>
      </c>
      <c r="D12" s="49" t="inlineStr">
        <is>
          <t>RUB</t>
        </is>
      </c>
      <c r="E12" s="49" t="inlineStr">
        <is>
          <t>RUB</t>
        </is>
      </c>
      <c r="F12" s="49" t="inlineStr">
        <is>
          <t>RUB</t>
        </is>
      </c>
      <c r="G12" s="49" t="inlineStr">
        <is>
          <t>RUB</t>
        </is>
      </c>
      <c r="H12" s="49" t="inlineStr">
        <is>
          <t>RUB</t>
        </is>
      </c>
      <c r="K12" s="43" t="inlineStr">
        <is>
          <t>CNY / USD / EUR / RUB</t>
        </is>
      </c>
    </row>
    <row r="13">
      <c r="B13" s="22" t="inlineStr">
        <is>
          <t>Монтаж, доставка, ПНР</t>
        </is>
      </c>
      <c r="C13" s="26" t="inlineStr">
        <is>
          <t>тыс.руб</t>
        </is>
      </c>
      <c r="D13" s="50" t="n">
        <v>0</v>
      </c>
      <c r="E13" s="50" t="n">
        <v>0</v>
      </c>
      <c r="F13" s="50" t="n">
        <v>0</v>
      </c>
      <c r="G13" s="50" t="n">
        <v>0</v>
      </c>
      <c r="H13" s="50" t="n">
        <v>0</v>
      </c>
      <c r="K13" s="43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6" t="inlineStr">
        <is>
          <t>% от цены</t>
        </is>
      </c>
      <c r="D14" s="51" t="n">
        <v>0</v>
      </c>
      <c r="E14" s="51" t="n">
        <v>0</v>
      </c>
      <c r="F14" s="51" t="n">
        <v>0</v>
      </c>
      <c r="G14" s="51" t="n">
        <v>0</v>
      </c>
      <c r="H14" s="51" t="n">
        <v>0</v>
      </c>
      <c r="K14" s="43" t="inlineStr">
        <is>
          <t>Реализация в конце срока (0 = не учитывать)</t>
        </is>
      </c>
    </row>
    <row r="15">
      <c r="B15" s="5" t="inlineStr">
        <is>
          <t>C. ПРОИЗВОДИТЕЛЬНОСТЬ (физика бурения — лист «W час»)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22" t="inlineStr">
        <is>
          <t>Мощность вращателя (в расчёте)</t>
        </is>
      </c>
      <c r="C16" s="26" t="inlineStr">
        <is>
          <t>кВт</t>
        </is>
      </c>
      <c r="D16" s="52" t="n">
        <v>136</v>
      </c>
      <c r="E16" s="52" t="n">
        <v>148.3</v>
      </c>
      <c r="F16" s="52" t="n">
        <v>173.4</v>
      </c>
      <c r="G16" s="52" t="n">
        <v>173.4</v>
      </c>
      <c r="H16" s="52" t="n">
        <v>136</v>
      </c>
      <c r="K16" s="43" t="inlineStr">
        <is>
          <t>Ключевой драйвер скорости бурения</t>
        </is>
      </c>
    </row>
    <row r="17">
      <c r="B17" s="22" t="inlineStr">
        <is>
          <t>Диаметр долота (в расчёте)</t>
        </is>
      </c>
      <c r="C17" s="26" t="inlineStr">
        <is>
          <t>м</t>
        </is>
      </c>
      <c r="D17" s="53" t="n">
        <v>0.267</v>
      </c>
      <c r="E17" s="53" t="n">
        <v>0.267</v>
      </c>
      <c r="F17" s="53" t="n">
        <v>0.267</v>
      </c>
      <c r="G17" s="53" t="n">
        <v>0.267</v>
      </c>
      <c r="H17" s="53" t="n">
        <v>0.267</v>
      </c>
      <c r="K17" s="43" t="inlineStr">
        <is>
          <t>Диаметр заряда = диаметр × k_разбура</t>
        </is>
      </c>
    </row>
    <row r="18">
      <c r="B18" s="22" t="inlineStr">
        <is>
          <t>Скорость подъёма става</t>
        </is>
      </c>
      <c r="C18" s="26" t="inlineStr">
        <is>
          <t>м/мин</t>
        </is>
      </c>
      <c r="D18" s="52" t="n">
        <v>51.5</v>
      </c>
      <c r="E18" s="52" t="n">
        <v>60</v>
      </c>
      <c r="F18" s="52" t="n">
        <v>45</v>
      </c>
      <c r="G18" s="52" t="n">
        <v>45</v>
      </c>
      <c r="H18" s="52" t="n">
        <v>51.5</v>
      </c>
      <c r="K18" s="43" t="inlineStr">
        <is>
          <t>Влияет на время СПО</t>
        </is>
      </c>
    </row>
    <row r="19">
      <c r="B19" s="22" t="inlineStr">
        <is>
          <t>Время наращивания/разбора става</t>
        </is>
      </c>
      <c r="C19" s="26" t="inlineStr">
        <is>
          <t>мин</t>
        </is>
      </c>
      <c r="D19" s="52" t="n">
        <v>1.5</v>
      </c>
      <c r="E19" s="52" t="n">
        <v>1.5</v>
      </c>
      <c r="F19" s="52" t="n">
        <v>1.5</v>
      </c>
      <c r="G19" s="52" t="n">
        <v>1.5</v>
      </c>
      <c r="H19" s="52" t="n">
        <v>1.5</v>
      </c>
      <c r="K19" s="43" t="inlineStr">
        <is>
          <t>На одну операцию</t>
        </is>
      </c>
    </row>
    <row r="20">
      <c r="B20" s="22" t="inlineStr">
        <is>
          <t>Кол-во операций свинчивания</t>
        </is>
      </c>
      <c r="C20" s="26" t="inlineStr">
        <is>
          <t>ед.</t>
        </is>
      </c>
      <c r="D20" s="50" t="n">
        <v>1</v>
      </c>
      <c r="E20" s="50" t="n">
        <v>1</v>
      </c>
      <c r="F20" s="50" t="n">
        <v>1</v>
      </c>
      <c r="G20" s="50" t="n">
        <v>1</v>
      </c>
      <c r="H20" s="50" t="n">
        <v>1</v>
      </c>
      <c r="K20" s="43" t="inlineStr">
        <is>
          <t>Штанг на скважину − 1</t>
        </is>
      </c>
    </row>
    <row r="21">
      <c r="B21" s="5" t="inlineStr">
        <is>
          <t>D. ПРОЧИЕ ГОДОВЫЕ ЗАТРАТЫ И ПАРАМЕТРЫ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22" t="inlineStr">
        <is>
          <t>Расходы на персонал (экипаж)</t>
        </is>
      </c>
      <c r="C22" s="26" t="inlineStr">
        <is>
          <t>тыс.руб/год</t>
        </is>
      </c>
      <c r="D22" s="50" t="n">
        <v>15710</v>
      </c>
      <c r="E22" s="50" t="n">
        <v>15710</v>
      </c>
      <c r="F22" s="50" t="n">
        <v>15710</v>
      </c>
      <c r="G22" s="50" t="n">
        <v>15710</v>
      </c>
      <c r="H22" s="50" t="n">
        <v>15710</v>
      </c>
      <c r="K22" s="43" t="inlineStr">
        <is>
          <t>ФОТ+отчисления+прочее на 1 машину</t>
        </is>
      </c>
    </row>
    <row r="23">
      <c r="B23" s="22" t="inlineStr">
        <is>
          <t>Мощность двигателя (транспортный налог)</t>
        </is>
      </c>
      <c r="C23" s="26" t="inlineStr">
        <is>
          <t>л.с.</t>
        </is>
      </c>
      <c r="D23" s="52" t="n">
        <v>800</v>
      </c>
      <c r="E23" s="52" t="n">
        <v>800</v>
      </c>
      <c r="F23" s="52" t="n">
        <v>800</v>
      </c>
      <c r="G23" s="52" t="n">
        <v>800</v>
      </c>
      <c r="H23" s="52" t="n">
        <v>811.6900000000001</v>
      </c>
      <c r="K23" s="43" t="inlineStr">
        <is>
          <t>× ставку налога (руб/л.с.)</t>
        </is>
      </c>
    </row>
    <row r="24">
      <c r="B24" s="54" t="inlineStr">
        <is>
          <t>ℹ  КТГ, простои, затраты на ТОиР (ТО/ТР/капремонты/сервис), удельный расход ДТ, буровой инструмент и расходники задаются ПО ГОДАМ на листах «Поставщик 1…5». Сводка — на листе «Данные по годам».</t>
        </is>
      </c>
    </row>
  </sheetData>
  <mergeCells count="7">
    <mergeCell ref="B1:K1"/>
    <mergeCell ref="B21:K21"/>
    <mergeCell ref="B15:K15"/>
    <mergeCell ref="B6:K6"/>
    <mergeCell ref="B24:K24"/>
    <mergeCell ref="B2:K2"/>
    <mergeCell ref="B10:K10"/>
  </mergeCells>
  <dataValidations count="1">
    <dataValidation sqref="D12:H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1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данных'!D7</f>
        <v>YANGZI DR75
(аналог Epiroc DM75)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200</v>
      </c>
      <c r="F9" s="50" t="n">
        <v>300</v>
      </c>
      <c r="G9" s="50" t="n">
        <v>200</v>
      </c>
      <c r="H9" s="50" t="n">
        <v>300</v>
      </c>
      <c r="I9" s="50" t="n">
        <v>600</v>
      </c>
      <c r="J9" s="50" t="n">
        <v>300</v>
      </c>
      <c r="K9" s="50" t="n">
        <v>900</v>
      </c>
      <c r="L9" s="50" t="n">
        <v>300</v>
      </c>
      <c r="M9" s="50" t="n">
        <v>200</v>
      </c>
      <c r="N9" s="50" t="n">
        <v>900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220.10076851851852</v>
      </c>
      <c r="F10" s="59">
        <f>('Параметры'!C27-F8-F9)/'Параметры'!C28*20/60</f>
        <v>217.32299074074072</v>
      </c>
      <c r="G10" s="59">
        <f>('Параметры'!C27-G8-G9)/'Параметры'!C28*20/60</f>
        <v>220.10076851851852</v>
      </c>
      <c r="H10" s="59">
        <f>('Параметры'!C27-H8-H9)/'Параметры'!C28*20/60</f>
        <v>217.32299074074072</v>
      </c>
      <c r="I10" s="59">
        <f>('Параметры'!C27-I8-I9)/'Параметры'!C28*20/60</f>
        <v>208.98965740740738</v>
      </c>
      <c r="J10" s="59">
        <f>('Параметры'!C27-J8-J9)/'Параметры'!C28*20/60</f>
        <v>217.32299074074072</v>
      </c>
      <c r="K10" s="59">
        <f>('Параметры'!C27-K8-K9)/'Параметры'!C28*20/60</f>
        <v>200.65632407407404</v>
      </c>
      <c r="L10" s="59">
        <f>('Параметры'!C27-L8-L9)/'Параметры'!C28*20/60</f>
        <v>217.32299074074072</v>
      </c>
      <c r="M10" s="59">
        <f>('Параметры'!C27-M8-M9)/'Параметры'!C28*20/60</f>
        <v>220.10076851851852</v>
      </c>
      <c r="N10" s="59">
        <f>('Параметры'!C27-N8-N9)/'Параметры'!C28*20/60</f>
        <v>200.65632407407404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0.9308999999999999</v>
      </c>
      <c r="F11" s="51" t="n">
        <v>0.9172</v>
      </c>
      <c r="G11" s="51" t="n">
        <v>0.9308999999999999</v>
      </c>
      <c r="H11" s="51" t="n">
        <v>0.9172</v>
      </c>
      <c r="I11" s="51" t="n">
        <v>0.8865</v>
      </c>
      <c r="J11" s="51" t="n">
        <v>0.9172</v>
      </c>
      <c r="K11" s="51" t="n">
        <v>0.8506</v>
      </c>
      <c r="L11" s="51" t="n">
        <v>0.9198</v>
      </c>
      <c r="M11" s="51" t="n">
        <v>0.9283</v>
      </c>
      <c r="N11" s="51" t="n">
        <v>0.8532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0.4943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93.781519826788</v>
      </c>
      <c r="F20" s="60">
        <f>(F12+F13+F14+F18)*$E$19</f>
        <v>226.6539582060769</v>
      </c>
      <c r="G20" s="60">
        <f>(G12+G13+G14+G18)*$E$19</f>
        <v>390.12237207050873</v>
      </c>
      <c r="H20" s="60">
        <f>(H12+H13+H14+H18)*$E$19</f>
        <v>340.52143795176755</v>
      </c>
      <c r="I20" s="60">
        <f>(I12+I13+I14+I18)*$E$19</f>
        <v>472.73329932479163</v>
      </c>
      <c r="J20" s="60">
        <f>(J12+J13+J14+J18)*$E$19</f>
        <v>316.27162497936774</v>
      </c>
      <c r="K20" s="60">
        <f>(K12+K13+K14+K18)*$E$19</f>
        <v>464.09771020988467</v>
      </c>
      <c r="L20" s="60">
        <f>(L12+L13+L14+L18)*$E$19</f>
        <v>235.70247436281647</v>
      </c>
      <c r="M20" s="60">
        <f>(M12+M13+M14+M18)*$E$19</f>
        <v>541.3685841346625</v>
      </c>
      <c r="N20" s="60">
        <f>(N12+N13+N14+N18)*$E$19</f>
        <v>291.08551990849253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74.75</v>
      </c>
      <c r="F21" s="52" t="n">
        <v>74.75</v>
      </c>
      <c r="G21" s="52" t="n">
        <v>74.75</v>
      </c>
      <c r="H21" s="52" t="n">
        <v>74.75</v>
      </c>
      <c r="I21" s="52" t="n">
        <v>74.75</v>
      </c>
      <c r="J21" s="52" t="n">
        <v>74.75</v>
      </c>
      <c r="K21" s="52" t="n">
        <v>74.75</v>
      </c>
      <c r="L21" s="52" t="n">
        <v>74.75</v>
      </c>
      <c r="M21" s="52" t="n">
        <v>74.75</v>
      </c>
      <c r="N21" s="52" t="n">
        <v>74.75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2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данных'!E7</f>
        <v>Sunward
SWDRT250SM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425.645</v>
      </c>
      <c r="F9" s="50" t="n">
        <v>690.645</v>
      </c>
      <c r="G9" s="50" t="n">
        <v>870.645</v>
      </c>
      <c r="H9" s="50" t="n">
        <v>605.645</v>
      </c>
      <c r="I9" s="50" t="n">
        <v>690.645</v>
      </c>
      <c r="J9" s="50" t="n">
        <v>890.645</v>
      </c>
      <c r="K9" s="50" t="n">
        <v>720.645</v>
      </c>
      <c r="L9" s="50" t="n">
        <v>690.645</v>
      </c>
      <c r="M9" s="50" t="n">
        <v>830.645</v>
      </c>
      <c r="N9" s="50" t="n">
        <v>790.645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213.83285185185184</v>
      </c>
      <c r="F10" s="59">
        <f>('Параметры'!C27-F8-F9)/'Параметры'!C28*20/60</f>
        <v>206.47174074074076</v>
      </c>
      <c r="G10" s="59">
        <f>('Параметры'!C27-G8-G9)/'Параметры'!C28*20/60</f>
        <v>201.47174074074076</v>
      </c>
      <c r="H10" s="59">
        <f>('Параметры'!C27-H8-H9)/'Параметры'!C28*20/60</f>
        <v>208.83285185185184</v>
      </c>
      <c r="I10" s="59">
        <f>('Параметры'!C27-I8-I9)/'Параметры'!C28*20/60</f>
        <v>206.47174074074076</v>
      </c>
      <c r="J10" s="59">
        <f>('Параметры'!C27-J8-J9)/'Параметры'!C28*20/60</f>
        <v>200.91618518518516</v>
      </c>
      <c r="K10" s="59">
        <f>('Параметры'!C27-K8-K9)/'Параметры'!C28*20/60</f>
        <v>205.63840740740744</v>
      </c>
      <c r="L10" s="59">
        <f>('Параметры'!C27-L8-L9)/'Параметры'!C28*20/60</f>
        <v>206.47174074074076</v>
      </c>
      <c r="M10" s="59">
        <f>('Параметры'!C27-M8-M9)/'Параметры'!C28*20/60</f>
        <v>202.58285185185184</v>
      </c>
      <c r="N10" s="59">
        <f>('Параметры'!C27-N8-N9)/'Параметры'!C28*20/60</f>
        <v>203.69396296296296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0.8948</v>
      </c>
      <c r="F11" s="51" t="n">
        <v>0.8653999999999999</v>
      </c>
      <c r="G11" s="51" t="n">
        <v>0.8454</v>
      </c>
      <c r="H11" s="51" t="n">
        <v>0.8748</v>
      </c>
      <c r="I11" s="51" t="n">
        <v>0.8653999999999999</v>
      </c>
      <c r="J11" s="51" t="n">
        <v>0.8431999999999999</v>
      </c>
      <c r="K11" s="51" t="n">
        <v>0.8621</v>
      </c>
      <c r="L11" s="51" t="n">
        <v>0.8653999999999999</v>
      </c>
      <c r="M11" s="51" t="n">
        <v>0.8498</v>
      </c>
      <c r="N11" s="51" t="n">
        <v>0.8542999999999999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0.8536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161.95004111702656</v>
      </c>
      <c r="F20" s="60">
        <f>(F12+F13+F14+F18)*$E$19</f>
        <v>391.40566199617086</v>
      </c>
      <c r="G20" s="60">
        <f>(G12+G13+G14+G18)*$E$19</f>
        <v>673.6970600837269</v>
      </c>
      <c r="H20" s="60">
        <f>(H12+H13+H14+H18)*$E$19</f>
        <v>588.0418762606288</v>
      </c>
      <c r="I20" s="60">
        <f>(I12+I13+I14+I18)*$E$19</f>
        <v>816.3567556213679</v>
      </c>
      <c r="J20" s="60">
        <f>(J12+J13+J14+J18)*$E$19</f>
        <v>546.1652014614369</v>
      </c>
      <c r="K20" s="60">
        <f>(K12+K13+K14+K18)*$E$19</f>
        <v>801.4440733060035</v>
      </c>
      <c r="L20" s="60">
        <f>(L12+L13+L14+L18)*$E$19</f>
        <v>407.03142244810874</v>
      </c>
      <c r="M20" s="60">
        <f>(M12+M13+M14+M18)*$E$19</f>
        <v>934.8821028066919</v>
      </c>
      <c r="N20" s="60">
        <f>(N12+N13+N14+N18)*$E$19</f>
        <v>502.6716564715542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75.15000000000001</v>
      </c>
      <c r="F21" s="52" t="n">
        <v>75.15000000000001</v>
      </c>
      <c r="G21" s="52" t="n">
        <v>75.15000000000001</v>
      </c>
      <c r="H21" s="52" t="n">
        <v>75.15000000000001</v>
      </c>
      <c r="I21" s="52" t="n">
        <v>75.15000000000001</v>
      </c>
      <c r="J21" s="52" t="n">
        <v>75.15000000000001</v>
      </c>
      <c r="K21" s="52" t="n">
        <v>75.15000000000001</v>
      </c>
      <c r="L21" s="52" t="n">
        <v>75.15000000000001</v>
      </c>
      <c r="M21" s="52" t="n">
        <v>75.15000000000001</v>
      </c>
      <c r="N21" s="52" t="n">
        <v>75.15000000000001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3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данных'!F7</f>
        <v>Sunward
SWDRT270SM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425.645</v>
      </c>
      <c r="F9" s="50" t="n">
        <v>690.645</v>
      </c>
      <c r="G9" s="50" t="n">
        <v>870.645</v>
      </c>
      <c r="H9" s="50" t="n">
        <v>605.645</v>
      </c>
      <c r="I9" s="50" t="n">
        <v>690.645</v>
      </c>
      <c r="J9" s="50" t="n">
        <v>890.645</v>
      </c>
      <c r="K9" s="50" t="n">
        <v>720.645</v>
      </c>
      <c r="L9" s="50" t="n">
        <v>690.645</v>
      </c>
      <c r="M9" s="50" t="n">
        <v>830.645</v>
      </c>
      <c r="N9" s="50" t="n">
        <v>790.645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213.83285185185184</v>
      </c>
      <c r="F10" s="59">
        <f>('Параметры'!C27-F8-F9)/'Параметры'!C28*20/60</f>
        <v>206.47174074074076</v>
      </c>
      <c r="G10" s="59">
        <f>('Параметры'!C27-G8-G9)/'Параметры'!C28*20/60</f>
        <v>201.47174074074076</v>
      </c>
      <c r="H10" s="59">
        <f>('Параметры'!C27-H8-H9)/'Параметры'!C28*20/60</f>
        <v>208.83285185185184</v>
      </c>
      <c r="I10" s="59">
        <f>('Параметры'!C27-I8-I9)/'Параметры'!C28*20/60</f>
        <v>206.47174074074076</v>
      </c>
      <c r="J10" s="59">
        <f>('Параметры'!C27-J8-J9)/'Параметры'!C28*20/60</f>
        <v>200.91618518518516</v>
      </c>
      <c r="K10" s="59">
        <f>('Параметры'!C27-K8-K9)/'Параметры'!C28*20/60</f>
        <v>205.63840740740744</v>
      </c>
      <c r="L10" s="59">
        <f>('Параметры'!C27-L8-L9)/'Параметры'!C28*20/60</f>
        <v>206.47174074074076</v>
      </c>
      <c r="M10" s="59">
        <f>('Параметры'!C27-M8-M9)/'Параметры'!C28*20/60</f>
        <v>202.58285185185184</v>
      </c>
      <c r="N10" s="59">
        <f>('Параметры'!C27-N8-N9)/'Параметры'!C28*20/60</f>
        <v>203.69396296296296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0.8948</v>
      </c>
      <c r="F11" s="51" t="n">
        <v>0.8653999999999999</v>
      </c>
      <c r="G11" s="51" t="n">
        <v>0.8454</v>
      </c>
      <c r="H11" s="51" t="n">
        <v>0.8748</v>
      </c>
      <c r="I11" s="51" t="n">
        <v>0.8653999999999999</v>
      </c>
      <c r="J11" s="51" t="n">
        <v>0.8431999999999999</v>
      </c>
      <c r="K11" s="51" t="n">
        <v>0.8621</v>
      </c>
      <c r="L11" s="51" t="n">
        <v>0.8653999999999999</v>
      </c>
      <c r="M11" s="51" t="n">
        <v>0.8498</v>
      </c>
      <c r="N11" s="51" t="n">
        <v>0.8542999999999999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0.8536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161.95004111702656</v>
      </c>
      <c r="F20" s="60">
        <f>(F12+F13+F14+F18)*$E$19</f>
        <v>391.40566199617086</v>
      </c>
      <c r="G20" s="60">
        <f>(G12+G13+G14+G18)*$E$19</f>
        <v>673.6970600837269</v>
      </c>
      <c r="H20" s="60">
        <f>(H12+H13+H14+H18)*$E$19</f>
        <v>588.0418762606288</v>
      </c>
      <c r="I20" s="60">
        <f>(I12+I13+I14+I18)*$E$19</f>
        <v>816.3567556213679</v>
      </c>
      <c r="J20" s="60">
        <f>(J12+J13+J14+J18)*$E$19</f>
        <v>546.1652014614369</v>
      </c>
      <c r="K20" s="60">
        <f>(K12+K13+K14+K18)*$E$19</f>
        <v>801.4440733060035</v>
      </c>
      <c r="L20" s="60">
        <f>(L12+L13+L14+L18)*$E$19</f>
        <v>407.03142244810874</v>
      </c>
      <c r="M20" s="60">
        <f>(M12+M13+M14+M18)*$E$19</f>
        <v>934.8821028066919</v>
      </c>
      <c r="N20" s="60">
        <f>(N12+N13+N14+N18)*$E$19</f>
        <v>502.6716564715542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76.92</v>
      </c>
      <c r="F21" s="52" t="n">
        <v>76.92</v>
      </c>
      <c r="G21" s="52" t="n">
        <v>76.92</v>
      </c>
      <c r="H21" s="52" t="n">
        <v>76.92</v>
      </c>
      <c r="I21" s="52" t="n">
        <v>76.92</v>
      </c>
      <c r="J21" s="52" t="n">
        <v>76.92</v>
      </c>
      <c r="K21" s="52" t="n">
        <v>76.92</v>
      </c>
      <c r="L21" s="52" t="n">
        <v>76.92</v>
      </c>
      <c r="M21" s="52" t="n">
        <v>76.92</v>
      </c>
      <c r="N21" s="52" t="n">
        <v>76.92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4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данных'!G7</f>
        <v>Sunward
SWDRT270B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109.67</v>
      </c>
      <c r="F9" s="50" t="n">
        <v>109.67</v>
      </c>
      <c r="G9" s="50" t="n">
        <v>109.67</v>
      </c>
      <c r="H9" s="50" t="n">
        <v>109.67</v>
      </c>
      <c r="I9" s="50" t="n">
        <v>109.67</v>
      </c>
      <c r="J9" s="50" t="n">
        <v>109.67</v>
      </c>
      <c r="K9" s="50" t="n">
        <v>109.67</v>
      </c>
      <c r="L9" s="50" t="n">
        <v>109.67</v>
      </c>
      <c r="M9" s="50" t="n">
        <v>109.67</v>
      </c>
      <c r="N9" s="50" t="n">
        <v>109.67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222.60993518518518</v>
      </c>
      <c r="F10" s="59">
        <f>('Параметры'!C27-F8-F9)/'Параметры'!C28*20/60</f>
        <v>222.60993518518518</v>
      </c>
      <c r="G10" s="59">
        <f>('Параметры'!C27-G8-G9)/'Параметры'!C28*20/60</f>
        <v>222.60993518518518</v>
      </c>
      <c r="H10" s="59">
        <f>('Параметры'!C27-H8-H9)/'Параметры'!C28*20/60</f>
        <v>222.60993518518518</v>
      </c>
      <c r="I10" s="59">
        <f>('Параметры'!C27-I8-I9)/'Параметры'!C28*20/60</f>
        <v>222.60993518518518</v>
      </c>
      <c r="J10" s="59">
        <f>('Параметры'!C27-J8-J9)/'Параметры'!C28*20/60</f>
        <v>222.60993518518518</v>
      </c>
      <c r="K10" s="59">
        <f>('Параметры'!C27-K8-K9)/'Параметры'!C28*20/60</f>
        <v>222.60993518518518</v>
      </c>
      <c r="L10" s="59">
        <f>('Параметры'!C27-L8-L9)/'Параметры'!C28*20/60</f>
        <v>222.60993518518518</v>
      </c>
      <c r="M10" s="59">
        <f>('Параметры'!C27-M8-M9)/'Параметры'!C28*20/60</f>
        <v>222.60993518518518</v>
      </c>
      <c r="N10" s="59">
        <f>('Параметры'!C27-N8-N9)/'Параметры'!C28*20/60</f>
        <v>222.60993518518518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0.93</v>
      </c>
      <c r="F11" s="51" t="n">
        <v>0.93</v>
      </c>
      <c r="G11" s="51" t="n">
        <v>0.92</v>
      </c>
      <c r="H11" s="51" t="n">
        <v>0.92</v>
      </c>
      <c r="I11" s="51" t="n">
        <v>0.87</v>
      </c>
      <c r="J11" s="51" t="n">
        <v>0.9</v>
      </c>
      <c r="K11" s="51" t="n">
        <v>0.85</v>
      </c>
      <c r="L11" s="51" t="n">
        <v>0.9</v>
      </c>
      <c r="M11" s="51" t="n">
        <v>0.9</v>
      </c>
      <c r="N11" s="51" t="n">
        <v>0.85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1.2133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230.19445277329936</v>
      </c>
      <c r="F20" s="60">
        <f>(F12+F13+F14+F18)*$E$19</f>
        <v>556.3407798734232</v>
      </c>
      <c r="G20" s="60">
        <f>(G12+G13+G14+G18)*$E$19</f>
        <v>957.5874449385964</v>
      </c>
      <c r="H20" s="60">
        <f>(H12+H13+H14+H18)*$E$19</f>
        <v>835.8378730869504</v>
      </c>
      <c r="I20" s="60">
        <f>(I12+I13+I14+I18)*$E$19</f>
        <v>1160.3627596009908</v>
      </c>
      <c r="J20" s="60">
        <f>(J12+J13+J14+J18)*$E$19</f>
        <v>776.3147129020167</v>
      </c>
      <c r="K20" s="60">
        <f>(K12+K13+K14+K18)*$E$19</f>
        <v>1139.1659959491262</v>
      </c>
      <c r="L20" s="60">
        <f>(L12+L13+L14+L18)*$E$19</f>
        <v>578.5511069075566</v>
      </c>
      <c r="M20" s="60">
        <f>(M12+M13+M14+M18)*$E$19</f>
        <v>1328.8337105615738</v>
      </c>
      <c r="N20" s="60">
        <f>(N12+N13+N14+N18)*$E$19</f>
        <v>714.4933467630467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76.87</v>
      </c>
      <c r="F21" s="52" t="n">
        <v>76.87</v>
      </c>
      <c r="G21" s="52" t="n">
        <v>76.87</v>
      </c>
      <c r="H21" s="52" t="n">
        <v>76.87</v>
      </c>
      <c r="I21" s="52" t="n">
        <v>76.87</v>
      </c>
      <c r="J21" s="52" t="n">
        <v>76.87</v>
      </c>
      <c r="K21" s="52" t="n">
        <v>76.87</v>
      </c>
      <c r="L21" s="52" t="n">
        <v>76.87</v>
      </c>
      <c r="M21" s="52" t="n">
        <v>76.87</v>
      </c>
      <c r="N21" s="52" t="n">
        <v>76.87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5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данных'!H7</f>
        <v>HIFO 75D
(аналог DM75)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85</v>
      </c>
      <c r="F9" s="50" t="n">
        <v>315.66</v>
      </c>
      <c r="G9" s="50" t="n">
        <v>423.65</v>
      </c>
      <c r="H9" s="50" t="n">
        <v>333.06</v>
      </c>
      <c r="I9" s="50" t="n">
        <v>283.55</v>
      </c>
      <c r="J9" s="50" t="n">
        <v>510.36</v>
      </c>
      <c r="K9" s="50" t="n">
        <v>398.41</v>
      </c>
      <c r="L9" s="50" t="n">
        <v>274.9</v>
      </c>
      <c r="M9" s="50" t="n">
        <v>438.21</v>
      </c>
      <c r="N9" s="50" t="n">
        <v>436.2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223.29521296296295</v>
      </c>
      <c r="F10" s="59">
        <f>('Параметры'!C27-F8-F9)/'Параметры'!C28*20/60</f>
        <v>216.88799074074075</v>
      </c>
      <c r="G10" s="59">
        <f>('Параметры'!C27-G8-G9)/'Параметры'!C28*20/60</f>
        <v>213.88826851851852</v>
      </c>
      <c r="H10" s="59">
        <f>('Параметры'!C27-H8-H9)/'Параметры'!C28*20/60</f>
        <v>216.4046574074074</v>
      </c>
      <c r="I10" s="59">
        <f>('Параметры'!C27-I8-I9)/'Параметры'!C28*20/60</f>
        <v>217.77993518518514</v>
      </c>
      <c r="J10" s="59">
        <f>('Параметры'!C27-J8-J9)/'Параметры'!C28*20/60</f>
        <v>211.47965740740742</v>
      </c>
      <c r="K10" s="59">
        <f>('Параметры'!C27-K8-K9)/'Параметры'!C28*20/60</f>
        <v>214.5893796296296</v>
      </c>
      <c r="L10" s="59">
        <f>('Параметры'!C27-L8-L9)/'Параметры'!C28*20/60</f>
        <v>218.02021296296297</v>
      </c>
      <c r="M10" s="59">
        <f>('Параметры'!C27-M8-M9)/'Параметры'!C28*20/60</f>
        <v>213.48382407407405</v>
      </c>
      <c r="N10" s="59">
        <f>('Параметры'!C27-N8-N9)/'Параметры'!C28*20/60</f>
        <v>213.5396574074074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0.8932</v>
      </c>
      <c r="F11" s="51" t="n">
        <v>0.867</v>
      </c>
      <c r="G11" s="51" t="n">
        <v>0.8536</v>
      </c>
      <c r="H11" s="51" t="n">
        <v>0.8651</v>
      </c>
      <c r="I11" s="51" t="n">
        <v>0.8702</v>
      </c>
      <c r="J11" s="51" t="n">
        <v>0.8443000000000001</v>
      </c>
      <c r="K11" s="51" t="n">
        <v>0.8584000000000001</v>
      </c>
      <c r="L11" s="51" t="n">
        <v>0.8706</v>
      </c>
      <c r="M11" s="51" t="n">
        <v>0.8529</v>
      </c>
      <c r="N11" s="51" t="n">
        <v>0.8527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0.8756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166.1240112489087</v>
      </c>
      <c r="F20" s="60">
        <f>(F12+F13+F14+F18)*$E$19</f>
        <v>401.4934367898866</v>
      </c>
      <c r="G20" s="60">
        <f>(G12+G13+G14+G18)*$E$19</f>
        <v>691.0603863745447</v>
      </c>
      <c r="H20" s="60">
        <f>(H12+H13+H14+H18)*$E$19</f>
        <v>603.1975947209543</v>
      </c>
      <c r="I20" s="60">
        <f>(I12+I13+I14+I18)*$E$19</f>
        <v>837.3968781889289</v>
      </c>
      <c r="J20" s="60">
        <f>(J12+J13+J14+J18)*$E$19</f>
        <v>560.2416241795153</v>
      </c>
      <c r="K20" s="60">
        <f>(K12+K13+K14+K18)*$E$19</f>
        <v>822.0998483912098</v>
      </c>
      <c r="L20" s="60">
        <f>(L12+L13+L14+L18)*$E$19</f>
        <v>417.5219230266682</v>
      </c>
      <c r="M20" s="60">
        <f>(M12+M13+M14+M18)*$E$19</f>
        <v>958.9770023635655</v>
      </c>
      <c r="N20" s="60">
        <f>(N12+N13+N14+N18)*$E$19</f>
        <v>515.627111535254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75.89</v>
      </c>
      <c r="F21" s="52" t="n">
        <v>75.89</v>
      </c>
      <c r="G21" s="52" t="n">
        <v>75.89</v>
      </c>
      <c r="H21" s="52" t="n">
        <v>75.89</v>
      </c>
      <c r="I21" s="52" t="n">
        <v>75.89</v>
      </c>
      <c r="J21" s="52" t="n">
        <v>75.89</v>
      </c>
      <c r="K21" s="52" t="n">
        <v>75.89</v>
      </c>
      <c r="L21" s="52" t="n">
        <v>75.89</v>
      </c>
      <c r="M21" s="52" t="n">
        <v>75.89</v>
      </c>
      <c r="N21" s="52" t="n">
        <v>75.89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2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1…5». Правьте данные там,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66" t="inlineStr">
        <is>
          <t>Значения ТЯНУТСЯ из листов «Поставщик 1…5» (КТГ и ИТОГО ТОиР — авто). Чтобы изменить данные по машине — откройте её лист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YANGZI DR75
(аналог Epiroc DM75)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6" t="inlineStr">
        <is>
          <t>коэф.</t>
        </is>
      </c>
      <c r="E7" s="67">
        <f>'Поставщик 1'!E11</f>
        <v>0.9309</v>
      </c>
      <c r="F7" s="67">
        <f>'Поставщик 1'!F11</f>
        <v>0.9172</v>
      </c>
      <c r="G7" s="67">
        <f>'Поставщик 1'!G11</f>
        <v>0.9309</v>
      </c>
      <c r="H7" s="67">
        <f>'Поставщик 1'!H11</f>
        <v>0.9172</v>
      </c>
      <c r="I7" s="67">
        <f>'Поставщик 1'!I11</f>
        <v>0.8865</v>
      </c>
      <c r="J7" s="67">
        <f>'Поставщик 1'!J11</f>
        <v>0.9172</v>
      </c>
      <c r="K7" s="67">
        <f>'Поставщик 1'!K11</f>
        <v>0.8506</v>
      </c>
      <c r="L7" s="67">
        <f>'Поставщик 1'!L11</f>
        <v>0.9198</v>
      </c>
      <c r="M7" s="67">
        <f>'Поставщик 1'!M11</f>
        <v>0.9283</v>
      </c>
      <c r="N7" s="67">
        <f>'Поставщик 1'!N11</f>
        <v>0.8532</v>
      </c>
    </row>
    <row r="8">
      <c r="B8" s="22" t="inlineStr">
        <is>
          <t>Затраты на ТОиР и сервис</t>
        </is>
      </c>
      <c r="C8" s="26" t="inlineStr">
        <is>
          <t>тыс.вал/г</t>
        </is>
      </c>
      <c r="D8" s="68" t="str">
        <f>'Поставщик 1'!$D$5</f>
        <v>EUR</v>
      </c>
      <c r="E8" s="69">
        <f>'Поставщик 1'!E20</f>
        <v>93.781519826788</v>
      </c>
      <c r="F8" s="69">
        <f>'Поставщик 1'!F20</f>
        <v>226.6539582060769</v>
      </c>
      <c r="G8" s="69">
        <f>'Поставщик 1'!G20</f>
        <v>390.12237207050873</v>
      </c>
      <c r="H8" s="69">
        <f>'Поставщик 1'!H20</f>
        <v>340.52143795176755</v>
      </c>
      <c r="I8" s="69">
        <f>'Поставщик 1'!I20</f>
        <v>472.73329932479163</v>
      </c>
      <c r="J8" s="69">
        <f>'Поставщик 1'!J20</f>
        <v>316.27162497936774</v>
      </c>
      <c r="K8" s="69">
        <f>'Поставщик 1'!K20</f>
        <v>464.09771020988467</v>
      </c>
      <c r="L8" s="69">
        <f>'Поставщик 1'!L20</f>
        <v>235.70247436281647</v>
      </c>
      <c r="M8" s="69">
        <f>'Поставщик 1'!M20</f>
        <v>541.3685841346625</v>
      </c>
      <c r="N8" s="69">
        <f>'Поставщик 1'!N20</f>
        <v>291.08551990849253</v>
      </c>
    </row>
    <row r="9">
      <c r="B9" s="22" t="inlineStr">
        <is>
          <t>Удельный расход ДТ/энергии</t>
        </is>
      </c>
      <c r="C9" s="26" t="inlineStr">
        <is>
          <t>кг/час</t>
        </is>
      </c>
      <c r="E9" s="70">
        <f>'Поставщик 1'!E21</f>
        <v>74.75</v>
      </c>
      <c r="F9" s="70">
        <f>'Поставщик 1'!F21</f>
        <v>74.75</v>
      </c>
      <c r="G9" s="70">
        <f>'Поставщик 1'!G21</f>
        <v>74.75</v>
      </c>
      <c r="H9" s="70">
        <f>'Поставщик 1'!H21</f>
        <v>74.75</v>
      </c>
      <c r="I9" s="70">
        <f>'Поставщик 1'!I21</f>
        <v>74.75</v>
      </c>
      <c r="J9" s="70">
        <f>'Поставщик 1'!J21</f>
        <v>74.75</v>
      </c>
      <c r="K9" s="70">
        <f>'Поставщик 1'!K21</f>
        <v>74.75</v>
      </c>
      <c r="L9" s="70">
        <f>'Поставщик 1'!L21</f>
        <v>74.75</v>
      </c>
      <c r="M9" s="70">
        <f>'Поставщик 1'!M21</f>
        <v>74.75</v>
      </c>
      <c r="N9" s="70">
        <f>'Поставщик 1'!N21</f>
        <v>74.75</v>
      </c>
    </row>
    <row r="10">
      <c r="B10" s="5" t="str">
        <f>"Вариант 2:  "&amp;'Ввод данных'!E7</f>
        <v>Вариант 2:  Sunward
SWDRT250SM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B11" s="22" t="inlineStr">
        <is>
          <t>КТГ (техготовность)</t>
        </is>
      </c>
      <c r="C11" s="26" t="inlineStr">
        <is>
          <t>коэф.</t>
        </is>
      </c>
      <c r="E11" s="67">
        <f>'Поставщик 2'!E11</f>
        <v>0.8948</v>
      </c>
      <c r="F11" s="67">
        <f>'Поставщик 2'!F11</f>
        <v>0.8654</v>
      </c>
      <c r="G11" s="67">
        <f>'Поставщик 2'!G11</f>
        <v>0.8454</v>
      </c>
      <c r="H11" s="67">
        <f>'Поставщик 2'!H11</f>
        <v>0.8748</v>
      </c>
      <c r="I11" s="67">
        <f>'Поставщик 2'!I11</f>
        <v>0.8654</v>
      </c>
      <c r="J11" s="67">
        <f>'Поставщик 2'!J11</f>
        <v>0.8432</v>
      </c>
      <c r="K11" s="67">
        <f>'Поставщик 2'!K11</f>
        <v>0.8621</v>
      </c>
      <c r="L11" s="67">
        <f>'Поставщик 2'!L11</f>
        <v>0.8654</v>
      </c>
      <c r="M11" s="67">
        <f>'Поставщик 2'!M11</f>
        <v>0.8498</v>
      </c>
      <c r="N11" s="67">
        <f>'Поставщик 2'!N11</f>
        <v>0.8543</v>
      </c>
    </row>
    <row r="12">
      <c r="B12" s="22" t="inlineStr">
        <is>
          <t>Затраты на ТОиР и сервис</t>
        </is>
      </c>
      <c r="C12" s="26" t="inlineStr">
        <is>
          <t>тыс.вал/г</t>
        </is>
      </c>
      <c r="D12" s="68" t="str">
        <f>'Поставщик 2'!$D$5</f>
        <v>EUR</v>
      </c>
      <c r="E12" s="69">
        <f>'Поставщик 2'!E20</f>
        <v>161.95004111702656</v>
      </c>
      <c r="F12" s="69">
        <f>'Поставщик 2'!F20</f>
        <v>391.40566199617086</v>
      </c>
      <c r="G12" s="69">
        <f>'Поставщик 2'!G20</f>
        <v>673.6970600837269</v>
      </c>
      <c r="H12" s="69">
        <f>'Поставщик 2'!H20</f>
        <v>588.0418762606288</v>
      </c>
      <c r="I12" s="69">
        <f>'Поставщик 2'!I20</f>
        <v>816.3567556213679</v>
      </c>
      <c r="J12" s="69">
        <f>'Поставщик 2'!J20</f>
        <v>546.1652014614369</v>
      </c>
      <c r="K12" s="69">
        <f>'Поставщик 2'!K20</f>
        <v>801.4440733060035</v>
      </c>
      <c r="L12" s="69">
        <f>'Поставщик 2'!L20</f>
        <v>407.03142244810874</v>
      </c>
      <c r="M12" s="69">
        <f>'Поставщик 2'!M20</f>
        <v>934.8821028066919</v>
      </c>
      <c r="N12" s="69">
        <f>'Поставщик 2'!N20</f>
        <v>502.6716564715542</v>
      </c>
    </row>
    <row r="13">
      <c r="B13" s="22" t="inlineStr">
        <is>
          <t>Удельный расход ДТ/энергии</t>
        </is>
      </c>
      <c r="C13" s="26" t="inlineStr">
        <is>
          <t>кг/час</t>
        </is>
      </c>
      <c r="E13" s="70">
        <f>'Поставщик 2'!E21</f>
        <v>75.15</v>
      </c>
      <c r="F13" s="70">
        <f>'Поставщик 2'!F21</f>
        <v>75.15</v>
      </c>
      <c r="G13" s="70">
        <f>'Поставщик 2'!G21</f>
        <v>75.15</v>
      </c>
      <c r="H13" s="70">
        <f>'Поставщик 2'!H21</f>
        <v>75.15</v>
      </c>
      <c r="I13" s="70">
        <f>'Поставщик 2'!I21</f>
        <v>75.15</v>
      </c>
      <c r="J13" s="70">
        <f>'Поставщик 2'!J21</f>
        <v>75.15</v>
      </c>
      <c r="K13" s="70">
        <f>'Поставщик 2'!K21</f>
        <v>75.15</v>
      </c>
      <c r="L13" s="70">
        <f>'Поставщик 2'!L21</f>
        <v>75.15</v>
      </c>
      <c r="M13" s="70">
        <f>'Поставщик 2'!M21</f>
        <v>75.15</v>
      </c>
      <c r="N13" s="70">
        <f>'Поставщик 2'!N21</f>
        <v>75.15</v>
      </c>
    </row>
    <row r="14">
      <c r="B14" s="5" t="str">
        <f>"Вариант 3:  "&amp;'Ввод данных'!F7</f>
        <v>Вариант 3:  Sunward
SWDRT270SM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B15" s="22" t="inlineStr">
        <is>
          <t>КТГ (техготовность)</t>
        </is>
      </c>
      <c r="C15" s="26" t="inlineStr">
        <is>
          <t>коэф.</t>
        </is>
      </c>
      <c r="E15" s="67">
        <f>'Поставщик 3'!E11</f>
        <v>0.8948</v>
      </c>
      <c r="F15" s="67">
        <f>'Поставщик 3'!F11</f>
        <v>0.8654</v>
      </c>
      <c r="G15" s="67">
        <f>'Поставщик 3'!G11</f>
        <v>0.8454</v>
      </c>
      <c r="H15" s="67">
        <f>'Поставщик 3'!H11</f>
        <v>0.8748</v>
      </c>
      <c r="I15" s="67">
        <f>'Поставщик 3'!I11</f>
        <v>0.8654</v>
      </c>
      <c r="J15" s="67">
        <f>'Поставщик 3'!J11</f>
        <v>0.8432</v>
      </c>
      <c r="K15" s="67">
        <f>'Поставщик 3'!K11</f>
        <v>0.8621</v>
      </c>
      <c r="L15" s="67">
        <f>'Поставщик 3'!L11</f>
        <v>0.8654</v>
      </c>
      <c r="M15" s="67">
        <f>'Поставщик 3'!M11</f>
        <v>0.8498</v>
      </c>
      <c r="N15" s="67">
        <f>'Поставщик 3'!N11</f>
        <v>0.8543</v>
      </c>
    </row>
    <row r="16">
      <c r="B16" s="22" t="inlineStr">
        <is>
          <t>Затраты на ТОиР и сервис</t>
        </is>
      </c>
      <c r="C16" s="26" t="inlineStr">
        <is>
          <t>тыс.вал/г</t>
        </is>
      </c>
      <c r="D16" s="68" t="str">
        <f>'Поставщик 3'!$D$5</f>
        <v>EUR</v>
      </c>
      <c r="E16" s="69">
        <f>'Поставщик 3'!E20</f>
        <v>161.95004111702656</v>
      </c>
      <c r="F16" s="69">
        <f>'Поставщик 3'!F20</f>
        <v>391.40566199617086</v>
      </c>
      <c r="G16" s="69">
        <f>'Поставщик 3'!G20</f>
        <v>673.6970600837269</v>
      </c>
      <c r="H16" s="69">
        <f>'Поставщик 3'!H20</f>
        <v>588.0418762606288</v>
      </c>
      <c r="I16" s="69">
        <f>'Поставщик 3'!I20</f>
        <v>816.3567556213679</v>
      </c>
      <c r="J16" s="69">
        <f>'Поставщик 3'!J20</f>
        <v>546.1652014614369</v>
      </c>
      <c r="K16" s="69">
        <f>'Поставщик 3'!K20</f>
        <v>801.4440733060035</v>
      </c>
      <c r="L16" s="69">
        <f>'Поставщик 3'!L20</f>
        <v>407.03142244810874</v>
      </c>
      <c r="M16" s="69">
        <f>'Поставщик 3'!M20</f>
        <v>934.8821028066919</v>
      </c>
      <c r="N16" s="69">
        <f>'Поставщик 3'!N20</f>
        <v>502.6716564715542</v>
      </c>
    </row>
    <row r="17">
      <c r="B17" s="22" t="inlineStr">
        <is>
          <t>Удельный расход ДТ/энергии</t>
        </is>
      </c>
      <c r="C17" s="26" t="inlineStr">
        <is>
          <t>кг/час</t>
        </is>
      </c>
      <c r="E17" s="70">
        <f>'Поставщик 3'!E21</f>
        <v>76.92</v>
      </c>
      <c r="F17" s="70">
        <f>'Поставщик 3'!F21</f>
        <v>76.92</v>
      </c>
      <c r="G17" s="70">
        <f>'Поставщик 3'!G21</f>
        <v>76.92</v>
      </c>
      <c r="H17" s="70">
        <f>'Поставщик 3'!H21</f>
        <v>76.92</v>
      </c>
      <c r="I17" s="70">
        <f>'Поставщик 3'!I21</f>
        <v>76.92</v>
      </c>
      <c r="J17" s="70">
        <f>'Поставщик 3'!J21</f>
        <v>76.92</v>
      </c>
      <c r="K17" s="70">
        <f>'Поставщик 3'!K21</f>
        <v>76.92</v>
      </c>
      <c r="L17" s="70">
        <f>'Поставщик 3'!L21</f>
        <v>76.92</v>
      </c>
      <c r="M17" s="70">
        <f>'Поставщик 3'!M21</f>
        <v>76.92</v>
      </c>
      <c r="N17" s="70">
        <f>'Поставщик 3'!N21</f>
        <v>76.92</v>
      </c>
    </row>
    <row r="18">
      <c r="B18" s="5" t="str">
        <f>"Вариант 4:  "&amp;'Ввод данных'!G7</f>
        <v>Вариант 4:  Sunward
SWDRT270B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КТГ (техготовность)</t>
        </is>
      </c>
      <c r="C19" s="26" t="inlineStr">
        <is>
          <t>коэф.</t>
        </is>
      </c>
      <c r="E19" s="67">
        <f>'Поставщик 4'!E11</f>
        <v>0.93</v>
      </c>
      <c r="F19" s="67">
        <f>'Поставщик 4'!F11</f>
        <v>0.93</v>
      </c>
      <c r="G19" s="67">
        <f>'Поставщик 4'!G11</f>
        <v>0.92</v>
      </c>
      <c r="H19" s="67">
        <f>'Поставщик 4'!H11</f>
        <v>0.92</v>
      </c>
      <c r="I19" s="67">
        <f>'Поставщик 4'!I11</f>
        <v>0.87</v>
      </c>
      <c r="J19" s="67">
        <f>'Поставщик 4'!J11</f>
        <v>0.9</v>
      </c>
      <c r="K19" s="67">
        <f>'Поставщик 4'!K11</f>
        <v>0.85</v>
      </c>
      <c r="L19" s="67">
        <f>'Поставщик 4'!L11</f>
        <v>0.9</v>
      </c>
      <c r="M19" s="67">
        <f>'Поставщик 4'!M11</f>
        <v>0.9</v>
      </c>
      <c r="N19" s="67">
        <f>'Поставщик 4'!N11</f>
        <v>0.85</v>
      </c>
    </row>
    <row r="20">
      <c r="B20" s="22" t="inlineStr">
        <is>
          <t>Затраты на ТОиР и сервис</t>
        </is>
      </c>
      <c r="C20" s="26" t="inlineStr">
        <is>
          <t>тыс.вал/г</t>
        </is>
      </c>
      <c r="D20" s="68" t="str">
        <f>'Поставщик 4'!$D$5</f>
        <v>EUR</v>
      </c>
      <c r="E20" s="69">
        <f>'Поставщик 4'!E20</f>
        <v>230.19445277329936</v>
      </c>
      <c r="F20" s="69">
        <f>'Поставщик 4'!F20</f>
        <v>556.3407798734232</v>
      </c>
      <c r="G20" s="69">
        <f>'Поставщик 4'!G20</f>
        <v>957.5874449385964</v>
      </c>
      <c r="H20" s="69">
        <f>'Поставщик 4'!H20</f>
        <v>835.8378730869504</v>
      </c>
      <c r="I20" s="69">
        <f>'Поставщик 4'!I20</f>
        <v>1160.3627596009908</v>
      </c>
      <c r="J20" s="69">
        <f>'Поставщик 4'!J20</f>
        <v>776.3147129020167</v>
      </c>
      <c r="K20" s="69">
        <f>'Поставщик 4'!K20</f>
        <v>1139.1659959491262</v>
      </c>
      <c r="L20" s="69">
        <f>'Поставщик 4'!L20</f>
        <v>578.5511069075566</v>
      </c>
      <c r="M20" s="69">
        <f>'Поставщик 4'!M20</f>
        <v>1328.8337105615738</v>
      </c>
      <c r="N20" s="69">
        <f>'Поставщик 4'!N20</f>
        <v>714.4933467630467</v>
      </c>
    </row>
    <row r="21">
      <c r="B21" s="22" t="inlineStr">
        <is>
          <t>Удельный расход ДТ/энергии</t>
        </is>
      </c>
      <c r="C21" s="26" t="inlineStr">
        <is>
          <t>кг/час</t>
        </is>
      </c>
      <c r="E21" s="70">
        <f>'Поставщик 4'!E21</f>
        <v>76.87</v>
      </c>
      <c r="F21" s="70">
        <f>'Поставщик 4'!F21</f>
        <v>76.87</v>
      </c>
      <c r="G21" s="70">
        <f>'Поставщик 4'!G21</f>
        <v>76.87</v>
      </c>
      <c r="H21" s="70">
        <f>'Поставщик 4'!H21</f>
        <v>76.87</v>
      </c>
      <c r="I21" s="70">
        <f>'Поставщик 4'!I21</f>
        <v>76.87</v>
      </c>
      <c r="J21" s="70">
        <f>'Поставщик 4'!J21</f>
        <v>76.87</v>
      </c>
      <c r="K21" s="70">
        <f>'Поставщик 4'!K21</f>
        <v>76.87</v>
      </c>
      <c r="L21" s="70">
        <f>'Поставщик 4'!L21</f>
        <v>76.87</v>
      </c>
      <c r="M21" s="70">
        <f>'Поставщик 4'!M21</f>
        <v>76.87</v>
      </c>
      <c r="N21" s="70">
        <f>'Поставщик 4'!N21</f>
        <v>76.87</v>
      </c>
    </row>
    <row r="22">
      <c r="B22" s="5" t="str">
        <f>"Вариант 5:  "&amp;'Ввод данных'!H7</f>
        <v>Вариант 5:  HIFO 75D
(аналог DM75)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B23" s="22" t="inlineStr">
        <is>
          <t>КТГ (техготовность)</t>
        </is>
      </c>
      <c r="C23" s="26" t="inlineStr">
        <is>
          <t>коэф.</t>
        </is>
      </c>
      <c r="E23" s="67">
        <f>'Поставщик 5'!E11</f>
        <v>0.8932</v>
      </c>
      <c r="F23" s="67">
        <f>'Поставщик 5'!F11</f>
        <v>0.867</v>
      </c>
      <c r="G23" s="67">
        <f>'Поставщик 5'!G11</f>
        <v>0.8536</v>
      </c>
      <c r="H23" s="67">
        <f>'Поставщик 5'!H11</f>
        <v>0.8651</v>
      </c>
      <c r="I23" s="67">
        <f>'Поставщик 5'!I11</f>
        <v>0.8702</v>
      </c>
      <c r="J23" s="67">
        <f>'Поставщик 5'!J11</f>
        <v>0.8443</v>
      </c>
      <c r="K23" s="67">
        <f>'Поставщик 5'!K11</f>
        <v>0.8584</v>
      </c>
      <c r="L23" s="67">
        <f>'Поставщик 5'!L11</f>
        <v>0.8706</v>
      </c>
      <c r="M23" s="67">
        <f>'Поставщик 5'!M11</f>
        <v>0.8529</v>
      </c>
      <c r="N23" s="67">
        <f>'Поставщик 5'!N11</f>
        <v>0.8527</v>
      </c>
    </row>
    <row r="24">
      <c r="B24" s="22" t="inlineStr">
        <is>
          <t>Затраты на ТОиР и сервис</t>
        </is>
      </c>
      <c r="C24" s="26" t="inlineStr">
        <is>
          <t>тыс.вал/г</t>
        </is>
      </c>
      <c r="D24" s="68" t="str">
        <f>'Поставщик 5'!$D$5</f>
        <v>EUR</v>
      </c>
      <c r="E24" s="69">
        <f>'Поставщик 5'!E20</f>
        <v>166.1240112489087</v>
      </c>
      <c r="F24" s="69">
        <f>'Поставщик 5'!F20</f>
        <v>401.4934367898866</v>
      </c>
      <c r="G24" s="69">
        <f>'Поставщик 5'!G20</f>
        <v>691.0603863745447</v>
      </c>
      <c r="H24" s="69">
        <f>'Поставщик 5'!H20</f>
        <v>603.1975947209543</v>
      </c>
      <c r="I24" s="69">
        <f>'Поставщик 5'!I20</f>
        <v>837.3968781889289</v>
      </c>
      <c r="J24" s="69">
        <f>'Поставщик 5'!J20</f>
        <v>560.2416241795153</v>
      </c>
      <c r="K24" s="69">
        <f>'Поставщик 5'!K20</f>
        <v>822.0998483912098</v>
      </c>
      <c r="L24" s="69">
        <f>'Поставщик 5'!L20</f>
        <v>417.5219230266682</v>
      </c>
      <c r="M24" s="69">
        <f>'Поставщик 5'!M20</f>
        <v>958.9770023635655</v>
      </c>
      <c r="N24" s="69">
        <f>'Поставщик 5'!N20</f>
        <v>515.627111535254</v>
      </c>
    </row>
    <row r="25">
      <c r="B25" s="22" t="inlineStr">
        <is>
          <t>Удельный расход ДТ/энергии</t>
        </is>
      </c>
      <c r="C25" s="26" t="inlineStr">
        <is>
          <t>кг/час</t>
        </is>
      </c>
      <c r="E25" s="70">
        <f>'Поставщик 5'!E21</f>
        <v>75.89</v>
      </c>
      <c r="F25" s="70">
        <f>'Поставщик 5'!F21</f>
        <v>75.89</v>
      </c>
      <c r="G25" s="70">
        <f>'Поставщик 5'!G21</f>
        <v>75.89</v>
      </c>
      <c r="H25" s="70">
        <f>'Поставщик 5'!H21</f>
        <v>75.89</v>
      </c>
      <c r="I25" s="70">
        <f>'Поставщик 5'!I21</f>
        <v>75.89</v>
      </c>
      <c r="J25" s="70">
        <f>'Поставщик 5'!J21</f>
        <v>75.89</v>
      </c>
      <c r="K25" s="70">
        <f>'Поставщик 5'!K21</f>
        <v>75.89</v>
      </c>
      <c r="L25" s="70">
        <f>'Поставщик 5'!L21</f>
        <v>75.89</v>
      </c>
      <c r="M25" s="70">
        <f>'Поставщик 5'!M21</f>
        <v>75.89</v>
      </c>
      <c r="N25" s="70">
        <f>'Поставщик 5'!N21</f>
        <v>75.89</v>
      </c>
    </row>
  </sheetData>
  <mergeCells count="8">
    <mergeCell ref="B22:N22"/>
    <mergeCell ref="B14:N14"/>
    <mergeCell ref="B1:N1"/>
    <mergeCell ref="B4:N4"/>
    <mergeCell ref="B18:N18"/>
    <mergeCell ref="B6:N6"/>
    <mergeCell ref="B2:N2"/>
    <mergeCell ref="B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 (методика бурения)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(п.м/час) — физика бурения (геометрия неизменна по годам); полная погодовая таблица — с КТГ по годам.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23" t="inlineStr">
        <is>
          <t>Стоимость в рублях</t>
        </is>
      </c>
      <c r="C5" s="26" t="inlineStr">
        <is>
          <t>тыс.руб</t>
        </is>
      </c>
      <c r="D5" s="71">
        <f>'Ввод данных'!D11*IF('Ввод данных'!D12="CNY",'Параметры'!C21,IF('Ввод данных'!D12="USD",'Параметры'!C22,IF('Ввод данных'!D12="EUR",'Параметры'!C23,1)))+'Ввод данных'!D13</f>
        <v>207820.0</v>
      </c>
      <c r="E5" s="71">
        <f>'Ввод данных'!E11*IF('Ввод данных'!E12="CNY",'Параметры'!C21,IF('Ввод данных'!E12="USD",'Параметры'!C22,IF('Ввод данных'!E12="EUR",'Параметры'!C23,1)))+'Ввод данных'!E13</f>
        <v>138793.0</v>
      </c>
      <c r="F5" s="71">
        <f>'Ввод данных'!F11*IF('Ввод данных'!F12="CNY",'Параметры'!C21,IF('Ввод данных'!F12="USD",'Параметры'!C22,IF('Ввод данных'!F12="EUR",'Параметры'!C23,1)))+'Ввод данных'!F13</f>
        <v>147750.0</v>
      </c>
      <c r="G5" s="71">
        <f>'Ввод данных'!G11*IF('Ввод данных'!G12="CNY",'Параметры'!C21,IF('Ввод данных'!G12="USD",'Параметры'!C22,IF('Ввод данных'!G12="EUR",'Параметры'!C23,1)))+'Ввод данных'!G13</f>
        <v>206000.0</v>
      </c>
      <c r="H5" s="71">
        <f>'Ввод данных'!H11*IF('Ввод данных'!H12="CNY",'Параметры'!C21,IF('Ввод данных'!H12="USD",'Параметры'!C22,IF('Ввод данных'!H12="EUR",'Параметры'!C23,1)))+'Ввод данных'!H13</f>
        <v>236876.0</v>
      </c>
    </row>
    <row r="6">
      <c r="B6" s="22" t="inlineStr">
        <is>
          <t>Диаметр заряда</t>
        </is>
      </c>
      <c r="C6" s="26" t="inlineStr">
        <is>
          <t>м</t>
        </is>
      </c>
      <c r="D6" s="72">
        <f>'Ввод данных'!D17*'Параметры'!C30</f>
        <v>0.28035000000000004</v>
      </c>
      <c r="E6" s="72">
        <f>'Ввод данных'!E17*'Параметры'!C30</f>
        <v>0.28035000000000004</v>
      </c>
      <c r="F6" s="72">
        <f>'Ввод данных'!F17*'Параметры'!C30</f>
        <v>0.28035000000000004</v>
      </c>
      <c r="G6" s="72">
        <f>'Ввод данных'!G17*'Параметры'!C30</f>
        <v>0.28035000000000004</v>
      </c>
      <c r="H6" s="72">
        <f>'Ввод данных'!H17*'Параметры'!C30</f>
        <v>0.28035000000000004</v>
      </c>
    </row>
    <row r="7">
      <c r="B7" s="22" t="inlineStr">
        <is>
          <t>Теор. скорость бурения (КЗД, КИО=1)</t>
        </is>
      </c>
      <c r="C7" s="26" t="inlineStr">
        <is>
          <t>п.м/час</t>
        </is>
      </c>
      <c r="D7" s="73">
        <f>(0.1*'Ввод данных'!D16)/(POWER(2.73,0.017*'Параметры'!C29)*D6^2)</f>
        <v>18.802618635188317</v>
      </c>
      <c r="E7" s="73">
        <f>(0.1*'Ввод данных'!E16)/(POWER(2.73,0.017*'Параметры'!C29)*E6^2)</f>
        <v>20.503149585282554</v>
      </c>
      <c r="F7" s="73">
        <f>(0.1*'Ввод данных'!F16)/(POWER(2.73,0.017*'Параметры'!C29)*F6^2)</f>
        <v>23.9733387598651</v>
      </c>
      <c r="G7" s="73">
        <f>(0.1*'Ввод данных'!G16)/(POWER(2.73,0.017*'Параметры'!C29)*G6^2)</f>
        <v>23.9733387598651</v>
      </c>
      <c r="H7" s="73">
        <f>(0.1*'Ввод данных'!H16)/(POWER(2.73,0.017*'Параметры'!C29)*H6^2)</f>
        <v>18.802618635188317</v>
      </c>
    </row>
    <row r="8">
      <c r="B8" s="22" t="inlineStr">
        <is>
          <t>Время бурения скважины</t>
        </is>
      </c>
      <c r="C8" s="26" t="inlineStr">
        <is>
          <t>мин</t>
        </is>
      </c>
      <c r="D8" s="73">
        <f>'Параметры'!C31/D7*60</f>
        <v>51.56728532404705</v>
      </c>
      <c r="E8" s="73">
        <f>'Параметры'!C31/E7*60</f>
        <v>47.29029537471611</v>
      </c>
      <c r="F8" s="73">
        <f>'Параметры'!C31/F7*60</f>
        <v>40.444929665919254</v>
      </c>
      <c r="G8" s="73">
        <f>'Параметры'!C31/G7*60</f>
        <v>40.444929665919254</v>
      </c>
      <c r="H8" s="73">
        <f>'Параметры'!C31/H7*60</f>
        <v>51.56728532404705</v>
      </c>
    </row>
    <row r="9">
      <c r="B9" s="22" t="inlineStr">
        <is>
          <t>Время подъёма става</t>
        </is>
      </c>
      <c r="C9" s="26" t="inlineStr">
        <is>
          <t>мин</t>
        </is>
      </c>
      <c r="D9" s="73">
        <f>'Параметры'!C31/('Ввод данных'!D18*'Параметры'!C32)</f>
        <v>0.39223300970873787</v>
      </c>
      <c r="E9" s="73">
        <f>'Параметры'!C31/('Ввод данных'!E18*'Параметры'!C32)</f>
        <v>0.33666666666666667</v>
      </c>
      <c r="F9" s="73">
        <f>'Параметры'!C31/('Ввод данных'!F18*'Параметры'!C32)</f>
        <v>0.4488888888888889</v>
      </c>
      <c r="G9" s="73">
        <f>'Параметры'!C31/('Ввод данных'!G18*'Параметры'!C32)</f>
        <v>0.4488888888888889</v>
      </c>
      <c r="H9" s="73">
        <f>'Параметры'!C31/('Ввод данных'!H18*'Параметры'!C32)</f>
        <v>0.39223300970873787</v>
      </c>
    </row>
    <row r="10">
      <c r="B10" s="22" t="inlineStr">
        <is>
          <t>Время цикла скважины</t>
        </is>
      </c>
      <c r="C10" s="26" t="inlineStr">
        <is>
          <t>мин</t>
        </is>
      </c>
      <c r="D10" s="73">
        <f>D8+'Параметры'!C33+'Ввод данных'!D20*'Ввод данных'!D19*2+D9+'Параметры'!C34</f>
        <v>59.45951833375579</v>
      </c>
      <c r="E10" s="73">
        <f>E8+'Параметры'!C33+'Ввод данных'!E20*'Ввод данных'!E19*2+E9+'Параметры'!C34</f>
        <v>55.126962041382775</v>
      </c>
      <c r="F10" s="73">
        <f>F8+'Параметры'!C33+'Ввод данных'!F20*'Ввод данных'!F19*2+F9+'Параметры'!C34</f>
        <v>48.39381855480814</v>
      </c>
      <c r="G10" s="73">
        <f>G8+'Параметры'!C33+'Ввод данных'!G20*'Ввод данных'!G19*2+G9+'Параметры'!C34</f>
        <v>48.39381855480814</v>
      </c>
      <c r="H10" s="73">
        <f>H8+'Параметры'!C33+'Ввод данных'!H20*'Ввод данных'!H19*2+H9+'Параметры'!C34</f>
        <v>59.45951833375579</v>
      </c>
    </row>
    <row r="11">
      <c r="B11" s="22" t="inlineStr">
        <is>
          <t>Скважин за смену</t>
        </is>
      </c>
      <c r="C11" s="26" t="inlineStr">
        <is>
          <t>ед.</t>
        </is>
      </c>
      <c r="D11" s="73">
        <f>'Параметры'!C28/(D10/60)</f>
        <v>12.109078919182036</v>
      </c>
      <c r="E11" s="73">
        <f>'Параметры'!C28/(E10/60)</f>
        <v>13.06075962356695</v>
      </c>
      <c r="F11" s="73">
        <f>'Параметры'!C28/(F10/60)</f>
        <v>14.877933205137927</v>
      </c>
      <c r="G11" s="73">
        <f>'Параметры'!C28/(G10/60)</f>
        <v>14.877933205137927</v>
      </c>
      <c r="H11" s="73">
        <f>'Параметры'!C28/(H10/60)</f>
        <v>12.109078919182036</v>
      </c>
    </row>
    <row r="12">
      <c r="B12" s="57" t="inlineStr">
        <is>
          <t>Часовая производительность (по КИО)</t>
        </is>
      </c>
      <c r="C12" s="26" t="inlineStr">
        <is>
          <t>п.м/час</t>
        </is>
      </c>
      <c r="D12" s="74">
        <f>D11*'Параметры'!C31/'Параметры'!C28</f>
        <v>16.306892944498475</v>
      </c>
      <c r="E12" s="74">
        <f>E11*'Параметры'!C31/'Параметры'!C28</f>
        <v>17.588489626403494</v>
      </c>
      <c r="F12" s="74">
        <f>F11*'Параметры'!C31/'Параметры'!C28</f>
        <v>20.03561671625241</v>
      </c>
      <c r="G12" s="74">
        <f>G11*'Параметры'!C31/'Параметры'!C28</f>
        <v>20.03561671625241</v>
      </c>
      <c r="H12" s="74">
        <f>H11*'Параметры'!C31/'Параметры'!C28</f>
        <v>16.306892944498475</v>
      </c>
    </row>
    <row r="13">
      <c r="B13" s="22" t="inlineStr">
        <is>
          <t>КИО (1-й год)</t>
        </is>
      </c>
      <c r="C13" s="26" t="inlineStr">
        <is>
          <t>коэф.</t>
        </is>
      </c>
      <c r="D13" s="75">
        <f>'Данные по годам'!E7*(1-137.92/(60*'Параметры'!C28))</f>
        <v>0.7525809333333333</v>
      </c>
      <c r="E13" s="75">
        <f>'Данные по годам'!E11*(1-137.92/(60*'Параметры'!C28))</f>
        <v>0.723396088888889</v>
      </c>
      <c r="F13" s="75">
        <f>'Данные по годам'!E15*(1-137.92/(60*'Параметры'!C28))</f>
        <v>0.723396088888889</v>
      </c>
      <c r="G13" s="75">
        <f>'Данные по годам'!E19*(1-137.92/(60*'Параметры'!C28))</f>
        <v>0.7518533333333335</v>
      </c>
      <c r="H13" s="75">
        <f>'Данные по годам'!E23*(1-137.92/(60*'Параметры'!C28))</f>
        <v>0.7221025777777779</v>
      </c>
    </row>
    <row r="15">
      <c r="B15" s="5" t="inlineStr">
        <is>
          <t>ПОГОДОВАЯ ПРОИЗВОДИТЕЛЬНОСТЬ (КТГ по годам из «Данные по годам»; часовая производительность — из физики выше)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B16" s="15" t="inlineStr">
        <is>
          <t>Показатель</t>
        </is>
      </c>
      <c r="C16" s="15" t="inlineStr">
        <is>
          <t>Ед.</t>
        </is>
      </c>
      <c r="E16" s="15" t="inlineStr">
        <is>
          <t>год 1</t>
        </is>
      </c>
      <c r="F16" s="15" t="inlineStr">
        <is>
          <t>год 2</t>
        </is>
      </c>
      <c r="G16" s="15" t="inlineStr">
        <is>
          <t>год 3</t>
        </is>
      </c>
      <c r="H16" s="15" t="inlineStr">
        <is>
          <t>год 4</t>
        </is>
      </c>
      <c r="I16" s="15" t="inlineStr">
        <is>
          <t>год 5</t>
        </is>
      </c>
      <c r="J16" s="15" t="inlineStr">
        <is>
          <t>год 6</t>
        </is>
      </c>
      <c r="K16" s="15" t="inlineStr">
        <is>
          <t>год 7</t>
        </is>
      </c>
      <c r="L16" s="15" t="inlineStr">
        <is>
          <t>год 8</t>
        </is>
      </c>
      <c r="M16" s="15" t="inlineStr">
        <is>
          <t>год 9</t>
        </is>
      </c>
      <c r="N16" s="15" t="inlineStr">
        <is>
          <t>год 10</t>
        </is>
      </c>
    </row>
    <row r="17">
      <c r="B17" s="5" t="str">
        <f>"Вариант 1:  "&amp;'Ввод данных'!D7</f>
        <v>Вариант 1:  YANGZI DR75
(аналог Epiroc DM75)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B18" s="57" t="inlineStr">
        <is>
          <t>КТГ (по годам)</t>
        </is>
      </c>
      <c r="C18" s="26" t="inlineStr">
        <is>
          <t>коэф.</t>
        </is>
      </c>
      <c r="E18" s="76">
        <f>'Данные по годам'!E7</f>
        <v>0.9309</v>
      </c>
      <c r="F18" s="76">
        <f>'Данные по годам'!F7</f>
        <v>0.9172</v>
      </c>
      <c r="G18" s="76">
        <f>'Данные по годам'!G7</f>
        <v>0.9309</v>
      </c>
      <c r="H18" s="76">
        <f>'Данные по годам'!H7</f>
        <v>0.9172</v>
      </c>
      <c r="I18" s="76">
        <f>'Данные по годам'!I7</f>
        <v>0.8865</v>
      </c>
      <c r="J18" s="76">
        <f>'Данные по годам'!J7</f>
        <v>0.9172</v>
      </c>
      <c r="K18" s="76">
        <f>'Данные по годам'!K7</f>
        <v>0.8506</v>
      </c>
      <c r="L18" s="76">
        <f>'Данные по годам'!L7</f>
        <v>0.9198</v>
      </c>
      <c r="M18" s="76">
        <f>'Данные по годам'!M7</f>
        <v>0.9283</v>
      </c>
      <c r="N18" s="76">
        <f>'Данные по годам'!N7</f>
        <v>0.8532</v>
      </c>
    </row>
    <row r="19">
      <c r="B19" s="57" t="inlineStr">
        <is>
          <t>КИО</t>
        </is>
      </c>
      <c r="C19" s="26" t="inlineStr">
        <is>
          <t>коэф.</t>
        </is>
      </c>
      <c r="E19" s="76">
        <f>E18*(1-137.92/(60*'Параметры'!C28))</f>
        <v>0.7525809333333333</v>
      </c>
      <c r="F19" s="76">
        <f>F18*(1-137.92/(60*'Параметры'!C28))</f>
        <v>0.7415052444444445</v>
      </c>
      <c r="G19" s="76">
        <f>G18*(1-137.92/(60*'Параметры'!C28))</f>
        <v>0.7525809333333333</v>
      </c>
      <c r="H19" s="76">
        <f>H18*(1-137.92/(60*'Параметры'!C28))</f>
        <v>0.7415052444444445</v>
      </c>
      <c r="I19" s="76">
        <f>I18*(1-137.92/(60*'Параметры'!C28))</f>
        <v>0.716686</v>
      </c>
      <c r="J19" s="76">
        <f>J18*(1-137.92/(60*'Параметры'!C28))</f>
        <v>0.7415052444444445</v>
      </c>
      <c r="K19" s="76">
        <f>K18*(1-137.92/(60*'Параметры'!C28))</f>
        <v>0.6876628444444445</v>
      </c>
      <c r="L19" s="76">
        <f>L18*(1-137.92/(60*'Параметры'!C28))</f>
        <v>0.7436072</v>
      </c>
      <c r="M19" s="76">
        <f>M18*(1-137.92/(60*'Параметры'!C28))</f>
        <v>0.7504789777777778</v>
      </c>
      <c r="N19" s="76">
        <f>N18*(1-137.92/(60*'Параметры'!C28))</f>
        <v>0.6897648000000001</v>
      </c>
    </row>
    <row r="20">
      <c r="B20" s="57" t="inlineStr">
        <is>
          <t>Эффективное время</t>
        </is>
      </c>
      <c r="C20" s="26" t="inlineStr">
        <is>
          <t>час/год</t>
        </is>
      </c>
      <c r="E20" s="59">
        <f>'Параметры'!C27*E19</f>
        <v>6592.6089759999995</v>
      </c>
      <c r="F20" s="59">
        <f>'Параметры'!C27*F19</f>
        <v>6495.585941333335</v>
      </c>
      <c r="G20" s="59">
        <f>'Параметры'!C27*G19</f>
        <v>6592.6089759999995</v>
      </c>
      <c r="H20" s="59">
        <f>'Параметры'!C27*H19</f>
        <v>6495.585941333335</v>
      </c>
      <c r="I20" s="59">
        <f>'Параметры'!C27*I19</f>
        <v>6278.169360000001</v>
      </c>
      <c r="J20" s="59">
        <f>'Параметры'!C27*J19</f>
        <v>6495.585941333335</v>
      </c>
      <c r="K20" s="59">
        <f>'Параметры'!C27*K19</f>
        <v>6023.926517333333</v>
      </c>
      <c r="L20" s="59">
        <f>'Параметры'!C27*L19</f>
        <v>6513.9990720000005</v>
      </c>
      <c r="M20" s="59">
        <f>'Параметры'!C27*M19</f>
        <v>6574.195845333334</v>
      </c>
      <c r="N20" s="59">
        <f>'Параметры'!C27*N19</f>
        <v>6042.339648000001</v>
      </c>
    </row>
    <row r="21">
      <c r="B21" s="57" t="inlineStr">
        <is>
          <t>Объём бурения</t>
        </is>
      </c>
      <c r="C21" s="26" t="inlineStr">
        <is>
          <t>тыс.пог.м</t>
        </is>
      </c>
      <c r="E21" s="58">
        <f>'Производительность'!D12*E20/1000</f>
        <v>107.50496879657172</v>
      </c>
      <c r="F21" s="58">
        <f>'Производительность'!D12*F20/1000</f>
        <v>105.92282455711204</v>
      </c>
      <c r="G21" s="58">
        <f>'Производительность'!D12*G20/1000</f>
        <v>107.50496879657172</v>
      </c>
      <c r="H21" s="58">
        <f>'Производительность'!D12*H20/1000</f>
        <v>105.92282455711204</v>
      </c>
      <c r="I21" s="58">
        <f>'Производительность'!D12*I20/1000</f>
        <v>102.37743564095052</v>
      </c>
      <c r="J21" s="58">
        <f>'Производительность'!D12*J20/1000</f>
        <v>105.92282455711204</v>
      </c>
      <c r="K21" s="58">
        <f>'Производительность'!D12*K20/1000</f>
        <v>98.2315248236802</v>
      </c>
      <c r="L21" s="58">
        <f>'Производительность'!D12*L20/1000</f>
        <v>106.22308550766643</v>
      </c>
      <c r="M21" s="58">
        <f>'Производительность'!D12*M20/1000</f>
        <v>107.20470784601733</v>
      </c>
      <c r="N21" s="58">
        <f>'Производительность'!D12*N20/1000</f>
        <v>98.53178577423462</v>
      </c>
    </row>
    <row r="22">
      <c r="B22" s="57" t="inlineStr">
        <is>
          <t>Объём взрывания</t>
        </is>
      </c>
      <c r="C22" s="26" t="inlineStr">
        <is>
          <t>тыс.м³</t>
        </is>
      </c>
      <c r="E22" s="59">
        <f>E21*'Параметры'!C35</f>
        <v>5317.73328152242</v>
      </c>
      <c r="F22" s="59">
        <f>F21*'Параметры'!C35</f>
        <v>5239.4725167175475</v>
      </c>
      <c r="G22" s="59">
        <f>G21*'Параметры'!C35</f>
        <v>5317.73328152242</v>
      </c>
      <c r="H22" s="59">
        <f>H21*'Параметры'!C35</f>
        <v>5239.4725167175475</v>
      </c>
      <c r="I22" s="59">
        <f>I21*'Параметры'!C35</f>
        <v>5064.099853979618</v>
      </c>
      <c r="J22" s="59">
        <f>J21*'Параметры'!C35</f>
        <v>5239.4725167175475</v>
      </c>
      <c r="K22" s="59">
        <f>K21*'Параметры'!C35</f>
        <v>4859.022375403341</v>
      </c>
      <c r="L22" s="59">
        <f>L21*'Параметры'!C35</f>
        <v>5254.32492463672</v>
      </c>
      <c r="M22" s="59">
        <f>M21*'Параметры'!C35</f>
        <v>5302.880873603248</v>
      </c>
      <c r="N22" s="59">
        <f>N21*'Параметры'!C35</f>
        <v>4873.874783322516</v>
      </c>
    </row>
    <row r="24">
      <c r="B24" s="5" t="str">
        <f>"Вариант 2:  "&amp;'Ввод данных'!E7</f>
        <v>Вариант 2:  Sunward
SWDRT250SM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57" t="inlineStr">
        <is>
          <t>КТГ (по годам)</t>
        </is>
      </c>
      <c r="C25" s="26" t="inlineStr">
        <is>
          <t>коэф.</t>
        </is>
      </c>
      <c r="E25" s="76">
        <f>'Данные по годам'!E11</f>
        <v>0.8948</v>
      </c>
      <c r="F25" s="76">
        <f>'Данные по годам'!F11</f>
        <v>0.8654</v>
      </c>
      <c r="G25" s="76">
        <f>'Данные по годам'!G11</f>
        <v>0.8454</v>
      </c>
      <c r="H25" s="76">
        <f>'Данные по годам'!H11</f>
        <v>0.8748</v>
      </c>
      <c r="I25" s="76">
        <f>'Данные по годам'!I11</f>
        <v>0.8654</v>
      </c>
      <c r="J25" s="76">
        <f>'Данные по годам'!J11</f>
        <v>0.8432</v>
      </c>
      <c r="K25" s="76">
        <f>'Данные по годам'!K11</f>
        <v>0.8621</v>
      </c>
      <c r="L25" s="76">
        <f>'Данные по годам'!L11</f>
        <v>0.8654</v>
      </c>
      <c r="M25" s="76">
        <f>'Данные по годам'!M11</f>
        <v>0.8498</v>
      </c>
      <c r="N25" s="76">
        <f>'Данные по годам'!N11</f>
        <v>0.8543</v>
      </c>
    </row>
    <row r="26">
      <c r="B26" s="57" t="inlineStr">
        <is>
          <t>КИО</t>
        </is>
      </c>
      <c r="C26" s="26" t="inlineStr">
        <is>
          <t>коэф.</t>
        </is>
      </c>
      <c r="E26" s="76">
        <f>E25*(1-137.92/(60*'Параметры'!C28))</f>
        <v>0.723396088888889</v>
      </c>
      <c r="F26" s="76">
        <f>F25*(1-137.92/(60*'Параметры'!C28))</f>
        <v>0.6996278222222222</v>
      </c>
      <c r="G26" s="76">
        <f>G25*(1-137.92/(60*'Параметры'!C28))</f>
        <v>0.6834589333333334</v>
      </c>
      <c r="H26" s="76">
        <f>H25*(1-137.92/(60*'Параметры'!C28))</f>
        <v>0.7072272000000001</v>
      </c>
      <c r="I26" s="76">
        <f>I25*(1-137.92/(60*'Параметры'!C28))</f>
        <v>0.6996278222222222</v>
      </c>
      <c r="J26" s="76">
        <f>J25*(1-137.92/(60*'Параметры'!C28))</f>
        <v>0.6816803555555556</v>
      </c>
      <c r="K26" s="76">
        <f>K25*(1-137.92/(60*'Параметры'!C28))</f>
        <v>0.6969599555555556</v>
      </c>
      <c r="L26" s="76">
        <f>L25*(1-137.92/(60*'Параметры'!C28))</f>
        <v>0.6996278222222222</v>
      </c>
      <c r="M26" s="76">
        <f>M25*(1-137.92/(60*'Параметры'!C28))</f>
        <v>0.687016088888889</v>
      </c>
      <c r="N26" s="76">
        <f>N25*(1-137.92/(60*'Параметры'!C28))</f>
        <v>0.6906540888888889</v>
      </c>
    </row>
    <row r="27">
      <c r="B27" s="57" t="inlineStr">
        <is>
          <t>Эффективное время</t>
        </is>
      </c>
      <c r="C27" s="26" t="inlineStr">
        <is>
          <t>час/год</t>
        </is>
      </c>
      <c r="E27" s="59">
        <f>'Параметры'!C27*E26</f>
        <v>6336.949738666667</v>
      </c>
      <c r="F27" s="59">
        <f>'Параметры'!C27*F26</f>
        <v>6128.739722666666</v>
      </c>
      <c r="G27" s="59">
        <f>'Параметры'!C27*G26</f>
        <v>5987.100256000001</v>
      </c>
      <c r="H27" s="59">
        <f>'Параметры'!C27*H26</f>
        <v>6195.310272000001</v>
      </c>
      <c r="I27" s="59">
        <f>'Параметры'!C27*I26</f>
        <v>6128.739722666666</v>
      </c>
      <c r="J27" s="59">
        <f>'Параметры'!C27*J26</f>
        <v>5971.519914666667</v>
      </c>
      <c r="K27" s="59">
        <f>'Параметры'!C27*K26</f>
        <v>6105.369210666667</v>
      </c>
      <c r="L27" s="59">
        <f>'Параметры'!C27*L26</f>
        <v>6128.739722666666</v>
      </c>
      <c r="M27" s="59">
        <f>'Параметры'!C27*M26</f>
        <v>6018.260938666667</v>
      </c>
      <c r="N27" s="59">
        <f>'Параметры'!C27*N26</f>
        <v>6050.129818666667</v>
      </c>
    </row>
    <row r="28">
      <c r="B28" s="57" t="inlineStr">
        <is>
          <t>Объём бурения</t>
        </is>
      </c>
      <c r="C28" s="26" t="inlineStr">
        <is>
          <t>тыс.пог.м</t>
        </is>
      </c>
      <c r="E28" s="58">
        <f>'Производительность'!E12*E27/1000</f>
        <v>111.457374741579</v>
      </c>
      <c r="F28" s="58">
        <f>'Производительность'!E12*F27/1000</f>
        <v>107.79527503504968</v>
      </c>
      <c r="G28" s="58">
        <f>'Производительность'!E12*G27/1000</f>
        <v>105.30405074489371</v>
      </c>
      <c r="H28" s="58">
        <f>'Производительность'!E12*H27/1000</f>
        <v>108.96615045142302</v>
      </c>
      <c r="I28" s="58">
        <f>'Производительность'!E12*I27/1000</f>
        <v>107.79527503504968</v>
      </c>
      <c r="J28" s="58">
        <f>'Производительность'!E12*J27/1000</f>
        <v>105.03001607297655</v>
      </c>
      <c r="K28" s="58">
        <f>'Производительность'!E12*K27/1000</f>
        <v>107.38422302717396</v>
      </c>
      <c r="L28" s="58">
        <f>'Производительность'!E12*L27/1000</f>
        <v>107.79527503504968</v>
      </c>
      <c r="M28" s="58">
        <f>'Производительность'!E12*M27/1000</f>
        <v>105.85212008872803</v>
      </c>
      <c r="N28" s="58">
        <f>'Производительность'!E12*N27/1000</f>
        <v>106.41264555401312</v>
      </c>
    </row>
    <row r="29">
      <c r="B29" s="57" t="inlineStr">
        <is>
          <t>Объём взрывания</t>
        </is>
      </c>
      <c r="C29" s="26" t="inlineStr">
        <is>
          <t>тыс.м³</t>
        </is>
      </c>
      <c r="E29" s="59">
        <f>E28*'Параметры'!C35</f>
        <v>5513.2390415922055</v>
      </c>
      <c r="F29" s="59">
        <f>F28*'Параметры'!C35</f>
        <v>5332.093279608733</v>
      </c>
      <c r="G29" s="59">
        <f>G28*'Параметры'!C35</f>
        <v>5208.864870096168</v>
      </c>
      <c r="H29" s="59">
        <f>H28*'Параметры'!C35</f>
        <v>5390.01063207964</v>
      </c>
      <c r="I29" s="59">
        <f>I28*'Параметры'!C35</f>
        <v>5332.093279608733</v>
      </c>
      <c r="J29" s="59">
        <f>J28*'Параметры'!C35</f>
        <v>5195.309745049785</v>
      </c>
      <c r="K29" s="59">
        <f>K28*'Параметры'!C35</f>
        <v>5311.760592039161</v>
      </c>
      <c r="L29" s="59">
        <f>L28*'Параметры'!C35</f>
        <v>5332.093279608733</v>
      </c>
      <c r="M29" s="59">
        <f>M28*'Параметры'!C35</f>
        <v>5235.975120188932</v>
      </c>
      <c r="N29" s="59">
        <f>N28*'Параметры'!C35</f>
        <v>5263.7015123292595</v>
      </c>
    </row>
    <row r="31">
      <c r="B31" s="5" t="str">
        <f>"Вариант 3:  "&amp;'Ввод данных'!F7</f>
        <v>Вариант 3:  Sunward
SWDRT270SM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57" t="inlineStr">
        <is>
          <t>КТГ (по годам)</t>
        </is>
      </c>
      <c r="C32" s="26" t="inlineStr">
        <is>
          <t>коэф.</t>
        </is>
      </c>
      <c r="E32" s="76">
        <f>'Данные по годам'!E15</f>
        <v>0.8948</v>
      </c>
      <c r="F32" s="76">
        <f>'Данные по годам'!F15</f>
        <v>0.8654</v>
      </c>
      <c r="G32" s="76">
        <f>'Данные по годам'!G15</f>
        <v>0.8454</v>
      </c>
      <c r="H32" s="76">
        <f>'Данные по годам'!H15</f>
        <v>0.8748</v>
      </c>
      <c r="I32" s="76">
        <f>'Данные по годам'!I15</f>
        <v>0.8654</v>
      </c>
      <c r="J32" s="76">
        <f>'Данные по годам'!J15</f>
        <v>0.8432</v>
      </c>
      <c r="K32" s="76">
        <f>'Данные по годам'!K15</f>
        <v>0.8621</v>
      </c>
      <c r="L32" s="76">
        <f>'Данные по годам'!L15</f>
        <v>0.8654</v>
      </c>
      <c r="M32" s="76">
        <f>'Данные по годам'!M15</f>
        <v>0.8498</v>
      </c>
      <c r="N32" s="76">
        <f>'Данные по годам'!N15</f>
        <v>0.8543</v>
      </c>
    </row>
    <row r="33">
      <c r="B33" s="57" t="inlineStr">
        <is>
          <t>КИО</t>
        </is>
      </c>
      <c r="C33" s="26" t="inlineStr">
        <is>
          <t>коэф.</t>
        </is>
      </c>
      <c r="E33" s="76">
        <f>E32*(1-137.92/(60*'Параметры'!C28))</f>
        <v>0.723396088888889</v>
      </c>
      <c r="F33" s="76">
        <f>F32*(1-137.92/(60*'Параметры'!C28))</f>
        <v>0.6996278222222222</v>
      </c>
      <c r="G33" s="76">
        <f>G32*(1-137.92/(60*'Параметры'!C28))</f>
        <v>0.6834589333333334</v>
      </c>
      <c r="H33" s="76">
        <f>H32*(1-137.92/(60*'Параметры'!C28))</f>
        <v>0.7072272000000001</v>
      </c>
      <c r="I33" s="76">
        <f>I32*(1-137.92/(60*'Параметры'!C28))</f>
        <v>0.6996278222222222</v>
      </c>
      <c r="J33" s="76">
        <f>J32*(1-137.92/(60*'Параметры'!C28))</f>
        <v>0.6816803555555556</v>
      </c>
      <c r="K33" s="76">
        <f>K32*(1-137.92/(60*'Параметры'!C28))</f>
        <v>0.6969599555555556</v>
      </c>
      <c r="L33" s="76">
        <f>L32*(1-137.92/(60*'Параметры'!C28))</f>
        <v>0.6996278222222222</v>
      </c>
      <c r="M33" s="76">
        <f>M32*(1-137.92/(60*'Параметры'!C28))</f>
        <v>0.687016088888889</v>
      </c>
      <c r="N33" s="76">
        <f>N32*(1-137.92/(60*'Параметры'!C28))</f>
        <v>0.6906540888888889</v>
      </c>
    </row>
    <row r="34">
      <c r="B34" s="57" t="inlineStr">
        <is>
          <t>Эффективное время</t>
        </is>
      </c>
      <c r="C34" s="26" t="inlineStr">
        <is>
          <t>час/год</t>
        </is>
      </c>
      <c r="E34" s="59">
        <f>'Параметры'!C27*E33</f>
        <v>6336.949738666667</v>
      </c>
      <c r="F34" s="59">
        <f>'Параметры'!C27*F33</f>
        <v>6128.739722666666</v>
      </c>
      <c r="G34" s="59">
        <f>'Параметры'!C27*G33</f>
        <v>5987.100256000001</v>
      </c>
      <c r="H34" s="59">
        <f>'Параметры'!C27*H33</f>
        <v>6195.310272000001</v>
      </c>
      <c r="I34" s="59">
        <f>'Параметры'!C27*I33</f>
        <v>6128.739722666666</v>
      </c>
      <c r="J34" s="59">
        <f>'Параметры'!C27*J33</f>
        <v>5971.519914666667</v>
      </c>
      <c r="K34" s="59">
        <f>'Параметры'!C27*K33</f>
        <v>6105.369210666667</v>
      </c>
      <c r="L34" s="59">
        <f>'Параметры'!C27*L33</f>
        <v>6128.739722666666</v>
      </c>
      <c r="M34" s="59">
        <f>'Параметры'!C27*M33</f>
        <v>6018.260938666667</v>
      </c>
      <c r="N34" s="59">
        <f>'Параметры'!C27*N33</f>
        <v>6050.129818666667</v>
      </c>
    </row>
    <row r="35">
      <c r="B35" s="57" t="inlineStr">
        <is>
          <t>Объём бурения</t>
        </is>
      </c>
      <c r="C35" s="26" t="inlineStr">
        <is>
          <t>тыс.пог.м</t>
        </is>
      </c>
      <c r="E35" s="58">
        <f>'Производительность'!F12*E34/1000</f>
        <v>126.96469611408122</v>
      </c>
      <c r="F35" s="58">
        <f>'Производительность'!F12*F34/1000</f>
        <v>122.7930800370204</v>
      </c>
      <c r="G35" s="58">
        <f>'Производительность'!F12*G34/1000</f>
        <v>119.95524597099269</v>
      </c>
      <c r="H35" s="58">
        <f>'Производительность'!F12*H34/1000</f>
        <v>124.12686204805347</v>
      </c>
      <c r="I35" s="58">
        <f>'Производительность'!F12*I34/1000</f>
        <v>122.7930800370204</v>
      </c>
      <c r="J35" s="58">
        <f>'Производительность'!F12*J34/1000</f>
        <v>119.64308422372964</v>
      </c>
      <c r="K35" s="58">
        <f>'Производительность'!F12*K34/1000</f>
        <v>122.32483741612585</v>
      </c>
      <c r="L35" s="58">
        <f>'Производительность'!F12*L34/1000</f>
        <v>122.7930800370204</v>
      </c>
      <c r="M35" s="58">
        <f>'Производительность'!F12*M34/1000</f>
        <v>120.5795694655188</v>
      </c>
      <c r="N35" s="58">
        <f>'Производительность'!F12*N34/1000</f>
        <v>121.21808213037504</v>
      </c>
    </row>
    <row r="36">
      <c r="B36" s="57" t="inlineStr">
        <is>
          <t>Объём взрывания</t>
        </is>
      </c>
      <c r="C36" s="26" t="inlineStr">
        <is>
          <t>тыс.м³</t>
        </is>
      </c>
      <c r="E36" s="59">
        <f>E35*'Параметры'!C35</f>
        <v>6280.308693283028</v>
      </c>
      <c r="F36" s="59">
        <f>F35*'Параметры'!C35</f>
        <v>6073.959704031215</v>
      </c>
      <c r="G36" s="59">
        <f>G35*'Параметры'!C35</f>
        <v>5933.586241955154</v>
      </c>
      <c r="H36" s="59">
        <f>H35*'Параметры'!C35</f>
        <v>6139.935231206965</v>
      </c>
      <c r="I36" s="59">
        <f>I35*'Параметры'!C35</f>
        <v>6073.959704031215</v>
      </c>
      <c r="J36" s="59">
        <f>J35*'Параметры'!C35</f>
        <v>5918.145161126788</v>
      </c>
      <c r="K36" s="59">
        <f>K35*'Параметры'!C35</f>
        <v>6050.798082788665</v>
      </c>
      <c r="L36" s="59">
        <f>L35*'Параметры'!C35</f>
        <v>6073.959704031215</v>
      </c>
      <c r="M36" s="59">
        <f>M35*'Параметры'!C35</f>
        <v>5964.468403611888</v>
      </c>
      <c r="N36" s="59">
        <f>N35*'Параметры'!C35</f>
        <v>5996.052432579002</v>
      </c>
    </row>
    <row r="38">
      <c r="B38" s="5" t="str">
        <f>"Вариант 4:  "&amp;'Ввод данных'!G7</f>
        <v>Вариант 4:  Sunward
SWDRT270B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B39" s="57" t="inlineStr">
        <is>
          <t>КТГ (по годам)</t>
        </is>
      </c>
      <c r="C39" s="26" t="inlineStr">
        <is>
          <t>коэф.</t>
        </is>
      </c>
      <c r="E39" s="76">
        <f>'Данные по годам'!E19</f>
        <v>0.93</v>
      </c>
      <c r="F39" s="76">
        <f>'Данные по годам'!F19</f>
        <v>0.93</v>
      </c>
      <c r="G39" s="76">
        <f>'Данные по годам'!G19</f>
        <v>0.92</v>
      </c>
      <c r="H39" s="76">
        <f>'Данные по годам'!H19</f>
        <v>0.92</v>
      </c>
      <c r="I39" s="76">
        <f>'Данные по годам'!I19</f>
        <v>0.87</v>
      </c>
      <c r="J39" s="76">
        <f>'Данные по годам'!J19</f>
        <v>0.9</v>
      </c>
      <c r="K39" s="76">
        <f>'Данные по годам'!K19</f>
        <v>0.85</v>
      </c>
      <c r="L39" s="76">
        <f>'Данные по годам'!L19</f>
        <v>0.9</v>
      </c>
      <c r="M39" s="76">
        <f>'Данные по годам'!M19</f>
        <v>0.9</v>
      </c>
      <c r="N39" s="76">
        <f>'Данные по годам'!N19</f>
        <v>0.85</v>
      </c>
    </row>
    <row r="40">
      <c r="B40" s="57" t="inlineStr">
        <is>
          <t>КИО</t>
        </is>
      </c>
      <c r="C40" s="26" t="inlineStr">
        <is>
          <t>коэф.</t>
        </is>
      </c>
      <c r="E40" s="76">
        <f>E39*(1-137.92/(60*'Параметры'!C28))</f>
        <v>0.7518533333333335</v>
      </c>
      <c r="F40" s="76">
        <f>F39*(1-137.92/(60*'Параметры'!C28))</f>
        <v>0.7518533333333335</v>
      </c>
      <c r="G40" s="76">
        <f>G39*(1-137.92/(60*'Параметры'!C28))</f>
        <v>0.743768888888889</v>
      </c>
      <c r="H40" s="76">
        <f>H39*(1-137.92/(60*'Параметры'!C28))</f>
        <v>0.743768888888889</v>
      </c>
      <c r="I40" s="76">
        <f>I39*(1-137.92/(60*'Параметры'!C28))</f>
        <v>0.7033466666666667</v>
      </c>
      <c r="J40" s="76">
        <f>J39*(1-137.92/(60*'Параметры'!C28))</f>
        <v>0.7276000000000001</v>
      </c>
      <c r="K40" s="76">
        <f>K39*(1-137.92/(60*'Параметры'!C28))</f>
        <v>0.6871777777777778</v>
      </c>
      <c r="L40" s="76">
        <f>L39*(1-137.92/(60*'Параметры'!C28))</f>
        <v>0.7276000000000001</v>
      </c>
      <c r="M40" s="76">
        <f>M39*(1-137.92/(60*'Параметры'!C28))</f>
        <v>0.7276000000000001</v>
      </c>
      <c r="N40" s="76">
        <f>N39*(1-137.92/(60*'Параметры'!C28))</f>
        <v>0.6871777777777778</v>
      </c>
    </row>
    <row r="41">
      <c r="B41" s="57" t="inlineStr">
        <is>
          <t>Эффективное время</t>
        </is>
      </c>
      <c r="C41" s="26" t="inlineStr">
        <is>
          <t>час/год</t>
        </is>
      </c>
      <c r="E41" s="59">
        <f>'Параметры'!C27*E40</f>
        <v>6586.235200000001</v>
      </c>
      <c r="F41" s="59">
        <f>'Параметры'!C27*F40</f>
        <v>6586.235200000001</v>
      </c>
      <c r="G41" s="59">
        <f>'Параметры'!C27*G40</f>
        <v>6515.415466666668</v>
      </c>
      <c r="H41" s="59">
        <f>'Параметры'!C27*H40</f>
        <v>6515.415466666668</v>
      </c>
      <c r="I41" s="59">
        <f>'Параметры'!C27*I40</f>
        <v>6161.3168000000005</v>
      </c>
      <c r="J41" s="59">
        <f>'Параметры'!C27*J40</f>
        <v>6373.776000000001</v>
      </c>
      <c r="K41" s="59">
        <f>'Параметры'!C27*K40</f>
        <v>6019.677333333333</v>
      </c>
      <c r="L41" s="59">
        <f>'Параметры'!C27*L40</f>
        <v>6373.776000000001</v>
      </c>
      <c r="M41" s="59">
        <f>'Параметры'!C27*M40</f>
        <v>6373.776000000001</v>
      </c>
      <c r="N41" s="59">
        <f>'Параметры'!C27*N40</f>
        <v>6019.677333333333</v>
      </c>
    </row>
    <row r="42">
      <c r="B42" s="57" t="inlineStr">
        <is>
          <t>Объём бурения</t>
        </is>
      </c>
      <c r="C42" s="26" t="inlineStr">
        <is>
          <t>тыс.пог.м</t>
        </is>
      </c>
      <c r="E42" s="58">
        <f>'Производительность'!G12*E41/1000</f>
        <v>131.95928407029004</v>
      </c>
      <c r="F42" s="58">
        <f>'Производительность'!G12*F41/1000</f>
        <v>131.95928407029004</v>
      </c>
      <c r="G42" s="58">
        <f>'Производительность'!G12*G41/1000</f>
        <v>130.54036703727618</v>
      </c>
      <c r="H42" s="58">
        <f>'Производительность'!G12*H41/1000</f>
        <v>130.54036703727618</v>
      </c>
      <c r="I42" s="58">
        <f>'Производительность'!G12*I41/1000</f>
        <v>123.44578187220682</v>
      </c>
      <c r="J42" s="58">
        <f>'Производительность'!G12*J41/1000</f>
        <v>127.70253297124844</v>
      </c>
      <c r="K42" s="58">
        <f>'Производительность'!G12*K41/1000</f>
        <v>120.60794780617906</v>
      </c>
      <c r="L42" s="58">
        <f>'Производительность'!G12*L41/1000</f>
        <v>127.70253297124844</v>
      </c>
      <c r="M42" s="58">
        <f>'Производительность'!G12*M41/1000</f>
        <v>127.70253297124844</v>
      </c>
      <c r="N42" s="58">
        <f>'Производительность'!G12*N41/1000</f>
        <v>120.60794780617906</v>
      </c>
    </row>
    <row r="43">
      <c r="B43" s="57" t="inlineStr">
        <is>
          <t>Объём взрывания</t>
        </is>
      </c>
      <c r="C43" s="26" t="inlineStr">
        <is>
          <t>тыс.м³</t>
        </is>
      </c>
      <c r="E43" s="59">
        <f>E42*'Параметры'!C35</f>
        <v>6527.365986536897</v>
      </c>
      <c r="F43" s="59">
        <f>F42*'Параметры'!C35</f>
        <v>6527.365986536897</v>
      </c>
      <c r="G43" s="59">
        <f>G42*'Параметры'!C35</f>
        <v>6457.179255498867</v>
      </c>
      <c r="H43" s="59">
        <f>H42*'Параметры'!C35</f>
        <v>6457.179255498867</v>
      </c>
      <c r="I43" s="59">
        <f>I42*'Параметры'!C35</f>
        <v>6106.245600308711</v>
      </c>
      <c r="J43" s="59">
        <f>J42*'Параметры'!C35</f>
        <v>6316.8057934228045</v>
      </c>
      <c r="K43" s="59">
        <f>K42*'Параметры'!C35</f>
        <v>5965.872138232648</v>
      </c>
      <c r="L43" s="59">
        <f>L42*'Параметры'!C35</f>
        <v>6316.8057934228045</v>
      </c>
      <c r="M43" s="59">
        <f>M42*'Параметры'!C35</f>
        <v>6316.8057934228045</v>
      </c>
      <c r="N43" s="59">
        <f>N42*'Параметры'!C35</f>
        <v>5965.872138232648</v>
      </c>
    </row>
    <row r="45">
      <c r="B45" s="5" t="str">
        <f>"Вариант 5:  "&amp;'Ввод данных'!H7</f>
        <v>Вариант 5:  HIFO 75D
(аналог DM75)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57" t="inlineStr">
        <is>
          <t>КТГ (по годам)</t>
        </is>
      </c>
      <c r="C46" s="26" t="inlineStr">
        <is>
          <t>коэф.</t>
        </is>
      </c>
      <c r="E46" s="76">
        <f>'Данные по годам'!E23</f>
        <v>0.8932</v>
      </c>
      <c r="F46" s="76">
        <f>'Данные по годам'!F23</f>
        <v>0.867</v>
      </c>
      <c r="G46" s="76">
        <f>'Данные по годам'!G23</f>
        <v>0.8536</v>
      </c>
      <c r="H46" s="76">
        <f>'Данные по годам'!H23</f>
        <v>0.8651</v>
      </c>
      <c r="I46" s="76">
        <f>'Данные по годам'!I23</f>
        <v>0.8702</v>
      </c>
      <c r="J46" s="76">
        <f>'Данные по годам'!J23</f>
        <v>0.8443</v>
      </c>
      <c r="K46" s="76">
        <f>'Данные по годам'!K23</f>
        <v>0.8584</v>
      </c>
      <c r="L46" s="76">
        <f>'Данные по годам'!L23</f>
        <v>0.8706</v>
      </c>
      <c r="M46" s="76">
        <f>'Данные по годам'!M23</f>
        <v>0.8529</v>
      </c>
      <c r="N46" s="76">
        <f>'Данные по годам'!N23</f>
        <v>0.8527</v>
      </c>
    </row>
    <row r="47">
      <c r="B47" s="57" t="inlineStr">
        <is>
          <t>КИО</t>
        </is>
      </c>
      <c r="C47" s="26" t="inlineStr">
        <is>
          <t>коэф.</t>
        </is>
      </c>
      <c r="E47" s="76">
        <f>E46*(1-137.92/(60*'Параметры'!C28))</f>
        <v>0.7221025777777779</v>
      </c>
      <c r="F47" s="76">
        <f>F46*(1-137.92/(60*'Параметры'!C28))</f>
        <v>0.7009213333333334</v>
      </c>
      <c r="G47" s="76">
        <f>G46*(1-137.92/(60*'Параметры'!C28))</f>
        <v>0.6900881777777779</v>
      </c>
      <c r="H47" s="76">
        <f>H46*(1-137.92/(60*'Параметры'!C28))</f>
        <v>0.699385288888889</v>
      </c>
      <c r="I47" s="76">
        <f>I46*(1-137.92/(60*'Параметры'!C28))</f>
        <v>0.7035083555555556</v>
      </c>
      <c r="J47" s="76">
        <f>J46*(1-137.92/(60*'Параметры'!C28))</f>
        <v>0.6825696444444446</v>
      </c>
      <c r="K47" s="76">
        <f>K46*(1-137.92/(60*'Параметры'!C28))</f>
        <v>0.6939687111111112</v>
      </c>
      <c r="L47" s="76">
        <f>L46*(1-137.92/(60*'Параметры'!C28))</f>
        <v>0.7038317333333335</v>
      </c>
      <c r="M47" s="76">
        <f>M46*(1-137.92/(60*'Параметры'!C28))</f>
        <v>0.6895222666666667</v>
      </c>
      <c r="N47" s="76">
        <f>N46*(1-137.92/(60*'Параметры'!C28))</f>
        <v>0.6893605777777778</v>
      </c>
    </row>
    <row r="48">
      <c r="B48" s="57" t="inlineStr">
        <is>
          <t>Эффективное время</t>
        </is>
      </c>
      <c r="C48" s="26" t="inlineStr">
        <is>
          <t>час/год</t>
        </is>
      </c>
      <c r="E48" s="59">
        <f>'Параметры'!C27*E47</f>
        <v>6325.618581333334</v>
      </c>
      <c r="F48" s="59">
        <f>'Параметры'!C27*F47</f>
        <v>6140.07088</v>
      </c>
      <c r="G48" s="59">
        <f>'Параметры'!C27*G47</f>
        <v>6045.1724373333345</v>
      </c>
      <c r="H48" s="59">
        <f>'Параметры'!C27*H47</f>
        <v>6126.615130666667</v>
      </c>
      <c r="I48" s="59">
        <f>'Параметры'!C27*I47</f>
        <v>6162.733194666667</v>
      </c>
      <c r="J48" s="59">
        <f>'Параметры'!C27*J47</f>
        <v>5979.310085333334</v>
      </c>
      <c r="K48" s="59">
        <f>'Параметры'!C27*K47</f>
        <v>6079.165909333335</v>
      </c>
      <c r="L48" s="59">
        <f>'Параметры'!C27*L47</f>
        <v>6165.565984000002</v>
      </c>
      <c r="M48" s="59">
        <f>'Параметры'!C27*M47</f>
        <v>6040.215056</v>
      </c>
      <c r="N48" s="59">
        <f>'Параметры'!C27*N47</f>
        <v>6038.798661333333</v>
      </c>
    </row>
    <row r="49">
      <c r="B49" s="57" t="inlineStr">
        <is>
          <t>Объём бурения</t>
        </is>
      </c>
      <c r="C49" s="26" t="inlineStr">
        <is>
          <t>тыс.пог.м</t>
        </is>
      </c>
      <c r="E49" s="58">
        <f>'Производительность'!H12*E48/1000</f>
        <v>103.15118501353301</v>
      </c>
      <c r="F49" s="58">
        <f>'Производительность'!H12*F48/1000</f>
        <v>100.12547851179255</v>
      </c>
      <c r="G49" s="58">
        <f>'Производительность'!H12*G48/1000</f>
        <v>98.57797976662759</v>
      </c>
      <c r="H49" s="58">
        <f>'Производительность'!H12*H48/1000</f>
        <v>99.90605704792587</v>
      </c>
      <c r="I49" s="58">
        <f>'Производительность'!H12*I48/1000</f>
        <v>100.49503045093643</v>
      </c>
      <c r="J49" s="58">
        <f>'Производительность'!H12*J48/1000</f>
        <v>97.50396944349073</v>
      </c>
      <c r="K49" s="58">
        <f>'Производительность'!H12*K48/1000</f>
        <v>99.13230767534341</v>
      </c>
      <c r="L49" s="58">
        <f>'Производительность'!H12*L48/1000</f>
        <v>100.54122444332943</v>
      </c>
      <c r="M49" s="58">
        <f>'Производительность'!H12*M48/1000</f>
        <v>98.49714027993987</v>
      </c>
      <c r="N49" s="58">
        <f>'Производительность'!H12*N48/1000</f>
        <v>98.47404328374337</v>
      </c>
    </row>
    <row r="50">
      <c r="B50" s="57" t="inlineStr">
        <is>
          <t>Объём взрывания</t>
        </is>
      </c>
      <c r="C50" s="26" t="inlineStr">
        <is>
          <t>тыс.м³</t>
        </is>
      </c>
      <c r="E50" s="59">
        <f>E49*'Параметры'!C35</f>
        <v>5102.373366694411</v>
      </c>
      <c r="F50" s="59">
        <f>F49*'Параметры'!C35</f>
        <v>4952.706794585819</v>
      </c>
      <c r="G50" s="59">
        <f>G49*'Параметры'!C35</f>
        <v>4876.159769156234</v>
      </c>
      <c r="H50" s="59">
        <f>H49*'Параметры'!C35</f>
        <v>4941.853111875654</v>
      </c>
      <c r="I50" s="59">
        <f>I49*'Параметры'!C35</f>
        <v>4970.986681255571</v>
      </c>
      <c r="J50" s="59">
        <f>J49*'Параметры'!C35</f>
        <v>4823.033848522269</v>
      </c>
      <c r="K50" s="59">
        <f>K49*'Параметры'!C35</f>
        <v>4903.579599160862</v>
      </c>
      <c r="L50" s="59">
        <f>L49*'Параметры'!C35</f>
        <v>4973.2716670892905</v>
      </c>
      <c r="M50" s="59">
        <f>M49*'Параметры'!C35</f>
        <v>4872.161043947226</v>
      </c>
      <c r="N50" s="59">
        <f>N49*'Параметры'!C35</f>
        <v>4871.018551030366</v>
      </c>
    </row>
  </sheetData>
  <mergeCells count="8">
    <mergeCell ref="B31:N31"/>
    <mergeCell ref="B45:N45"/>
    <mergeCell ref="B1:N1"/>
    <mergeCell ref="B38:N38"/>
    <mergeCell ref="B17:N17"/>
    <mergeCell ref="B15:N15"/>
    <mergeCell ref="B24:N24"/>
    <mergeCell ref="B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12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7" t="inlineStr">
        <is>
          <t>Период</t>
        </is>
      </c>
      <c r="D4" s="78" t="n">
        <v>0</v>
      </c>
      <c r="E4" s="78" t="n">
        <v>1</v>
      </c>
      <c r="F4" s="78" t="n">
        <v>2</v>
      </c>
      <c r="G4" s="78" t="n">
        <v>3</v>
      </c>
      <c r="H4" s="78" t="n">
        <v>4</v>
      </c>
      <c r="I4" s="78" t="n">
        <v>5</v>
      </c>
      <c r="J4" s="78" t="n">
        <v>6</v>
      </c>
      <c r="K4" s="78" t="n">
        <v>7</v>
      </c>
      <c r="L4" s="78" t="n">
        <v>8</v>
      </c>
      <c r="M4" s="78" t="n">
        <v>9</v>
      </c>
      <c r="N4" s="78" t="n">
        <v>10</v>
      </c>
    </row>
    <row r="5">
      <c r="B5" s="33" t="inlineStr">
        <is>
          <t>Календарный год</t>
        </is>
      </c>
      <c r="D5" s="26" t="n">
        <v>2027</v>
      </c>
      <c r="E5" s="26" t="n">
        <v>2028</v>
      </c>
      <c r="F5" s="26" t="n">
        <v>2029</v>
      </c>
      <c r="G5" s="26" t="n">
        <v>2030</v>
      </c>
      <c r="H5" s="26" t="n">
        <v>2031</v>
      </c>
      <c r="I5" s="26" t="n">
        <v>2032</v>
      </c>
      <c r="J5" s="26" t="n">
        <v>2033</v>
      </c>
      <c r="K5" s="26" t="n">
        <v>2034</v>
      </c>
      <c r="L5" s="26" t="n">
        <v>2035</v>
      </c>
      <c r="M5" s="26" t="n">
        <v>2036</v>
      </c>
      <c r="N5" s="26" t="n">
        <v>2037</v>
      </c>
    </row>
    <row r="6">
      <c r="B6" s="77" t="inlineStr">
        <is>
          <t>Дисконт-фактор</t>
        </is>
      </c>
      <c r="D6" s="79">
        <f>1/(1+'Параметры'!C6)^D$4</f>
        <v>1.0</v>
      </c>
      <c r="E6" s="79">
        <f>1/(1+'Параметры'!C6)^E$4</f>
        <v>0.8928571428571428</v>
      </c>
      <c r="F6" s="79">
        <f>1/(1+'Параметры'!C6)^F$4</f>
        <v>0.7971938775510203</v>
      </c>
      <c r="G6" s="79">
        <f>1/(1+'Параметры'!C6)^G$4</f>
        <v>0.7117802478134109</v>
      </c>
      <c r="H6" s="79">
        <f>1/(1+'Параметры'!C6)^H$4</f>
        <v>0.6355180784048311</v>
      </c>
      <c r="I6" s="79">
        <f>1/(1+'Параметры'!C6)^I$4</f>
        <v>0.5674268557185992</v>
      </c>
      <c r="J6" s="79">
        <f>1/(1+'Параметры'!C6)^J$4</f>
        <v>0.5066311211773206</v>
      </c>
      <c r="K6" s="79">
        <f>1/(1+'Параметры'!C6)^K$4</f>
        <v>0.4523492153368934</v>
      </c>
      <c r="L6" s="79">
        <f>1/(1+'Параметры'!C6)^L$4</f>
        <v>0.40388322797936904</v>
      </c>
      <c r="M6" s="79">
        <f>1/(1+'Параметры'!C6)^M$4</f>
        <v>0.36061002498157946</v>
      </c>
      <c r="N6" s="79">
        <f>1/(1+'Параметры'!C6)^N$4</f>
        <v>0.32197323659069593</v>
      </c>
    </row>
    <row r="8">
      <c r="B8" s="5" t="str">
        <f>"Вариант 1:  "&amp;'Ввод данных'!D7</f>
        <v>Вариант 1:  YANGZI DR75
(аналог Epiroc DM75)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6" t="inlineStr">
        <is>
          <t>коэф.</t>
        </is>
      </c>
      <c r="D9" s="75" t="n"/>
      <c r="E9" s="75">
        <f>'Данные по годам'!E7</f>
        <v>0.9309</v>
      </c>
      <c r="F9" s="75">
        <f>'Данные по годам'!F7</f>
        <v>0.9172</v>
      </c>
      <c r="G9" s="75">
        <f>'Данные по годам'!G7</f>
        <v>0.9309</v>
      </c>
      <c r="H9" s="75">
        <f>'Данные по годам'!H7</f>
        <v>0.9172</v>
      </c>
      <c r="I9" s="75">
        <f>'Данные по годам'!I7</f>
        <v>0.8865</v>
      </c>
      <c r="J9" s="75">
        <f>'Данные по годам'!J7</f>
        <v>0.9172</v>
      </c>
      <c r="K9" s="75">
        <f>'Данные по годам'!K7</f>
        <v>0.8506</v>
      </c>
      <c r="L9" s="75">
        <f>'Данные по годам'!L7</f>
        <v>0.9198</v>
      </c>
      <c r="M9" s="75">
        <f>'Данные по годам'!M7</f>
        <v>0.9283</v>
      </c>
      <c r="N9" s="75">
        <f>'Данные по годам'!N7</f>
        <v>0.8532</v>
      </c>
    </row>
    <row r="10">
      <c r="B10" s="22" t="inlineStr">
        <is>
          <t>Эффективное время</t>
        </is>
      </c>
      <c r="C10" s="26" t="inlineStr">
        <is>
          <t>час/год</t>
        </is>
      </c>
      <c r="D10" s="71" t="n"/>
      <c r="E10" s="71">
        <f>'Параметры'!C27*E9*(1-137.92/(60*'Параметры'!C28))</f>
        <v>6592.608976</v>
      </c>
      <c r="F10" s="71">
        <f>'Параметры'!C27*F9*(1-137.92/(60*'Параметры'!C28))</f>
        <v>6495.585941333335</v>
      </c>
      <c r="G10" s="71">
        <f>'Параметры'!C27*G9*(1-137.92/(60*'Параметры'!C28))</f>
        <v>6592.608976</v>
      </c>
      <c r="H10" s="71">
        <f>'Параметры'!C27*H9*(1-137.92/(60*'Параметры'!C28))</f>
        <v>6495.585941333335</v>
      </c>
      <c r="I10" s="71">
        <f>'Параметры'!C27*I9*(1-137.92/(60*'Параметры'!C28))</f>
        <v>6278.169360000001</v>
      </c>
      <c r="J10" s="71">
        <f>'Параметры'!C27*J9*(1-137.92/(60*'Параметры'!C28))</f>
        <v>6495.585941333335</v>
      </c>
      <c r="K10" s="71">
        <f>'Параметры'!C27*K9*(1-137.92/(60*'Параметры'!C28))</f>
        <v>6023.926517333334</v>
      </c>
      <c r="L10" s="71">
        <f>'Параметры'!C27*L9*(1-137.92/(60*'Параметры'!C28))</f>
        <v>6513.9990720000005</v>
      </c>
      <c r="M10" s="71">
        <f>'Параметры'!C27*M9*(1-137.92/(60*'Параметры'!C28))</f>
        <v>6574.195845333335</v>
      </c>
      <c r="N10" s="71">
        <f>'Параметры'!C27*N9*(1-137.92/(60*'Параметры'!C28))</f>
        <v>6042.339648</v>
      </c>
    </row>
    <row r="11">
      <c r="B11" s="22" t="inlineStr">
        <is>
          <t>Объём бурения</t>
        </is>
      </c>
      <c r="C11" s="26" t="inlineStr">
        <is>
          <t>тыс.пог.м</t>
        </is>
      </c>
      <c r="D11" s="80" t="n"/>
      <c r="E11" s="80">
        <f>'Производительность'!D12*E10/1000</f>
        <v>107.50496879657173</v>
      </c>
      <c r="F11" s="80">
        <f>'Производительность'!D12*F10/1000</f>
        <v>105.92282455711204</v>
      </c>
      <c r="G11" s="80">
        <f>'Производительность'!D12*G10/1000</f>
        <v>107.50496879657173</v>
      </c>
      <c r="H11" s="80">
        <f>'Производительность'!D12*H10/1000</f>
        <v>105.92282455711204</v>
      </c>
      <c r="I11" s="80">
        <f>'Производительность'!D12*I10/1000</f>
        <v>102.37743564095052</v>
      </c>
      <c r="J11" s="80">
        <f>'Производительность'!D12*J10/1000</f>
        <v>105.92282455711204</v>
      </c>
      <c r="K11" s="80">
        <f>'Производительность'!D12*K10/1000</f>
        <v>98.23152482368022</v>
      </c>
      <c r="L11" s="80">
        <f>'Производительность'!D12*L10/1000</f>
        <v>106.22308550766643</v>
      </c>
      <c r="M11" s="80">
        <f>'Производительность'!D12*M10/1000</f>
        <v>107.20470784601734</v>
      </c>
      <c r="N11" s="80">
        <f>'Производительность'!D12*N10/1000</f>
        <v>98.5317857742346</v>
      </c>
    </row>
    <row r="12">
      <c r="B12" s="22" t="inlineStr">
        <is>
          <t>Объём взрывания</t>
        </is>
      </c>
      <c r="C12" s="26" t="inlineStr">
        <is>
          <t>тыс.м³</t>
        </is>
      </c>
      <c r="D12" s="71" t="n"/>
      <c r="E12" s="71">
        <f>E11*'Параметры'!C35</f>
        <v>5317.733281522421</v>
      </c>
      <c r="F12" s="71">
        <f>F11*'Параметры'!C35</f>
        <v>5239.4725167175475</v>
      </c>
      <c r="G12" s="71">
        <f>G11*'Параметры'!C35</f>
        <v>5317.733281522421</v>
      </c>
      <c r="H12" s="71">
        <f>H11*'Параметры'!C35</f>
        <v>5239.4725167175475</v>
      </c>
      <c r="I12" s="71">
        <f>I11*'Параметры'!C35</f>
        <v>5064.099853979618</v>
      </c>
      <c r="J12" s="71">
        <f>J11*'Параметры'!C35</f>
        <v>5239.4725167175475</v>
      </c>
      <c r="K12" s="71">
        <f>K11*'Параметры'!C35</f>
        <v>4859.022375403342</v>
      </c>
      <c r="L12" s="71">
        <f>L11*'Параметры'!C35</f>
        <v>5254.32492463672</v>
      </c>
      <c r="M12" s="71">
        <f>M11*'Параметры'!C35</f>
        <v>5302.880873603248</v>
      </c>
      <c r="N12" s="71">
        <f>N11*'Параметры'!C35</f>
        <v>4873.874783322515</v>
      </c>
    </row>
    <row r="13">
      <c r="B13" s="22" t="inlineStr">
        <is>
          <t>Топливо/энергия</t>
        </is>
      </c>
      <c r="C13" s="26" t="inlineStr">
        <is>
          <t>тыс.руб</t>
        </is>
      </c>
      <c r="D13" s="71" t="n"/>
      <c r="E13" s="71">
        <f>E10*'Данные по годам'!E9/1000*'Параметры'!C10*(1+'Параметры'!C15)^(E$4-1)</f>
        <v>32533.999535994168</v>
      </c>
      <c r="F13" s="71">
        <f>F10*'Данные по годам'!F9/1000*'Параметры'!C10*(1+'Параметры'!C15)^(F$4-1)</f>
        <v>32055.19859750119</v>
      </c>
      <c r="G13" s="71">
        <f>G10*'Данные по годам'!G9/1000*'Параметры'!C10*(1+'Параметры'!C15)^(G$4-1)</f>
        <v>32533.999535994168</v>
      </c>
      <c r="H13" s="71">
        <f>H10*'Данные по годам'!H9/1000*'Параметры'!C10*(1+'Параметры'!C15)^(H$4-1)</f>
        <v>32055.19859750119</v>
      </c>
      <c r="I13" s="71">
        <f>I10*'Данные по годам'!I9/1000*'Параметры'!C10*(1+'Параметры'!C15)^(I$4-1)</f>
        <v>30982.265107593546</v>
      </c>
      <c r="J13" s="71">
        <f>J10*'Данные по годам'!J9/1000*'Параметры'!C10*(1+'Параметры'!C15)^(J$4-1)</f>
        <v>32055.19859750119</v>
      </c>
      <c r="K13" s="71">
        <f>K10*'Данные по годам'!K9/1000*'Параметры'!C10*(1+'Параметры'!C15)^(K$4-1)</f>
        <v>29727.596954900248</v>
      </c>
      <c r="L13" s="71">
        <f>L10*'Данные по годам'!L9/1000*'Параметры'!C10*(1+'Параметры'!C15)^(L$4-1)</f>
        <v>32146.06592889401</v>
      </c>
      <c r="M13" s="71">
        <f>M10*'Данные по годам'!M9/1000*'Параметры'!C10*(1+'Параметры'!C15)^(M$4-1)</f>
        <v>32443.13220460134</v>
      </c>
      <c r="N13" s="71">
        <f>N10*'Данные по годам'!N9/1000*'Параметры'!C10*(1+'Параметры'!C15)^(N$4-1)</f>
        <v>29818.464286293074</v>
      </c>
    </row>
    <row r="14">
      <c r="B14" s="22" t="inlineStr">
        <is>
          <t>ТОиР и сервис (по годам)</t>
        </is>
      </c>
      <c r="C14" s="26" t="inlineStr">
        <is>
          <t>тыс.руб</t>
        </is>
      </c>
      <c r="D14" s="71" t="n"/>
      <c r="E14" s="71">
        <f>'Данные по годам'!E8*IF('Данные по годам'!$D$8="CNY",'Параметры'!C21,IF('Данные по годам'!$D$8="USD",'Параметры'!C22,IF('Данные по годам'!$D$8="EUR",'Параметры'!C23,1)))</f>
        <v>8440.33678441092</v>
      </c>
      <c r="F14" s="71">
        <f>'Данные по годам'!F8*IF('Данные по годам'!$D$8="CNY",'Параметры'!C21,IF('Данные по годам'!$D$8="USD",'Параметры'!C22,IF('Данные по годам'!$D$8="EUR",'Параметры'!C23,1)))</f>
        <v>20398.856238546923</v>
      </c>
      <c r="G14" s="71">
        <f>'Данные по годам'!G8*IF('Данные по годам'!$D$8="CNY",'Параметры'!C21,IF('Данные по годам'!$D$8="USD",'Параметры'!C22,IF('Данные по годам'!$D$8="EUR",'Параметры'!C23,1)))</f>
        <v>35111.013486345786</v>
      </c>
      <c r="H14" s="71">
        <f>'Данные по годам'!H8*IF('Данные по годам'!$D$8="CNY",'Параметры'!C21,IF('Данные по годам'!$D$8="USD",'Параметры'!C22,IF('Данные по годам'!$D$8="EUR",'Параметры'!C23,1)))</f>
        <v>30646.92941565908</v>
      </c>
      <c r="I14" s="71">
        <f>'Данные по годам'!I8*IF('Данные по годам'!$D$8="CNY",'Параметры'!C21,IF('Данные по годам'!$D$8="USD",'Параметры'!C22,IF('Данные по годам'!$D$8="EUR",'Параметры'!C23,1)))</f>
        <v>42545.99693923125</v>
      </c>
      <c r="J14" s="71">
        <f>'Данные по годам'!J8*IF('Данные по годам'!$D$8="CNY",'Параметры'!C21,IF('Данные по годам'!$D$8="USD",'Параметры'!C22,IF('Данные по годам'!$D$8="EUR",'Параметры'!C23,1)))</f>
        <v>28464.446248143096</v>
      </c>
      <c r="K14" s="71">
        <f>'Данные по годам'!K8*IF('Данные по годам'!$D$8="CNY",'Параметры'!C21,IF('Данные по годам'!$D$8="USD",'Параметры'!C22,IF('Данные по годам'!$D$8="EUR",'Параметры'!C23,1)))</f>
        <v>41768.79391888962</v>
      </c>
      <c r="L14" s="71">
        <f>'Данные по годам'!L8*IF('Данные по годам'!$D$8="CNY",'Параметры'!C21,IF('Данные по годам'!$D$8="USD",'Параметры'!C22,IF('Данные по годам'!$D$8="EUR",'Параметры'!C23,1)))</f>
        <v>21213.222692653482</v>
      </c>
      <c r="M14" s="71">
        <f>'Данные по годам'!M8*IF('Данные по годам'!$D$8="CNY",'Параметры'!C21,IF('Данные по годам'!$D$8="USD",'Параметры'!C22,IF('Данные по годам'!$D$8="EUR",'Параметры'!C23,1)))</f>
        <v>48723.17257211962</v>
      </c>
      <c r="N14" s="71">
        <f>'Данные по годам'!N8*IF('Данные по годам'!$D$8="CNY",'Параметры'!C21,IF('Данные по годам'!$D$8="USD",'Параметры'!C22,IF('Данные по годам'!$D$8="EUR",'Параметры'!C23,1)))</f>
        <v>26197.696791764327</v>
      </c>
    </row>
    <row r="15">
      <c r="B15" s="22" t="inlineStr">
        <is>
          <t>Долота</t>
        </is>
      </c>
      <c r="C15" s="26" t="inlineStr">
        <is>
          <t>тыс.руб</t>
        </is>
      </c>
      <c r="D15" s="71" t="n"/>
      <c r="E15" s="71">
        <f>E11*'Поставщик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годам'!$D$8="EUR",'Параметры'!C23,1)))*(1+'Параметры'!C16)^(E$4-1)</f>
        <v>0.0</v>
      </c>
      <c r="F15" s="71">
        <f>F11*'Поставщик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годам'!$D$8="EUR",'Параметры'!C23,1)))*(1+'Параметры'!C16)^(F$4-1)</f>
        <v>0.0</v>
      </c>
      <c r="G15" s="71">
        <f>G11*'Поставщик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годам'!$D$8="EUR",'Параметры'!C23,1)))*(1+'Параметры'!C16)^(G$4-1)</f>
        <v>0.0</v>
      </c>
      <c r="H15" s="71">
        <f>H11*'Поставщик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годам'!$D$8="EUR",'Параметры'!C23,1)))*(1+'Параметры'!C16)^(H$4-1)</f>
        <v>0.0</v>
      </c>
      <c r="I15" s="71">
        <f>I11*'Поставщик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годам'!$D$8="EUR",'Параметры'!C23,1)))*(1+'Параметры'!C16)^(I$4-1)</f>
        <v>0.0</v>
      </c>
      <c r="J15" s="71">
        <f>J11*'Поставщик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годам'!$D$8="EUR",'Параметры'!C23,1)))*(1+'Параметры'!C16)^(J$4-1)</f>
        <v>0.0</v>
      </c>
      <c r="K15" s="71">
        <f>K11*'Поставщик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годам'!$D$8="EUR",'Параметры'!C23,1)))*(1+'Параметры'!C16)^(K$4-1)</f>
        <v>0.0</v>
      </c>
      <c r="L15" s="71">
        <f>L11*'Поставщик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годам'!$D$8="EUR",'Параметры'!C23,1)))*(1+'Параметры'!C16)^(L$4-1)</f>
        <v>0.0</v>
      </c>
      <c r="M15" s="71">
        <f>M11*'Поставщик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годам'!$D$8="EUR",'Параметры'!C23,1)))*(1+'Параметры'!C16)^(M$4-1)</f>
        <v>0.0</v>
      </c>
      <c r="N15" s="71">
        <f>N11*'Поставщик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годам'!$D$8="EUR",'Параметры'!C23,1)))*(1+'Параметры'!C16)^(N$4-1)</f>
        <v>0.0</v>
      </c>
    </row>
    <row r="16">
      <c r="B16" s="22" t="inlineStr">
        <is>
          <t>Штанги/адаптеры</t>
        </is>
      </c>
      <c r="C16" s="26" t="inlineStr">
        <is>
          <t>тыс.руб</t>
        </is>
      </c>
      <c r="D16" s="71" t="n"/>
      <c r="E16" s="71">
        <f>E11*'Поставщик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годам'!$D$8="EUR",'Параметры'!C23,1)))*(1+'Параметры'!C16)^(E$4-1)</f>
        <v>0.0</v>
      </c>
      <c r="F16" s="71">
        <f>F11*'Поставщик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годам'!$D$8="EUR",'Параметры'!C23,1)))*(1+'Параметры'!C16)^(F$4-1)</f>
        <v>0.0</v>
      </c>
      <c r="G16" s="71">
        <f>G11*'Поставщик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годам'!$D$8="EUR",'Параметры'!C23,1)))*(1+'Параметры'!C16)^(G$4-1)</f>
        <v>0.0</v>
      </c>
      <c r="H16" s="71">
        <f>H11*'Поставщик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годам'!$D$8="EUR",'Параметры'!C23,1)))*(1+'Параметры'!C16)^(H$4-1)</f>
        <v>0.0</v>
      </c>
      <c r="I16" s="71">
        <f>I11*'Поставщик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годам'!$D$8="EUR",'Параметры'!C23,1)))*(1+'Параметры'!C16)^(I$4-1)</f>
        <v>0.0</v>
      </c>
      <c r="J16" s="71">
        <f>J11*'Поставщик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годам'!$D$8="EUR",'Параметры'!C23,1)))*(1+'Параметры'!C16)^(J$4-1)</f>
        <v>0.0</v>
      </c>
      <c r="K16" s="71">
        <f>K11*'Поставщик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годам'!$D$8="EUR",'Параметры'!C23,1)))*(1+'Параметры'!C16)^(K$4-1)</f>
        <v>0.0</v>
      </c>
      <c r="L16" s="71">
        <f>L11*'Поставщик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годам'!$D$8="EUR",'Параметры'!C23,1)))*(1+'Параметры'!C16)^(L$4-1)</f>
        <v>0.0</v>
      </c>
      <c r="M16" s="71">
        <f>M11*'Поставщик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годам'!$D$8="EUR",'Параметры'!C23,1)))*(1+'Параметры'!C16)^(M$4-1)</f>
        <v>0.0</v>
      </c>
      <c r="N16" s="71">
        <f>N11*'Поставщик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годам'!$D$8="EUR",'Параметры'!C23,1)))*(1+'Параметры'!C16)^(N$4-1)</f>
        <v>0.0</v>
      </c>
    </row>
    <row r="17">
      <c r="B17" s="22" t="inlineStr">
        <is>
          <t>Расходники</t>
        </is>
      </c>
      <c r="C17" s="26" t="inlineStr">
        <is>
          <t>тыс.руб</t>
        </is>
      </c>
      <c r="D17" s="71" t="n"/>
      <c r="E17" s="71">
        <f>E11*'Поставщик 1'!$D$257*(1+'Параметры'!C16)^(E$4-1)</f>
        <v>0.0</v>
      </c>
      <c r="F17" s="71">
        <f>F11*'Поставщик 1'!$D$257*(1+'Параметры'!C16)^(F$4-1)</f>
        <v>0.0</v>
      </c>
      <c r="G17" s="71">
        <f>G11*'Поставщик 1'!$D$257*(1+'Параметры'!C16)^(G$4-1)</f>
        <v>0.0</v>
      </c>
      <c r="H17" s="71">
        <f>H11*'Поставщик 1'!$D$257*(1+'Параметры'!C16)^(H$4-1)</f>
        <v>0.0</v>
      </c>
      <c r="I17" s="71">
        <f>I11*'Поставщик 1'!$D$257*(1+'Параметры'!C16)^(I$4-1)</f>
        <v>0.0</v>
      </c>
      <c r="J17" s="71">
        <f>J11*'Поставщик 1'!$D$257*(1+'Параметры'!C16)^(J$4-1)</f>
        <v>0.0</v>
      </c>
      <c r="K17" s="71">
        <f>K11*'Поставщик 1'!$D$257*(1+'Параметры'!C16)^(K$4-1)</f>
        <v>0.0</v>
      </c>
      <c r="L17" s="71">
        <f>L11*'Поставщик 1'!$D$257*(1+'Параметры'!C16)^(L$4-1)</f>
        <v>0.0</v>
      </c>
      <c r="M17" s="71">
        <f>M11*'Поставщик 1'!$D$257*(1+'Параметры'!C16)^(M$4-1)</f>
        <v>0.0</v>
      </c>
      <c r="N17" s="71">
        <f>N11*'Поставщик 1'!$D$257*(1+'Параметры'!C16)^(N$4-1)</f>
        <v>0.0</v>
      </c>
    </row>
    <row r="18">
      <c r="B18" s="22" t="inlineStr">
        <is>
          <t>Персонал</t>
        </is>
      </c>
      <c r="C18" s="26" t="inlineStr">
        <is>
          <t>тыс.руб</t>
        </is>
      </c>
      <c r="D18" s="71" t="n"/>
      <c r="E18" s="71">
        <f>'Ввод данных'!D22*(1+'Параметры'!C17)^(E$4-1)</f>
        <v>15710.0</v>
      </c>
      <c r="F18" s="71">
        <f>'Ввод данных'!D22*(1+'Параметры'!C17)^(F$4-1)</f>
        <v>15710.0</v>
      </c>
      <c r="G18" s="71">
        <f>'Ввод данных'!D22*(1+'Параметры'!C17)^(G$4-1)</f>
        <v>15710.0</v>
      </c>
      <c r="H18" s="71">
        <f>'Ввод данных'!D22*(1+'Параметры'!C17)^(H$4-1)</f>
        <v>15710.0</v>
      </c>
      <c r="I18" s="71">
        <f>'Ввод данных'!D22*(1+'Параметры'!C17)^(I$4-1)</f>
        <v>15710.0</v>
      </c>
      <c r="J18" s="71">
        <f>'Ввод данных'!D22*(1+'Параметры'!C17)^(J$4-1)</f>
        <v>15710.0</v>
      </c>
      <c r="K18" s="71">
        <f>'Ввод данных'!D22*(1+'Параметры'!C17)^(K$4-1)</f>
        <v>15710.0</v>
      </c>
      <c r="L18" s="71">
        <f>'Ввод данных'!D22*(1+'Параметры'!C17)^(L$4-1)</f>
        <v>15710.0</v>
      </c>
      <c r="M18" s="71">
        <f>'Ввод данных'!D22*(1+'Параметры'!C17)^(M$4-1)</f>
        <v>15710.0</v>
      </c>
      <c r="N18" s="71">
        <f>'Ввод данных'!D22*(1+'Параметры'!C17)^(N$4-1)</f>
        <v>15710.0</v>
      </c>
    </row>
    <row r="19">
      <c r="B19" s="22" t="inlineStr">
        <is>
          <t>Транспортный налог</t>
        </is>
      </c>
      <c r="C19" s="26" t="inlineStr">
        <is>
          <t>тыс.руб</t>
        </is>
      </c>
      <c r="D19" s="71" t="n"/>
      <c r="E19" s="71">
        <f>'Ввод данных'!D23*15/1000</f>
        <v>12.0</v>
      </c>
      <c r="F19" s="71">
        <f>'Ввод данных'!D23*15/1000</f>
        <v>12.0</v>
      </c>
      <c r="G19" s="71">
        <f>'Ввод данных'!D23*15/1000</f>
        <v>12.0</v>
      </c>
      <c r="H19" s="71">
        <f>'Ввод данных'!D23*15/1000</f>
        <v>12.0</v>
      </c>
      <c r="I19" s="71">
        <f>'Ввод данных'!D23*15/1000</f>
        <v>12.0</v>
      </c>
      <c r="J19" s="71">
        <f>'Ввод данных'!D23*15/1000</f>
        <v>12.0</v>
      </c>
      <c r="K19" s="71">
        <f>'Ввод данных'!D23*15/1000</f>
        <v>12.0</v>
      </c>
      <c r="L19" s="71">
        <f>'Ввод данных'!D23*15/1000</f>
        <v>12.0</v>
      </c>
      <c r="M19" s="71">
        <f>'Ввод данных'!D23*15/1000</f>
        <v>12.0</v>
      </c>
      <c r="N19" s="71">
        <f>'Ввод данных'!D23*15/1000</f>
        <v>12.0</v>
      </c>
    </row>
    <row r="20">
      <c r="B20" s="22" t="inlineStr">
        <is>
          <t>Итого денежные затраты</t>
        </is>
      </c>
      <c r="C20" s="26" t="inlineStr">
        <is>
          <t>тыс.руб</t>
        </is>
      </c>
      <c r="D20" s="71" t="n"/>
      <c r="E20" s="81">
        <f>E13+E14+E15+E16+E17+E18+E19</f>
        <v>56696.336320405084</v>
      </c>
      <c r="F20" s="81">
        <f>F13+F14+F15+F16+F17+F18+F19</f>
        <v>68176.0548360481</v>
      </c>
      <c r="G20" s="81">
        <f>G13+G14+G15+G16+G17+G18+G19</f>
        <v>83367.01302233996</v>
      </c>
      <c r="H20" s="81">
        <f>H13+H14+H15+H16+H17+H18+H19</f>
        <v>78424.12801316027</v>
      </c>
      <c r="I20" s="81">
        <f>I13+I14+I15+I16+I17+I18+I19</f>
        <v>89250.26204682479</v>
      </c>
      <c r="J20" s="81">
        <f>J13+J14+J15+J16+J17+J18+J19</f>
        <v>76241.64484564429</v>
      </c>
      <c r="K20" s="81">
        <f>K13+K14+K15+K16+K17+K18+K19</f>
        <v>87218.39087378987</v>
      </c>
      <c r="L20" s="81">
        <f>L13+L14+L15+L16+L17+L18+L19</f>
        <v>69081.28862154749</v>
      </c>
      <c r="M20" s="81">
        <f>M13+M14+M15+M16+M17+M18+M19</f>
        <v>96888.30477672096</v>
      </c>
      <c r="N20" s="81">
        <f>N13+N14+N15+N16+N17+N18+N19</f>
        <v>71738.1610780574</v>
      </c>
    </row>
    <row r="21">
      <c r="B21" s="22" t="inlineStr">
        <is>
          <t>Амортизация (НУ)</t>
        </is>
      </c>
      <c r="C21" s="26" t="inlineStr">
        <is>
          <t>тыс.руб</t>
        </is>
      </c>
      <c r="D21" s="71" t="n"/>
      <c r="E21" s="71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40885.30395435766</v>
      </c>
      <c r="F21" s="71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40885.30395435766</v>
      </c>
      <c r="G21" s="71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40885.30395435766</v>
      </c>
      <c r="H21" s="71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40885.30395435766</v>
      </c>
      <c r="I21" s="71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40885.30395435766</v>
      </c>
      <c r="J21" s="71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3393.4802282116934</v>
      </c>
      <c r="K21" s="71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21" s="71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21" s="71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21" s="71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22">
      <c r="B22" s="22" t="inlineStr">
        <is>
          <t>Налогооблагаемая база</t>
        </is>
      </c>
      <c r="C22" s="26" t="inlineStr">
        <is>
          <t>тыс.руб</t>
        </is>
      </c>
      <c r="D22" s="71" t="n"/>
      <c r="E22" s="71">
        <f>E20+E21</f>
        <v>97581.64027476274</v>
      </c>
      <c r="F22" s="71">
        <f>F20+F21</f>
        <v>109061.35879040576</v>
      </c>
      <c r="G22" s="71">
        <f>G20+G21</f>
        <v>124252.31697669762</v>
      </c>
      <c r="H22" s="71">
        <f>H20+H21</f>
        <v>119309.43196751793</v>
      </c>
      <c r="I22" s="71">
        <f>I20+I21</f>
        <v>130135.56600118245</v>
      </c>
      <c r="J22" s="71">
        <f>J20+J21</f>
        <v>79635.12507385598</v>
      </c>
      <c r="K22" s="71">
        <f>K20+K21</f>
        <v>87218.39087378987</v>
      </c>
      <c r="L22" s="71">
        <f>L20+L21</f>
        <v>69081.28862154749</v>
      </c>
      <c r="M22" s="71">
        <f>M20+M21</f>
        <v>96888.30477672096</v>
      </c>
      <c r="N22" s="71">
        <f>N20+N21</f>
        <v>71738.1610780574</v>
      </c>
    </row>
    <row r="23">
      <c r="B23" s="22" t="inlineStr">
        <is>
          <t>Налог на прибыль (щит)</t>
        </is>
      </c>
      <c r="C23" s="26" t="inlineStr">
        <is>
          <t>тыс.руб</t>
        </is>
      </c>
      <c r="D23" s="71" t="n"/>
      <c r="E23" s="71">
        <f>-E22*'Параметры'!C7</f>
        <v>-24395.410068690686</v>
      </c>
      <c r="F23" s="71">
        <f>-F22*'Параметры'!C7</f>
        <v>-27265.33969760144</v>
      </c>
      <c r="G23" s="71">
        <f>-G22*'Параметры'!C7</f>
        <v>-31063.079244174405</v>
      </c>
      <c r="H23" s="71">
        <f>-H22*'Параметры'!C7</f>
        <v>-29827.357991879482</v>
      </c>
      <c r="I23" s="71">
        <f>-I22*'Параметры'!C7</f>
        <v>-32533.891500295613</v>
      </c>
      <c r="J23" s="71">
        <f>-J22*'Параметры'!C7</f>
        <v>-19908.781268463994</v>
      </c>
      <c r="K23" s="71">
        <f>-K22*'Параметры'!C7</f>
        <v>-21804.59771844747</v>
      </c>
      <c r="L23" s="71">
        <f>-L22*'Параметры'!C7</f>
        <v>-17270.32215538687</v>
      </c>
      <c r="M23" s="71">
        <f>-M22*'Параметры'!C7</f>
        <v>-24222.07619418024</v>
      </c>
      <c r="N23" s="71">
        <f>-N22*'Параметры'!C7</f>
        <v>-17934.54026951435</v>
      </c>
    </row>
    <row r="24">
      <c r="B24" s="22" t="inlineStr">
        <is>
          <t>Операц. денежный поток</t>
        </is>
      </c>
      <c r="C24" s="26" t="inlineStr">
        <is>
          <t>тыс.руб</t>
        </is>
      </c>
      <c r="D24" s="71" t="n"/>
      <c r="E24" s="81">
        <f>E22+E23-E21</f>
        <v>32300.926251714394</v>
      </c>
      <c r="F24" s="81">
        <f>F22+F23-F21</f>
        <v>40910.715138446656</v>
      </c>
      <c r="G24" s="81">
        <f>G22+G23-G21</f>
        <v>52303.93377816555</v>
      </c>
      <c r="H24" s="81">
        <f>H22+H23-H21</f>
        <v>48596.77002128078</v>
      </c>
      <c r="I24" s="81">
        <f>I22+I23-I21</f>
        <v>56716.370546529186</v>
      </c>
      <c r="J24" s="81">
        <f>J22+J23-J21</f>
        <v>56332.86357718029</v>
      </c>
      <c r="K24" s="81">
        <f>K22+K23-K21</f>
        <v>65413.793155342406</v>
      </c>
      <c r="L24" s="81">
        <f>L22+L23-L21</f>
        <v>51810.966466160615</v>
      </c>
      <c r="M24" s="81">
        <f>M22+M23-M21</f>
        <v>72666.22858254073</v>
      </c>
      <c r="N24" s="81">
        <f>N22+N23-N21</f>
        <v>53803.62080854305</v>
      </c>
    </row>
    <row r="25">
      <c r="B25" s="22" t="inlineStr">
        <is>
          <t>Инвестиции / остаточная ст-ть</t>
        </is>
      </c>
      <c r="C25" s="26" t="inlineStr">
        <is>
          <t>тыс.руб</t>
        </is>
      </c>
      <c r="D25" s="71">
        <f>IF(D$4=0,'Производительность'!D5,IF(D$4='Параметры'!C8,-'Ввод данных'!D14*'Производительность'!D5,0))</f>
        <v>207820.0</v>
      </c>
      <c r="E25" s="71">
        <f>IF(E$4=0,'Производительность'!D5,IF(E$4='Параметры'!C8,-'Ввод данных'!D14*'Производительность'!D5,0))</f>
        <v>0.0</v>
      </c>
      <c r="F25" s="71">
        <f>IF(F$4=0,'Производительность'!D5,IF(F$4='Параметры'!C8,-'Ввод данных'!D14*'Производительность'!D5,0))</f>
        <v>0.0</v>
      </c>
      <c r="G25" s="71">
        <f>IF(G$4=0,'Производительность'!D5,IF(G$4='Параметры'!C8,-'Ввод данных'!D14*'Производительность'!D5,0))</f>
        <v>0.0</v>
      </c>
      <c r="H25" s="71">
        <f>IF(H$4=0,'Производительность'!D5,IF(H$4='Параметры'!C8,-'Ввод данных'!D14*'Производительность'!D5,0))</f>
        <v>0.0</v>
      </c>
      <c r="I25" s="71">
        <f>IF(I$4=0,'Производительность'!D5,IF(I$4='Параметры'!C8,-'Ввод данных'!D14*'Производительность'!D5,0))</f>
        <v>0.0</v>
      </c>
      <c r="J25" s="71">
        <f>IF(J$4=0,'Производительность'!D5,IF(J$4='Параметры'!C8,-'Ввод данных'!D14*'Производительность'!D5,0))</f>
        <v>0.0</v>
      </c>
      <c r="K25" s="71">
        <f>IF(K$4=0,'Производительность'!D5,IF(K$4='Параметры'!C8,-'Ввод данных'!D14*'Производительность'!D5,0))</f>
        <v>0.0</v>
      </c>
      <c r="L25" s="71">
        <f>IF(L$4=0,'Производительность'!D5,IF(L$4='Параметры'!C8,-'Ввод данных'!D14*'Производительность'!D5,0))</f>
        <v>0.0</v>
      </c>
      <c r="M25" s="71">
        <f>IF(M$4=0,'Производительность'!D5,IF(M$4='Параметры'!C8,-'Ввод данных'!D14*'Производительность'!D5,0))</f>
        <v>0.0</v>
      </c>
      <c r="N25" s="71">
        <f>IF(N$4=0,'Производительность'!D5,IF(N$4='Параметры'!C8,-'Ввод данных'!D14*'Производительность'!D5,0))</f>
        <v>-0.0</v>
      </c>
    </row>
    <row r="26">
      <c r="B26" s="22" t="inlineStr">
        <is>
          <t>Чистый денежный поток</t>
        </is>
      </c>
      <c r="C26" s="26" t="inlineStr">
        <is>
          <t>тыс.руб</t>
        </is>
      </c>
      <c r="D26" s="81">
        <f>0+D25</f>
        <v>207820.0</v>
      </c>
      <c r="E26" s="81">
        <f>E24+E25</f>
        <v>32300.926251714394</v>
      </c>
      <c r="F26" s="81">
        <f>F24+F25</f>
        <v>40910.715138446656</v>
      </c>
      <c r="G26" s="81">
        <f>G24+G25</f>
        <v>52303.93377816555</v>
      </c>
      <c r="H26" s="81">
        <f>H24+H25</f>
        <v>48596.77002128078</v>
      </c>
      <c r="I26" s="81">
        <f>I24+I25</f>
        <v>56716.370546529186</v>
      </c>
      <c r="J26" s="81">
        <f>J24+J25</f>
        <v>56332.86357718029</v>
      </c>
      <c r="K26" s="81">
        <f>K24+K25</f>
        <v>65413.793155342406</v>
      </c>
      <c r="L26" s="81">
        <f>L24+L25</f>
        <v>51810.966466160615</v>
      </c>
      <c r="M26" s="81">
        <f>M24+M25</f>
        <v>72666.22858254073</v>
      </c>
      <c r="N26" s="81">
        <f>N24+N25</f>
        <v>53803.62080854305</v>
      </c>
    </row>
    <row r="27">
      <c r="B27" s="22" t="inlineStr">
        <is>
          <t>Дисконтированный поток</t>
        </is>
      </c>
      <c r="C27" s="26" t="inlineStr">
        <is>
          <t>тыс.руб</t>
        </is>
      </c>
      <c r="D27" s="71">
        <f>D26*D$6</f>
        <v>207820.0</v>
      </c>
      <c r="E27" s="71">
        <f>E26*E$6</f>
        <v>28840.11272474499</v>
      </c>
      <c r="F27" s="71">
        <f>F26*F$6</f>
        <v>32613.771634603516</v>
      </c>
      <c r="G27" s="71">
        <f>G26*G$6</f>
        <v>37228.90694623891</v>
      </c>
      <c r="H27" s="71">
        <f>H26*H$6</f>
        <v>30884.125900605864</v>
      </c>
      <c r="I27" s="71">
        <f>I26*I$6</f>
        <v>32182.391806988024</v>
      </c>
      <c r="J27" s="71">
        <f>J26*J$6</f>
        <v>28539.981833235895</v>
      </c>
      <c r="K27" s="71">
        <f>K26*K$6</f>
        <v>29589.878006028983</v>
      </c>
      <c r="L27" s="71">
        <f>L26*L$6</f>
        <v>20925.580381083793</v>
      </c>
      <c r="M27" s="71">
        <f>M26*M$6</f>
        <v>26204.170504467176</v>
      </c>
      <c r="N27" s="71">
        <f>N26*N$6</f>
        <v>17323.32593202512</v>
      </c>
    </row>
    <row r="28">
      <c r="B28" s="22" t="inlineStr">
        <is>
          <t>Кумул. дисконт. поток</t>
        </is>
      </c>
      <c r="C28" s="26" t="inlineStr">
        <is>
          <t>тыс.руб</t>
        </is>
      </c>
      <c r="D28" s="71">
        <f>SUM($D27:D27)</f>
        <v>207820.0</v>
      </c>
      <c r="E28" s="71">
        <f>SUM($D27:E27)</f>
        <v>236660.112724745</v>
      </c>
      <c r="F28" s="71">
        <f>SUM($D27:F27)</f>
        <v>269273.8843593485</v>
      </c>
      <c r="G28" s="71">
        <f>SUM($D27:G27)</f>
        <v>306502.7913055874</v>
      </c>
      <c r="H28" s="71">
        <f>SUM($D27:H27)</f>
        <v>337386.91720619326</v>
      </c>
      <c r="I28" s="71">
        <f>SUM($D27:I27)</f>
        <v>369569.3090131813</v>
      </c>
      <c r="J28" s="71">
        <f>SUM($D27:J27)</f>
        <v>398109.2908464172</v>
      </c>
      <c r="K28" s="71">
        <f>SUM($D27:K27)</f>
        <v>427699.16885244614</v>
      </c>
      <c r="L28" s="71">
        <f>SUM($D27:L27)</f>
        <v>448624.7492335299</v>
      </c>
      <c r="M28" s="71">
        <f>SUM($D27:M27)</f>
        <v>474828.91973799706</v>
      </c>
      <c r="N28" s="71">
        <f>SUM($D27:N27)</f>
        <v>492152.24567002215</v>
      </c>
    </row>
    <row r="29">
      <c r="B29" s="57" t="inlineStr">
        <is>
          <t>Аннуитет по году</t>
        </is>
      </c>
      <c r="C29" s="26" t="inlineStr">
        <is>
          <t>руб/пог.м</t>
        </is>
      </c>
      <c r="D29" s="82" t="n"/>
      <c r="E29" s="82">
        <f>SUM($D27:E27)/SUM($E$6:E$6)/(SUM($E11:E11)/E$4)</f>
        <v>2465.554189902402</v>
      </c>
      <c r="F29" s="82">
        <f>SUM($D27:F27)/SUM($E$6:F$6)/(SUM($E11:F11)/F$4)</f>
        <v>1493.0468689938666</v>
      </c>
      <c r="G29" s="82">
        <f>SUM($D27:G27)/SUM($E$6:G$6)/(SUM($E11:G11)/G$4)</f>
        <v>1192.8865458645078</v>
      </c>
      <c r="H29" s="82">
        <f>SUM($D27:H27)/SUM($E$6:H$6)/(SUM($E11:H11)/H$4)</f>
        <v>1040.908400521382</v>
      </c>
      <c r="I29" s="82">
        <f>SUM($D27:I27)/SUM($E$6:I$6)/(SUM($E11:I11)/I$4)</f>
        <v>968.5915146798013</v>
      </c>
      <c r="J29" s="82">
        <f>SUM($D27:J27)/SUM($E$6:J$6)/(SUM($E11:J11)/J$4)</f>
        <v>914.708590807228</v>
      </c>
      <c r="K29" s="82">
        <f>SUM($D27:K27)/SUM($E$6:K$6)/(SUM($E11:K11)/K$4)</f>
        <v>894.5004236087308</v>
      </c>
      <c r="L29" s="82">
        <f>SUM($D27:L27)/SUM($E$6:L$6)/(SUM($E11:L11)/L$4)</f>
        <v>860.4889179659791</v>
      </c>
      <c r="M29" s="82">
        <f>SUM($D27:M27)/SUM($E$6:M$6)/(SUM($E11:M11)/M$4)</f>
        <v>847.0906526155785</v>
      </c>
      <c r="N29" s="82">
        <f>SUM($D27:N27)/SUM($E$6:N$6)/(SUM($E11:N11)/N$4)</f>
        <v>833.2463567994106</v>
      </c>
    </row>
    <row r="31">
      <c r="B31" s="5" t="str">
        <f>"Вариант 2:  "&amp;'Ввод данных'!E7</f>
        <v>Вариант 2:  Sunward
SWDRT250SM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22" t="inlineStr">
        <is>
          <t>КТГ</t>
        </is>
      </c>
      <c r="C32" s="26" t="inlineStr">
        <is>
          <t>коэф.</t>
        </is>
      </c>
      <c r="D32" s="75" t="n"/>
      <c r="E32" s="75">
        <f>'Данные по годам'!E11</f>
        <v>0.8948</v>
      </c>
      <c r="F32" s="75">
        <f>'Данные по годам'!F11</f>
        <v>0.8654</v>
      </c>
      <c r="G32" s="75">
        <f>'Данные по годам'!G11</f>
        <v>0.8454</v>
      </c>
      <c r="H32" s="75">
        <f>'Данные по годам'!H11</f>
        <v>0.8748</v>
      </c>
      <c r="I32" s="75">
        <f>'Данные по годам'!I11</f>
        <v>0.8654</v>
      </c>
      <c r="J32" s="75">
        <f>'Данные по годам'!J11</f>
        <v>0.8432</v>
      </c>
      <c r="K32" s="75">
        <f>'Данные по годам'!K11</f>
        <v>0.8621</v>
      </c>
      <c r="L32" s="75">
        <f>'Данные по годам'!L11</f>
        <v>0.8654</v>
      </c>
      <c r="M32" s="75">
        <f>'Данные по годам'!M11</f>
        <v>0.8498</v>
      </c>
      <c r="N32" s="75">
        <f>'Данные по годам'!N11</f>
        <v>0.8543</v>
      </c>
    </row>
    <row r="33">
      <c r="B33" s="22" t="inlineStr">
        <is>
          <t>Эффективное время</t>
        </is>
      </c>
      <c r="C33" s="26" t="inlineStr">
        <is>
          <t>час/год</t>
        </is>
      </c>
      <c r="D33" s="71" t="n"/>
      <c r="E33" s="71">
        <f>'Параметры'!C27*E32*(1-137.92/(60*'Параметры'!C28))</f>
        <v>6336.949738666667</v>
      </c>
      <c r="F33" s="71">
        <f>'Параметры'!C27*F32*(1-137.92/(60*'Параметры'!C28))</f>
        <v>6128.739722666667</v>
      </c>
      <c r="G33" s="71">
        <f>'Параметры'!C27*G32*(1-137.92/(60*'Параметры'!C28))</f>
        <v>5987.100256000001</v>
      </c>
      <c r="H33" s="71">
        <f>'Параметры'!C27*H32*(1-137.92/(60*'Параметры'!C28))</f>
        <v>6195.310272000001</v>
      </c>
      <c r="I33" s="71">
        <f>'Параметры'!C27*I32*(1-137.92/(60*'Параметры'!C28))</f>
        <v>6128.739722666667</v>
      </c>
      <c r="J33" s="71">
        <f>'Параметры'!C27*J32*(1-137.92/(60*'Параметры'!C28))</f>
        <v>5971.519914666667</v>
      </c>
      <c r="K33" s="71">
        <f>'Параметры'!C27*K32*(1-137.92/(60*'Параметры'!C28))</f>
        <v>6105.369210666668</v>
      </c>
      <c r="L33" s="71">
        <f>'Параметры'!C27*L32*(1-137.92/(60*'Параметры'!C28))</f>
        <v>6128.739722666667</v>
      </c>
      <c r="M33" s="71">
        <f>'Параметры'!C27*M32*(1-137.92/(60*'Параметры'!C28))</f>
        <v>6018.260938666667</v>
      </c>
      <c r="N33" s="71">
        <f>'Параметры'!C27*N32*(1-137.92/(60*'Параметры'!C28))</f>
        <v>6050.129818666667</v>
      </c>
    </row>
    <row r="34">
      <c r="B34" s="22" t="inlineStr">
        <is>
          <t>Объём бурения</t>
        </is>
      </c>
      <c r="C34" s="26" t="inlineStr">
        <is>
          <t>тыс.пог.м</t>
        </is>
      </c>
      <c r="D34" s="80" t="n"/>
      <c r="E34" s="80">
        <f>'Производительность'!E12*E33/1000</f>
        <v>111.457374741579</v>
      </c>
      <c r="F34" s="80">
        <f>'Производительность'!E12*F33/1000</f>
        <v>107.7952750350497</v>
      </c>
      <c r="G34" s="80">
        <f>'Производительность'!E12*G33/1000</f>
        <v>105.30405074489371</v>
      </c>
      <c r="H34" s="80">
        <f>'Производительность'!E12*H33/1000</f>
        <v>108.96615045142302</v>
      </c>
      <c r="I34" s="80">
        <f>'Производительность'!E12*I33/1000</f>
        <v>107.7952750350497</v>
      </c>
      <c r="J34" s="80">
        <f>'Производительность'!E12*J33/1000</f>
        <v>105.03001607297655</v>
      </c>
      <c r="K34" s="80">
        <f>'Производительность'!E12*K33/1000</f>
        <v>107.38422302717397</v>
      </c>
      <c r="L34" s="80">
        <f>'Производительность'!E12*L33/1000</f>
        <v>107.7952750350497</v>
      </c>
      <c r="M34" s="80">
        <f>'Производительность'!E12*M33/1000</f>
        <v>105.85212008872803</v>
      </c>
      <c r="N34" s="80">
        <f>'Производительность'!E12*N33/1000</f>
        <v>106.41264555401312</v>
      </c>
    </row>
    <row r="35">
      <c r="B35" s="22" t="inlineStr">
        <is>
          <t>Объём взрывания</t>
        </is>
      </c>
      <c r="C35" s="26" t="inlineStr">
        <is>
          <t>тыс.м³</t>
        </is>
      </c>
      <c r="D35" s="71" t="n"/>
      <c r="E35" s="71">
        <f>E34*'Параметры'!C35</f>
        <v>5513.2390415922055</v>
      </c>
      <c r="F35" s="71">
        <f>F34*'Параметры'!C35</f>
        <v>5332.093279608734</v>
      </c>
      <c r="G35" s="71">
        <f>G34*'Параметры'!C35</f>
        <v>5208.864870096168</v>
      </c>
      <c r="H35" s="71">
        <f>H34*'Параметры'!C35</f>
        <v>5390.01063207964</v>
      </c>
      <c r="I35" s="71">
        <f>I34*'Параметры'!C35</f>
        <v>5332.093279608734</v>
      </c>
      <c r="J35" s="71">
        <f>J34*'Параметры'!C35</f>
        <v>5195.309745049785</v>
      </c>
      <c r="K35" s="71">
        <f>K34*'Параметры'!C35</f>
        <v>5311.760592039161</v>
      </c>
      <c r="L35" s="71">
        <f>L34*'Параметры'!C35</f>
        <v>5332.093279608734</v>
      </c>
      <c r="M35" s="71">
        <f>M34*'Параметры'!C35</f>
        <v>5235.975120188932</v>
      </c>
      <c r="N35" s="71">
        <f>N34*'Параметры'!C35</f>
        <v>5263.7015123292595</v>
      </c>
    </row>
    <row r="36">
      <c r="B36" s="22" t="inlineStr">
        <is>
          <t>Топливо/энергия</t>
        </is>
      </c>
      <c r="C36" s="26" t="inlineStr">
        <is>
          <t>тыс.руб</t>
        </is>
      </c>
      <c r="D36" s="71" t="n"/>
      <c r="E36" s="71">
        <f>E33*'Данные по годам'!E13/1000*'Параметры'!C10*(1+'Параметры'!C15)^(E$4-1)</f>
        <v>31439.685222497166</v>
      </c>
      <c r="F36" s="71">
        <f>F33*'Данные по годам'!F13/1000*'Параметры'!C10*(1+'Параметры'!C15)^(F$4-1)</f>
        <v>30406.68707146742</v>
      </c>
      <c r="G36" s="71">
        <f>G33*'Данные по годам'!G13/1000*'Параметры'!C10*(1+'Параметры'!C15)^(G$4-1)</f>
        <v>29703.96724083494</v>
      </c>
      <c r="H36" s="71">
        <f>H33*'Данные по годам'!H13/1000*'Параметры'!C10*(1+'Параметры'!C15)^(H$4-1)</f>
        <v>30736.965391864684</v>
      </c>
      <c r="I36" s="71">
        <f>I33*'Данные по годам'!I13/1000*'Параметры'!C10*(1+'Параметры'!C15)^(I$4-1)</f>
        <v>30406.68707146742</v>
      </c>
      <c r="J36" s="71">
        <f>J33*'Данные по годам'!J13/1000*'Параметры'!C10*(1+'Параметры'!C15)^(J$4-1)</f>
        <v>29626.668059465366</v>
      </c>
      <c r="K36" s="71">
        <f>K33*'Данные по годам'!K13/1000*'Параметры'!C10*(1+'Параметры'!C15)^(K$4-1)</f>
        <v>30290.73829941306</v>
      </c>
      <c r="L36" s="71">
        <f>L33*'Данные по годам'!L13/1000*'Параметры'!C10*(1+'Параметры'!C15)^(L$4-1)</f>
        <v>30406.68707146742</v>
      </c>
      <c r="M36" s="71">
        <f>M33*'Данные по годам'!M13/1000*'Параметры'!C10*(1+'Параметры'!C15)^(M$4-1)</f>
        <v>29858.56560357408</v>
      </c>
      <c r="N36" s="71">
        <f>N33*'Данные по годам'!N13/1000*'Параметры'!C10*(1+'Параметры'!C15)^(N$4-1)</f>
        <v>30016.67756546639</v>
      </c>
    </row>
    <row r="37">
      <c r="B37" s="22" t="inlineStr">
        <is>
          <t>ТОиР и сервис (по годам)</t>
        </is>
      </c>
      <c r="C37" s="26" t="inlineStr">
        <is>
          <t>тыс.руб</t>
        </is>
      </c>
      <c r="D37" s="71" t="n"/>
      <c r="E37" s="71">
        <f>'Данные по годам'!E12*IF('Данные по годам'!$D$12="CNY",'Параметры'!C21,IF('Данные по годам'!$D$12="USD",'Параметры'!C22,IF('Данные по годам'!$D$12="EUR",'Параметры'!C23,1)))</f>
        <v>14575.50370053239</v>
      </c>
      <c r="F37" s="71">
        <f>'Данные по годам'!F12*IF('Данные по годам'!$D$12="CNY",'Параметры'!C21,IF('Данные по годам'!$D$12="USD",'Параметры'!C22,IF('Данные по годам'!$D$12="EUR",'Параметры'!C23,1)))</f>
        <v>35226.50957965538</v>
      </c>
      <c r="G37" s="71">
        <f>'Данные по годам'!G12*IF('Данные по годам'!$D$12="CNY",'Параметры'!C21,IF('Данные по годам'!$D$12="USD",'Параметры'!C22,IF('Данные по годам'!$D$12="EUR",'Параметры'!C23,1)))</f>
        <v>60632.73540753542</v>
      </c>
      <c r="H37" s="71">
        <f>'Данные по годам'!H12*IF('Данные по годам'!$D$12="CNY",'Параметры'!C21,IF('Данные по годам'!$D$12="USD",'Параметры'!C22,IF('Данные по годам'!$D$12="EUR",'Параметры'!C23,1)))</f>
        <v>52923.76886345659</v>
      </c>
      <c r="I37" s="71">
        <f>'Данные по годам'!I12*IF('Данные по годам'!$D$12="CNY",'Параметры'!C21,IF('Данные по годам'!$D$12="USD",'Параметры'!C22,IF('Данные по годам'!$D$12="EUR",'Параметры'!C23,1)))</f>
        <v>73472.10800592312</v>
      </c>
      <c r="J37" s="71">
        <f>'Данные по годам'!J12*IF('Данные по годам'!$D$12="CNY",'Параметры'!C21,IF('Данные по годам'!$D$12="USD",'Параметры'!C22,IF('Данные по годам'!$D$12="EUR",'Параметры'!C23,1)))</f>
        <v>49154.86813152932</v>
      </c>
      <c r="K37" s="71">
        <f>'Данные по годам'!K12*IF('Данные по годам'!$D$12="CNY",'Параметры'!C21,IF('Данные по годам'!$D$12="USD",'Параметры'!C22,IF('Данные по годам'!$D$12="EUR",'Параметры'!C23,1)))</f>
        <v>72129.96659754032</v>
      </c>
      <c r="L37" s="71">
        <f>'Данные по годам'!L12*IF('Данные по годам'!$D$12="CNY",'Параметры'!C21,IF('Данные по годам'!$D$12="USD",'Параметры'!C22,IF('Данные по годам'!$D$12="EUR",'Параметры'!C23,1)))</f>
        <v>36632.82802032978</v>
      </c>
      <c r="M37" s="71">
        <f>'Данные по годам'!M12*IF('Данные по годам'!$D$12="CNY",'Параметры'!C21,IF('Данные по годам'!$D$12="USD",'Параметры'!C22,IF('Данные по годам'!$D$12="EUR",'Параметры'!C23,1)))</f>
        <v>84139.38925260227</v>
      </c>
      <c r="N37" s="71">
        <f>'Данные по годам'!N12*IF('Данные по годам'!$D$12="CNY",'Параметры'!C21,IF('Данные по годам'!$D$12="USD",'Параметры'!C22,IF('Данные по годам'!$D$12="EUR",'Параметры'!C23,1)))</f>
        <v>45240.449082439874</v>
      </c>
    </row>
    <row r="38">
      <c r="B38" s="22" t="inlineStr">
        <is>
          <t>Долота</t>
        </is>
      </c>
      <c r="C38" s="26" t="inlineStr">
        <is>
          <t>тыс.руб</t>
        </is>
      </c>
      <c r="D38" s="71" t="n"/>
      <c r="E38" s="71">
        <f>E34*'Поставщик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годам'!$D$12="EUR",'Параметры'!C23,1)))*(1+'Параметры'!C16)^(E$4-1)</f>
        <v>0.0</v>
      </c>
      <c r="F38" s="71">
        <f>F34*'Поставщик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годам'!$D$12="EUR",'Параметры'!C23,1)))*(1+'Параметры'!C16)^(F$4-1)</f>
        <v>0.0</v>
      </c>
      <c r="G38" s="71">
        <f>G34*'Поставщик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годам'!$D$12="EUR",'Параметры'!C23,1)))*(1+'Параметры'!C16)^(G$4-1)</f>
        <v>0.0</v>
      </c>
      <c r="H38" s="71">
        <f>H34*'Поставщик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годам'!$D$12="EUR",'Параметры'!C23,1)))*(1+'Параметры'!C16)^(H$4-1)</f>
        <v>0.0</v>
      </c>
      <c r="I38" s="71">
        <f>I34*'Поставщик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годам'!$D$12="EUR",'Параметры'!C23,1)))*(1+'Параметры'!C16)^(I$4-1)</f>
        <v>0.0</v>
      </c>
      <c r="J38" s="71">
        <f>J34*'Поставщик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годам'!$D$12="EUR",'Параметры'!C23,1)))*(1+'Параметры'!C16)^(J$4-1)</f>
        <v>0.0</v>
      </c>
      <c r="K38" s="71">
        <f>K34*'Поставщик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годам'!$D$12="EUR",'Параметры'!C23,1)))*(1+'Параметры'!C16)^(K$4-1)</f>
        <v>0.0</v>
      </c>
      <c r="L38" s="71">
        <f>L34*'Поставщик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годам'!$D$12="EUR",'Параметры'!C23,1)))*(1+'Параметры'!C16)^(L$4-1)</f>
        <v>0.0</v>
      </c>
      <c r="M38" s="71">
        <f>M34*'Поставщик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годам'!$D$12="EUR",'Параметры'!C23,1)))*(1+'Параметры'!C16)^(M$4-1)</f>
        <v>0.0</v>
      </c>
      <c r="N38" s="71">
        <f>N34*'Поставщик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годам'!$D$12="EUR",'Параметры'!C23,1)))*(1+'Параметры'!C16)^(N$4-1)</f>
        <v>0.0</v>
      </c>
    </row>
    <row r="39">
      <c r="B39" s="22" t="inlineStr">
        <is>
          <t>Штанги/адаптеры</t>
        </is>
      </c>
      <c r="C39" s="26" t="inlineStr">
        <is>
          <t>тыс.руб</t>
        </is>
      </c>
      <c r="D39" s="71" t="n"/>
      <c r="E39" s="71">
        <f>E34*'Поставщик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годам'!$D$12="EUR",'Параметры'!C23,1)))*(1+'Параметры'!C16)^(E$4-1)</f>
        <v>0.0</v>
      </c>
      <c r="F39" s="71">
        <f>F34*'Поставщик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годам'!$D$12="EUR",'Параметры'!C23,1)))*(1+'Параметры'!C16)^(F$4-1)</f>
        <v>0.0</v>
      </c>
      <c r="G39" s="71">
        <f>G34*'Поставщик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годам'!$D$12="EUR",'Параметры'!C23,1)))*(1+'Параметры'!C16)^(G$4-1)</f>
        <v>0.0</v>
      </c>
      <c r="H39" s="71">
        <f>H34*'Поставщик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годам'!$D$12="EUR",'Параметры'!C23,1)))*(1+'Параметры'!C16)^(H$4-1)</f>
        <v>0.0</v>
      </c>
      <c r="I39" s="71">
        <f>I34*'Поставщик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годам'!$D$12="EUR",'Параметры'!C23,1)))*(1+'Параметры'!C16)^(I$4-1)</f>
        <v>0.0</v>
      </c>
      <c r="J39" s="71">
        <f>J34*'Поставщик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годам'!$D$12="EUR",'Параметры'!C23,1)))*(1+'Параметры'!C16)^(J$4-1)</f>
        <v>0.0</v>
      </c>
      <c r="K39" s="71">
        <f>K34*'Поставщик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годам'!$D$12="EUR",'Параметры'!C23,1)))*(1+'Параметры'!C16)^(K$4-1)</f>
        <v>0.0</v>
      </c>
      <c r="L39" s="71">
        <f>L34*'Поставщик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годам'!$D$12="EUR",'Параметры'!C23,1)))*(1+'Параметры'!C16)^(L$4-1)</f>
        <v>0.0</v>
      </c>
      <c r="M39" s="71">
        <f>M34*'Поставщик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годам'!$D$12="EUR",'Параметры'!C23,1)))*(1+'Параметры'!C16)^(M$4-1)</f>
        <v>0.0</v>
      </c>
      <c r="N39" s="71">
        <f>N34*'Поставщик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годам'!$D$12="EUR",'Параметры'!C23,1)))*(1+'Параметры'!C16)^(N$4-1)</f>
        <v>0.0</v>
      </c>
    </row>
    <row r="40">
      <c r="B40" s="22" t="inlineStr">
        <is>
          <t>Расходники</t>
        </is>
      </c>
      <c r="C40" s="26" t="inlineStr">
        <is>
          <t>тыс.руб</t>
        </is>
      </c>
      <c r="D40" s="71" t="n"/>
      <c r="E40" s="71">
        <f>E34*'Поставщик 2'!$D$257*(1+'Параметры'!C16)^(E$4-1)</f>
        <v>0.0</v>
      </c>
      <c r="F40" s="71">
        <f>F34*'Поставщик 2'!$D$257*(1+'Параметры'!C16)^(F$4-1)</f>
        <v>0.0</v>
      </c>
      <c r="G40" s="71">
        <f>G34*'Поставщик 2'!$D$257*(1+'Параметры'!C16)^(G$4-1)</f>
        <v>0.0</v>
      </c>
      <c r="H40" s="71">
        <f>H34*'Поставщик 2'!$D$257*(1+'Параметры'!C16)^(H$4-1)</f>
        <v>0.0</v>
      </c>
      <c r="I40" s="71">
        <f>I34*'Поставщик 2'!$D$257*(1+'Параметры'!C16)^(I$4-1)</f>
        <v>0.0</v>
      </c>
      <c r="J40" s="71">
        <f>J34*'Поставщик 2'!$D$257*(1+'Параметры'!C16)^(J$4-1)</f>
        <v>0.0</v>
      </c>
      <c r="K40" s="71">
        <f>K34*'Поставщик 2'!$D$257*(1+'Параметры'!C16)^(K$4-1)</f>
        <v>0.0</v>
      </c>
      <c r="L40" s="71">
        <f>L34*'Поставщик 2'!$D$257*(1+'Параметры'!C16)^(L$4-1)</f>
        <v>0.0</v>
      </c>
      <c r="M40" s="71">
        <f>M34*'Поставщик 2'!$D$257*(1+'Параметры'!C16)^(M$4-1)</f>
        <v>0.0</v>
      </c>
      <c r="N40" s="71">
        <f>N34*'Поставщик 2'!$D$257*(1+'Параметры'!C16)^(N$4-1)</f>
        <v>0.0</v>
      </c>
    </row>
    <row r="41">
      <c r="B41" s="22" t="inlineStr">
        <is>
          <t>Персонал</t>
        </is>
      </c>
      <c r="C41" s="26" t="inlineStr">
        <is>
          <t>тыс.руб</t>
        </is>
      </c>
      <c r="D41" s="71" t="n"/>
      <c r="E41" s="71">
        <f>'Ввод данных'!E22*(1+'Параметры'!C17)^(E$4-1)</f>
        <v>15710.0</v>
      </c>
      <c r="F41" s="71">
        <f>'Ввод данных'!E22*(1+'Параметры'!C17)^(F$4-1)</f>
        <v>15710.0</v>
      </c>
      <c r="G41" s="71">
        <f>'Ввод данных'!E22*(1+'Параметры'!C17)^(G$4-1)</f>
        <v>15710.0</v>
      </c>
      <c r="H41" s="71">
        <f>'Ввод данных'!E22*(1+'Параметры'!C17)^(H$4-1)</f>
        <v>15710.0</v>
      </c>
      <c r="I41" s="71">
        <f>'Ввод данных'!E22*(1+'Параметры'!C17)^(I$4-1)</f>
        <v>15710.0</v>
      </c>
      <c r="J41" s="71">
        <f>'Ввод данных'!E22*(1+'Параметры'!C17)^(J$4-1)</f>
        <v>15710.0</v>
      </c>
      <c r="K41" s="71">
        <f>'Ввод данных'!E22*(1+'Параметры'!C17)^(K$4-1)</f>
        <v>15710.0</v>
      </c>
      <c r="L41" s="71">
        <f>'Ввод данных'!E22*(1+'Параметры'!C17)^(L$4-1)</f>
        <v>15710.0</v>
      </c>
      <c r="M41" s="71">
        <f>'Ввод данных'!E22*(1+'Параметры'!C17)^(M$4-1)</f>
        <v>15710.0</v>
      </c>
      <c r="N41" s="71">
        <f>'Ввод данных'!E22*(1+'Параметры'!C17)^(N$4-1)</f>
        <v>15710.0</v>
      </c>
    </row>
    <row r="42">
      <c r="B42" s="22" t="inlineStr">
        <is>
          <t>Транспортный налог</t>
        </is>
      </c>
      <c r="C42" s="26" t="inlineStr">
        <is>
          <t>тыс.руб</t>
        </is>
      </c>
      <c r="D42" s="71" t="n"/>
      <c r="E42" s="71">
        <f>'Ввод данных'!E23*15/1000</f>
        <v>12.0</v>
      </c>
      <c r="F42" s="71">
        <f>'Ввод данных'!E23*15/1000</f>
        <v>12.0</v>
      </c>
      <c r="G42" s="71">
        <f>'Ввод данных'!E23*15/1000</f>
        <v>12.0</v>
      </c>
      <c r="H42" s="71">
        <f>'Ввод данных'!E23*15/1000</f>
        <v>12.0</v>
      </c>
      <c r="I42" s="71">
        <f>'Ввод данных'!E23*15/1000</f>
        <v>12.0</v>
      </c>
      <c r="J42" s="71">
        <f>'Ввод данных'!E23*15/1000</f>
        <v>12.0</v>
      </c>
      <c r="K42" s="71">
        <f>'Ввод данных'!E23*15/1000</f>
        <v>12.0</v>
      </c>
      <c r="L42" s="71">
        <f>'Ввод данных'!E23*15/1000</f>
        <v>12.0</v>
      </c>
      <c r="M42" s="71">
        <f>'Ввод данных'!E23*15/1000</f>
        <v>12.0</v>
      </c>
      <c r="N42" s="71">
        <f>'Ввод данных'!E23*15/1000</f>
        <v>12.0</v>
      </c>
    </row>
    <row r="43">
      <c r="B43" s="22" t="inlineStr">
        <is>
          <t>Итого денежные затраты</t>
        </is>
      </c>
      <c r="C43" s="26" t="inlineStr">
        <is>
          <t>тыс.руб</t>
        </is>
      </c>
      <c r="D43" s="71" t="n"/>
      <c r="E43" s="81">
        <f>E36+E37+E38+E39+E40+E41+E42</f>
        <v>61737.18892302956</v>
      </c>
      <c r="F43" s="81">
        <f>F36+F37+F38+F39+F40+F41+F42</f>
        <v>81355.1966511228</v>
      </c>
      <c r="G43" s="81">
        <f>G36+G37+G38+G39+G40+G41+G42</f>
        <v>106058.70264837037</v>
      </c>
      <c r="H43" s="81">
        <f>H36+H37+H38+H39+H40+H41+H42</f>
        <v>99382.73425532128</v>
      </c>
      <c r="I43" s="81">
        <f>I36+I37+I38+I39+I40+I41+I42</f>
        <v>119600.79507739053</v>
      </c>
      <c r="J43" s="81">
        <f>J36+J37+J38+J39+J40+J41+J42</f>
        <v>94503.5361909947</v>
      </c>
      <c r="K43" s="81">
        <f>K36+K37+K38+K39+K40+K41+K42</f>
        <v>118142.70489695338</v>
      </c>
      <c r="L43" s="81">
        <f>L36+L37+L38+L39+L40+L41+L42</f>
        <v>82761.5150917972</v>
      </c>
      <c r="M43" s="81">
        <f>M36+M37+M38+M39+M40+M41+M42</f>
        <v>129719.95485617635</v>
      </c>
      <c r="N43" s="81">
        <f>N36+N37+N38+N39+N40+N41+N42</f>
        <v>90979.12664790626</v>
      </c>
    </row>
    <row r="44">
      <c r="B44" s="22" t="inlineStr">
        <is>
          <t>Амортизация (НУ)</t>
        </is>
      </c>
      <c r="C44" s="26" t="inlineStr">
        <is>
          <t>тыс.руб</t>
        </is>
      </c>
      <c r="D44" s="71" t="n"/>
      <c r="E44" s="71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27305.331497147352</v>
      </c>
      <c r="F44" s="71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27305.331497147352</v>
      </c>
      <c r="G44" s="71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27305.331497147352</v>
      </c>
      <c r="H44" s="71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27305.331497147352</v>
      </c>
      <c r="I44" s="71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27305.331497147352</v>
      </c>
      <c r="J44" s="71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2266.342514263235</v>
      </c>
      <c r="K44" s="71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44" s="71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44" s="71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44" s="71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45">
      <c r="B45" s="22" t="inlineStr">
        <is>
          <t>Налогооблагаемая база</t>
        </is>
      </c>
      <c r="C45" s="26" t="inlineStr">
        <is>
          <t>тыс.руб</t>
        </is>
      </c>
      <c r="D45" s="71" t="n"/>
      <c r="E45" s="71">
        <f>E43+E44</f>
        <v>89042.52042017691</v>
      </c>
      <c r="F45" s="71">
        <f>F43+F44</f>
        <v>108660.52814827015</v>
      </c>
      <c r="G45" s="71">
        <f>G43+G44</f>
        <v>133364.0341455177</v>
      </c>
      <c r="H45" s="71">
        <f>H43+H44</f>
        <v>126688.06575246862</v>
      </c>
      <c r="I45" s="71">
        <f>I43+I44</f>
        <v>146906.1265745379</v>
      </c>
      <c r="J45" s="71">
        <f>J43+J44</f>
        <v>96769.87870525793</v>
      </c>
      <c r="K45" s="71">
        <f>K43+K44</f>
        <v>118142.70489695338</v>
      </c>
      <c r="L45" s="71">
        <f>L43+L44</f>
        <v>82761.5150917972</v>
      </c>
      <c r="M45" s="71">
        <f>M43+M44</f>
        <v>129719.95485617635</v>
      </c>
      <c r="N45" s="71">
        <f>N43+N44</f>
        <v>90979.12664790626</v>
      </c>
    </row>
    <row r="46">
      <c r="B46" s="22" t="inlineStr">
        <is>
          <t>Налог на прибыль (щит)</t>
        </is>
      </c>
      <c r="C46" s="26" t="inlineStr">
        <is>
          <t>тыс.руб</t>
        </is>
      </c>
      <c r="D46" s="71" t="n"/>
      <c r="E46" s="71">
        <f>-E45*'Параметры'!C7</f>
        <v>-22260.630105044227</v>
      </c>
      <c r="F46" s="71">
        <f>-F45*'Параметры'!C7</f>
        <v>-27165.13203706754</v>
      </c>
      <c r="G46" s="71">
        <f>-G45*'Параметры'!C7</f>
        <v>-33341.00853637943</v>
      </c>
      <c r="H46" s="71">
        <f>-H45*'Параметры'!C7</f>
        <v>-31672.016438117156</v>
      </c>
      <c r="I46" s="71">
        <f>-I45*'Параметры'!C7</f>
        <v>-36726.53164363447</v>
      </c>
      <c r="J46" s="71">
        <f>-J45*'Параметры'!C7</f>
        <v>-24192.469676314482</v>
      </c>
      <c r="K46" s="71">
        <f>-K45*'Параметры'!C7</f>
        <v>-29535.676224238345</v>
      </c>
      <c r="L46" s="71">
        <f>-L45*'Параметры'!C7</f>
        <v>-20690.3787729493</v>
      </c>
      <c r="M46" s="71">
        <f>-M45*'Параметры'!C7</f>
        <v>-32429.988714044088</v>
      </c>
      <c r="N46" s="71">
        <f>-N45*'Параметры'!C7</f>
        <v>-22744.781661976565</v>
      </c>
    </row>
    <row r="47">
      <c r="B47" s="22" t="inlineStr">
        <is>
          <t>Операц. денежный поток</t>
        </is>
      </c>
      <c r="C47" s="26" t="inlineStr">
        <is>
          <t>тыс.руб</t>
        </is>
      </c>
      <c r="D47" s="71" t="n"/>
      <c r="E47" s="81">
        <f>E45+E46-E44</f>
        <v>39476.55881798533</v>
      </c>
      <c r="F47" s="81">
        <f>F45+F46-F44</f>
        <v>54190.06461405526</v>
      </c>
      <c r="G47" s="81">
        <f>G45+G46-G44</f>
        <v>72717.69411199092</v>
      </c>
      <c r="H47" s="81">
        <f>H45+H46-H44</f>
        <v>67710.7178172041</v>
      </c>
      <c r="I47" s="81">
        <f>I45+I46-I44</f>
        <v>82874.26343375607</v>
      </c>
      <c r="J47" s="81">
        <f>J45+J46-J44</f>
        <v>70311.06651468022</v>
      </c>
      <c r="K47" s="81">
        <f>K45+K46-K44</f>
        <v>88607.02867271504</v>
      </c>
      <c r="L47" s="81">
        <f>L45+L46-L44</f>
        <v>62071.1363188479</v>
      </c>
      <c r="M47" s="81">
        <f>M45+M46-M44</f>
        <v>97289.96614213227</v>
      </c>
      <c r="N47" s="81">
        <f>N45+N46-N44</f>
        <v>68234.3449859297</v>
      </c>
    </row>
    <row r="48">
      <c r="B48" s="22" t="inlineStr">
        <is>
          <t>Инвестиции / остаточная ст-ть</t>
        </is>
      </c>
      <c r="C48" s="26" t="inlineStr">
        <is>
          <t>тыс.руб</t>
        </is>
      </c>
      <c r="D48" s="71">
        <f>IF(D$4=0,'Производительность'!E5,IF(D$4='Параметры'!C8,-'Ввод данных'!E14*'Производительность'!E5,0))</f>
        <v>138793.0</v>
      </c>
      <c r="E48" s="71">
        <f>IF(E$4=0,'Производительность'!E5,IF(E$4='Параметры'!C8,-'Ввод данных'!E14*'Производительность'!E5,0))</f>
        <v>0.0</v>
      </c>
      <c r="F48" s="71">
        <f>IF(F$4=0,'Производительность'!E5,IF(F$4='Параметры'!C8,-'Ввод данных'!E14*'Производительность'!E5,0))</f>
        <v>0.0</v>
      </c>
      <c r="G48" s="71">
        <f>IF(G$4=0,'Производительность'!E5,IF(G$4='Параметры'!C8,-'Ввод данных'!E14*'Производительность'!E5,0))</f>
        <v>0.0</v>
      </c>
      <c r="H48" s="71">
        <f>IF(H$4=0,'Производительность'!E5,IF(H$4='Параметры'!C8,-'Ввод данных'!E14*'Производительность'!E5,0))</f>
        <v>0.0</v>
      </c>
      <c r="I48" s="71">
        <f>IF(I$4=0,'Производительность'!E5,IF(I$4='Параметры'!C8,-'Ввод данных'!E14*'Производительность'!E5,0))</f>
        <v>0.0</v>
      </c>
      <c r="J48" s="71">
        <f>IF(J$4=0,'Производительность'!E5,IF(J$4='Параметры'!C8,-'Ввод данных'!E14*'Производительность'!E5,0))</f>
        <v>0.0</v>
      </c>
      <c r="K48" s="71">
        <f>IF(K$4=0,'Производительность'!E5,IF(K$4='Параметры'!C8,-'Ввод данных'!E14*'Производительность'!E5,0))</f>
        <v>0.0</v>
      </c>
      <c r="L48" s="71">
        <f>IF(L$4=0,'Производительность'!E5,IF(L$4='Параметры'!C8,-'Ввод данных'!E14*'Производительность'!E5,0))</f>
        <v>0.0</v>
      </c>
      <c r="M48" s="71">
        <f>IF(M$4=0,'Производительность'!E5,IF(M$4='Параметры'!C8,-'Ввод данных'!E14*'Производительность'!E5,0))</f>
        <v>0.0</v>
      </c>
      <c r="N48" s="71">
        <f>IF(N$4=0,'Производительность'!E5,IF(N$4='Параметры'!C8,-'Ввод данных'!E14*'Производительность'!E5,0))</f>
        <v>-0.0</v>
      </c>
    </row>
    <row r="49">
      <c r="B49" s="22" t="inlineStr">
        <is>
          <t>Чистый денежный поток</t>
        </is>
      </c>
      <c r="C49" s="26" t="inlineStr">
        <is>
          <t>тыс.руб</t>
        </is>
      </c>
      <c r="D49" s="81">
        <f>0+D48</f>
        <v>138793.0</v>
      </c>
      <c r="E49" s="81">
        <f>E47+E48</f>
        <v>39476.55881798533</v>
      </c>
      <c r="F49" s="81">
        <f>F47+F48</f>
        <v>54190.06461405526</v>
      </c>
      <c r="G49" s="81">
        <f>G47+G48</f>
        <v>72717.69411199092</v>
      </c>
      <c r="H49" s="81">
        <f>H47+H48</f>
        <v>67710.7178172041</v>
      </c>
      <c r="I49" s="81">
        <f>I47+I48</f>
        <v>82874.26343375607</v>
      </c>
      <c r="J49" s="81">
        <f>J47+J48</f>
        <v>70311.06651468022</v>
      </c>
      <c r="K49" s="81">
        <f>K47+K48</f>
        <v>88607.02867271504</v>
      </c>
      <c r="L49" s="81">
        <f>L47+L48</f>
        <v>62071.1363188479</v>
      </c>
      <c r="M49" s="81">
        <f>M47+M48</f>
        <v>97289.96614213227</v>
      </c>
      <c r="N49" s="81">
        <f>N47+N48</f>
        <v>68234.3449859297</v>
      </c>
    </row>
    <row r="50">
      <c r="B50" s="22" t="inlineStr">
        <is>
          <t>Дисконтированный поток</t>
        </is>
      </c>
      <c r="C50" s="26" t="inlineStr">
        <is>
          <t>тыс.руб</t>
        </is>
      </c>
      <c r="D50" s="71">
        <f>D49*D$6</f>
        <v>138793.0</v>
      </c>
      <c r="E50" s="71">
        <f>E49*E$6</f>
        <v>35246.92751605833</v>
      </c>
      <c r="F50" s="71">
        <f>F49*F$6</f>
        <v>43199.98773441905</v>
      </c>
      <c r="G50" s="71">
        <f>G49*G$6</f>
        <v>51759.0183354527</v>
      </c>
      <c r="H50" s="71">
        <f>H49*H$6</f>
        <v>43031.38527460131</v>
      </c>
      <c r="I50" s="71">
        <f>I49*I$6</f>
        <v>47025.08272021109</v>
      </c>
      <c r="J50" s="71">
        <f>J49*J$6</f>
        <v>35621.7744595056</v>
      </c>
      <c r="K50" s="71">
        <f>K49*K$6</f>
        <v>40081.31989343626</v>
      </c>
      <c r="L50" s="71">
        <f>L49*L$6</f>
        <v>25069.49090080374</v>
      </c>
      <c r="M50" s="71">
        <f>M49*M$6</f>
        <v>35083.73712097134</v>
      </c>
      <c r="N50" s="71">
        <f>N49*N$6</f>
        <v>21969.632901765908</v>
      </c>
    </row>
    <row r="51">
      <c r="B51" s="22" t="inlineStr">
        <is>
          <t>Кумул. дисконт. поток</t>
        </is>
      </c>
      <c r="C51" s="26" t="inlineStr">
        <is>
          <t>тыс.руб</t>
        </is>
      </c>
      <c r="D51" s="71">
        <f>SUM($D50:D50)</f>
        <v>138793.0</v>
      </c>
      <c r="E51" s="71">
        <f>SUM($D50:E50)</f>
        <v>174039.92751605832</v>
      </c>
      <c r="F51" s="71">
        <f>SUM($D50:F50)</f>
        <v>217239.91525047738</v>
      </c>
      <c r="G51" s="71">
        <f>SUM($D50:G50)</f>
        <v>268998.9335859301</v>
      </c>
      <c r="H51" s="71">
        <f>SUM($D50:H50)</f>
        <v>312030.3188605314</v>
      </c>
      <c r="I51" s="71">
        <f>SUM($D50:I50)</f>
        <v>359055.40158074244</v>
      </c>
      <c r="J51" s="71">
        <f>SUM($D50:J50)</f>
        <v>394677.176040248</v>
      </c>
      <c r="K51" s="71">
        <f>SUM($D50:K50)</f>
        <v>434758.49593368435</v>
      </c>
      <c r="L51" s="71">
        <f>SUM($D50:L50)</f>
        <v>459827.9868344881</v>
      </c>
      <c r="M51" s="71">
        <f>SUM($D50:M50)</f>
        <v>494911.7239554594</v>
      </c>
      <c r="N51" s="71">
        <f>SUM($D50:N50)</f>
        <v>516881.35685722536</v>
      </c>
    </row>
    <row r="52">
      <c r="B52" s="57" t="inlineStr">
        <is>
          <t>Аннуитет по году</t>
        </is>
      </c>
      <c r="C52" s="26" t="inlineStr">
        <is>
          <t>руб/пог.м</t>
        </is>
      </c>
      <c r="D52" s="82" t="n"/>
      <c r="E52" s="82">
        <f>SUM($D50:E50)/SUM($E$6:E$6)/(SUM($E34:E34)/E$4)</f>
        <v>1748.8723314175545</v>
      </c>
      <c r="F52" s="82">
        <f>SUM($D50:F50)/SUM($E$6:F$6)/(SUM($E34:F34)/F$4)</f>
        <v>1172.5326749576802</v>
      </c>
      <c r="G52" s="82">
        <f>SUM($D50:G50)/SUM($E$6:G$6)/(SUM($E34:G34)/G$4)</f>
        <v>1035.2345053126048</v>
      </c>
      <c r="H52" s="82">
        <f>SUM($D50:H50)/SUM($E$6:H$6)/(SUM($E34:H34)/H$4)</f>
        <v>947.8727675809902</v>
      </c>
      <c r="I52" s="82">
        <f>SUM($D50:I50)/SUM($E$6:I$6)/(SUM($E34:I34)/I$4)</f>
        <v>920.0270406521386</v>
      </c>
      <c r="J52" s="82">
        <f>SUM($D50:J50)/SUM($E$6:J$6)/(SUM($E34:J34)/J$4)</f>
        <v>891.1201264921467</v>
      </c>
      <c r="K52" s="82">
        <f>SUM($D50:K50)/SUM($E$6:K$6)/(SUM($E34:K34)/K$4)</f>
        <v>884.721304165441</v>
      </c>
      <c r="L52" s="82">
        <f>SUM($D50:L50)/SUM($E$6:L$6)/(SUM($E34:L34)/L$4)</f>
        <v>859.5399704541496</v>
      </c>
      <c r="M52" s="82">
        <f>SUM($D50:M50)/SUM($E$6:M$6)/(SUM($E34:M34)/M$4)</f>
        <v>864.14909208516</v>
      </c>
      <c r="N52" s="82">
        <f>SUM($D50:N50)/SUM($E$6:N$6)/(SUM($E34:N34)/N$4)</f>
        <v>851.9320347234687</v>
      </c>
    </row>
    <row r="54">
      <c r="B54" s="5" t="str">
        <f>"Вариант 3:  "&amp;'Ввод данных'!F7</f>
        <v>Вариант 3:  Sunward
SWDRT270SM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B55" s="22" t="inlineStr">
        <is>
          <t>КТГ</t>
        </is>
      </c>
      <c r="C55" s="26" t="inlineStr">
        <is>
          <t>коэф.</t>
        </is>
      </c>
      <c r="D55" s="75" t="n"/>
      <c r="E55" s="75">
        <f>'Данные по годам'!E15</f>
        <v>0.8948</v>
      </c>
      <c r="F55" s="75">
        <f>'Данные по годам'!F15</f>
        <v>0.8654</v>
      </c>
      <c r="G55" s="75">
        <f>'Данные по годам'!G15</f>
        <v>0.8454</v>
      </c>
      <c r="H55" s="75">
        <f>'Данные по годам'!H15</f>
        <v>0.8748</v>
      </c>
      <c r="I55" s="75">
        <f>'Данные по годам'!I15</f>
        <v>0.8654</v>
      </c>
      <c r="J55" s="75">
        <f>'Данные по годам'!J15</f>
        <v>0.8432</v>
      </c>
      <c r="K55" s="75">
        <f>'Данные по годам'!K15</f>
        <v>0.8621</v>
      </c>
      <c r="L55" s="75">
        <f>'Данные по годам'!L15</f>
        <v>0.8654</v>
      </c>
      <c r="M55" s="75">
        <f>'Данные по годам'!M15</f>
        <v>0.8498</v>
      </c>
      <c r="N55" s="75">
        <f>'Данные по годам'!N15</f>
        <v>0.8543</v>
      </c>
    </row>
    <row r="56">
      <c r="B56" s="22" t="inlineStr">
        <is>
          <t>Эффективное время</t>
        </is>
      </c>
      <c r="C56" s="26" t="inlineStr">
        <is>
          <t>час/год</t>
        </is>
      </c>
      <c r="D56" s="71" t="n"/>
      <c r="E56" s="71">
        <f>'Параметры'!C27*E55*(1-137.92/(60*'Параметры'!C28))</f>
        <v>6336.949738666667</v>
      </c>
      <c r="F56" s="71">
        <f>'Параметры'!C27*F55*(1-137.92/(60*'Параметры'!C28))</f>
        <v>6128.739722666667</v>
      </c>
      <c r="G56" s="71">
        <f>'Параметры'!C27*G55*(1-137.92/(60*'Параметры'!C28))</f>
        <v>5987.100256000001</v>
      </c>
      <c r="H56" s="71">
        <f>'Параметры'!C27*H55*(1-137.92/(60*'Параметры'!C28))</f>
        <v>6195.310272000001</v>
      </c>
      <c r="I56" s="71">
        <f>'Параметры'!C27*I55*(1-137.92/(60*'Параметры'!C28))</f>
        <v>6128.739722666667</v>
      </c>
      <c r="J56" s="71">
        <f>'Параметры'!C27*J55*(1-137.92/(60*'Параметры'!C28))</f>
        <v>5971.519914666667</v>
      </c>
      <c r="K56" s="71">
        <f>'Параметры'!C27*K55*(1-137.92/(60*'Параметры'!C28))</f>
        <v>6105.369210666668</v>
      </c>
      <c r="L56" s="71">
        <f>'Параметры'!C27*L55*(1-137.92/(60*'Параметры'!C28))</f>
        <v>6128.739722666667</v>
      </c>
      <c r="M56" s="71">
        <f>'Параметры'!C27*M55*(1-137.92/(60*'Параметры'!C28))</f>
        <v>6018.260938666667</v>
      </c>
      <c r="N56" s="71">
        <f>'Параметры'!C27*N55*(1-137.92/(60*'Параметры'!C28))</f>
        <v>6050.129818666667</v>
      </c>
    </row>
    <row r="57">
      <c r="B57" s="22" t="inlineStr">
        <is>
          <t>Объём бурения</t>
        </is>
      </c>
      <c r="C57" s="26" t="inlineStr">
        <is>
          <t>тыс.пог.м</t>
        </is>
      </c>
      <c r="D57" s="80" t="n"/>
      <c r="E57" s="80">
        <f>'Производительность'!F12*E56/1000</f>
        <v>126.96469611408122</v>
      </c>
      <c r="F57" s="80">
        <f>'Производительность'!F12*F56/1000</f>
        <v>122.79308003702043</v>
      </c>
      <c r="G57" s="80">
        <f>'Производительность'!F12*G56/1000</f>
        <v>119.95524597099269</v>
      </c>
      <c r="H57" s="80">
        <f>'Производительность'!F12*H56/1000</f>
        <v>124.12686204805347</v>
      </c>
      <c r="I57" s="80">
        <f>'Производительность'!F12*I56/1000</f>
        <v>122.79308003702043</v>
      </c>
      <c r="J57" s="80">
        <f>'Производительность'!F12*J56/1000</f>
        <v>119.64308422372964</v>
      </c>
      <c r="K57" s="80">
        <f>'Производительность'!F12*K56/1000</f>
        <v>122.32483741612587</v>
      </c>
      <c r="L57" s="80">
        <f>'Производительность'!F12*L56/1000</f>
        <v>122.79308003702043</v>
      </c>
      <c r="M57" s="80">
        <f>'Производительность'!F12*M56/1000</f>
        <v>120.5795694655188</v>
      </c>
      <c r="N57" s="80">
        <f>'Производительность'!F12*N56/1000</f>
        <v>121.21808213037504</v>
      </c>
    </row>
    <row r="58">
      <c r="B58" s="22" t="inlineStr">
        <is>
          <t>Объём взрывания</t>
        </is>
      </c>
      <c r="C58" s="26" t="inlineStr">
        <is>
          <t>тыс.м³</t>
        </is>
      </c>
      <c r="D58" s="71" t="n"/>
      <c r="E58" s="71">
        <f>E57*'Параметры'!C35</f>
        <v>6280.308693283028</v>
      </c>
      <c r="F58" s="71">
        <f>F57*'Параметры'!C35</f>
        <v>6073.9597040312165</v>
      </c>
      <c r="G58" s="71">
        <f>G57*'Параметры'!C35</f>
        <v>5933.586241955154</v>
      </c>
      <c r="H58" s="71">
        <f>H57*'Параметры'!C35</f>
        <v>6139.935231206965</v>
      </c>
      <c r="I58" s="71">
        <f>I57*'Параметры'!C35</f>
        <v>6073.9597040312165</v>
      </c>
      <c r="J58" s="71">
        <f>J57*'Параметры'!C35</f>
        <v>5918.145161126788</v>
      </c>
      <c r="K58" s="71">
        <f>K57*'Параметры'!C35</f>
        <v>6050.798082788667</v>
      </c>
      <c r="L58" s="71">
        <f>L57*'Параметры'!C35</f>
        <v>6073.9597040312165</v>
      </c>
      <c r="M58" s="71">
        <f>M57*'Параметры'!C35</f>
        <v>5964.468403611888</v>
      </c>
      <c r="N58" s="71">
        <f>N57*'Параметры'!C35</f>
        <v>5996.052432579002</v>
      </c>
    </row>
    <row r="59">
      <c r="B59" s="22" t="inlineStr">
        <is>
          <t>Топливо/энергия</t>
        </is>
      </c>
      <c r="C59" s="26" t="inlineStr">
        <is>
          <t>тыс.руб</t>
        </is>
      </c>
      <c r="D59" s="71" t="n"/>
      <c r="E59" s="71">
        <f>E56*'Данные по годам'!E17/1000*'Параметры'!C10*(1+'Параметры'!C15)^(E$4-1)</f>
        <v>32180.18080258791</v>
      </c>
      <c r="F59" s="71">
        <f>F56*'Данные по годам'!F17/1000*'Параметры'!C10*(1+'Параметры'!C15)^(F$4-1)</f>
        <v>31122.85255538621</v>
      </c>
      <c r="G59" s="71">
        <f>G56*'Данные по годам'!G17/1000*'Параметры'!C10*(1+'Параметры'!C15)^(G$4-1)</f>
        <v>30403.581638922464</v>
      </c>
      <c r="H59" s="71">
        <f>H56*'Данные по годам'!H17/1000*'Параметры'!C10*(1+'Параметры'!C15)^(H$4-1)</f>
        <v>31460.909886124165</v>
      </c>
      <c r="I59" s="71">
        <f>I56*'Данные по годам'!I17/1000*'Параметры'!C10*(1+'Параметры'!C15)^(I$4-1)</f>
        <v>31122.85255538621</v>
      </c>
      <c r="J59" s="71">
        <f>J56*'Данные по годам'!J17/1000*'Параметры'!C10*(1+'Параметры'!C15)^(J$4-1)</f>
        <v>30324.461838111452</v>
      </c>
      <c r="K59" s="71">
        <f>K56*'Данные по годам'!K17/1000*'Параметры'!C10*(1+'Параметры'!C15)^(K$4-1)</f>
        <v>31004.172854169694</v>
      </c>
      <c r="L59" s="71">
        <f>L56*'Данные по годам'!L17/1000*'Параметры'!C10*(1+'Параметры'!C15)^(L$4-1)</f>
        <v>31122.85255538621</v>
      </c>
      <c r="M59" s="71">
        <f>M56*'Данные по годам'!M17/1000*'Параметры'!C10*(1+'Параметры'!C15)^(M$4-1)</f>
        <v>30561.82124054449</v>
      </c>
      <c r="N59" s="71">
        <f>N56*'Данные по годам'!N17/1000*'Параметры'!C10*(1+'Параметры'!C15)^(N$4-1)</f>
        <v>30723.65719674883</v>
      </c>
    </row>
    <row r="60">
      <c r="B60" s="22" t="inlineStr">
        <is>
          <t>ТОиР и сервис (по годам)</t>
        </is>
      </c>
      <c r="C60" s="26" t="inlineStr">
        <is>
          <t>тыс.руб</t>
        </is>
      </c>
      <c r="D60" s="71" t="n"/>
      <c r="E60" s="71">
        <f>'Данные по годам'!E16*IF('Данные по годам'!$D$16="CNY",'Параметры'!C21,IF('Данные по годам'!$D$16="USD",'Параметры'!C22,IF('Данные по годам'!$D$16="EUR",'Параметры'!C23,1)))</f>
        <v>14575.50370053239</v>
      </c>
      <c r="F60" s="71">
        <f>'Данные по годам'!F16*IF('Данные по годам'!$D$16="CNY",'Параметры'!C21,IF('Данные по годам'!$D$16="USD",'Параметры'!C22,IF('Данные по годам'!$D$16="EUR",'Параметры'!C23,1)))</f>
        <v>35226.50957965538</v>
      </c>
      <c r="G60" s="71">
        <f>'Данные по годам'!G16*IF('Данные по годам'!$D$16="CNY",'Параметры'!C21,IF('Данные по годам'!$D$16="USD",'Параметры'!C22,IF('Данные по годам'!$D$16="EUR",'Параметры'!C23,1)))</f>
        <v>60632.73540753542</v>
      </c>
      <c r="H60" s="71">
        <f>'Данные по годам'!H16*IF('Данные по годам'!$D$16="CNY",'Параметры'!C21,IF('Данные по годам'!$D$16="USD",'Параметры'!C22,IF('Данные по годам'!$D$16="EUR",'Параметры'!C23,1)))</f>
        <v>52923.76886345659</v>
      </c>
      <c r="I60" s="71">
        <f>'Данные по годам'!I16*IF('Данные по годам'!$D$16="CNY",'Параметры'!C21,IF('Данные по годам'!$D$16="USD",'Параметры'!C22,IF('Данные по годам'!$D$16="EUR",'Параметры'!C23,1)))</f>
        <v>73472.10800592312</v>
      </c>
      <c r="J60" s="71">
        <f>'Данные по годам'!J16*IF('Данные по годам'!$D$16="CNY",'Параметры'!C21,IF('Данные по годам'!$D$16="USD",'Параметры'!C22,IF('Данные по годам'!$D$16="EUR",'Параметры'!C23,1)))</f>
        <v>49154.86813152932</v>
      </c>
      <c r="K60" s="71">
        <f>'Данные по годам'!K16*IF('Данные по годам'!$D$16="CNY",'Параметры'!C21,IF('Данные по годам'!$D$16="USD",'Параметры'!C22,IF('Данные по годам'!$D$16="EUR",'Параметры'!C23,1)))</f>
        <v>72129.96659754032</v>
      </c>
      <c r="L60" s="71">
        <f>'Данные по годам'!L16*IF('Данные по годам'!$D$16="CNY",'Параметры'!C21,IF('Данные по годам'!$D$16="USD",'Параметры'!C22,IF('Данные по годам'!$D$16="EUR",'Параметры'!C23,1)))</f>
        <v>36632.82802032978</v>
      </c>
      <c r="M60" s="71">
        <f>'Данные по годам'!M16*IF('Данные по годам'!$D$16="CNY",'Параметры'!C21,IF('Данные по годам'!$D$16="USD",'Параметры'!C22,IF('Данные по годам'!$D$16="EUR",'Параметры'!C23,1)))</f>
        <v>84139.38925260227</v>
      </c>
      <c r="N60" s="71">
        <f>'Данные по годам'!N16*IF('Данные по годам'!$D$16="CNY",'Параметры'!C21,IF('Данные по годам'!$D$16="USD",'Параметры'!C22,IF('Данные по годам'!$D$16="EUR",'Параметры'!C23,1)))</f>
        <v>45240.449082439874</v>
      </c>
    </row>
    <row r="61">
      <c r="B61" s="22" t="inlineStr">
        <is>
          <t>Долота</t>
        </is>
      </c>
      <c r="C61" s="26" t="inlineStr">
        <is>
          <t>тыс.руб</t>
        </is>
      </c>
      <c r="D61" s="71" t="n"/>
      <c r="E61" s="71">
        <f>E57*'Поставщик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годам'!$D$16="EUR",'Параметры'!C23,1)))*(1+'Параметры'!C16)^(E$4-1)</f>
        <v>0.0</v>
      </c>
      <c r="F61" s="71">
        <f>F57*'Поставщик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годам'!$D$16="EUR",'Параметры'!C23,1)))*(1+'Параметры'!C16)^(F$4-1)</f>
        <v>0.0</v>
      </c>
      <c r="G61" s="71">
        <f>G57*'Поставщик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годам'!$D$16="EUR",'Параметры'!C23,1)))*(1+'Параметры'!C16)^(G$4-1)</f>
        <v>0.0</v>
      </c>
      <c r="H61" s="71">
        <f>H57*'Поставщик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годам'!$D$16="EUR",'Параметры'!C23,1)))*(1+'Параметры'!C16)^(H$4-1)</f>
        <v>0.0</v>
      </c>
      <c r="I61" s="71">
        <f>I57*'Поставщик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годам'!$D$16="EUR",'Параметры'!C23,1)))*(1+'Параметры'!C16)^(I$4-1)</f>
        <v>0.0</v>
      </c>
      <c r="J61" s="71">
        <f>J57*'Поставщик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годам'!$D$16="EUR",'Параметры'!C23,1)))*(1+'Параметры'!C16)^(J$4-1)</f>
        <v>0.0</v>
      </c>
      <c r="K61" s="71">
        <f>K57*'Поставщик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годам'!$D$16="EUR",'Параметры'!C23,1)))*(1+'Параметры'!C16)^(K$4-1)</f>
        <v>0.0</v>
      </c>
      <c r="L61" s="71">
        <f>L57*'Поставщик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годам'!$D$16="EUR",'Параметры'!C23,1)))*(1+'Параметры'!C16)^(L$4-1)</f>
        <v>0.0</v>
      </c>
      <c r="M61" s="71">
        <f>M57*'Поставщик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годам'!$D$16="EUR",'Параметры'!C23,1)))*(1+'Параметры'!C16)^(M$4-1)</f>
        <v>0.0</v>
      </c>
      <c r="N61" s="71">
        <f>N57*'Поставщик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годам'!$D$16="EUR",'Параметры'!C23,1)))*(1+'Параметры'!C16)^(N$4-1)</f>
        <v>0.0</v>
      </c>
    </row>
    <row r="62">
      <c r="B62" s="22" t="inlineStr">
        <is>
          <t>Штанги/адаптеры</t>
        </is>
      </c>
      <c r="C62" s="26" t="inlineStr">
        <is>
          <t>тыс.руб</t>
        </is>
      </c>
      <c r="D62" s="71" t="n"/>
      <c r="E62" s="71">
        <f>E57*'Поставщик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годам'!$D$16="EUR",'Параметры'!C23,1)))*(1+'Параметры'!C16)^(E$4-1)</f>
        <v>0.0</v>
      </c>
      <c r="F62" s="71">
        <f>F57*'Поставщик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годам'!$D$16="EUR",'Параметры'!C23,1)))*(1+'Параметры'!C16)^(F$4-1)</f>
        <v>0.0</v>
      </c>
      <c r="G62" s="71">
        <f>G57*'Поставщик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годам'!$D$16="EUR",'Параметры'!C23,1)))*(1+'Параметры'!C16)^(G$4-1)</f>
        <v>0.0</v>
      </c>
      <c r="H62" s="71">
        <f>H57*'Поставщик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годам'!$D$16="EUR",'Параметры'!C23,1)))*(1+'Параметры'!C16)^(H$4-1)</f>
        <v>0.0</v>
      </c>
      <c r="I62" s="71">
        <f>I57*'Поставщик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годам'!$D$16="EUR",'Параметры'!C23,1)))*(1+'Параметры'!C16)^(I$4-1)</f>
        <v>0.0</v>
      </c>
      <c r="J62" s="71">
        <f>J57*'Поставщик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годам'!$D$16="EUR",'Параметры'!C23,1)))*(1+'Параметры'!C16)^(J$4-1)</f>
        <v>0.0</v>
      </c>
      <c r="K62" s="71">
        <f>K57*'Поставщик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годам'!$D$16="EUR",'Параметры'!C23,1)))*(1+'Параметры'!C16)^(K$4-1)</f>
        <v>0.0</v>
      </c>
      <c r="L62" s="71">
        <f>L57*'Поставщик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годам'!$D$16="EUR",'Параметры'!C23,1)))*(1+'Параметры'!C16)^(L$4-1)</f>
        <v>0.0</v>
      </c>
      <c r="M62" s="71">
        <f>M57*'Поставщик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годам'!$D$16="EUR",'Параметры'!C23,1)))*(1+'Параметры'!C16)^(M$4-1)</f>
        <v>0.0</v>
      </c>
      <c r="N62" s="71">
        <f>N57*'Поставщик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годам'!$D$16="EUR",'Параметры'!C23,1)))*(1+'Параметры'!C16)^(N$4-1)</f>
        <v>0.0</v>
      </c>
    </row>
    <row r="63">
      <c r="B63" s="22" t="inlineStr">
        <is>
          <t>Расходники</t>
        </is>
      </c>
      <c r="C63" s="26" t="inlineStr">
        <is>
          <t>тыс.руб</t>
        </is>
      </c>
      <c r="D63" s="71" t="n"/>
      <c r="E63" s="71">
        <f>E57*'Поставщик 3'!$D$257*(1+'Параметры'!C16)^(E$4-1)</f>
        <v>0.0</v>
      </c>
      <c r="F63" s="71">
        <f>F57*'Поставщик 3'!$D$257*(1+'Параметры'!C16)^(F$4-1)</f>
        <v>0.0</v>
      </c>
      <c r="G63" s="71">
        <f>G57*'Поставщик 3'!$D$257*(1+'Параметры'!C16)^(G$4-1)</f>
        <v>0.0</v>
      </c>
      <c r="H63" s="71">
        <f>H57*'Поставщик 3'!$D$257*(1+'Параметры'!C16)^(H$4-1)</f>
        <v>0.0</v>
      </c>
      <c r="I63" s="71">
        <f>I57*'Поставщик 3'!$D$257*(1+'Параметры'!C16)^(I$4-1)</f>
        <v>0.0</v>
      </c>
      <c r="J63" s="71">
        <f>J57*'Поставщик 3'!$D$257*(1+'Параметры'!C16)^(J$4-1)</f>
        <v>0.0</v>
      </c>
      <c r="K63" s="71">
        <f>K57*'Поставщик 3'!$D$257*(1+'Параметры'!C16)^(K$4-1)</f>
        <v>0.0</v>
      </c>
      <c r="L63" s="71">
        <f>L57*'Поставщик 3'!$D$257*(1+'Параметры'!C16)^(L$4-1)</f>
        <v>0.0</v>
      </c>
      <c r="M63" s="71">
        <f>M57*'Поставщик 3'!$D$257*(1+'Параметры'!C16)^(M$4-1)</f>
        <v>0.0</v>
      </c>
      <c r="N63" s="71">
        <f>N57*'Поставщик 3'!$D$257*(1+'Параметры'!C16)^(N$4-1)</f>
        <v>0.0</v>
      </c>
    </row>
    <row r="64">
      <c r="B64" s="22" t="inlineStr">
        <is>
          <t>Персонал</t>
        </is>
      </c>
      <c r="C64" s="26" t="inlineStr">
        <is>
          <t>тыс.руб</t>
        </is>
      </c>
      <c r="D64" s="71" t="n"/>
      <c r="E64" s="71">
        <f>'Ввод данных'!F22*(1+'Параметры'!C17)^(E$4-1)</f>
        <v>15710.0</v>
      </c>
      <c r="F64" s="71">
        <f>'Ввод данных'!F22*(1+'Параметры'!C17)^(F$4-1)</f>
        <v>15710.0</v>
      </c>
      <c r="G64" s="71">
        <f>'Ввод данных'!F22*(1+'Параметры'!C17)^(G$4-1)</f>
        <v>15710.0</v>
      </c>
      <c r="H64" s="71">
        <f>'Ввод данных'!F22*(1+'Параметры'!C17)^(H$4-1)</f>
        <v>15710.0</v>
      </c>
      <c r="I64" s="71">
        <f>'Ввод данных'!F22*(1+'Параметры'!C17)^(I$4-1)</f>
        <v>15710.0</v>
      </c>
      <c r="J64" s="71">
        <f>'Ввод данных'!F22*(1+'Параметры'!C17)^(J$4-1)</f>
        <v>15710.0</v>
      </c>
      <c r="K64" s="71">
        <f>'Ввод данных'!F22*(1+'Параметры'!C17)^(K$4-1)</f>
        <v>15710.0</v>
      </c>
      <c r="L64" s="71">
        <f>'Ввод данных'!F22*(1+'Параметры'!C17)^(L$4-1)</f>
        <v>15710.0</v>
      </c>
      <c r="M64" s="71">
        <f>'Ввод данных'!F22*(1+'Параметры'!C17)^(M$4-1)</f>
        <v>15710.0</v>
      </c>
      <c r="N64" s="71">
        <f>'Ввод данных'!F22*(1+'Параметры'!C17)^(N$4-1)</f>
        <v>15710.0</v>
      </c>
    </row>
    <row r="65">
      <c r="B65" s="22" t="inlineStr">
        <is>
          <t>Транспортный налог</t>
        </is>
      </c>
      <c r="C65" s="26" t="inlineStr">
        <is>
          <t>тыс.руб</t>
        </is>
      </c>
      <c r="D65" s="71" t="n"/>
      <c r="E65" s="71">
        <f>'Ввод данных'!F23*15/1000</f>
        <v>12.0</v>
      </c>
      <c r="F65" s="71">
        <f>'Ввод данных'!F23*15/1000</f>
        <v>12.0</v>
      </c>
      <c r="G65" s="71">
        <f>'Ввод данных'!F23*15/1000</f>
        <v>12.0</v>
      </c>
      <c r="H65" s="71">
        <f>'Ввод данных'!F23*15/1000</f>
        <v>12.0</v>
      </c>
      <c r="I65" s="71">
        <f>'Ввод данных'!F23*15/1000</f>
        <v>12.0</v>
      </c>
      <c r="J65" s="71">
        <f>'Ввод данных'!F23*15/1000</f>
        <v>12.0</v>
      </c>
      <c r="K65" s="71">
        <f>'Ввод данных'!F23*15/1000</f>
        <v>12.0</v>
      </c>
      <c r="L65" s="71">
        <f>'Ввод данных'!F23*15/1000</f>
        <v>12.0</v>
      </c>
      <c r="M65" s="71">
        <f>'Ввод данных'!F23*15/1000</f>
        <v>12.0</v>
      </c>
      <c r="N65" s="71">
        <f>'Ввод данных'!F23*15/1000</f>
        <v>12.0</v>
      </c>
    </row>
    <row r="66">
      <c r="B66" s="22" t="inlineStr">
        <is>
          <t>Итого денежные затраты</t>
        </is>
      </c>
      <c r="C66" s="26" t="inlineStr">
        <is>
          <t>тыс.руб</t>
        </is>
      </c>
      <c r="D66" s="71" t="n"/>
      <c r="E66" s="81">
        <f>E59+E60+E61+E62+E63+E64+E65</f>
        <v>62477.6845031203</v>
      </c>
      <c r="F66" s="81">
        <f>F59+F60+F61+F62+F63+F64+F65</f>
        <v>82071.36213504159</v>
      </c>
      <c r="G66" s="81">
        <f>G59+G60+G61+G62+G63+G64+G65</f>
        <v>106758.31704645789</v>
      </c>
      <c r="H66" s="81">
        <f>H59+H60+H61+H62+H63+H64+H65</f>
        <v>100106.67874958075</v>
      </c>
      <c r="I66" s="81">
        <f>I59+I60+I61+I62+I63+I64+I65</f>
        <v>120316.96056130933</v>
      </c>
      <c r="J66" s="81">
        <f>J59+J60+J61+J62+J63+J64+J65</f>
        <v>95201.32996964078</v>
      </c>
      <c r="K66" s="81">
        <f>K59+K60+K61+K62+K63+K64+K65</f>
        <v>118856.13945171001</v>
      </c>
      <c r="L66" s="81">
        <f>L59+L60+L61+L62+L63+L64+L65</f>
        <v>83477.68057571599</v>
      </c>
      <c r="M66" s="81">
        <f>M59+M60+M61+M62+M63+M64+M65</f>
        <v>130423.21049314676</v>
      </c>
      <c r="N66" s="81">
        <f>N59+N60+N61+N62+N63+N64+N65</f>
        <v>91686.10627918871</v>
      </c>
    </row>
    <row r="67">
      <c r="B67" s="22" t="inlineStr">
        <is>
          <t>Амортизация (НУ)</t>
        </is>
      </c>
      <c r="C67" s="26" t="inlineStr">
        <is>
          <t>тыс.руб</t>
        </is>
      </c>
      <c r="D67" s="71" t="n"/>
      <c r="E67" s="71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29067.479834743262</v>
      </c>
      <c r="F67" s="71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29067.479834743262</v>
      </c>
      <c r="G67" s="71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29067.479834743262</v>
      </c>
      <c r="H67" s="71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29067.479834743262</v>
      </c>
      <c r="I67" s="71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29067.479834743262</v>
      </c>
      <c r="J67" s="71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2412.600826283696</v>
      </c>
      <c r="K67" s="71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67" s="71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67" s="71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67" s="71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68">
      <c r="B68" s="22" t="inlineStr">
        <is>
          <t>Налогооблагаемая база</t>
        </is>
      </c>
      <c r="C68" s="26" t="inlineStr">
        <is>
          <t>тыс.руб</t>
        </is>
      </c>
      <c r="D68" s="71" t="n"/>
      <c r="E68" s="71">
        <f>E66+E67</f>
        <v>91545.16433786356</v>
      </c>
      <c r="F68" s="71">
        <f>F66+F67</f>
        <v>111138.84196978486</v>
      </c>
      <c r="G68" s="71">
        <f>G66+G67</f>
        <v>135825.79688120115</v>
      </c>
      <c r="H68" s="71">
        <f>H66+H67</f>
        <v>129174.15858432402</v>
      </c>
      <c r="I68" s="71">
        <f>I66+I67</f>
        <v>149384.44039605258</v>
      </c>
      <c r="J68" s="71">
        <f>J66+J67</f>
        <v>97613.93079592448</v>
      </c>
      <c r="K68" s="71">
        <f>K66+K67</f>
        <v>118856.13945171001</v>
      </c>
      <c r="L68" s="71">
        <f>L66+L67</f>
        <v>83477.68057571599</v>
      </c>
      <c r="M68" s="71">
        <f>M66+M67</f>
        <v>130423.21049314676</v>
      </c>
      <c r="N68" s="71">
        <f>N66+N67</f>
        <v>91686.10627918871</v>
      </c>
    </row>
    <row r="69">
      <c r="B69" s="22" t="inlineStr">
        <is>
          <t>Налог на прибыль (щит)</t>
        </is>
      </c>
      <c r="C69" s="26" t="inlineStr">
        <is>
          <t>тыс.руб</t>
        </is>
      </c>
      <c r="D69" s="71" t="n"/>
      <c r="E69" s="71">
        <f>-E68*'Параметры'!C7</f>
        <v>-22886.29108446589</v>
      </c>
      <c r="F69" s="71">
        <f>-F68*'Параметры'!C7</f>
        <v>-27784.710492446215</v>
      </c>
      <c r="G69" s="71">
        <f>-G68*'Параметры'!C7</f>
        <v>-33956.44922030029</v>
      </c>
      <c r="H69" s="71">
        <f>-H68*'Параметры'!C7</f>
        <v>-32293.539646081004</v>
      </c>
      <c r="I69" s="71">
        <f>-I68*'Параметры'!C7</f>
        <v>-37346.110099013145</v>
      </c>
      <c r="J69" s="71">
        <f>-J68*'Параметры'!C7</f>
        <v>-24403.48269898112</v>
      </c>
      <c r="K69" s="71">
        <f>-K68*'Параметры'!C7</f>
        <v>-29714.034862927503</v>
      </c>
      <c r="L69" s="71">
        <f>-L68*'Параметры'!C7</f>
        <v>-20869.420143928997</v>
      </c>
      <c r="M69" s="71">
        <f>-M68*'Параметры'!C7</f>
        <v>-32605.80262328669</v>
      </c>
      <c r="N69" s="71">
        <f>-N68*'Параметры'!C7</f>
        <v>-22921.526569797177</v>
      </c>
    </row>
    <row r="70">
      <c r="B70" s="22" t="inlineStr">
        <is>
          <t>Операц. денежный поток</t>
        </is>
      </c>
      <c r="C70" s="26" t="inlineStr">
        <is>
          <t>тыс.руб</t>
        </is>
      </c>
      <c r="D70" s="71" t="n"/>
      <c r="E70" s="81">
        <f>E68+E69-E67</f>
        <v>39591.39341865441</v>
      </c>
      <c r="F70" s="81">
        <f>F68+F69-F67</f>
        <v>54286.651642595374</v>
      </c>
      <c r="G70" s="81">
        <f>G68+G69-G67</f>
        <v>72801.8678261576</v>
      </c>
      <c r="H70" s="81">
        <f>H68+H69-H67</f>
        <v>67813.13910349975</v>
      </c>
      <c r="I70" s="81">
        <f>I68+I69-I67</f>
        <v>82970.85046229618</v>
      </c>
      <c r="J70" s="81">
        <f>J68+J69-J67</f>
        <v>70797.84727065965</v>
      </c>
      <c r="K70" s="81">
        <f>K68+K69-K67</f>
        <v>89142.1045887825</v>
      </c>
      <c r="L70" s="81">
        <f>L68+L69-L67</f>
        <v>62608.26043178699</v>
      </c>
      <c r="M70" s="81">
        <f>M68+M69-M67</f>
        <v>97817.40786986006</v>
      </c>
      <c r="N70" s="81">
        <f>N68+N69-N67</f>
        <v>68764.57970939153</v>
      </c>
    </row>
    <row r="71">
      <c r="B71" s="22" t="inlineStr">
        <is>
          <t>Инвестиции / остаточная ст-ть</t>
        </is>
      </c>
      <c r="C71" s="26" t="inlineStr">
        <is>
          <t>тыс.руб</t>
        </is>
      </c>
      <c r="D71" s="71">
        <f>IF(D$4=0,'Производительность'!F5,IF(D$4='Параметры'!C8,-'Ввод данных'!F14*'Производительность'!F5,0))</f>
        <v>147750.0</v>
      </c>
      <c r="E71" s="71">
        <f>IF(E$4=0,'Производительность'!F5,IF(E$4='Параметры'!C8,-'Ввод данных'!F14*'Производительность'!F5,0))</f>
        <v>0.0</v>
      </c>
      <c r="F71" s="71">
        <f>IF(F$4=0,'Производительность'!F5,IF(F$4='Параметры'!C8,-'Ввод данных'!F14*'Производительность'!F5,0))</f>
        <v>0.0</v>
      </c>
      <c r="G71" s="71">
        <f>IF(G$4=0,'Производительность'!F5,IF(G$4='Параметры'!C8,-'Ввод данных'!F14*'Производительность'!F5,0))</f>
        <v>0.0</v>
      </c>
      <c r="H71" s="71">
        <f>IF(H$4=0,'Производительность'!F5,IF(H$4='Параметры'!C8,-'Ввод данных'!F14*'Производительность'!F5,0))</f>
        <v>0.0</v>
      </c>
      <c r="I71" s="71">
        <f>IF(I$4=0,'Производительность'!F5,IF(I$4='Параметры'!C8,-'Ввод данных'!F14*'Производительность'!F5,0))</f>
        <v>0.0</v>
      </c>
      <c r="J71" s="71">
        <f>IF(J$4=0,'Производительность'!F5,IF(J$4='Параметры'!C8,-'Ввод данных'!F14*'Производительность'!F5,0))</f>
        <v>0.0</v>
      </c>
      <c r="K71" s="71">
        <f>IF(K$4=0,'Производительность'!F5,IF(K$4='Параметры'!C8,-'Ввод данных'!F14*'Производительность'!F5,0))</f>
        <v>0.0</v>
      </c>
      <c r="L71" s="71">
        <f>IF(L$4=0,'Производительность'!F5,IF(L$4='Параметры'!C8,-'Ввод данных'!F14*'Производительность'!F5,0))</f>
        <v>0.0</v>
      </c>
      <c r="M71" s="71">
        <f>IF(M$4=0,'Производительность'!F5,IF(M$4='Параметры'!C8,-'Ввод данных'!F14*'Производительность'!F5,0))</f>
        <v>0.0</v>
      </c>
      <c r="N71" s="71">
        <f>IF(N$4=0,'Производительность'!F5,IF(N$4='Параметры'!C8,-'Ввод данных'!F14*'Производительность'!F5,0))</f>
        <v>-0.0</v>
      </c>
    </row>
    <row r="72">
      <c r="B72" s="22" t="inlineStr">
        <is>
          <t>Чистый денежный поток</t>
        </is>
      </c>
      <c r="C72" s="26" t="inlineStr">
        <is>
          <t>тыс.руб</t>
        </is>
      </c>
      <c r="D72" s="81">
        <f>0+D71</f>
        <v>147750.0</v>
      </c>
      <c r="E72" s="81">
        <f>E70+E71</f>
        <v>39591.39341865441</v>
      </c>
      <c r="F72" s="81">
        <f>F70+F71</f>
        <v>54286.651642595374</v>
      </c>
      <c r="G72" s="81">
        <f>G70+G71</f>
        <v>72801.8678261576</v>
      </c>
      <c r="H72" s="81">
        <f>H70+H71</f>
        <v>67813.13910349975</v>
      </c>
      <c r="I72" s="81">
        <f>I70+I71</f>
        <v>82970.85046229618</v>
      </c>
      <c r="J72" s="81">
        <f>J70+J71</f>
        <v>70797.84727065965</v>
      </c>
      <c r="K72" s="81">
        <f>K70+K71</f>
        <v>89142.1045887825</v>
      </c>
      <c r="L72" s="81">
        <f>L70+L71</f>
        <v>62608.26043178699</v>
      </c>
      <c r="M72" s="81">
        <f>M70+M71</f>
        <v>97817.40786986006</v>
      </c>
      <c r="N72" s="81">
        <f>N70+N71</f>
        <v>68764.57970939153</v>
      </c>
    </row>
    <row r="73">
      <c r="B73" s="22" t="inlineStr">
        <is>
          <t>Дисконтированный поток</t>
        </is>
      </c>
      <c r="C73" s="26" t="inlineStr">
        <is>
          <t>тыс.руб</t>
        </is>
      </c>
      <c r="D73" s="71">
        <f>D72*D$6</f>
        <v>147750.0</v>
      </c>
      <c r="E73" s="71">
        <f>E72*E$6</f>
        <v>35349.45840951286</v>
      </c>
      <c r="F73" s="71">
        <f>F72*F$6</f>
        <v>43276.986322222074</v>
      </c>
      <c r="G73" s="71">
        <f>G72*G$6</f>
        <v>51818.93152258164</v>
      </c>
      <c r="H73" s="71">
        <f>H72*H$6</f>
        <v>43096.47585365567</v>
      </c>
      <c r="I73" s="71">
        <f>I72*I$6</f>
        <v>47079.8887941188</v>
      </c>
      <c r="J73" s="71">
        <f>J72*J$6</f>
        <v>35868.392739675</v>
      </c>
      <c r="K73" s="71">
        <f>K72*K$6</f>
        <v>40323.361064215045</v>
      </c>
      <c r="L73" s="71">
        <f>L72*L$6</f>
        <v>25286.426321363135</v>
      </c>
      <c r="M73" s="71">
        <f>M72*M$6</f>
        <v>35273.937895583585</v>
      </c>
      <c r="N73" s="71">
        <f>N72*N$6</f>
        <v>22140.35429183169</v>
      </c>
    </row>
    <row r="74">
      <c r="B74" s="22" t="inlineStr">
        <is>
          <t>Кумул. дисконт. поток</t>
        </is>
      </c>
      <c r="C74" s="26" t="inlineStr">
        <is>
          <t>тыс.руб</t>
        </is>
      </c>
      <c r="D74" s="71">
        <f>SUM($D73:D73)</f>
        <v>147750.0</v>
      </c>
      <c r="E74" s="71">
        <f>SUM($D73:E73)</f>
        <v>183099.45840951285</v>
      </c>
      <c r="F74" s="71">
        <f>SUM($D73:F73)</f>
        <v>226376.44473173493</v>
      </c>
      <c r="G74" s="71">
        <f>SUM($D73:G73)</f>
        <v>278195.37625431654</v>
      </c>
      <c r="H74" s="71">
        <f>SUM($D73:H73)</f>
        <v>321291.8521079722</v>
      </c>
      <c r="I74" s="71">
        <f>SUM($D73:I73)</f>
        <v>368371.740902091</v>
      </c>
      <c r="J74" s="71">
        <f>SUM($D73:J73)</f>
        <v>404240.13364176603</v>
      </c>
      <c r="K74" s="71">
        <f>SUM($D73:K73)</f>
        <v>444563.49470598105</v>
      </c>
      <c r="L74" s="71">
        <f>SUM($D73:L73)</f>
        <v>469849.9210273442</v>
      </c>
      <c r="M74" s="71">
        <f>SUM($D73:M73)</f>
        <v>505123.85892292776</v>
      </c>
      <c r="N74" s="71">
        <f>SUM($D73:N73)</f>
        <v>527264.2132147595</v>
      </c>
    </row>
    <row r="75">
      <c r="B75" s="57" t="inlineStr">
        <is>
          <t>Аннуитет по году</t>
        </is>
      </c>
      <c r="C75" s="26" t="inlineStr">
        <is>
          <t>руб/пог.м</t>
        </is>
      </c>
      <c r="D75" s="82" t="n"/>
      <c r="E75" s="82">
        <f>SUM($D73:E73)/SUM($E$6:E$6)/(SUM($E57:E57)/E$4)</f>
        <v>1615.1843756188116</v>
      </c>
      <c r="F75" s="82">
        <f>SUM($D73:F73)/SUM($E$6:F$6)/(SUM($E57:F57)/F$4)</f>
        <v>1072.611369996852</v>
      </c>
      <c r="G75" s="82">
        <f>SUM($D73:G73)/SUM($E$6:G$6)/(SUM($E57:G57)/G$4)</f>
        <v>939.8616307997063</v>
      </c>
      <c r="H75" s="82">
        <f>SUM($D73:H73)/SUM($E$6:H$6)/(SUM($E57:H57)/H$4)</f>
        <v>856.79869292966</v>
      </c>
      <c r="I75" s="82">
        <f>SUM($D73:I73)/SUM($E$6:I$6)/(SUM($E57:I57)/I$4)</f>
        <v>828.612090416676</v>
      </c>
      <c r="J75" s="82">
        <f>SUM($D73:J73)/SUM($E$6:J$6)/(SUM($E57:J57)/J$4)</f>
        <v>801.2342419446331</v>
      </c>
      <c r="K75" s="82">
        <f>SUM($D73:K73)/SUM($E$6:K$6)/(SUM($E57:K57)/K$4)</f>
        <v>794.1783385163923</v>
      </c>
      <c r="L75" s="82">
        <f>SUM($D73:L73)/SUM($E$6:L$6)/(SUM($E57:L57)/L$4)</f>
        <v>771.0022878583783</v>
      </c>
      <c r="M75" s="82">
        <f>SUM($D73:M73)/SUM($E$6:M$6)/(SUM($E57:M57)/M$4)</f>
        <v>774.2561263224816</v>
      </c>
      <c r="N75" s="82">
        <f>SUM($D73:N73)/SUM($E$6:N$6)/(SUM($E57:N57)/N$4)</f>
        <v>762.9010429246389</v>
      </c>
    </row>
    <row r="77">
      <c r="B77" s="5" t="str">
        <f>"Вариант 4:  "&amp;'Ввод данных'!G7</f>
        <v>Вариант 4:  Sunward
SWDRT270B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B78" s="22" t="inlineStr">
        <is>
          <t>КТГ</t>
        </is>
      </c>
      <c r="C78" s="26" t="inlineStr">
        <is>
          <t>коэф.</t>
        </is>
      </c>
      <c r="D78" s="75" t="n"/>
      <c r="E78" s="75">
        <f>'Данные по годам'!E19</f>
        <v>0.93</v>
      </c>
      <c r="F78" s="75">
        <f>'Данные по годам'!F19</f>
        <v>0.93</v>
      </c>
      <c r="G78" s="75">
        <f>'Данные по годам'!G19</f>
        <v>0.92</v>
      </c>
      <c r="H78" s="75">
        <f>'Данные по годам'!H19</f>
        <v>0.92</v>
      </c>
      <c r="I78" s="75">
        <f>'Данные по годам'!I19</f>
        <v>0.87</v>
      </c>
      <c r="J78" s="75">
        <f>'Данные по годам'!J19</f>
        <v>0.9</v>
      </c>
      <c r="K78" s="75">
        <f>'Данные по годам'!K19</f>
        <v>0.85</v>
      </c>
      <c r="L78" s="75">
        <f>'Данные по годам'!L19</f>
        <v>0.9</v>
      </c>
      <c r="M78" s="75">
        <f>'Данные по годам'!M19</f>
        <v>0.9</v>
      </c>
      <c r="N78" s="75">
        <f>'Данные по годам'!N19</f>
        <v>0.85</v>
      </c>
    </row>
    <row r="79">
      <c r="B79" s="22" t="inlineStr">
        <is>
          <t>Эффективное время</t>
        </is>
      </c>
      <c r="C79" s="26" t="inlineStr">
        <is>
          <t>час/год</t>
        </is>
      </c>
      <c r="D79" s="71" t="n"/>
      <c r="E79" s="71">
        <f>'Параметры'!C27*E78*(1-137.92/(60*'Параметры'!C28))</f>
        <v>6586.235200000001</v>
      </c>
      <c r="F79" s="71">
        <f>'Параметры'!C27*F78*(1-137.92/(60*'Параметры'!C28))</f>
        <v>6586.235200000001</v>
      </c>
      <c r="G79" s="71">
        <f>'Параметры'!C27*G78*(1-137.92/(60*'Параметры'!C28))</f>
        <v>6515.415466666668</v>
      </c>
      <c r="H79" s="71">
        <f>'Параметры'!C27*H78*(1-137.92/(60*'Параметры'!C28))</f>
        <v>6515.415466666668</v>
      </c>
      <c r="I79" s="71">
        <f>'Параметры'!C27*I78*(1-137.92/(60*'Параметры'!C28))</f>
        <v>6161.3168000000005</v>
      </c>
      <c r="J79" s="71">
        <f>'Параметры'!C27*J78*(1-137.92/(60*'Параметры'!C28))</f>
        <v>6373.776000000001</v>
      </c>
      <c r="K79" s="71">
        <f>'Параметры'!C27*K78*(1-137.92/(60*'Параметры'!C28))</f>
        <v>6019.677333333334</v>
      </c>
      <c r="L79" s="71">
        <f>'Параметры'!C27*L78*(1-137.92/(60*'Параметры'!C28))</f>
        <v>6373.776000000001</v>
      </c>
      <c r="M79" s="71">
        <f>'Параметры'!C27*M78*(1-137.92/(60*'Параметры'!C28))</f>
        <v>6373.776000000001</v>
      </c>
      <c r="N79" s="71">
        <f>'Параметры'!C27*N78*(1-137.92/(60*'Параметры'!C28))</f>
        <v>6019.677333333334</v>
      </c>
    </row>
    <row r="80">
      <c r="B80" s="22" t="inlineStr">
        <is>
          <t>Объём бурения</t>
        </is>
      </c>
      <c r="C80" s="26" t="inlineStr">
        <is>
          <t>тыс.пог.м</t>
        </is>
      </c>
      <c r="D80" s="80" t="n"/>
      <c r="E80" s="80">
        <f>'Производительность'!G12*E79/1000</f>
        <v>131.95928407029004</v>
      </c>
      <c r="F80" s="80">
        <f>'Производительность'!G12*F79/1000</f>
        <v>131.95928407029004</v>
      </c>
      <c r="G80" s="80">
        <f>'Производительность'!G12*G79/1000</f>
        <v>130.54036703727618</v>
      </c>
      <c r="H80" s="80">
        <f>'Производительность'!G12*H79/1000</f>
        <v>130.54036703727618</v>
      </c>
      <c r="I80" s="80">
        <f>'Производительность'!G12*I79/1000</f>
        <v>123.44578187220682</v>
      </c>
      <c r="J80" s="80">
        <f>'Производительность'!G12*J79/1000</f>
        <v>127.70253297124844</v>
      </c>
      <c r="K80" s="80">
        <f>'Производительность'!G12*K79/1000</f>
        <v>120.60794780617907</v>
      </c>
      <c r="L80" s="80">
        <f>'Производительность'!G12*L79/1000</f>
        <v>127.70253297124844</v>
      </c>
      <c r="M80" s="80">
        <f>'Производительность'!G12*M79/1000</f>
        <v>127.70253297124844</v>
      </c>
      <c r="N80" s="80">
        <f>'Производительность'!G12*N79/1000</f>
        <v>120.60794780617907</v>
      </c>
    </row>
    <row r="81">
      <c r="B81" s="22" t="inlineStr">
        <is>
          <t>Объём взрывания</t>
        </is>
      </c>
      <c r="C81" s="26" t="inlineStr">
        <is>
          <t>тыс.м³</t>
        </is>
      </c>
      <c r="D81" s="71" t="n"/>
      <c r="E81" s="71">
        <f>E80*'Параметры'!C35</f>
        <v>6527.365986536897</v>
      </c>
      <c r="F81" s="71">
        <f>F80*'Параметры'!C35</f>
        <v>6527.365986536897</v>
      </c>
      <c r="G81" s="71">
        <f>G80*'Параметры'!C35</f>
        <v>6457.179255498867</v>
      </c>
      <c r="H81" s="71">
        <f>H80*'Параметры'!C35</f>
        <v>6457.179255498867</v>
      </c>
      <c r="I81" s="71">
        <f>I80*'Параметры'!C35</f>
        <v>6106.245600308711</v>
      </c>
      <c r="J81" s="71">
        <f>J80*'Параметры'!C35</f>
        <v>6316.8057934228045</v>
      </c>
      <c r="K81" s="71">
        <f>K80*'Параметры'!C35</f>
        <v>5965.8721382326485</v>
      </c>
      <c r="L81" s="71">
        <f>L80*'Параметры'!C35</f>
        <v>6316.8057934228045</v>
      </c>
      <c r="M81" s="71">
        <f>M80*'Параметры'!C35</f>
        <v>6316.8057934228045</v>
      </c>
      <c r="N81" s="71">
        <f>N80*'Параметры'!C35</f>
        <v>5965.8721382326485</v>
      </c>
    </row>
    <row r="82">
      <c r="B82" s="22" t="inlineStr">
        <is>
          <t>Топливо/энергия</t>
        </is>
      </c>
      <c r="C82" s="26" t="inlineStr">
        <is>
          <t>тыс.руб</t>
        </is>
      </c>
      <c r="D82" s="71" t="n"/>
      <c r="E82" s="71">
        <f>E79*'Данные по годам'!E21/1000*'Параметры'!C10*(1+'Параметры'!C15)^(E$4-1)</f>
        <v>33424.35678248066</v>
      </c>
      <c r="F82" s="71">
        <f>F79*'Данные по годам'!F21/1000*'Параметры'!C10*(1+'Параметры'!C15)^(F$4-1)</f>
        <v>33424.35678248066</v>
      </c>
      <c r="G82" s="71">
        <f>G79*'Данные по годам'!G21/1000*'Параметры'!C10*(1+'Параметры'!C15)^(G$4-1)</f>
        <v>33064.95509664754</v>
      </c>
      <c r="H82" s="71">
        <f>H79*'Данные по годам'!H21/1000*'Параметры'!C10*(1+'Параметры'!C15)^(H$4-1)</f>
        <v>33064.95509664754</v>
      </c>
      <c r="I82" s="71">
        <f>I79*'Данные по годам'!I21/1000*'Параметры'!C10*(1+'Параметры'!C15)^(I$4-1)</f>
        <v>31267.94666748191</v>
      </c>
      <c r="J82" s="71">
        <f>J79*'Данные по годам'!J21/1000*'Параметры'!C10*(1+'Параметры'!C15)^(J$4-1)</f>
        <v>32346.15172498129</v>
      </c>
      <c r="K82" s="71">
        <f>K79*'Данные по годам'!K21/1000*'Параметры'!C10*(1+'Параметры'!C15)^(K$4-1)</f>
        <v>30549.14329581566</v>
      </c>
      <c r="L82" s="71">
        <f>L79*'Данные по годам'!L21/1000*'Параметры'!C10*(1+'Параметры'!C15)^(L$4-1)</f>
        <v>32346.15172498129</v>
      </c>
      <c r="M82" s="71">
        <f>M79*'Данные по годам'!M21/1000*'Параметры'!C10*(1+'Параметры'!C15)^(M$4-1)</f>
        <v>32346.15172498129</v>
      </c>
      <c r="N82" s="71">
        <f>N79*'Данные по годам'!N21/1000*'Параметры'!C10*(1+'Параметры'!C15)^(N$4-1)</f>
        <v>30549.14329581566</v>
      </c>
    </row>
    <row r="83">
      <c r="B83" s="22" t="inlineStr">
        <is>
          <t>ТОиР и сервис (по годам)</t>
        </is>
      </c>
      <c r="C83" s="26" t="inlineStr">
        <is>
          <t>тыс.руб</t>
        </is>
      </c>
      <c r="D83" s="71" t="n"/>
      <c r="E83" s="71">
        <f>'Данные по годам'!E20*IF('Данные по годам'!$D$20="CNY",'Параметры'!C21,IF('Данные по годам'!$D$20="USD",'Параметры'!C22,IF('Данные по годам'!$D$20="EUR",'Параметры'!C23,1)))</f>
        <v>20717.500749596944</v>
      </c>
      <c r="F83" s="71">
        <f>'Данные по годам'!F20*IF('Данные по годам'!$D$20="CNY",'Параметры'!C21,IF('Данные по годам'!$D$20="USD",'Параметры'!C22,IF('Данные по годам'!$D$20="EUR",'Параметры'!C23,1)))</f>
        <v>50070.67018860809</v>
      </c>
      <c r="G83" s="71">
        <f>'Данные по годам'!G20*IF('Данные по годам'!$D$20="CNY",'Параметры'!C21,IF('Данные по годам'!$D$20="USD",'Параметры'!C22,IF('Данные по годам'!$D$20="EUR",'Параметры'!C23,1)))</f>
        <v>86182.87004447368</v>
      </c>
      <c r="H83" s="71">
        <f>'Данные по годам'!H20*IF('Данные по годам'!$D$20="CNY",'Параметры'!C21,IF('Данные по годам'!$D$20="USD",'Параметры'!C22,IF('Данные по годам'!$D$20="EUR",'Параметры'!C23,1)))</f>
        <v>75225.40857782554</v>
      </c>
      <c r="I83" s="71">
        <f>'Данные по годам'!I20*IF('Данные по годам'!$D$20="CNY",'Параметры'!C21,IF('Данные по годам'!$D$20="USD",'Параметры'!C22,IF('Данные по годам'!$D$20="EUR",'Параметры'!C23,1)))</f>
        <v>104432.64836408917</v>
      </c>
      <c r="J83" s="71">
        <f>'Данные по годам'!J20*IF('Данные по годам'!$D$20="CNY",'Параметры'!C21,IF('Данные по годам'!$D$20="USD",'Параметры'!C22,IF('Данные по годам'!$D$20="EUR",'Параметры'!C23,1)))</f>
        <v>69868.3241611815</v>
      </c>
      <c r="K83" s="71">
        <f>'Данные по годам'!K20*IF('Данные по годам'!$D$20="CNY",'Параметры'!C21,IF('Данные по годам'!$D$20="USD",'Параметры'!C22,IF('Данные по годам'!$D$20="EUR",'Параметры'!C23,1)))</f>
        <v>102524.93963542135</v>
      </c>
      <c r="L83" s="71">
        <f>'Данные по годам'!L20*IF('Данные по годам'!$D$20="CNY",'Параметры'!C21,IF('Данные по годам'!$D$20="USD",'Параметры'!C22,IF('Данные по годам'!$D$20="EUR",'Параметры'!C23,1)))</f>
        <v>52069.59962168009</v>
      </c>
      <c r="M83" s="71">
        <f>'Данные по годам'!M20*IF('Данные по годам'!$D$20="CNY",'Параметры'!C21,IF('Данные по годам'!$D$20="USD",'Параметры'!C22,IF('Данные по годам'!$D$20="EUR",'Параметры'!C23,1)))</f>
        <v>119595.03395054163</v>
      </c>
      <c r="N83" s="71">
        <f>'Данные по годам'!N20*IF('Данные по годам'!$D$20="CNY",'Параметры'!C21,IF('Данные по годам'!$D$20="USD",'Параметры'!C22,IF('Данные по годам'!$D$20="EUR",'Параметры'!C23,1)))</f>
        <v>64304.4012086742</v>
      </c>
    </row>
    <row r="84">
      <c r="B84" s="22" t="inlineStr">
        <is>
          <t>Долота</t>
        </is>
      </c>
      <c r="C84" s="26" t="inlineStr">
        <is>
          <t>тыс.руб</t>
        </is>
      </c>
      <c r="D84" s="71" t="n"/>
      <c r="E84" s="71">
        <f>E80*'Поставщик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годам'!$D$20="EUR",'Параметры'!C23,1)))*(1+'Параметры'!C16)^(E$4-1)</f>
        <v>0.0</v>
      </c>
      <c r="F84" s="71">
        <f>F80*'Поставщик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годам'!$D$20="EUR",'Параметры'!C23,1)))*(1+'Параметры'!C16)^(F$4-1)</f>
        <v>0.0</v>
      </c>
      <c r="G84" s="71">
        <f>G80*'Поставщик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годам'!$D$20="EUR",'Параметры'!C23,1)))*(1+'Параметры'!C16)^(G$4-1)</f>
        <v>0.0</v>
      </c>
      <c r="H84" s="71">
        <f>H80*'Поставщик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годам'!$D$20="EUR",'Параметры'!C23,1)))*(1+'Параметры'!C16)^(H$4-1)</f>
        <v>0.0</v>
      </c>
      <c r="I84" s="71">
        <f>I80*'Поставщик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годам'!$D$20="EUR",'Параметры'!C23,1)))*(1+'Параметры'!C16)^(I$4-1)</f>
        <v>0.0</v>
      </c>
      <c r="J84" s="71">
        <f>J80*'Поставщик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годам'!$D$20="EUR",'Параметры'!C23,1)))*(1+'Параметры'!C16)^(J$4-1)</f>
        <v>0.0</v>
      </c>
      <c r="K84" s="71">
        <f>K80*'Поставщик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годам'!$D$20="EUR",'Параметры'!C23,1)))*(1+'Параметры'!C16)^(K$4-1)</f>
        <v>0.0</v>
      </c>
      <c r="L84" s="71">
        <f>L80*'Поставщик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годам'!$D$20="EUR",'Параметры'!C23,1)))*(1+'Параметры'!C16)^(L$4-1)</f>
        <v>0.0</v>
      </c>
      <c r="M84" s="71">
        <f>M80*'Поставщик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годам'!$D$20="EUR",'Параметры'!C23,1)))*(1+'Параметры'!C16)^(M$4-1)</f>
        <v>0.0</v>
      </c>
      <c r="N84" s="71">
        <f>N80*'Поставщик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годам'!$D$20="EUR",'Параметры'!C23,1)))*(1+'Параметры'!C16)^(N$4-1)</f>
        <v>0.0</v>
      </c>
    </row>
    <row r="85">
      <c r="B85" s="22" t="inlineStr">
        <is>
          <t>Штанги/адаптеры</t>
        </is>
      </c>
      <c r="C85" s="26" t="inlineStr">
        <is>
          <t>тыс.руб</t>
        </is>
      </c>
      <c r="D85" s="71" t="n"/>
      <c r="E85" s="71">
        <f>E80*'Поставщик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годам'!$D$20="EUR",'Параметры'!C23,1)))*(1+'Параметры'!C16)^(E$4-1)</f>
        <v>0.0</v>
      </c>
      <c r="F85" s="71">
        <f>F80*'Поставщик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годам'!$D$20="EUR",'Параметры'!C23,1)))*(1+'Параметры'!C16)^(F$4-1)</f>
        <v>0.0</v>
      </c>
      <c r="G85" s="71">
        <f>G80*'Поставщик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годам'!$D$20="EUR",'Параметры'!C23,1)))*(1+'Параметры'!C16)^(G$4-1)</f>
        <v>0.0</v>
      </c>
      <c r="H85" s="71">
        <f>H80*'Поставщик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годам'!$D$20="EUR",'Параметры'!C23,1)))*(1+'Параметры'!C16)^(H$4-1)</f>
        <v>0.0</v>
      </c>
      <c r="I85" s="71">
        <f>I80*'Поставщик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годам'!$D$20="EUR",'Параметры'!C23,1)))*(1+'Параметры'!C16)^(I$4-1)</f>
        <v>0.0</v>
      </c>
      <c r="J85" s="71">
        <f>J80*'Поставщик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годам'!$D$20="EUR",'Параметры'!C23,1)))*(1+'Параметры'!C16)^(J$4-1)</f>
        <v>0.0</v>
      </c>
      <c r="K85" s="71">
        <f>K80*'Поставщик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годам'!$D$20="EUR",'Параметры'!C23,1)))*(1+'Параметры'!C16)^(K$4-1)</f>
        <v>0.0</v>
      </c>
      <c r="L85" s="71">
        <f>L80*'Поставщик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годам'!$D$20="EUR",'Параметры'!C23,1)))*(1+'Параметры'!C16)^(L$4-1)</f>
        <v>0.0</v>
      </c>
      <c r="M85" s="71">
        <f>M80*'Поставщик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годам'!$D$20="EUR",'Параметры'!C23,1)))*(1+'Параметры'!C16)^(M$4-1)</f>
        <v>0.0</v>
      </c>
      <c r="N85" s="71">
        <f>N80*'Поставщик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годам'!$D$20="EUR",'Параметры'!C23,1)))*(1+'Параметры'!C16)^(N$4-1)</f>
        <v>0.0</v>
      </c>
    </row>
    <row r="86">
      <c r="B86" s="22" t="inlineStr">
        <is>
          <t>Расходники</t>
        </is>
      </c>
      <c r="C86" s="26" t="inlineStr">
        <is>
          <t>тыс.руб</t>
        </is>
      </c>
      <c r="D86" s="71" t="n"/>
      <c r="E86" s="71">
        <f>E80*'Поставщик 4'!$D$257*(1+'Параметры'!C16)^(E$4-1)</f>
        <v>0.0</v>
      </c>
      <c r="F86" s="71">
        <f>F80*'Поставщик 4'!$D$257*(1+'Параметры'!C16)^(F$4-1)</f>
        <v>0.0</v>
      </c>
      <c r="G86" s="71">
        <f>G80*'Поставщик 4'!$D$257*(1+'Параметры'!C16)^(G$4-1)</f>
        <v>0.0</v>
      </c>
      <c r="H86" s="71">
        <f>H80*'Поставщик 4'!$D$257*(1+'Параметры'!C16)^(H$4-1)</f>
        <v>0.0</v>
      </c>
      <c r="I86" s="71">
        <f>I80*'Поставщик 4'!$D$257*(1+'Параметры'!C16)^(I$4-1)</f>
        <v>0.0</v>
      </c>
      <c r="J86" s="71">
        <f>J80*'Поставщик 4'!$D$257*(1+'Параметры'!C16)^(J$4-1)</f>
        <v>0.0</v>
      </c>
      <c r="K86" s="71">
        <f>K80*'Поставщик 4'!$D$257*(1+'Параметры'!C16)^(K$4-1)</f>
        <v>0.0</v>
      </c>
      <c r="L86" s="71">
        <f>L80*'Поставщик 4'!$D$257*(1+'Параметры'!C16)^(L$4-1)</f>
        <v>0.0</v>
      </c>
      <c r="M86" s="71">
        <f>M80*'Поставщик 4'!$D$257*(1+'Параметры'!C16)^(M$4-1)</f>
        <v>0.0</v>
      </c>
      <c r="N86" s="71">
        <f>N80*'Поставщик 4'!$D$257*(1+'Параметры'!C16)^(N$4-1)</f>
        <v>0.0</v>
      </c>
    </row>
    <row r="87">
      <c r="B87" s="22" t="inlineStr">
        <is>
          <t>Персонал</t>
        </is>
      </c>
      <c r="C87" s="26" t="inlineStr">
        <is>
          <t>тыс.руб</t>
        </is>
      </c>
      <c r="D87" s="71" t="n"/>
      <c r="E87" s="71">
        <f>'Ввод данных'!G22*(1+'Параметры'!C17)^(E$4-1)</f>
        <v>15710.0</v>
      </c>
      <c r="F87" s="71">
        <f>'Ввод данных'!G22*(1+'Параметры'!C17)^(F$4-1)</f>
        <v>15710.0</v>
      </c>
      <c r="G87" s="71">
        <f>'Ввод данных'!G22*(1+'Параметры'!C17)^(G$4-1)</f>
        <v>15710.0</v>
      </c>
      <c r="H87" s="71">
        <f>'Ввод данных'!G22*(1+'Параметры'!C17)^(H$4-1)</f>
        <v>15710.0</v>
      </c>
      <c r="I87" s="71">
        <f>'Ввод данных'!G22*(1+'Параметры'!C17)^(I$4-1)</f>
        <v>15710.0</v>
      </c>
      <c r="J87" s="71">
        <f>'Ввод данных'!G22*(1+'Параметры'!C17)^(J$4-1)</f>
        <v>15710.0</v>
      </c>
      <c r="K87" s="71">
        <f>'Ввод данных'!G22*(1+'Параметры'!C17)^(K$4-1)</f>
        <v>15710.0</v>
      </c>
      <c r="L87" s="71">
        <f>'Ввод данных'!G22*(1+'Параметры'!C17)^(L$4-1)</f>
        <v>15710.0</v>
      </c>
      <c r="M87" s="71">
        <f>'Ввод данных'!G22*(1+'Параметры'!C17)^(M$4-1)</f>
        <v>15710.0</v>
      </c>
      <c r="N87" s="71">
        <f>'Ввод данных'!G22*(1+'Параметры'!C17)^(N$4-1)</f>
        <v>15710.0</v>
      </c>
    </row>
    <row r="88">
      <c r="B88" s="22" t="inlineStr">
        <is>
          <t>Транспортный налог</t>
        </is>
      </c>
      <c r="C88" s="26" t="inlineStr">
        <is>
          <t>тыс.руб</t>
        </is>
      </c>
      <c r="D88" s="71" t="n"/>
      <c r="E88" s="71">
        <f>'Ввод данных'!G23*15/1000</f>
        <v>12.0</v>
      </c>
      <c r="F88" s="71">
        <f>'Ввод данных'!G23*15/1000</f>
        <v>12.0</v>
      </c>
      <c r="G88" s="71">
        <f>'Ввод данных'!G23*15/1000</f>
        <v>12.0</v>
      </c>
      <c r="H88" s="71">
        <f>'Ввод данных'!G23*15/1000</f>
        <v>12.0</v>
      </c>
      <c r="I88" s="71">
        <f>'Ввод данных'!G23*15/1000</f>
        <v>12.0</v>
      </c>
      <c r="J88" s="71">
        <f>'Ввод данных'!G23*15/1000</f>
        <v>12.0</v>
      </c>
      <c r="K88" s="71">
        <f>'Ввод данных'!G23*15/1000</f>
        <v>12.0</v>
      </c>
      <c r="L88" s="71">
        <f>'Ввод данных'!G23*15/1000</f>
        <v>12.0</v>
      </c>
      <c r="M88" s="71">
        <f>'Ввод данных'!G23*15/1000</f>
        <v>12.0</v>
      </c>
      <c r="N88" s="71">
        <f>'Ввод данных'!G23*15/1000</f>
        <v>12.0</v>
      </c>
    </row>
    <row r="89">
      <c r="B89" s="22" t="inlineStr">
        <is>
          <t>Итого денежные затраты</t>
        </is>
      </c>
      <c r="C89" s="26" t="inlineStr">
        <is>
          <t>тыс.руб</t>
        </is>
      </c>
      <c r="D89" s="71" t="n"/>
      <c r="E89" s="81">
        <f>E82+E83+E84+E85+E86+E87+E88</f>
        <v>69863.8575320776</v>
      </c>
      <c r="F89" s="81">
        <f>F82+F83+F84+F85+F86+F87+F88</f>
        <v>99217.02697108875</v>
      </c>
      <c r="G89" s="81">
        <f>G82+G83+G84+G85+G86+G87+G88</f>
        <v>134969.82514112123</v>
      </c>
      <c r="H89" s="81">
        <f>H82+H83+H84+H85+H86+H87+H88</f>
        <v>124012.36367447308</v>
      </c>
      <c r="I89" s="81">
        <f>I82+I83+I84+I85+I86+I87+I88</f>
        <v>151422.59503157108</v>
      </c>
      <c r="J89" s="81">
        <f>J82+J83+J84+J85+J86+J87+J88</f>
        <v>117936.47588616279</v>
      </c>
      <c r="K89" s="81">
        <f>K82+K83+K84+K85+K86+K87+K88</f>
        <v>148796.082931237</v>
      </c>
      <c r="L89" s="81">
        <f>L82+L83+L84+L85+L86+L87+L88</f>
        <v>100137.75134666139</v>
      </c>
      <c r="M89" s="81">
        <f>M82+M83+M84+M85+M86+M87+M88</f>
        <v>167663.18567552292</v>
      </c>
      <c r="N89" s="81">
        <f>N82+N83+N84+N85+N86+N87+N88</f>
        <v>110575.54450448987</v>
      </c>
    </row>
    <row r="90">
      <c r="B90" s="22" t="inlineStr">
        <is>
          <t>Амортизация (НУ)</t>
        </is>
      </c>
      <c r="C90" s="26" t="inlineStr">
        <is>
          <t>тыс.руб</t>
        </is>
      </c>
      <c r="D90" s="71" t="n"/>
      <c r="E90" s="71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40527.247688373005</v>
      </c>
      <c r="F90" s="71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40527.247688373005</v>
      </c>
      <c r="G90" s="71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40527.247688373005</v>
      </c>
      <c r="H90" s="71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40527.247688373005</v>
      </c>
      <c r="I90" s="71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40527.247688373005</v>
      </c>
      <c r="J90" s="71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3363.761558134967</v>
      </c>
      <c r="K90" s="71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90" s="71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90" s="71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90" s="71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91">
      <c r="B91" s="22" t="inlineStr">
        <is>
          <t>Налогооблагаемая база</t>
        </is>
      </c>
      <c r="C91" s="26" t="inlineStr">
        <is>
          <t>тыс.руб</t>
        </is>
      </c>
      <c r="D91" s="71" t="n"/>
      <c r="E91" s="71">
        <f>E89+E90</f>
        <v>110391.10522045061</v>
      </c>
      <c r="F91" s="71">
        <f>F89+F90</f>
        <v>139744.27465946175</v>
      </c>
      <c r="G91" s="71">
        <f>G89+G90</f>
        <v>175497.07282949422</v>
      </c>
      <c r="H91" s="71">
        <f>H89+H90</f>
        <v>164539.61136284607</v>
      </c>
      <c r="I91" s="71">
        <f>I89+I90</f>
        <v>191949.84271994408</v>
      </c>
      <c r="J91" s="71">
        <f>J89+J90</f>
        <v>121300.23744429776</v>
      </c>
      <c r="K91" s="71">
        <f>K89+K90</f>
        <v>148796.082931237</v>
      </c>
      <c r="L91" s="71">
        <f>L89+L90</f>
        <v>100137.75134666139</v>
      </c>
      <c r="M91" s="71">
        <f>M89+M90</f>
        <v>167663.18567552292</v>
      </c>
      <c r="N91" s="71">
        <f>N89+N90</f>
        <v>110575.54450448987</v>
      </c>
    </row>
    <row r="92">
      <c r="B92" s="22" t="inlineStr">
        <is>
          <t>Налог на прибыль (щит)</t>
        </is>
      </c>
      <c r="C92" s="26" t="inlineStr">
        <is>
          <t>тыс.руб</t>
        </is>
      </c>
      <c r="D92" s="71" t="n"/>
      <c r="E92" s="71">
        <f>-E91*'Параметры'!C7</f>
        <v>-27597.776305112653</v>
      </c>
      <c r="F92" s="71">
        <f>-F91*'Параметры'!C7</f>
        <v>-34936.06866486544</v>
      </c>
      <c r="G92" s="71">
        <f>-G91*'Параметры'!C7</f>
        <v>-43874.268207373556</v>
      </c>
      <c r="H92" s="71">
        <f>-H91*'Параметры'!C7</f>
        <v>-41134.90284071152</v>
      </c>
      <c r="I92" s="71">
        <f>-I91*'Параметры'!C7</f>
        <v>-47987.46067998602</v>
      </c>
      <c r="J92" s="71">
        <f>-J91*'Параметры'!C7</f>
        <v>-30325.05936107444</v>
      </c>
      <c r="K92" s="71">
        <f>-K91*'Параметры'!C7</f>
        <v>-37199.02073280925</v>
      </c>
      <c r="L92" s="71">
        <f>-L91*'Параметры'!C7</f>
        <v>-25034.437836665347</v>
      </c>
      <c r="M92" s="71">
        <f>-M91*'Параметры'!C7</f>
        <v>-41915.79641888073</v>
      </c>
      <c r="N92" s="71">
        <f>-N91*'Параметры'!C7</f>
        <v>-27643.886126122467</v>
      </c>
    </row>
    <row r="93">
      <c r="B93" s="22" t="inlineStr">
        <is>
          <t>Операц. денежный поток</t>
        </is>
      </c>
      <c r="C93" s="26" t="inlineStr">
        <is>
          <t>тыс.руб</t>
        </is>
      </c>
      <c r="D93" s="71" t="n"/>
      <c r="E93" s="81">
        <f>E91+E92-E90</f>
        <v>42266.081226964954</v>
      </c>
      <c r="F93" s="81">
        <f>F91+F92-F90</f>
        <v>64280.95830622331</v>
      </c>
      <c r="G93" s="81">
        <f>G91+G92-G90</f>
        <v>91095.55693374766</v>
      </c>
      <c r="H93" s="81">
        <f>H91+H92-H90</f>
        <v>82877.46083376155</v>
      </c>
      <c r="I93" s="81">
        <f>I91+I92-I90</f>
        <v>103435.13435158506</v>
      </c>
      <c r="J93" s="81">
        <f>J91+J92-J90</f>
        <v>87611.41652508835</v>
      </c>
      <c r="K93" s="81">
        <f>K91+K92-K90</f>
        <v>111597.06219842775</v>
      </c>
      <c r="L93" s="81">
        <f>L91+L92-L90</f>
        <v>75103.31350999605</v>
      </c>
      <c r="M93" s="81">
        <f>M91+M92-M90</f>
        <v>125747.3892566422</v>
      </c>
      <c r="N93" s="81">
        <f>N91+N92-N90</f>
        <v>82931.6583783674</v>
      </c>
    </row>
    <row r="94">
      <c r="B94" s="22" t="inlineStr">
        <is>
          <t>Инвестиции / остаточная ст-ть</t>
        </is>
      </c>
      <c r="C94" s="26" t="inlineStr">
        <is>
          <t>тыс.руб</t>
        </is>
      </c>
      <c r="D94" s="71">
        <f>IF(D$4=0,'Производительность'!G5,IF(D$4='Параметры'!C8,-'Ввод данных'!G14*'Производительность'!G5,0))</f>
        <v>206000.0</v>
      </c>
      <c r="E94" s="71">
        <f>IF(E$4=0,'Производительность'!G5,IF(E$4='Параметры'!C8,-'Ввод данных'!G14*'Производительность'!G5,0))</f>
        <v>0.0</v>
      </c>
      <c r="F94" s="71">
        <f>IF(F$4=0,'Производительность'!G5,IF(F$4='Параметры'!C8,-'Ввод данных'!G14*'Производительность'!G5,0))</f>
        <v>0.0</v>
      </c>
      <c r="G94" s="71">
        <f>IF(G$4=0,'Производительность'!G5,IF(G$4='Параметры'!C8,-'Ввод данных'!G14*'Производительность'!G5,0))</f>
        <v>0.0</v>
      </c>
      <c r="H94" s="71">
        <f>IF(H$4=0,'Производительность'!G5,IF(H$4='Параметры'!C8,-'Ввод данных'!G14*'Производительность'!G5,0))</f>
        <v>0.0</v>
      </c>
      <c r="I94" s="71">
        <f>IF(I$4=0,'Производительность'!G5,IF(I$4='Параметры'!C8,-'Ввод данных'!G14*'Производительность'!G5,0))</f>
        <v>0.0</v>
      </c>
      <c r="J94" s="71">
        <f>IF(J$4=0,'Производительность'!G5,IF(J$4='Параметры'!C8,-'Ввод данных'!G14*'Производительность'!G5,0))</f>
        <v>0.0</v>
      </c>
      <c r="K94" s="71">
        <f>IF(K$4=0,'Производительность'!G5,IF(K$4='Параметры'!C8,-'Ввод данных'!G14*'Производительность'!G5,0))</f>
        <v>0.0</v>
      </c>
      <c r="L94" s="71">
        <f>IF(L$4=0,'Производительность'!G5,IF(L$4='Параметры'!C8,-'Ввод данных'!G14*'Производительность'!G5,0))</f>
        <v>0.0</v>
      </c>
      <c r="M94" s="71">
        <f>IF(M$4=0,'Производительность'!G5,IF(M$4='Параметры'!C8,-'Ввод данных'!G14*'Производительность'!G5,0))</f>
        <v>0.0</v>
      </c>
      <c r="N94" s="71">
        <f>IF(N$4=0,'Производительность'!G5,IF(N$4='Параметры'!C8,-'Ввод данных'!G14*'Производительность'!G5,0))</f>
        <v>-0.0</v>
      </c>
    </row>
    <row r="95">
      <c r="B95" s="22" t="inlineStr">
        <is>
          <t>Чистый денежный поток</t>
        </is>
      </c>
      <c r="C95" s="26" t="inlineStr">
        <is>
          <t>тыс.руб</t>
        </is>
      </c>
      <c r="D95" s="81">
        <f>0+D94</f>
        <v>206000.0</v>
      </c>
      <c r="E95" s="81">
        <f>E93+E94</f>
        <v>42266.081226964954</v>
      </c>
      <c r="F95" s="81">
        <f>F93+F94</f>
        <v>64280.95830622331</v>
      </c>
      <c r="G95" s="81">
        <f>G93+G94</f>
        <v>91095.55693374766</v>
      </c>
      <c r="H95" s="81">
        <f>H93+H94</f>
        <v>82877.46083376155</v>
      </c>
      <c r="I95" s="81">
        <f>I93+I94</f>
        <v>103435.13435158506</v>
      </c>
      <c r="J95" s="81">
        <f>J93+J94</f>
        <v>87611.41652508835</v>
      </c>
      <c r="K95" s="81">
        <f>K93+K94</f>
        <v>111597.06219842775</v>
      </c>
      <c r="L95" s="81">
        <f>L93+L94</f>
        <v>75103.31350999605</v>
      </c>
      <c r="M95" s="81">
        <f>M93+M94</f>
        <v>125747.3892566422</v>
      </c>
      <c r="N95" s="81">
        <f>N93+N94</f>
        <v>82931.6583783674</v>
      </c>
    </row>
    <row r="96">
      <c r="B96" s="22" t="inlineStr">
        <is>
          <t>Дисконтированный поток</t>
        </is>
      </c>
      <c r="C96" s="26" t="inlineStr">
        <is>
          <t>тыс.руб</t>
        </is>
      </c>
      <c r="D96" s="71">
        <f>D95*D$6</f>
        <v>206000.0</v>
      </c>
      <c r="E96" s="71">
        <f>E95*E$6</f>
        <v>37737.57252407585</v>
      </c>
      <c r="F96" s="71">
        <f>F95*F$6</f>
        <v>51244.386404833625</v>
      </c>
      <c r="G96" s="71">
        <f>G95*G$6</f>
        <v>64840.01808900359</v>
      </c>
      <c r="H96" s="71">
        <f>H95*H$6</f>
        <v>52670.12465214379</v>
      </c>
      <c r="I96" s="71">
        <f>I95*I$6</f>
        <v>58691.87305595078</v>
      </c>
      <c r="J96" s="71">
        <f>J95*J$6</f>
        <v>44386.670182038746</v>
      </c>
      <c r="K96" s="71">
        <f>K95*K$6</f>
        <v>50480.84351936128</v>
      </c>
      <c r="L96" s="71">
        <f>L95*L$6</f>
        <v>30332.96869236376</v>
      </c>
      <c r="M96" s="71">
        <f>M95*M$6</f>
        <v>45345.76918120614</v>
      </c>
      <c r="N96" s="71">
        <f>N95*N$6</f>
        <v>26701.774463916856</v>
      </c>
    </row>
    <row r="97">
      <c r="B97" s="22" t="inlineStr">
        <is>
          <t>Кумул. дисконт. поток</t>
        </is>
      </c>
      <c r="C97" s="26" t="inlineStr">
        <is>
          <t>тыс.руб</t>
        </is>
      </c>
      <c r="D97" s="71">
        <f>SUM($D96:D96)</f>
        <v>206000.0</v>
      </c>
      <c r="E97" s="71">
        <f>SUM($D96:E96)</f>
        <v>243737.57252407586</v>
      </c>
      <c r="F97" s="71">
        <f>SUM($D96:F96)</f>
        <v>294981.9589289095</v>
      </c>
      <c r="G97" s="71">
        <f>SUM($D96:G96)</f>
        <v>359821.9770179131</v>
      </c>
      <c r="H97" s="71">
        <f>SUM($D96:H96)</f>
        <v>412492.1016700569</v>
      </c>
      <c r="I97" s="71">
        <f>SUM($D96:I96)</f>
        <v>471183.97472600767</v>
      </c>
      <c r="J97" s="71">
        <f>SUM($D96:J96)</f>
        <v>515570.6449080464</v>
      </c>
      <c r="K97" s="71">
        <f>SUM($D96:K96)</f>
        <v>566051.4884274077</v>
      </c>
      <c r="L97" s="71">
        <f>SUM($D96:L96)</f>
        <v>596384.4571197714</v>
      </c>
      <c r="M97" s="71">
        <f>SUM($D96:M96)</f>
        <v>641730.2263009775</v>
      </c>
      <c r="N97" s="71">
        <f>SUM($D96:N96)</f>
        <v>668432.0007648944</v>
      </c>
    </row>
    <row r="98">
      <c r="B98" s="57" t="inlineStr">
        <is>
          <t>Аннуитет по году</t>
        </is>
      </c>
      <c r="C98" s="26" t="inlineStr">
        <is>
          <t>руб/пог.м</t>
        </is>
      </c>
      <c r="D98" s="82" t="n"/>
      <c r="E98" s="82">
        <f>SUM($D96:E96)/SUM($E$6:E$6)/(SUM($E80:E80)/E$4)</f>
        <v>2068.7144762133976</v>
      </c>
      <c r="F98" s="82">
        <f>SUM($D96:F96)/SUM($E$6:F$6)/(SUM($E80:F80)/F$4)</f>
        <v>1322.6827483811637</v>
      </c>
      <c r="G98" s="82">
        <f>SUM($D96:G96)/SUM($E$6:G$6)/(SUM($E80:G80)/G$4)</f>
        <v>1139.3696526111123</v>
      </c>
      <c r="H98" s="82">
        <f>SUM($D96:H96)/SUM($E$6:H$6)/(SUM($E80:H80)/H$4)</f>
        <v>1034.7183624883382</v>
      </c>
      <c r="I98" s="82">
        <f>SUM($D96:I96)/SUM($E$6:I$6)/(SUM($E80:I80)/I$4)</f>
        <v>1007.8804152523599</v>
      </c>
      <c r="J98" s="82">
        <f>SUM($D96:J96)/SUM($E$6:J$6)/(SUM($E80:J80)/J$4)</f>
        <v>969.4035342012257</v>
      </c>
      <c r="K98" s="82">
        <f>SUM($D96:K96)/SUM($E$6:K$6)/(SUM($E80:K80)/K$4)</f>
        <v>968.1829451102568</v>
      </c>
      <c r="L98" s="82">
        <f>SUM($D96:L96)/SUM($E$6:L$6)/(SUM($E80:L80)/L$4)</f>
        <v>937.5015807841716</v>
      </c>
      <c r="M98" s="82">
        <f>SUM($D96:M96)/SUM($E$6:M$6)/(SUM($E80:M80)/M$4)</f>
        <v>940.8001912735311</v>
      </c>
      <c r="N98" s="82">
        <f>SUM($D96:N96)/SUM($E$6:N$6)/(SUM($E80:N80)/N$4)</f>
        <v>929.4845971287687</v>
      </c>
    </row>
    <row r="100">
      <c r="B100" s="5" t="str">
        <f>"Вариант 5:  "&amp;'Ввод данных'!H7</f>
        <v>Вариант 5:  HIFO 75D
(аналог DM75)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B101" s="22" t="inlineStr">
        <is>
          <t>КТГ</t>
        </is>
      </c>
      <c r="C101" s="26" t="inlineStr">
        <is>
          <t>коэф.</t>
        </is>
      </c>
      <c r="D101" s="75" t="n"/>
      <c r="E101" s="75">
        <f>'Данные по годам'!E23</f>
        <v>0.8932</v>
      </c>
      <c r="F101" s="75">
        <f>'Данные по годам'!F23</f>
        <v>0.867</v>
      </c>
      <c r="G101" s="75">
        <f>'Данные по годам'!G23</f>
        <v>0.8536</v>
      </c>
      <c r="H101" s="75">
        <f>'Данные по годам'!H23</f>
        <v>0.8651</v>
      </c>
      <c r="I101" s="75">
        <f>'Данные по годам'!I23</f>
        <v>0.8702</v>
      </c>
      <c r="J101" s="75">
        <f>'Данные по годам'!J23</f>
        <v>0.8443</v>
      </c>
      <c r="K101" s="75">
        <f>'Данные по годам'!K23</f>
        <v>0.8584</v>
      </c>
      <c r="L101" s="75">
        <f>'Данные по годам'!L23</f>
        <v>0.8706</v>
      </c>
      <c r="M101" s="75">
        <f>'Данные по годам'!M23</f>
        <v>0.8529</v>
      </c>
      <c r="N101" s="75">
        <f>'Данные по годам'!N23</f>
        <v>0.8527</v>
      </c>
    </row>
    <row r="102">
      <c r="B102" s="22" t="inlineStr">
        <is>
          <t>Эффективное время</t>
        </is>
      </c>
      <c r="C102" s="26" t="inlineStr">
        <is>
          <t>час/год</t>
        </is>
      </c>
      <c r="D102" s="71" t="n"/>
      <c r="E102" s="71">
        <f>'Параметры'!C27*E101*(1-137.92/(60*'Параметры'!C28))</f>
        <v>6325.618581333334</v>
      </c>
      <c r="F102" s="71">
        <f>'Параметры'!C27*F101*(1-137.92/(60*'Параметры'!C28))</f>
        <v>6140.07088</v>
      </c>
      <c r="G102" s="71">
        <f>'Параметры'!C27*G101*(1-137.92/(60*'Параметры'!C28))</f>
        <v>6045.172437333334</v>
      </c>
      <c r="H102" s="71">
        <f>'Параметры'!C27*H101*(1-137.92/(60*'Параметры'!C28))</f>
        <v>6126.615130666667</v>
      </c>
      <c r="I102" s="71">
        <f>'Параметры'!C27*I101*(1-137.92/(60*'Параметры'!C28))</f>
        <v>6162.733194666666</v>
      </c>
      <c r="J102" s="71">
        <f>'Параметры'!C27*J101*(1-137.92/(60*'Параметры'!C28))</f>
        <v>5979.310085333334</v>
      </c>
      <c r="K102" s="71">
        <f>'Параметры'!C27*K101*(1-137.92/(60*'Параметры'!C28))</f>
        <v>6079.165909333335</v>
      </c>
      <c r="L102" s="71">
        <f>'Параметры'!C27*L101*(1-137.92/(60*'Параметры'!C28))</f>
        <v>6165.565984000001</v>
      </c>
      <c r="M102" s="71">
        <f>'Параметры'!C27*M101*(1-137.92/(60*'Параметры'!C28))</f>
        <v>6040.215056</v>
      </c>
      <c r="N102" s="71">
        <f>'Параметры'!C27*N101*(1-137.92/(60*'Параметры'!C28))</f>
        <v>6038.798661333334</v>
      </c>
    </row>
    <row r="103">
      <c r="B103" s="22" t="inlineStr">
        <is>
          <t>Объём бурения</t>
        </is>
      </c>
      <c r="C103" s="26" t="inlineStr">
        <is>
          <t>тыс.пог.м</t>
        </is>
      </c>
      <c r="D103" s="80" t="n"/>
      <c r="E103" s="80">
        <f>'Производительность'!H12*E102/1000</f>
        <v>103.15118501353301</v>
      </c>
      <c r="F103" s="80">
        <f>'Производительность'!H12*F102/1000</f>
        <v>100.12547851179255</v>
      </c>
      <c r="G103" s="80">
        <f>'Производительность'!H12*G102/1000</f>
        <v>98.57797976662758</v>
      </c>
      <c r="H103" s="80">
        <f>'Производительность'!H12*H102/1000</f>
        <v>99.90605704792587</v>
      </c>
      <c r="I103" s="80">
        <f>'Производительность'!H12*I102/1000</f>
        <v>100.49503045093641</v>
      </c>
      <c r="J103" s="80">
        <f>'Производительность'!H12*J102/1000</f>
        <v>97.50396944349073</v>
      </c>
      <c r="K103" s="80">
        <f>'Производительность'!H12*K102/1000</f>
        <v>99.13230767534341</v>
      </c>
      <c r="L103" s="80">
        <f>'Производительность'!H12*L102/1000</f>
        <v>100.54122444332941</v>
      </c>
      <c r="M103" s="80">
        <f>'Производительность'!H12*M102/1000</f>
        <v>98.49714027993987</v>
      </c>
      <c r="N103" s="80">
        <f>'Производительность'!H12*N102/1000</f>
        <v>98.47404328374338</v>
      </c>
    </row>
    <row r="104">
      <c r="B104" s="22" t="inlineStr">
        <is>
          <t>Объём взрывания</t>
        </is>
      </c>
      <c r="C104" s="26" t="inlineStr">
        <is>
          <t>тыс.м³</t>
        </is>
      </c>
      <c r="D104" s="71" t="n"/>
      <c r="E104" s="71">
        <f>E103*'Параметры'!C35</f>
        <v>5102.373366694411</v>
      </c>
      <c r="F104" s="71">
        <f>F103*'Параметры'!C35</f>
        <v>4952.706794585819</v>
      </c>
      <c r="G104" s="71">
        <f>G103*'Параметры'!C35</f>
        <v>4876.159769156234</v>
      </c>
      <c r="H104" s="71">
        <f>H103*'Параметры'!C35</f>
        <v>4941.853111875654</v>
      </c>
      <c r="I104" s="71">
        <f>I103*'Параметры'!C35</f>
        <v>4970.98668125557</v>
      </c>
      <c r="J104" s="71">
        <f>J103*'Параметры'!C35</f>
        <v>4823.033848522269</v>
      </c>
      <c r="K104" s="71">
        <f>K103*'Параметры'!C35</f>
        <v>4903.579599160862</v>
      </c>
      <c r="L104" s="71">
        <f>L103*'Параметры'!C35</f>
        <v>4973.27166708929</v>
      </c>
      <c r="M104" s="71">
        <f>M103*'Параметры'!C35</f>
        <v>4872.161043947226</v>
      </c>
      <c r="N104" s="71">
        <f>N103*'Параметры'!C35</f>
        <v>4871.018551030367</v>
      </c>
    </row>
    <row r="105">
      <c r="B105" s="22" t="inlineStr">
        <is>
          <t>Топливо/энергия</t>
        </is>
      </c>
      <c r="C105" s="26" t="inlineStr">
        <is>
          <t>тыс.руб</t>
        </is>
      </c>
      <c r="D105" s="71" t="n"/>
      <c r="E105" s="71">
        <f>E102*'Данные по годам'!E25/1000*'Параметры'!C10*(1+'Параметры'!C15)^(E$4-1)</f>
        <v>31692.49978575614</v>
      </c>
      <c r="F105" s="71">
        <f>F102*'Данные по годам'!F25/1000*'Параметры'!C10*(1+'Параметры'!C15)^(F$4-1)</f>
        <v>30762.872049093785</v>
      </c>
      <c r="G105" s="71">
        <f>G102*'Данные по годам'!G25/1000*'Параметры'!C10*(1+'Параметры'!C15)^(G$4-1)</f>
        <v>30287.41358835808</v>
      </c>
      <c r="H105" s="71">
        <f>H102*'Данные по годам'!H25/1000*'Параметры'!C10*(1+'Параметры'!C15)^(H$4-1)</f>
        <v>30695.456297198423</v>
      </c>
      <c r="I105" s="71">
        <f>I102*'Данные по годам'!I25/1000*'Параметры'!C10*(1+'Параметры'!C15)^(I$4-1)</f>
        <v>30876.414368075442</v>
      </c>
      <c r="J105" s="71">
        <f>J102*'Данные по годам'!J25/1000*'Параметры'!C10*(1+'Параметры'!C15)^(J$4-1)</f>
        <v>29957.43122381763</v>
      </c>
      <c r="K105" s="71">
        <f>K102*'Данные по годам'!K25/1000*'Параметры'!C10*(1+'Параметры'!C15)^(K$4-1)</f>
        <v>30457.727066830572</v>
      </c>
      <c r="L105" s="71">
        <f>L102*'Данные по годам'!L25/1000*'Параметры'!C10*(1+'Параметры'!C15)^(L$4-1)</f>
        <v>30890.607157948158</v>
      </c>
      <c r="M105" s="71">
        <f>M102*'Данные по годам'!M25/1000*'Параметры'!C10*(1+'Параметры'!C15)^(M$4-1)</f>
        <v>30262.576206080837</v>
      </c>
      <c r="N105" s="71">
        <f>N102*'Данные по годам'!N25/1000*'Параметры'!C10*(1+'Параметры'!C15)^(N$4-1)</f>
        <v>30255.47981114449</v>
      </c>
    </row>
    <row r="106">
      <c r="B106" s="22" t="inlineStr">
        <is>
          <t>ТОиР и сервис (по годам)</t>
        </is>
      </c>
      <c r="C106" s="26" t="inlineStr">
        <is>
          <t>тыс.руб</t>
        </is>
      </c>
      <c r="D106" s="71" t="n"/>
      <c r="E106" s="71">
        <f>'Данные по годам'!E24*IF('Данные по годам'!$D$24="CNY",'Параметры'!C21,IF('Данные по годам'!$D$24="USD",'Параметры'!C22,IF('Данные по годам'!$D$24="EUR",'Параметры'!C23,1)))</f>
        <v>14951.161012401783</v>
      </c>
      <c r="F106" s="71">
        <f>'Данные по годам'!F24*IF('Данные по годам'!$D$24="CNY",'Параметры'!C21,IF('Данные по годам'!$D$24="USD",'Параметры'!C22,IF('Данные по годам'!$D$24="EUR",'Параметры'!C23,1)))</f>
        <v>36134.40931108979</v>
      </c>
      <c r="G106" s="71">
        <f>'Данные по годам'!G24*IF('Данные по годам'!$D$24="CNY",'Параметры'!C21,IF('Данные по годам'!$D$24="USD",'Параметры'!C22,IF('Данные по годам'!$D$24="EUR",'Параметры'!C23,1)))</f>
        <v>62195.43477370902</v>
      </c>
      <c r="H106" s="71">
        <f>'Данные по годам'!H24*IF('Данные по годам'!$D$24="CNY",'Параметры'!C21,IF('Данные по годам'!$D$24="USD",'Параметры'!C22,IF('Данные по годам'!$D$24="EUR",'Параметры'!C23,1)))</f>
        <v>54287.78352488588</v>
      </c>
      <c r="I106" s="71">
        <f>'Данные по годам'!I24*IF('Данные по годам'!$D$24="CNY",'Параметры'!C21,IF('Данные по годам'!$D$24="USD",'Параметры'!C22,IF('Данные по годам'!$D$24="EUR",'Параметры'!C23,1)))</f>
        <v>75365.7190370036</v>
      </c>
      <c r="J106" s="71">
        <f>'Данные по годам'!J24*IF('Данные по годам'!$D$24="CNY",'Параметры'!C21,IF('Данные по годам'!$D$24="USD",'Параметры'!C22,IF('Данные по годам'!$D$24="EUR",'Параметры'!C23,1)))</f>
        <v>50421.746176156375</v>
      </c>
      <c r="K106" s="71">
        <f>'Данные по годам'!K24*IF('Данные по годам'!$D$24="CNY",'Параметры'!C21,IF('Данные по годам'!$D$24="USD",'Параметры'!C22,IF('Данные по годам'!$D$24="EUR",'Параметры'!C23,1)))</f>
        <v>73988.98635520888</v>
      </c>
      <c r="L106" s="71">
        <f>'Данные по годам'!L24*IF('Данные по годам'!$D$24="CNY",'Параметры'!C21,IF('Данные по годам'!$D$24="USD",'Параметры'!C22,IF('Данные по годам'!$D$24="EUR",'Параметры'!C23,1)))</f>
        <v>37576.97307240014</v>
      </c>
      <c r="M106" s="71">
        <f>'Данные по годам'!M24*IF('Данные по годам'!$D$24="CNY",'Параметры'!C21,IF('Данные по годам'!$D$24="USD",'Параметры'!C22,IF('Данные по годам'!$D$24="EUR",'Параметры'!C23,1)))</f>
        <v>86307.9302127209</v>
      </c>
      <c r="N106" s="71">
        <f>'Данные по годам'!N24*IF('Данные по годам'!$D$24="CNY",'Параметры'!C21,IF('Данные по годам'!$D$24="USD",'Параметры'!C22,IF('Данные по годам'!$D$24="EUR",'Параметры'!C23,1)))</f>
        <v>46406.44003817286</v>
      </c>
    </row>
    <row r="107">
      <c r="B107" s="22" t="inlineStr">
        <is>
          <t>Долота</t>
        </is>
      </c>
      <c r="C107" s="26" t="inlineStr">
        <is>
          <t>тыс.руб</t>
        </is>
      </c>
      <c r="D107" s="71" t="n"/>
      <c r="E107" s="71">
        <f>E103*'Поставщик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годам'!$D$24="EUR",'Параметры'!C23,1)))*(1+'Параметры'!C16)^(E$4-1)</f>
        <v>0.0</v>
      </c>
      <c r="F107" s="71">
        <f>F103*'Поставщик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годам'!$D$24="EUR",'Параметры'!C23,1)))*(1+'Параметры'!C16)^(F$4-1)</f>
        <v>0.0</v>
      </c>
      <c r="G107" s="71">
        <f>G103*'Поставщик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годам'!$D$24="EUR",'Параметры'!C23,1)))*(1+'Параметры'!C16)^(G$4-1)</f>
        <v>0.0</v>
      </c>
      <c r="H107" s="71">
        <f>H103*'Поставщик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годам'!$D$24="EUR",'Параметры'!C23,1)))*(1+'Параметры'!C16)^(H$4-1)</f>
        <v>0.0</v>
      </c>
      <c r="I107" s="71">
        <f>I103*'Поставщик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годам'!$D$24="EUR",'Параметры'!C23,1)))*(1+'Параметры'!C16)^(I$4-1)</f>
        <v>0.0</v>
      </c>
      <c r="J107" s="71">
        <f>J103*'Поставщик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годам'!$D$24="EUR",'Параметры'!C23,1)))*(1+'Параметры'!C16)^(J$4-1)</f>
        <v>0.0</v>
      </c>
      <c r="K107" s="71">
        <f>K103*'Поставщик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годам'!$D$24="EUR",'Параметры'!C23,1)))*(1+'Параметры'!C16)^(K$4-1)</f>
        <v>0.0</v>
      </c>
      <c r="L107" s="71">
        <f>L103*'Поставщик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годам'!$D$24="EUR",'Параметры'!C23,1)))*(1+'Параметры'!C16)^(L$4-1)</f>
        <v>0.0</v>
      </c>
      <c r="M107" s="71">
        <f>M103*'Поставщик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годам'!$D$24="EUR",'Параметры'!C23,1)))*(1+'Параметры'!C16)^(M$4-1)</f>
        <v>0.0</v>
      </c>
      <c r="N107" s="71">
        <f>N103*'Поставщик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годам'!$D$24="EUR",'Параметры'!C23,1)))*(1+'Параметры'!C16)^(N$4-1)</f>
        <v>0.0</v>
      </c>
    </row>
    <row r="108">
      <c r="B108" s="22" t="inlineStr">
        <is>
          <t>Штанги/адаптеры</t>
        </is>
      </c>
      <c r="C108" s="26" t="inlineStr">
        <is>
          <t>тыс.руб</t>
        </is>
      </c>
      <c r="D108" s="71" t="n"/>
      <c r="E108" s="71">
        <f>E103*'Поставщик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годам'!$D$24="EUR",'Параметры'!C23,1)))*(1+'Параметры'!C16)^(E$4-1)</f>
        <v>0.0</v>
      </c>
      <c r="F108" s="71">
        <f>F103*'Поставщик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годам'!$D$24="EUR",'Параметры'!C23,1)))*(1+'Параметры'!C16)^(F$4-1)</f>
        <v>0.0</v>
      </c>
      <c r="G108" s="71">
        <f>G103*'Поставщик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годам'!$D$24="EUR",'Параметры'!C23,1)))*(1+'Параметры'!C16)^(G$4-1)</f>
        <v>0.0</v>
      </c>
      <c r="H108" s="71">
        <f>H103*'Поставщик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годам'!$D$24="EUR",'Параметры'!C23,1)))*(1+'Параметры'!C16)^(H$4-1)</f>
        <v>0.0</v>
      </c>
      <c r="I108" s="71">
        <f>I103*'Поставщик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годам'!$D$24="EUR",'Параметры'!C23,1)))*(1+'Параметры'!C16)^(I$4-1)</f>
        <v>0.0</v>
      </c>
      <c r="J108" s="71">
        <f>J103*'Поставщик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годам'!$D$24="EUR",'Параметры'!C23,1)))*(1+'Параметры'!C16)^(J$4-1)</f>
        <v>0.0</v>
      </c>
      <c r="K108" s="71">
        <f>K103*'Поставщик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годам'!$D$24="EUR",'Параметры'!C23,1)))*(1+'Параметры'!C16)^(K$4-1)</f>
        <v>0.0</v>
      </c>
      <c r="L108" s="71">
        <f>L103*'Поставщик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годам'!$D$24="EUR",'Параметры'!C23,1)))*(1+'Параметры'!C16)^(L$4-1)</f>
        <v>0.0</v>
      </c>
      <c r="M108" s="71">
        <f>M103*'Поставщик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годам'!$D$24="EUR",'Параметры'!C23,1)))*(1+'Параметры'!C16)^(M$4-1)</f>
        <v>0.0</v>
      </c>
      <c r="N108" s="71">
        <f>N103*'Поставщик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годам'!$D$24="EUR",'Параметры'!C23,1)))*(1+'Параметры'!C16)^(N$4-1)</f>
        <v>0.0</v>
      </c>
    </row>
    <row r="109">
      <c r="B109" s="22" t="inlineStr">
        <is>
          <t>Расходники</t>
        </is>
      </c>
      <c r="C109" s="26" t="inlineStr">
        <is>
          <t>тыс.руб</t>
        </is>
      </c>
      <c r="D109" s="71" t="n"/>
      <c r="E109" s="71">
        <f>E103*'Поставщик 5'!$D$257*(1+'Параметры'!C16)^(E$4-1)</f>
        <v>0.0</v>
      </c>
      <c r="F109" s="71">
        <f>F103*'Поставщик 5'!$D$257*(1+'Параметры'!C16)^(F$4-1)</f>
        <v>0.0</v>
      </c>
      <c r="G109" s="71">
        <f>G103*'Поставщик 5'!$D$257*(1+'Параметры'!C16)^(G$4-1)</f>
        <v>0.0</v>
      </c>
      <c r="H109" s="71">
        <f>H103*'Поставщик 5'!$D$257*(1+'Параметры'!C16)^(H$4-1)</f>
        <v>0.0</v>
      </c>
      <c r="I109" s="71">
        <f>I103*'Поставщик 5'!$D$257*(1+'Параметры'!C16)^(I$4-1)</f>
        <v>0.0</v>
      </c>
      <c r="J109" s="71">
        <f>J103*'Поставщик 5'!$D$257*(1+'Параметры'!C16)^(J$4-1)</f>
        <v>0.0</v>
      </c>
      <c r="K109" s="71">
        <f>K103*'Поставщик 5'!$D$257*(1+'Параметры'!C16)^(K$4-1)</f>
        <v>0.0</v>
      </c>
      <c r="L109" s="71">
        <f>L103*'Поставщик 5'!$D$257*(1+'Параметры'!C16)^(L$4-1)</f>
        <v>0.0</v>
      </c>
      <c r="M109" s="71">
        <f>M103*'Поставщик 5'!$D$257*(1+'Параметры'!C16)^(M$4-1)</f>
        <v>0.0</v>
      </c>
      <c r="N109" s="71">
        <f>N103*'Поставщик 5'!$D$257*(1+'Параметры'!C16)^(N$4-1)</f>
        <v>0.0</v>
      </c>
    </row>
    <row r="110">
      <c r="B110" s="22" t="inlineStr">
        <is>
          <t>Персонал</t>
        </is>
      </c>
      <c r="C110" s="26" t="inlineStr">
        <is>
          <t>тыс.руб</t>
        </is>
      </c>
      <c r="D110" s="71" t="n"/>
      <c r="E110" s="71">
        <f>'Ввод данных'!H22*(1+'Параметры'!C17)^(E$4-1)</f>
        <v>15710.0</v>
      </c>
      <c r="F110" s="71">
        <f>'Ввод данных'!H22*(1+'Параметры'!C17)^(F$4-1)</f>
        <v>15710.0</v>
      </c>
      <c r="G110" s="71">
        <f>'Ввод данных'!H22*(1+'Параметры'!C17)^(G$4-1)</f>
        <v>15710.0</v>
      </c>
      <c r="H110" s="71">
        <f>'Ввод данных'!H22*(1+'Параметры'!C17)^(H$4-1)</f>
        <v>15710.0</v>
      </c>
      <c r="I110" s="71">
        <f>'Ввод данных'!H22*(1+'Параметры'!C17)^(I$4-1)</f>
        <v>15710.0</v>
      </c>
      <c r="J110" s="71">
        <f>'Ввод данных'!H22*(1+'Параметры'!C17)^(J$4-1)</f>
        <v>15710.0</v>
      </c>
      <c r="K110" s="71">
        <f>'Ввод данных'!H22*(1+'Параметры'!C17)^(K$4-1)</f>
        <v>15710.0</v>
      </c>
      <c r="L110" s="71">
        <f>'Ввод данных'!H22*(1+'Параметры'!C17)^(L$4-1)</f>
        <v>15710.0</v>
      </c>
      <c r="M110" s="71">
        <f>'Ввод данных'!H22*(1+'Параметры'!C17)^(M$4-1)</f>
        <v>15710.0</v>
      </c>
      <c r="N110" s="71">
        <f>'Ввод данных'!H22*(1+'Параметры'!C17)^(N$4-1)</f>
        <v>15710.0</v>
      </c>
    </row>
    <row r="111">
      <c r="B111" s="22" t="inlineStr">
        <is>
          <t>Транспортный налог</t>
        </is>
      </c>
      <c r="C111" s="26" t="inlineStr">
        <is>
          <t>тыс.руб</t>
        </is>
      </c>
      <c r="D111" s="71" t="n"/>
      <c r="E111" s="71">
        <f>'Ввод данных'!H23*15/1000</f>
        <v>12.17535</v>
      </c>
      <c r="F111" s="71">
        <f>'Ввод данных'!H23*15/1000</f>
        <v>12.17535</v>
      </c>
      <c r="G111" s="71">
        <f>'Ввод данных'!H23*15/1000</f>
        <v>12.17535</v>
      </c>
      <c r="H111" s="71">
        <f>'Ввод данных'!H23*15/1000</f>
        <v>12.17535</v>
      </c>
      <c r="I111" s="71">
        <f>'Ввод данных'!H23*15/1000</f>
        <v>12.17535</v>
      </c>
      <c r="J111" s="71">
        <f>'Ввод данных'!H23*15/1000</f>
        <v>12.17535</v>
      </c>
      <c r="K111" s="71">
        <f>'Ввод данных'!H23*15/1000</f>
        <v>12.17535</v>
      </c>
      <c r="L111" s="71">
        <f>'Ввод данных'!H23*15/1000</f>
        <v>12.17535</v>
      </c>
      <c r="M111" s="71">
        <f>'Ввод данных'!H23*15/1000</f>
        <v>12.17535</v>
      </c>
      <c r="N111" s="71">
        <f>'Ввод данных'!H23*15/1000</f>
        <v>12.17535</v>
      </c>
    </row>
    <row r="112">
      <c r="B112" s="22" t="inlineStr">
        <is>
          <t>Итого денежные затраты</t>
        </is>
      </c>
      <c r="C112" s="26" t="inlineStr">
        <is>
          <t>тыс.руб</t>
        </is>
      </c>
      <c r="D112" s="71" t="n"/>
      <c r="E112" s="81">
        <f>E105+E106+E107+E108+E109+E110+E111</f>
        <v>62365.83614815792</v>
      </c>
      <c r="F112" s="81">
        <f>F105+F106+F107+F108+F109+F110+F111</f>
        <v>82619.45671018359</v>
      </c>
      <c r="G112" s="81">
        <f>G105+G106+G107+G108+G109+G110+G111</f>
        <v>108205.02371206711</v>
      </c>
      <c r="H112" s="81">
        <f>H105+H106+H107+H108+H109+H110+H111</f>
        <v>100705.41517208431</v>
      </c>
      <c r="I112" s="81">
        <f>I105+I106+I107+I108+I109+I110+I111</f>
        <v>121964.30875507905</v>
      </c>
      <c r="J112" s="81">
        <f>J105+J106+J107+J108+J109+J110+J111</f>
        <v>96101.35274997402</v>
      </c>
      <c r="K112" s="81">
        <f>K105+K106+K107+K108+K109+K110+K111</f>
        <v>120168.88877203946</v>
      </c>
      <c r="L112" s="81">
        <f>L105+L106+L107+L108+L109+L110+L111</f>
        <v>84189.75558034831</v>
      </c>
      <c r="M112" s="81">
        <f>M105+M106+M107+M108+M109+M110+M111</f>
        <v>132292.68176880173</v>
      </c>
      <c r="N112" s="81">
        <f>N105+N106+N107+N108+N109+N110+N111</f>
        <v>92384.09519931735</v>
      </c>
    </row>
    <row r="113">
      <c r="B113" s="22" t="inlineStr">
        <is>
          <t>Амортизация (НУ)</t>
        </is>
      </c>
      <c r="C113" s="26" t="inlineStr">
        <is>
          <t>тыс.руб</t>
        </is>
      </c>
      <c r="D113" s="71" t="n"/>
      <c r="E113" s="71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46601.61322053905</v>
      </c>
      <c r="F113" s="71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46601.61322053905</v>
      </c>
      <c r="G113" s="71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46601.61322053905</v>
      </c>
      <c r="H113" s="71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46601.61322053905</v>
      </c>
      <c r="I113" s="71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46601.61322053905</v>
      </c>
      <c r="J113" s="71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3867.9338973047493</v>
      </c>
      <c r="K113" s="71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113" s="71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113" s="71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113" s="71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114">
      <c r="B114" s="22" t="inlineStr">
        <is>
          <t>Налогооблагаемая база</t>
        </is>
      </c>
      <c r="C114" s="26" t="inlineStr">
        <is>
          <t>тыс.руб</t>
        </is>
      </c>
      <c r="D114" s="71" t="n"/>
      <c r="E114" s="71">
        <f>E112+E113</f>
        <v>108967.44936869698</v>
      </c>
      <c r="F114" s="71">
        <f>F112+F113</f>
        <v>129221.06993072265</v>
      </c>
      <c r="G114" s="71">
        <f>G112+G113</f>
        <v>154806.63693260617</v>
      </c>
      <c r="H114" s="71">
        <f>H112+H113</f>
        <v>147307.02839262335</v>
      </c>
      <c r="I114" s="71">
        <f>I112+I113</f>
        <v>168565.9219756181</v>
      </c>
      <c r="J114" s="71">
        <f>J112+J113</f>
        <v>99969.28664727877</v>
      </c>
      <c r="K114" s="71">
        <f>K112+K113</f>
        <v>120168.88877203946</v>
      </c>
      <c r="L114" s="71">
        <f>L112+L113</f>
        <v>84189.75558034831</v>
      </c>
      <c r="M114" s="71">
        <f>M112+M113</f>
        <v>132292.68176880173</v>
      </c>
      <c r="N114" s="71">
        <f>N112+N113</f>
        <v>92384.09519931735</v>
      </c>
    </row>
    <row r="115">
      <c r="B115" s="22" t="inlineStr">
        <is>
          <t>Налог на прибыль (щит)</t>
        </is>
      </c>
      <c r="C115" s="26" t="inlineStr">
        <is>
          <t>тыс.руб</t>
        </is>
      </c>
      <c r="D115" s="71" t="n"/>
      <c r="E115" s="71">
        <f>-E114*'Параметры'!C7</f>
        <v>-27241.862342174245</v>
      </c>
      <c r="F115" s="71">
        <f>-F114*'Параметры'!C7</f>
        <v>-32305.26748268066</v>
      </c>
      <c r="G115" s="71">
        <f>-G114*'Параметры'!C7</f>
        <v>-38701.65923315154</v>
      </c>
      <c r="H115" s="71">
        <f>-H114*'Параметры'!C7</f>
        <v>-36826.75709815584</v>
      </c>
      <c r="I115" s="71">
        <f>-I114*'Параметры'!C7</f>
        <v>-42141.48049390453</v>
      </c>
      <c r="J115" s="71">
        <f>-J114*'Параметры'!C7</f>
        <v>-24992.321661819693</v>
      </c>
      <c r="K115" s="71">
        <f>-K114*'Параметры'!C7</f>
        <v>-30042.222193009864</v>
      </c>
      <c r="L115" s="71">
        <f>-L114*'Параметры'!C7</f>
        <v>-21047.438895087078</v>
      </c>
      <c r="M115" s="71">
        <f>-M114*'Параметры'!C7</f>
        <v>-33073.17044220043</v>
      </c>
      <c r="N115" s="71">
        <f>-N114*'Параметры'!C7</f>
        <v>-23096.023799829338</v>
      </c>
    </row>
    <row r="116">
      <c r="B116" s="22" t="inlineStr">
        <is>
          <t>Операц. денежный поток</t>
        </is>
      </c>
      <c r="C116" s="26" t="inlineStr">
        <is>
          <t>тыс.руб</t>
        </is>
      </c>
      <c r="D116" s="71" t="n"/>
      <c r="E116" s="81">
        <f>E114+E115-E113</f>
        <v>35123.973805983675</v>
      </c>
      <c r="F116" s="81">
        <f>F114+F115-F113</f>
        <v>50314.18922750293</v>
      </c>
      <c r="G116" s="81">
        <f>G114+G115-G113</f>
        <v>69503.36447891558</v>
      </c>
      <c r="H116" s="81">
        <f>H114+H115-H113</f>
        <v>63878.65807392846</v>
      </c>
      <c r="I116" s="81">
        <f>I114+I115-I113</f>
        <v>79822.82826117452</v>
      </c>
      <c r="J116" s="81">
        <f>J114+J115-J113</f>
        <v>71109.03108815433</v>
      </c>
      <c r="K116" s="81">
        <f>K114+K115-K113</f>
        <v>90126.6665790296</v>
      </c>
      <c r="L116" s="81">
        <f>L114+L115-L113</f>
        <v>63142.316685261234</v>
      </c>
      <c r="M116" s="81">
        <f>M114+M115-M113</f>
        <v>99219.51132660129</v>
      </c>
      <c r="N116" s="81">
        <f>N114+N115-N113</f>
        <v>69288.07139948802</v>
      </c>
    </row>
    <row r="117">
      <c r="B117" s="22" t="inlineStr">
        <is>
          <t>Инвестиции / остаточная ст-ть</t>
        </is>
      </c>
      <c r="C117" s="26" t="inlineStr">
        <is>
          <t>тыс.руб</t>
        </is>
      </c>
      <c r="D117" s="71">
        <f>IF(D$4=0,'Производительность'!H5,IF(D$4='Параметры'!C8,-'Ввод данных'!H14*'Производительность'!H5,0))</f>
        <v>236876.0</v>
      </c>
      <c r="E117" s="71">
        <f>IF(E$4=0,'Производительность'!H5,IF(E$4='Параметры'!C8,-'Ввод данных'!H14*'Производительность'!H5,0))</f>
        <v>0.0</v>
      </c>
      <c r="F117" s="71">
        <f>IF(F$4=0,'Производительность'!H5,IF(F$4='Параметры'!C8,-'Ввод данных'!H14*'Производительность'!H5,0))</f>
        <v>0.0</v>
      </c>
      <c r="G117" s="71">
        <f>IF(G$4=0,'Производительность'!H5,IF(G$4='Параметры'!C8,-'Ввод данных'!H14*'Производительность'!H5,0))</f>
        <v>0.0</v>
      </c>
      <c r="H117" s="71">
        <f>IF(H$4=0,'Производительность'!H5,IF(H$4='Параметры'!C8,-'Ввод данных'!H14*'Производительность'!H5,0))</f>
        <v>0.0</v>
      </c>
      <c r="I117" s="71">
        <f>IF(I$4=0,'Производительность'!H5,IF(I$4='Параметры'!C8,-'Ввод данных'!H14*'Производительность'!H5,0))</f>
        <v>0.0</v>
      </c>
      <c r="J117" s="71">
        <f>IF(J$4=0,'Производительность'!H5,IF(J$4='Параметры'!C8,-'Ввод данных'!H14*'Производительность'!H5,0))</f>
        <v>0.0</v>
      </c>
      <c r="K117" s="71">
        <f>IF(K$4=0,'Производительность'!H5,IF(K$4='Параметры'!C8,-'Ввод данных'!H14*'Производительность'!H5,0))</f>
        <v>0.0</v>
      </c>
      <c r="L117" s="71">
        <f>IF(L$4=0,'Производительность'!H5,IF(L$4='Параметры'!C8,-'Ввод данных'!H14*'Производительность'!H5,0))</f>
        <v>0.0</v>
      </c>
      <c r="M117" s="71">
        <f>IF(M$4=0,'Производительность'!H5,IF(M$4='Параметры'!C8,-'Ввод данных'!H14*'Производительность'!H5,0))</f>
        <v>0.0</v>
      </c>
      <c r="N117" s="71">
        <f>IF(N$4=0,'Производительность'!H5,IF(N$4='Параметры'!C8,-'Ввод данных'!H14*'Производительность'!H5,0))</f>
        <v>-0.0</v>
      </c>
    </row>
    <row r="118">
      <c r="B118" s="22" t="inlineStr">
        <is>
          <t>Чистый денежный поток</t>
        </is>
      </c>
      <c r="C118" s="26" t="inlineStr">
        <is>
          <t>тыс.руб</t>
        </is>
      </c>
      <c r="D118" s="81">
        <f>0+D117</f>
        <v>236876.0</v>
      </c>
      <c r="E118" s="81">
        <f>E116+E117</f>
        <v>35123.973805983675</v>
      </c>
      <c r="F118" s="81">
        <f>F116+F117</f>
        <v>50314.18922750293</v>
      </c>
      <c r="G118" s="81">
        <f>G116+G117</f>
        <v>69503.36447891558</v>
      </c>
      <c r="H118" s="81">
        <f>H116+H117</f>
        <v>63878.65807392846</v>
      </c>
      <c r="I118" s="81">
        <f>I116+I117</f>
        <v>79822.82826117452</v>
      </c>
      <c r="J118" s="81">
        <f>J116+J117</f>
        <v>71109.03108815433</v>
      </c>
      <c r="K118" s="81">
        <f>K116+K117</f>
        <v>90126.6665790296</v>
      </c>
      <c r="L118" s="81">
        <f>L116+L117</f>
        <v>63142.316685261234</v>
      </c>
      <c r="M118" s="81">
        <f>M116+M117</f>
        <v>99219.51132660129</v>
      </c>
      <c r="N118" s="81">
        <f>N116+N117</f>
        <v>69288.07139948802</v>
      </c>
    </row>
    <row r="119">
      <c r="B119" s="22" t="inlineStr">
        <is>
          <t>Дисконтированный поток</t>
        </is>
      </c>
      <c r="C119" s="26" t="inlineStr">
        <is>
          <t>тыс.руб</t>
        </is>
      </c>
      <c r="D119" s="71">
        <f>D118*D$6</f>
        <v>236876.0</v>
      </c>
      <c r="E119" s="71">
        <f>E118*E$6</f>
        <v>31360.690898199708</v>
      </c>
      <c r="F119" s="71">
        <f>F118*F$6</f>
        <v>40110.163606108836</v>
      </c>
      <c r="G119" s="71">
        <f>G118*G$6</f>
        <v>49471.12199266835</v>
      </c>
      <c r="H119" s="71">
        <f>H118*H$6</f>
        <v>40596.04203022226</v>
      </c>
      <c r="I119" s="71">
        <f>I118*I$6</f>
        <v>45293.616454803996</v>
      </c>
      <c r="J119" s="71">
        <f>J118*J$6</f>
        <v>36026.04814602457</v>
      </c>
      <c r="K119" s="71">
        <f>K118*K$6</f>
        <v>40768.72690795385</v>
      </c>
      <c r="L119" s="71">
        <f>L118*L$6</f>
        <v>25502.12268493888</v>
      </c>
      <c r="M119" s="71">
        <f>M118*M$6</f>
        <v>35779.5504581458</v>
      </c>
      <c r="N119" s="71">
        <f>N118*N$6</f>
        <v>22308.904605620388</v>
      </c>
    </row>
    <row r="120">
      <c r="B120" s="22" t="inlineStr">
        <is>
          <t>Кумул. дисконт. поток</t>
        </is>
      </c>
      <c r="C120" s="26" t="inlineStr">
        <is>
          <t>тыс.руб</t>
        </is>
      </c>
      <c r="D120" s="71">
        <f>SUM($D119:D119)</f>
        <v>236876.0</v>
      </c>
      <c r="E120" s="71">
        <f>SUM($D119:E119)</f>
        <v>268236.6908981997</v>
      </c>
      <c r="F120" s="71">
        <f>SUM($D119:F119)</f>
        <v>308346.85450430855</v>
      </c>
      <c r="G120" s="71">
        <f>SUM($D119:G119)</f>
        <v>357817.9764969769</v>
      </c>
      <c r="H120" s="71">
        <f>SUM($D119:H119)</f>
        <v>398414.01852719916</v>
      </c>
      <c r="I120" s="71">
        <f>SUM($D119:I119)</f>
        <v>443707.63498200313</v>
      </c>
      <c r="J120" s="71">
        <f>SUM($D119:J119)</f>
        <v>479733.6831280277</v>
      </c>
      <c r="K120" s="71">
        <f>SUM($D119:K119)</f>
        <v>520502.41003598156</v>
      </c>
      <c r="L120" s="71">
        <f>SUM($D119:L119)</f>
        <v>546004.5327209204</v>
      </c>
      <c r="M120" s="71">
        <f>SUM($D119:M119)</f>
        <v>581784.0831790662</v>
      </c>
      <c r="N120" s="71">
        <f>SUM($D119:N119)</f>
        <v>604092.9877846866</v>
      </c>
    </row>
    <row r="121">
      <c r="B121" s="57" t="inlineStr">
        <is>
          <t>Аннуитет по году</t>
        </is>
      </c>
      <c r="C121" s="26" t="inlineStr">
        <is>
          <t>руб/пог.м</t>
        </is>
      </c>
      <c r="D121" s="82" t="n"/>
      <c r="E121" s="82">
        <f>SUM($D119:E119)/SUM($E$6:E$6)/(SUM($E103:E103)/E$4)</f>
        <v>2912.4735093113</v>
      </c>
      <c r="F121" s="82">
        <f>SUM($D119:F119)/SUM($E$6:F$6)/(SUM($E103:F103)/F$4)</f>
        <v>1795.0732647769069</v>
      </c>
      <c r="G121" s="82">
        <f>SUM($D119:G119)/SUM($E$6:G$6)/(SUM($E103:G103)/G$4)</f>
        <v>1480.6181026305258</v>
      </c>
      <c r="H121" s="82">
        <f>SUM($D119:H119)/SUM($E$6:H$6)/(SUM($E103:H103)/H$4)</f>
        <v>1305.9676040500665</v>
      </c>
      <c r="I121" s="82">
        <f>SUM($D119:I119)/SUM($E$6:I$6)/(SUM($E103:I103)/I$4)</f>
        <v>1225.359996258754</v>
      </c>
      <c r="J121" s="82">
        <f>SUM($D119:J119)/SUM($E$6:J$6)/(SUM($E103:J103)/J$4)</f>
        <v>1167.3032017895534</v>
      </c>
      <c r="K121" s="82">
        <f>SUM($D119:K119)/SUM($E$6:K$6)/(SUM($E103:K103)/K$4)</f>
        <v>1142.3212145692773</v>
      </c>
      <c r="L121" s="82">
        <f>SUM($D119:L119)/SUM($E$6:L$6)/(SUM($E103:L103)/L$4)</f>
        <v>1099.9018744088833</v>
      </c>
      <c r="M121" s="82">
        <f>SUM($D119:M119)/SUM($E$6:M$6)/(SUM($E103:M103)/M$4)</f>
        <v>1094.4025751318839</v>
      </c>
      <c r="N121" s="82">
        <f>SUM($D119:N119)/SUM($E$6:N$6)/(SUM($E103:N103)/N$4)</f>
        <v>1073.0070121130202</v>
      </c>
    </row>
  </sheetData>
  <mergeCells count="7">
    <mergeCell ref="B31:N31"/>
    <mergeCell ref="B1:N1"/>
    <mergeCell ref="B8:N8"/>
    <mergeCell ref="B100:N100"/>
    <mergeCell ref="B54:N54"/>
    <mergeCell ref="B77:N77"/>
    <mergeCell ref="B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руб/пог.м и руб/м³.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</row>
    <row r="6">
      <c r="B6" s="22" t="inlineStr">
        <is>
          <t>NPV топлива/энергии</t>
        </is>
      </c>
      <c r="C6" s="26" t="inlineStr">
        <is>
          <t>тыс.руб</t>
        </is>
      </c>
      <c r="D6" s="71">
        <f>SUMPRODUCT('Денежный поток'!E13:N13,'Денежный поток'!$E$6:$N$6)</f>
        <v>179682.04708455317</v>
      </c>
      <c r="E6" s="71">
        <f>SUMPRODUCT('Денежный поток'!E36:N36,'Денежный поток'!$E$6:$N$6)</f>
        <v>171665.73707309333</v>
      </c>
      <c r="F6" s="71">
        <f>SUMPRODUCT('Денежный поток'!E59:N59,'Денежный поток'!$E$6:$N$6)</f>
        <v>175708.96201812825</v>
      </c>
      <c r="G6" s="71">
        <f>SUMPRODUCT('Денежный поток'!E82:N82,'Денежный поток'!$E$6:$N$6)</f>
        <v>183550.36901552023</v>
      </c>
      <c r="H6" s="71">
        <f>SUMPRODUCT('Денежный поток'!E105:N105,'Денежный поток'!$E$6:$N$6)</f>
        <v>173491.99209659558</v>
      </c>
    </row>
    <row r="7">
      <c r="B7" s="22" t="inlineStr">
        <is>
          <t>NPV ТОиР (по годам, вкл. капремонты)</t>
        </is>
      </c>
      <c r="C7" s="26" t="inlineStr">
        <is>
          <t>тыс.руб</t>
        </is>
      </c>
      <c r="D7" s="71">
        <f>SUMPRODUCT('Денежный поток'!E14:N14,'Денежный поток'!$E$6:$N$6)</f>
        <v>160295.34516047515</v>
      </c>
      <c r="E7" s="71">
        <f>SUMPRODUCT('Денежный поток'!E37:N37,'Денежный поток'!$E$6:$N$6)</f>
        <v>276811.86855954194</v>
      </c>
      <c r="F7" s="71">
        <f>SUMPRODUCT('Денежный поток'!E60:N60,'Денежный поток'!$E$6:$N$6)</f>
        <v>276811.86855954194</v>
      </c>
      <c r="G7" s="71">
        <f>SUMPRODUCT('Денежный поток'!E83:N83,'Денежный поток'!$E$6:$N$6)</f>
        <v>393458.10698604997</v>
      </c>
      <c r="H7" s="71">
        <f>SUMPRODUCT('Денежный поток'!E106:N106,'Денежный поток'!$E$6:$N$6)</f>
        <v>283946.1950688085</v>
      </c>
    </row>
    <row r="8">
      <c r="B8" s="22" t="inlineStr">
        <is>
          <t>NPV долот</t>
        </is>
      </c>
      <c r="C8" s="26" t="inlineStr">
        <is>
          <t>тыс.руб</t>
        </is>
      </c>
      <c r="D8" s="71">
        <f>SUMPRODUCT('Денежный поток'!E15:N15,'Денежный поток'!$E$6:$N$6)</f>
        <v>0.0</v>
      </c>
      <c r="E8" s="71">
        <f>SUMPRODUCT('Денежный поток'!E38:N38,'Денежный поток'!$E$6:$N$6)</f>
        <v>0.0</v>
      </c>
      <c r="F8" s="71">
        <f>SUMPRODUCT('Денежный поток'!E61:N61,'Денежный поток'!$E$6:$N$6)</f>
        <v>0.0</v>
      </c>
      <c r="G8" s="71">
        <f>SUMPRODUCT('Денежный поток'!E84:N84,'Денежный поток'!$E$6:$N$6)</f>
        <v>0.0</v>
      </c>
      <c r="H8" s="71">
        <f>SUMPRODUCT('Денежный поток'!E107:N107,'Денежный поток'!$E$6:$N$6)</f>
        <v>0.0</v>
      </c>
    </row>
    <row r="9">
      <c r="B9" s="22" t="inlineStr">
        <is>
          <t>NPV штанг/адаптеров</t>
        </is>
      </c>
      <c r="C9" s="26" t="inlineStr">
        <is>
          <t>тыс.руб</t>
        </is>
      </c>
      <c r="D9" s="71">
        <f>SUMPRODUCT('Денежный поток'!E16:N16,'Денежный поток'!$E$6:$N$6)</f>
        <v>0.0</v>
      </c>
      <c r="E9" s="71">
        <f>SUMPRODUCT('Денежный поток'!E39:N39,'Денежный поток'!$E$6:$N$6)</f>
        <v>0.0</v>
      </c>
      <c r="F9" s="71">
        <f>SUMPRODUCT('Денежный поток'!E62:N62,'Денежный поток'!$E$6:$N$6)</f>
        <v>0.0</v>
      </c>
      <c r="G9" s="71">
        <f>SUMPRODUCT('Денежный поток'!E85:N85,'Денежный поток'!$E$6:$N$6)</f>
        <v>0.0</v>
      </c>
      <c r="H9" s="71">
        <f>SUMPRODUCT('Денежный поток'!E108:N108,'Денежный поток'!$E$6:$N$6)</f>
        <v>0.0</v>
      </c>
    </row>
    <row r="10">
      <c r="B10" s="22" t="inlineStr">
        <is>
          <t>NPV расходников</t>
        </is>
      </c>
      <c r="C10" s="26" t="inlineStr">
        <is>
          <t>тыс.руб</t>
        </is>
      </c>
      <c r="D10" s="71">
        <f>SUMPRODUCT('Денежный поток'!E17:N17,'Денежный поток'!$E$6:$N$6)</f>
        <v>0.0</v>
      </c>
      <c r="E10" s="71">
        <f>SUMPRODUCT('Денежный поток'!E40:N40,'Денежный поток'!$E$6:$N$6)</f>
        <v>0.0</v>
      </c>
      <c r="F10" s="71">
        <f>SUMPRODUCT('Денежный поток'!E63:N63,'Денежный поток'!$E$6:$N$6)</f>
        <v>0.0</v>
      </c>
      <c r="G10" s="71">
        <f>SUMPRODUCT('Денежный поток'!E86:N86,'Денежный поток'!$E$6:$N$6)</f>
        <v>0.0</v>
      </c>
      <c r="H10" s="71">
        <f>SUMPRODUCT('Денежный поток'!E109:N109,'Денежный поток'!$E$6:$N$6)</f>
        <v>0.0</v>
      </c>
    </row>
    <row r="11">
      <c r="B11" s="22" t="inlineStr">
        <is>
          <t>NPV персонала</t>
        </is>
      </c>
      <c r="C11" s="26" t="inlineStr">
        <is>
          <t>тыс.руб</t>
        </is>
      </c>
      <c r="D11" s="71">
        <f>SUMPRODUCT('Денежный поток'!E18:N18,'Денежный поток'!$E$6:$N$6)</f>
        <v>88765.00377633465</v>
      </c>
      <c r="E11" s="71">
        <f>SUMPRODUCT('Денежный поток'!E41:N41,'Денежный поток'!$E$6:$N$6)</f>
        <v>88765.00377633465</v>
      </c>
      <c r="F11" s="71">
        <f>SUMPRODUCT('Денежный поток'!E64:N64,'Денежный поток'!$E$6:$N$6)</f>
        <v>88765.00377633465</v>
      </c>
      <c r="G11" s="71">
        <f>SUMPRODUCT('Денежный поток'!E87:N87,'Денежный поток'!$E$6:$N$6)</f>
        <v>88765.00377633465</v>
      </c>
      <c r="H11" s="71">
        <f>SUMPRODUCT('Денежный поток'!E110:N110,'Денежный поток'!$E$6:$N$6)</f>
        <v>88765.00377633465</v>
      </c>
    </row>
    <row r="12">
      <c r="B12" s="22" t="inlineStr">
        <is>
          <t>NPV транспортного налога</t>
        </is>
      </c>
      <c r="C12" s="26" t="inlineStr">
        <is>
          <t>тыс.руб</t>
        </is>
      </c>
      <c r="D12" s="71">
        <f>SUMPRODUCT('Денежный поток'!E19:N19,'Денежный поток'!$E$6:$N$6)</f>
        <v>67.80267634093036</v>
      </c>
      <c r="E12" s="71">
        <f>SUMPRODUCT('Денежный поток'!E42:N42,'Денежный поток'!$E$6:$N$6)</f>
        <v>67.80267634093036</v>
      </c>
      <c r="F12" s="71">
        <f>SUMPRODUCT('Денежный поток'!E65:N65,'Денежный поток'!$E$6:$N$6)</f>
        <v>67.80267634093036</v>
      </c>
      <c r="G12" s="71">
        <f>SUMPRODUCT('Денежный поток'!E88:N88,'Денежный поток'!$E$6:$N$6)</f>
        <v>67.80267634093036</v>
      </c>
      <c r="H12" s="71">
        <f>SUMPRODUCT('Денежный поток'!E111:N111,'Денежный поток'!$E$6:$N$6)</f>
        <v>68.7934429489622</v>
      </c>
    </row>
    <row r="13">
      <c r="B13" s="22" t="inlineStr">
        <is>
          <t>NPV налога (щит)</t>
        </is>
      </c>
      <c r="C13" s="26" t="inlineStr">
        <is>
          <t>тыс.руб</t>
        </is>
      </c>
      <c r="D13" s="71">
        <f>SUMPRODUCT('Денежный поток'!E23:N23,'Денежный поток'!$E$6:$N$6)</f>
        <v>-144477.95302768162</v>
      </c>
      <c r="E13" s="71">
        <f>SUMPRODUCT('Денежный поток'!E46:N46,'Денежный поток'!$E$6:$N$6)</f>
        <v>-159222.05522808555</v>
      </c>
      <c r="F13" s="71">
        <f>SUMPRODUCT('Денежный поток'!E69:N69,'Денежный поток'!$E$6:$N$6)</f>
        <v>-161839.42381558625</v>
      </c>
      <c r="G13" s="71">
        <f>SUMPRODUCT('Денежный поток'!E92:N92,'Денежный поток'!$E$6:$N$6)</f>
        <v>-203409.2816893514</v>
      </c>
      <c r="H13" s="71">
        <f>SUMPRODUCT('Денежный поток'!E115:N115,'Денежный поток'!$E$6:$N$6)</f>
        <v>-179054.99660000115</v>
      </c>
    </row>
    <row r="14">
      <c r="B14" s="22" t="inlineStr">
        <is>
          <t>NPV инвестиций (за вычетом остат.)</t>
        </is>
      </c>
      <c r="C14" s="26" t="inlineStr">
        <is>
          <t>тыс.руб</t>
        </is>
      </c>
      <c r="D14" s="71">
        <f>'Производительность'!D5*(1-'Ввод данных'!D14*'Денежный поток'!$N$6)</f>
        <v>207820.0</v>
      </c>
      <c r="E14" s="71">
        <f>'Производительность'!E5*(1-'Ввод данных'!E14*'Денежный поток'!$N$6)</f>
        <v>138793.0</v>
      </c>
      <c r="F14" s="71">
        <f>'Производительность'!F5*(1-'Ввод данных'!F14*'Денежный поток'!$N$6)</f>
        <v>147750.0</v>
      </c>
      <c r="G14" s="71">
        <f>'Производительность'!G5*(1-'Ввод данных'!G14*'Денежный поток'!$N$6)</f>
        <v>206000.0</v>
      </c>
      <c r="H14" s="71">
        <f>'Производительность'!H5*(1-'Ввод данных'!H14*'Денежный поток'!$N$6)</f>
        <v>236876.0</v>
      </c>
    </row>
    <row r="15">
      <c r="B15" s="23" t="inlineStr">
        <is>
          <t>NPV операционных затрат</t>
        </is>
      </c>
      <c r="C15" s="26" t="inlineStr">
        <is>
          <t>тыс.руб</t>
        </is>
      </c>
      <c r="D15" s="81">
        <f>D6+D7+D8+D9+D10+D11+D12+D13</f>
        <v>284332.2456700222</v>
      </c>
      <c r="E15" s="81">
        <f>E6+E7+E8+E9+E10+E11+E12+E13</f>
        <v>378088.35685722536</v>
      </c>
      <c r="F15" s="81">
        <f>F6+F7+F8+F9+F10+F11+F12+F13</f>
        <v>379514.2132147595</v>
      </c>
      <c r="G15" s="81">
        <f>G6+G7+G8+G9+G10+G11+G12+G13</f>
        <v>462432.0007648944</v>
      </c>
      <c r="H15" s="81">
        <f>H6+H7+H8+H9+H10+H11+H12+H13</f>
        <v>367216.9877846866</v>
      </c>
    </row>
    <row r="16">
      <c r="B16" s="57" t="inlineStr">
        <is>
          <t>NPV полной стоимости владения</t>
        </is>
      </c>
      <c r="C16" s="26" t="inlineStr">
        <is>
          <t>тыс.руб</t>
        </is>
      </c>
      <c r="D16" s="83">
        <f>D14+D15</f>
        <v>492152.2456700222</v>
      </c>
      <c r="E16" s="83">
        <f>E14+E15</f>
        <v>516881.35685722536</v>
      </c>
      <c r="F16" s="83">
        <f>F14+F15</f>
        <v>527264.2132147595</v>
      </c>
      <c r="G16" s="83">
        <f>G14+G15</f>
        <v>668432.0007648944</v>
      </c>
      <c r="H16" s="83">
        <f>H14+H15</f>
        <v>604092.9877846866</v>
      </c>
    </row>
    <row r="17">
      <c r="B17" s="22" t="inlineStr">
        <is>
          <t>Средний годовой объём бурения</t>
        </is>
      </c>
      <c r="C17" s="26" t="inlineStr">
        <is>
          <t>тыс.пог.м/год</t>
        </is>
      </c>
      <c r="D17" s="71">
        <f>AVERAGE('Денежный поток'!E11:N11)</f>
        <v>104.53469508570285</v>
      </c>
      <c r="E17" s="71">
        <f>AVERAGE('Денежный поток'!E34:N34)</f>
        <v>107.37924057859365</v>
      </c>
      <c r="F17" s="71">
        <f>AVERAGE('Денежный поток'!E57:N57)</f>
        <v>122.3191617479938</v>
      </c>
      <c r="G17" s="71">
        <f>AVERAGE('Денежный поток'!E80:N80)</f>
        <v>127.2768578613443</v>
      </c>
      <c r="H17" s="71">
        <f>AVERAGE('Денежный поток'!E103:N103)</f>
        <v>99.64044159166623</v>
      </c>
    </row>
    <row r="18">
      <c r="B18" s="22" t="inlineStr">
        <is>
          <t>Средний годовой объём взрывания</t>
        </is>
      </c>
      <c r="C18" s="26" t="inlineStr">
        <is>
          <t>тыс.м³/год</t>
        </is>
      </c>
      <c r="D18" s="71">
        <f>D17*'Параметры'!C35</f>
        <v>5170.808692414292</v>
      </c>
      <c r="E18" s="71">
        <f>E17*'Параметры'!C35</f>
        <v>5311.514135220135</v>
      </c>
      <c r="F18" s="71">
        <f>F17*'Параметры'!C35</f>
        <v>6050.517335864514</v>
      </c>
      <c r="G18" s="71">
        <f>G17*'Параметры'!C35</f>
        <v>6295.749774111396</v>
      </c>
      <c r="H18" s="71">
        <f>H17*'Параметры'!C35</f>
        <v>4928.714443331771</v>
      </c>
    </row>
    <row r="19">
      <c r="B19" s="5" t="inlineStr">
        <is>
          <t>УДЕЛЬНЫЙ АННУИТЕТ (руб/пог.м) — ГЛАВНЫЙ КРИТЕРИЙ</t>
        </is>
      </c>
      <c r="C19" s="4" t="n"/>
      <c r="D19" s="4" t="n"/>
      <c r="E19" s="4" t="n"/>
      <c r="F19" s="4" t="n"/>
      <c r="G19" s="4" t="n"/>
      <c r="H19" s="4" t="n"/>
    </row>
    <row r="20">
      <c r="B20" s="22" t="inlineStr">
        <is>
          <t>Инвестиционный (по сроку службы)</t>
        </is>
      </c>
      <c r="C20" s="26" t="inlineStr">
        <is>
          <t>руб/пог.м</t>
        </is>
      </c>
      <c r="D20" s="73">
        <f>D14/(IF('Параметры'!C6=0,12,(1-(1+'Параметры'!C6)^-12)/'Параметры'!C6))/D17</f>
        <v>320.94413559707004</v>
      </c>
      <c r="E20" s="73">
        <f>E14/(IF('Параметры'!C6=0,12,(1-(1+'Параметры'!C6)^-12)/'Параметры'!C6))/E17</f>
        <v>208.6650894126383</v>
      </c>
      <c r="F20" s="73">
        <f>F14/(IF('Параметры'!C6=0,12,(1-(1+'Параметры'!C6)^-12)/'Параметры'!C6))/F17</f>
        <v>195.0004233282287</v>
      </c>
      <c r="G20" s="73">
        <f>G14/(IF('Параметры'!C6=0,12,(1-(1+'Параметры'!C6)^-12)/'Параметры'!C6))/G17</f>
        <v>261.2885242703922</v>
      </c>
      <c r="H20" s="73">
        <f>H14/(IF('Параметры'!C6=0,10,(1-(1+'Параметры'!C6)^-10)/'Параметры'!C6))/H17</f>
        <v>420.7458357253368</v>
      </c>
    </row>
    <row r="21">
      <c r="B21" s="22" t="inlineStr">
        <is>
          <t>Топливо/энергия</t>
        </is>
      </c>
      <c r="C21" s="26" t="inlineStr">
        <is>
          <t>руб/пог.м</t>
        </is>
      </c>
      <c r="D21" s="73">
        <f>D6/'Параметры'!C39/D17</f>
        <v>304.21360957448064</v>
      </c>
      <c r="E21" s="73">
        <f>E6/'Параметры'!C39/E17</f>
        <v>282.94218535218187</v>
      </c>
      <c r="F21" s="73">
        <f>F6/'Параметры'!C39/F17</f>
        <v>254.2341145391495</v>
      </c>
      <c r="G21" s="73">
        <f>G6/'Параметры'!C39/G17</f>
        <v>255.2349986266362</v>
      </c>
      <c r="H21" s="73">
        <f>H6/'Параметры'!C39/H17</f>
        <v>308.16137222148143</v>
      </c>
    </row>
    <row r="22">
      <c r="B22" s="22" t="inlineStr">
        <is>
          <t>ТОиР + капремонты</t>
        </is>
      </c>
      <c r="C22" s="26" t="inlineStr">
        <is>
          <t>руб/пог.м</t>
        </is>
      </c>
      <c r="D22" s="73">
        <f>D7/'Параметры'!C39/D17</f>
        <v>271.3906388561371</v>
      </c>
      <c r="E22" s="73">
        <f>E7/'Параметры'!C39/E17</f>
        <v>456.2457037557192</v>
      </c>
      <c r="F22" s="73">
        <f>F7/'Параметры'!C39/F17</f>
        <v>400.52038034293236</v>
      </c>
      <c r="G22" s="73">
        <f>G7/'Параметры'!C39/G17</f>
        <v>547.1210977937718</v>
      </c>
      <c r="H22" s="73">
        <f>H7/'Параметры'!C39/H17</f>
        <v>504.35324450453123</v>
      </c>
    </row>
    <row r="23">
      <c r="B23" s="22" t="inlineStr">
        <is>
          <t>Долота</t>
        </is>
      </c>
      <c r="C23" s="26" t="inlineStr">
        <is>
          <t>руб/пог.м</t>
        </is>
      </c>
      <c r="D23" s="73">
        <f>D8/'Параметры'!C39/D17</f>
        <v>0.0</v>
      </c>
      <c r="E23" s="73">
        <f>E8/'Параметры'!C39/E17</f>
        <v>0.0</v>
      </c>
      <c r="F23" s="73">
        <f>F8/'Параметры'!C39/F17</f>
        <v>0.0</v>
      </c>
      <c r="G23" s="73">
        <f>G8/'Параметры'!C39/G17</f>
        <v>0.0</v>
      </c>
      <c r="H23" s="73">
        <f>H8/'Параметры'!C39/H17</f>
        <v>0.0</v>
      </c>
    </row>
    <row r="24">
      <c r="B24" s="22" t="inlineStr">
        <is>
          <t>Штанги/адаптеры</t>
        </is>
      </c>
      <c r="C24" s="26" t="inlineStr">
        <is>
          <t>руб/пог.м</t>
        </is>
      </c>
      <c r="D24" s="73">
        <f>D9/'Параметры'!C39/D17</f>
        <v>0.0</v>
      </c>
      <c r="E24" s="73">
        <f>E9/'Параметры'!C39/E17</f>
        <v>0.0</v>
      </c>
      <c r="F24" s="73">
        <f>F9/'Параметры'!C39/F17</f>
        <v>0.0</v>
      </c>
      <c r="G24" s="73">
        <f>G9/'Параметры'!C39/G17</f>
        <v>0.0</v>
      </c>
      <c r="H24" s="73">
        <f>H9/'Параметры'!C39/H17</f>
        <v>0.0</v>
      </c>
    </row>
    <row r="25">
      <c r="B25" s="22" t="inlineStr">
        <is>
          <t>Расходники</t>
        </is>
      </c>
      <c r="C25" s="26" t="inlineStr">
        <is>
          <t>руб/пог.м</t>
        </is>
      </c>
      <c r="D25" s="73">
        <f>D10/'Параметры'!C39/D17</f>
        <v>0.0</v>
      </c>
      <c r="E25" s="73">
        <f>E10/'Параметры'!C39/E17</f>
        <v>0.0</v>
      </c>
      <c r="F25" s="73">
        <f>F10/'Параметры'!C39/F17</f>
        <v>0.0</v>
      </c>
      <c r="G25" s="73">
        <f>G10/'Параметры'!C39/G17</f>
        <v>0.0</v>
      </c>
      <c r="H25" s="73">
        <f>H10/'Параметры'!C39/H17</f>
        <v>0.0</v>
      </c>
    </row>
    <row r="26">
      <c r="B26" s="22" t="inlineStr">
        <is>
          <t>Персонал</t>
        </is>
      </c>
      <c r="C26" s="26" t="inlineStr">
        <is>
          <t>руб/пог.м</t>
        </is>
      </c>
      <c r="D26" s="73">
        <f>D11/'Параметры'!C39/D17</f>
        <v>150.28503203764197</v>
      </c>
      <c r="E26" s="73">
        <f>E11/'Параметры'!C39/E17</f>
        <v>146.30388439468828</v>
      </c>
      <c r="F26" s="73">
        <f>F11/'Параметры'!C39/F17</f>
        <v>128.43449689727498</v>
      </c>
      <c r="G26" s="73">
        <f>G11/'Параметры'!C39/G17</f>
        <v>123.43170835592514</v>
      </c>
      <c r="H26" s="73">
        <f>H11/'Параметры'!C39/H17</f>
        <v>157.6669046126944</v>
      </c>
    </row>
    <row r="27">
      <c r="B27" s="22" t="inlineStr">
        <is>
          <t>Транспортный налог</t>
        </is>
      </c>
      <c r="C27" s="26" t="inlineStr">
        <is>
          <t>руб/пог.м</t>
        </is>
      </c>
      <c r="D27" s="73">
        <f>D12/'Параметры'!C39/D17</f>
        <v>0.11479442294409319</v>
      </c>
      <c r="E27" s="73">
        <f>E12/'Параметры'!C39/E17</f>
        <v>0.11175344447716486</v>
      </c>
      <c r="F27" s="73">
        <f>F12/'Параметры'!C39/F17</f>
        <v>0.09810400781459581</v>
      </c>
      <c r="G27" s="73">
        <f>G12/'Параметры'!C39/G17</f>
        <v>0.09428265437753673</v>
      </c>
      <c r="H27" s="73">
        <f>H12/'Параметры'!C39/H17</f>
        <v>0.12219285468339713</v>
      </c>
    </row>
    <row r="28">
      <c r="B28" s="22" t="inlineStr">
        <is>
          <t>Налог на прибыль (щит)</t>
        </is>
      </c>
      <c r="C28" s="26" t="inlineStr">
        <is>
          <t>руб/пог.м</t>
        </is>
      </c>
      <c r="D28" s="73">
        <f>D13/'Параметры'!C39/D17</f>
        <v>-244.61074607971645</v>
      </c>
      <c r="E28" s="73">
        <f>E13/'Параметры'!C39/E17</f>
        <v>-262.43231194887926</v>
      </c>
      <c r="F28" s="73">
        <f>F13/'Параметры'!C39/F17</f>
        <v>-234.16621519303433</v>
      </c>
      <c r="G28" s="73">
        <f>G13/'Параметры'!C39/G17</f>
        <v>-282.8497050214961</v>
      </c>
      <c r="H28" s="73">
        <f>H13/'Параметры'!C39/H17</f>
        <v>-318.0425378057077</v>
      </c>
    </row>
    <row r="29">
      <c r="B29" s="23" t="inlineStr">
        <is>
          <t>Операционный аннуитет</t>
        </is>
      </c>
      <c r="C29" s="26" t="inlineStr">
        <is>
          <t>руб/пог.м</t>
        </is>
      </c>
      <c r="D29" s="84">
        <f>D15/'Параметры'!C39/D17</f>
        <v>481.39332881148727</v>
      </c>
      <c r="E29" s="84">
        <f>E15/'Параметры'!C39/E17</f>
        <v>623.1712149981873</v>
      </c>
      <c r="F29" s="84">
        <f>F15/'Параметры'!C39/F17</f>
        <v>549.1208805941371</v>
      </c>
      <c r="G29" s="84">
        <f>G15/'Параметры'!C39/G17</f>
        <v>643.0323824092146</v>
      </c>
      <c r="H29" s="84">
        <f>H15/'Параметры'!C39/H17</f>
        <v>652.2611763876829</v>
      </c>
    </row>
    <row r="30">
      <c r="B30" s="57" t="inlineStr">
        <is>
          <t>ОБЩИЙ АННУИТЕТ</t>
        </is>
      </c>
      <c r="C30" s="26" t="inlineStr">
        <is>
          <t>руб/пог.м</t>
        </is>
      </c>
      <c r="D30" s="74">
        <f>D20+D29</f>
        <v>802.3374644085573</v>
      </c>
      <c r="E30" s="74">
        <f>E20+E29</f>
        <v>831.8363044108256</v>
      </c>
      <c r="F30" s="74">
        <f>F20+F29</f>
        <v>744.1213039223658</v>
      </c>
      <c r="G30" s="74">
        <f>G20+G29</f>
        <v>904.3209066796069</v>
      </c>
      <c r="H30" s="74">
        <f>H20+H29</f>
        <v>1073.0070121130198</v>
      </c>
    </row>
    <row r="31">
      <c r="B31" s="5" t="inlineStr">
        <is>
          <t>ДОПОЛНИТЕЛЬНЫЕ ПОКАЗАТЕЛИ</t>
        </is>
      </c>
      <c r="C31" s="4" t="n"/>
      <c r="D31" s="4" t="n"/>
      <c r="E31" s="4" t="n"/>
      <c r="F31" s="4" t="n"/>
      <c r="G31" s="4" t="n"/>
      <c r="H31" s="4" t="n"/>
    </row>
    <row r="32">
      <c r="B32" s="23" t="inlineStr">
        <is>
          <t>Удельный аннуитет на м³ (взрывание)</t>
        </is>
      </c>
      <c r="C32" s="26" t="inlineStr">
        <is>
          <t>руб/м³</t>
        </is>
      </c>
      <c r="D32" s="84">
        <f>D30/'Параметры'!C35</f>
        <v>16.220306568453598</v>
      </c>
      <c r="E32" s="84">
        <f>E30/'Параметры'!C35</f>
        <v>16.81666439726727</v>
      </c>
      <c r="F32" s="84">
        <f>F30/'Параметры'!C35</f>
        <v>15.043390355248473</v>
      </c>
      <c r="G32" s="84">
        <f>G30/'Параметры'!C35</f>
        <v>18.282035917913813</v>
      </c>
      <c r="H32" s="84">
        <f>H30/'Параметры'!C35</f>
        <v>21.692247288244612</v>
      </c>
    </row>
    <row r="33">
      <c r="B33" s="22" t="inlineStr">
        <is>
          <t>Себестоимость (без дисконта)</t>
        </is>
      </c>
      <c r="C33" s="26" t="inlineStr">
        <is>
          <t>руб/пог.м</t>
        </is>
      </c>
      <c r="D33" s="73">
        <f>AVERAGE('Денежный поток'!E20:N20)/D17</f>
        <v>743.3719338803706</v>
      </c>
      <c r="E33" s="73">
        <f>AVERAGE('Денежный поток'!E43:N43)/E17</f>
        <v>916.6031068348548</v>
      </c>
      <c r="F33" s="73">
        <f>AVERAGE('Денежный поток'!E66:N66)/F17</f>
        <v>810.4825569417965</v>
      </c>
      <c r="G33" s="73">
        <f>AVERAGE('Денежный поток'!E89:N89)/G17</f>
        <v>962.1503306032918</v>
      </c>
      <c r="H33" s="73">
        <f>AVERAGE('Денежный поток'!E112:N112)/H17</f>
        <v>1004.6089705926942</v>
      </c>
    </row>
    <row r="34">
      <c r="B34" s="22" t="inlineStr">
        <is>
          <t>Доля инвестиций в аннуитете</t>
        </is>
      </c>
      <c r="C34" s="26" t="inlineStr">
        <is>
          <t>%</t>
        </is>
      </c>
      <c r="D34" s="75">
        <f>D20/D30</f>
        <v>0.4000114039715868</v>
      </c>
      <c r="E34" s="75">
        <f>E20/E30</f>
        <v>0.25084874067913154</v>
      </c>
      <c r="F34" s="75">
        <f>F20/F30</f>
        <v>0.2620546170367044</v>
      </c>
      <c r="G34" s="75">
        <f>G20/G30</f>
        <v>0.288933411071701</v>
      </c>
      <c r="H34" s="75">
        <f>H20/H30</f>
        <v>0.3921184400247141</v>
      </c>
    </row>
  </sheetData>
  <mergeCells count="5">
    <mergeCell ref="B1:K1"/>
    <mergeCell ref="B19:H19"/>
    <mergeCell ref="B2:K2"/>
    <mergeCell ref="B5:H5"/>
    <mergeCell ref="B31:H3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СРАВНИТЕЛЬНЫЙ АНАЛИЗ БУРОВЫХ СТАНКОВ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(руб/пог.м).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22" t="inlineStr">
        <is>
          <t>Стоимость (в рублях)</t>
        </is>
      </c>
      <c r="C5" s="26" t="inlineStr">
        <is>
          <t>тыс.руб</t>
        </is>
      </c>
      <c r="D5" s="71">
        <f>'Производительность'!D5</f>
        <v>207820.0</v>
      </c>
      <c r="E5" s="71">
        <f>'Производительность'!E5</f>
        <v>138793.0</v>
      </c>
      <c r="F5" s="71">
        <f>'Производительность'!F5</f>
        <v>147750.0</v>
      </c>
      <c r="G5" s="71">
        <f>'Производительность'!G5</f>
        <v>206000.0</v>
      </c>
      <c r="H5" s="71">
        <f>'Производительность'!H5</f>
        <v>236876.0</v>
      </c>
    </row>
    <row r="6">
      <c r="B6" s="22" t="inlineStr">
        <is>
          <t>Часовая производительность</t>
        </is>
      </c>
      <c r="C6" s="26" t="inlineStr">
        <is>
          <t>п.м/час</t>
        </is>
      </c>
      <c r="D6" s="73">
        <f>'Производительность'!D12</f>
        <v>16.306892944498475</v>
      </c>
      <c r="E6" s="73">
        <f>'Производительность'!E12</f>
        <v>17.588489626403494</v>
      </c>
      <c r="F6" s="73">
        <f>'Производительность'!F12</f>
        <v>20.03561671625241</v>
      </c>
      <c r="G6" s="73">
        <f>'Производительность'!G12</f>
        <v>20.03561671625241</v>
      </c>
      <c r="H6" s="73">
        <f>'Производительность'!H12</f>
        <v>16.306892944498475</v>
      </c>
    </row>
    <row r="7">
      <c r="B7" s="22" t="inlineStr">
        <is>
          <t>Средний годовой объём бурения</t>
        </is>
      </c>
      <c r="C7" s="26" t="inlineStr">
        <is>
          <t>тыс.пог.м</t>
        </is>
      </c>
      <c r="D7" s="71">
        <f>'Расчёт аннуитета'!D17</f>
        <v>104.53469508570285</v>
      </c>
      <c r="E7" s="71">
        <f>'Расчёт аннуитета'!E17</f>
        <v>107.37924057859365</v>
      </c>
      <c r="F7" s="71">
        <f>'Расчёт аннуитета'!F17</f>
        <v>122.3191617479938</v>
      </c>
      <c r="G7" s="71">
        <f>'Расчёт аннуитета'!G17</f>
        <v>127.2768578613443</v>
      </c>
      <c r="H7" s="71">
        <f>'Расчёт аннуитета'!H17</f>
        <v>99.64044159166623</v>
      </c>
    </row>
    <row r="8">
      <c r="B8" s="22" t="inlineStr">
        <is>
          <t>NPV стоимости владения</t>
        </is>
      </c>
      <c r="C8" s="26" t="inlineStr">
        <is>
          <t>тыс.руб</t>
        </is>
      </c>
      <c r="D8" s="71">
        <f>'Расчёт аннуитета'!D16</f>
        <v>492152.2456700222</v>
      </c>
      <c r="E8" s="71">
        <f>'Расчёт аннуитета'!E16</f>
        <v>516881.35685722536</v>
      </c>
      <c r="F8" s="71">
        <f>'Расчёт аннуитета'!F16</f>
        <v>527264.2132147595</v>
      </c>
      <c r="G8" s="71">
        <f>'Расчёт аннуитета'!G16</f>
        <v>668432.0007648944</v>
      </c>
      <c r="H8" s="71">
        <f>'Расчёт аннуитета'!H16</f>
        <v>604092.9877846866</v>
      </c>
    </row>
    <row r="9">
      <c r="B9" s="22" t="inlineStr">
        <is>
          <t>Себестоимость (без дисконта)</t>
        </is>
      </c>
      <c r="C9" s="26" t="inlineStr">
        <is>
          <t>руб/пог.м</t>
        </is>
      </c>
      <c r="D9" s="73">
        <f>'Расчёт аннуитета'!D33</f>
        <v>743.3719338803706</v>
      </c>
      <c r="E9" s="73">
        <f>'Расчёт аннуитета'!E33</f>
        <v>916.6031068348548</v>
      </c>
      <c r="F9" s="73">
        <f>'Расчёт аннуитета'!F33</f>
        <v>810.4825569417965</v>
      </c>
      <c r="G9" s="73">
        <f>'Расчёт аннуитета'!G33</f>
        <v>962.1503306032918</v>
      </c>
      <c r="H9" s="73">
        <f>'Расчёт аннуитета'!H33</f>
        <v>1004.6089705926942</v>
      </c>
    </row>
    <row r="10">
      <c r="B10" s="22" t="inlineStr">
        <is>
          <t>Инвестиционный аннуитет</t>
        </is>
      </c>
      <c r="C10" s="26" t="inlineStr">
        <is>
          <t>руб/пог.м</t>
        </is>
      </c>
      <c r="D10" s="73">
        <f>'Расчёт аннуитета'!D20</f>
        <v>320.94413559707004</v>
      </c>
      <c r="E10" s="73">
        <f>'Расчёт аннуитета'!E20</f>
        <v>208.6650894126383</v>
      </c>
      <c r="F10" s="73">
        <f>'Расчёт аннуитета'!F20</f>
        <v>195.0004233282287</v>
      </c>
      <c r="G10" s="73">
        <f>'Расчёт аннуитета'!G20</f>
        <v>261.2885242703922</v>
      </c>
      <c r="H10" s="73">
        <f>'Расчёт аннуитета'!H20</f>
        <v>420.7458357253368</v>
      </c>
    </row>
    <row r="11">
      <c r="B11" s="22" t="inlineStr">
        <is>
          <t>Операционный аннуитет</t>
        </is>
      </c>
      <c r="C11" s="26" t="inlineStr">
        <is>
          <t>руб/пог.м</t>
        </is>
      </c>
      <c r="D11" s="73">
        <f>'Расчёт аннуитета'!D29</f>
        <v>481.39332881148727</v>
      </c>
      <c r="E11" s="73">
        <f>'Расчёт аннуитета'!E29</f>
        <v>623.1712149981873</v>
      </c>
      <c r="F11" s="73">
        <f>'Расчёт аннуитета'!F29</f>
        <v>549.1208805941371</v>
      </c>
      <c r="G11" s="73">
        <f>'Расчёт аннуитета'!G29</f>
        <v>643.0323824092146</v>
      </c>
      <c r="H11" s="73">
        <f>'Расчёт аннуитета'!H29</f>
        <v>652.2611763876829</v>
      </c>
    </row>
    <row r="12">
      <c r="B12" s="23" t="inlineStr">
        <is>
          <t>ОБЩИЙ АННУИТЕТ</t>
        </is>
      </c>
      <c r="C12" s="26" t="inlineStr">
        <is>
          <t>руб/пог.м</t>
        </is>
      </c>
      <c r="D12" s="85">
        <f>'Расчёт аннуитета'!D30</f>
        <v>802.3374644085573</v>
      </c>
      <c r="E12" s="85">
        <f>'Расчёт аннуитета'!E30</f>
        <v>831.8363044108256</v>
      </c>
      <c r="F12" s="85">
        <f>'Расчёт аннуитета'!F30</f>
        <v>744.1213039223658</v>
      </c>
      <c r="G12" s="85">
        <f>'Расчёт аннуитета'!G30</f>
        <v>904.3209066796069</v>
      </c>
      <c r="H12" s="85">
        <f>'Расчёт аннуитета'!H30</f>
        <v>1073.0070121130198</v>
      </c>
    </row>
    <row r="13">
      <c r="B13" s="22" t="inlineStr">
        <is>
          <t>Аннуитет на м³ (взрывание)</t>
        </is>
      </c>
      <c r="C13" s="26" t="inlineStr">
        <is>
          <t>руб/м³</t>
        </is>
      </c>
      <c r="D13" s="73">
        <f>'Расчёт аннуитета'!D32</f>
        <v>16.220306568453598</v>
      </c>
      <c r="E13" s="73">
        <f>'Расчёт аннуитета'!E32</f>
        <v>16.81666439726727</v>
      </c>
      <c r="F13" s="73">
        <f>'Расчёт аннуитета'!F32</f>
        <v>15.043390355248473</v>
      </c>
      <c r="G13" s="73">
        <f>'Расчёт аннуитета'!G32</f>
        <v>18.282035917913813</v>
      </c>
      <c r="H13" s="73">
        <f>'Расчёт аннуитета'!H32</f>
        <v>21.692247288244612</v>
      </c>
    </row>
    <row r="14">
      <c r="B14" s="5" t="inlineStr">
        <is>
          <t>РАНЖИРОВАНИЕ (критерий: минимум аннуитета руб/пог.м)</t>
        </is>
      </c>
      <c r="C14" s="4" t="n"/>
      <c r="D14" s="4" t="n"/>
      <c r="E14" s="4" t="n"/>
      <c r="F14" s="4" t="n"/>
      <c r="G14" s="4" t="n"/>
      <c r="H14" s="4" t="n"/>
    </row>
    <row r="15">
      <c r="B15" s="86" t="inlineStr">
        <is>
          <t>Место в рейтинге</t>
        </is>
      </c>
      <c r="D15" s="18">
        <f>RANK(D12,D12:H12,1)</f>
        <v>2.0</v>
      </c>
      <c r="E15" s="18">
        <f>RANK(E12,D12:H12,1)</f>
        <v>3.0</v>
      </c>
      <c r="F15" s="18">
        <f>RANK(F12,D12:H12,1)</f>
        <v>1.0</v>
      </c>
      <c r="G15" s="18">
        <f>RANK(G12,D12:H12,1)</f>
        <v>4.0</v>
      </c>
      <c r="H15" s="18">
        <f>RANK(H12,D12:H12,1)</f>
        <v>5.0</v>
      </c>
    </row>
    <row r="16">
      <c r="B16" s="87" t="inlineStr">
        <is>
          <t>Отклонение от лучшего</t>
        </is>
      </c>
      <c r="D16" s="88">
        <f>D12/MIN(D12:H12)-1</f>
        <v>0.07823477191060935</v>
      </c>
      <c r="E16" s="88">
        <f>E12/MIN(D12:H12)-1</f>
        <v>0.11787728697740807</v>
      </c>
      <c r="F16" s="88">
        <f>F12/MIN(D12:H12)-1</f>
        <v>0.0</v>
      </c>
      <c r="G16" s="88">
        <f>G12/MIN(D12:H12)-1</f>
        <v>0.21528694570738272</v>
      </c>
      <c r="H16" s="88">
        <f>H12/MIN(D12:H12)-1</f>
        <v>0.4419786215729238</v>
      </c>
    </row>
    <row r="18">
      <c r="B18" s="89" t="inlineStr">
        <is>
          <t>РЕКОМЕНДУЕМЫЙ ВАРИАНТ:</t>
        </is>
      </c>
      <c r="C18" s="90" t="str">
        <f>INDEX(D4:H4,MATCH(MIN(D12:H12),D12:H12,0))&amp;"  ("&amp;TEXT(MIN(D12:H12),"0.00")&amp;" руб/пог.м)"</f>
        <v>Sunward
SWDRT270SM  (744.12 руб/пог.м)</v>
      </c>
      <c r="D18" s="91" t="n"/>
      <c r="E18" s="91" t="n"/>
      <c r="F18" s="91" t="n"/>
      <c r="G18" s="91" t="n"/>
      <c r="H18" s="91" t="n"/>
    </row>
    <row r="20">
      <c r="B20" s="5" t="inlineStr">
        <is>
          <t>СТРУКТУРА УДЕЛЬНОГО АННУИТЕТА (руб/пог.м)</t>
        </is>
      </c>
      <c r="C20" s="4" t="n"/>
      <c r="D20" s="4" t="n"/>
      <c r="E20" s="4" t="n"/>
      <c r="F20" s="4" t="n"/>
      <c r="G20" s="4" t="n"/>
      <c r="H20" s="4" t="n"/>
    </row>
    <row r="21">
      <c r="B21" s="92" t="inlineStr">
        <is>
          <t>Статья</t>
        </is>
      </c>
      <c r="D21" s="15" t="str">
        <f>'Ввод данных'!D7</f>
        <v>YANGZI DR75
(аналог Epiroc DM75)</v>
      </c>
      <c r="E21" s="15" t="str">
        <f>'Ввод данных'!E7</f>
        <v>Sunward
SWDRT250SM</v>
      </c>
      <c r="F21" s="15" t="str">
        <f>'Ввод данных'!F7</f>
        <v>Sunward
SWDRT270SM</v>
      </c>
      <c r="G21" s="15" t="str">
        <f>'Ввод данных'!G7</f>
        <v>Sunward
SWDRT270B</v>
      </c>
      <c r="H21" s="15" t="str">
        <f>'Ввод данных'!H7</f>
        <v>HIFO 75D
(аналог DM75)</v>
      </c>
    </row>
    <row r="22">
      <c r="B22" s="22" t="inlineStr">
        <is>
          <t>Инвестиционный</t>
        </is>
      </c>
      <c r="D22" s="73">
        <f>'Расчёт аннуитета'!D20</f>
        <v>320.94413559707004</v>
      </c>
      <c r="E22" s="73">
        <f>'Расчёт аннуитета'!E20</f>
        <v>208.6650894126383</v>
      </c>
      <c r="F22" s="73">
        <f>'Расчёт аннуитета'!F20</f>
        <v>195.0004233282287</v>
      </c>
      <c r="G22" s="73">
        <f>'Расчёт аннуитета'!G20</f>
        <v>261.2885242703922</v>
      </c>
      <c r="H22" s="73">
        <f>'Расчёт аннуитета'!H20</f>
        <v>420.7458357253368</v>
      </c>
    </row>
    <row r="23">
      <c r="B23" s="22" t="inlineStr">
        <is>
          <t>Топливо/энергия</t>
        </is>
      </c>
      <c r="D23" s="73">
        <f>'Расчёт аннуитета'!D21</f>
        <v>304.21360957448064</v>
      </c>
      <c r="E23" s="73">
        <f>'Расчёт аннуитета'!E21</f>
        <v>282.94218535218187</v>
      </c>
      <c r="F23" s="73">
        <f>'Расчёт аннуитета'!F21</f>
        <v>254.2341145391495</v>
      </c>
      <c r="G23" s="73">
        <f>'Расчёт аннуитета'!G21</f>
        <v>255.2349986266362</v>
      </c>
      <c r="H23" s="73">
        <f>'Расчёт аннуитета'!H21</f>
        <v>308.16137222148143</v>
      </c>
    </row>
    <row r="24">
      <c r="B24" s="22" t="inlineStr">
        <is>
          <t>ТОиР + капремонты</t>
        </is>
      </c>
      <c r="D24" s="73">
        <f>'Расчёт аннуитета'!D22</f>
        <v>271.3906388561371</v>
      </c>
      <c r="E24" s="73">
        <f>'Расчёт аннуитета'!E22</f>
        <v>456.2457037557192</v>
      </c>
      <c r="F24" s="73">
        <f>'Расчёт аннуитета'!F22</f>
        <v>400.52038034293236</v>
      </c>
      <c r="G24" s="73">
        <f>'Расчёт аннуитета'!G22</f>
        <v>547.1210977937718</v>
      </c>
      <c r="H24" s="73">
        <f>'Расчёт аннуитета'!H22</f>
        <v>504.35324450453123</v>
      </c>
    </row>
    <row r="25">
      <c r="B25" s="22" t="inlineStr">
        <is>
          <t>Долота</t>
        </is>
      </c>
      <c r="D25" s="73">
        <f>'Расчёт аннуитета'!D23</f>
        <v>0.0</v>
      </c>
      <c r="E25" s="73">
        <f>'Расчёт аннуитета'!E23</f>
        <v>0.0</v>
      </c>
      <c r="F25" s="73">
        <f>'Расчёт аннуитета'!F23</f>
        <v>0.0</v>
      </c>
      <c r="G25" s="73">
        <f>'Расчёт аннуитета'!G23</f>
        <v>0.0</v>
      </c>
      <c r="H25" s="73">
        <f>'Расчёт аннуитета'!H23</f>
        <v>0.0</v>
      </c>
    </row>
    <row r="26">
      <c r="B26" s="22" t="inlineStr">
        <is>
          <t>Штанги/адаптеры</t>
        </is>
      </c>
      <c r="D26" s="73">
        <f>'Расчёт аннуитета'!D24</f>
        <v>0.0</v>
      </c>
      <c r="E26" s="73">
        <f>'Расчёт аннуитета'!E24</f>
        <v>0.0</v>
      </c>
      <c r="F26" s="73">
        <f>'Расчёт аннуитета'!F24</f>
        <v>0.0</v>
      </c>
      <c r="G26" s="73">
        <f>'Расчёт аннуитета'!G24</f>
        <v>0.0</v>
      </c>
      <c r="H26" s="73">
        <f>'Расчёт аннуитета'!H24</f>
        <v>0.0</v>
      </c>
    </row>
    <row r="27">
      <c r="B27" s="22" t="inlineStr">
        <is>
          <t>Расходники</t>
        </is>
      </c>
      <c r="D27" s="73">
        <f>'Расчёт аннуитета'!D25</f>
        <v>0.0</v>
      </c>
      <c r="E27" s="73">
        <f>'Расчёт аннуитета'!E25</f>
        <v>0.0</v>
      </c>
      <c r="F27" s="73">
        <f>'Расчёт аннуитета'!F25</f>
        <v>0.0</v>
      </c>
      <c r="G27" s="73">
        <f>'Расчёт аннуитета'!G25</f>
        <v>0.0</v>
      </c>
      <c r="H27" s="73">
        <f>'Расчёт аннуитета'!H25</f>
        <v>0.0</v>
      </c>
    </row>
    <row r="28">
      <c r="B28" s="22" t="inlineStr">
        <is>
          <t>Персонал</t>
        </is>
      </c>
      <c r="D28" s="73">
        <f>'Расчёт аннуитета'!D26</f>
        <v>150.28503203764197</v>
      </c>
      <c r="E28" s="73">
        <f>'Расчёт аннуитета'!E26</f>
        <v>146.30388439468828</v>
      </c>
      <c r="F28" s="73">
        <f>'Расчёт аннуитета'!F26</f>
        <v>128.43449689727498</v>
      </c>
      <c r="G28" s="73">
        <f>'Расчёт аннуитета'!G26</f>
        <v>123.43170835592514</v>
      </c>
      <c r="H28" s="73">
        <f>'Расчёт аннуитета'!H26</f>
        <v>157.6669046126944</v>
      </c>
    </row>
    <row r="29">
      <c r="B29" s="22" t="inlineStr">
        <is>
          <t>Транспортный налог</t>
        </is>
      </c>
      <c r="D29" s="73">
        <f>'Расчёт аннуитета'!D27</f>
        <v>0.11479442294409319</v>
      </c>
      <c r="E29" s="73">
        <f>'Расчёт аннуитета'!E27</f>
        <v>0.11175344447716486</v>
      </c>
      <c r="F29" s="73">
        <f>'Расчёт аннуитета'!F27</f>
        <v>0.09810400781459581</v>
      </c>
      <c r="G29" s="73">
        <f>'Расчёт аннуитета'!G27</f>
        <v>0.09428265437753673</v>
      </c>
      <c r="H29" s="73">
        <f>'Расчёт аннуитета'!H27</f>
        <v>0.12219285468339713</v>
      </c>
    </row>
    <row r="30">
      <c r="B30" s="22" t="inlineStr">
        <is>
          <t>Налог (щит)</t>
        </is>
      </c>
      <c r="D30" s="73">
        <f>'Расчёт аннуитета'!D28</f>
        <v>-244.61074607971645</v>
      </c>
      <c r="E30" s="73">
        <f>'Расчёт аннуитета'!E28</f>
        <v>-262.43231194887926</v>
      </c>
      <c r="F30" s="73">
        <f>'Расчёт аннуитета'!F28</f>
        <v>-234.16621519303433</v>
      </c>
      <c r="G30" s="73">
        <f>'Расчёт аннуитета'!G28</f>
        <v>-282.8497050214961</v>
      </c>
      <c r="H30" s="73">
        <f>'Расчёт аннуитета'!H28</f>
        <v>-318.0425378057077</v>
      </c>
    </row>
  </sheetData>
  <mergeCells count="5">
    <mergeCell ref="B14:H14"/>
    <mergeCell ref="B1:K1"/>
    <mergeCell ref="C18:H18"/>
    <mergeCell ref="B2:K2"/>
    <mergeCell ref="B20:H20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</row>
    <row r="6">
      <c r="B6" s="22" t="inlineStr">
        <is>
          <t>Цена (CAPEX)</t>
        </is>
      </c>
      <c r="C6" s="26" t="inlineStr">
        <is>
          <t>тыс.руб</t>
        </is>
      </c>
      <c r="D6" s="71">
        <f>'Производительность'!D5</f>
        <v>207820.0</v>
      </c>
      <c r="E6" s="71">
        <f>'Производительность'!E5</f>
        <v>138793.0</v>
      </c>
      <c r="F6" s="71">
        <f>'Производительность'!F5</f>
        <v>147750.0</v>
      </c>
      <c r="G6" s="71">
        <f>'Производительность'!G5</f>
        <v>206000.0</v>
      </c>
      <c r="H6" s="71">
        <f>'Производительность'!H5</f>
        <v>236876.0</v>
      </c>
    </row>
    <row r="7">
      <c r="B7" s="22" t="inlineStr">
        <is>
          <t>Средний годовой объём бурения</t>
        </is>
      </c>
      <c r="C7" s="26" t="inlineStr">
        <is>
          <t>тыс.пог.м</t>
        </is>
      </c>
      <c r="D7" s="71">
        <f>'Расчёт аннуитета'!D17</f>
        <v>104.53469508570285</v>
      </c>
      <c r="E7" s="71">
        <f>'Расчёт аннуитета'!E17</f>
        <v>107.37924057859365</v>
      </c>
      <c r="F7" s="71">
        <f>'Расчёт аннуитета'!F17</f>
        <v>122.3191617479938</v>
      </c>
      <c r="G7" s="71">
        <f>'Расчёт аннуитета'!G17</f>
        <v>127.2768578613443</v>
      </c>
      <c r="H7" s="71">
        <f>'Расчёт аннуитета'!H17</f>
        <v>99.64044159166623</v>
      </c>
    </row>
    <row r="8">
      <c r="B8" s="22" t="inlineStr">
        <is>
          <t>КТГ средний</t>
        </is>
      </c>
      <c r="C8" s="26" t="inlineStr">
        <is>
          <t>коэф.</t>
        </is>
      </c>
      <c r="D8" s="75">
        <f>AVERAGE('Данные по годам'!E7:N7)</f>
        <v>0.90518</v>
      </c>
      <c r="E8" s="75">
        <f>AVERAGE('Данные по годам'!E11:N11)</f>
        <v>0.8620599999999999</v>
      </c>
      <c r="F8" s="75">
        <f>AVERAGE('Данные по годам'!E15:N15)</f>
        <v>0.8620599999999999</v>
      </c>
      <c r="G8" s="75">
        <f>AVERAGE('Данные по годам'!E19:N19)</f>
        <v>0.897</v>
      </c>
      <c r="H8" s="75">
        <f>AVERAGE('Данные по годам'!E23:N23)</f>
        <v>0.8628</v>
      </c>
    </row>
    <row r="9">
      <c r="B9" s="57" t="inlineStr">
        <is>
          <t>Аннуитет</t>
        </is>
      </c>
      <c r="C9" s="26" t="inlineStr">
        <is>
          <t>руб/пог.м</t>
        </is>
      </c>
      <c r="D9" s="74">
        <f>'Расчёт аннуитета'!D30</f>
        <v>802.3374644085573</v>
      </c>
      <c r="E9" s="74">
        <f>'Расчёт аннуитета'!E30</f>
        <v>831.8363044108256</v>
      </c>
      <c r="F9" s="74">
        <f>'Расчёт аннуитета'!F30</f>
        <v>744.1213039223658</v>
      </c>
      <c r="G9" s="74">
        <f>'Расчёт аннуитета'!G30</f>
        <v>904.3209066796069</v>
      </c>
      <c r="H9" s="74">
        <f>'Расчёт аннуитета'!H30</f>
        <v>1073.0070121130198</v>
      </c>
    </row>
    <row r="10">
      <c r="B10" s="22" t="inlineStr">
        <is>
          <t>Аннуитет</t>
        </is>
      </c>
      <c r="C10" s="26" t="inlineStr">
        <is>
          <t>руб/м³</t>
        </is>
      </c>
      <c r="D10" s="73">
        <f>'Расчёт аннуитета'!D32</f>
        <v>16.220306568453598</v>
      </c>
      <c r="E10" s="73">
        <f>'Расчёт аннуитета'!E32</f>
        <v>16.81666439726727</v>
      </c>
      <c r="F10" s="73">
        <f>'Расчёт аннуитета'!F32</f>
        <v>15.043390355248473</v>
      </c>
      <c r="G10" s="73">
        <f>'Расчёт аннуитета'!G32</f>
        <v>18.282035917913813</v>
      </c>
      <c r="H10" s="73">
        <f>'Расчёт аннуитета'!H32</f>
        <v>21.692247288244612</v>
      </c>
    </row>
    <row r="11">
      <c r="B11" s="22" t="inlineStr">
        <is>
          <t>NPV стоимости владения</t>
        </is>
      </c>
      <c r="C11" s="26" t="inlineStr">
        <is>
          <t>тыс.руб</t>
        </is>
      </c>
      <c r="D11" s="71">
        <f>'Расчёт аннуитета'!D16</f>
        <v>492152.2456700222</v>
      </c>
      <c r="E11" s="71">
        <f>'Расчёт аннуитета'!E16</f>
        <v>516881.35685722536</v>
      </c>
      <c r="F11" s="71">
        <f>'Расчёт аннуитета'!F16</f>
        <v>527264.2132147595</v>
      </c>
      <c r="G11" s="71">
        <f>'Расчёт аннуитета'!G16</f>
        <v>668432.0007648944</v>
      </c>
      <c r="H11" s="71">
        <f>'Расчёт аннуитета'!H16</f>
        <v>604092.9877846866</v>
      </c>
    </row>
    <row r="12">
      <c r="B12" s="22" t="inlineStr">
        <is>
          <t>Доля CAPEX</t>
        </is>
      </c>
      <c r="C12" s="26" t="inlineStr">
        <is>
          <t>%</t>
        </is>
      </c>
      <c r="D12" s="75">
        <f>'Расчёт аннуитета'!D20/'Расчёт аннуитета'!D30</f>
        <v>0.4000114039715868</v>
      </c>
      <c r="E12" s="75">
        <f>'Расчёт аннуитета'!E20/'Расчёт аннуитета'!E30</f>
        <v>0.25084874067913154</v>
      </c>
      <c r="F12" s="75">
        <f>'Расчёт аннуитета'!F20/'Расчёт аннуитета'!F30</f>
        <v>0.2620546170367044</v>
      </c>
      <c r="G12" s="75">
        <f>'Расчёт аннуитета'!G20/'Расчёт аннуитета'!G30</f>
        <v>0.288933411071701</v>
      </c>
      <c r="H12" s="75">
        <f>'Расчёт аннуитета'!H20/'Расчёт аннуитета'!H30</f>
        <v>0.3921184400247141</v>
      </c>
    </row>
    <row r="13">
      <c r="B13" s="22" t="inlineStr">
        <is>
          <t>Доля топлива/энергии</t>
        </is>
      </c>
      <c r="C13" s="26" t="inlineStr">
        <is>
          <t>%</t>
        </is>
      </c>
      <c r="D13" s="75">
        <f>'Расчёт аннуитета'!D21/'Расчёт аннуитета'!D30</f>
        <v>0.37915917312764597</v>
      </c>
      <c r="E13" s="75">
        <f>'Расчёт аннуитета'!E21/'Расчёт аннуитета'!E30</f>
        <v>0.3401416647144111</v>
      </c>
      <c r="F13" s="75">
        <f>'Расчёт аннуитета'!F21/'Расчёт аннуитета'!F30</f>
        <v>0.3416568148217858</v>
      </c>
      <c r="G13" s="75">
        <f>'Расчёт аннуитета'!G21/'Расчёт аннуитета'!G30</f>
        <v>0.28223940941914305</v>
      </c>
      <c r="H13" s="75">
        <f>'Расчёт аннуитета'!H21/'Расчёт аннуитета'!H30</f>
        <v>0.2871941830227507</v>
      </c>
    </row>
    <row r="14">
      <c r="B14" s="22" t="inlineStr">
        <is>
          <t>Доля ТОиР</t>
        </is>
      </c>
      <c r="C14" s="26" t="inlineStr">
        <is>
          <t>%</t>
        </is>
      </c>
      <c r="D14" s="75">
        <f>'Расчёт аннуитета'!D22/'Расчёт аннуитета'!D30</f>
        <v>0.33824998943080964</v>
      </c>
      <c r="E14" s="75">
        <f>'Расчёт аннуитета'!E22/'Расчёт аннуитета'!E30</f>
        <v>0.5484801532903396</v>
      </c>
      <c r="F14" s="75">
        <f>'Расчёт аннуитета'!F22/'Расчёт аннуитета'!F30</f>
        <v>0.5382460873405106</v>
      </c>
      <c r="G14" s="75">
        <f>'Расчёт аннуитета'!G22/'Расчёт аннуитета'!G30</f>
        <v>0.6050076844984544</v>
      </c>
      <c r="H14" s="75">
        <f>'Расчёт аннуитета'!H22/'Расчёт аннуитета'!H30</f>
        <v>0.47003723070861697</v>
      </c>
    </row>
    <row r="15">
      <c r="B15" s="57" t="inlineStr">
        <is>
          <t>Место в рейтинге</t>
        </is>
      </c>
      <c r="C15" s="26" t="inlineStr"/>
      <c r="D15" s="83">
        <f>RANK(D9,D9:H9,1)</f>
        <v>2.0</v>
      </c>
      <c r="E15" s="83">
        <f>RANK(E9,D9:H9,1)</f>
        <v>3.0</v>
      </c>
      <c r="F15" s="83">
        <f>RANK(F9,D9:H9,1)</f>
        <v>1.0</v>
      </c>
      <c r="G15" s="83">
        <f>RANK(G9,D9:H9,1)</f>
        <v>4.0</v>
      </c>
      <c r="H15" s="83">
        <f>RANK(H9,D9:H9,1)</f>
        <v>5.0</v>
      </c>
    </row>
    <row r="16">
      <c r="B16" s="5" t="inlineStr">
        <is>
          <t>РАЗЛОЖЕНИЕ ПРЕВЫШЕНИЯ АННУИТЕТА НАД ЛУЧШИМ (руб/пог.м)</t>
        </is>
      </c>
      <c r="C16" s="4" t="n"/>
      <c r="D16" s="4" t="n"/>
      <c r="E16" s="4" t="n"/>
      <c r="F16" s="4" t="n"/>
      <c r="G16" s="4" t="n"/>
      <c r="H16" s="4" t="n"/>
    </row>
    <row r="17">
      <c r="B17" s="22" t="inlineStr">
        <is>
          <t>Δ инвестиции</t>
        </is>
      </c>
      <c r="C17" s="26" t="inlineStr">
        <is>
          <t>руб/пог.м</t>
        </is>
      </c>
      <c r="D17" s="73">
        <f>'Расчёт аннуитета'!D20-MIN(D20:H20)</f>
        <v>1046.9124640028092</v>
      </c>
      <c r="E17" s="73">
        <f>'Расчёт аннуитета'!E20-MIN(D20:H20)</f>
        <v>934.6334178183774</v>
      </c>
      <c r="F17" s="73">
        <f>'Расчёт аннуитета'!F20-MIN(D20:H20)</f>
        <v>920.9687517339678</v>
      </c>
      <c r="G17" s="73">
        <f>'Расчёт аннуитета'!G20-MIN(D20:H20)</f>
        <v>987.2568526761313</v>
      </c>
      <c r="H17" s="73">
        <f>'Расчёт аннуитета'!H20-MIN(D20:H20)</f>
        <v>1146.714164131076</v>
      </c>
    </row>
    <row r="18">
      <c r="B18" s="22" t="inlineStr">
        <is>
          <t>Δ топливо/энергия</t>
        </is>
      </c>
      <c r="C18" s="26" t="inlineStr">
        <is>
          <t>руб/пог.м</t>
        </is>
      </c>
      <c r="D18" s="73">
        <f>'Расчёт аннуитета'!D21-MIN(D21:H21)</f>
        <v>622.2561473801884</v>
      </c>
      <c r="E18" s="73">
        <f>'Расчёт аннуитета'!E21-MIN(D21:H21)</f>
        <v>600.9847231578896</v>
      </c>
      <c r="F18" s="73">
        <f>'Расчёт аннуитета'!F21-MIN(D21:H21)</f>
        <v>572.2766523448572</v>
      </c>
      <c r="G18" s="73">
        <f>'Расчёт аннуитета'!G21-MIN(D21:H21)</f>
        <v>573.2775364323439</v>
      </c>
      <c r="H18" s="73">
        <f>'Расчёт аннуитета'!H21-MIN(D21:H21)</f>
        <v>626.2039100271891</v>
      </c>
    </row>
    <row r="19">
      <c r="B19" s="22" t="inlineStr">
        <is>
          <t>Δ ТОиР</t>
        </is>
      </c>
      <c r="C19" s="26" t="inlineStr">
        <is>
          <t>руб/пог.м</t>
        </is>
      </c>
      <c r="D19" s="73">
        <f>'Расчёт аннуитета'!D22-MIN(D22:H22)</f>
        <v>271.3906388561371</v>
      </c>
      <c r="E19" s="73">
        <f>'Расчёт аннуитета'!E22-MIN(D22:H22)</f>
        <v>456.2457037557192</v>
      </c>
      <c r="F19" s="73">
        <f>'Расчёт аннуитета'!F22-MIN(D22:H22)</f>
        <v>400.52038034293236</v>
      </c>
      <c r="G19" s="73">
        <f>'Расчёт аннуитета'!G22-MIN(D22:H22)</f>
        <v>547.1210977937718</v>
      </c>
      <c r="H19" s="73">
        <f>'Расчёт аннуитета'!H22-MIN(D22:H22)</f>
        <v>504.35324450453123</v>
      </c>
    </row>
    <row r="20">
      <c r="B20" s="22" t="inlineStr">
        <is>
          <t>Δ персонал</t>
        </is>
      </c>
      <c r="C20" s="26" t="inlineStr">
        <is>
          <t>руб/пог.м</t>
        </is>
      </c>
      <c r="D20" s="73">
        <f>'Расчёт аннуитета'!D26-MIN(D26:H26)</f>
        <v>-699.1150047240224</v>
      </c>
      <c r="E20" s="73">
        <f>'Расчёт аннуитета'!E26-MIN(D26:H26)</f>
        <v>-703.096152366976</v>
      </c>
      <c r="F20" s="73">
        <f>'Расчёт аннуитета'!F26-MIN(D26:H26)</f>
        <v>-720.9655398643893</v>
      </c>
      <c r="G20" s="73">
        <f>'Расчёт аннуитета'!G26-MIN(D26:H26)</f>
        <v>-725.9683284057392</v>
      </c>
      <c r="H20" s="73">
        <f>'Расчёт аннуитета'!H26-MIN(D26:H26)</f>
        <v>-691.7331321489698</v>
      </c>
    </row>
    <row r="21">
      <c r="B21" s="22" t="inlineStr">
        <is>
          <t>Δ налог (щит)</t>
        </is>
      </c>
      <c r="C21" s="26" t="inlineStr">
        <is>
          <t>руб/пог.м</t>
        </is>
      </c>
      <c r="D21" s="73">
        <f>'Расчёт аннуитета'!D28-MIN(D28:H28)</f>
        <v>-244.61074607971645</v>
      </c>
      <c r="E21" s="73">
        <f>'Расчёт аннуитета'!E28-MIN(D28:H28)</f>
        <v>-262.43231194887926</v>
      </c>
      <c r="F21" s="73">
        <f>'Расчёт аннуитета'!F28-MIN(D28:H28)</f>
        <v>-234.16621519303433</v>
      </c>
      <c r="G21" s="73">
        <f>'Расчёт аннуитета'!G28-MIN(D28:H28)</f>
        <v>-282.8497050214961</v>
      </c>
      <c r="H21" s="73">
        <f>'Расчёт аннуитета'!H28-MIN(D28:H28)</f>
        <v>-318.0425378057077</v>
      </c>
    </row>
    <row r="22">
      <c r="B22" s="57" t="inlineStr">
        <is>
          <t>ИТОГО превышение над лучшим</t>
        </is>
      </c>
      <c r="C22" s="26" t="inlineStr">
        <is>
          <t>руб/пог.м</t>
        </is>
      </c>
      <c r="D22" s="74">
        <f>D9-MIN(D9:H9)</f>
        <v>58.216160486191484</v>
      </c>
      <c r="E22" s="74">
        <f>E9-MIN(D9:H9)</f>
        <v>87.71500048845985</v>
      </c>
      <c r="F22" s="74">
        <f>F9-MIN(D9:H9)</f>
        <v>0.0</v>
      </c>
      <c r="G22" s="74">
        <f>G9-MIN(D9:H9)</f>
        <v>160.1996027572411</v>
      </c>
      <c r="H22" s="74">
        <f>H9-MIN(D9:H9)</f>
        <v>328.885708190654</v>
      </c>
    </row>
    <row r="23">
      <c r="B23" s="5" t="inlineStr">
        <is>
          <t>ДИАПАЗОН РИСКА АННУИТЕТА (руб/пог.м)</t>
        </is>
      </c>
      <c r="C23" s="4" t="n"/>
      <c r="D23" s="4" t="n"/>
      <c r="E23" s="4" t="n"/>
      <c r="F23" s="4" t="n"/>
      <c r="G23" s="4" t="n"/>
      <c r="H23" s="4" t="n"/>
    </row>
    <row r="24">
      <c r="B24" s="22" t="inlineStr">
        <is>
          <t>Оптимистичный (КТГ +10%, ДТ −20%)</t>
        </is>
      </c>
      <c r="C24" s="26" t="inlineStr">
        <is>
          <t>руб/пог.м</t>
        </is>
      </c>
      <c r="D24" s="73">
        <f>('Расчёт аннуитета'!D20+'Расчёт аннуитета'!D22+'Расчёт аннуитета'!D26+'Расчёт аннуитета'!D27+'Расчёт аннуитета'!D28)/1.1+('Расчёт аннуитета'!D21+'Расчёт аннуитета'!D23+'Расчёт аннуитета'!D24+'Расчёт аннуитета'!D25)-0.2*'Расчёт аннуитета'!D21</f>
        <v>696.2107556905632</v>
      </c>
      <c r="E24" s="73">
        <f>('Расчёт аннуитета'!E20+'Расчёт аннуитета'!E22+'Расчёт аннуитета'!E26+'Расчёт аннуитета'!E27+'Расчёт аннуитета'!E28)/1.1+('Расчёт аннуитета'!E21+'Расчёт аннуитета'!E23+'Расчёт аннуитета'!E24+'Расчёт аннуитета'!E25)-0.2*'Расчёт аннуитета'!E21</f>
        <v>725.3484019714215</v>
      </c>
      <c r="F24" s="73">
        <f>('Расчёт аннуитета'!F20+'Расчёт аннуитета'!F22+'Расчёт аннуитета'!F26+'Расчёт аннуитета'!F27+'Расчёт аннуитета'!F28)/1.1+('Расчёт аннуитета'!F21+'Расчёт аннуитета'!F23+'Расчёт аннуитета'!F24+'Расчёт аннуитета'!F25)-0.2*'Расчёт аннуитета'!F21</f>
        <v>648.739281979698</v>
      </c>
      <c r="G24" s="73">
        <f>('Расчёт аннуитета'!G20+'Расчёт аннуитета'!G22+'Расчёт аннуитета'!G26+'Расчёт аннуитета'!G27+'Расчёт аннуитета'!G28)/1.1+('Расчёт аннуитета'!G21+'Расчёт аннуитета'!G23+'Расчёт аннуитета'!G24+'Расчёт аннуитета'!G25)-0.2*'Расчёт аннуитета'!G21</f>
        <v>794.2660971312821</v>
      </c>
      <c r="H24" s="73">
        <f>('Расчёт аннуитета'!H20+'Расчёт аннуитета'!H22+'Расчёт аннуитета'!H26+'Расчёт аннуитета'!H27+'Расчёт аннуитета'!H28)/1.1+('Расчёт аннуитета'!H21+'Расчёт аннуитета'!H23+'Расчёт аннуитета'!H24+'Расчёт аннуитета'!H25)-0.2*'Расчёт аннуитета'!H21</f>
        <v>941.8433158604014</v>
      </c>
    </row>
    <row r="25">
      <c r="B25" s="57" t="inlineStr">
        <is>
          <t>Базовый</t>
        </is>
      </c>
      <c r="C25" s="26" t="inlineStr">
        <is>
          <t>руб/пог.м</t>
        </is>
      </c>
      <c r="D25" s="74">
        <f>'Расчёт аннуитета'!D30</f>
        <v>802.3374644085573</v>
      </c>
      <c r="E25" s="74">
        <f>'Расчёт аннуитета'!E30</f>
        <v>831.8363044108256</v>
      </c>
      <c r="F25" s="74">
        <f>'Расчёт аннуитета'!F30</f>
        <v>744.1213039223658</v>
      </c>
      <c r="G25" s="74">
        <f>'Расчёт аннуитета'!G30</f>
        <v>904.3209066796069</v>
      </c>
      <c r="H25" s="74">
        <f>'Расчёт аннуитета'!H30</f>
        <v>1073.0070121130198</v>
      </c>
    </row>
    <row r="26">
      <c r="B26" s="22" t="inlineStr">
        <is>
          <t>Пессимистичный (КТГ −10%, ДТ +20%)</t>
        </is>
      </c>
      <c r="C26" s="26" t="inlineStr">
        <is>
          <t>руб/пог.м</t>
        </is>
      </c>
      <c r="D26" s="73">
        <f>('Расчёт аннуитета'!D20+'Расчёт аннуитета'!D22+'Расчёт аннуитета'!D26+'Расчёт аннуитета'!D27+'Расчёт аннуитета'!D28)/0.9+('Расчёт аннуитета'!D21+'Расчёт аннуитета'!D23+'Расчёт аннуитета'!D24+'Расчёт аннуитета'!D25)+0.2*'Расчёт аннуитета'!D21</f>
        <v>918.5272813050176</v>
      </c>
      <c r="E26" s="73">
        <f>('Расчёт аннуитета'!E20+'Расчёт аннуитета'!E22+'Расчёт аннуитета'!E26+'Расчёт аннуитета'!E27+'Расчёт аннуитета'!E28)/0.9+('Расчёт аннуитета'!E21+'Расчёт аннуитета'!E23+'Расчёт аннуитета'!E24+'Расчёт аннуитета'!E25)+0.2*'Расчёт аннуитета'!E21</f>
        <v>949.4129769322224</v>
      </c>
      <c r="F26" s="73">
        <f>('Расчёт аннуитета'!F20+'Расчёт аннуитета'!F22+'Расчёт аннуитета'!F26+'Расчёт аннуитета'!F27+'Расчёт аннуитета'!F28)/0.9+('Расчёт аннуитета'!F21+'Расчёт аннуитета'!F23+'Расчёт аннуитета'!F24+'Расчёт аннуитета'!F25)+0.2*'Расчёт аннуитета'!F21</f>
        <v>849.4000367616643</v>
      </c>
      <c r="G26" s="73">
        <f>('Расчёт аннуитета'!G20+'Расчёт аннуитета'!G22+'Расчёт аннуитета'!G26+'Расчёт аннуитета'!G27+'Расчёт аннуитета'!G28)/0.9+('Расчёт аннуитета'!G21+'Расчёт аннуитета'!G23+'Расчёт аннуитета'!G24+'Расчёт аннуитета'!G25)+0.2*'Расчёт аннуитета'!G21</f>
        <v>1027.488562855264</v>
      </c>
      <c r="H26" s="73">
        <f>('Расчёт аннуитета'!H20+'Расчёт аннуитета'!H22+'Расчёт аннуитета'!H26+'Расчёт аннуитета'!H27+'Расчёт аннуитета'!H28)/0.9+('Расчёт аннуитета'!H21+'Расчёт аннуитета'!H23+'Расчёт аннуитета'!H24+'Расчёт аннуитета'!H25)+0.2*'Расчёт аннуитета'!H21</f>
        <v>1219.6221354341533</v>
      </c>
    </row>
    <row r="27">
      <c r="B27" s="22" t="inlineStr">
        <is>
          <t>Ширина диапазона (риск)</t>
        </is>
      </c>
      <c r="C27" s="26" t="inlineStr">
        <is>
          <t>руб/пог.м</t>
        </is>
      </c>
      <c r="D27" s="73">
        <f>D26-D24</f>
        <v>222.31652561445435</v>
      </c>
      <c r="E27" s="73">
        <f>E26-E24</f>
        <v>224.06457496080088</v>
      </c>
      <c r="F27" s="73">
        <f>F26-F24</f>
        <v>200.66075478196626</v>
      </c>
      <c r="G27" s="73">
        <f>G26-G24</f>
        <v>233.22246572398194</v>
      </c>
      <c r="H27" s="73">
        <f>H26-H24</f>
        <v>277.7788195737519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</row>
    <row r="29">
      <c r="B29" s="22" t="inlineStr">
        <is>
          <t>Эффект +1 п.п. КТГ на аннуитет</t>
        </is>
      </c>
      <c r="C29" s="26" t="inlineStr">
        <is>
          <t>руб/пог.м</t>
        </is>
      </c>
      <c r="D29" s="73">
        <f>-('Расчёт аннуитета'!D20+'Расчёт аннуитета'!D22+'Расчёт аннуитета'!D26+'Расчёт аннуитета'!D27+'Расчёт аннуитета'!D28)*0.01/AVERAGE('Данные по годам'!E7:N7)</f>
        <v>-5.5030364660518</v>
      </c>
      <c r="E29" s="73">
        <f>-('Расчёт аннуитета'!E20+'Расчёт аннуитета'!E22+'Расчёт аннуитета'!E26+'Расчёт аннуитета'!E27+'Расчёт аннуитета'!E28)*0.01/AVERAGE('Данные по годам'!E11:N11)</f>
        <v>-6.367238000355471</v>
      </c>
      <c r="F29" s="73">
        <f>-('Расчёт аннуитета'!F20+'Расчёт аннуитета'!F22+'Расчёт аннуитета'!F26+'Расчёт аннуитета'!F27+'Расчёт аннуитета'!F28)*0.01/AVERAGE('Данные по годам'!E15:N15)</f>
        <v>-5.682750497450485</v>
      </c>
      <c r="G29" s="73">
        <f>-('Расчёт аннуитета'!G20+'Расчёт аннуитета'!G22+'Расчёт аннуитета'!G26+'Расчёт аннуитета'!G27+'Расчёт аннуитета'!G28)*0.01/AVERAGE('Данные по годам'!E19:N19)</f>
        <v>-7.236186265919405</v>
      </c>
      <c r="H29" s="73">
        <f>-('Расчёт аннуитета'!H20+'Расчёт аннуитета'!H22+'Расчёт аннуитета'!H26+'Расчёт аннуитета'!H27+'Расчёт аннуитета'!H28)*0.01/AVERAGE('Данные по годам'!E23:N23)</f>
        <v>-8.86469216378695</v>
      </c>
    </row>
    <row r="31">
      <c r="B31" s="89" t="inlineStr">
        <is>
          <t>ВЫВОД:</t>
        </is>
      </c>
      <c r="C31" s="93" t="str">
        <f>"Лучший по удельному TCO: "&amp;INDEX(D4:H4,MATCH(MIN(D9:H9),D9:H9,0))&amp;" ("&amp;TEXT(MIN(D9:H9),"0.00")&amp;" руб/пог.м, "&amp;TEXT(MIN(D10:H10),"0.00")&amp;" руб/м³). "&amp;"Отрыв от худшего: "&amp;TEXT(MAX(D9:H9)-MIN(D9:H9),"0.00")&amp;" руб/пог.м."</f>
        <v>Лучший по удельному TCO: Sunward
SWDRT270SM (744.12 руб/пог.м, 15.04 руб/м³). Отрыв от худшего: 328.89 руб/пог.м.</v>
      </c>
      <c r="D31" s="34" t="n"/>
      <c r="E31" s="34" t="n"/>
      <c r="F31" s="34" t="n"/>
      <c r="G31" s="34" t="n"/>
      <c r="H31" s="34" t="n"/>
    </row>
    <row r="33">
      <c r="B33" s="7" t="inlineStr">
        <is>
          <t>Метод (лучшие практики):</t>
        </is>
      </c>
    </row>
    <row r="34">
      <c r="B34" s="33" t="inlineStr">
        <is>
          <t>•  Levelized cost — приведённые затраты на единицу продукции (руб/пог.м, руб/м³) уравнивают станки с разной ценой и производительностью.</t>
        </is>
      </c>
    </row>
    <row r="35">
      <c r="B35" s="33" t="inlineStr">
        <is>
          <t>•  Многокритериальная оценка — не только цена, но и структура затрат, КТГ, доля топлива.</t>
        </is>
      </c>
    </row>
    <row r="36">
      <c r="B36" s="33" t="inlineStr">
        <is>
          <t>•  Разложение над лучшим — показывает, за счёт каких статей вариант дороже (управляемость).</t>
        </is>
      </c>
    </row>
    <row r="37">
      <c r="B37" s="33" t="inlineStr">
        <is>
          <t>•  Диапазон риска — устойчивость выбора к колебаниям КТГ и цены топлива.</t>
        </is>
      </c>
    </row>
    <row r="38">
      <c r="B38" s="33" t="inlineStr">
        <is>
          <t>•  Ценность готовности — сколько руб/пог.м даёт рост КТГ на 1 п.п. (обоснование сервисного контракта).</t>
        </is>
      </c>
    </row>
  </sheetData>
  <mergeCells count="12">
    <mergeCell ref="B1:K1"/>
    <mergeCell ref="B36:K36"/>
    <mergeCell ref="B37:K37"/>
    <mergeCell ref="B35:K35"/>
    <mergeCell ref="C31:H31"/>
    <mergeCell ref="B16:H16"/>
    <mergeCell ref="B38:K38"/>
    <mergeCell ref="B2:K2"/>
    <mergeCell ref="B34:K34"/>
    <mergeCell ref="B5:H5"/>
    <mergeCell ref="B28:H28"/>
    <mergeCell ref="B23:H23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станок (1–5):</t>
        </is>
      </c>
      <c r="C4" s="56" t="n">
        <v>1</v>
      </c>
      <c r="D4" s="94" t="str">
        <f>INDEX('Ввод данных'!D7:H7,$C$4)</f>
        <v>YANGZI DR75
(аналог Epiroc DM75)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6" t="inlineStr">
        <is>
          <t>руб/пог.м</t>
        </is>
      </c>
      <c r="D7" s="73">
        <f>INDEX('Расчёт аннуитета'!D30:H30,$C$4)</f>
        <v>802.3374644085573</v>
      </c>
    </row>
    <row r="8">
      <c r="B8" s="22" t="inlineStr">
        <is>
          <t>— инвестиционный</t>
        </is>
      </c>
      <c r="C8" s="26" t="inlineStr">
        <is>
          <t>руб/пог.м</t>
        </is>
      </c>
      <c r="D8" s="73">
        <f>INDEX('Расчёт аннуитета'!D20:H20,$C$4)</f>
        <v>320.94413559707004</v>
      </c>
    </row>
    <row r="9">
      <c r="B9" s="22" t="inlineStr">
        <is>
          <t>— топливо/энергия</t>
        </is>
      </c>
      <c r="C9" s="26" t="inlineStr">
        <is>
          <t>руб/пог.м</t>
        </is>
      </c>
      <c r="D9" s="73">
        <f>INDEX('Расчёт аннуитета'!D21:H21,$C$4)</f>
        <v>304.21360957448064</v>
      </c>
    </row>
    <row r="10">
      <c r="B10" s="22" t="inlineStr">
        <is>
          <t>— ТОиР + капремонты</t>
        </is>
      </c>
      <c r="C10" s="26" t="inlineStr">
        <is>
          <t>руб/пог.м</t>
        </is>
      </c>
      <c r="D10" s="73">
        <f>INDEX('Расчёт аннуитета'!D22:H22,$C$4)</f>
        <v>271.3906388561371</v>
      </c>
    </row>
    <row r="11">
      <c r="B11" s="22" t="inlineStr">
        <is>
          <t>— персонал</t>
        </is>
      </c>
      <c r="C11" s="26" t="inlineStr">
        <is>
          <t>руб/пог.м</t>
        </is>
      </c>
      <c r="D11" s="73">
        <f>INDEX('Расчёт аннуитета'!D26:H26,$C$4)</f>
        <v>150.28503203764197</v>
      </c>
    </row>
    <row r="12">
      <c r="B12" s="22" t="inlineStr">
        <is>
          <t>Средний годовой объём бурения</t>
        </is>
      </c>
      <c r="C12" s="26" t="inlineStr">
        <is>
          <t>тыс.пог.м</t>
        </is>
      </c>
      <c r="D12" s="71">
        <f>INDEX('Расчёт аннуитета'!D17:H17,$C$4)</f>
        <v>104.53469508570285</v>
      </c>
    </row>
    <row r="13">
      <c r="B13" s="22" t="inlineStr">
        <is>
          <t>Стоимость (руб)</t>
        </is>
      </c>
      <c r="C13" s="26" t="inlineStr">
        <is>
          <t>тыс.руб</t>
        </is>
      </c>
      <c r="D13" s="71">
        <f>INDEX('Производительность'!D5:H5,$C$4)</f>
        <v>207820.0</v>
      </c>
    </row>
    <row r="14">
      <c r="B14" s="22" t="inlineStr">
        <is>
          <t>Постоянные (инв+ТОиР+перс+налоги)</t>
        </is>
      </c>
      <c r="C14" s="26" t="inlineStr">
        <is>
          <t>руб/пог.м</t>
        </is>
      </c>
      <c r="D14" s="73">
        <f>INDEX('Расчёт аннуитета'!D20:H20,$C$4)+INDEX('Расчёт аннуитета'!D22:H22,$C$4)+INDEX('Расчёт аннуитета'!D26:H26,$C$4)+INDEX('Расчёт аннуитета'!D27:H27,$C$4)+INDEX('Расчёт аннуитета'!D28:H28,$C$4)</f>
        <v>498.1238548340767</v>
      </c>
    </row>
    <row r="15">
      <c r="B15" s="22" t="inlineStr">
        <is>
          <t>Переменные (топл+инструм+расходн)</t>
        </is>
      </c>
      <c r="C15" s="26" t="inlineStr">
        <is>
          <t>руб/пог.м</t>
        </is>
      </c>
      <c r="D15" s="73">
        <f>INDEX('Расчёт аннуитета'!D21:H21,$C$4)+INDEX('Расчёт аннуитета'!D23:H23,$C$4)+INDEX('Расчёт аннуитета'!D24:H24,$C$4)+INDEX('Расчёт аннуитета'!D25:H25,$C$4)</f>
        <v>304.21360957448064</v>
      </c>
    </row>
    <row r="17">
      <c r="B17" s="5" t="inlineStr">
        <is>
          <t>ТОРНАДО: ВЛИЯНИЕ ДРАЙВЕРОВ НА ОБЩИЙ АННУИТЕТ (руб/пог.м)</t>
        </is>
      </c>
      <c r="C17" s="4" t="n"/>
      <c r="D17" s="4" t="n"/>
      <c r="E17" s="4" t="n"/>
      <c r="F17" s="4" t="n"/>
      <c r="G17" s="4" t="n"/>
      <c r="H17" s="4" t="n"/>
    </row>
    <row r="18">
      <c r="B18" s="15" t="inlineStr">
        <is>
          <t>Драйвер</t>
        </is>
      </c>
      <c r="C18" s="15" t="inlineStr">
        <is>
          <t>Диапазон</t>
        </is>
      </c>
      <c r="D18" s="15" t="inlineStr">
        <is>
          <t>При снижении</t>
        </is>
      </c>
      <c r="E18" s="15" t="inlineStr">
        <is>
          <t>При росте</t>
        </is>
      </c>
      <c r="F18" s="15" t="inlineStr">
        <is>
          <t>Размах</t>
        </is>
      </c>
      <c r="I18" s="95" t="inlineStr">
        <is>
          <t>низкое</t>
        </is>
      </c>
      <c r="J18" s="95" t="inlineStr">
        <is>
          <t>высокое</t>
        </is>
      </c>
    </row>
    <row r="19">
      <c r="B19" s="22" t="inlineStr">
        <is>
          <t>Расход / цена ДТ</t>
        </is>
      </c>
      <c r="C19" s="40" t="inlineStr">
        <is>
          <t>±20%</t>
        </is>
      </c>
      <c r="D19" s="73">
        <f>$D$7-0.2*($D$9*(1-'Параметры'!C7))</f>
        <v>756.7054229723851</v>
      </c>
      <c r="E19" s="73">
        <f>$D$7+0.2*($D$9*(1-'Параметры'!C7))</f>
        <v>847.9695058447294</v>
      </c>
      <c r="F19" s="73">
        <f>E19-D19</f>
        <v>91.26408287234426</v>
      </c>
      <c r="I19" s="96">
        <f>D19-$D$7</f>
        <v>-45.63204143617213</v>
      </c>
      <c r="J19" s="96">
        <f>E19-$D$7</f>
        <v>45.63204143617213</v>
      </c>
    </row>
    <row r="20">
      <c r="B20" s="22" t="inlineStr">
        <is>
          <t>Затраты на ТОиР/ремонты</t>
        </is>
      </c>
      <c r="C20" s="40" t="inlineStr">
        <is>
          <t>±25%</t>
        </is>
      </c>
      <c r="D20" s="73">
        <f>$D$7-0.25*($D$10*(1-'Параметры'!C7))</f>
        <v>751.4517196230315</v>
      </c>
      <c r="E20" s="73">
        <f>$D$7+0.25*($D$10*(1-'Параметры'!C7))</f>
        <v>853.223209194083</v>
      </c>
      <c r="F20" s="73">
        <f>E20-D20</f>
        <v>101.77148957105146</v>
      </c>
      <c r="I20" s="96">
        <f>D20-$D$7</f>
        <v>-50.88574478552573</v>
      </c>
      <c r="J20" s="96">
        <f>E20-$D$7</f>
        <v>50.88574478552573</v>
      </c>
    </row>
    <row r="21">
      <c r="B21" s="22" t="inlineStr">
        <is>
          <t>Цена приобретения</t>
        </is>
      </c>
      <c r="C21" s="40" t="inlineStr">
        <is>
          <t>±15%</t>
        </is>
      </c>
      <c r="D21" s="73">
        <f>$D$7-0.15*($D$8*(1-'Параметры'!C7*'Параметры'!C40))</f>
        <v>762.8307123022583</v>
      </c>
      <c r="E21" s="73">
        <f>$D$7+0.15*($D$8*(1-'Параметры'!C7*'Параметры'!C40))</f>
        <v>841.8442165148562</v>
      </c>
      <c r="F21" s="73">
        <f>E21-D21</f>
        <v>79.01350421259781</v>
      </c>
      <c r="I21" s="96">
        <f>D21-$D$7</f>
        <v>-39.506752106298904</v>
      </c>
      <c r="J21" s="96">
        <f>E21-$D$7</f>
        <v>39.506752106298904</v>
      </c>
    </row>
    <row r="22">
      <c r="B22" s="22" t="inlineStr">
        <is>
          <t>Расходы на персонал</t>
        </is>
      </c>
      <c r="C22" s="40" t="inlineStr">
        <is>
          <t>±15%</t>
        </is>
      </c>
      <c r="D22" s="73">
        <f>$D$7-0.15*($D$11*(1-'Параметры'!C7))</f>
        <v>785.4303983043226</v>
      </c>
      <c r="E22" s="73">
        <f>$D$7+0.15*($D$11*(1-'Параметры'!C7))</f>
        <v>819.2445305127919</v>
      </c>
      <c r="F22" s="73">
        <f>E22-D22</f>
        <v>33.814132208469346</v>
      </c>
      <c r="I22" s="96">
        <f>D22-$D$7</f>
        <v>-16.907066104234673</v>
      </c>
      <c r="J22" s="96">
        <f>E22-$D$7</f>
        <v>16.907066104234673</v>
      </c>
    </row>
    <row r="25">
      <c r="B25" s="5" t="inlineStr">
        <is>
          <t>ВЛИЯНИЕ ПРОИЗВОДИТЕЛЬНОСТИ (КТГ / УТИЛИЗАЦИИ)</t>
        </is>
      </c>
      <c r="C25" s="4" t="n"/>
      <c r="D25" s="4" t="n"/>
      <c r="E25" s="4" t="n"/>
      <c r="F25" s="4" t="n"/>
      <c r="G25" s="4" t="n"/>
      <c r="H25" s="4" t="n"/>
    </row>
    <row r="26">
      <c r="B26" s="15" t="inlineStr">
        <is>
          <t>Изменение производительности</t>
        </is>
      </c>
      <c r="C26" s="15" t="inlineStr">
        <is>
          <t>-15%</t>
        </is>
      </c>
      <c r="D26" s="15" t="inlineStr">
        <is>
          <t>-10%</t>
        </is>
      </c>
      <c r="E26" s="15" t="inlineStr">
        <is>
          <t>0%</t>
        </is>
      </c>
      <c r="F26" s="15" t="inlineStr">
        <is>
          <t>+10%</t>
        </is>
      </c>
      <c r="G26" s="15" t="inlineStr">
        <is>
          <t>+15%</t>
        </is>
      </c>
    </row>
    <row r="27">
      <c r="B27" s="23" t="inlineStr">
        <is>
          <t>Общий аннуитет, руб/пог.м</t>
        </is>
      </c>
      <c r="C27" s="84">
        <f>$D$14/(1+-0.15)+$D$15</f>
        <v>890.2416740851592</v>
      </c>
      <c r="D27" s="84">
        <f>$D$14/(1+-0.1)+$D$15</f>
        <v>857.6845593901214</v>
      </c>
      <c r="E27" s="85">
        <f>$D$14/(1+0.0)+$D$15</f>
        <v>802.3374644085574</v>
      </c>
      <c r="F27" s="84">
        <f>$D$14/(1+0.1)+$D$15</f>
        <v>757.0534776054594</v>
      </c>
      <c r="G27" s="84">
        <f>$D$14/(1+0.15)+$D$15</f>
        <v>737.3647876910691</v>
      </c>
    </row>
    <row r="29">
      <c r="B29" s="5" t="inlineStr">
        <is>
          <t>ВЛИЯНИЕ СТАВКИ ДИСКОНТИРОВАНИЯ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Ставка дисконтирования</t>
        </is>
      </c>
      <c r="C30" s="97" t="n">
        <v>0.08</v>
      </c>
      <c r="D30" s="97" t="n">
        <v>0.1</v>
      </c>
      <c r="E30" s="97" t="n">
        <v>0.12</v>
      </c>
      <c r="F30" s="97" t="n">
        <v>0.14</v>
      </c>
      <c r="G30" s="97" t="n">
        <v>0.16</v>
      </c>
    </row>
    <row r="31">
      <c r="B31" s="23" t="inlineStr">
        <is>
          <t>Общий аннуитет, руб/пог.м (оценка)</t>
        </is>
      </c>
      <c r="C31" s="84">
        <f>$D$13*(1-INDEX('Ввод данных'!D14:H14,$C$4)/(1+C30)^'Параметры'!C8)/((1-(1+C30)^-'Параметры'!C8)/C30)/$D$12+$D$7-$D$8</f>
        <v>777.6711178807943</v>
      </c>
      <c r="D31" s="84">
        <f>$D$13*(1-INDEX('Ввод данных'!D14:H14,$C$4)/(1+D30)^'Параметры'!C8)/((1-(1+D30)^-'Параметры'!C8)/D30)/$D$12+$D$7-$D$8</f>
        <v>804.9389988567748</v>
      </c>
      <c r="E31" s="85">
        <f>$D$13*(1-INDEX('Ввод данных'!D14:H14,$C$4)/(1+E30)^'Параметры'!C8)/((1-(1+E30)^-'Параметры'!C8)/E30)/$D$12+$D$7-$D$8</f>
        <v>833.24635679941</v>
      </c>
      <c r="F31" s="84">
        <f>$D$13*(1-INDEX('Ввод данных'!D14:H14,$C$4)/(1+F30)^'Параметры'!C8)/((1-(1+F30)^-'Параметры'!C8)/F30)/$D$12+$D$7-$D$8</f>
        <v>862.5290658548372</v>
      </c>
      <c r="G31" s="84">
        <f>$D$13*(1-INDEX('Ввод данных'!D14:H14,$C$4)/(1+G30)^'Параметры'!C8)/((1-(1+G30)^-'Параметры'!C8)/G30)/$D$12+$D$7-$D$8</f>
        <v>892.7226300319508</v>
      </c>
    </row>
    <row r="33">
      <c r="B33" s="33" t="inlineStr">
        <is>
          <t>Оценка по ставке: инвестиционный аннуитет пересчитан точно, операционный принят постоянным (аннуитет равномерного потока ≈ инвариантен к ставке).</t>
        </is>
      </c>
    </row>
  </sheetData>
  <mergeCells count="8">
    <mergeCell ref="B1:K1"/>
    <mergeCell ref="B17:H17"/>
    <mergeCell ref="B6:H6"/>
    <mergeCell ref="B25:H25"/>
    <mergeCell ref="B29:H29"/>
    <mergeCell ref="B2:K2"/>
    <mergeCell ref="D4:H4"/>
    <mergeCell ref="B33:H33"/>
  </mergeCells>
  <dataValidations count="1">
    <dataValidation sqref="C4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250–270 мм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40" t="inlineStr">
        <is>
          <t>12%</t>
        </is>
      </c>
      <c r="D5" s="40" t="inlineStr">
        <is>
          <t>8–16%</t>
        </is>
      </c>
      <c r="E5" s="22" t="inlineStr">
        <is>
          <t>Согласуется с эскалацией</t>
        </is>
      </c>
    </row>
    <row r="6">
      <c r="B6" s="38" t="inlineStr">
        <is>
          <t>Налог на прибыль</t>
        </is>
      </c>
      <c r="C6" s="37" t="inlineStr">
        <is>
          <t>25%</t>
        </is>
      </c>
      <c r="D6" s="37" t="inlineStr">
        <is>
          <t>20–25%</t>
        </is>
      </c>
      <c r="E6" s="38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40" t="inlineStr">
        <is>
          <t>0,85–0,93</t>
        </is>
      </c>
      <c r="D7" s="40" t="inlineStr">
        <is>
          <t>0,80–0,95</t>
        </is>
      </c>
      <c r="E7" s="22" t="inlineStr">
        <is>
          <t>Зависит от бренда и сервиса</t>
        </is>
      </c>
    </row>
    <row r="8">
      <c r="B8" s="38" t="inlineStr">
        <is>
          <t>КИО (использование)</t>
        </is>
      </c>
      <c r="C8" s="37" t="inlineStr">
        <is>
          <t>0,72–0,75</t>
        </is>
      </c>
      <c r="D8" s="37" t="inlineStr">
        <is>
          <t>0,65–0,80</t>
        </is>
      </c>
      <c r="E8" s="38" t="inlineStr">
        <is>
          <t>Доля рабочего времени в КФВ</t>
        </is>
      </c>
    </row>
    <row r="9">
      <c r="B9" s="22" t="inlineStr">
        <is>
          <t>Часовая производительность</t>
        </is>
      </c>
      <c r="C9" s="40" t="inlineStr">
        <is>
          <t>16–20</t>
        </is>
      </c>
      <c r="D9" s="40" t="inlineStr">
        <is>
          <t>14–36 п.м/час</t>
        </is>
      </c>
      <c r="E9" s="22" t="inlineStr">
        <is>
          <t>Мощность вращателя, крепость породы, диаметр</t>
        </is>
      </c>
    </row>
    <row r="10">
      <c r="B10" s="38" t="inlineStr">
        <is>
          <t>Мощность вращателя</t>
        </is>
      </c>
      <c r="C10" s="37" t="inlineStr">
        <is>
          <t>136–173</t>
        </is>
      </c>
      <c r="D10" s="37" t="inlineStr">
        <is>
          <t>80–200 кВт</t>
        </is>
      </c>
      <c r="E10" s="38" t="inlineStr">
        <is>
          <t>Ключевой драйвер скорости бурения</t>
        </is>
      </c>
    </row>
    <row r="11">
      <c r="B11" s="22" t="inlineStr">
        <is>
          <t>Удельный расход ДТ</t>
        </is>
      </c>
      <c r="C11" s="40" t="inlineStr">
        <is>
          <t>39–94</t>
        </is>
      </c>
      <c r="D11" s="40" t="inlineStr">
        <is>
          <t>40–120 кг/ч</t>
        </is>
      </c>
      <c r="E11" s="22" t="inlineStr">
        <is>
          <t>Двигатель и режим</t>
        </is>
      </c>
    </row>
    <row r="12">
      <c r="B12" s="38" t="inlineStr">
        <is>
          <t>Выход с 1 пог.м</t>
        </is>
      </c>
      <c r="C12" s="37" t="inlineStr">
        <is>
          <t>19–49</t>
        </is>
      </c>
      <c r="D12" s="37" t="inlineStr">
        <is>
          <t>15–55 м³/пог.м</t>
        </is>
      </c>
      <c r="E12" s="38" t="inlineStr">
        <is>
          <t>Сетка БВР, диаметр скважины, порода</t>
        </is>
      </c>
    </row>
    <row r="13">
      <c r="B13" s="22" t="inlineStr">
        <is>
          <t>Срок амортизации (НУ)</t>
        </is>
      </c>
      <c r="C13" s="40" t="inlineStr">
        <is>
          <t>61 мес</t>
        </is>
      </c>
      <c r="D13" s="40" t="inlineStr">
        <is>
          <t>5–7 лет</t>
        </is>
      </c>
      <c r="E13" s="22" t="inlineStr">
        <is>
          <t>Линейная амортизация</t>
        </is>
      </c>
    </row>
    <row r="14">
      <c r="B14" s="38" t="inlineStr">
        <is>
          <t>Остаточная стоимость</t>
        </is>
      </c>
      <c r="C14" s="37" t="inlineStr">
        <is>
          <t>0–10%</t>
        </is>
      </c>
      <c r="D14" s="37" t="inlineStr">
        <is>
          <t>0–20%</t>
        </is>
      </c>
      <c r="E14" s="38" t="inlineStr">
        <is>
          <t>Реализация в конце срока</t>
        </is>
      </c>
    </row>
    <row r="15">
      <c r="B15" s="22" t="inlineStr">
        <is>
          <t>Долота (удельный расход)</t>
        </is>
      </c>
      <c r="C15" s="40" t="inlineStr">
        <is>
          <t>1–3</t>
        </is>
      </c>
      <c r="D15" s="40" t="inlineStr">
        <is>
          <t>0,5–5 шт/тыс.пог.м</t>
        </is>
      </c>
      <c r="E15" s="22" t="inlineStr">
        <is>
          <t>Порода, диаметр, тип долота</t>
        </is>
      </c>
    </row>
    <row r="17">
      <c r="B17" s="7" t="inlineStr">
        <is>
          <t>Методические примечания:</t>
        </is>
      </c>
    </row>
    <row r="18">
      <c r="B18" s="41" t="inlineStr">
        <is>
          <t>•  Часовая производительность считается по физике бурения (методика листа «W час» исходного файла): скорость бурения зависит от мощности вращателя, крепости породы и диаметра заряда.</t>
        </is>
      </c>
    </row>
    <row r="19">
      <c r="B19" s="41" t="inlineStr">
        <is>
          <t>•  ТОиР задаётся по годам (ТО, текущие и капитальные ремонты, сервис) — «рваный» график капремонтов учитывается дисконтированием.</t>
        </is>
      </c>
    </row>
    <row r="20">
      <c r="B20" s="41" t="inlineStr">
        <is>
          <t>•  Цена станков в исходном файле не заполнена — в модель подставлена ОЦЕНКА; замените жёлтые ячейки данными ТКП.</t>
        </is>
      </c>
    </row>
    <row r="21">
      <c r="B21" s="41" t="inlineStr">
        <is>
          <t>•  Значения таблицы — ориентир порядка величин, а не норматив.</t>
        </is>
      </c>
    </row>
  </sheetData>
  <mergeCells count="6">
    <mergeCell ref="B18:I18"/>
    <mergeCell ref="B21:I21"/>
    <mergeCell ref="B2:I2"/>
    <mergeCell ref="B20:I20"/>
    <mergeCell ref="B19:I19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2026-07-31T03:43:09Z</dcterms:created>
  <dcterms:modified xsi:type="dcterms:W3CDTF">2026-07-31T03:43:09Z</dcterms:modified>
</cp:coreProperties>
</file>