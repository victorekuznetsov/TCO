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javicind-my.sharepoint.cn/personal/huxudong_meilinbj_cn/Documents/桌面/山河智能钻机投标2026.5/终版2026.7.23俄文版最准确/"/>
    </mc:Choice>
  </mc:AlternateContent>
  <xr:revisionPtr revIDLastSave="19" documentId="13_ncr:1_{EEF98492-24D3-4B6E-BF6C-AC5D3D573365}" xr6:coauthVersionLast="47" xr6:coauthVersionMax="47" xr10:uidLastSave="{813DD14E-ED75-4B12-81B8-C74C16815662}"/>
  <bookViews>
    <workbookView xWindow="-120" yWindow="-120" windowWidth="29040" windowHeight="15720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  <externalReference r:id="rId5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hidden="1">'[1]4'!$B$3:$E$5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_xlnm.Print_Area" localSheetId="0">'Данные_Буровой станок'!$A$1:$Q$81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2" l="1"/>
  <c r="E51" i="2"/>
  <c r="E44" i="2"/>
  <c r="E37" i="2"/>
  <c r="E30" i="2"/>
  <c r="E23" i="2"/>
  <c r="F30" i="1"/>
  <c r="G30" i="1"/>
  <c r="H30" i="1"/>
  <c r="I30" i="1"/>
  <c r="J30" i="1"/>
  <c r="K30" i="1"/>
  <c r="L30" i="1"/>
  <c r="M30" i="1"/>
  <c r="N30" i="1"/>
  <c r="O30" i="1"/>
  <c r="P30" i="1"/>
  <c r="F31" i="1"/>
  <c r="G31" i="1"/>
  <c r="H31" i="1"/>
  <c r="I31" i="1"/>
  <c r="J31" i="1"/>
  <c r="K31" i="1"/>
  <c r="L31" i="1"/>
  <c r="M31" i="1"/>
  <c r="N31" i="1"/>
  <c r="O31" i="1"/>
  <c r="P31" i="1"/>
  <c r="F32" i="1"/>
  <c r="G32" i="1"/>
  <c r="H32" i="1"/>
  <c r="I32" i="1"/>
  <c r="J32" i="1"/>
  <c r="K32" i="1"/>
  <c r="L32" i="1"/>
  <c r="M32" i="1"/>
  <c r="N32" i="1"/>
  <c r="O32" i="1"/>
  <c r="P32" i="1"/>
  <c r="F33" i="1"/>
  <c r="G33" i="1"/>
  <c r="H33" i="1"/>
  <c r="I33" i="1"/>
  <c r="J33" i="1"/>
  <c r="K33" i="1"/>
  <c r="L33" i="1"/>
  <c r="M33" i="1"/>
  <c r="N33" i="1"/>
  <c r="O33" i="1"/>
  <c r="P33" i="1"/>
  <c r="E33" i="1"/>
  <c r="E32" i="1"/>
  <c r="E31" i="1"/>
  <c r="E30" i="1"/>
  <c r="Q3" i="3"/>
  <c r="G3" i="3"/>
  <c r="H3" i="3"/>
  <c r="I3" i="3"/>
  <c r="J3" i="3"/>
  <c r="K3" i="3"/>
  <c r="L3" i="3"/>
  <c r="M3" i="3"/>
  <c r="N3" i="3"/>
  <c r="O3" i="3"/>
  <c r="P3" i="3"/>
  <c r="F3" i="3"/>
  <c r="Q12" i="3"/>
  <c r="P12" i="3"/>
  <c r="O12" i="3"/>
  <c r="N12" i="3"/>
  <c r="M12" i="3"/>
  <c r="L12" i="3"/>
  <c r="K12" i="3"/>
  <c r="J12" i="3"/>
  <c r="I12" i="3"/>
  <c r="H12" i="3"/>
  <c r="G12" i="3"/>
  <c r="F12" i="3"/>
  <c r="Q11" i="3"/>
  <c r="P11" i="3"/>
  <c r="O11" i="3"/>
  <c r="N11" i="3"/>
  <c r="N9" i="3" s="1"/>
  <c r="M11" i="3"/>
  <c r="L11" i="3"/>
  <c r="K11" i="3"/>
  <c r="J11" i="3"/>
  <c r="I11" i="3"/>
  <c r="H11" i="3"/>
  <c r="G11" i="3"/>
  <c r="F11" i="3"/>
  <c r="F9" i="3" s="1"/>
  <c r="Q10" i="3"/>
  <c r="P10" i="3"/>
  <c r="O10" i="3"/>
  <c r="N10" i="3"/>
  <c r="M10" i="3"/>
  <c r="L10" i="3"/>
  <c r="K10" i="3"/>
  <c r="K9" i="3" s="1"/>
  <c r="J10" i="3"/>
  <c r="J9" i="3" s="1"/>
  <c r="I10" i="3"/>
  <c r="H10" i="3"/>
  <c r="G10" i="3"/>
  <c r="F10" i="3"/>
  <c r="Q9" i="3"/>
  <c r="P9" i="3"/>
  <c r="O9" i="3"/>
  <c r="M9" i="3"/>
  <c r="L9" i="3"/>
  <c r="I9" i="3"/>
  <c r="H9" i="3"/>
  <c r="G9" i="3"/>
  <c r="Q8" i="3"/>
  <c r="P8" i="3"/>
  <c r="O8" i="3"/>
  <c r="N8" i="3"/>
  <c r="M8" i="3"/>
  <c r="L8" i="3"/>
  <c r="K8" i="3"/>
  <c r="J8" i="3"/>
  <c r="I8" i="3"/>
  <c r="H8" i="3"/>
  <c r="G8" i="3"/>
  <c r="F8" i="3"/>
  <c r="E6" i="3"/>
  <c r="F6" i="3" s="1"/>
  <c r="G5" i="3" s="1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G41" i="3"/>
  <c r="I41" i="3"/>
  <c r="K41" i="3"/>
  <c r="L41" i="3"/>
  <c r="N41" i="3"/>
  <c r="P41" i="3"/>
  <c r="G42" i="3"/>
  <c r="H42" i="3"/>
  <c r="J42" i="3"/>
  <c r="K42" i="3"/>
  <c r="M42" i="3"/>
  <c r="N42" i="3"/>
  <c r="O42" i="3"/>
  <c r="G43" i="3"/>
  <c r="H43" i="3"/>
  <c r="I43" i="3"/>
  <c r="J43" i="3"/>
  <c r="K43" i="3"/>
  <c r="L43" i="3"/>
  <c r="M43" i="3"/>
  <c r="O43" i="3"/>
  <c r="P43" i="3"/>
  <c r="G44" i="3"/>
  <c r="H44" i="3"/>
  <c r="I44" i="3"/>
  <c r="J44" i="3"/>
  <c r="K44" i="3"/>
  <c r="L44" i="3"/>
  <c r="M44" i="3"/>
  <c r="O44" i="3"/>
  <c r="P44" i="3"/>
  <c r="G45" i="3"/>
  <c r="H45" i="3"/>
  <c r="J45" i="3"/>
  <c r="K45" i="3"/>
  <c r="M45" i="3"/>
  <c r="N45" i="3"/>
  <c r="O45" i="3"/>
  <c r="G46" i="3"/>
  <c r="H46" i="3"/>
  <c r="J46" i="3"/>
  <c r="K46" i="3"/>
  <c r="M46" i="3"/>
  <c r="N46" i="3"/>
  <c r="O46" i="3"/>
  <c r="G48" i="3"/>
  <c r="I48" i="3"/>
  <c r="K48" i="3"/>
  <c r="L48" i="3"/>
  <c r="N48" i="3"/>
  <c r="P48" i="3"/>
  <c r="G49" i="3"/>
  <c r="H49" i="3"/>
  <c r="J49" i="3"/>
  <c r="K49" i="3"/>
  <c r="M49" i="3"/>
  <c r="N49" i="3"/>
  <c r="O49" i="3"/>
  <c r="G50" i="3"/>
  <c r="H50" i="3"/>
  <c r="I50" i="3"/>
  <c r="J50" i="3"/>
  <c r="K50" i="3"/>
  <c r="L50" i="3"/>
  <c r="M50" i="3"/>
  <c r="O50" i="3"/>
  <c r="P50" i="3"/>
  <c r="G51" i="3"/>
  <c r="H51" i="3"/>
  <c r="I51" i="3"/>
  <c r="J51" i="3"/>
  <c r="K51" i="3"/>
  <c r="L51" i="3"/>
  <c r="M51" i="3"/>
  <c r="O51" i="3"/>
  <c r="P51" i="3"/>
  <c r="G52" i="3"/>
  <c r="H52" i="3"/>
  <c r="I52" i="3"/>
  <c r="J52" i="3"/>
  <c r="K52" i="3"/>
  <c r="L52" i="3"/>
  <c r="M52" i="3"/>
  <c r="O52" i="3"/>
  <c r="P52" i="3"/>
  <c r="G53" i="3"/>
  <c r="H53" i="3"/>
  <c r="I53" i="3"/>
  <c r="J53" i="3"/>
  <c r="K53" i="3"/>
  <c r="L53" i="3"/>
  <c r="M53" i="3"/>
  <c r="O53" i="3"/>
  <c r="P53" i="3"/>
  <c r="G55" i="3"/>
  <c r="I55" i="3"/>
  <c r="K55" i="3"/>
  <c r="L55" i="3"/>
  <c r="N55" i="3"/>
  <c r="P55" i="3"/>
  <c r="G56" i="3"/>
  <c r="I56" i="3"/>
  <c r="K56" i="3"/>
  <c r="L56" i="3"/>
  <c r="N56" i="3"/>
  <c r="P56" i="3"/>
  <c r="G57" i="3"/>
  <c r="H57" i="3"/>
  <c r="J57" i="3"/>
  <c r="K57" i="3"/>
  <c r="M57" i="3"/>
  <c r="N57" i="3"/>
  <c r="O57" i="3"/>
  <c r="G58" i="3"/>
  <c r="H58" i="3"/>
  <c r="J58" i="3"/>
  <c r="K58" i="3"/>
  <c r="M58" i="3"/>
  <c r="N58" i="3"/>
  <c r="O58" i="3"/>
  <c r="G59" i="3"/>
  <c r="I59" i="3"/>
  <c r="K59" i="3"/>
  <c r="L59" i="3"/>
  <c r="N59" i="3"/>
  <c r="P59" i="3"/>
  <c r="H61" i="3"/>
  <c r="K61" i="3"/>
  <c r="N61" i="3"/>
  <c r="H62" i="3"/>
  <c r="K62" i="3"/>
  <c r="N62" i="3"/>
  <c r="G63" i="3"/>
  <c r="H63" i="3"/>
  <c r="I63" i="3"/>
  <c r="J63" i="3"/>
  <c r="K63" i="3"/>
  <c r="L63" i="3"/>
  <c r="M63" i="3"/>
  <c r="O63" i="3"/>
  <c r="P63" i="3"/>
  <c r="G64" i="3"/>
  <c r="H64" i="3"/>
  <c r="I64" i="3"/>
  <c r="J64" i="3"/>
  <c r="K64" i="3"/>
  <c r="L64" i="3"/>
  <c r="M64" i="3"/>
  <c r="O64" i="3"/>
  <c r="P64" i="3"/>
  <c r="G65" i="3"/>
  <c r="I65" i="3"/>
  <c r="K65" i="3"/>
  <c r="L65" i="3"/>
  <c r="N65" i="3"/>
  <c r="P65" i="3"/>
  <c r="G67" i="3"/>
  <c r="I67" i="3"/>
  <c r="K67" i="3"/>
  <c r="L67" i="3"/>
  <c r="N67" i="3"/>
  <c r="P67" i="3"/>
  <c r="G68" i="3"/>
  <c r="H68" i="3"/>
  <c r="I68" i="3"/>
  <c r="J68" i="3"/>
  <c r="K68" i="3"/>
  <c r="L68" i="3"/>
  <c r="M68" i="3"/>
  <c r="O68" i="3"/>
  <c r="P68" i="3"/>
  <c r="G69" i="3"/>
  <c r="I69" i="3"/>
  <c r="K69" i="3"/>
  <c r="L69" i="3"/>
  <c r="N69" i="3"/>
  <c r="P69" i="3"/>
  <c r="F70" i="3"/>
  <c r="F39" i="3" s="1"/>
  <c r="G70" i="3"/>
  <c r="H70" i="3"/>
  <c r="I70" i="3"/>
  <c r="J70" i="3"/>
  <c r="K70" i="3"/>
  <c r="L70" i="3"/>
  <c r="M70" i="3"/>
  <c r="N70" i="3"/>
  <c r="O70" i="3"/>
  <c r="P70" i="3"/>
  <c r="F71" i="3"/>
  <c r="G71" i="3"/>
  <c r="H71" i="3"/>
  <c r="I71" i="3"/>
  <c r="J71" i="3"/>
  <c r="K71" i="3"/>
  <c r="L71" i="3"/>
  <c r="M71" i="3"/>
  <c r="N71" i="3"/>
  <c r="O71" i="3"/>
  <c r="P71" i="3"/>
  <c r="G73" i="3"/>
  <c r="I73" i="3"/>
  <c r="K73" i="3"/>
  <c r="L73" i="3"/>
  <c r="N73" i="3"/>
  <c r="P73" i="3"/>
  <c r="G74" i="3"/>
  <c r="H74" i="3"/>
  <c r="I74" i="3"/>
  <c r="J74" i="3"/>
  <c r="K74" i="3"/>
  <c r="L74" i="3"/>
  <c r="M74" i="3"/>
  <c r="O74" i="3"/>
  <c r="P74" i="3"/>
  <c r="G75" i="3"/>
  <c r="H75" i="3"/>
  <c r="I75" i="3"/>
  <c r="J75" i="3"/>
  <c r="K75" i="3"/>
  <c r="L75" i="3"/>
  <c r="M75" i="3"/>
  <c r="O75" i="3"/>
  <c r="P75" i="3"/>
  <c r="F76" i="3"/>
  <c r="G76" i="3"/>
  <c r="H76" i="3"/>
  <c r="I76" i="3"/>
  <c r="J76" i="3"/>
  <c r="K76" i="3"/>
  <c r="L76" i="3"/>
  <c r="M76" i="3"/>
  <c r="N76" i="3"/>
  <c r="O76" i="3"/>
  <c r="P76" i="3"/>
  <c r="F77" i="3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77" i="3" s="1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N34" i="3"/>
  <c r="M34" i="3"/>
  <c r="M33" i="3" s="1"/>
  <c r="L34" i="3"/>
  <c r="L33" i="3" s="1"/>
  <c r="K34" i="3"/>
  <c r="K33" i="3" s="1"/>
  <c r="J34" i="3"/>
  <c r="J33" i="3" s="1"/>
  <c r="I34" i="3"/>
  <c r="H34" i="3"/>
  <c r="G34" i="3"/>
  <c r="F34" i="3"/>
  <c r="Q33" i="3"/>
  <c r="P33" i="3"/>
  <c r="O33" i="3"/>
  <c r="N33" i="3"/>
  <c r="I33" i="3"/>
  <c r="H33" i="3"/>
  <c r="G33" i="3"/>
  <c r="F33" i="3"/>
  <c r="Q29" i="3"/>
  <c r="P29" i="3"/>
  <c r="O29" i="3"/>
  <c r="N29" i="3"/>
  <c r="M29" i="3"/>
  <c r="L29" i="3"/>
  <c r="K29" i="3"/>
  <c r="J29" i="3"/>
  <c r="I29" i="3"/>
  <c r="H29" i="3"/>
  <c r="G29" i="3"/>
  <c r="F29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Q26" i="3"/>
  <c r="P26" i="3"/>
  <c r="O26" i="3"/>
  <c r="N26" i="3"/>
  <c r="M26" i="3"/>
  <c r="L26" i="3"/>
  <c r="K26" i="3"/>
  <c r="J26" i="3"/>
  <c r="I26" i="3"/>
  <c r="H26" i="3"/>
  <c r="G26" i="3"/>
  <c r="F26" i="3"/>
  <c r="Q25" i="3"/>
  <c r="P25" i="3"/>
  <c r="O25" i="3"/>
  <c r="N25" i="3"/>
  <c r="M25" i="3"/>
  <c r="L25" i="3"/>
  <c r="K25" i="3"/>
  <c r="J25" i="3"/>
  <c r="I25" i="3"/>
  <c r="H25" i="3"/>
  <c r="G25" i="3"/>
  <c r="F25" i="3"/>
  <c r="Q21" i="3"/>
  <c r="P21" i="3"/>
  <c r="O21" i="3"/>
  <c r="N21" i="3"/>
  <c r="M21" i="3"/>
  <c r="L21" i="3"/>
  <c r="K21" i="3"/>
  <c r="J21" i="3"/>
  <c r="I21" i="3"/>
  <c r="H21" i="3"/>
  <c r="G21" i="3"/>
  <c r="F21" i="3"/>
  <c r="Q20" i="3"/>
  <c r="P20" i="3"/>
  <c r="O20" i="3"/>
  <c r="N20" i="3"/>
  <c r="M20" i="3"/>
  <c r="L20" i="3"/>
  <c r="K20" i="3"/>
  <c r="J20" i="3"/>
  <c r="I20" i="3"/>
  <c r="H20" i="3"/>
  <c r="G20" i="3"/>
  <c r="F20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P16" i="3" s="1"/>
  <c r="O17" i="3"/>
  <c r="O16" i="3" s="1"/>
  <c r="N17" i="3"/>
  <c r="N16" i="3" s="1"/>
  <c r="M17" i="3"/>
  <c r="L17" i="3"/>
  <c r="K17" i="3"/>
  <c r="J17" i="3"/>
  <c r="I17" i="3"/>
  <c r="H17" i="3"/>
  <c r="G17" i="3"/>
  <c r="F17" i="3"/>
  <c r="F16" i="3" s="1"/>
  <c r="Q16" i="3"/>
  <c r="M16" i="3"/>
  <c r="L16" i="3"/>
  <c r="K16" i="3"/>
  <c r="J16" i="3"/>
  <c r="I16" i="3"/>
  <c r="H16" i="3"/>
  <c r="G16" i="3"/>
  <c r="R19" i="2"/>
  <c r="Q19" i="2"/>
  <c r="O19" i="2"/>
  <c r="M19" i="2"/>
  <c r="L19" i="2"/>
  <c r="J19" i="2"/>
  <c r="H19" i="2"/>
  <c r="R18" i="2"/>
  <c r="J18" i="2"/>
  <c r="E18" i="2"/>
  <c r="Q18" i="2" s="1"/>
  <c r="O17" i="2"/>
  <c r="G17" i="2"/>
  <c r="E17" i="2"/>
  <c r="N17" i="2" s="1"/>
  <c r="L16" i="2"/>
  <c r="K16" i="2"/>
  <c r="E16" i="2"/>
  <c r="R16" i="2" s="1"/>
  <c r="Q15" i="2"/>
  <c r="P15" i="2"/>
  <c r="M15" i="2"/>
  <c r="K15" i="2"/>
  <c r="I15" i="2"/>
  <c r="H15" i="2"/>
  <c r="E15" i="2"/>
  <c r="O15" i="2" s="1"/>
  <c r="E14" i="2"/>
  <c r="M14" i="2" s="1"/>
  <c r="Q76" i="3"/>
  <c r="Q75" i="3"/>
  <c r="Q74" i="3"/>
  <c r="Q73" i="3"/>
  <c r="Q71" i="3"/>
  <c r="Q70" i="3"/>
  <c r="Q69" i="3"/>
  <c r="Q68" i="3"/>
  <c r="Q67" i="3"/>
  <c r="Q65" i="3"/>
  <c r="Q64" i="3"/>
  <c r="Q63" i="3"/>
  <c r="Q62" i="3"/>
  <c r="Q61" i="3"/>
  <c r="Q59" i="3"/>
  <c r="Q58" i="3"/>
  <c r="Q57" i="3"/>
  <c r="Q56" i="3"/>
  <c r="Q55" i="3"/>
  <c r="Q53" i="3"/>
  <c r="Q52" i="3"/>
  <c r="Q51" i="3"/>
  <c r="Q50" i="3"/>
  <c r="Q49" i="3"/>
  <c r="Q48" i="3"/>
  <c r="Q46" i="3"/>
  <c r="Q45" i="3"/>
  <c r="Q44" i="3"/>
  <c r="Q43" i="3"/>
  <c r="Q42" i="3"/>
  <c r="Q41" i="3"/>
  <c r="P44" i="1"/>
  <c r="O44" i="1"/>
  <c r="N44" i="1"/>
  <c r="M44" i="1"/>
  <c r="L44" i="1"/>
  <c r="K44" i="1"/>
  <c r="J44" i="1"/>
  <c r="I44" i="1"/>
  <c r="H44" i="1"/>
  <c r="G44" i="1"/>
  <c r="F44" i="1"/>
  <c r="E44" i="1"/>
  <c r="P41" i="1"/>
  <c r="O41" i="1"/>
  <c r="N41" i="1"/>
  <c r="M41" i="1"/>
  <c r="L41" i="1"/>
  <c r="K41" i="1"/>
  <c r="J41" i="1"/>
  <c r="I41" i="1"/>
  <c r="H41" i="1"/>
  <c r="G41" i="1"/>
  <c r="F41" i="1"/>
  <c r="E41" i="1"/>
  <c r="P38" i="1"/>
  <c r="O38" i="1"/>
  <c r="N38" i="1"/>
  <c r="M38" i="1"/>
  <c r="L38" i="1"/>
  <c r="K38" i="1"/>
  <c r="J38" i="1"/>
  <c r="I38" i="1"/>
  <c r="H38" i="1"/>
  <c r="G38" i="1"/>
  <c r="F38" i="1"/>
  <c r="E38" i="1"/>
  <c r="B26" i="3"/>
  <c r="B27" i="3"/>
  <c r="B28" i="3"/>
  <c r="B29" i="3"/>
  <c r="B25" i="3"/>
  <c r="G6" i="3" l="1"/>
  <c r="H39" i="3"/>
  <c r="G39" i="3"/>
  <c r="P39" i="3"/>
  <c r="M39" i="3"/>
  <c r="O39" i="3"/>
  <c r="N39" i="3"/>
  <c r="L39" i="3"/>
  <c r="K39" i="3"/>
  <c r="I39" i="3"/>
  <c r="J39" i="3"/>
  <c r="G14" i="2"/>
  <c r="O14" i="2"/>
  <c r="J15" i="2"/>
  <c r="R15" i="2"/>
  <c r="M16" i="2"/>
  <c r="H17" i="2"/>
  <c r="P17" i="2"/>
  <c r="K18" i="2"/>
  <c r="H14" i="2"/>
  <c r="P14" i="2"/>
  <c r="N16" i="2"/>
  <c r="I17" i="2"/>
  <c r="Q17" i="2"/>
  <c r="L18" i="2"/>
  <c r="I14" i="2"/>
  <c r="Q14" i="2"/>
  <c r="L15" i="2"/>
  <c r="G16" i="2"/>
  <c r="O16" i="2"/>
  <c r="J17" i="2"/>
  <c r="R17" i="2"/>
  <c r="M18" i="2"/>
  <c r="N18" i="2"/>
  <c r="K14" i="2"/>
  <c r="N15" i="2"/>
  <c r="I16" i="2"/>
  <c r="Q16" i="2"/>
  <c r="L17" i="2"/>
  <c r="G18" i="2"/>
  <c r="O18" i="2"/>
  <c r="J14" i="2"/>
  <c r="R14" i="2"/>
  <c r="H16" i="2"/>
  <c r="P16" i="2"/>
  <c r="K17" i="2"/>
  <c r="L14" i="2"/>
  <c r="G15" i="2"/>
  <c r="J16" i="2"/>
  <c r="M17" i="2"/>
  <c r="H18" i="2"/>
  <c r="P18" i="2"/>
  <c r="N14" i="2"/>
  <c r="I18" i="2"/>
  <c r="Q39" i="3"/>
  <c r="H5" i="3" l="1"/>
  <c r="H6" i="3"/>
  <c r="R43" i="2"/>
  <c r="R50" i="2"/>
  <c r="R54" i="2"/>
  <c r="R62" i="2"/>
  <c r="R48" i="2"/>
  <c r="R52" i="2"/>
  <c r="R53" i="2"/>
  <c r="R56" i="2"/>
  <c r="R57" i="2"/>
  <c r="I5" i="3" l="1"/>
  <c r="I6" i="3"/>
  <c r="R61" i="2"/>
  <c r="R59" i="2"/>
  <c r="R63" i="2"/>
  <c r="R55" i="2"/>
  <c r="R42" i="2"/>
  <c r="R41" i="2"/>
  <c r="R40" i="2"/>
  <c r="R39" i="2"/>
  <c r="R38" i="2"/>
  <c r="R60" i="2"/>
  <c r="R49" i="2"/>
  <c r="R47" i="2"/>
  <c r="R64" i="2"/>
  <c r="R46" i="2"/>
  <c r="R45" i="2"/>
  <c r="J5" i="3" l="1"/>
  <c r="J6" i="3"/>
  <c r="D23" i="3"/>
  <c r="P64" i="2"/>
  <c r="N64" i="2"/>
  <c r="K64" i="2"/>
  <c r="I64" i="2"/>
  <c r="G64" i="2"/>
  <c r="P63" i="2"/>
  <c r="N63" i="2"/>
  <c r="K63" i="2"/>
  <c r="I63" i="2"/>
  <c r="G63" i="2"/>
  <c r="P62" i="2"/>
  <c r="N62" i="2"/>
  <c r="K62" i="2"/>
  <c r="I62" i="2"/>
  <c r="G62" i="2"/>
  <c r="P61" i="2"/>
  <c r="N61" i="2"/>
  <c r="K61" i="2"/>
  <c r="I61" i="2"/>
  <c r="G61" i="2"/>
  <c r="P60" i="2"/>
  <c r="N60" i="2"/>
  <c r="K60" i="2"/>
  <c r="I60" i="2"/>
  <c r="G60" i="2"/>
  <c r="P59" i="2"/>
  <c r="N59" i="2"/>
  <c r="K59" i="2"/>
  <c r="I59" i="2"/>
  <c r="G59" i="2"/>
  <c r="F51" i="2"/>
  <c r="F44" i="2"/>
  <c r="F37" i="2"/>
  <c r="K53" i="2"/>
  <c r="P47" i="2"/>
  <c r="O45" i="2"/>
  <c r="M46" i="2"/>
  <c r="H49" i="2"/>
  <c r="G45" i="2"/>
  <c r="Q40" i="2"/>
  <c r="P38" i="2"/>
  <c r="O39" i="2"/>
  <c r="L39" i="2"/>
  <c r="K41" i="2"/>
  <c r="J40" i="2"/>
  <c r="I42" i="2"/>
  <c r="H40" i="2"/>
  <c r="G39" i="2"/>
  <c r="P29" i="2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K6" i="3" l="1"/>
  <c r="K5" i="3"/>
  <c r="D29" i="3"/>
  <c r="D27" i="3"/>
  <c r="D26" i="3"/>
  <c r="D25" i="3"/>
  <c r="D28" i="3"/>
  <c r="N8" i="1"/>
  <c r="Q35" i="2"/>
  <c r="Q36" i="2"/>
  <c r="Q31" i="2"/>
  <c r="H38" i="2"/>
  <c r="J38" i="2"/>
  <c r="O35" i="2"/>
  <c r="F30" i="2"/>
  <c r="L25" i="2"/>
  <c r="N26" i="2"/>
  <c r="O27" i="2"/>
  <c r="M48" i="2"/>
  <c r="P49" i="2"/>
  <c r="I40" i="2"/>
  <c r="P28" i="2"/>
  <c r="F23" i="2"/>
  <c r="O40" i="2"/>
  <c r="P45" i="2"/>
  <c r="I38" i="2"/>
  <c r="Q34" i="2"/>
  <c r="H47" i="2"/>
  <c r="J35" i="2"/>
  <c r="O47" i="2"/>
  <c r="H28" i="2"/>
  <c r="K31" i="2"/>
  <c r="J42" i="2"/>
  <c r="G26" i="2"/>
  <c r="G24" i="2"/>
  <c r="G29" i="2"/>
  <c r="G27" i="2"/>
  <c r="G25" i="2"/>
  <c r="K35" i="2"/>
  <c r="M42" i="2"/>
  <c r="M40" i="2"/>
  <c r="M38" i="2"/>
  <c r="M43" i="2"/>
  <c r="M39" i="2"/>
  <c r="I50" i="2"/>
  <c r="I48" i="2"/>
  <c r="I46" i="2"/>
  <c r="I47" i="2"/>
  <c r="I49" i="2"/>
  <c r="I45" i="2"/>
  <c r="Q50" i="2"/>
  <c r="Q48" i="2"/>
  <c r="Q46" i="2"/>
  <c r="Q45" i="2"/>
  <c r="Q47" i="2"/>
  <c r="Q49" i="2"/>
  <c r="M56" i="2"/>
  <c r="M54" i="2"/>
  <c r="M52" i="2"/>
  <c r="M57" i="2"/>
  <c r="M55" i="2"/>
  <c r="M53" i="2"/>
  <c r="L63" i="2"/>
  <c r="L61" i="2"/>
  <c r="L59" i="2"/>
  <c r="L64" i="2"/>
  <c r="L62" i="2"/>
  <c r="L60" i="2"/>
  <c r="H25" i="2"/>
  <c r="L33" i="2"/>
  <c r="L34" i="2"/>
  <c r="L31" i="2"/>
  <c r="L13" i="2"/>
  <c r="L7" i="2" s="1"/>
  <c r="J7" i="1" s="1"/>
  <c r="L35" i="2"/>
  <c r="L32" i="2"/>
  <c r="L36" i="2"/>
  <c r="N42" i="2"/>
  <c r="N40" i="2"/>
  <c r="N38" i="2"/>
  <c r="N39" i="2"/>
  <c r="N43" i="2"/>
  <c r="N41" i="2"/>
  <c r="J50" i="2"/>
  <c r="J48" i="2"/>
  <c r="J46" i="2"/>
  <c r="J49" i="2"/>
  <c r="J47" i="2"/>
  <c r="J45" i="2"/>
  <c r="N57" i="2"/>
  <c r="N55" i="2"/>
  <c r="N53" i="2"/>
  <c r="N56" i="2"/>
  <c r="N54" i="2"/>
  <c r="N52" i="2"/>
  <c r="M64" i="2"/>
  <c r="M62" i="2"/>
  <c r="M60" i="2"/>
  <c r="M63" i="2"/>
  <c r="M61" i="2"/>
  <c r="M59" i="2"/>
  <c r="K32" i="2"/>
  <c r="M41" i="2"/>
  <c r="I27" i="2"/>
  <c r="I25" i="2"/>
  <c r="I29" i="2"/>
  <c r="I28" i="2"/>
  <c r="I13" i="2"/>
  <c r="I7" i="2" s="1"/>
  <c r="G7" i="1" s="1"/>
  <c r="I26" i="2"/>
  <c r="G41" i="2"/>
  <c r="G43" i="2"/>
  <c r="G57" i="2"/>
  <c r="G55" i="2"/>
  <c r="G53" i="2"/>
  <c r="G56" i="2"/>
  <c r="G52" i="2"/>
  <c r="H42" i="2"/>
  <c r="H43" i="2"/>
  <c r="H41" i="2"/>
  <c r="H39" i="2"/>
  <c r="P42" i="2"/>
  <c r="P43" i="2"/>
  <c r="P41" i="2"/>
  <c r="P39" i="2"/>
  <c r="P40" i="2"/>
  <c r="L49" i="2"/>
  <c r="L47" i="2"/>
  <c r="L45" i="2"/>
  <c r="L48" i="2"/>
  <c r="L50" i="2"/>
  <c r="H57" i="2"/>
  <c r="H55" i="2"/>
  <c r="H53" i="2"/>
  <c r="H56" i="2"/>
  <c r="H54" i="2"/>
  <c r="H52" i="2"/>
  <c r="P57" i="2"/>
  <c r="P55" i="2"/>
  <c r="P53" i="2"/>
  <c r="P56" i="2"/>
  <c r="P54" i="2"/>
  <c r="P52" i="2"/>
  <c r="Q63" i="2"/>
  <c r="Q61" i="2"/>
  <c r="Q59" i="2"/>
  <c r="Q64" i="2"/>
  <c r="Q62" i="2"/>
  <c r="Q60" i="2"/>
  <c r="Q32" i="2"/>
  <c r="L29" i="2"/>
  <c r="L10" i="2"/>
  <c r="L28" i="2"/>
  <c r="L26" i="2"/>
  <c r="L24" i="2"/>
  <c r="O43" i="2"/>
  <c r="O38" i="2"/>
  <c r="O42" i="2"/>
  <c r="K49" i="2"/>
  <c r="K47" i="2"/>
  <c r="K45" i="2"/>
  <c r="K46" i="2"/>
  <c r="K48" i="2"/>
  <c r="K50" i="2"/>
  <c r="O57" i="2"/>
  <c r="O55" i="2"/>
  <c r="O53" i="2"/>
  <c r="O56" i="2"/>
  <c r="O52" i="2"/>
  <c r="O54" i="2"/>
  <c r="O64" i="2"/>
  <c r="O62" i="2"/>
  <c r="O60" i="2"/>
  <c r="O63" i="2"/>
  <c r="O61" i="2"/>
  <c r="O59" i="2"/>
  <c r="O41" i="2"/>
  <c r="H6" i="2"/>
  <c r="G42" i="2"/>
  <c r="G54" i="2"/>
  <c r="P27" i="2"/>
  <c r="P25" i="2"/>
  <c r="P24" i="2"/>
  <c r="I36" i="2"/>
  <c r="I31" i="2"/>
  <c r="I35" i="2"/>
  <c r="I34" i="2"/>
  <c r="K39" i="2"/>
  <c r="K40" i="2"/>
  <c r="K43" i="2"/>
  <c r="K38" i="2"/>
  <c r="K42" i="2"/>
  <c r="G50" i="2"/>
  <c r="G48" i="2"/>
  <c r="G46" i="2"/>
  <c r="G47" i="2"/>
  <c r="G49" i="2"/>
  <c r="O50" i="2"/>
  <c r="O48" i="2"/>
  <c r="O46" i="2"/>
  <c r="O49" i="2"/>
  <c r="K56" i="2"/>
  <c r="K54" i="2"/>
  <c r="K52" i="2"/>
  <c r="K57" i="2"/>
  <c r="K55" i="2"/>
  <c r="H64" i="2"/>
  <c r="H62" i="2"/>
  <c r="H60" i="2"/>
  <c r="H63" i="2"/>
  <c r="H61" i="2"/>
  <c r="H59" i="2"/>
  <c r="P26" i="2"/>
  <c r="Q33" i="2"/>
  <c r="G38" i="2"/>
  <c r="G40" i="2"/>
  <c r="L46" i="2"/>
  <c r="I43" i="2"/>
  <c r="I41" i="2"/>
  <c r="I39" i="2"/>
  <c r="Q43" i="2"/>
  <c r="Q41" i="2"/>
  <c r="Q39" i="2"/>
  <c r="M49" i="2"/>
  <c r="M47" i="2"/>
  <c r="M45" i="2"/>
  <c r="I57" i="2"/>
  <c r="I55" i="2"/>
  <c r="I53" i="2"/>
  <c r="I56" i="2"/>
  <c r="I54" i="2"/>
  <c r="I52" i="2"/>
  <c r="Q57" i="2"/>
  <c r="Q55" i="2"/>
  <c r="Q53" i="2"/>
  <c r="Q56" i="2"/>
  <c r="Q54" i="2"/>
  <c r="Q52" i="2"/>
  <c r="J43" i="2"/>
  <c r="J41" i="2"/>
  <c r="J39" i="2"/>
  <c r="N49" i="2"/>
  <c r="N47" i="2"/>
  <c r="N45" i="2"/>
  <c r="N50" i="2"/>
  <c r="N48" i="2"/>
  <c r="N46" i="2"/>
  <c r="J56" i="2"/>
  <c r="J54" i="2"/>
  <c r="J52" i="2"/>
  <c r="J57" i="2"/>
  <c r="J55" i="2"/>
  <c r="J53" i="2"/>
  <c r="Q42" i="2"/>
  <c r="L43" i="2"/>
  <c r="L41" i="2"/>
  <c r="L42" i="2"/>
  <c r="L40" i="2"/>
  <c r="L38" i="2"/>
  <c r="H50" i="2"/>
  <c r="H48" i="2"/>
  <c r="H46" i="2"/>
  <c r="P50" i="2"/>
  <c r="P48" i="2"/>
  <c r="P46" i="2"/>
  <c r="L56" i="2"/>
  <c r="L54" i="2"/>
  <c r="L52" i="2"/>
  <c r="L57" i="2"/>
  <c r="L55" i="2"/>
  <c r="L53" i="2"/>
  <c r="J63" i="2"/>
  <c r="J61" i="2"/>
  <c r="J59" i="2"/>
  <c r="J64" i="2"/>
  <c r="J62" i="2"/>
  <c r="J60" i="2"/>
  <c r="Q38" i="2"/>
  <c r="H45" i="2"/>
  <c r="M50" i="2"/>
  <c r="L6" i="3" l="1"/>
  <c r="L5" i="3"/>
  <c r="N29" i="2"/>
  <c r="N28" i="2"/>
  <c r="N24" i="2"/>
  <c r="L27" i="2"/>
  <c r="N10" i="2"/>
  <c r="G28" i="2"/>
  <c r="G10" i="2"/>
  <c r="K36" i="2"/>
  <c r="K33" i="2"/>
  <c r="P8" i="1"/>
  <c r="K8" i="1"/>
  <c r="J8" i="1"/>
  <c r="H8" i="1"/>
  <c r="L8" i="1"/>
  <c r="I8" i="1"/>
  <c r="G8" i="1"/>
  <c r="O8" i="1"/>
  <c r="G13" i="2"/>
  <c r="H13" i="2"/>
  <c r="H7" i="2" s="1"/>
  <c r="F7" i="1" s="1"/>
  <c r="G31" i="2"/>
  <c r="O13" i="2"/>
  <c r="O7" i="2" s="1"/>
  <c r="M7" i="1" s="1"/>
  <c r="H27" i="2"/>
  <c r="G36" i="2"/>
  <c r="O24" i="2"/>
  <c r="J33" i="2"/>
  <c r="G32" i="2"/>
  <c r="O26" i="2"/>
  <c r="J31" i="2"/>
  <c r="O28" i="2"/>
  <c r="O31" i="2"/>
  <c r="J32" i="2"/>
  <c r="R25" i="2"/>
  <c r="R26" i="2"/>
  <c r="R10" i="2"/>
  <c r="R27" i="2"/>
  <c r="R13" i="2"/>
  <c r="R7" i="2" s="1"/>
  <c r="P7" i="1" s="1"/>
  <c r="R28" i="2"/>
  <c r="R29" i="2"/>
  <c r="R24" i="2"/>
  <c r="O10" i="2"/>
  <c r="O36" i="2"/>
  <c r="J34" i="2"/>
  <c r="R32" i="2"/>
  <c r="R34" i="2"/>
  <c r="R35" i="2"/>
  <c r="R36" i="2"/>
  <c r="R31" i="2"/>
  <c r="R33" i="2"/>
  <c r="O33" i="2"/>
  <c r="O32" i="2"/>
  <c r="O25" i="2"/>
  <c r="O29" i="2"/>
  <c r="N27" i="2"/>
  <c r="H26" i="2"/>
  <c r="N25" i="2"/>
  <c r="O34" i="2"/>
  <c r="K34" i="2"/>
  <c r="H29" i="2"/>
  <c r="H24" i="2"/>
  <c r="G34" i="2"/>
  <c r="G35" i="2"/>
  <c r="G33" i="2"/>
  <c r="I24" i="2"/>
  <c r="I10" i="2"/>
  <c r="I33" i="2"/>
  <c r="I32" i="2"/>
  <c r="H10" i="2"/>
  <c r="J36" i="2"/>
  <c r="M8" i="1"/>
  <c r="E8" i="1"/>
  <c r="F8" i="1"/>
  <c r="M29" i="2"/>
  <c r="M28" i="2"/>
  <c r="M26" i="2"/>
  <c r="M24" i="2"/>
  <c r="M13" i="2"/>
  <c r="M7" i="2" s="1"/>
  <c r="K7" i="1" s="1"/>
  <c r="M27" i="2"/>
  <c r="M25" i="2"/>
  <c r="M10" i="2"/>
  <c r="Q27" i="2"/>
  <c r="Q25" i="2"/>
  <c r="Q24" i="2"/>
  <c r="Q29" i="2"/>
  <c r="Q10" i="2"/>
  <c r="Q13" i="2"/>
  <c r="Q7" i="2" s="1"/>
  <c r="O7" i="1" s="1"/>
  <c r="Q28" i="2"/>
  <c r="Q26" i="2"/>
  <c r="N35" i="2"/>
  <c r="N33" i="2"/>
  <c r="N31" i="2"/>
  <c r="N32" i="2"/>
  <c r="N36" i="2"/>
  <c r="N13" i="2"/>
  <c r="N7" i="2" s="1"/>
  <c r="L7" i="1" s="1"/>
  <c r="N34" i="2"/>
  <c r="M34" i="2"/>
  <c r="M32" i="2"/>
  <c r="M36" i="2"/>
  <c r="M33" i="2"/>
  <c r="M35" i="2"/>
  <c r="M31" i="2"/>
  <c r="J13" i="2"/>
  <c r="J7" i="2" s="1"/>
  <c r="H7" i="1" s="1"/>
  <c r="J29" i="2"/>
  <c r="J25" i="2"/>
  <c r="J28" i="2"/>
  <c r="J26" i="2"/>
  <c r="J24" i="2"/>
  <c r="J27" i="2"/>
  <c r="J10" i="2"/>
  <c r="L22" i="2"/>
  <c r="L9" i="2" s="1"/>
  <c r="J29" i="1" s="1"/>
  <c r="J28" i="1" s="1"/>
  <c r="P32" i="2"/>
  <c r="P36" i="2"/>
  <c r="P31" i="2"/>
  <c r="P33" i="2"/>
  <c r="P35" i="2"/>
  <c r="P34" i="2"/>
  <c r="H35" i="2"/>
  <c r="H32" i="2"/>
  <c r="H34" i="2"/>
  <c r="H31" i="2"/>
  <c r="H36" i="2"/>
  <c r="H33" i="2"/>
  <c r="P10" i="2"/>
  <c r="K27" i="2"/>
  <c r="K25" i="2"/>
  <c r="K10" i="2"/>
  <c r="K28" i="2"/>
  <c r="K26" i="2"/>
  <c r="K13" i="2"/>
  <c r="K7" i="2" s="1"/>
  <c r="I7" i="1" s="1"/>
  <c r="K24" i="2"/>
  <c r="K29" i="2"/>
  <c r="P13" i="2"/>
  <c r="P7" i="2" s="1"/>
  <c r="N7" i="1" s="1"/>
  <c r="N9" i="1" s="1"/>
  <c r="I6" i="2"/>
  <c r="I5" i="2"/>
  <c r="M6" i="3" l="1"/>
  <c r="M5" i="3"/>
  <c r="L8" i="2"/>
  <c r="G22" i="2"/>
  <c r="G9" i="2" s="1"/>
  <c r="E29" i="1" s="1"/>
  <c r="E28" i="1" s="1"/>
  <c r="G7" i="2"/>
  <c r="E7" i="1" s="1"/>
  <c r="E9" i="1" s="1"/>
  <c r="O22" i="2"/>
  <c r="O9" i="2" s="1"/>
  <c r="F9" i="1"/>
  <c r="G9" i="1"/>
  <c r="P9" i="1"/>
  <c r="O9" i="1"/>
  <c r="L9" i="1"/>
  <c r="H9" i="1"/>
  <c r="M9" i="1"/>
  <c r="J9" i="1"/>
  <c r="K9" i="1"/>
  <c r="I9" i="1"/>
  <c r="I22" i="2"/>
  <c r="I9" i="2" s="1"/>
  <c r="G29" i="1" s="1"/>
  <c r="G28" i="1" s="1"/>
  <c r="R22" i="2"/>
  <c r="R9" i="2" s="1"/>
  <c r="P29" i="1" s="1"/>
  <c r="P28" i="1" s="1"/>
  <c r="P22" i="2"/>
  <c r="P9" i="2" s="1"/>
  <c r="N29" i="1" s="1"/>
  <c r="N28" i="1" s="1"/>
  <c r="N22" i="2"/>
  <c r="N9" i="2" s="1"/>
  <c r="L29" i="1" s="1"/>
  <c r="L28" i="1" s="1"/>
  <c r="Q22" i="2"/>
  <c r="Q9" i="2" s="1"/>
  <c r="O29" i="1" s="1"/>
  <c r="O28" i="1" s="1"/>
  <c r="K22" i="2"/>
  <c r="K9" i="2" s="1"/>
  <c r="I29" i="1" s="1"/>
  <c r="I28" i="1" s="1"/>
  <c r="J5" i="2"/>
  <c r="J6" i="2"/>
  <c r="M22" i="2"/>
  <c r="M9" i="2" s="1"/>
  <c r="K29" i="1" s="1"/>
  <c r="K28" i="1" s="1"/>
  <c r="J22" i="2"/>
  <c r="J9" i="2" s="1"/>
  <c r="H29" i="1" s="1"/>
  <c r="H28" i="1" s="1"/>
  <c r="H22" i="2"/>
  <c r="H9" i="2" s="1"/>
  <c r="F29" i="1" s="1"/>
  <c r="F28" i="1" s="1"/>
  <c r="O8" i="2" l="1"/>
  <c r="M29" i="1"/>
  <c r="M28" i="1" s="1"/>
  <c r="N6" i="3"/>
  <c r="N5" i="3"/>
  <c r="Q8" i="2"/>
  <c r="N8" i="2"/>
  <c r="P8" i="2"/>
  <c r="M8" i="2"/>
  <c r="R8" i="2"/>
  <c r="I8" i="2"/>
  <c r="G8" i="2"/>
  <c r="H8" i="2"/>
  <c r="J8" i="2"/>
  <c r="K8" i="2"/>
  <c r="K6" i="2"/>
  <c r="K5" i="2"/>
  <c r="O5" i="3" l="1"/>
  <c r="O6" i="3"/>
  <c r="L6" i="2"/>
  <c r="L5" i="2"/>
  <c r="P5" i="3" l="1"/>
  <c r="P6" i="3"/>
  <c r="M5" i="2"/>
  <c r="M6" i="2"/>
  <c r="Q5" i="3" l="1"/>
  <c r="Q6" i="3"/>
  <c r="N6" i="2"/>
  <c r="N5" i="2"/>
  <c r="O5" i="2" l="1"/>
  <c r="O6" i="2"/>
  <c r="P5" i="2" l="1"/>
  <c r="P6" i="2"/>
  <c r="Q5" i="2" l="1"/>
  <c r="Q6" i="2"/>
  <c r="R6" i="2" l="1"/>
  <c r="R5" i="2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<sst xmlns="http://schemas.openxmlformats.org/spreadsheetml/2006/main" count="342" uniqueCount="166">
  <si>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</si>
  <si>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</si>
  <si>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</si>
  <si>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</si>
  <si>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</si>
  <si>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</si>
  <si>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</si>
  <si>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</si>
  <si>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</si>
  <si>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</si>
  <si>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</si>
  <si>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</si>
  <si>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</si>
  <si>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</si>
  <si>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</si>
  <si>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</si>
  <si>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</si>
  <si>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</si>
  <si>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</si>
  <si>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</si>
  <si>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</si>
  <si>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</si>
  <si>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</si>
  <si>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</si>
  <si>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</si>
  <si>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</si>
  <si>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</si>
  <si>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</si>
  <si>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</si>
  <si>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</si>
  <si>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</si>
  <si>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</si>
  <si>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</si>
  <si>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</si>
  <si>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</si>
  <si>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</si>
  <si>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</si>
  <si>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</si>
  <si>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</si>
  <si>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</si>
  <si>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</si>
  <si>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</si>
  <si>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</si>
  <si>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</si>
  <si>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</si>
  <si>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</si>
  <si>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</si>
  <si>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</si>
  <si>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</si>
  <si>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</si>
  <si>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</si>
  <si>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</si>
  <si>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</si>
  <si>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</si>
  <si>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</si>
  <si>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</si>
  <si>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</si>
  <si>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</si>
  <si>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</si>
  <si>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фильтр</t>
  </si>
  <si>
    <t>масло</t>
  </si>
  <si>
    <t>смазка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</si>
  <si>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</si>
  <si>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</si>
  <si>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</si>
  <si>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</si>
  <si>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</si>
  <si>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</si>
  <si>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</si>
  <si>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</si>
  <si>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</si>
  <si>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</si>
  <si>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(ходовая часть)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</si>
  <si>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</si>
  <si>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</si>
  <si>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</si>
  <si>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</si>
  <si>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</si>
  <si>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</si>
  <si>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</si>
  <si>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</si>
  <si>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</si>
  <si>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</si>
  <si>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</si>
  <si>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</si>
  <si>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</si>
  <si>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</si>
  <si>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</si>
  <si>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</si>
  <si>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</si>
  <si>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</si>
  <si>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</si>
  <si>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</si>
  <si>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</si>
  <si>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</si>
  <si>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</si>
  <si>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</si>
  <si>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</si>
  <si>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турбокомпрессор</t>
  </si>
  <si>
    <t>инжекторы</t>
  </si>
  <si>
    <t>стартер</t>
  </si>
  <si>
    <t>генератор</t>
  </si>
  <si>
    <t>Силовой модуль</t>
  </si>
  <si>
    <t>моторы хода</t>
  </si>
  <si>
    <t>гусеничная цепь</t>
  </si>
  <si>
    <t>ленивец</t>
  </si>
  <si>
    <t>цилиндры натяжения</t>
  </si>
  <si>
    <t>ведущая звездочка</t>
  </si>
  <si>
    <t>катки</t>
  </si>
  <si>
    <t>Гидравлика</t>
  </si>
  <si>
    <t>главные насосы</t>
  </si>
  <si>
    <t>Мачта и система подачи</t>
  </si>
  <si>
    <t>кассета для штанг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</si>
  <si>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</si>
  <si>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</si>
  <si>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</si>
  <si>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</si>
  <si>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</si>
  <si>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</si>
  <si>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</si>
  <si>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</si>
  <si>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</si>
  <si>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</si>
  <si>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</si>
  <si>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</si>
  <si>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</si>
  <si>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</si>
  <si>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</si>
  <si>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</si>
  <si>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</si>
  <si>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</si>
  <si>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/</t>
    <phoneticPr fontId="172" type="noConversion"/>
  </si>
  <si>
    <t>Режим шарошечного долота, без удара</t>
    <phoneticPr fontId="172" type="noConversion"/>
  </si>
  <si>
    <t>Cтабилизатор штанги</t>
    <phoneticPr fontId="172" type="noConversion"/>
  </si>
  <si>
    <t>Замена электрических компонентов</t>
    <phoneticPr fontId="172" type="noConversion"/>
  </si>
  <si>
    <t>Регулировка или замена изнашиваемых деталей рабочего оборудования</t>
    <phoneticPr fontId="172" type="noConversion"/>
  </si>
  <si>
    <t>Ремонт и техническое обслуживание системы двигателя</t>
    <phoneticPr fontId="172" type="noConversion"/>
  </si>
  <si>
    <t>Ремонт и техническое обслуживание гидравлической системы</t>
    <phoneticPr fontId="172" type="noConversion"/>
  </si>
  <si>
    <t>Ремонт и техническое обслуживание ходовой части</t>
    <phoneticPr fontId="172" type="noConversion"/>
  </si>
  <si>
    <t>другое (электрические компоненты)</t>
    <phoneticPr fontId="172" type="noConversion"/>
  </si>
  <si>
    <t>другое (силовая система)</t>
    <phoneticPr fontId="172" type="noConversion"/>
  </si>
  <si>
    <t>другое (система воздушного компрессора)</t>
    <phoneticPr fontId="172" type="noConversion"/>
  </si>
  <si>
    <t>другое (радиатор)</t>
    <phoneticPr fontId="172" type="noConversion"/>
  </si>
  <si>
    <t>другое (комплект воздушного фильтра)</t>
    <phoneticPr fontId="172" type="noConversion"/>
  </si>
  <si>
    <t>другое (блок распределительных клапанов)</t>
    <phoneticPr fontId="172" type="noConversion"/>
  </si>
  <si>
    <t>другое (электропропорциональный блок)</t>
    <phoneticPr fontId="172" type="noConversion"/>
  </si>
  <si>
    <t>другое (блок направляющих клапанов)</t>
    <phoneticPr fontId="172" type="noConversion"/>
  </si>
  <si>
    <t>другое (мотор силовой головки)</t>
    <phoneticPr fontId="172" type="noConversion"/>
  </si>
  <si>
    <t>привод (толкающий гидроцилиндр)</t>
    <phoneticPr fontId="172" type="noConversion"/>
  </si>
  <si>
    <t>другое (цепь)</t>
    <phoneticPr fontId="172" type="noConversion"/>
  </si>
  <si>
    <t>другое (звездочки и комплектующие)</t>
    <phoneticPr fontId="172" type="noConversion"/>
  </si>
  <si>
    <t>другое (другие гидроцилиндры)</t>
    <phoneticPr fontId="172" type="noConversion"/>
  </si>
  <si>
    <t>другое (воздушный компрессор)</t>
    <phoneticPr fontId="172" type="noConversion"/>
  </si>
  <si>
    <t>другое (управляющий клапан)</t>
    <phoneticPr fontId="172" type="noConversion"/>
  </si>
  <si>
    <t>другое  (всасывающий клапан)</t>
    <phoneticPr fontId="172" type="noConversion"/>
  </si>
  <si>
    <t>другое (шаровой кран)</t>
    <phoneticPr fontId="172" type="noConversion"/>
  </si>
  <si>
    <t>другое (высоконапорный воздухопровод)</t>
    <phoneticPr fontId="172" type="noConversion"/>
  </si>
  <si>
    <t>другое (пылеуловитель)</t>
    <phoneticPr fontId="172" type="noConversion"/>
  </si>
  <si>
    <t>другое (рабочее колесо вентилятора)</t>
    <phoneticPr fontId="172" type="noConversion"/>
  </si>
  <si>
    <t>другое(гидромотор вентилятора)</t>
    <phoneticPr fontId="172" type="noConversion"/>
  </si>
  <si>
    <t>другое (пылеотводная труба)</t>
    <phoneticPr fontId="172" type="noConversion"/>
  </si>
  <si>
    <t>другое (фильтрующий элемент)</t>
    <phoneticPr fontId="172" type="noConversion"/>
  </si>
  <si>
    <t>SWDRT270Е</t>
    <phoneticPr fontId="172" type="noConversion"/>
  </si>
  <si>
    <t>Электродвигатель</t>
  </si>
  <si>
    <t>0-150</t>
  </si>
  <si>
    <t>Около 510 градусов в час</t>
    <phoneticPr fontId="1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</si>
</sst>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24" formatCode="\$#,##0_);[Red]\(\$#,##0\)"/>
    <numFmt numFmtId="176" formatCode="_-* #,##0_-;\-* #,##0_-;_-* &quot;-&quot;_-;_-@_-"/>
    <numFmt numFmtId="177" formatCode="_-* #,##0.00_-;\-* #,##0.00_-;_-* &quot;-&quot;??_-;_-@_-"/>
    <numFmt numFmtId="178" formatCode="0_ ;[Red]\-0\ "/>
    <numFmt numFmtId="179" formatCode="_-* #,##0.00_р_._-;\-* #,##0.00_р_._-;_-* &quot;-&quot;??_р_._-;_-@_-"/>
    <numFmt numFmtId="180" formatCode="_-* #,##0_р_._-;\-* #,##0_р_._-;_-* &quot;-&quot;??_р_._-;_-@_-"/>
    <numFmt numFmtId="181" formatCode="_-[$€-2]\ * #,##0_-;\-[$€-2]\ * #,##0_-;_-[$€-2]\ * &quot;-&quot;_-;_-@_-"/>
    <numFmt numFmtId="182" formatCode="#,##0;[Red]\-#,##0;\-"/>
    <numFmt numFmtId="183" formatCode="_-* #,##0\ &quot;р.&quot;_-;\-* #,##0\ &quot;р.&quot;_-;_-* &quot;-&quot;\ &quot;р.&quot;_-;_-@_-"/>
    <numFmt numFmtId="184" formatCode="_-* #,##0.00[$€-1]_-;\-* #,##0.00[$€-1]_-;_-* &quot;-&quot;??[$€-1]_-"/>
    <numFmt numFmtId="185" formatCode="[$$-409]#,##0.00"/>
    <numFmt numFmtId="186" formatCode="_-* #,##0&quot;р.&quot;_-;\-* #,##0&quot;р.&quot;_-;_-* &quot;-&quot;&quot;р.&quot;_-;_-@_-"/>
    <numFmt numFmtId="187" formatCode="#.##0\.00"/>
    <numFmt numFmtId="188" formatCode="#\.00"/>
    <numFmt numFmtId="189" formatCode="\$#\.00"/>
    <numFmt numFmtId="190" formatCode="#,##0\ \ "/>
    <numFmt numFmtId="191" formatCode="#,##0.0\ \ "/>
    <numFmt numFmtId="192" formatCode="0.0\ %\ "/>
    <numFmt numFmtId="193" formatCode="#,##0.000\ \ "/>
    <numFmt numFmtId="194" formatCode="0.0%"/>
    <numFmt numFmtId="195" formatCode="_(&quot;$&quot;* #,##0_);_(&quot;$&quot;* \(#,##0\);_(&quot;$&quot;* &quot;-&quot;_);_(@_)"/>
    <numFmt numFmtId="196" formatCode="_(&quot;$&quot;* #,##0.00_);_(&quot;$&quot;* \(#,##0.00\);_(&quot;$&quot;* &quot;-&quot;??_);_(@_)"/>
    <numFmt numFmtId="197" formatCode="#,##0.0;[Red]\(#,##0.0\)"/>
    <numFmt numFmtId="198" formatCode="General_)"/>
    <numFmt numFmtId="199" formatCode="#\ ##0\ "/>
    <numFmt numFmtId="200" formatCode="_(* #,##0.0_);_(* \(#,##0.00\);_(* &quot;-&quot;??_);_(@_)"/>
    <numFmt numFmtId="201" formatCode="0.000"/>
    <numFmt numFmtId="202" formatCode="&quot;fl&quot;#,##0_);\(&quot;fl&quot;#,##0\)"/>
    <numFmt numFmtId="203" formatCode="&quot;fl&quot;#,##0_);[Red]\(&quot;fl&quot;#,##0\)"/>
    <numFmt numFmtId="204" formatCode="&quot;fl&quot;#,##0.00_);\(&quot;fl&quot;#,##0.00\)"/>
    <numFmt numFmtId="205" formatCode="0.000_)"/>
    <numFmt numFmtId="206" formatCode="_(* #,##0.00_);_(* \(#,##0.00\);_(* &quot;-&quot;??_);_(@_)"/>
    <numFmt numFmtId="207" formatCode="_ * #,##0.00_)_р_._ ;_ * \(#,##0.00\)_р_._ ;_ * &quot;-&quot;??_)_р_._ ;_ @_ "/>
    <numFmt numFmtId="208" formatCode="\60\4\7\:"/>
    <numFmt numFmtId="209" formatCode="0.00_);\(0.00\);0.00"/>
    <numFmt numFmtId="210" formatCode="#,##0&quot; Kиs&quot;;[Red]\-#,##0&quot; Kиs&quot;"/>
    <numFmt numFmtId="211" formatCode="\$#,##0\ ;\(\$#,##0\)"/>
    <numFmt numFmtId="212" formatCode="mmm"/>
    <numFmt numFmtId="213" formatCode="\+0\ %\ ;\-0\ %\ ;0\ %\ "/>
    <numFmt numFmtId="214" formatCode="#,##0;\-#,##0;\-"/>
    <numFmt numFmtId="215" formatCode="#,##0;[Red]#,##0;0"/>
    <numFmt numFmtId="216" formatCode="#,##0.0;\-#,##0.0;\-"/>
    <numFmt numFmtId="217" formatCode="#,##0.0;[Red]#,##0.0;0.0"/>
    <numFmt numFmtId="218" formatCode="#,##0.00;\-#,##0.00;\-"/>
    <numFmt numFmtId="219" formatCode="#,##0.00;[Red]#,##0.00;0.00"/>
    <numFmt numFmtId="220" formatCode="#,##0.00;[Red]\-#,##0.00;0.00"/>
    <numFmt numFmtId="221" formatCode="#,##0.000;\-#,##0.000;\-"/>
    <numFmt numFmtId="222" formatCode="#,##0.000;[Red]#,##0.000;0.000"/>
    <numFmt numFmtId="223" formatCode="#,##0.000;\-#,##0.000;0.000"/>
    <numFmt numFmtId="224" formatCode="#,##0.0000;\-#,##0.0000;\-"/>
    <numFmt numFmtId="225" formatCode="#,##0%;\-#,##0%;\-"/>
    <numFmt numFmtId="226" formatCode="#,##0.0%;\-#,##0.0%;\-"/>
    <numFmt numFmtId="227" formatCode="#,##0.00%;\-#,##0.00%;\-"/>
    <numFmt numFmtId="228" formatCode="#,##0.000%;\-#,##0.000%;\-"/>
    <numFmt numFmtId="229" formatCode="#,##0.0000%;\-#,##0.0000%;\-"/>
    <numFmt numFmtId="230" formatCode="#,##0,"/>
    <numFmt numFmtId="231" formatCode="#,##0,,"/>
    <numFmt numFmtId="232" formatCode="\+\ #\ ??/??;[Red]\ \-\ #\ ??/??"/>
    <numFmt numFmtId="233" formatCode="0.0_)"/>
    <numFmt numFmtId="234" formatCode="0.00_);\(0.00\);0.00_)"/>
    <numFmt numFmtId="235" formatCode="#,##0\ \k\t"/>
    <numFmt numFmtId="236" formatCode="_(* #,##0_);_(* \(#,##0\);_(* &quot;-&quot;_);_(@_)"/>
    <numFmt numFmtId="237" formatCode="_-&quot;$&quot;* #,##0_-;\-&quot;$&quot;* #,##0_-;_-&quot;$&quot;* &quot;-&quot;_-;_-@_-"/>
    <numFmt numFmtId="238" formatCode="_-&quot;$&quot;* #,##0.00_-;\-&quot;$&quot;* #,##0.00_-;_-&quot;$&quot;* &quot;-&quot;??_-;_-@_-"/>
    <numFmt numFmtId="239" formatCode="0.00_)"/>
    <numFmt numFmtId="240" formatCode="_(* #,##0.000000_);_(* \(#,##0.000000\);_(* &quot;-&quot;??_);_(@_)"/>
    <numFmt numFmtId="241" formatCode="[$$-C09]#,##0.0000"/>
    <numFmt numFmtId="242" formatCode="#,##0.00_);\(#,##0.00\);&quot; --- &quot;"/>
    <numFmt numFmtId="243" formatCode="#,"/>
    <numFmt numFmtId="244" formatCode="&quot;fl&quot;#,##0.00_);[Red]\(&quot;fl&quot;#,##0.00\)"/>
    <numFmt numFmtId="245" formatCode="0.00\%;\-0.00\%;0.00\%"/>
    <numFmt numFmtId="246" formatCode="0.00;\-0.00;0.00"/>
    <numFmt numFmtId="247" formatCode="0.00\x;\-0.00\x;0.00\x"/>
    <numFmt numFmtId="248" formatCode="##0.00000"/>
    <numFmt numFmtId="249" formatCode="&quot;$&quot;#,##0"/>
    <numFmt numFmtId="250" formatCode="General;\-General;General;"/>
    <numFmt numFmtId="251" formatCode="_(&quot;fl&quot;* #,##0_);_(&quot;fl&quot;* \(#,##0\);_(&quot;fl&quot;* &quot;-&quot;_);_(@_)"/>
    <numFmt numFmtId="252" formatCode="#,##0;\-#,##0;0"/>
    <numFmt numFmtId="253" formatCode="#,##0.0;\-#,##0.0;0.0"/>
    <numFmt numFmtId="254" formatCode="#,##0.00;\-#,##0.00;#"/>
    <numFmt numFmtId="255" formatCode="0.0000"/>
    <numFmt numFmtId="256" formatCode="0.0%;\-0.0%;"/>
    <numFmt numFmtId="257" formatCode="#,##0.00\ &quot;р.&quot;;[Red]\-#,##0.00\ &quot;р.&quot;"/>
    <numFmt numFmtId="258" formatCode="_-* #,##0\ _р_._-;\-* #,##0\ _р_._-;_-* &quot;-&quot;\ _р_._-;_-@_-"/>
    <numFmt numFmtId="259" formatCode="#,##0\в"/>
    <numFmt numFmtId="260" formatCode="_-* #,##0.00&quot;р.&quot;_-;\-* #,##0.00&quot;р.&quot;_-;_-* &quot;-&quot;??&quot;р.&quot;_-;_-@_-"/>
    <numFmt numFmtId="261" formatCode="[$-409]mmm\-yy;@"/>
    <numFmt numFmtId="262" formatCode="[$-409]mmmmm;@"/>
    <numFmt numFmtId="263" formatCode="#,##0\т"/>
    <numFmt numFmtId="264" formatCode="_-* #,##0_р_._-;\-* #,##0_р_._-;_-* &quot;-&quot;_р_._-;_-@_-"/>
    <numFmt numFmtId="265" formatCode="[$$-409]#,##0"/>
    <numFmt numFmtId="266" formatCode="_-* #,##0_-;\-* #,##0_-;_-* &quot;-&quot;??_-;_-@_-"/>
  </numFmts>
  <fonts count="179">
    <font>
      <sz val="11"/>
      <color theme="1"/>
      <name val="宋体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宋体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宋体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宋体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宋体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宋体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宋体"/>
      <family val="2"/>
      <scheme val="major"/>
    </font>
    <font>
      <sz val="12"/>
      <color theme="1"/>
      <name val="宋体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8787">
    <xf numFmtId="0" fontId="0" fillId="0" borderId="0"/>
    <xf numFmtId="0" fontId="4" fillId="0" borderId="0"/>
    <xf numFmtId="179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83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185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5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0" fontId="21" fillId="0" borderId="0">
      <protection locked="0"/>
    </xf>
    <xf numFmtId="18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8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3">
      <protection locked="0"/>
    </xf>
    <xf numFmtId="184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0" fontId="23" fillId="0" borderId="0" applyNumberFormat="0" applyFill="0" applyBorder="0" applyAlignment="0" applyProtection="0"/>
    <xf numFmtId="185" fontId="24" fillId="0" borderId="0"/>
    <xf numFmtId="185" fontId="24" fillId="0" borderId="0"/>
    <xf numFmtId="185" fontId="24" fillId="0" borderId="0"/>
    <xf numFmtId="0" fontId="25" fillId="0" borderId="0">
      <alignment vertical="center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1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184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90" fontId="7" fillId="0" borderId="0" applyFont="0" applyFill="0" applyBorder="0" applyProtection="0">
      <alignment horizontal="right" vertical="center"/>
    </xf>
    <xf numFmtId="191" fontId="7" fillId="0" borderId="0" applyFont="0" applyFill="0" applyBorder="0" applyProtection="0">
      <alignment horizontal="right" vertical="center"/>
    </xf>
    <xf numFmtId="192" fontId="7" fillId="0" borderId="0" applyFont="0" applyFill="0" applyBorder="0" applyProtection="0">
      <alignment horizontal="right" vertical="center"/>
    </xf>
    <xf numFmtId="193" fontId="6" fillId="0" borderId="0" applyFont="0" applyFill="0" applyBorder="0" applyProtection="0">
      <alignment vertical="center"/>
    </xf>
    <xf numFmtId="194" fontId="28" fillId="0" borderId="0"/>
    <xf numFmtId="0" fontId="15" fillId="0" borderId="0">
      <alignment horizontal="center"/>
    </xf>
    <xf numFmtId="184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84" fontId="29" fillId="3" borderId="0"/>
    <xf numFmtId="184" fontId="29" fillId="3" borderId="0"/>
    <xf numFmtId="0" fontId="30" fillId="4" borderId="0" applyNumberFormat="0" applyBorder="0" applyAlignment="0" applyProtection="0"/>
    <xf numFmtId="184" fontId="30" fillId="5" borderId="0" applyNumberFormat="0" applyBorder="0" applyAlignment="0" applyProtection="0"/>
    <xf numFmtId="185" fontId="31" fillId="5" borderId="0" applyNumberFormat="0" applyBorder="0" applyAlignment="0" applyProtection="0"/>
    <xf numFmtId="0" fontId="30" fillId="6" borderId="0" applyNumberFormat="0" applyBorder="0" applyAlignment="0" applyProtection="0"/>
    <xf numFmtId="184" fontId="30" fillId="7" borderId="0" applyNumberFormat="0" applyBorder="0" applyAlignment="0" applyProtection="0"/>
    <xf numFmtId="185" fontId="31" fillId="7" borderId="0" applyNumberFormat="0" applyBorder="0" applyAlignment="0" applyProtection="0"/>
    <xf numFmtId="0" fontId="30" fillId="6" borderId="0" applyNumberFormat="0" applyBorder="0" applyAlignment="0" applyProtection="0"/>
    <xf numFmtId="184" fontId="30" fillId="8" borderId="0" applyNumberFormat="0" applyBorder="0" applyAlignment="0" applyProtection="0"/>
    <xf numFmtId="185" fontId="31" fillId="8" borderId="0" applyNumberFormat="0" applyBorder="0" applyAlignment="0" applyProtection="0"/>
    <xf numFmtId="0" fontId="30" fillId="9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11" borderId="0" applyNumberFormat="0" applyBorder="0" applyAlignment="0" applyProtection="0"/>
    <xf numFmtId="185" fontId="31" fillId="11" borderId="0" applyNumberFormat="0" applyBorder="0" applyAlignment="0" applyProtection="0"/>
    <xf numFmtId="0" fontId="30" fillId="6" borderId="0" applyNumberFormat="0" applyBorder="0" applyAlignment="0" applyProtection="0"/>
    <xf numFmtId="184" fontId="30" fillId="9" borderId="0" applyNumberFormat="0" applyBorder="0" applyAlignment="0" applyProtection="0"/>
    <xf numFmtId="185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12" borderId="0" applyNumberFormat="0" applyBorder="0" applyAlignment="0" applyProtection="0"/>
    <xf numFmtId="184" fontId="30" fillId="13" borderId="0" applyNumberFormat="0" applyBorder="0" applyAlignment="0" applyProtection="0"/>
    <xf numFmtId="185" fontId="31" fillId="13" borderId="0" applyNumberFormat="0" applyBorder="0" applyAlignment="0" applyProtection="0"/>
    <xf numFmtId="0" fontId="30" fillId="6" borderId="0" applyNumberFormat="0" applyBorder="0" applyAlignment="0" applyProtection="0"/>
    <xf numFmtId="184" fontId="30" fillId="14" borderId="0" applyNumberFormat="0" applyBorder="0" applyAlignment="0" applyProtection="0"/>
    <xf numFmtId="185" fontId="31" fillId="14" borderId="0" applyNumberFormat="0" applyBorder="0" applyAlignment="0" applyProtection="0"/>
    <xf numFmtId="0" fontId="30" fillId="7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6" borderId="0" applyNumberFormat="0" applyBorder="0" applyAlignment="0" applyProtection="0"/>
    <xf numFmtId="184" fontId="30" fillId="15" borderId="0" applyNumberFormat="0" applyBorder="0" applyAlignment="0" applyProtection="0"/>
    <xf numFmtId="185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84" fontId="32" fillId="16" borderId="0" applyNumberFormat="0" applyBorder="0" applyAlignment="0" applyProtection="0"/>
    <xf numFmtId="185" fontId="33" fillId="16" borderId="0" applyNumberFormat="0" applyBorder="0" applyAlignment="0" applyProtection="0"/>
    <xf numFmtId="0" fontId="32" fillId="12" borderId="0" applyNumberFormat="0" applyBorder="0" applyAlignment="0" applyProtection="0"/>
    <xf numFmtId="184" fontId="32" fillId="13" borderId="0" applyNumberFormat="0" applyBorder="0" applyAlignment="0" applyProtection="0"/>
    <xf numFmtId="185" fontId="33" fillId="13" borderId="0" applyNumberFormat="0" applyBorder="0" applyAlignment="0" applyProtection="0"/>
    <xf numFmtId="0" fontId="32" fillId="15" borderId="0" applyNumberFormat="0" applyBorder="0" applyAlignment="0" applyProtection="0"/>
    <xf numFmtId="184" fontId="32" fillId="14" borderId="0" applyNumberFormat="0" applyBorder="0" applyAlignment="0" applyProtection="0"/>
    <xf numFmtId="185" fontId="33" fillId="14" borderId="0" applyNumberFormat="0" applyBorder="0" applyAlignment="0" applyProtection="0"/>
    <xf numFmtId="0" fontId="32" fillId="7" borderId="0" applyNumberFormat="0" applyBorder="0" applyAlignment="0" applyProtection="0"/>
    <xf numFmtId="184" fontId="32" fillId="17" borderId="0" applyNumberFormat="0" applyBorder="0" applyAlignment="0" applyProtection="0"/>
    <xf numFmtId="185" fontId="33" fillId="17" borderId="0" applyNumberFormat="0" applyBorder="0" applyAlignment="0" applyProtection="0"/>
    <xf numFmtId="0" fontId="32" fillId="4" borderId="0" applyNumberFormat="0" applyBorder="0" applyAlignment="0" applyProtection="0"/>
    <xf numFmtId="184" fontId="32" fillId="18" borderId="0" applyNumberFormat="0" applyBorder="0" applyAlignment="0" applyProtection="0"/>
    <xf numFmtId="185" fontId="33" fillId="18" borderId="0" applyNumberFormat="0" applyBorder="0" applyAlignment="0" applyProtection="0"/>
    <xf numFmtId="0" fontId="32" fillId="6" borderId="0" applyNumberFormat="0" applyBorder="0" applyAlignment="0" applyProtection="0"/>
    <xf numFmtId="184" fontId="32" fillId="19" borderId="0" applyNumberFormat="0" applyBorder="0" applyAlignment="0" applyProtection="0"/>
    <xf numFmtId="185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84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84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5" borderId="0" applyNumberFormat="0" applyBorder="0" applyAlignment="0" applyProtection="0"/>
    <xf numFmtId="0" fontId="32" fillId="24" borderId="0" applyNumberFormat="0" applyBorder="0" applyAlignment="0" applyProtection="0"/>
    <xf numFmtId="185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84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84" fontId="32" fillId="28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30" borderId="0" applyNumberFormat="0" applyBorder="0" applyAlignment="0" applyProtection="0"/>
    <xf numFmtId="0" fontId="32" fillId="29" borderId="0" applyNumberFormat="0" applyBorder="0" applyAlignment="0" applyProtection="0"/>
    <xf numFmtId="185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84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84" fontId="32" fillId="33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5" borderId="0" applyNumberFormat="0" applyBorder="0" applyAlignment="0" applyProtection="0"/>
    <xf numFmtId="0" fontId="32" fillId="34" borderId="0" applyNumberFormat="0" applyBorder="0" applyAlignment="0" applyProtection="0"/>
    <xf numFmtId="185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84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84" fontId="32" fillId="27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17" borderId="0" applyNumberFormat="0" applyBorder="0" applyAlignment="0" applyProtection="0"/>
    <xf numFmtId="0" fontId="32" fillId="38" borderId="0" applyNumberFormat="0" applyBorder="0" applyAlignment="0" applyProtection="0"/>
    <xf numFmtId="185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84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84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18" borderId="0" applyNumberFormat="0" applyBorder="0" applyAlignment="0" applyProtection="0"/>
    <xf numFmtId="0" fontId="32" fillId="23" borderId="0" applyNumberFormat="0" applyBorder="0" applyAlignment="0" applyProtection="0"/>
    <xf numFmtId="185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84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84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84" fontId="32" fillId="43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12" borderId="0" applyNumberFormat="0" applyBorder="0" applyAlignment="0" applyProtection="0"/>
    <xf numFmtId="0" fontId="32" fillId="44" borderId="0" applyNumberFormat="0" applyBorder="0" applyAlignment="0" applyProtection="0"/>
    <xf numFmtId="185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84" fontId="35" fillId="0" borderId="0" applyNumberFormat="0" applyFill="0" applyBorder="0" applyAlignment="0" applyProtection="0">
      <alignment vertical="top"/>
      <protection locked="0"/>
    </xf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84" fontId="37" fillId="7" borderId="0" applyNumberFormat="0" applyBorder="0" applyAlignment="0" applyProtection="0"/>
    <xf numFmtId="0" fontId="39" fillId="41" borderId="0" applyNumberFormat="0" applyBorder="0" applyAlignment="0" applyProtection="0"/>
    <xf numFmtId="185" fontId="40" fillId="7" borderId="0" applyNumberFormat="0" applyBorder="0" applyAlignment="0" applyProtection="0"/>
    <xf numFmtId="0" fontId="39" fillId="41" borderId="0" applyNumberFormat="0" applyBorder="0" applyAlignment="0" applyProtection="0"/>
    <xf numFmtId="184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97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97" fontId="44" fillId="0" borderId="0">
      <protection locked="0"/>
    </xf>
    <xf numFmtId="0" fontId="43" fillId="0" borderId="0" applyNumberFormat="0" applyFill="0" applyBorder="0" applyProtection="0">
      <protection locked="0"/>
    </xf>
    <xf numFmtId="198" fontId="24" fillId="0" borderId="0">
      <alignment vertical="top"/>
    </xf>
    <xf numFmtId="199" fontId="45" fillId="0" borderId="0" applyFill="0" applyBorder="0" applyProtection="0"/>
    <xf numFmtId="198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1" fontId="3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2" fontId="3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3" fontId="3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5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84" fontId="51" fillId="48" borderId="6" applyNumberFormat="0" applyAlignment="0" applyProtection="0"/>
    <xf numFmtId="0" fontId="51" fillId="38" borderId="6" applyNumberFormat="0" applyAlignment="0" applyProtection="0"/>
    <xf numFmtId="185" fontId="54" fillId="48" borderId="6" applyNumberFormat="0" applyAlignment="0" applyProtection="0"/>
    <xf numFmtId="0" fontId="51" fillId="38" borderId="6" applyNumberFormat="0" applyAlignment="0" applyProtection="0"/>
    <xf numFmtId="184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17" fillId="0" borderId="0" applyFont="0" applyFill="0" applyBorder="0" applyAlignment="0" applyProtection="0"/>
    <xf numFmtId="179" fontId="57" fillId="0" borderId="0" applyFont="0" applyFill="0" applyBorder="0" applyAlignment="0" applyProtection="0"/>
    <xf numFmtId="179" fontId="58" fillId="0" borderId="0" applyFont="0" applyFill="0" applyBorder="0" applyAlignment="0" applyProtection="0"/>
    <xf numFmtId="207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8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209" fontId="29" fillId="0" borderId="0" applyFill="0" applyBorder="0">
      <alignment horizontal="right"/>
      <protection locked="0"/>
    </xf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98" fontId="3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6" fontId="17" fillId="0" borderId="0" applyFont="0" applyFill="0" applyBorder="0" applyAlignment="0" applyProtection="0"/>
    <xf numFmtId="204" fontId="36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84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84" fontId="17" fillId="0" borderId="0"/>
    <xf numFmtId="0" fontId="7" fillId="0" borderId="0"/>
    <xf numFmtId="184" fontId="17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213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14" fontId="64" fillId="51" borderId="2">
      <alignment vertical="top"/>
      <protection locked="0"/>
    </xf>
    <xf numFmtId="215" fontId="7" fillId="52" borderId="2">
      <protection locked="0"/>
    </xf>
    <xf numFmtId="214" fontId="64" fillId="53" borderId="2">
      <alignment vertical="top"/>
      <protection locked="0"/>
    </xf>
    <xf numFmtId="215" fontId="7" fillId="54" borderId="2">
      <protection locked="0"/>
    </xf>
    <xf numFmtId="216" fontId="64" fillId="51" borderId="2">
      <alignment vertical="top"/>
      <protection locked="0"/>
    </xf>
    <xf numFmtId="217" fontId="7" fillId="52" borderId="2">
      <protection locked="0"/>
    </xf>
    <xf numFmtId="216" fontId="64" fillId="53" borderId="2">
      <alignment vertical="top"/>
      <protection locked="0"/>
    </xf>
    <xf numFmtId="217" fontId="7" fillId="54" borderId="2">
      <protection locked="0"/>
    </xf>
    <xf numFmtId="218" fontId="64" fillId="51" borderId="2">
      <alignment vertical="top"/>
      <protection locked="0"/>
    </xf>
    <xf numFmtId="219" fontId="7" fillId="52" borderId="2">
      <protection locked="0"/>
    </xf>
    <xf numFmtId="218" fontId="64" fillId="53" borderId="2">
      <alignment vertical="top"/>
      <protection locked="0"/>
    </xf>
    <xf numFmtId="220" fontId="7" fillId="54" borderId="2">
      <protection locked="0"/>
    </xf>
    <xf numFmtId="221" fontId="64" fillId="51" borderId="2">
      <alignment vertical="top"/>
      <protection locked="0"/>
    </xf>
    <xf numFmtId="222" fontId="7" fillId="52" borderId="2">
      <protection locked="0"/>
    </xf>
    <xf numFmtId="221" fontId="64" fillId="53" borderId="2">
      <alignment vertical="top"/>
      <protection locked="0"/>
    </xf>
    <xf numFmtId="223" fontId="7" fillId="54" borderId="2">
      <protection locked="0"/>
    </xf>
    <xf numFmtId="224" fontId="64" fillId="51" borderId="2">
      <alignment vertical="top"/>
      <protection locked="0"/>
    </xf>
    <xf numFmtId="224" fontId="64" fillId="53" borderId="2">
      <alignment vertical="top"/>
      <protection locked="0"/>
    </xf>
    <xf numFmtId="225" fontId="64" fillId="51" borderId="2">
      <alignment vertical="top"/>
      <protection locked="0"/>
    </xf>
    <xf numFmtId="9" fontId="7" fillId="52" borderId="2">
      <protection locked="0"/>
    </xf>
    <xf numFmtId="225" fontId="64" fillId="53" borderId="2">
      <alignment vertical="top"/>
      <protection locked="0"/>
    </xf>
    <xf numFmtId="9" fontId="7" fillId="54" borderId="2">
      <protection locked="0"/>
    </xf>
    <xf numFmtId="226" fontId="64" fillId="51" borderId="2">
      <alignment vertical="top"/>
      <protection locked="0"/>
    </xf>
    <xf numFmtId="194" fontId="7" fillId="52" borderId="2">
      <protection locked="0"/>
    </xf>
    <xf numFmtId="226" fontId="64" fillId="53" borderId="2">
      <alignment vertical="top"/>
      <protection locked="0"/>
    </xf>
    <xf numFmtId="194" fontId="7" fillId="54" borderId="2">
      <protection locked="0"/>
    </xf>
    <xf numFmtId="227" fontId="64" fillId="51" borderId="2">
      <alignment vertical="top"/>
      <protection locked="0"/>
    </xf>
    <xf numFmtId="10" fontId="7" fillId="52" borderId="2">
      <protection locked="0"/>
    </xf>
    <xf numFmtId="227" fontId="64" fillId="53" borderId="2">
      <alignment vertical="top"/>
      <protection locked="0"/>
    </xf>
    <xf numFmtId="228" fontId="64" fillId="51" borderId="2">
      <alignment vertical="top"/>
      <protection locked="0"/>
    </xf>
    <xf numFmtId="228" fontId="64" fillId="53" borderId="2">
      <alignment vertical="top"/>
      <protection locked="0"/>
    </xf>
    <xf numFmtId="229" fontId="64" fillId="51" borderId="2">
      <alignment vertical="top"/>
      <protection locked="0"/>
    </xf>
    <xf numFmtId="229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84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84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84" fontId="65" fillId="57" borderId="0" applyNumberFormat="0" applyBorder="0" applyAlignment="0" applyProtection="0"/>
    <xf numFmtId="230" fontId="66" fillId="0" borderId="0"/>
    <xf numFmtId="231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4" fontId="69" fillId="0" borderId="0" applyNumberFormat="0" applyFill="0" applyBorder="0" applyAlignment="0" applyProtection="0"/>
    <xf numFmtId="185" fontId="71" fillId="0" borderId="0" applyNumberFormat="0" applyFill="0" applyBorder="0" applyAlignment="0" applyProtection="0"/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32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84" fontId="46" fillId="8" borderId="0" applyNumberFormat="0" applyBorder="0" applyAlignment="0" applyProtection="0"/>
    <xf numFmtId="0" fontId="30" fillId="32" borderId="0" applyNumberFormat="0" applyBorder="0" applyAlignment="0" applyProtection="0"/>
    <xf numFmtId="185" fontId="78" fillId="8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94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84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84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184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84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85" fontId="88" fillId="0" borderId="15" applyNumberFormat="0" applyFill="0" applyAlignment="0" applyProtection="0"/>
    <xf numFmtId="184" fontId="86" fillId="0" borderId="14" applyNumberFormat="0" applyFill="0" applyAlignment="0" applyProtection="0"/>
    <xf numFmtId="184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84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5" fontId="92" fillId="0" borderId="16" applyNumberFormat="0" applyFill="0" applyAlignment="0" applyProtection="0"/>
    <xf numFmtId="184" fontId="90" fillId="0" borderId="17" applyNumberFormat="0" applyFill="0" applyAlignment="0" applyProtection="0"/>
    <xf numFmtId="184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84" fontId="67" fillId="0" borderId="18" applyNumberFormat="0" applyFill="0" applyAlignment="0" applyProtection="0"/>
    <xf numFmtId="0" fontId="93" fillId="0" borderId="20" applyNumberFormat="0" applyFill="0" applyAlignment="0" applyProtection="0"/>
    <xf numFmtId="185" fontId="94" fillId="0" borderId="18" applyNumberFormat="0" applyFill="0" applyAlignment="0" applyProtection="0"/>
    <xf numFmtId="0" fontId="93" fillId="0" borderId="20" applyNumberFormat="0" applyFill="0" applyAlignment="0" applyProtection="0"/>
    <xf numFmtId="184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5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84" fontId="82" fillId="0" borderId="0"/>
    <xf numFmtId="0" fontId="82" fillId="0" borderId="0"/>
    <xf numFmtId="0" fontId="82" fillId="0" borderId="0"/>
    <xf numFmtId="184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84" fontId="95" fillId="0" borderId="0"/>
    <xf numFmtId="0" fontId="95" fillId="0" borderId="0"/>
    <xf numFmtId="0" fontId="95" fillId="0" borderId="0"/>
    <xf numFmtId="184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84" fontId="96" fillId="0" borderId="0"/>
    <xf numFmtId="0" fontId="96" fillId="0" borderId="0"/>
    <xf numFmtId="0" fontId="96" fillId="0" borderId="0"/>
    <xf numFmtId="184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84" fontId="97" fillId="0" borderId="0"/>
    <xf numFmtId="0" fontId="97" fillId="0" borderId="0"/>
    <xf numFmtId="0" fontId="97" fillId="0" borderId="0"/>
    <xf numFmtId="184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0" fontId="99" fillId="61" borderId="0" applyNumberFormat="0" applyBorder="0" applyProtection="0">
      <alignment horizontal="center" vertical="center" textRotation="90"/>
    </xf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85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84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84" fontId="108" fillId="0" borderId="0">
      <alignment vertical="center"/>
    </xf>
    <xf numFmtId="184" fontId="108" fillId="0" borderId="0">
      <alignment vertical="center"/>
    </xf>
    <xf numFmtId="234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35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84" fontId="52" fillId="0" borderId="7" applyNumberFormat="0" applyFill="0" applyAlignment="0" applyProtection="0"/>
    <xf numFmtId="0" fontId="46" fillId="0" borderId="25" applyNumberFormat="0" applyFill="0" applyAlignment="0" applyProtection="0"/>
    <xf numFmtId="185" fontId="112" fillId="0" borderId="7" applyNumberFormat="0" applyFill="0" applyAlignment="0" applyProtection="0"/>
    <xf numFmtId="0" fontId="46" fillId="0" borderId="25" applyNumberFormat="0" applyFill="0" applyAlignment="0" applyProtection="0"/>
    <xf numFmtId="184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176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77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237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84" fontId="115" fillId="6" borderId="0" applyNumberFormat="0" applyBorder="0" applyAlignment="0" applyProtection="0"/>
    <xf numFmtId="0" fontId="46" fillId="42" borderId="0" applyNumberFormat="0" applyBorder="0" applyAlignment="0" applyProtection="0"/>
    <xf numFmtId="185" fontId="116" fillId="6" borderId="0" applyNumberFormat="0" applyBorder="0" applyAlignment="0" applyProtection="0"/>
    <xf numFmtId="0" fontId="46" fillId="42" borderId="0" applyNumberFormat="0" applyBorder="0" applyAlignment="0" applyProtection="0"/>
    <xf numFmtId="184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84" fontId="29" fillId="0" borderId="22"/>
    <xf numFmtId="184" fontId="29" fillId="0" borderId="22"/>
    <xf numFmtId="239" fontId="117" fillId="0" borderId="0"/>
    <xf numFmtId="24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1" fontId="118" fillId="0" borderId="0"/>
    <xf numFmtId="241" fontId="118" fillId="0" borderId="0"/>
    <xf numFmtId="0" fontId="4" fillId="0" borderId="0"/>
    <xf numFmtId="185" fontId="119" fillId="0" borderId="0"/>
    <xf numFmtId="0" fontId="120" fillId="0" borderId="0"/>
    <xf numFmtId="0" fontId="4" fillId="0" borderId="0"/>
    <xf numFmtId="0" fontId="7" fillId="0" borderId="0"/>
    <xf numFmtId="184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85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4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242" fontId="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43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84" fontId="123" fillId="0" borderId="0"/>
    <xf numFmtId="0" fontId="123" fillId="0" borderId="0"/>
    <xf numFmtId="0" fontId="123" fillId="0" borderId="0"/>
    <xf numFmtId="184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5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03" fontId="3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8" fontId="3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4" fontId="36" fillId="0" borderId="0" applyFont="0" applyFill="0" applyBorder="0" applyAlignment="0" applyProtection="0"/>
    <xf numFmtId="245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46" fontId="29" fillId="0" borderId="0" applyFill="0" applyBorder="0">
      <alignment horizontal="right"/>
      <protection locked="0"/>
    </xf>
    <xf numFmtId="247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41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41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84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0" fontId="79" fillId="78" borderId="2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8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41" fontId="4" fillId="0" borderId="0"/>
    <xf numFmtId="38" fontId="2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7" fontId="144" fillId="79" borderId="0" applyNumberFormat="0" applyFont="0" applyBorder="0" applyAlignment="0" applyProtection="0">
      <protection locked="0"/>
    </xf>
    <xf numFmtId="241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84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49" fontId="146" fillId="0" borderId="2">
      <alignment horizontal="left" vertical="center"/>
      <protection locked="0"/>
    </xf>
    <xf numFmtId="250" fontId="29" fillId="0" borderId="0">
      <protection locked="0"/>
    </xf>
    <xf numFmtId="241" fontId="4" fillId="0" borderId="0"/>
    <xf numFmtId="241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44" fontId="3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51" fontId="3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41" fontId="4" fillId="0" borderId="0"/>
    <xf numFmtId="241" fontId="4" fillId="0" borderId="0"/>
    <xf numFmtId="0" fontId="148" fillId="0" borderId="0" applyNumberFormat="0" applyFill="0" applyBorder="0" applyAlignment="0" applyProtection="0"/>
    <xf numFmtId="241" fontId="4" fillId="0" borderId="0"/>
    <xf numFmtId="241" fontId="4" fillId="0" borderId="0"/>
    <xf numFmtId="241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185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14" fontId="64" fillId="80" borderId="0">
      <alignment vertical="top"/>
    </xf>
    <xf numFmtId="252" fontId="7" fillId="0" borderId="0"/>
    <xf numFmtId="214" fontId="64" fillId="53" borderId="0">
      <alignment vertical="top"/>
    </xf>
    <xf numFmtId="216" fontId="64" fillId="80" borderId="0">
      <alignment vertical="top"/>
    </xf>
    <xf numFmtId="253" fontId="7" fillId="0" borderId="0"/>
    <xf numFmtId="216" fontId="64" fillId="53" borderId="0">
      <alignment vertical="top"/>
    </xf>
    <xf numFmtId="218" fontId="64" fillId="80" borderId="0">
      <alignment vertical="top"/>
    </xf>
    <xf numFmtId="254" fontId="7" fillId="0" borderId="0"/>
    <xf numFmtId="218" fontId="64" fillId="53" borderId="0">
      <alignment vertical="top"/>
    </xf>
    <xf numFmtId="221" fontId="64" fillId="80" borderId="0">
      <alignment vertical="top"/>
    </xf>
    <xf numFmtId="223" fontId="7" fillId="0" borderId="0"/>
    <xf numFmtId="221" fontId="64" fillId="53" borderId="0">
      <alignment vertical="top"/>
    </xf>
    <xf numFmtId="224" fontId="64" fillId="80" borderId="0">
      <alignment vertical="top"/>
    </xf>
    <xf numFmtId="255" fontId="7" fillId="0" borderId="0"/>
    <xf numFmtId="224" fontId="64" fillId="53" borderId="0">
      <alignment vertical="top"/>
    </xf>
    <xf numFmtId="225" fontId="64" fillId="80" borderId="0">
      <alignment vertical="top"/>
    </xf>
    <xf numFmtId="9" fontId="7" fillId="0" borderId="0"/>
    <xf numFmtId="225" fontId="64" fillId="53" borderId="0">
      <alignment vertical="top"/>
    </xf>
    <xf numFmtId="226" fontId="64" fillId="80" borderId="0">
      <alignment vertical="top"/>
    </xf>
    <xf numFmtId="256" fontId="7" fillId="0" borderId="0"/>
    <xf numFmtId="226" fontId="64" fillId="53" borderId="0">
      <alignment vertical="top"/>
    </xf>
    <xf numFmtId="227" fontId="64" fillId="80" borderId="0">
      <alignment vertical="top"/>
    </xf>
    <xf numFmtId="10" fontId="7" fillId="0" borderId="0"/>
    <xf numFmtId="227" fontId="64" fillId="53" borderId="0">
      <alignment vertical="top"/>
    </xf>
    <xf numFmtId="228" fontId="64" fillId="80" borderId="0">
      <alignment vertical="top"/>
    </xf>
    <xf numFmtId="228" fontId="64" fillId="53" borderId="0">
      <alignment vertical="top"/>
    </xf>
    <xf numFmtId="229" fontId="64" fillId="80" borderId="0">
      <alignment vertical="top"/>
    </xf>
    <xf numFmtId="229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257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184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59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5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84" fontId="153" fillId="50" borderId="35"/>
    <xf numFmtId="184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60" fontId="57" fillId="0" borderId="0" applyFont="0" applyFill="0" applyBorder="0" applyAlignment="0" applyProtection="0"/>
    <xf numFmtId="260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49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41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61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61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85" fontId="160" fillId="0" borderId="0"/>
    <xf numFmtId="0" fontId="7" fillId="0" borderId="0"/>
    <xf numFmtId="241" fontId="4" fillId="0" borderId="0"/>
    <xf numFmtId="241" fontId="4" fillId="0" borderId="0"/>
    <xf numFmtId="0" fontId="161" fillId="0" borderId="0"/>
    <xf numFmtId="0" fontId="162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41" fontId="4" fillId="0" borderId="0"/>
    <xf numFmtId="241" fontId="4" fillId="0" borderId="0"/>
    <xf numFmtId="0" fontId="17" fillId="0" borderId="0"/>
    <xf numFmtId="241" fontId="4" fillId="0" borderId="0"/>
    <xf numFmtId="0" fontId="4" fillId="0" borderId="0"/>
    <xf numFmtId="0" fontId="7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0" fontId="162" fillId="0" borderId="0"/>
    <xf numFmtId="241" fontId="4" fillId="0" borderId="0"/>
    <xf numFmtId="0" fontId="4" fillId="0" borderId="0"/>
    <xf numFmtId="0" fontId="64" fillId="0" borderId="0"/>
    <xf numFmtId="241" fontId="4" fillId="0" borderId="0"/>
    <xf numFmtId="241" fontId="4" fillId="0" borderId="0"/>
    <xf numFmtId="0" fontId="4" fillId="0" borderId="0"/>
    <xf numFmtId="0" fontId="7" fillId="0" borderId="0"/>
    <xf numFmtId="0" fontId="3" fillId="0" borderId="0"/>
    <xf numFmtId="184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85" fontId="11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241" fontId="4" fillId="0" borderId="0"/>
    <xf numFmtId="0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185" fontId="160" fillId="0" borderId="0"/>
    <xf numFmtId="0" fontId="7" fillId="0" borderId="0"/>
    <xf numFmtId="0" fontId="7" fillId="0" borderId="0"/>
    <xf numFmtId="241" fontId="4" fillId="0" borderId="0"/>
    <xf numFmtId="184" fontId="57" fillId="0" borderId="0"/>
    <xf numFmtId="0" fontId="3" fillId="0" borderId="0"/>
    <xf numFmtId="184" fontId="121" fillId="0" borderId="0"/>
    <xf numFmtId="184" fontId="57" fillId="0" borderId="0"/>
    <xf numFmtId="241" fontId="4" fillId="0" borderId="0"/>
    <xf numFmtId="184" fontId="57" fillId="0" borderId="0"/>
    <xf numFmtId="184" fontId="121" fillId="0" borderId="0"/>
    <xf numFmtId="184" fontId="57" fillId="0" borderId="0"/>
    <xf numFmtId="184" fontId="121" fillId="0" borderId="0"/>
    <xf numFmtId="184" fontId="57" fillId="0" borderId="0"/>
    <xf numFmtId="184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0" borderId="0"/>
    <xf numFmtId="0" fontId="7" fillId="0" borderId="0" applyNumberFormat="0" applyFont="0" applyFill="0" applyBorder="0" applyAlignment="0" applyProtection="0"/>
    <xf numFmtId="184" fontId="121" fillId="0" borderId="0"/>
    <xf numFmtId="0" fontId="7" fillId="0" borderId="0"/>
    <xf numFmtId="0" fontId="7" fillId="0" borderId="0"/>
    <xf numFmtId="184" fontId="57" fillId="0" borderId="0"/>
    <xf numFmtId="0" fontId="4" fillId="0" borderId="0"/>
    <xf numFmtId="184" fontId="121" fillId="0" borderId="0"/>
    <xf numFmtId="184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84" fontId="4" fillId="0" borderId="0"/>
    <xf numFmtId="0" fontId="164" fillId="0" borderId="0"/>
    <xf numFmtId="0" fontId="4" fillId="0" borderId="0"/>
    <xf numFmtId="185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41" fontId="4" fillId="0" borderId="0"/>
    <xf numFmtId="0" fontId="4" fillId="0" borderId="0"/>
    <xf numFmtId="184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62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16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" fillId="0" borderId="0"/>
    <xf numFmtId="0" fontId="7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0" fontId="7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9" fillId="0" borderId="0">
      <alignment horizontal="left"/>
    </xf>
    <xf numFmtId="0" fontId="7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241" fontId="4" fillId="0" borderId="0"/>
    <xf numFmtId="0" fontId="31" fillId="0" borderId="0"/>
    <xf numFmtId="241" fontId="4" fillId="0" borderId="0"/>
    <xf numFmtId="0" fontId="4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84" fontId="4" fillId="0" borderId="0"/>
    <xf numFmtId="0" fontId="3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84" fontId="4" fillId="0" borderId="0"/>
    <xf numFmtId="184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84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184" fontId="4" fillId="0" borderId="0"/>
    <xf numFmtId="184" fontId="4" fillId="0" borderId="0"/>
    <xf numFmtId="184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41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41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41" fontId="4" fillId="0" borderId="0"/>
    <xf numFmtId="241" fontId="4" fillId="0" borderId="0"/>
    <xf numFmtId="9" fontId="7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41" fontId="4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41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84" fontId="13" fillId="0" borderId="0"/>
    <xf numFmtId="0" fontId="13" fillId="0" borderId="0"/>
    <xf numFmtId="184" fontId="13" fillId="0" borderId="0"/>
    <xf numFmtId="0" fontId="7" fillId="0" borderId="0"/>
    <xf numFmtId="0" fontId="4" fillId="0" borderId="0">
      <alignment vertical="justify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9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63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206" fontId="7" fillId="0" borderId="0" applyFont="0" applyFill="0" applyBorder="0" applyAlignment="0" applyProtection="0"/>
    <xf numFmtId="177" fontId="120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5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0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" fillId="0" borderId="0"/>
    <xf numFmtId="179" fontId="31" fillId="0" borderId="0" applyFont="0" applyFill="0" applyBorder="0" applyAlignment="0" applyProtection="0"/>
    <xf numFmtId="241" fontId="4" fillId="0" borderId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0" fontId="7" fillId="0" borderId="0"/>
    <xf numFmtId="179" fontId="10" fillId="0" borderId="0" applyFont="0" applyFill="0" applyBorder="0" applyAlignment="0" applyProtection="0"/>
    <xf numFmtId="177" fontId="30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7" fillId="0" borderId="0"/>
    <xf numFmtId="179" fontId="3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41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41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20" fillId="0" borderId="0"/>
  </cellStyleXfs>
  <cellXfs count="266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80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82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81" fontId="7" fillId="0" borderId="40" xfId="3" applyNumberFormat="1" applyBorder="1" applyAlignment="1">
      <alignment vertical="center"/>
    </xf>
    <xf numFmtId="182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3" fontId="7" fillId="0" borderId="40" xfId="4" applyNumberFormat="1" applyFont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3" fontId="7" fillId="0" borderId="41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82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265" fontId="7" fillId="82" borderId="58" xfId="3" applyNumberFormat="1" applyFill="1" applyBorder="1" applyAlignment="1">
      <alignment horizontal="center" vertical="center" wrapText="1"/>
    </xf>
    <xf numFmtId="182" fontId="7" fillId="0" borderId="56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265" fontId="7" fillId="0" borderId="40" xfId="1" applyNumberFormat="1" applyFont="1" applyBorder="1" applyAlignment="1">
      <alignment horizontal="center" vertical="center" wrapText="1"/>
    </xf>
    <xf numFmtId="1" fontId="7" fillId="0" borderId="41" xfId="1" applyNumberFormat="1" applyFont="1" applyBorder="1" applyAlignment="1">
      <alignment horizontal="center" vertical="center" wrapText="1"/>
    </xf>
    <xf numFmtId="3" fontId="7" fillId="0" borderId="56" xfId="1" applyNumberFormat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3" fontId="7" fillId="0" borderId="0" xfId="1" applyNumberFormat="1" applyFont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right" vertical="center" wrapText="1"/>
    </xf>
    <xf numFmtId="0" fontId="7" fillId="0" borderId="40" xfId="1" applyFont="1" applyBorder="1" applyAlignment="1">
      <alignment vertical="center"/>
    </xf>
    <xf numFmtId="0" fontId="8" fillId="0" borderId="61" xfId="1" applyFont="1" applyBorder="1" applyAlignment="1">
      <alignment vertical="center" wrapText="1"/>
    </xf>
    <xf numFmtId="1" fontId="7" fillId="0" borderId="62" xfId="3" applyNumberFormat="1" applyBorder="1" applyAlignment="1">
      <alignment horizontal="center" vertical="center" wrapText="1"/>
    </xf>
    <xf numFmtId="2" fontId="7" fillId="0" borderId="63" xfId="1" applyNumberFormat="1" applyFont="1" applyBorder="1" applyAlignment="1">
      <alignment horizontal="left" vertical="center" wrapText="1"/>
    </xf>
    <xf numFmtId="0" fontId="9" fillId="0" borderId="52" xfId="1" applyFont="1" applyBorder="1" applyAlignment="1">
      <alignment horizontal="right" vertical="center" wrapText="1"/>
    </xf>
    <xf numFmtId="2" fontId="7" fillId="0" borderId="53" xfId="1" applyNumberFormat="1" applyFont="1" applyBorder="1" applyAlignment="1">
      <alignment horizontal="left" vertical="center" wrapText="1"/>
    </xf>
    <xf numFmtId="0" fontId="9" fillId="0" borderId="55" xfId="1" applyFont="1" applyBorder="1" applyAlignment="1">
      <alignment horizontal="right" vertical="center" wrapText="1"/>
    </xf>
    <xf numFmtId="2" fontId="7" fillId="0" borderId="57" xfId="1" applyNumberFormat="1" applyFont="1" applyBorder="1" applyAlignment="1">
      <alignment horizontal="left" vertical="center" wrapText="1"/>
    </xf>
    <xf numFmtId="1" fontId="8" fillId="0" borderId="61" xfId="3" applyNumberFormat="1" applyFont="1" applyBorder="1" applyAlignment="1">
      <alignment horizontal="left" vertical="center"/>
    </xf>
    <xf numFmtId="3" fontId="7" fillId="0" borderId="62" xfId="1" applyNumberFormat="1" applyFont="1" applyBorder="1" applyAlignment="1">
      <alignment horizontal="center" vertical="center"/>
    </xf>
    <xf numFmtId="1" fontId="9" fillId="0" borderId="52" xfId="3" applyNumberFormat="1" applyFont="1" applyBorder="1" applyAlignment="1">
      <alignment horizontal="right" vertical="center" wrapText="1"/>
    </xf>
    <xf numFmtId="0" fontId="8" fillId="0" borderId="55" xfId="1" applyFont="1" applyBorder="1" applyAlignment="1">
      <alignment vertical="center" wrapText="1"/>
    </xf>
    <xf numFmtId="0" fontId="7" fillId="0" borderId="56" xfId="1" applyFont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82" fontId="7" fillId="0" borderId="56" xfId="1" applyNumberFormat="1" applyFont="1" applyBorder="1" applyAlignment="1">
      <alignment horizontal="center" vertical="center"/>
    </xf>
    <xf numFmtId="0" fontId="7" fillId="0" borderId="57" xfId="1" applyFont="1" applyBorder="1" applyAlignment="1">
      <alignment vertical="center"/>
    </xf>
    <xf numFmtId="0" fontId="8" fillId="0" borderId="52" xfId="1" applyFont="1" applyBorder="1" applyAlignment="1">
      <alignment vertical="center" wrapText="1"/>
    </xf>
    <xf numFmtId="0" fontId="7" fillId="0" borderId="52" xfId="1" applyFont="1" applyBorder="1" applyAlignment="1">
      <alignment horizontal="right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Border="1" applyAlignment="1">
      <alignment horizontal="center" vertical="center" wrapText="1"/>
    </xf>
    <xf numFmtId="0" fontId="170" fillId="0" borderId="0" xfId="1" applyFont="1" applyAlignment="1">
      <alignment horizontal="center" vertical="center"/>
    </xf>
    <xf numFmtId="0" fontId="8" fillId="0" borderId="75" xfId="1" applyFont="1" applyBorder="1" applyAlignment="1">
      <alignment vertical="center" wrapText="1"/>
    </xf>
    <xf numFmtId="4" fontId="7" fillId="0" borderId="62" xfId="1" applyNumberFormat="1" applyFont="1" applyBorder="1" applyAlignment="1">
      <alignment horizontal="center" vertical="center" wrapText="1"/>
    </xf>
    <xf numFmtId="0" fontId="7" fillId="0" borderId="56" xfId="1" applyFont="1" applyBorder="1" applyAlignment="1">
      <alignment vertical="center"/>
    </xf>
    <xf numFmtId="0" fontId="7" fillId="0" borderId="0" xfId="1" applyFont="1" applyAlignment="1">
      <alignment horizontal="right" vertical="center" indent="1"/>
    </xf>
    <xf numFmtId="0" fontId="7" fillId="82" borderId="0" xfId="1" applyFont="1" applyFill="1" applyAlignment="1">
      <alignment horizontal="center" vertical="center" wrapText="1"/>
    </xf>
    <xf numFmtId="2" fontId="7" fillId="0" borderId="0" xfId="1" applyNumberFormat="1" applyFont="1" applyAlignment="1">
      <alignment horizontal="left" vertical="center" wrapText="1"/>
    </xf>
    <xf numFmtId="0" fontId="7" fillId="0" borderId="6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55" xfId="1" applyFont="1" applyBorder="1" applyAlignment="1">
      <alignment horizontal="right" vertical="center" wrapText="1"/>
    </xf>
    <xf numFmtId="0" fontId="170" fillId="0" borderId="70" xfId="1" applyFont="1" applyBorder="1" applyAlignment="1">
      <alignment horizontal="center" vertical="center"/>
    </xf>
    <xf numFmtId="0" fontId="7" fillId="0" borderId="71" xfId="1" applyFont="1" applyBorder="1" applyAlignment="1">
      <alignment vertical="center"/>
    </xf>
    <xf numFmtId="1" fontId="9" fillId="0" borderId="55" xfId="3" applyNumberFormat="1" applyFont="1" applyBorder="1" applyAlignment="1">
      <alignment horizontal="right" vertical="center" wrapText="1"/>
    </xf>
    <xf numFmtId="181" fontId="7" fillId="0" borderId="56" xfId="3" applyNumberFormat="1" applyBorder="1" applyAlignment="1">
      <alignment vertical="center"/>
    </xf>
    <xf numFmtId="1" fontId="9" fillId="0" borderId="0" xfId="3" applyNumberFormat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81" fontId="7" fillId="0" borderId="0" xfId="3" applyNumberFormat="1" applyAlignment="1">
      <alignment vertical="center"/>
    </xf>
    <xf numFmtId="3" fontId="7" fillId="0" borderId="0" xfId="4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1" fontId="8" fillId="0" borderId="61" xfId="3" applyNumberFormat="1" applyFont="1" applyBorder="1" applyAlignment="1">
      <alignment horizontal="left" vertical="center" wrapText="1"/>
    </xf>
    <xf numFmtId="1" fontId="9" fillId="0" borderId="62" xfId="3" applyNumberFormat="1" applyFont="1" applyBorder="1" applyAlignment="1">
      <alignment horizontal="center" vertical="center" wrapText="1"/>
    </xf>
    <xf numFmtId="182" fontId="7" fillId="0" borderId="62" xfId="1" applyNumberFormat="1" applyFont="1" applyBorder="1" applyAlignment="1">
      <alignment horizontal="center" vertic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Border="1"/>
    <xf numFmtId="3" fontId="2" fillId="0" borderId="40" xfId="0" applyNumberFormat="1" applyFont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Border="1"/>
    <xf numFmtId="0" fontId="2" fillId="0" borderId="70" xfId="0" applyFont="1" applyBorder="1"/>
    <xf numFmtId="3" fontId="2" fillId="0" borderId="0" xfId="0" applyNumberFormat="1" applyFont="1"/>
    <xf numFmtId="185" fontId="2" fillId="0" borderId="0" xfId="0" applyNumberFormat="1" applyFont="1" applyAlignment="1">
      <alignment horizontal="center"/>
    </xf>
    <xf numFmtId="0" fontId="169" fillId="0" borderId="0" xfId="0" applyFont="1" applyAlignment="1">
      <alignment horizontal="left"/>
    </xf>
    <xf numFmtId="3" fontId="169" fillId="0" borderId="43" xfId="0" applyNumberFormat="1" applyFont="1" applyBorder="1" applyAlignment="1">
      <alignment horizontal="center"/>
    </xf>
    <xf numFmtId="0" fontId="2" fillId="0" borderId="46" xfId="0" applyFont="1" applyBorder="1" applyAlignment="1">
      <alignment horizontal="left" wrapText="1" indent="2"/>
    </xf>
    <xf numFmtId="3" fontId="2" fillId="0" borderId="48" xfId="0" applyNumberFormat="1" applyFont="1" applyBorder="1"/>
    <xf numFmtId="0" fontId="2" fillId="0" borderId="51" xfId="0" applyFont="1" applyBorder="1" applyAlignment="1">
      <alignment horizontal="left" wrapText="1" indent="2"/>
    </xf>
    <xf numFmtId="0" fontId="2" fillId="0" borderId="51" xfId="0" applyFont="1" applyBorder="1" applyAlignment="1">
      <alignment horizontal="left" indent="2"/>
    </xf>
    <xf numFmtId="0" fontId="2" fillId="0" borderId="46" xfId="0" applyFont="1" applyBorder="1" applyAlignment="1">
      <alignment horizontal="left" indent="2"/>
    </xf>
    <xf numFmtId="0" fontId="2" fillId="0" borderId="50" xfId="0" applyFont="1" applyBorder="1"/>
    <xf numFmtId="0" fontId="2" fillId="0" borderId="48" xfId="0" applyFont="1" applyBorder="1"/>
    <xf numFmtId="0" fontId="2" fillId="0" borderId="51" xfId="0" applyFont="1" applyBorder="1" applyAlignment="1">
      <alignment horizontal="right"/>
    </xf>
    <xf numFmtId="0" fontId="2" fillId="0" borderId="41" xfId="0" applyFont="1" applyBorder="1"/>
    <xf numFmtId="0" fontId="2" fillId="0" borderId="40" xfId="0" applyFont="1" applyBorder="1" applyAlignment="1">
      <alignment horizontal="left" indent="2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/>
    <xf numFmtId="0" fontId="2" fillId="0" borderId="68" xfId="0" applyFont="1" applyBorder="1"/>
    <xf numFmtId="3" fontId="169" fillId="0" borderId="40" xfId="0" applyNumberFormat="1" applyFont="1" applyBorder="1" applyAlignment="1">
      <alignment horizontal="center"/>
    </xf>
    <xf numFmtId="0" fontId="2" fillId="0" borderId="52" xfId="0" applyFont="1" applyBorder="1" applyAlignment="1">
      <alignment horizontal="left" indent="2"/>
    </xf>
    <xf numFmtId="0" fontId="2" fillId="0" borderId="51" xfId="0" applyFont="1" applyBorder="1" applyAlignment="1">
      <alignment horizontal="right" indent="2"/>
    </xf>
    <xf numFmtId="0" fontId="2" fillId="82" borderId="52" xfId="0" applyFont="1" applyFill="1" applyBorder="1" applyAlignment="1">
      <alignment horizontal="right" indent="2"/>
    </xf>
    <xf numFmtId="266" fontId="2" fillId="0" borderId="40" xfId="0" applyNumberFormat="1" applyFont="1" applyBorder="1"/>
    <xf numFmtId="0" fontId="2" fillId="82" borderId="52" xfId="0" applyFont="1" applyFill="1" applyBorder="1" applyAlignment="1">
      <alignment horizontal="left" indent="2"/>
    </xf>
    <xf numFmtId="0" fontId="2" fillId="0" borderId="54" xfId="0" applyFont="1" applyBorder="1" applyAlignment="1">
      <alignment horizontal="right" indent="2"/>
    </xf>
    <xf numFmtId="0" fontId="2" fillId="0" borderId="58" xfId="0" applyFont="1" applyBorder="1"/>
    <xf numFmtId="266" fontId="2" fillId="0" borderId="56" xfId="0" applyNumberFormat="1" applyFont="1" applyBorder="1"/>
    <xf numFmtId="1" fontId="7" fillId="82" borderId="40" xfId="3" applyNumberFormat="1" applyFill="1" applyBorder="1" applyAlignment="1">
      <alignment horizontal="center" vertical="center" wrapText="1"/>
    </xf>
    <xf numFmtId="3" fontId="7" fillId="0" borderId="56" xfId="4" applyNumberFormat="1" applyFont="1" applyBorder="1" applyAlignment="1">
      <alignment horizontal="center" vertical="center"/>
    </xf>
    <xf numFmtId="3" fontId="7" fillId="0" borderId="56" xfId="1" applyNumberFormat="1" applyFont="1" applyBorder="1" applyAlignment="1">
      <alignment horizontal="center" vertical="center"/>
    </xf>
    <xf numFmtId="0" fontId="171" fillId="0" borderId="0" xfId="1" applyFont="1" applyAlignment="1">
      <alignment horizontal="left" vertical="center" wrapText="1"/>
    </xf>
    <xf numFmtId="178" fontId="7" fillId="0" borderId="0" xfId="1" applyNumberFormat="1" applyFont="1" applyAlignment="1">
      <alignment horizontal="center" vertical="center"/>
    </xf>
    <xf numFmtId="0" fontId="171" fillId="0" borderId="0" xfId="1" applyFont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8" fillId="0" borderId="62" xfId="1" applyFont="1" applyBorder="1" applyAlignment="1">
      <alignment horizontal="center" vertical="center" wrapText="1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1" fontId="8" fillId="0" borderId="61" xfId="3" applyNumberFormat="1" applyFont="1" applyBorder="1" applyAlignment="1">
      <alignment horizontal="center" vertical="center" wrapText="1"/>
    </xf>
    <xf numFmtId="1" fontId="8" fillId="0" borderId="62" xfId="3" applyNumberFormat="1" applyFont="1" applyBorder="1" applyAlignment="1">
      <alignment horizontal="center" vertical="center" wrapText="1"/>
    </xf>
    <xf numFmtId="1" fontId="8" fillId="0" borderId="63" xfId="3" applyNumberFormat="1" applyFont="1" applyBorder="1" applyAlignment="1">
      <alignment horizontal="center" vertical="center" wrapText="1"/>
    </xf>
    <xf numFmtId="1" fontId="8" fillId="0" borderId="64" xfId="3" applyNumberFormat="1" applyFont="1" applyBorder="1" applyAlignment="1">
      <alignment horizontal="center" vertical="center" wrapText="1"/>
    </xf>
    <xf numFmtId="0" fontId="8" fillId="0" borderId="65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0" xfId="0" applyFont="1" applyBorder="1" applyAlignment="1">
      <alignment horizontal="center" vertical="center"/>
    </xf>
    <xf numFmtId="0" fontId="169" fillId="0" borderId="64" xfId="0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 wrapText="1"/>
    </xf>
    <xf numFmtId="0" fontId="8" fillId="0" borderId="73" xfId="1" applyFont="1" applyBorder="1" applyAlignment="1">
      <alignment horizontal="center" vertical="center" wrapText="1"/>
    </xf>
    <xf numFmtId="0" fontId="169" fillId="0" borderId="65" xfId="0" applyFont="1" applyBorder="1" applyAlignment="1">
      <alignment horizontal="center" vertical="center"/>
    </xf>
    <xf numFmtId="0" fontId="169" fillId="0" borderId="45" xfId="0" applyFont="1" applyBorder="1" applyAlignment="1">
      <alignment horizontal="center" vertical="center"/>
    </xf>
    <xf numFmtId="0" fontId="169" fillId="0" borderId="43" xfId="0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 wrapText="1"/>
    </xf>
    <xf numFmtId="265" fontId="7" fillId="0" borderId="77" xfId="1" applyNumberFormat="1" applyFont="1" applyBorder="1" applyAlignment="1">
      <alignment horizontal="center" vertical="center" wrapText="1"/>
    </xf>
    <xf numFmtId="265" fontId="7" fillId="0" borderId="78" xfId="1" applyNumberFormat="1" applyFont="1" applyBorder="1" applyAlignment="1">
      <alignment horizontal="center" vertical="center" wrapText="1"/>
    </xf>
    <xf numFmtId="0" fontId="8" fillId="0" borderId="59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8" fillId="0" borderId="45" xfId="1" applyFont="1" applyBorder="1" applyAlignment="1">
      <alignment vertical="center" wrapText="1"/>
    </xf>
    <xf numFmtId="3" fontId="7" fillId="0" borderId="48" xfId="1" applyNumberFormat="1" applyFont="1" applyBorder="1" applyAlignment="1">
      <alignment horizontal="center" vertical="center" wrapText="1"/>
    </xf>
    <xf numFmtId="3" fontId="7" fillId="0" borderId="47" xfId="1" applyNumberFormat="1" applyFont="1" applyBorder="1" applyAlignment="1">
      <alignment horizontal="right" vertical="center" wrapText="1"/>
    </xf>
    <xf numFmtId="0" fontId="169" fillId="0" borderId="73" xfId="0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 wrapText="1"/>
    </xf>
    <xf numFmtId="0" fontId="169" fillId="0" borderId="44" xfId="0" applyFont="1" applyBorder="1" applyAlignment="1">
      <alignment horizontal="center" vertical="center"/>
    </xf>
    <xf numFmtId="3" fontId="7" fillId="82" borderId="80" xfId="1" applyNumberFormat="1" applyFont="1" applyFill="1" applyBorder="1" applyAlignment="1">
      <alignment horizontal="right" vertical="center" wrapText="1"/>
    </xf>
    <xf numFmtId="3" fontId="7" fillId="0" borderId="81" xfId="1" applyNumberFormat="1" applyFont="1" applyBorder="1" applyAlignment="1">
      <alignment horizontal="center" vertical="center" wrapText="1"/>
    </xf>
    <xf numFmtId="265" fontId="7" fillId="0" borderId="56" xfId="1" applyNumberFormat="1" applyFont="1" applyBorder="1" applyAlignment="1">
      <alignment horizontal="center" vertical="center" wrapText="1"/>
    </xf>
    <xf numFmtId="0" fontId="169" fillId="0" borderId="82" xfId="0" applyFont="1" applyBorder="1" applyAlignment="1">
      <alignment horizontal="center" vertical="center"/>
    </xf>
    <xf numFmtId="3" fontId="7" fillId="0" borderId="80" xfId="1" applyNumberFormat="1" applyFont="1" applyBorder="1" applyAlignment="1">
      <alignment horizontal="right" vertical="center" wrapText="1"/>
    </xf>
    <xf numFmtId="0" fontId="17" fillId="82" borderId="40" xfId="1" applyFont="1" applyFill="1" applyBorder="1" applyAlignment="1">
      <alignment horizontal="center" vertical="center" wrapText="1"/>
    </xf>
    <xf numFmtId="0" fontId="17" fillId="82" borderId="56" xfId="1" applyFont="1" applyFill="1" applyBorder="1" applyAlignment="1">
      <alignment horizontal="center" vertical="center" wrapText="1"/>
    </xf>
    <xf numFmtId="4" fontId="17" fillId="82" borderId="56" xfId="1" applyNumberFormat="1" applyFont="1" applyFill="1" applyBorder="1" applyAlignment="1">
      <alignment horizontal="center" vertical="center" wrapText="1"/>
    </xf>
    <xf numFmtId="0" fontId="17" fillId="82" borderId="40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17" fillId="82" borderId="0" xfId="1" applyFont="1" applyFill="1" applyAlignment="1">
      <alignment horizontal="center" vertical="center"/>
    </xf>
    <xf numFmtId="24" fontId="17" fillId="82" borderId="40" xfId="1" applyNumberFormat="1" applyFont="1" applyFill="1" applyBorder="1" applyAlignment="1">
      <alignment horizontal="center" vertical="center" wrapText="1"/>
    </xf>
    <xf numFmtId="182" fontId="173" fillId="0" borderId="83" xfId="1" applyNumberFormat="1" applyFont="1" applyBorder="1" applyAlignment="1">
      <alignment horizontal="center" vertical="center" wrapText="1"/>
    </xf>
    <xf numFmtId="4" fontId="17" fillId="0" borderId="40" xfId="1" applyNumberFormat="1" applyFont="1" applyBorder="1" applyAlignment="1">
      <alignment horizontal="center" vertical="center" wrapText="1"/>
    </xf>
    <xf numFmtId="3" fontId="17" fillId="0" borderId="40" xfId="4" applyNumberFormat="1" applyFont="1" applyBorder="1" applyAlignment="1">
      <alignment horizontal="center" vertical="center"/>
    </xf>
    <xf numFmtId="3" fontId="17" fillId="0" borderId="40" xfId="1" applyNumberFormat="1" applyFont="1" applyBorder="1" applyAlignment="1">
      <alignment horizontal="center" vertical="center"/>
    </xf>
    <xf numFmtId="182" fontId="17" fillId="0" borderId="40" xfId="1" applyNumberFormat="1" applyFont="1" applyBorder="1" applyAlignment="1">
      <alignment horizontal="center" vertical="center"/>
    </xf>
    <xf numFmtId="1" fontId="174" fillId="82" borderId="40" xfId="3" applyNumberFormat="1" applyFont="1" applyFill="1" applyBorder="1" applyAlignment="1">
      <alignment horizontal="center" vertical="center" wrapText="1"/>
    </xf>
    <xf numFmtId="3" fontId="175" fillId="82" borderId="52" xfId="0" applyNumberFormat="1" applyFont="1" applyFill="1" applyBorder="1"/>
    <xf numFmtId="0" fontId="175" fillId="82" borderId="40" xfId="0" applyFont="1" applyFill="1" applyBorder="1" applyAlignment="1">
      <alignment horizontal="center"/>
    </xf>
    <xf numFmtId="0" fontId="175" fillId="82" borderId="53" xfId="0" applyFont="1" applyFill="1" applyBorder="1" applyAlignment="1">
      <alignment horizontal="center"/>
    </xf>
    <xf numFmtId="0" fontId="175" fillId="82" borderId="84" xfId="0" applyFont="1" applyFill="1" applyBorder="1" applyAlignment="1">
      <alignment horizontal="center"/>
    </xf>
    <xf numFmtId="3" fontId="175" fillId="82" borderId="55" xfId="0" applyNumberFormat="1" applyFont="1" applyFill="1" applyBorder="1"/>
    <xf numFmtId="0" fontId="175" fillId="82" borderId="56" xfId="0" applyFont="1" applyFill="1" applyBorder="1" applyAlignment="1">
      <alignment horizontal="center"/>
    </xf>
    <xf numFmtId="0" fontId="175" fillId="82" borderId="58" xfId="0" applyFont="1" applyFill="1" applyBorder="1" applyAlignment="1">
      <alignment horizontal="center"/>
    </xf>
    <xf numFmtId="265" fontId="176" fillId="82" borderId="40" xfId="1" applyNumberFormat="1" applyFont="1" applyFill="1" applyBorder="1" applyAlignment="1">
      <alignment horizontal="center" vertical="center" wrapText="1"/>
    </xf>
    <xf numFmtId="3" fontId="17" fillId="82" borderId="53" xfId="1" applyNumberFormat="1" applyFont="1" applyFill="1" applyBorder="1" applyAlignment="1">
      <alignment horizontal="right" vertical="center" wrapText="1"/>
    </xf>
    <xf numFmtId="265" fontId="176" fillId="0" borderId="40" xfId="1" applyNumberFormat="1" applyFont="1" applyBorder="1" applyAlignment="1">
      <alignment horizontal="center" vertical="center" wrapText="1"/>
    </xf>
    <xf numFmtId="3" fontId="17" fillId="0" borderId="53" xfId="1" applyNumberFormat="1" applyFont="1" applyBorder="1" applyAlignment="1">
      <alignment horizontal="center" vertical="center" wrapText="1"/>
    </xf>
    <xf numFmtId="176" fontId="175" fillId="82" borderId="50" xfId="0" applyNumberFormat="1" applyFont="1" applyFill="1" applyBorder="1"/>
    <xf numFmtId="3" fontId="175" fillId="82" borderId="40" xfId="0" applyNumberFormat="1" applyFont="1" applyFill="1" applyBorder="1"/>
    <xf numFmtId="265" fontId="176" fillId="82" borderId="50" xfId="1" applyNumberFormat="1" applyFont="1" applyFill="1" applyBorder="1" applyAlignment="1">
      <alignment horizontal="center" vertical="center" wrapText="1"/>
    </xf>
    <xf numFmtId="3" fontId="17" fillId="82" borderId="48" xfId="1" applyNumberFormat="1" applyFont="1" applyFill="1" applyBorder="1" applyAlignment="1">
      <alignment horizontal="right" vertical="center" wrapText="1"/>
    </xf>
    <xf numFmtId="0" fontId="17" fillId="82" borderId="48" xfId="1" applyFont="1" applyFill="1" applyBorder="1" applyAlignment="1">
      <alignment horizontal="center" vertical="center" wrapText="1"/>
    </xf>
    <xf numFmtId="265" fontId="176" fillId="82" borderId="84" xfId="1" applyNumberFormat="1" applyFont="1" applyFill="1" applyBorder="1" applyAlignment="1">
      <alignment horizontal="center" vertical="center" wrapText="1"/>
    </xf>
    <xf numFmtId="3" fontId="17" fillId="82" borderId="40" xfId="1" applyNumberFormat="1" applyFont="1" applyFill="1" applyBorder="1" applyAlignment="1">
      <alignment horizontal="right" vertical="center" wrapText="1"/>
    </xf>
    <xf numFmtId="265" fontId="176" fillId="82" borderId="85" xfId="1" applyNumberFormat="1" applyFont="1" applyFill="1" applyBorder="1" applyAlignment="1">
      <alignment horizontal="center" vertical="center" wrapText="1"/>
    </xf>
    <xf numFmtId="3" fontId="17" fillId="82" borderId="86" xfId="1" applyNumberFormat="1" applyFont="1" applyFill="1" applyBorder="1" applyAlignment="1">
      <alignment horizontal="right" vertical="center" wrapText="1"/>
    </xf>
    <xf numFmtId="0" fontId="17" fillId="82" borderId="86" xfId="1" applyFont="1" applyFill="1" applyBorder="1" applyAlignment="1">
      <alignment horizontal="center" vertical="center" wrapText="1"/>
    </xf>
    <xf numFmtId="3" fontId="175" fillId="82" borderId="40" xfId="0" applyNumberFormat="1" applyFont="1" applyFill="1" applyBorder="1" applyAlignment="1">
      <alignment horizontal="center"/>
    </xf>
    <xf numFmtId="0" fontId="176" fillId="0" borderId="84" xfId="0" applyFont="1" applyBorder="1"/>
    <xf numFmtId="0" fontId="175" fillId="0" borderId="40" xfId="0" applyFont="1" applyBorder="1"/>
    <xf numFmtId="0" fontId="175" fillId="0" borderId="40" xfId="0" applyFont="1" applyBorder="1" applyAlignment="1">
      <alignment horizontal="center"/>
    </xf>
    <xf numFmtId="0" fontId="1" fillId="0" borderId="51" xfId="0" applyFont="1" applyBorder="1" applyAlignment="1">
      <alignment horizontal="left" indent="2"/>
    </xf>
    <xf numFmtId="0" fontId="1" fillId="0" borderId="74" xfId="0" applyFont="1" applyBorder="1" applyAlignment="1">
      <alignment horizontal="left" indent="2"/>
    </xf>
    <xf numFmtId="0" fontId="1" fillId="0" borderId="51" xfId="0" applyFont="1" applyBorder="1" applyAlignment="1">
      <alignment horizontal="right"/>
    </xf>
    <xf numFmtId="0" fontId="173" fillId="82" borderId="40" xfId="1" applyFont="1" applyFill="1" applyBorder="1" applyAlignment="1">
      <alignment horizontal="center" vertical="center" wrapText="1"/>
    </xf>
    <xf numFmtId="0" fontId="17" fillId="82" borderId="87" xfId="1" applyFont="1" applyFill="1" applyBorder="1" applyAlignment="1">
      <alignment horizontal="center" vertical="center" wrapText="1"/>
    </xf>
    <xf numFmtId="0" fontId="17" fillId="82" borderId="87" xfId="1" applyFont="1" applyFill="1" applyBorder="1" applyAlignment="1">
      <alignment horizontal="center" vertical="center"/>
    </xf>
    <xf numFmtId="3" fontId="177" fillId="0" borderId="88" xfId="0" applyNumberFormat="1" applyFont="1" applyBorder="1" applyAlignment="1">
      <alignment horizontal="center"/>
    </xf>
    <xf numFmtId="3" fontId="177" fillId="0" borderId="89" xfId="0" applyNumberFormat="1" applyFont="1" applyBorder="1" applyAlignment="1">
      <alignment horizontal="center"/>
    </xf>
    <xf numFmtId="3" fontId="177" fillId="0" borderId="90" xfId="0" applyNumberFormat="1" applyFont="1" applyBorder="1" applyAlignment="1">
      <alignment horizontal="center"/>
    </xf>
    <xf numFmtId="0" fontId="178" fillId="0" borderId="88" xfId="1" applyFont="1" applyBorder="1" applyAlignment="1">
      <alignment horizontal="center" vertical="center" wrapText="1"/>
    </xf>
    <xf numFmtId="0" fontId="173" fillId="0" borderId="89" xfId="1" applyFont="1" applyBorder="1" applyAlignment="1">
      <alignment horizontal="center" vertical="center" wrapText="1"/>
    </xf>
    <xf numFmtId="3" fontId="175" fillId="0" borderId="48" xfId="0" applyNumberFormat="1" applyFont="1" applyBorder="1"/>
    <xf numFmtId="3" fontId="175" fillId="0" borderId="40" xfId="0" applyNumberFormat="1" applyFont="1" applyBorder="1"/>
    <xf numFmtId="3" fontId="175" fillId="0" borderId="86" xfId="0" applyNumberFormat="1" applyFont="1" applyBorder="1"/>
    <xf numFmtId="0" fontId="177" fillId="0" borderId="87" xfId="0" applyFont="1" applyBorder="1" applyAlignment="1">
      <alignment horizontal="center" vertical="center"/>
    </xf>
    <xf numFmtId="0" fontId="173" fillId="0" borderId="87" xfId="1" applyFont="1" applyBorder="1" applyAlignment="1">
      <alignment horizontal="center" vertical="center" wrapText="1"/>
    </xf>
    <xf numFmtId="3" fontId="17" fillId="0" borderId="56" xfId="1" applyNumberFormat="1" applyFont="1" applyBorder="1" applyAlignment="1">
      <alignment horizontal="center" vertical="center" wrapText="1"/>
    </xf>
    <xf numFmtId="3" fontId="175" fillId="0" borderId="56" xfId="0" applyNumberFormat="1" applyFont="1" applyBorder="1"/>
    <xf numFmtId="0" fontId="175" fillId="0" borderId="0" xfId="0" applyFont="1"/>
    <xf numFmtId="0" fontId="17" fillId="0" borderId="87" xfId="1" applyFont="1" applyBorder="1" applyAlignment="1">
      <alignment horizontal="center" vertical="center" wrapText="1"/>
    </xf>
    <xf numFmtId="3" fontId="17" fillId="0" borderId="87" xfId="1" applyNumberFormat="1" applyFont="1" applyBorder="1" applyAlignment="1">
      <alignment horizontal="center" vertical="center" wrapText="1"/>
    </xf>
    <xf numFmtId="0" fontId="17" fillId="0" borderId="40" xfId="1" applyFont="1" applyBorder="1" applyAlignment="1">
      <alignment horizontal="center" vertical="center" wrapText="1"/>
    </xf>
    <xf numFmtId="3" fontId="173" fillId="0" borderId="40" xfId="1" applyNumberFormat="1" applyFont="1" applyBorder="1" applyAlignment="1">
      <alignment horizontal="center" vertical="center" wrapText="1"/>
    </xf>
    <xf numFmtId="3" fontId="173" fillId="0" borderId="53" xfId="1" applyNumberFormat="1" applyFont="1" applyBorder="1" applyAlignment="1">
      <alignment horizontal="center" vertical="center" wrapText="1"/>
    </xf>
    <xf numFmtId="182" fontId="17" fillId="0" borderId="40" xfId="1" applyNumberFormat="1" applyFont="1" applyBorder="1" applyAlignment="1">
      <alignment horizontal="center" vertical="center" wrapText="1"/>
    </xf>
    <xf numFmtId="182" fontId="17" fillId="0" borderId="53" xfId="1" applyNumberFormat="1" applyFont="1" applyBorder="1" applyAlignment="1">
      <alignment horizontal="center" vertical="center" wrapText="1"/>
    </xf>
    <xf numFmtId="182" fontId="17" fillId="0" borderId="56" xfId="1" applyNumberFormat="1" applyFont="1" applyBorder="1" applyAlignment="1">
      <alignment horizontal="center" vertical="center" wrapText="1"/>
    </xf>
    <xf numFmtId="4" fontId="173" fillId="83" borderId="40" xfId="1" applyNumberFormat="1" applyFont="1" applyFill="1" applyBorder="1" applyAlignment="1">
      <alignment horizontal="center" vertical="center" wrapText="1"/>
    </xf>
    <xf numFmtId="4" fontId="175" fillId="83" borderId="0" xfId="0" applyNumberFormat="1" applyFont="1" applyFill="1" applyAlignment="1">
      <alignment horizontal="center"/>
    </xf>
    <xf numFmtId="182" fontId="174" fillId="83" borderId="40" xfId="1" applyNumberFormat="1" applyFont="1" applyFill="1" applyBorder="1" applyAlignment="1">
      <alignment horizontal="right" vertical="center" wrapText="1"/>
    </xf>
    <xf numFmtId="182" fontId="174" fillId="83" borderId="56" xfId="1" applyNumberFormat="1" applyFont="1" applyFill="1" applyBorder="1" applyAlignment="1">
      <alignment horizontal="right" vertical="center" wrapText="1"/>
    </xf>
    <xf numFmtId="265" fontId="17" fillId="0" borderId="40" xfId="1" applyNumberFormat="1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javicind-my.sharepoint.cn/personal/huxudong_meilinbj_cn/Documents/&#26700;&#38754;/&#23665;&#27827;&#26234;&#33021;&#38075;&#26426;&#25237;&#26631;2026.5/&#32456;&#29256;2026.7.23&#20420;&#25991;&#29256;&#26368;&#20934;&#30830;/SWDRT270E&#38075;&#26426;&#20351;&#29992;&#25104;&#26412;&#34920;&#20013;&#25991;&#29256;_20260628(1).xlsx" TargetMode="External"/><Relationship Id="rId1" Type="http://schemas.openxmlformats.org/officeDocument/2006/relationships/externalLinkPath" Target="SWDRT270E&#38075;&#26426;&#20351;&#29992;&#25104;&#26412;&#34920;&#20013;&#25991;&#29256;_20260628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钻机数据"/>
      <sheetName val="维护"/>
      <sheetName val="修理"/>
    </sheetNames>
    <sheetDataSet>
      <sheetData sheetId="0"/>
      <sheetData sheetId="1">
        <row r="6">
          <cell r="F6">
            <v>7000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tabSelected="1" view="pageBreakPreview" zoomScale="85" zoomScaleNormal="8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18" sqref="D18"/>
    </sheetView>
  </sheetViews>
  <sheetFormatPr defaultColWidth="9.125" defaultRowHeight="12.75"/>
  <cols>
    <col min="1" max="1" width="6.375" style="3" bestFit="1" customWidth="1"/>
    <col min="2" max="2" width="43" style="8" bestFit="1" customWidth="1"/>
    <col min="3" max="3" width="14.75" style="6" bestFit="1" customWidth="1"/>
    <col min="4" max="4" width="11.5" style="6" customWidth="1"/>
    <col min="5" max="16" width="10.375" style="7" bestFit="1" customWidth="1"/>
    <col min="17" max="17" width="44.25" style="3" bestFit="1" customWidth="1"/>
    <col min="18" max="18" width="14" style="3" bestFit="1" customWidth="1"/>
    <col min="19" max="16384" width="9.125" style="3"/>
  </cols>
  <sheetData>
    <row r="2" spans="1:18" ht="18" customHeight="1">
      <c r="B2" s="154" t="s">
        <v>30</v>
      </c>
    </row>
    <row r="3" spans="1:18" s="1" customFormat="1" ht="27" customHeight="1" thickBot="1">
      <c r="B3" s="151" t="s">
        <v>10</v>
      </c>
      <c r="C3" s="2" t="s">
        <v>162</v>
      </c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3" t="s">
        <v>0</v>
      </c>
    </row>
    <row r="4" spans="1:18" s="5" customFormat="1">
      <c r="A4" s="88">
        <v>1</v>
      </c>
      <c r="B4" s="64" t="s">
        <v>1</v>
      </c>
      <c r="C4" s="155" t="s">
        <v>2</v>
      </c>
      <c r="D4" s="155">
        <v>0</v>
      </c>
      <c r="E4" s="155">
        <f>D4+1</f>
        <v>1</v>
      </c>
      <c r="F4" s="155">
        <f>E4+1</f>
        <v>2</v>
      </c>
      <c r="G4" s="155">
        <f t="shared" ref="G4:N4" si="0">F4+1</f>
        <v>3</v>
      </c>
      <c r="H4" s="155">
        <f t="shared" si="0"/>
        <v>4</v>
      </c>
      <c r="I4" s="155">
        <f t="shared" si="0"/>
        <v>5</v>
      </c>
      <c r="J4" s="155">
        <f t="shared" si="0"/>
        <v>6</v>
      </c>
      <c r="K4" s="155">
        <f t="shared" si="0"/>
        <v>7</v>
      </c>
      <c r="L4" s="155">
        <f t="shared" si="0"/>
        <v>8</v>
      </c>
      <c r="M4" s="155">
        <f t="shared" si="0"/>
        <v>9</v>
      </c>
      <c r="N4" s="155">
        <f t="shared" si="0"/>
        <v>10</v>
      </c>
      <c r="O4" s="155">
        <f>N4+1</f>
        <v>11</v>
      </c>
      <c r="P4" s="155">
        <f>O4+1</f>
        <v>12</v>
      </c>
      <c r="Q4" s="66" t="s">
        <v>75</v>
      </c>
      <c r="R4" s="4"/>
    </row>
    <row r="5" spans="1:18" s="5" customFormat="1">
      <c r="A5" s="88">
        <f>A4+1</f>
        <v>2</v>
      </c>
      <c r="B5" s="79" t="s">
        <v>11</v>
      </c>
      <c r="C5" s="17" t="s">
        <v>12</v>
      </c>
      <c r="D5" s="235">
        <v>270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68"/>
      <c r="R5" s="4"/>
    </row>
    <row r="6" spans="1:18" ht="18" customHeight="1">
      <c r="A6" s="88">
        <f t="shared" ref="A6:A61" si="1">A5+1</f>
        <v>3</v>
      </c>
      <c r="B6" s="79" t="s">
        <v>5</v>
      </c>
      <c r="C6" s="17" t="s">
        <v>23</v>
      </c>
      <c r="D6" s="17"/>
      <c r="E6" s="259">
        <v>0.93</v>
      </c>
      <c r="F6" s="259">
        <v>0.93</v>
      </c>
      <c r="G6" s="259">
        <v>0.92</v>
      </c>
      <c r="H6" s="259">
        <v>0.92</v>
      </c>
      <c r="I6" s="259">
        <v>0.87</v>
      </c>
      <c r="J6" s="259">
        <v>0.9</v>
      </c>
      <c r="K6" s="259">
        <v>0.85</v>
      </c>
      <c r="L6" s="259">
        <v>0.9</v>
      </c>
      <c r="M6" s="259">
        <v>0.9</v>
      </c>
      <c r="N6" s="259">
        <v>0.85</v>
      </c>
      <c r="O6" s="259">
        <v>0.89</v>
      </c>
      <c r="P6" s="259">
        <v>0.89</v>
      </c>
      <c r="Q6" s="68" t="s">
        <v>78</v>
      </c>
    </row>
    <row r="7" spans="1:18" ht="16.5" customHeight="1">
      <c r="A7" s="88">
        <f t="shared" si="1"/>
        <v>4</v>
      </c>
      <c r="B7" s="80" t="s">
        <v>76</v>
      </c>
      <c r="C7" s="9" t="s">
        <v>36</v>
      </c>
      <c r="D7" s="9"/>
      <c r="E7" s="62">
        <f>ТО!G7</f>
        <v>206</v>
      </c>
      <c r="F7" s="62">
        <f>ТО!H7</f>
        <v>238</v>
      </c>
      <c r="G7" s="62">
        <f>ТО!I7</f>
        <v>214</v>
      </c>
      <c r="H7" s="62">
        <f>ТО!J7</f>
        <v>238</v>
      </c>
      <c r="I7" s="62">
        <f>ТО!K7</f>
        <v>206</v>
      </c>
      <c r="J7" s="62">
        <f>ТО!L7</f>
        <v>258</v>
      </c>
      <c r="K7" s="62">
        <f>ТО!M7</f>
        <v>230</v>
      </c>
      <c r="L7" s="62">
        <f>ТО!N7</f>
        <v>214</v>
      </c>
      <c r="M7" s="62">
        <f>ТО!O7</f>
        <v>238</v>
      </c>
      <c r="N7" s="62">
        <f>ТО!P7</f>
        <v>214</v>
      </c>
      <c r="O7" s="62">
        <f>ТО!Q7</f>
        <v>230</v>
      </c>
      <c r="P7" s="62">
        <f>ТО!R7</f>
        <v>258</v>
      </c>
      <c r="Q7" s="68"/>
    </row>
    <row r="8" spans="1:18" ht="16.5" customHeight="1">
      <c r="A8" s="88">
        <f t="shared" si="1"/>
        <v>5</v>
      </c>
      <c r="B8" s="80" t="s">
        <v>77</v>
      </c>
      <c r="C8" s="9" t="s">
        <v>36</v>
      </c>
      <c r="D8" s="9"/>
      <c r="E8" s="62">
        <f>Ремонты!F8</f>
        <v>102.66666666666667</v>
      </c>
      <c r="F8" s="62">
        <f>Ремонты!G8</f>
        <v>102.66666666666667</v>
      </c>
      <c r="G8" s="62">
        <f>Ремонты!H8</f>
        <v>102.66666666666667</v>
      </c>
      <c r="H8" s="62">
        <f>Ремонты!I8</f>
        <v>102.66666666666667</v>
      </c>
      <c r="I8" s="62">
        <f>Ремонты!J8</f>
        <v>102.66666666666667</v>
      </c>
      <c r="J8" s="62">
        <f>Ремонты!K8</f>
        <v>102.66666666666667</v>
      </c>
      <c r="K8" s="62">
        <f>Ремонты!L8</f>
        <v>102.66666666666667</v>
      </c>
      <c r="L8" s="62">
        <f>Ремонты!M8</f>
        <v>102.66666666666667</v>
      </c>
      <c r="M8" s="62">
        <f>Ремонты!N8</f>
        <v>102.66666666666667</v>
      </c>
      <c r="N8" s="62">
        <f>Ремонты!O8</f>
        <v>102.66666666666667</v>
      </c>
      <c r="O8" s="62">
        <f>Ремонты!P8</f>
        <v>102.66666666666667</v>
      </c>
      <c r="P8" s="62">
        <f>Ремонты!Q8</f>
        <v>102.66666666666667</v>
      </c>
      <c r="Q8" s="68"/>
    </row>
    <row r="9" spans="1:18" ht="16.5" customHeight="1">
      <c r="A9" s="88"/>
      <c r="B9" s="80" t="s">
        <v>129</v>
      </c>
      <c r="C9" s="9" t="s">
        <v>36</v>
      </c>
      <c r="D9" s="9"/>
      <c r="E9" s="62">
        <f>(8760-E7-E8)/12*20/60</f>
        <v>234.75925925925927</v>
      </c>
      <c r="F9" s="62">
        <f t="shared" ref="F9:P9" si="2">(8760-F7-F8)/12*20/60</f>
        <v>233.87037037037041</v>
      </c>
      <c r="G9" s="62">
        <f t="shared" si="2"/>
        <v>234.53703703703707</v>
      </c>
      <c r="H9" s="62">
        <f t="shared" si="2"/>
        <v>233.87037037037041</v>
      </c>
      <c r="I9" s="62">
        <f t="shared" si="2"/>
        <v>234.75925925925927</v>
      </c>
      <c r="J9" s="62">
        <f t="shared" si="2"/>
        <v>233.31481481481481</v>
      </c>
      <c r="K9" s="62">
        <f t="shared" si="2"/>
        <v>234.09259259259261</v>
      </c>
      <c r="L9" s="62">
        <f t="shared" si="2"/>
        <v>234.53703703703707</v>
      </c>
      <c r="M9" s="62">
        <f t="shared" si="2"/>
        <v>233.87037037037041</v>
      </c>
      <c r="N9" s="62">
        <f t="shared" si="2"/>
        <v>234.53703703703707</v>
      </c>
      <c r="O9" s="62">
        <f t="shared" si="2"/>
        <v>234.09259259259261</v>
      </c>
      <c r="P9" s="62">
        <f t="shared" si="2"/>
        <v>233.31481481481481</v>
      </c>
      <c r="Q9" s="68"/>
    </row>
    <row r="10" spans="1:18" ht="26.25" thickBot="1">
      <c r="A10" s="88">
        <f>A8+1</f>
        <v>6</v>
      </c>
      <c r="B10" s="79" t="s">
        <v>82</v>
      </c>
      <c r="C10" s="9"/>
      <c r="D10" s="195" t="s">
        <v>163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8"/>
    </row>
    <row r="11" spans="1:18">
      <c r="A11" s="88">
        <f t="shared" si="1"/>
        <v>7</v>
      </c>
      <c r="B11" s="79" t="s">
        <v>81</v>
      </c>
      <c r="C11" s="9" t="s">
        <v>17</v>
      </c>
      <c r="D11" s="194">
        <v>630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8"/>
    </row>
    <row r="12" spans="1:18">
      <c r="A12" s="88">
        <f t="shared" si="1"/>
        <v>8</v>
      </c>
      <c r="B12" s="79" t="s">
        <v>13</v>
      </c>
      <c r="C12" s="9" t="s">
        <v>14</v>
      </c>
      <c r="D12" s="194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68"/>
    </row>
    <row r="13" spans="1:18">
      <c r="A13" s="88">
        <f t="shared" si="1"/>
        <v>9</v>
      </c>
      <c r="B13" s="79" t="s">
        <v>121</v>
      </c>
      <c r="C13" s="9" t="s">
        <v>14</v>
      </c>
      <c r="D13" s="194">
        <v>10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68"/>
    </row>
    <row r="14" spans="1:18">
      <c r="A14" s="88">
        <f t="shared" si="1"/>
        <v>10</v>
      </c>
      <c r="B14" s="79" t="s">
        <v>122</v>
      </c>
      <c r="C14" s="9" t="s">
        <v>16</v>
      </c>
      <c r="D14" s="194">
        <v>30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68"/>
    </row>
    <row r="15" spans="1:18" ht="13.5" thickBot="1">
      <c r="A15" s="88"/>
      <c r="B15" s="74" t="s">
        <v>123</v>
      </c>
      <c r="C15" s="81" t="s">
        <v>16</v>
      </c>
      <c r="D15" s="195">
        <v>45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70"/>
    </row>
    <row r="16" spans="1:18" ht="20.25" customHeight="1" thickBot="1">
      <c r="A16" s="88"/>
      <c r="B16" s="84" t="s">
        <v>85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>
      <c r="A17" s="88">
        <f>A14+1</f>
        <v>11</v>
      </c>
      <c r="B17" s="64" t="s">
        <v>15</v>
      </c>
      <c r="C17" s="53" t="s">
        <v>117</v>
      </c>
      <c r="D17" s="236">
        <v>120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66"/>
    </row>
    <row r="18" spans="1:17">
      <c r="A18" s="88">
        <f>A17+1</f>
        <v>12</v>
      </c>
      <c r="B18" s="85" t="s">
        <v>118</v>
      </c>
      <c r="C18" s="9" t="s">
        <v>83</v>
      </c>
      <c r="D18" s="194">
        <v>13800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68"/>
    </row>
    <row r="19" spans="1:17" ht="22.5" customHeight="1" thickBot="1">
      <c r="A19" s="88">
        <f>A18+1</f>
        <v>13</v>
      </c>
      <c r="B19" s="74" t="s">
        <v>119</v>
      </c>
      <c r="C19" s="81" t="s">
        <v>84</v>
      </c>
      <c r="D19" s="196" t="s">
        <v>164</v>
      </c>
      <c r="E19" s="87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70"/>
    </row>
    <row r="20" spans="1:17" ht="22.5" customHeight="1" thickBot="1">
      <c r="A20" s="88"/>
      <c r="B20" s="84" t="s">
        <v>86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88">
        <f>A19+1</f>
        <v>14</v>
      </c>
      <c r="B21" s="64" t="s">
        <v>87</v>
      </c>
      <c r="C21" s="53" t="s">
        <v>88</v>
      </c>
      <c r="D21" s="237">
        <v>51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66"/>
    </row>
    <row r="22" spans="1:17">
      <c r="A22" s="88">
        <f>A21+1</f>
        <v>15</v>
      </c>
      <c r="B22" s="79" t="s">
        <v>89</v>
      </c>
      <c r="C22" s="9" t="s">
        <v>90</v>
      </c>
      <c r="D22" s="197">
        <v>8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92"/>
    </row>
    <row r="23" spans="1:17">
      <c r="A23" s="88">
        <f t="shared" ref="A23:A26" si="3">A22+1</f>
        <v>16</v>
      </c>
      <c r="B23" s="79" t="s">
        <v>91</v>
      </c>
      <c r="C23" s="9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92"/>
    </row>
    <row r="24" spans="1:17">
      <c r="A24" s="88">
        <f t="shared" si="3"/>
        <v>17</v>
      </c>
      <c r="B24" s="80" t="s">
        <v>92</v>
      </c>
      <c r="C24" s="9" t="s">
        <v>88</v>
      </c>
      <c r="D24" s="198" t="s">
        <v>131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92"/>
    </row>
    <row r="25" spans="1:17" ht="38.25">
      <c r="A25" s="88">
        <f t="shared" si="3"/>
        <v>18</v>
      </c>
      <c r="B25" s="80" t="s">
        <v>18</v>
      </c>
      <c r="C25" s="9" t="s">
        <v>19</v>
      </c>
      <c r="D25" s="61" t="s">
        <v>132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68"/>
    </row>
    <row r="26" spans="1:17" ht="13.5" thickBot="1">
      <c r="A26" s="88">
        <f t="shared" si="3"/>
        <v>19</v>
      </c>
      <c r="B26" s="93" t="s">
        <v>120</v>
      </c>
      <c r="C26" s="81" t="s">
        <v>20</v>
      </c>
      <c r="D26" s="82" t="s">
        <v>131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70"/>
    </row>
    <row r="27" spans="1:17" ht="13.5" thickBot="1">
      <c r="A27" s="88"/>
    </row>
    <row r="28" spans="1:17" ht="23.25" customHeight="1">
      <c r="A28" s="88">
        <f>A26+1</f>
        <v>20</v>
      </c>
      <c r="B28" s="64" t="s">
        <v>25</v>
      </c>
      <c r="C28" s="65" t="s">
        <v>116</v>
      </c>
      <c r="D28" s="65"/>
      <c r="E28" s="201">
        <f t="shared" ref="E28:P28" si="4">SUM(E29:E33)</f>
        <v>248.86816666666667</v>
      </c>
      <c r="F28" s="201">
        <f t="shared" si="4"/>
        <v>888.31766666666658</v>
      </c>
      <c r="G28" s="201">
        <f t="shared" si="4"/>
        <v>785.48441666666668</v>
      </c>
      <c r="H28" s="201">
        <f t="shared" si="4"/>
        <v>703.84766666666656</v>
      </c>
      <c r="I28" s="201">
        <f t="shared" si="4"/>
        <v>690.00816666666663</v>
      </c>
      <c r="J28" s="201">
        <f t="shared" si="4"/>
        <v>985.19491666666659</v>
      </c>
      <c r="K28" s="201">
        <f t="shared" si="4"/>
        <v>698.61816666666664</v>
      </c>
      <c r="L28" s="201">
        <f t="shared" si="4"/>
        <v>701.83766666666668</v>
      </c>
      <c r="M28" s="201">
        <f t="shared" si="4"/>
        <v>668.6944166666666</v>
      </c>
      <c r="N28" s="201">
        <f t="shared" si="4"/>
        <v>697.71266666666668</v>
      </c>
      <c r="O28" s="201">
        <f t="shared" si="4"/>
        <v>702.74316666666664</v>
      </c>
      <c r="P28" s="201">
        <f t="shared" si="4"/>
        <v>981.06991666666659</v>
      </c>
      <c r="Q28" s="66"/>
    </row>
    <row r="29" spans="1:17">
      <c r="A29" s="88">
        <f>A28+1</f>
        <v>21</v>
      </c>
      <c r="B29" s="67" t="s">
        <v>26</v>
      </c>
      <c r="C29" s="14"/>
      <c r="D29" s="14"/>
      <c r="E29" s="261">
        <f>ТО!G9/1000</f>
        <v>34.336500000000001</v>
      </c>
      <c r="F29" s="261">
        <f>ТО!H9/1000</f>
        <v>39.006</v>
      </c>
      <c r="G29" s="261">
        <f>ТО!I9/1000</f>
        <v>34.377749999999999</v>
      </c>
      <c r="H29" s="261">
        <f>ТО!J9/1000</f>
        <v>39.006</v>
      </c>
      <c r="I29" s="261">
        <f>ТО!K9/1000</f>
        <v>34.336500000000001</v>
      </c>
      <c r="J29" s="261">
        <f>ТО!L9/1000</f>
        <v>42.08325</v>
      </c>
      <c r="K29" s="261">
        <f>ТО!M9/1000</f>
        <v>34.336500000000001</v>
      </c>
      <c r="L29" s="261">
        <f>ТО!N9/1000</f>
        <v>39.006</v>
      </c>
      <c r="M29" s="261">
        <f>ТО!O9/1000</f>
        <v>34.377749999999999</v>
      </c>
      <c r="N29" s="261">
        <f>ТО!P9/1000</f>
        <v>39.006</v>
      </c>
      <c r="O29" s="261">
        <f>ТО!Q9/1000</f>
        <v>34.336500000000001</v>
      </c>
      <c r="P29" s="261">
        <f>ТО!R9/1000</f>
        <v>42.08325</v>
      </c>
      <c r="Q29" s="68"/>
    </row>
    <row r="30" spans="1:17">
      <c r="A30" s="88">
        <f t="shared" ref="A30:A33" si="5">A29+1</f>
        <v>22</v>
      </c>
      <c r="B30" s="67" t="s">
        <v>27</v>
      </c>
      <c r="C30" s="14"/>
      <c r="D30" s="14"/>
      <c r="E30" s="261">
        <f>Ремонты!F33/1000</f>
        <v>2.5</v>
      </c>
      <c r="F30" s="261">
        <f>Ремонты!G33/1000</f>
        <v>2.5</v>
      </c>
      <c r="G30" s="261">
        <f>Ремонты!H33/1000</f>
        <v>2.5</v>
      </c>
      <c r="H30" s="261">
        <f>Ремонты!I33/1000</f>
        <v>2.5</v>
      </c>
      <c r="I30" s="261">
        <f>Ремонты!J33/1000</f>
        <v>2.5</v>
      </c>
      <c r="J30" s="261">
        <f>Ремонты!K33/1000</f>
        <v>2.5</v>
      </c>
      <c r="K30" s="261">
        <f>Ремонты!L33/1000</f>
        <v>2.5</v>
      </c>
      <c r="L30" s="261">
        <f>Ремонты!M33/1000</f>
        <v>2.5</v>
      </c>
      <c r="M30" s="261">
        <f>Ремонты!N33/1000</f>
        <v>2.5</v>
      </c>
      <c r="N30" s="261">
        <f>Ремонты!O33/1000</f>
        <v>2.5</v>
      </c>
      <c r="O30" s="261">
        <f>Ремонты!P33/1000</f>
        <v>2.5</v>
      </c>
      <c r="P30" s="261">
        <f>Ремонты!Q33/1000</f>
        <v>2.5</v>
      </c>
      <c r="Q30" s="68"/>
    </row>
    <row r="31" spans="1:17">
      <c r="A31" s="88">
        <f t="shared" si="5"/>
        <v>23</v>
      </c>
      <c r="B31" s="67" t="s">
        <v>28</v>
      </c>
      <c r="C31" s="14"/>
      <c r="D31" s="14"/>
      <c r="E31" s="261">
        <f>Ремонты!F39/1000</f>
        <v>71.844999999999999</v>
      </c>
      <c r="F31" s="261">
        <f>Ремонты!G39/1000</f>
        <v>704.38499999999999</v>
      </c>
      <c r="G31" s="261">
        <f>Ремонты!H39/1000</f>
        <v>607.86</v>
      </c>
      <c r="H31" s="261">
        <f>Ремонты!I39/1000</f>
        <v>519.91499999999996</v>
      </c>
      <c r="I31" s="261">
        <f>Ремонты!J39/1000</f>
        <v>512.98500000000001</v>
      </c>
      <c r="J31" s="261">
        <f>Ремонты!K39/1000</f>
        <v>796.78499999999997</v>
      </c>
      <c r="K31" s="261">
        <f>Ремонты!L39/1000</f>
        <v>519.91499999999996</v>
      </c>
      <c r="L31" s="261">
        <f>Ремонты!M39/1000</f>
        <v>519.58500000000004</v>
      </c>
      <c r="M31" s="261">
        <f>Ремонты!N39/1000</f>
        <v>489.39</v>
      </c>
      <c r="N31" s="261">
        <f>Ремонты!O39/1000</f>
        <v>515.46</v>
      </c>
      <c r="O31" s="261">
        <f>Ремонты!P39/1000</f>
        <v>524.04</v>
      </c>
      <c r="P31" s="261">
        <f>Ремонты!Q39/1000</f>
        <v>792.66</v>
      </c>
      <c r="Q31" s="68"/>
    </row>
    <row r="32" spans="1:17">
      <c r="A32" s="88">
        <f t="shared" si="5"/>
        <v>24</v>
      </c>
      <c r="B32" s="67" t="s">
        <v>79</v>
      </c>
      <c r="C32" s="14"/>
      <c r="D32" s="14"/>
      <c r="E32" s="261">
        <f>ТО!G10/1000</f>
        <v>14.42</v>
      </c>
      <c r="F32" s="261">
        <f>ТО!H10/1000</f>
        <v>16.66</v>
      </c>
      <c r="G32" s="261">
        <f>ТО!I10/1000</f>
        <v>14.98</v>
      </c>
      <c r="H32" s="261">
        <f>ТО!J10/1000</f>
        <v>16.66</v>
      </c>
      <c r="I32" s="261">
        <f>ТО!K10/1000</f>
        <v>14.42</v>
      </c>
      <c r="J32" s="261">
        <f>ТО!L10/1000</f>
        <v>18.059999999999999</v>
      </c>
      <c r="K32" s="261">
        <f>ТО!M10/1000</f>
        <v>16.100000000000001</v>
      </c>
      <c r="L32" s="261">
        <f>ТО!N10/1000</f>
        <v>14.98</v>
      </c>
      <c r="M32" s="261">
        <f>ТО!O10/1000</f>
        <v>16.66</v>
      </c>
      <c r="N32" s="261">
        <f>ТО!P10/1000</f>
        <v>14.98</v>
      </c>
      <c r="O32" s="261">
        <f>ТО!Q10/1000</f>
        <v>16.100000000000001</v>
      </c>
      <c r="P32" s="261">
        <f>ТО!R10/1000</f>
        <v>18.059999999999999</v>
      </c>
      <c r="Q32" s="68"/>
    </row>
    <row r="33" spans="1:17" ht="13.5" thickBot="1">
      <c r="A33" s="88">
        <f t="shared" si="5"/>
        <v>25</v>
      </c>
      <c r="B33" s="69" t="s">
        <v>80</v>
      </c>
      <c r="C33" s="34"/>
      <c r="D33" s="34"/>
      <c r="E33" s="262">
        <f>Ремонты!F12/1000</f>
        <v>125.76666666666667</v>
      </c>
      <c r="F33" s="262">
        <f>Ремонты!G12/1000</f>
        <v>125.76666666666667</v>
      </c>
      <c r="G33" s="262">
        <f>Ремонты!H12/1000</f>
        <v>125.76666666666667</v>
      </c>
      <c r="H33" s="262">
        <f>Ремонты!I12/1000</f>
        <v>125.76666666666667</v>
      </c>
      <c r="I33" s="262">
        <f>Ремонты!J12/1000</f>
        <v>125.76666666666667</v>
      </c>
      <c r="J33" s="262">
        <f>Ремонты!K12/1000</f>
        <v>125.76666666666667</v>
      </c>
      <c r="K33" s="262">
        <f>Ремонты!L12/1000</f>
        <v>125.76666666666667</v>
      </c>
      <c r="L33" s="262">
        <f>Ремонты!M12/1000</f>
        <v>125.76666666666667</v>
      </c>
      <c r="M33" s="262">
        <f>Ремонты!N12/1000</f>
        <v>125.76666666666667</v>
      </c>
      <c r="N33" s="262">
        <f>Ремонты!O12/1000</f>
        <v>125.76666666666667</v>
      </c>
      <c r="O33" s="262">
        <f>Ремонты!P12/1000</f>
        <v>125.76666666666667</v>
      </c>
      <c r="P33" s="262">
        <f>Ремонты!Q12/1000</f>
        <v>125.76666666666667</v>
      </c>
      <c r="Q33" s="70"/>
    </row>
    <row r="34" spans="1:17" ht="13.5" thickBot="1">
      <c r="A34" s="8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88">
        <f>A33+1</f>
        <v>26</v>
      </c>
      <c r="B35" s="71" t="s">
        <v>91</v>
      </c>
      <c r="C35" s="65"/>
      <c r="D35" s="65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66" t="s">
        <v>8</v>
      </c>
    </row>
    <row r="36" spans="1:17" ht="19.5" customHeight="1">
      <c r="A36" s="88">
        <f>A35+1</f>
        <v>27</v>
      </c>
      <c r="B36" s="94" t="s">
        <v>85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95"/>
    </row>
    <row r="37" spans="1:17">
      <c r="A37" s="88">
        <f t="shared" ref="A37:A56" si="6">A36+1</f>
        <v>28</v>
      </c>
      <c r="B37" s="25" t="s">
        <v>113</v>
      </c>
      <c r="C37" s="63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68"/>
    </row>
    <row r="38" spans="1:17" ht="16.5" customHeight="1">
      <c r="A38" s="88">
        <f t="shared" si="6"/>
        <v>29</v>
      </c>
      <c r="B38" s="73" t="s">
        <v>3</v>
      </c>
      <c r="C38" s="199">
        <v>3000</v>
      </c>
      <c r="D38" s="9"/>
      <c r="E38" s="202">
        <f>200000/$C$38*$C$39</f>
        <v>388740</v>
      </c>
      <c r="F38" s="202">
        <f t="shared" ref="F38:P38" si="7">200000/$C$38*$C$39</f>
        <v>388740</v>
      </c>
      <c r="G38" s="202">
        <f t="shared" si="7"/>
        <v>388740</v>
      </c>
      <c r="H38" s="202">
        <f t="shared" si="7"/>
        <v>388740</v>
      </c>
      <c r="I38" s="202">
        <f t="shared" si="7"/>
        <v>388740</v>
      </c>
      <c r="J38" s="202">
        <f t="shared" si="7"/>
        <v>388740</v>
      </c>
      <c r="K38" s="202">
        <f t="shared" si="7"/>
        <v>388740</v>
      </c>
      <c r="L38" s="202">
        <f t="shared" si="7"/>
        <v>388740</v>
      </c>
      <c r="M38" s="202">
        <f t="shared" si="7"/>
        <v>388740</v>
      </c>
      <c r="N38" s="202">
        <f t="shared" si="7"/>
        <v>388740</v>
      </c>
      <c r="O38" s="202">
        <f t="shared" si="7"/>
        <v>388740</v>
      </c>
      <c r="P38" s="202">
        <f t="shared" si="7"/>
        <v>388740</v>
      </c>
      <c r="Q38" s="68"/>
    </row>
    <row r="39" spans="1:17" ht="13.5" customHeight="1">
      <c r="A39" s="88">
        <f t="shared" si="6"/>
        <v>30</v>
      </c>
      <c r="B39" s="73" t="s">
        <v>6</v>
      </c>
      <c r="C39" s="200">
        <v>5831.0999999999995</v>
      </c>
      <c r="D39" s="11"/>
      <c r="E39" s="203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68"/>
    </row>
    <row r="40" spans="1:17">
      <c r="A40" s="88">
        <f t="shared" si="6"/>
        <v>31</v>
      </c>
      <c r="B40" s="25" t="s">
        <v>21</v>
      </c>
      <c r="C40" s="11"/>
      <c r="D40" s="11"/>
      <c r="E40" s="203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68"/>
    </row>
    <row r="41" spans="1:17" ht="13.5" customHeight="1">
      <c r="A41" s="88">
        <f t="shared" si="6"/>
        <v>32</v>
      </c>
      <c r="B41" s="73" t="s">
        <v>3</v>
      </c>
      <c r="C41" s="148">
        <v>50000</v>
      </c>
      <c r="D41" s="11"/>
      <c r="E41" s="202">
        <f>200000/$C$41*$C$42</f>
        <v>18361.2</v>
      </c>
      <c r="F41" s="202">
        <f t="shared" ref="F41:P41" si="8">200000/$C$41*$C$42</f>
        <v>18361.2</v>
      </c>
      <c r="G41" s="202">
        <f t="shared" si="8"/>
        <v>18361.2</v>
      </c>
      <c r="H41" s="202">
        <f t="shared" si="8"/>
        <v>18361.2</v>
      </c>
      <c r="I41" s="202">
        <f t="shared" si="8"/>
        <v>18361.2</v>
      </c>
      <c r="J41" s="202">
        <f t="shared" si="8"/>
        <v>18361.2</v>
      </c>
      <c r="K41" s="202">
        <f t="shared" si="8"/>
        <v>18361.2</v>
      </c>
      <c r="L41" s="202">
        <f t="shared" si="8"/>
        <v>18361.2</v>
      </c>
      <c r="M41" s="202">
        <f t="shared" si="8"/>
        <v>18361.2</v>
      </c>
      <c r="N41" s="202">
        <f t="shared" si="8"/>
        <v>18361.2</v>
      </c>
      <c r="O41" s="202">
        <f t="shared" si="8"/>
        <v>18361.2</v>
      </c>
      <c r="P41" s="202">
        <f t="shared" si="8"/>
        <v>18361.2</v>
      </c>
      <c r="Q41" s="68"/>
    </row>
    <row r="42" spans="1:17" ht="13.5" customHeight="1">
      <c r="A42" s="88">
        <f t="shared" si="6"/>
        <v>33</v>
      </c>
      <c r="B42" s="73" t="s">
        <v>6</v>
      </c>
      <c r="C42" s="200">
        <v>4590.3</v>
      </c>
      <c r="D42" s="11"/>
      <c r="E42" s="203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68"/>
    </row>
    <row r="43" spans="1:17">
      <c r="A43" s="88">
        <f t="shared" si="6"/>
        <v>34</v>
      </c>
      <c r="B43" s="25" t="s">
        <v>133</v>
      </c>
      <c r="C43" s="11"/>
      <c r="D43" s="12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68"/>
    </row>
    <row r="44" spans="1:17">
      <c r="A44" s="88">
        <f t="shared" si="6"/>
        <v>35</v>
      </c>
      <c r="B44" s="73" t="s">
        <v>3</v>
      </c>
      <c r="C44" s="148">
        <v>10000</v>
      </c>
      <c r="D44" s="12"/>
      <c r="E44" s="202">
        <f>200000/$C$44*$C$45</f>
        <v>75372</v>
      </c>
      <c r="F44" s="202">
        <f t="shared" ref="F44:P44" si="9">200000/$C$44*$C$45</f>
        <v>75372</v>
      </c>
      <c r="G44" s="202">
        <f t="shared" si="9"/>
        <v>75372</v>
      </c>
      <c r="H44" s="202">
        <f t="shared" si="9"/>
        <v>75372</v>
      </c>
      <c r="I44" s="202">
        <f t="shared" si="9"/>
        <v>75372</v>
      </c>
      <c r="J44" s="202">
        <f t="shared" si="9"/>
        <v>75372</v>
      </c>
      <c r="K44" s="202">
        <f t="shared" si="9"/>
        <v>75372</v>
      </c>
      <c r="L44" s="202">
        <f t="shared" si="9"/>
        <v>75372</v>
      </c>
      <c r="M44" s="202">
        <f t="shared" si="9"/>
        <v>75372</v>
      </c>
      <c r="N44" s="202">
        <f t="shared" si="9"/>
        <v>75372</v>
      </c>
      <c r="O44" s="202">
        <f t="shared" si="9"/>
        <v>75372</v>
      </c>
      <c r="P44" s="202">
        <f t="shared" si="9"/>
        <v>75372</v>
      </c>
      <c r="Q44" s="68"/>
    </row>
    <row r="45" spans="1:17">
      <c r="A45" s="88">
        <f t="shared" si="6"/>
        <v>36</v>
      </c>
      <c r="B45" s="73" t="s">
        <v>6</v>
      </c>
      <c r="C45" s="200">
        <v>3768.6</v>
      </c>
      <c r="D45" s="12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68"/>
    </row>
    <row r="46" spans="1:17">
      <c r="A46" s="88">
        <f t="shared" si="6"/>
        <v>37</v>
      </c>
      <c r="B46" s="25" t="s">
        <v>74</v>
      </c>
      <c r="C46" s="11"/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68"/>
    </row>
    <row r="47" spans="1:17">
      <c r="A47" s="88">
        <f t="shared" si="6"/>
        <v>38</v>
      </c>
      <c r="B47" s="73" t="s">
        <v>3</v>
      </c>
      <c r="C47" s="148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68"/>
    </row>
    <row r="48" spans="1:17">
      <c r="A48" s="88">
        <f t="shared" si="6"/>
        <v>39</v>
      </c>
      <c r="B48" s="73" t="s">
        <v>6</v>
      </c>
      <c r="C48" s="148"/>
      <c r="D48" s="12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68"/>
    </row>
    <row r="49" spans="1:17">
      <c r="A49" s="88">
        <f t="shared" si="6"/>
        <v>40</v>
      </c>
      <c r="B49" s="25" t="s">
        <v>74</v>
      </c>
      <c r="C49" s="11"/>
      <c r="D49" s="1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68"/>
    </row>
    <row r="50" spans="1:17">
      <c r="A50" s="88">
        <f t="shared" si="6"/>
        <v>41</v>
      </c>
      <c r="B50" s="73" t="s">
        <v>3</v>
      </c>
      <c r="C50" s="148"/>
      <c r="D50" s="1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68"/>
    </row>
    <row r="51" spans="1:17">
      <c r="A51" s="88">
        <f t="shared" si="6"/>
        <v>42</v>
      </c>
      <c r="B51" s="73" t="s">
        <v>6</v>
      </c>
      <c r="C51" s="148"/>
      <c r="D51" s="12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68"/>
    </row>
    <row r="52" spans="1:17" ht="19.5" customHeight="1">
      <c r="A52" s="88">
        <f t="shared" si="6"/>
        <v>43</v>
      </c>
      <c r="B52" s="94" t="s">
        <v>86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95"/>
    </row>
    <row r="53" spans="1:17">
      <c r="A53" s="88">
        <f t="shared" si="6"/>
        <v>44</v>
      </c>
      <c r="B53" s="25" t="s">
        <v>96</v>
      </c>
      <c r="C53" s="63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68"/>
    </row>
    <row r="54" spans="1:17">
      <c r="A54" s="88">
        <f t="shared" si="6"/>
        <v>45</v>
      </c>
      <c r="B54" s="73" t="s">
        <v>3</v>
      </c>
      <c r="C54" s="148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68"/>
    </row>
    <row r="55" spans="1:17">
      <c r="A55" s="88">
        <f t="shared" si="6"/>
        <v>46</v>
      </c>
      <c r="B55" s="73" t="s">
        <v>6</v>
      </c>
      <c r="C55" s="148"/>
      <c r="D55" s="1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68"/>
    </row>
    <row r="56" spans="1:17">
      <c r="A56" s="88">
        <f t="shared" si="6"/>
        <v>47</v>
      </c>
      <c r="B56" s="25" t="s">
        <v>94</v>
      </c>
      <c r="C56" s="9"/>
      <c r="D56" s="1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68"/>
    </row>
    <row r="57" spans="1:17">
      <c r="A57" s="88">
        <f t="shared" si="1"/>
        <v>48</v>
      </c>
      <c r="B57" s="73" t="s">
        <v>3</v>
      </c>
      <c r="C57" s="148"/>
      <c r="D57" s="1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68"/>
    </row>
    <row r="58" spans="1:17">
      <c r="A58" s="88">
        <f t="shared" si="1"/>
        <v>49</v>
      </c>
      <c r="B58" s="73" t="s">
        <v>6</v>
      </c>
      <c r="C58" s="148"/>
      <c r="D58" s="1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68"/>
    </row>
    <row r="59" spans="1:17">
      <c r="A59" s="88">
        <f t="shared" si="1"/>
        <v>50</v>
      </c>
      <c r="B59" s="25" t="s">
        <v>93</v>
      </c>
      <c r="C59" s="9"/>
      <c r="D59" s="1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68"/>
    </row>
    <row r="60" spans="1:17">
      <c r="A60" s="88">
        <f t="shared" si="1"/>
        <v>51</v>
      </c>
      <c r="B60" s="73" t="s">
        <v>3</v>
      </c>
      <c r="C60" s="148"/>
      <c r="D60" s="1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68"/>
    </row>
    <row r="61" spans="1:17">
      <c r="A61" s="88">
        <f t="shared" si="1"/>
        <v>52</v>
      </c>
      <c r="B61" s="73" t="s">
        <v>6</v>
      </c>
      <c r="C61" s="148"/>
      <c r="D61" s="1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68"/>
    </row>
    <row r="62" spans="1:17">
      <c r="A62" s="88">
        <f t="shared" ref="A62:A65" si="10">A61+1</f>
        <v>53</v>
      </c>
      <c r="B62" s="25" t="s">
        <v>21</v>
      </c>
      <c r="C62" s="11"/>
      <c r="D62" s="1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68"/>
    </row>
    <row r="63" spans="1:17">
      <c r="A63" s="88">
        <f t="shared" si="10"/>
        <v>54</v>
      </c>
      <c r="B63" s="73" t="s">
        <v>3</v>
      </c>
      <c r="C63" s="148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68"/>
    </row>
    <row r="64" spans="1:17">
      <c r="A64" s="88">
        <f t="shared" si="10"/>
        <v>55</v>
      </c>
      <c r="B64" s="73" t="s">
        <v>6</v>
      </c>
      <c r="C64" s="148"/>
      <c r="D64" s="1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68"/>
    </row>
    <row r="65" spans="1:17">
      <c r="A65" s="88">
        <f t="shared" si="10"/>
        <v>56</v>
      </c>
      <c r="B65" s="25" t="s">
        <v>95</v>
      </c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68"/>
    </row>
    <row r="66" spans="1:17">
      <c r="A66" s="88">
        <f t="shared" ref="A66:A80" si="11">A65+1</f>
        <v>57</v>
      </c>
      <c r="B66" s="73" t="s">
        <v>3</v>
      </c>
      <c r="C66" s="148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68"/>
    </row>
    <row r="67" spans="1:17">
      <c r="A67" s="88">
        <f t="shared" si="11"/>
        <v>58</v>
      </c>
      <c r="B67" s="73" t="s">
        <v>6</v>
      </c>
      <c r="C67" s="148"/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68"/>
    </row>
    <row r="68" spans="1:17">
      <c r="A68" s="88">
        <f t="shared" si="11"/>
        <v>59</v>
      </c>
      <c r="B68" s="25" t="s">
        <v>74</v>
      </c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68"/>
    </row>
    <row r="69" spans="1:17">
      <c r="A69" s="88">
        <f t="shared" si="11"/>
        <v>60</v>
      </c>
      <c r="B69" s="73" t="s">
        <v>3</v>
      </c>
      <c r="C69" s="148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68"/>
    </row>
    <row r="70" spans="1:17">
      <c r="A70" s="88">
        <f t="shared" si="11"/>
        <v>61</v>
      </c>
      <c r="B70" s="73" t="s">
        <v>6</v>
      </c>
      <c r="C70" s="148"/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68"/>
    </row>
    <row r="71" spans="1:17">
      <c r="A71" s="88">
        <f t="shared" si="11"/>
        <v>62</v>
      </c>
      <c r="B71" s="25" t="s">
        <v>74</v>
      </c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68"/>
    </row>
    <row r="72" spans="1:17">
      <c r="A72" s="88">
        <f t="shared" si="11"/>
        <v>63</v>
      </c>
      <c r="B72" s="73" t="s">
        <v>3</v>
      </c>
      <c r="C72" s="148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68"/>
    </row>
    <row r="73" spans="1:17">
      <c r="A73" s="88">
        <f t="shared" si="11"/>
        <v>64</v>
      </c>
      <c r="B73" s="73" t="s">
        <v>6</v>
      </c>
      <c r="C73" s="148"/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68"/>
    </row>
    <row r="74" spans="1:17">
      <c r="A74" s="88">
        <f t="shared" si="11"/>
        <v>65</v>
      </c>
      <c r="B74" s="25" t="s">
        <v>74</v>
      </c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68"/>
    </row>
    <row r="75" spans="1:17">
      <c r="A75" s="88">
        <f t="shared" si="11"/>
        <v>66</v>
      </c>
      <c r="B75" s="73" t="s">
        <v>3</v>
      </c>
      <c r="C75" s="148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68"/>
    </row>
    <row r="76" spans="1:17" ht="13.5" thickBot="1">
      <c r="A76" s="88">
        <f>A75+1</f>
        <v>67</v>
      </c>
      <c r="B76" s="96" t="s">
        <v>6</v>
      </c>
      <c r="C76" s="148"/>
      <c r="D76" s="97"/>
      <c r="E76" s="149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70"/>
    </row>
    <row r="77" spans="1:17" ht="13.5" thickBot="1">
      <c r="A77" s="88"/>
      <c r="B77" s="98"/>
      <c r="C77" s="99"/>
      <c r="D77" s="100"/>
      <c r="E77" s="101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90"/>
    </row>
    <row r="78" spans="1:17">
      <c r="A78" s="88">
        <f>A76+1</f>
        <v>68</v>
      </c>
      <c r="B78" s="103" t="s">
        <v>22</v>
      </c>
      <c r="C78" s="104"/>
      <c r="D78" s="104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66"/>
    </row>
    <row r="79" spans="1:17" ht="24" customHeight="1">
      <c r="A79" s="88">
        <f t="shared" si="11"/>
        <v>69</v>
      </c>
      <c r="B79" s="73" t="s">
        <v>3</v>
      </c>
      <c r="C79" s="89" t="s">
        <v>24</v>
      </c>
      <c r="D79" s="206" t="s">
        <v>165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68" t="s">
        <v>7</v>
      </c>
    </row>
    <row r="80" spans="1:17" ht="18" customHeight="1" thickBot="1">
      <c r="A80" s="88">
        <f t="shared" si="11"/>
        <v>70</v>
      </c>
      <c r="B80" s="74" t="s">
        <v>4</v>
      </c>
      <c r="C80" s="75" t="s">
        <v>9</v>
      </c>
      <c r="D80" s="76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</row>
  </sheetData>
  <phoneticPr fontId="172" type="noConversion"/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4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23" sqref="D23:E64"/>
    </sheetView>
  </sheetViews>
  <sheetFormatPr defaultColWidth="34" defaultRowHeight="12.75"/>
  <cols>
    <col min="1" max="1" width="6.25" style="108" customWidth="1"/>
    <col min="2" max="2" width="31.875" style="108" bestFit="1" customWidth="1"/>
    <col min="3" max="3" width="20.125" style="108" bestFit="1" customWidth="1"/>
    <col min="4" max="4" width="16.875" style="108" customWidth="1"/>
    <col min="5" max="5" width="11" style="108" customWidth="1"/>
    <col min="6" max="6" width="16.5" style="108" bestFit="1" customWidth="1"/>
    <col min="7" max="18" width="20.5" style="108" bestFit="1" customWidth="1"/>
    <col min="19" max="19" width="34" style="108"/>
    <col min="20" max="20" width="62.875" style="108" bestFit="1" customWidth="1"/>
    <col min="21" max="16384" width="34" style="108"/>
  </cols>
  <sheetData>
    <row r="2" spans="2:20">
      <c r="B2" s="154" t="s">
        <v>30</v>
      </c>
    </row>
    <row r="3" spans="2:20" ht="13.5" thickBot="1"/>
    <row r="4" spans="2:20" ht="22.15" customHeight="1" thickBot="1">
      <c r="B4" s="156" t="s">
        <v>31</v>
      </c>
      <c r="C4" s="157" t="s">
        <v>2</v>
      </c>
      <c r="D4" s="158"/>
      <c r="E4" s="159"/>
      <c r="F4" s="160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32" t="s">
        <v>32</v>
      </c>
      <c r="C5" s="133" t="s">
        <v>33</v>
      </c>
      <c r="D5" s="128"/>
      <c r="E5" s="134"/>
      <c r="F5" s="135"/>
      <c r="G5" s="123">
        <v>0</v>
      </c>
      <c r="H5" s="123">
        <f>G6+1</f>
        <v>7001</v>
      </c>
      <c r="I5" s="123">
        <f t="shared" ref="I5:R5" si="1">H6+1</f>
        <v>14001</v>
      </c>
      <c r="J5" s="123">
        <f t="shared" si="1"/>
        <v>21001</v>
      </c>
      <c r="K5" s="123">
        <f t="shared" si="1"/>
        <v>28001</v>
      </c>
      <c r="L5" s="123">
        <f t="shared" si="1"/>
        <v>35001</v>
      </c>
      <c r="M5" s="123">
        <f t="shared" si="1"/>
        <v>42001</v>
      </c>
      <c r="N5" s="123">
        <f t="shared" si="1"/>
        <v>49001</v>
      </c>
      <c r="O5" s="123">
        <f t="shared" si="1"/>
        <v>56001</v>
      </c>
      <c r="P5" s="123">
        <f t="shared" si="1"/>
        <v>63001</v>
      </c>
      <c r="Q5" s="123">
        <f t="shared" si="1"/>
        <v>70001</v>
      </c>
      <c r="R5" s="123">
        <f t="shared" si="1"/>
        <v>77001</v>
      </c>
    </row>
    <row r="6" spans="2:20">
      <c r="B6" s="110" t="s">
        <v>34</v>
      </c>
      <c r="C6" s="136" t="s">
        <v>33</v>
      </c>
      <c r="D6" s="112"/>
      <c r="E6" s="137"/>
      <c r="F6" s="18">
        <v>7000</v>
      </c>
      <c r="G6" s="113">
        <f>F6</f>
        <v>7000</v>
      </c>
      <c r="H6" s="113">
        <f t="shared" ref="H6:R6" si="2">G6+$F6</f>
        <v>14000</v>
      </c>
      <c r="I6" s="113">
        <f t="shared" si="2"/>
        <v>21000</v>
      </c>
      <c r="J6" s="113">
        <f t="shared" si="2"/>
        <v>28000</v>
      </c>
      <c r="K6" s="113">
        <f t="shared" si="2"/>
        <v>35000</v>
      </c>
      <c r="L6" s="113">
        <f t="shared" si="2"/>
        <v>42000</v>
      </c>
      <c r="M6" s="113">
        <f t="shared" si="2"/>
        <v>49000</v>
      </c>
      <c r="N6" s="113">
        <f t="shared" si="2"/>
        <v>56000</v>
      </c>
      <c r="O6" s="113">
        <f t="shared" si="2"/>
        <v>63000</v>
      </c>
      <c r="P6" s="113">
        <f t="shared" si="2"/>
        <v>70000</v>
      </c>
      <c r="Q6" s="113">
        <f t="shared" si="2"/>
        <v>77000</v>
      </c>
      <c r="R6" s="113">
        <f t="shared" si="2"/>
        <v>84000</v>
      </c>
    </row>
    <row r="7" spans="2:20" ht="21.75" customHeight="1">
      <c r="B7" s="19" t="s">
        <v>35</v>
      </c>
      <c r="C7" s="20" t="s">
        <v>36</v>
      </c>
      <c r="D7" s="9"/>
      <c r="E7" s="21"/>
      <c r="F7" s="22"/>
      <c r="G7" s="23">
        <f>G13</f>
        <v>206</v>
      </c>
      <c r="H7" s="23">
        <f t="shared" ref="H7:R7" si="3">H13</f>
        <v>238</v>
      </c>
      <c r="I7" s="23">
        <f t="shared" si="3"/>
        <v>214</v>
      </c>
      <c r="J7" s="23">
        <f t="shared" si="3"/>
        <v>238</v>
      </c>
      <c r="K7" s="23">
        <f t="shared" si="3"/>
        <v>206</v>
      </c>
      <c r="L7" s="23">
        <f t="shared" si="3"/>
        <v>258</v>
      </c>
      <c r="M7" s="23">
        <f t="shared" si="3"/>
        <v>230</v>
      </c>
      <c r="N7" s="23">
        <f t="shared" si="3"/>
        <v>214</v>
      </c>
      <c r="O7" s="23">
        <f t="shared" si="3"/>
        <v>238</v>
      </c>
      <c r="P7" s="23">
        <f t="shared" si="3"/>
        <v>214</v>
      </c>
      <c r="Q7" s="23">
        <f t="shared" si="3"/>
        <v>230</v>
      </c>
      <c r="R7" s="23">
        <f t="shared" si="3"/>
        <v>258</v>
      </c>
    </row>
    <row r="8" spans="2:20" ht="21" customHeight="1">
      <c r="B8" s="24" t="s">
        <v>37</v>
      </c>
      <c r="C8" s="25" t="s">
        <v>38</v>
      </c>
      <c r="D8" s="11"/>
      <c r="E8" s="21"/>
      <c r="F8" s="22"/>
      <c r="G8" s="26">
        <f t="shared" ref="G8:R8" si="4">SUM(G9:G10)</f>
        <v>48756.5</v>
      </c>
      <c r="H8" s="26">
        <f t="shared" si="4"/>
        <v>55666</v>
      </c>
      <c r="I8" s="26">
        <f t="shared" si="4"/>
        <v>49357.75</v>
      </c>
      <c r="J8" s="26">
        <f t="shared" si="4"/>
        <v>55666</v>
      </c>
      <c r="K8" s="26">
        <f t="shared" si="4"/>
        <v>48756.5</v>
      </c>
      <c r="L8" s="26">
        <f t="shared" si="4"/>
        <v>60143.25</v>
      </c>
      <c r="M8" s="26">
        <f t="shared" si="4"/>
        <v>50436.5</v>
      </c>
      <c r="N8" s="26">
        <f t="shared" si="4"/>
        <v>53986</v>
      </c>
      <c r="O8" s="26">
        <f t="shared" si="4"/>
        <v>51037.75</v>
      </c>
      <c r="P8" s="26">
        <f t="shared" si="4"/>
        <v>53986</v>
      </c>
      <c r="Q8" s="26">
        <f t="shared" si="4"/>
        <v>50436.5</v>
      </c>
      <c r="R8" s="26">
        <f t="shared" si="4"/>
        <v>60143.25</v>
      </c>
    </row>
    <row r="9" spans="2:20" ht="20.25" customHeight="1">
      <c r="B9" s="27" t="s">
        <v>39</v>
      </c>
      <c r="C9" s="28" t="s">
        <v>38</v>
      </c>
      <c r="D9" s="14"/>
      <c r="E9" s="29"/>
      <c r="F9" s="30"/>
      <c r="G9" s="31">
        <f>G22</f>
        <v>34336.5</v>
      </c>
      <c r="H9" s="31">
        <f>H22</f>
        <v>39006</v>
      </c>
      <c r="I9" s="31">
        <f t="shared" ref="I9:R9" si="5">I22</f>
        <v>34377.75</v>
      </c>
      <c r="J9" s="31">
        <f t="shared" si="5"/>
        <v>39006</v>
      </c>
      <c r="K9" s="31">
        <f t="shared" si="5"/>
        <v>34336.5</v>
      </c>
      <c r="L9" s="31">
        <f t="shared" si="5"/>
        <v>42083.25</v>
      </c>
      <c r="M9" s="31">
        <f t="shared" si="5"/>
        <v>34336.5</v>
      </c>
      <c r="N9" s="31">
        <f t="shared" si="5"/>
        <v>39006</v>
      </c>
      <c r="O9" s="31">
        <f t="shared" si="5"/>
        <v>34377.75</v>
      </c>
      <c r="P9" s="31">
        <f t="shared" si="5"/>
        <v>39006</v>
      </c>
      <c r="Q9" s="31">
        <f t="shared" si="5"/>
        <v>34336.5</v>
      </c>
      <c r="R9" s="31">
        <f t="shared" si="5"/>
        <v>42083.25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SUMPRODUCT(G14:G19,$F$14:$F$19)*$F10</f>
        <v>14420</v>
      </c>
      <c r="H10" s="37">
        <f>SUMPRODUCT(H14:H19,$F$14:$F$19)*$F10</f>
        <v>16660</v>
      </c>
      <c r="I10" s="37">
        <f t="shared" ref="I10:R10" si="6">SUMPRODUCT(I14:I19,$F$14:$F$19)*$F10</f>
        <v>14980</v>
      </c>
      <c r="J10" s="37">
        <f t="shared" si="6"/>
        <v>16660</v>
      </c>
      <c r="K10" s="37">
        <f t="shared" si="6"/>
        <v>14420</v>
      </c>
      <c r="L10" s="37">
        <f t="shared" si="6"/>
        <v>18060</v>
      </c>
      <c r="M10" s="37">
        <f t="shared" si="6"/>
        <v>16100</v>
      </c>
      <c r="N10" s="37">
        <f t="shared" si="6"/>
        <v>14980</v>
      </c>
      <c r="O10" s="37">
        <f t="shared" si="6"/>
        <v>16660</v>
      </c>
      <c r="P10" s="37">
        <f t="shared" si="6"/>
        <v>14980</v>
      </c>
      <c r="Q10" s="37">
        <f t="shared" si="6"/>
        <v>16100</v>
      </c>
      <c r="R10" s="37">
        <f t="shared" si="6"/>
        <v>18060</v>
      </c>
    </row>
    <row r="11" spans="2:20" ht="13.5" thickBot="1">
      <c r="B11" s="264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</row>
    <row r="12" spans="2:20" ht="38.25">
      <c r="B12" s="161" t="s">
        <v>41</v>
      </c>
      <c r="C12" s="162" t="s">
        <v>42</v>
      </c>
      <c r="D12" s="163" t="s">
        <v>43</v>
      </c>
      <c r="E12" s="164" t="s">
        <v>44</v>
      </c>
      <c r="F12" s="165" t="s">
        <v>45</v>
      </c>
      <c r="G12" s="166" t="s">
        <v>46</v>
      </c>
      <c r="H12" s="166" t="s">
        <v>46</v>
      </c>
      <c r="I12" s="166" t="s">
        <v>46</v>
      </c>
      <c r="J12" s="166" t="s">
        <v>46</v>
      </c>
      <c r="K12" s="166" t="s">
        <v>46</v>
      </c>
      <c r="L12" s="166" t="s">
        <v>46</v>
      </c>
      <c r="M12" s="166" t="s">
        <v>46</v>
      </c>
      <c r="N12" s="166" t="s">
        <v>46</v>
      </c>
      <c r="O12" s="166" t="s">
        <v>46</v>
      </c>
      <c r="P12" s="166" t="s">
        <v>46</v>
      </c>
      <c r="Q12" s="166" t="s">
        <v>46</v>
      </c>
      <c r="R12" s="166" t="s">
        <v>46</v>
      </c>
    </row>
    <row r="13" spans="2:20">
      <c r="B13" s="38" t="s">
        <v>47</v>
      </c>
      <c r="C13" s="39"/>
      <c r="D13" s="40"/>
      <c r="E13" s="41"/>
      <c r="F13" s="138"/>
      <c r="G13" s="42">
        <f>SUM(G14:G19)</f>
        <v>206</v>
      </c>
      <c r="H13" s="42">
        <f t="shared" ref="H13:R13" si="7">SUM(H14:H19)</f>
        <v>238</v>
      </c>
      <c r="I13" s="42">
        <f t="shared" si="7"/>
        <v>214</v>
      </c>
      <c r="J13" s="42">
        <f t="shared" si="7"/>
        <v>238</v>
      </c>
      <c r="K13" s="42">
        <f t="shared" si="7"/>
        <v>206</v>
      </c>
      <c r="L13" s="42">
        <f t="shared" si="7"/>
        <v>258</v>
      </c>
      <c r="M13" s="42">
        <f t="shared" si="7"/>
        <v>230</v>
      </c>
      <c r="N13" s="42">
        <f t="shared" si="7"/>
        <v>214</v>
      </c>
      <c r="O13" s="42">
        <f t="shared" si="7"/>
        <v>238</v>
      </c>
      <c r="P13" s="42">
        <f t="shared" si="7"/>
        <v>214</v>
      </c>
      <c r="Q13" s="42">
        <f t="shared" si="7"/>
        <v>230</v>
      </c>
      <c r="R13" s="42">
        <f t="shared" si="7"/>
        <v>258</v>
      </c>
    </row>
    <row r="14" spans="2:20">
      <c r="B14" s="43" t="s">
        <v>48</v>
      </c>
      <c r="C14" s="207">
        <v>250</v>
      </c>
      <c r="D14" s="208">
        <v>4</v>
      </c>
      <c r="E14" s="209">
        <f>$F$6/C14</f>
        <v>28</v>
      </c>
      <c r="F14" s="210">
        <v>2</v>
      </c>
      <c r="G14" s="208">
        <f t="shared" ref="G14:R18" si="8">$E14*$D14</f>
        <v>112</v>
      </c>
      <c r="H14" s="208">
        <f t="shared" si="8"/>
        <v>112</v>
      </c>
      <c r="I14" s="208">
        <f t="shared" si="8"/>
        <v>112</v>
      </c>
      <c r="J14" s="208">
        <f t="shared" si="8"/>
        <v>112</v>
      </c>
      <c r="K14" s="208">
        <f t="shared" si="8"/>
        <v>112</v>
      </c>
      <c r="L14" s="208">
        <f t="shared" si="8"/>
        <v>112</v>
      </c>
      <c r="M14" s="208">
        <f t="shared" si="8"/>
        <v>112</v>
      </c>
      <c r="N14" s="208">
        <f t="shared" si="8"/>
        <v>112</v>
      </c>
      <c r="O14" s="208">
        <f t="shared" si="8"/>
        <v>112</v>
      </c>
      <c r="P14" s="208">
        <f t="shared" si="8"/>
        <v>112</v>
      </c>
      <c r="Q14" s="208">
        <f t="shared" si="8"/>
        <v>112</v>
      </c>
      <c r="R14" s="208">
        <f t="shared" si="8"/>
        <v>112</v>
      </c>
      <c r="T14" s="108" t="s">
        <v>49</v>
      </c>
    </row>
    <row r="15" spans="2:20">
      <c r="B15" s="43" t="s">
        <v>50</v>
      </c>
      <c r="C15" s="207">
        <v>1000</v>
      </c>
      <c r="D15" s="208">
        <v>6</v>
      </c>
      <c r="E15" s="209">
        <f>$F$6/C15</f>
        <v>7</v>
      </c>
      <c r="F15" s="210">
        <v>2</v>
      </c>
      <c r="G15" s="208">
        <f t="shared" si="8"/>
        <v>42</v>
      </c>
      <c r="H15" s="208">
        <f t="shared" si="8"/>
        <v>42</v>
      </c>
      <c r="I15" s="208">
        <f t="shared" si="8"/>
        <v>42</v>
      </c>
      <c r="J15" s="208">
        <f t="shared" si="8"/>
        <v>42</v>
      </c>
      <c r="K15" s="208">
        <f t="shared" si="8"/>
        <v>42</v>
      </c>
      <c r="L15" s="208">
        <f t="shared" si="8"/>
        <v>42</v>
      </c>
      <c r="M15" s="208">
        <f t="shared" si="8"/>
        <v>42</v>
      </c>
      <c r="N15" s="208">
        <f t="shared" si="8"/>
        <v>42</v>
      </c>
      <c r="O15" s="208">
        <f t="shared" si="8"/>
        <v>42</v>
      </c>
      <c r="P15" s="208">
        <f t="shared" si="8"/>
        <v>42</v>
      </c>
      <c r="Q15" s="208">
        <f t="shared" si="8"/>
        <v>42</v>
      </c>
      <c r="R15" s="208">
        <f t="shared" si="8"/>
        <v>42</v>
      </c>
      <c r="T15" s="108" t="s">
        <v>49</v>
      </c>
    </row>
    <row r="16" spans="2:20">
      <c r="B16" s="43" t="s">
        <v>51</v>
      </c>
      <c r="C16" s="207">
        <v>2000</v>
      </c>
      <c r="D16" s="208">
        <v>8</v>
      </c>
      <c r="E16" s="209">
        <f>ROUNDDOWN($F$6/C16,0)</f>
        <v>3</v>
      </c>
      <c r="F16" s="210">
        <v>2</v>
      </c>
      <c r="G16" s="208">
        <f t="shared" si="8"/>
        <v>24</v>
      </c>
      <c r="H16" s="208">
        <f>$E16*$D16+D16</f>
        <v>32</v>
      </c>
      <c r="I16" s="208">
        <f t="shared" si="8"/>
        <v>24</v>
      </c>
      <c r="J16" s="208">
        <f>$E16*$D16+D16</f>
        <v>32</v>
      </c>
      <c r="K16" s="208">
        <f t="shared" si="8"/>
        <v>24</v>
      </c>
      <c r="L16" s="208">
        <f>$E16*$D16+D16</f>
        <v>32</v>
      </c>
      <c r="M16" s="208">
        <f t="shared" si="8"/>
        <v>24</v>
      </c>
      <c r="N16" s="208">
        <f>$E16*$D16+D16</f>
        <v>32</v>
      </c>
      <c r="O16" s="208">
        <f t="shared" si="8"/>
        <v>24</v>
      </c>
      <c r="P16" s="208">
        <f>$E16*$D16+D16</f>
        <v>32</v>
      </c>
      <c r="Q16" s="208">
        <f t="shared" si="8"/>
        <v>24</v>
      </c>
      <c r="R16" s="208">
        <f>$E16*$D16+D16</f>
        <v>32</v>
      </c>
      <c r="T16" s="108" t="s">
        <v>49</v>
      </c>
    </row>
    <row r="17" spans="2:20">
      <c r="B17" s="43" t="s">
        <v>52</v>
      </c>
      <c r="C17" s="207">
        <v>3000</v>
      </c>
      <c r="D17" s="208">
        <v>8</v>
      </c>
      <c r="E17" s="209">
        <f>ROUNDDOWN($F$6/C17,0)</f>
        <v>2</v>
      </c>
      <c r="F17" s="210">
        <v>2</v>
      </c>
      <c r="G17" s="208">
        <f t="shared" si="8"/>
        <v>16</v>
      </c>
      <c r="H17" s="208">
        <f t="shared" si="8"/>
        <v>16</v>
      </c>
      <c r="I17" s="208">
        <f>$E17*$D17+D17</f>
        <v>24</v>
      </c>
      <c r="J17" s="208">
        <f t="shared" si="8"/>
        <v>16</v>
      </c>
      <c r="K17" s="208">
        <f t="shared" si="8"/>
        <v>16</v>
      </c>
      <c r="L17" s="208">
        <f>$E17*$D17+D17</f>
        <v>24</v>
      </c>
      <c r="M17" s="208">
        <f t="shared" si="8"/>
        <v>16</v>
      </c>
      <c r="N17" s="208">
        <f t="shared" si="8"/>
        <v>16</v>
      </c>
      <c r="O17" s="208">
        <f>$E17*$D17+D17</f>
        <v>24</v>
      </c>
      <c r="P17" s="208">
        <f t="shared" si="8"/>
        <v>16</v>
      </c>
      <c r="Q17" s="208">
        <f t="shared" si="8"/>
        <v>16</v>
      </c>
      <c r="R17" s="208">
        <f>$E17*$D17+D17</f>
        <v>24</v>
      </c>
      <c r="T17" s="108" t="s">
        <v>49</v>
      </c>
    </row>
    <row r="18" spans="2:20">
      <c r="B18" s="43" t="s">
        <v>53</v>
      </c>
      <c r="C18" s="207">
        <v>6000</v>
      </c>
      <c r="D18" s="208">
        <v>12</v>
      </c>
      <c r="E18" s="209">
        <f>ROUNDDOWN($F$6/C18,0)</f>
        <v>1</v>
      </c>
      <c r="F18" s="210">
        <v>2</v>
      </c>
      <c r="G18" s="208">
        <f t="shared" si="8"/>
        <v>12</v>
      </c>
      <c r="H18" s="208">
        <f t="shared" si="8"/>
        <v>12</v>
      </c>
      <c r="I18" s="208">
        <f t="shared" si="8"/>
        <v>12</v>
      </c>
      <c r="J18" s="208">
        <f t="shared" si="8"/>
        <v>12</v>
      </c>
      <c r="K18" s="208">
        <f t="shared" si="8"/>
        <v>12</v>
      </c>
      <c r="L18" s="208">
        <f>$E18*$D18+D18</f>
        <v>24</v>
      </c>
      <c r="M18" s="208">
        <f t="shared" si="8"/>
        <v>12</v>
      </c>
      <c r="N18" s="208">
        <f t="shared" si="8"/>
        <v>12</v>
      </c>
      <c r="O18" s="208">
        <f t="shared" si="8"/>
        <v>12</v>
      </c>
      <c r="P18" s="208">
        <f t="shared" si="8"/>
        <v>12</v>
      </c>
      <c r="Q18" s="208">
        <f t="shared" si="8"/>
        <v>12</v>
      </c>
      <c r="R18" s="208">
        <f>$E18*$D18+D18</f>
        <v>24</v>
      </c>
      <c r="T18" s="108" t="s">
        <v>49</v>
      </c>
    </row>
    <row r="19" spans="2:20" ht="13.5" thickBot="1">
      <c r="B19" s="44" t="s">
        <v>54</v>
      </c>
      <c r="C19" s="211">
        <v>12000</v>
      </c>
      <c r="D19" s="212">
        <v>24</v>
      </c>
      <c r="E19" s="209"/>
      <c r="F19" s="213">
        <v>2</v>
      </c>
      <c r="G19" s="212">
        <v>0</v>
      </c>
      <c r="H19" s="212">
        <f>$D19</f>
        <v>24</v>
      </c>
      <c r="I19" s="212">
        <v>0</v>
      </c>
      <c r="J19" s="212">
        <f>D19</f>
        <v>24</v>
      </c>
      <c r="K19" s="212">
        <v>0</v>
      </c>
      <c r="L19" s="212">
        <f>$D19</f>
        <v>24</v>
      </c>
      <c r="M19" s="212">
        <f>D19</f>
        <v>24</v>
      </c>
      <c r="N19" s="212">
        <v>0</v>
      </c>
      <c r="O19" s="212">
        <f>$D19</f>
        <v>24</v>
      </c>
      <c r="P19" s="212">
        <v>0</v>
      </c>
      <c r="Q19" s="212">
        <f>D19</f>
        <v>24</v>
      </c>
      <c r="R19" s="212">
        <f>$D19</f>
        <v>24</v>
      </c>
      <c r="T19" s="108" t="s">
        <v>49</v>
      </c>
    </row>
    <row r="20" spans="2:20" ht="13.5" thickBot="1">
      <c r="B20" s="264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</row>
    <row r="21" spans="2:20">
      <c r="B21" s="161" t="s">
        <v>37</v>
      </c>
      <c r="C21" s="167" t="s">
        <v>55</v>
      </c>
      <c r="D21" s="155" t="s">
        <v>56</v>
      </c>
      <c r="E21" s="168" t="s">
        <v>57</v>
      </c>
      <c r="F21" s="169" t="s">
        <v>44</v>
      </c>
      <c r="G21" s="170" t="s">
        <v>58</v>
      </c>
      <c r="H21" s="170" t="s">
        <v>58</v>
      </c>
      <c r="I21" s="170" t="s">
        <v>58</v>
      </c>
      <c r="J21" s="170" t="s">
        <v>58</v>
      </c>
      <c r="K21" s="170" t="s">
        <v>58</v>
      </c>
      <c r="L21" s="170" t="s">
        <v>58</v>
      </c>
      <c r="M21" s="170" t="s">
        <v>58</v>
      </c>
      <c r="N21" s="170" t="s">
        <v>58</v>
      </c>
      <c r="O21" s="170" t="s">
        <v>58</v>
      </c>
      <c r="P21" s="170" t="s">
        <v>58</v>
      </c>
      <c r="Q21" s="170" t="s">
        <v>58</v>
      </c>
      <c r="R21" s="170" t="s">
        <v>58</v>
      </c>
    </row>
    <row r="22" spans="2:20">
      <c r="B22" s="45" t="s">
        <v>26</v>
      </c>
      <c r="C22" s="46"/>
      <c r="D22" s="47"/>
      <c r="E22" s="48"/>
      <c r="F22" s="49"/>
      <c r="G22" s="139">
        <f>SUM(G23:G58)</f>
        <v>34336.5</v>
      </c>
      <c r="H22" s="139">
        <f t="shared" ref="H22:R22" si="9">SUM(H23:H58)</f>
        <v>39006</v>
      </c>
      <c r="I22" s="139">
        <f t="shared" si="9"/>
        <v>34377.75</v>
      </c>
      <c r="J22" s="139">
        <f t="shared" si="9"/>
        <v>39006</v>
      </c>
      <c r="K22" s="139">
        <f t="shared" si="9"/>
        <v>34336.5</v>
      </c>
      <c r="L22" s="139">
        <f t="shared" si="9"/>
        <v>42083.25</v>
      </c>
      <c r="M22" s="139">
        <f t="shared" si="9"/>
        <v>34336.5</v>
      </c>
      <c r="N22" s="139">
        <f t="shared" si="9"/>
        <v>39006</v>
      </c>
      <c r="O22" s="139">
        <f t="shared" si="9"/>
        <v>34377.75</v>
      </c>
      <c r="P22" s="139">
        <f t="shared" si="9"/>
        <v>39006</v>
      </c>
      <c r="Q22" s="139">
        <f t="shared" si="9"/>
        <v>34336.5</v>
      </c>
      <c r="R22" s="139">
        <f t="shared" si="9"/>
        <v>42083.25</v>
      </c>
    </row>
    <row r="23" spans="2:20">
      <c r="B23" s="125" t="s">
        <v>48</v>
      </c>
      <c r="C23" s="140"/>
      <c r="D23" s="263"/>
      <c r="E23" s="217">
        <f>VLOOKUP($B23,$B$14:$C$19,2,FALSE)</f>
        <v>250</v>
      </c>
      <c r="F23" s="18">
        <f>VLOOKUP($B23,$B$14:$E$19,4,FALSE)</f>
        <v>28</v>
      </c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</row>
    <row r="24" spans="2:20">
      <c r="B24" s="141" t="s">
        <v>59</v>
      </c>
      <c r="C24" s="142"/>
      <c r="D24" s="214">
        <v>0</v>
      </c>
      <c r="E24" s="215">
        <v>0</v>
      </c>
      <c r="F24" s="51"/>
      <c r="G24" s="143">
        <f>IF(G$14=0,0,G$14/$D$14*$E24*$D24)</f>
        <v>0</v>
      </c>
      <c r="H24" s="143">
        <f t="shared" ref="H24:R29" si="10">IF(H$14=0,0,H$14/$D$14*$E24*$D24)</f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>
        <f t="shared" si="10"/>
        <v>0</v>
      </c>
      <c r="R24" s="143">
        <f t="shared" si="10"/>
        <v>0</v>
      </c>
    </row>
    <row r="25" spans="2:20">
      <c r="B25" s="141" t="s">
        <v>59</v>
      </c>
      <c r="C25" s="142"/>
      <c r="D25" s="214">
        <v>0</v>
      </c>
      <c r="E25" s="215">
        <v>0</v>
      </c>
      <c r="F25" s="51"/>
      <c r="G25" s="143">
        <f>IF(G$14=0,0,G$14/$D$14*$E25*$D25)</f>
        <v>0</v>
      </c>
      <c r="H25" s="143">
        <f t="shared" si="10"/>
        <v>0</v>
      </c>
      <c r="I25" s="143">
        <f t="shared" si="10"/>
        <v>0</v>
      </c>
      <c r="J25" s="143">
        <f t="shared" si="10"/>
        <v>0</v>
      </c>
      <c r="K25" s="143">
        <f t="shared" si="10"/>
        <v>0</v>
      </c>
      <c r="L25" s="143">
        <f t="shared" si="10"/>
        <v>0</v>
      </c>
      <c r="M25" s="143">
        <f t="shared" si="10"/>
        <v>0</v>
      </c>
      <c r="N25" s="143">
        <f t="shared" si="10"/>
        <v>0</v>
      </c>
      <c r="O25" s="143">
        <f t="shared" si="10"/>
        <v>0</v>
      </c>
      <c r="P25" s="143">
        <f t="shared" si="10"/>
        <v>0</v>
      </c>
      <c r="Q25" s="143">
        <f t="shared" si="10"/>
        <v>0</v>
      </c>
      <c r="R25" s="143">
        <f t="shared" si="10"/>
        <v>0</v>
      </c>
    </row>
    <row r="26" spans="2:20">
      <c r="B26" s="141" t="s">
        <v>60</v>
      </c>
      <c r="C26" s="142"/>
      <c r="D26" s="214">
        <v>0</v>
      </c>
      <c r="E26" s="215">
        <v>0</v>
      </c>
      <c r="F26" s="51"/>
      <c r="G26" s="143">
        <f t="shared" ref="G26:R29" si="11">IF(G$14=0,0,G$14/$D$14*$E26*$D26)</f>
        <v>0</v>
      </c>
      <c r="H26" s="143">
        <f t="shared" si="11"/>
        <v>0</v>
      </c>
      <c r="I26" s="143">
        <f t="shared" si="11"/>
        <v>0</v>
      </c>
      <c r="J26" s="143">
        <f t="shared" si="11"/>
        <v>0</v>
      </c>
      <c r="K26" s="143">
        <f t="shared" si="11"/>
        <v>0</v>
      </c>
      <c r="L26" s="143">
        <f t="shared" si="11"/>
        <v>0</v>
      </c>
      <c r="M26" s="143">
        <f t="shared" si="11"/>
        <v>0</v>
      </c>
      <c r="N26" s="143">
        <f t="shared" si="11"/>
        <v>0</v>
      </c>
      <c r="O26" s="143">
        <f t="shared" si="11"/>
        <v>0</v>
      </c>
      <c r="P26" s="143">
        <f t="shared" si="11"/>
        <v>0</v>
      </c>
      <c r="Q26" s="143">
        <f t="shared" si="11"/>
        <v>0</v>
      </c>
      <c r="R26" s="143">
        <f t="shared" si="11"/>
        <v>0</v>
      </c>
    </row>
    <row r="27" spans="2:20">
      <c r="B27" s="141" t="s">
        <v>60</v>
      </c>
      <c r="C27" s="144"/>
      <c r="D27" s="214">
        <v>0</v>
      </c>
      <c r="E27" s="215">
        <v>0</v>
      </c>
      <c r="F27" s="51"/>
      <c r="G27" s="143">
        <f t="shared" si="11"/>
        <v>0</v>
      </c>
      <c r="H27" s="143">
        <f t="shared" si="10"/>
        <v>0</v>
      </c>
      <c r="I27" s="143">
        <f t="shared" si="10"/>
        <v>0</v>
      </c>
      <c r="J27" s="143">
        <f t="shared" si="10"/>
        <v>0</v>
      </c>
      <c r="K27" s="143">
        <f t="shared" si="10"/>
        <v>0</v>
      </c>
      <c r="L27" s="143">
        <f t="shared" si="10"/>
        <v>0</v>
      </c>
      <c r="M27" s="143">
        <f t="shared" si="10"/>
        <v>0</v>
      </c>
      <c r="N27" s="143">
        <f t="shared" si="10"/>
        <v>0</v>
      </c>
      <c r="O27" s="143">
        <f t="shared" si="10"/>
        <v>0</v>
      </c>
      <c r="P27" s="143">
        <f t="shared" si="10"/>
        <v>0</v>
      </c>
      <c r="Q27" s="143">
        <f t="shared" si="10"/>
        <v>0</v>
      </c>
      <c r="R27" s="143">
        <f t="shared" si="10"/>
        <v>0</v>
      </c>
    </row>
    <row r="28" spans="2:20">
      <c r="B28" s="141" t="s">
        <v>61</v>
      </c>
      <c r="C28" s="144"/>
      <c r="D28" s="214">
        <v>82.5</v>
      </c>
      <c r="E28" s="215">
        <v>2</v>
      </c>
      <c r="F28" s="51"/>
      <c r="G28" s="143">
        <f t="shared" si="11"/>
        <v>4620</v>
      </c>
      <c r="H28" s="143">
        <f t="shared" si="10"/>
        <v>4620</v>
      </c>
      <c r="I28" s="143">
        <f t="shared" si="10"/>
        <v>4620</v>
      </c>
      <c r="J28" s="143">
        <f t="shared" si="10"/>
        <v>4620</v>
      </c>
      <c r="K28" s="143">
        <f t="shared" si="10"/>
        <v>4620</v>
      </c>
      <c r="L28" s="143">
        <f t="shared" si="10"/>
        <v>4620</v>
      </c>
      <c r="M28" s="143">
        <f t="shared" si="10"/>
        <v>4620</v>
      </c>
      <c r="N28" s="143">
        <f t="shared" si="10"/>
        <v>4620</v>
      </c>
      <c r="O28" s="143">
        <f t="shared" si="10"/>
        <v>4620</v>
      </c>
      <c r="P28" s="143">
        <f t="shared" si="10"/>
        <v>4620</v>
      </c>
      <c r="Q28" s="143">
        <f t="shared" si="10"/>
        <v>4620</v>
      </c>
      <c r="R28" s="143">
        <f t="shared" si="10"/>
        <v>4620</v>
      </c>
    </row>
    <row r="29" spans="2:20">
      <c r="B29" s="141" t="s">
        <v>61</v>
      </c>
      <c r="C29" s="144"/>
      <c r="D29" s="214">
        <v>0</v>
      </c>
      <c r="E29" s="215">
        <v>0</v>
      </c>
      <c r="F29" s="51"/>
      <c r="G29" s="143">
        <f t="shared" si="11"/>
        <v>0</v>
      </c>
      <c r="H29" s="143">
        <f t="shared" si="10"/>
        <v>0</v>
      </c>
      <c r="I29" s="143">
        <f t="shared" si="10"/>
        <v>0</v>
      </c>
      <c r="J29" s="143">
        <f t="shared" si="10"/>
        <v>0</v>
      </c>
      <c r="K29" s="143">
        <f t="shared" si="10"/>
        <v>0</v>
      </c>
      <c r="L29" s="143">
        <f t="shared" si="10"/>
        <v>0</v>
      </c>
      <c r="M29" s="143">
        <f t="shared" si="10"/>
        <v>0</v>
      </c>
      <c r="N29" s="143">
        <f t="shared" si="10"/>
        <v>0</v>
      </c>
      <c r="O29" s="143">
        <f t="shared" si="10"/>
        <v>0</v>
      </c>
      <c r="P29" s="143">
        <f t="shared" si="10"/>
        <v>0</v>
      </c>
      <c r="Q29" s="143">
        <f t="shared" si="10"/>
        <v>0</v>
      </c>
      <c r="R29" s="143">
        <f t="shared" si="10"/>
        <v>0</v>
      </c>
    </row>
    <row r="30" spans="2:20">
      <c r="B30" s="125" t="s">
        <v>50</v>
      </c>
      <c r="C30" s="140"/>
      <c r="D30" s="216"/>
      <c r="E30" s="217">
        <f>VLOOKUP($B30,$B$14:$C$19,2,FALSE)</f>
        <v>1000</v>
      </c>
      <c r="F30" s="18">
        <f>VLOOKUP($B30,$B$14:$E$19,4,FALSE)</f>
        <v>7</v>
      </c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</row>
    <row r="31" spans="2:20">
      <c r="B31" s="141" t="s">
        <v>59</v>
      </c>
      <c r="C31" s="142"/>
      <c r="D31" s="214">
        <v>0</v>
      </c>
      <c r="E31" s="215">
        <v>0</v>
      </c>
      <c r="F31" s="51"/>
      <c r="G31" s="143">
        <f>IF(G$15=0,0,G$15/$D$15*$E31*$D31)</f>
        <v>0</v>
      </c>
      <c r="H31" s="143">
        <f t="shared" ref="H31:R36" si="12">IF(H$15=0,0,H$15/$D$15*$E31*$D31)</f>
        <v>0</v>
      </c>
      <c r="I31" s="143">
        <f t="shared" si="12"/>
        <v>0</v>
      </c>
      <c r="J31" s="143">
        <f t="shared" si="12"/>
        <v>0</v>
      </c>
      <c r="K31" s="143">
        <f t="shared" si="12"/>
        <v>0</v>
      </c>
      <c r="L31" s="143">
        <f t="shared" si="12"/>
        <v>0</v>
      </c>
      <c r="M31" s="143">
        <f t="shared" si="12"/>
        <v>0</v>
      </c>
      <c r="N31" s="143">
        <f t="shared" si="12"/>
        <v>0</v>
      </c>
      <c r="O31" s="143">
        <f t="shared" si="12"/>
        <v>0</v>
      </c>
      <c r="P31" s="143">
        <f t="shared" si="12"/>
        <v>0</v>
      </c>
      <c r="Q31" s="143">
        <f t="shared" si="12"/>
        <v>0</v>
      </c>
      <c r="R31" s="143">
        <f t="shared" si="12"/>
        <v>0</v>
      </c>
    </row>
    <row r="32" spans="2:20">
      <c r="B32" s="141" t="s">
        <v>59</v>
      </c>
      <c r="C32" s="142"/>
      <c r="D32" s="214">
        <v>0</v>
      </c>
      <c r="E32" s="215">
        <v>0</v>
      </c>
      <c r="F32" s="51"/>
      <c r="G32" s="143">
        <f t="shared" ref="G32:R36" si="13">IF(G$15=0,0,G$15/$D$15*$E32*$D32)</f>
        <v>0</v>
      </c>
      <c r="H32" s="143">
        <f t="shared" si="13"/>
        <v>0</v>
      </c>
      <c r="I32" s="143">
        <f t="shared" si="13"/>
        <v>0</v>
      </c>
      <c r="J32" s="143">
        <f t="shared" si="13"/>
        <v>0</v>
      </c>
      <c r="K32" s="143">
        <f t="shared" si="13"/>
        <v>0</v>
      </c>
      <c r="L32" s="143">
        <f t="shared" si="13"/>
        <v>0</v>
      </c>
      <c r="M32" s="143">
        <f t="shared" si="13"/>
        <v>0</v>
      </c>
      <c r="N32" s="143">
        <f t="shared" si="13"/>
        <v>0</v>
      </c>
      <c r="O32" s="143">
        <f t="shared" si="13"/>
        <v>0</v>
      </c>
      <c r="P32" s="143">
        <f t="shared" si="13"/>
        <v>0</v>
      </c>
      <c r="Q32" s="143">
        <f t="shared" si="13"/>
        <v>0</v>
      </c>
      <c r="R32" s="143">
        <f t="shared" si="13"/>
        <v>0</v>
      </c>
    </row>
    <row r="33" spans="2:18">
      <c r="B33" s="141" t="s">
        <v>60</v>
      </c>
      <c r="C33" s="142"/>
      <c r="D33" s="214">
        <v>0</v>
      </c>
      <c r="E33" s="215">
        <v>0</v>
      </c>
      <c r="F33" s="51"/>
      <c r="G33" s="143">
        <f t="shared" si="13"/>
        <v>0</v>
      </c>
      <c r="H33" s="143">
        <f t="shared" si="12"/>
        <v>0</v>
      </c>
      <c r="I33" s="143">
        <f t="shared" si="12"/>
        <v>0</v>
      </c>
      <c r="J33" s="143">
        <f t="shared" si="12"/>
        <v>0</v>
      </c>
      <c r="K33" s="143">
        <f t="shared" si="12"/>
        <v>0</v>
      </c>
      <c r="L33" s="143">
        <f t="shared" si="12"/>
        <v>0</v>
      </c>
      <c r="M33" s="143">
        <f t="shared" si="12"/>
        <v>0</v>
      </c>
      <c r="N33" s="143">
        <f t="shared" si="12"/>
        <v>0</v>
      </c>
      <c r="O33" s="143">
        <f t="shared" si="12"/>
        <v>0</v>
      </c>
      <c r="P33" s="143">
        <f t="shared" si="12"/>
        <v>0</v>
      </c>
      <c r="Q33" s="143">
        <f t="shared" si="12"/>
        <v>0</v>
      </c>
      <c r="R33" s="143">
        <f t="shared" si="12"/>
        <v>0</v>
      </c>
    </row>
    <row r="34" spans="2:18">
      <c r="B34" s="141" t="s">
        <v>60</v>
      </c>
      <c r="C34" s="144"/>
      <c r="D34" s="214">
        <v>326.7</v>
      </c>
      <c r="E34" s="215">
        <v>5</v>
      </c>
      <c r="F34" s="51"/>
      <c r="G34" s="143">
        <f t="shared" si="13"/>
        <v>11434.5</v>
      </c>
      <c r="H34" s="143">
        <f t="shared" si="12"/>
        <v>11434.5</v>
      </c>
      <c r="I34" s="143">
        <f t="shared" si="12"/>
        <v>11434.5</v>
      </c>
      <c r="J34" s="143">
        <f t="shared" si="12"/>
        <v>11434.5</v>
      </c>
      <c r="K34" s="143">
        <f t="shared" si="12"/>
        <v>11434.5</v>
      </c>
      <c r="L34" s="143">
        <f t="shared" si="12"/>
        <v>11434.5</v>
      </c>
      <c r="M34" s="143">
        <f t="shared" si="12"/>
        <v>11434.5</v>
      </c>
      <c r="N34" s="143">
        <f t="shared" si="12"/>
        <v>11434.5</v>
      </c>
      <c r="O34" s="143">
        <f t="shared" si="12"/>
        <v>11434.5</v>
      </c>
      <c r="P34" s="143">
        <f t="shared" si="12"/>
        <v>11434.5</v>
      </c>
      <c r="Q34" s="143">
        <f t="shared" si="12"/>
        <v>11434.5</v>
      </c>
      <c r="R34" s="143">
        <f t="shared" si="12"/>
        <v>11434.5</v>
      </c>
    </row>
    <row r="35" spans="2:18">
      <c r="B35" s="141" t="s">
        <v>61</v>
      </c>
      <c r="C35" s="144"/>
      <c r="D35" s="214">
        <v>82.5</v>
      </c>
      <c r="E35" s="215">
        <v>2</v>
      </c>
      <c r="F35" s="51"/>
      <c r="G35" s="143">
        <f t="shared" si="13"/>
        <v>1155</v>
      </c>
      <c r="H35" s="143">
        <f t="shared" si="12"/>
        <v>1155</v>
      </c>
      <c r="I35" s="143">
        <f t="shared" si="12"/>
        <v>1155</v>
      </c>
      <c r="J35" s="143">
        <f t="shared" si="12"/>
        <v>1155</v>
      </c>
      <c r="K35" s="143">
        <f t="shared" si="12"/>
        <v>1155</v>
      </c>
      <c r="L35" s="143">
        <f t="shared" si="12"/>
        <v>1155</v>
      </c>
      <c r="M35" s="143">
        <f t="shared" si="12"/>
        <v>1155</v>
      </c>
      <c r="N35" s="143">
        <f t="shared" si="12"/>
        <v>1155</v>
      </c>
      <c r="O35" s="143">
        <f t="shared" si="12"/>
        <v>1155</v>
      </c>
      <c r="P35" s="143">
        <f t="shared" si="12"/>
        <v>1155</v>
      </c>
      <c r="Q35" s="143">
        <f t="shared" si="12"/>
        <v>1155</v>
      </c>
      <c r="R35" s="143">
        <f t="shared" si="12"/>
        <v>1155</v>
      </c>
    </row>
    <row r="36" spans="2:18">
      <c r="B36" s="141" t="s">
        <v>61</v>
      </c>
      <c r="C36" s="144"/>
      <c r="D36" s="214">
        <v>0</v>
      </c>
      <c r="E36" s="215">
        <v>0</v>
      </c>
      <c r="F36" s="51"/>
      <c r="G36" s="143">
        <f t="shared" si="13"/>
        <v>0</v>
      </c>
      <c r="H36" s="143">
        <f t="shared" si="12"/>
        <v>0</v>
      </c>
      <c r="I36" s="143">
        <f t="shared" si="12"/>
        <v>0</v>
      </c>
      <c r="J36" s="143">
        <f t="shared" si="12"/>
        <v>0</v>
      </c>
      <c r="K36" s="143">
        <f t="shared" si="12"/>
        <v>0</v>
      </c>
      <c r="L36" s="143">
        <f t="shared" si="12"/>
        <v>0</v>
      </c>
      <c r="M36" s="143">
        <f t="shared" si="12"/>
        <v>0</v>
      </c>
      <c r="N36" s="143">
        <f t="shared" si="12"/>
        <v>0</v>
      </c>
      <c r="O36" s="143">
        <f t="shared" si="12"/>
        <v>0</v>
      </c>
      <c r="P36" s="143">
        <f t="shared" si="12"/>
        <v>0</v>
      </c>
      <c r="Q36" s="143">
        <f t="shared" si="12"/>
        <v>0</v>
      </c>
      <c r="R36" s="143">
        <f t="shared" si="12"/>
        <v>0</v>
      </c>
    </row>
    <row r="37" spans="2:18">
      <c r="B37" s="125" t="s">
        <v>51</v>
      </c>
      <c r="C37" s="140"/>
      <c r="D37" s="216"/>
      <c r="E37" s="217">
        <f>VLOOKUP($B37,$B$14:$C$19,2,FALSE)</f>
        <v>2000</v>
      </c>
      <c r="F37" s="18">
        <f>VLOOKUP($B37,$B$14:$E$19,4,FALSE)</f>
        <v>3</v>
      </c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</row>
    <row r="38" spans="2:18">
      <c r="B38" s="141" t="s">
        <v>59</v>
      </c>
      <c r="C38" s="142"/>
      <c r="D38" s="214">
        <v>0</v>
      </c>
      <c r="E38" s="215">
        <v>0</v>
      </c>
      <c r="F38" s="51"/>
      <c r="G38" s="143">
        <f>IF(G$16=0,0,G$16/$D$16*$E38*$D38)</f>
        <v>0</v>
      </c>
      <c r="H38" s="143">
        <f t="shared" ref="H38:R43" si="14">IF(H$16=0,0,H$16/$D$16*$E38*$D38)</f>
        <v>0</v>
      </c>
      <c r="I38" s="143">
        <f t="shared" si="14"/>
        <v>0</v>
      </c>
      <c r="J38" s="143">
        <f t="shared" si="14"/>
        <v>0</v>
      </c>
      <c r="K38" s="143">
        <f t="shared" si="14"/>
        <v>0</v>
      </c>
      <c r="L38" s="143">
        <f t="shared" si="14"/>
        <v>0</v>
      </c>
      <c r="M38" s="143">
        <f t="shared" si="14"/>
        <v>0</v>
      </c>
      <c r="N38" s="143">
        <f t="shared" si="14"/>
        <v>0</v>
      </c>
      <c r="O38" s="143">
        <f t="shared" si="14"/>
        <v>0</v>
      </c>
      <c r="P38" s="143">
        <f t="shared" si="14"/>
        <v>0</v>
      </c>
      <c r="Q38" s="143">
        <f t="shared" si="14"/>
        <v>0</v>
      </c>
      <c r="R38" s="143">
        <f t="shared" si="14"/>
        <v>0</v>
      </c>
    </row>
    <row r="39" spans="2:18">
      <c r="B39" s="141" t="s">
        <v>59</v>
      </c>
      <c r="C39" s="142"/>
      <c r="D39" s="214">
        <v>0</v>
      </c>
      <c r="E39" s="215">
        <v>0</v>
      </c>
      <c r="F39" s="51"/>
      <c r="G39" s="143">
        <f t="shared" ref="G39:R43" si="15">IF(G$16=0,0,G$16/$D$16*$E39*$D39)</f>
        <v>0</v>
      </c>
      <c r="H39" s="143">
        <f t="shared" si="15"/>
        <v>0</v>
      </c>
      <c r="I39" s="143">
        <f t="shared" si="15"/>
        <v>0</v>
      </c>
      <c r="J39" s="143">
        <f t="shared" si="15"/>
        <v>0</v>
      </c>
      <c r="K39" s="143">
        <f t="shared" si="15"/>
        <v>0</v>
      </c>
      <c r="L39" s="143">
        <f t="shared" si="15"/>
        <v>0</v>
      </c>
      <c r="M39" s="143">
        <f t="shared" si="15"/>
        <v>0</v>
      </c>
      <c r="N39" s="143">
        <f t="shared" si="15"/>
        <v>0</v>
      </c>
      <c r="O39" s="143">
        <f t="shared" si="15"/>
        <v>0</v>
      </c>
      <c r="P39" s="143">
        <f t="shared" si="15"/>
        <v>0</v>
      </c>
      <c r="Q39" s="143">
        <f t="shared" si="15"/>
        <v>0</v>
      </c>
      <c r="R39" s="143">
        <f t="shared" si="15"/>
        <v>0</v>
      </c>
    </row>
    <row r="40" spans="2:18">
      <c r="B40" s="141" t="s">
        <v>60</v>
      </c>
      <c r="C40" s="142"/>
      <c r="D40" s="214">
        <v>0</v>
      </c>
      <c r="E40" s="215">
        <v>0</v>
      </c>
      <c r="F40" s="51"/>
      <c r="G40" s="143">
        <f t="shared" si="15"/>
        <v>0</v>
      </c>
      <c r="H40" s="143">
        <f t="shared" si="14"/>
        <v>0</v>
      </c>
      <c r="I40" s="143">
        <f t="shared" si="14"/>
        <v>0</v>
      </c>
      <c r="J40" s="143">
        <f t="shared" si="14"/>
        <v>0</v>
      </c>
      <c r="K40" s="143">
        <f t="shared" si="14"/>
        <v>0</v>
      </c>
      <c r="L40" s="143">
        <f t="shared" si="14"/>
        <v>0</v>
      </c>
      <c r="M40" s="143">
        <f t="shared" si="14"/>
        <v>0</v>
      </c>
      <c r="N40" s="143">
        <f t="shared" si="14"/>
        <v>0</v>
      </c>
      <c r="O40" s="143">
        <f t="shared" si="14"/>
        <v>0</v>
      </c>
      <c r="P40" s="143">
        <f t="shared" si="14"/>
        <v>0</v>
      </c>
      <c r="Q40" s="143">
        <f t="shared" si="14"/>
        <v>0</v>
      </c>
      <c r="R40" s="143">
        <f t="shared" si="14"/>
        <v>0</v>
      </c>
    </row>
    <row r="41" spans="2:18">
      <c r="B41" s="141" t="s">
        <v>60</v>
      </c>
      <c r="C41" s="144"/>
      <c r="D41" s="214">
        <v>326.7</v>
      </c>
      <c r="E41" s="215">
        <v>5</v>
      </c>
      <c r="F41" s="51"/>
      <c r="G41" s="143">
        <f t="shared" si="15"/>
        <v>4900.5</v>
      </c>
      <c r="H41" s="143">
        <f t="shared" si="14"/>
        <v>6534</v>
      </c>
      <c r="I41" s="143">
        <f t="shared" si="14"/>
        <v>4900.5</v>
      </c>
      <c r="J41" s="143">
        <f t="shared" si="14"/>
        <v>6534</v>
      </c>
      <c r="K41" s="143">
        <f t="shared" si="14"/>
        <v>4900.5</v>
      </c>
      <c r="L41" s="143">
        <f t="shared" si="14"/>
        <v>6534</v>
      </c>
      <c r="M41" s="143">
        <f t="shared" si="14"/>
        <v>4900.5</v>
      </c>
      <c r="N41" s="143">
        <f t="shared" si="14"/>
        <v>6534</v>
      </c>
      <c r="O41" s="143">
        <f t="shared" si="14"/>
        <v>4900.5</v>
      </c>
      <c r="P41" s="143">
        <f t="shared" si="14"/>
        <v>6534</v>
      </c>
      <c r="Q41" s="143">
        <f t="shared" si="14"/>
        <v>4900.5</v>
      </c>
      <c r="R41" s="143">
        <f t="shared" si="14"/>
        <v>6534</v>
      </c>
    </row>
    <row r="42" spans="2:18">
      <c r="B42" s="141" t="s">
        <v>61</v>
      </c>
      <c r="C42" s="144"/>
      <c r="D42" s="214">
        <v>82.5</v>
      </c>
      <c r="E42" s="215">
        <v>2</v>
      </c>
      <c r="F42" s="51"/>
      <c r="G42" s="143">
        <f t="shared" si="15"/>
        <v>495</v>
      </c>
      <c r="H42" s="143">
        <f t="shared" si="14"/>
        <v>660</v>
      </c>
      <c r="I42" s="143">
        <f t="shared" si="14"/>
        <v>495</v>
      </c>
      <c r="J42" s="143">
        <f t="shared" si="14"/>
        <v>660</v>
      </c>
      <c r="K42" s="143">
        <f t="shared" si="14"/>
        <v>495</v>
      </c>
      <c r="L42" s="143">
        <f t="shared" si="14"/>
        <v>660</v>
      </c>
      <c r="M42" s="143">
        <f t="shared" si="14"/>
        <v>495</v>
      </c>
      <c r="N42" s="143">
        <f t="shared" si="14"/>
        <v>660</v>
      </c>
      <c r="O42" s="143">
        <f t="shared" si="14"/>
        <v>495</v>
      </c>
      <c r="P42" s="143">
        <f t="shared" si="14"/>
        <v>660</v>
      </c>
      <c r="Q42" s="143">
        <f t="shared" si="14"/>
        <v>495</v>
      </c>
      <c r="R42" s="143">
        <f t="shared" si="14"/>
        <v>660</v>
      </c>
    </row>
    <row r="43" spans="2:18">
      <c r="B43" s="141" t="s">
        <v>61</v>
      </c>
      <c r="C43" s="144"/>
      <c r="D43" s="214">
        <v>574.19999999999993</v>
      </c>
      <c r="E43" s="215">
        <v>5</v>
      </c>
      <c r="F43" s="51"/>
      <c r="G43" s="143">
        <f t="shared" si="15"/>
        <v>8612.9999999999982</v>
      </c>
      <c r="H43" s="143">
        <f t="shared" si="14"/>
        <v>11483.999999999998</v>
      </c>
      <c r="I43" s="143">
        <f t="shared" si="14"/>
        <v>8612.9999999999982</v>
      </c>
      <c r="J43" s="143">
        <f t="shared" si="14"/>
        <v>11483.999999999998</v>
      </c>
      <c r="K43" s="143">
        <f t="shared" si="14"/>
        <v>8612.9999999999982</v>
      </c>
      <c r="L43" s="143">
        <f t="shared" si="14"/>
        <v>11483.999999999998</v>
      </c>
      <c r="M43" s="143">
        <f t="shared" si="14"/>
        <v>8612.9999999999982</v>
      </c>
      <c r="N43" s="143">
        <f t="shared" si="14"/>
        <v>11483.999999999998</v>
      </c>
      <c r="O43" s="143">
        <f t="shared" si="14"/>
        <v>8612.9999999999982</v>
      </c>
      <c r="P43" s="143">
        <f t="shared" si="14"/>
        <v>11483.999999999998</v>
      </c>
      <c r="Q43" s="143">
        <f t="shared" si="14"/>
        <v>8612.9999999999982</v>
      </c>
      <c r="R43" s="143">
        <f t="shared" si="14"/>
        <v>11483.999999999998</v>
      </c>
    </row>
    <row r="44" spans="2:18">
      <c r="B44" s="125" t="s">
        <v>52</v>
      </c>
      <c r="C44" s="140"/>
      <c r="D44" s="216"/>
      <c r="E44" s="217">
        <f>VLOOKUP($B44,$B$14:$C$19,2,FALSE)</f>
        <v>3000</v>
      </c>
      <c r="F44" s="18">
        <f>VLOOKUP($B44,$B$14:$E$19,4,FALSE)</f>
        <v>2</v>
      </c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</row>
    <row r="45" spans="2:18">
      <c r="B45" s="141" t="s">
        <v>59</v>
      </c>
      <c r="C45" s="142"/>
      <c r="D45" s="214">
        <v>165</v>
      </c>
      <c r="E45" s="215">
        <v>0</v>
      </c>
      <c r="F45" s="51"/>
      <c r="G45" s="143">
        <f>IF(G$17=0,0,G$17/$D$17*$E45*$D45)</f>
        <v>0</v>
      </c>
      <c r="H45" s="143">
        <f t="shared" ref="H45:R50" si="16">IF(H$17=0,0,H$17/$D$17*$E45*$D45)</f>
        <v>0</v>
      </c>
      <c r="I45" s="143">
        <f t="shared" si="16"/>
        <v>0</v>
      </c>
      <c r="J45" s="143">
        <f t="shared" si="16"/>
        <v>0</v>
      </c>
      <c r="K45" s="143">
        <f t="shared" si="16"/>
        <v>0</v>
      </c>
      <c r="L45" s="143">
        <f t="shared" si="16"/>
        <v>0</v>
      </c>
      <c r="M45" s="143">
        <f t="shared" si="16"/>
        <v>0</v>
      </c>
      <c r="N45" s="143">
        <f t="shared" si="16"/>
        <v>0</v>
      </c>
      <c r="O45" s="143">
        <f t="shared" si="16"/>
        <v>0</v>
      </c>
      <c r="P45" s="143">
        <f t="shared" si="16"/>
        <v>0</v>
      </c>
      <c r="Q45" s="143">
        <f t="shared" si="16"/>
        <v>0</v>
      </c>
      <c r="R45" s="143">
        <f t="shared" si="16"/>
        <v>0</v>
      </c>
    </row>
    <row r="46" spans="2:18">
      <c r="B46" s="141" t="s">
        <v>59</v>
      </c>
      <c r="C46" s="142"/>
      <c r="D46" s="214">
        <v>82.5</v>
      </c>
      <c r="E46" s="215">
        <v>0</v>
      </c>
      <c r="F46" s="51"/>
      <c r="G46" s="143">
        <f t="shared" ref="G46:R50" si="17">IF(G$17=0,0,G$17/$D$17*$E46*$D46)</f>
        <v>0</v>
      </c>
      <c r="H46" s="143">
        <f t="shared" si="17"/>
        <v>0</v>
      </c>
      <c r="I46" s="143">
        <f t="shared" si="17"/>
        <v>0</v>
      </c>
      <c r="J46" s="143">
        <f t="shared" si="17"/>
        <v>0</v>
      </c>
      <c r="K46" s="143">
        <f t="shared" si="17"/>
        <v>0</v>
      </c>
      <c r="L46" s="143">
        <f t="shared" si="17"/>
        <v>0</v>
      </c>
      <c r="M46" s="143">
        <f t="shared" si="17"/>
        <v>0</v>
      </c>
      <c r="N46" s="143">
        <f t="shared" si="17"/>
        <v>0</v>
      </c>
      <c r="O46" s="143">
        <f t="shared" si="17"/>
        <v>0</v>
      </c>
      <c r="P46" s="143">
        <f t="shared" si="17"/>
        <v>0</v>
      </c>
      <c r="Q46" s="143">
        <f t="shared" si="17"/>
        <v>0</v>
      </c>
      <c r="R46" s="143">
        <f t="shared" si="17"/>
        <v>0</v>
      </c>
    </row>
    <row r="47" spans="2:18">
      <c r="B47" s="141" t="s">
        <v>60</v>
      </c>
      <c r="C47" s="142"/>
      <c r="D47" s="214">
        <v>4.9499999999999993</v>
      </c>
      <c r="E47" s="215">
        <v>0</v>
      </c>
      <c r="F47" s="51"/>
      <c r="G47" s="143">
        <f t="shared" si="17"/>
        <v>0</v>
      </c>
      <c r="H47" s="143">
        <f t="shared" si="16"/>
        <v>0</v>
      </c>
      <c r="I47" s="143">
        <f t="shared" si="16"/>
        <v>0</v>
      </c>
      <c r="J47" s="143">
        <f t="shared" si="16"/>
        <v>0</v>
      </c>
      <c r="K47" s="143">
        <f t="shared" si="16"/>
        <v>0</v>
      </c>
      <c r="L47" s="143">
        <f t="shared" si="16"/>
        <v>0</v>
      </c>
      <c r="M47" s="143">
        <f t="shared" si="16"/>
        <v>0</v>
      </c>
      <c r="N47" s="143">
        <f t="shared" si="16"/>
        <v>0</v>
      </c>
      <c r="O47" s="143">
        <f t="shared" si="16"/>
        <v>0</v>
      </c>
      <c r="P47" s="143">
        <f t="shared" si="16"/>
        <v>0</v>
      </c>
      <c r="Q47" s="143">
        <f t="shared" si="16"/>
        <v>0</v>
      </c>
      <c r="R47" s="143">
        <f t="shared" si="16"/>
        <v>0</v>
      </c>
    </row>
    <row r="48" spans="2:18">
      <c r="B48" s="141" t="s">
        <v>60</v>
      </c>
      <c r="C48" s="144"/>
      <c r="D48" s="214">
        <v>4.9499999999999993</v>
      </c>
      <c r="E48" s="215">
        <v>5</v>
      </c>
      <c r="F48" s="51"/>
      <c r="G48" s="143">
        <f t="shared" si="17"/>
        <v>49.499999999999993</v>
      </c>
      <c r="H48" s="143">
        <f t="shared" si="16"/>
        <v>49.499999999999993</v>
      </c>
      <c r="I48" s="143">
        <f t="shared" si="16"/>
        <v>74.249999999999986</v>
      </c>
      <c r="J48" s="143">
        <f t="shared" si="16"/>
        <v>49.499999999999993</v>
      </c>
      <c r="K48" s="143">
        <f t="shared" si="16"/>
        <v>49.499999999999993</v>
      </c>
      <c r="L48" s="143">
        <f t="shared" si="16"/>
        <v>74.249999999999986</v>
      </c>
      <c r="M48" s="143">
        <f t="shared" si="16"/>
        <v>49.499999999999993</v>
      </c>
      <c r="N48" s="143">
        <f t="shared" si="16"/>
        <v>49.499999999999993</v>
      </c>
      <c r="O48" s="143">
        <f t="shared" si="16"/>
        <v>74.249999999999986</v>
      </c>
      <c r="P48" s="143">
        <f t="shared" si="16"/>
        <v>49.499999999999993</v>
      </c>
      <c r="Q48" s="143">
        <f t="shared" si="16"/>
        <v>49.499999999999993</v>
      </c>
      <c r="R48" s="143">
        <f t="shared" si="16"/>
        <v>74.249999999999986</v>
      </c>
    </row>
    <row r="49" spans="2:18">
      <c r="B49" s="141" t="s">
        <v>61</v>
      </c>
      <c r="C49" s="144"/>
      <c r="D49" s="214">
        <v>8.25</v>
      </c>
      <c r="E49" s="215">
        <v>2</v>
      </c>
      <c r="F49" s="51"/>
      <c r="G49" s="143">
        <f t="shared" si="17"/>
        <v>33</v>
      </c>
      <c r="H49" s="143">
        <f t="shared" si="16"/>
        <v>33</v>
      </c>
      <c r="I49" s="143">
        <f t="shared" si="16"/>
        <v>49.5</v>
      </c>
      <c r="J49" s="143">
        <f t="shared" si="16"/>
        <v>33</v>
      </c>
      <c r="K49" s="143">
        <f t="shared" si="16"/>
        <v>33</v>
      </c>
      <c r="L49" s="143">
        <f t="shared" si="16"/>
        <v>49.5</v>
      </c>
      <c r="M49" s="143">
        <f t="shared" si="16"/>
        <v>33</v>
      </c>
      <c r="N49" s="143">
        <f t="shared" si="16"/>
        <v>33</v>
      </c>
      <c r="O49" s="143">
        <f t="shared" si="16"/>
        <v>49.5</v>
      </c>
      <c r="P49" s="143">
        <f t="shared" si="16"/>
        <v>33</v>
      </c>
      <c r="Q49" s="143">
        <f t="shared" si="16"/>
        <v>33</v>
      </c>
      <c r="R49" s="143">
        <f t="shared" si="16"/>
        <v>49.5</v>
      </c>
    </row>
    <row r="50" spans="2:18">
      <c r="B50" s="141" t="s">
        <v>61</v>
      </c>
      <c r="C50" s="144"/>
      <c r="D50" s="214">
        <v>8.25</v>
      </c>
      <c r="E50" s="215">
        <v>0</v>
      </c>
      <c r="F50" s="51"/>
      <c r="G50" s="143">
        <f t="shared" si="17"/>
        <v>0</v>
      </c>
      <c r="H50" s="143">
        <f t="shared" si="16"/>
        <v>0</v>
      </c>
      <c r="I50" s="143">
        <f t="shared" si="16"/>
        <v>0</v>
      </c>
      <c r="J50" s="143">
        <f t="shared" si="16"/>
        <v>0</v>
      </c>
      <c r="K50" s="143">
        <f t="shared" si="16"/>
        <v>0</v>
      </c>
      <c r="L50" s="143">
        <f t="shared" si="16"/>
        <v>0</v>
      </c>
      <c r="M50" s="143">
        <f t="shared" si="16"/>
        <v>0</v>
      </c>
      <c r="N50" s="143">
        <f t="shared" si="16"/>
        <v>0</v>
      </c>
      <c r="O50" s="143">
        <f t="shared" si="16"/>
        <v>0</v>
      </c>
      <c r="P50" s="143">
        <f t="shared" si="16"/>
        <v>0</v>
      </c>
      <c r="Q50" s="143">
        <f t="shared" si="16"/>
        <v>0</v>
      </c>
      <c r="R50" s="143">
        <f t="shared" si="16"/>
        <v>0</v>
      </c>
    </row>
    <row r="51" spans="2:18">
      <c r="B51" s="125" t="s">
        <v>53</v>
      </c>
      <c r="C51" s="140"/>
      <c r="D51" s="216"/>
      <c r="E51" s="217">
        <f>VLOOKUP($B51,$B$14:$C$19,2,FALSE)</f>
        <v>6000</v>
      </c>
      <c r="F51" s="18">
        <f>VLOOKUP($B51,$B$14:$E$19,4,FALSE)</f>
        <v>1</v>
      </c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</row>
    <row r="52" spans="2:18">
      <c r="B52" s="141" t="s">
        <v>59</v>
      </c>
      <c r="C52" s="142"/>
      <c r="D52" s="214">
        <v>0</v>
      </c>
      <c r="E52" s="215">
        <v>0</v>
      </c>
      <c r="F52" s="51"/>
      <c r="G52" s="143">
        <f>IF(G$18=0,0,G$18/$D$18*$E52*$D52)</f>
        <v>0</v>
      </c>
      <c r="H52" s="143">
        <f t="shared" ref="H52:R57" si="18">IF(H$18=0,0,H$18/$D$18*$E52*$D52)</f>
        <v>0</v>
      </c>
      <c r="I52" s="143">
        <f t="shared" si="18"/>
        <v>0</v>
      </c>
      <c r="J52" s="143">
        <f t="shared" si="18"/>
        <v>0</v>
      </c>
      <c r="K52" s="143">
        <f t="shared" si="18"/>
        <v>0</v>
      </c>
      <c r="L52" s="143">
        <f t="shared" si="18"/>
        <v>0</v>
      </c>
      <c r="M52" s="143">
        <f t="shared" si="18"/>
        <v>0</v>
      </c>
      <c r="N52" s="143">
        <f t="shared" si="18"/>
        <v>0</v>
      </c>
      <c r="O52" s="143">
        <f t="shared" si="18"/>
        <v>0</v>
      </c>
      <c r="P52" s="143">
        <f t="shared" si="18"/>
        <v>0</v>
      </c>
      <c r="Q52" s="143">
        <f t="shared" si="18"/>
        <v>0</v>
      </c>
      <c r="R52" s="143">
        <f t="shared" si="18"/>
        <v>0</v>
      </c>
    </row>
    <row r="53" spans="2:18">
      <c r="B53" s="141" t="s">
        <v>59</v>
      </c>
      <c r="C53" s="142"/>
      <c r="D53" s="214">
        <v>0</v>
      </c>
      <c r="E53" s="215">
        <v>0</v>
      </c>
      <c r="F53" s="51"/>
      <c r="G53" s="143">
        <f t="shared" ref="G53:R57" si="19">IF(G$18=0,0,G$18/$D$18*$E53*$D53)</f>
        <v>0</v>
      </c>
      <c r="H53" s="143">
        <f t="shared" si="19"/>
        <v>0</v>
      </c>
      <c r="I53" s="143">
        <f t="shared" si="19"/>
        <v>0</v>
      </c>
      <c r="J53" s="143">
        <f t="shared" si="19"/>
        <v>0</v>
      </c>
      <c r="K53" s="143">
        <f t="shared" si="19"/>
        <v>0</v>
      </c>
      <c r="L53" s="143">
        <f t="shared" si="19"/>
        <v>0</v>
      </c>
      <c r="M53" s="143">
        <f t="shared" si="19"/>
        <v>0</v>
      </c>
      <c r="N53" s="143">
        <f t="shared" si="19"/>
        <v>0</v>
      </c>
      <c r="O53" s="143">
        <f t="shared" si="19"/>
        <v>0</v>
      </c>
      <c r="P53" s="143">
        <f t="shared" si="19"/>
        <v>0</v>
      </c>
      <c r="Q53" s="143">
        <f t="shared" si="19"/>
        <v>0</v>
      </c>
      <c r="R53" s="143">
        <f t="shared" si="19"/>
        <v>0</v>
      </c>
    </row>
    <row r="54" spans="2:18">
      <c r="B54" s="141" t="s">
        <v>60</v>
      </c>
      <c r="C54" s="142"/>
      <c r="D54" s="214">
        <v>0</v>
      </c>
      <c r="E54" s="215">
        <v>0</v>
      </c>
      <c r="F54" s="51"/>
      <c r="G54" s="143">
        <f t="shared" si="19"/>
        <v>0</v>
      </c>
      <c r="H54" s="143">
        <f t="shared" si="18"/>
        <v>0</v>
      </c>
      <c r="I54" s="143">
        <f t="shared" si="18"/>
        <v>0</v>
      </c>
      <c r="J54" s="143">
        <f t="shared" si="18"/>
        <v>0</v>
      </c>
      <c r="K54" s="143">
        <f t="shared" si="18"/>
        <v>0</v>
      </c>
      <c r="L54" s="143">
        <f t="shared" si="18"/>
        <v>0</v>
      </c>
      <c r="M54" s="143">
        <f t="shared" si="18"/>
        <v>0</v>
      </c>
      <c r="N54" s="143">
        <f t="shared" si="18"/>
        <v>0</v>
      </c>
      <c r="O54" s="143">
        <f t="shared" si="18"/>
        <v>0</v>
      </c>
      <c r="P54" s="143">
        <f t="shared" si="18"/>
        <v>0</v>
      </c>
      <c r="Q54" s="143">
        <f t="shared" si="18"/>
        <v>0</v>
      </c>
      <c r="R54" s="143">
        <f t="shared" si="18"/>
        <v>0</v>
      </c>
    </row>
    <row r="55" spans="2:18">
      <c r="B55" s="141" t="s">
        <v>60</v>
      </c>
      <c r="C55" s="144"/>
      <c r="D55" s="214">
        <v>0</v>
      </c>
      <c r="E55" s="215">
        <v>5</v>
      </c>
      <c r="F55" s="51"/>
      <c r="G55" s="143">
        <f t="shared" si="19"/>
        <v>0</v>
      </c>
      <c r="H55" s="143">
        <f t="shared" si="18"/>
        <v>0</v>
      </c>
      <c r="I55" s="143">
        <f t="shared" si="18"/>
        <v>0</v>
      </c>
      <c r="J55" s="143">
        <f t="shared" si="18"/>
        <v>0</v>
      </c>
      <c r="K55" s="143">
        <f t="shared" si="18"/>
        <v>0</v>
      </c>
      <c r="L55" s="143">
        <f t="shared" si="18"/>
        <v>0</v>
      </c>
      <c r="M55" s="143">
        <f t="shared" si="18"/>
        <v>0</v>
      </c>
      <c r="N55" s="143">
        <f t="shared" si="18"/>
        <v>0</v>
      </c>
      <c r="O55" s="143">
        <f t="shared" si="18"/>
        <v>0</v>
      </c>
      <c r="P55" s="143">
        <f t="shared" si="18"/>
        <v>0</v>
      </c>
      <c r="Q55" s="143">
        <f t="shared" si="18"/>
        <v>0</v>
      </c>
      <c r="R55" s="143">
        <f t="shared" si="18"/>
        <v>0</v>
      </c>
    </row>
    <row r="56" spans="2:18">
      <c r="B56" s="141" t="s">
        <v>61</v>
      </c>
      <c r="C56" s="144"/>
      <c r="D56" s="214">
        <v>82.5</v>
      </c>
      <c r="E56" s="215">
        <v>2</v>
      </c>
      <c r="F56" s="51"/>
      <c r="G56" s="143">
        <f t="shared" si="19"/>
        <v>165</v>
      </c>
      <c r="H56" s="143">
        <f t="shared" si="18"/>
        <v>165</v>
      </c>
      <c r="I56" s="143">
        <f t="shared" si="18"/>
        <v>165</v>
      </c>
      <c r="J56" s="143">
        <f t="shared" si="18"/>
        <v>165</v>
      </c>
      <c r="K56" s="143">
        <f t="shared" si="18"/>
        <v>165</v>
      </c>
      <c r="L56" s="143">
        <f t="shared" si="18"/>
        <v>330</v>
      </c>
      <c r="M56" s="143">
        <f t="shared" si="18"/>
        <v>165</v>
      </c>
      <c r="N56" s="143">
        <f t="shared" si="18"/>
        <v>165</v>
      </c>
      <c r="O56" s="143">
        <f t="shared" si="18"/>
        <v>165</v>
      </c>
      <c r="P56" s="143">
        <f t="shared" si="18"/>
        <v>165</v>
      </c>
      <c r="Q56" s="143">
        <f t="shared" si="18"/>
        <v>165</v>
      </c>
      <c r="R56" s="143">
        <f t="shared" si="18"/>
        <v>330</v>
      </c>
    </row>
    <row r="57" spans="2:18">
      <c r="B57" s="141" t="s">
        <v>61</v>
      </c>
      <c r="C57" s="144"/>
      <c r="D57" s="214">
        <v>574.19999999999993</v>
      </c>
      <c r="E57" s="215">
        <v>5</v>
      </c>
      <c r="F57" s="51"/>
      <c r="G57" s="143">
        <f t="shared" si="19"/>
        <v>2870.9999999999995</v>
      </c>
      <c r="H57" s="143">
        <f t="shared" si="18"/>
        <v>2870.9999999999995</v>
      </c>
      <c r="I57" s="143">
        <f t="shared" si="18"/>
        <v>2870.9999999999995</v>
      </c>
      <c r="J57" s="143">
        <f t="shared" si="18"/>
        <v>2870.9999999999995</v>
      </c>
      <c r="K57" s="143">
        <f t="shared" si="18"/>
        <v>2870.9999999999995</v>
      </c>
      <c r="L57" s="143">
        <f t="shared" si="18"/>
        <v>5741.9999999999991</v>
      </c>
      <c r="M57" s="143">
        <f t="shared" si="18"/>
        <v>2870.9999999999995</v>
      </c>
      <c r="N57" s="143">
        <f t="shared" si="18"/>
        <v>2870.9999999999995</v>
      </c>
      <c r="O57" s="143">
        <f t="shared" si="18"/>
        <v>2870.9999999999995</v>
      </c>
      <c r="P57" s="143">
        <f t="shared" si="18"/>
        <v>2870.9999999999995</v>
      </c>
      <c r="Q57" s="143">
        <f t="shared" si="18"/>
        <v>2870.9999999999995</v>
      </c>
      <c r="R57" s="143">
        <f t="shared" si="18"/>
        <v>5741.9999999999991</v>
      </c>
    </row>
    <row r="58" spans="2:18">
      <c r="B58" s="125" t="s">
        <v>54</v>
      </c>
      <c r="C58" s="140"/>
      <c r="D58" s="216"/>
      <c r="E58" s="217">
        <f>VLOOKUP($B58,$B$14:$C$19,2,FALSE)</f>
        <v>12000</v>
      </c>
      <c r="F58" s="51"/>
      <c r="G58" s="113"/>
      <c r="H58" s="113"/>
      <c r="I58" s="112"/>
      <c r="J58" s="113"/>
      <c r="K58" s="112"/>
      <c r="L58" s="113"/>
      <c r="M58" s="112"/>
      <c r="N58" s="113"/>
      <c r="O58" s="112"/>
      <c r="P58" s="113"/>
      <c r="Q58" s="112"/>
      <c r="R58" s="113"/>
    </row>
    <row r="59" spans="2:18">
      <c r="B59" s="141" t="s">
        <v>59</v>
      </c>
      <c r="C59" s="142"/>
      <c r="D59" s="214">
        <v>0</v>
      </c>
      <c r="E59" s="215">
        <v>0</v>
      </c>
      <c r="F59" s="130"/>
      <c r="G59" s="143">
        <f>IF(G$19=0,0,G$19/$D$19*$E59*$D59)</f>
        <v>0</v>
      </c>
      <c r="H59" s="143">
        <f t="shared" ref="H59:R64" si="20">IF(H$19=0,0,H$19/$D$19*$E59*$D59)</f>
        <v>0</v>
      </c>
      <c r="I59" s="143">
        <f t="shared" si="20"/>
        <v>0</v>
      </c>
      <c r="J59" s="143">
        <f t="shared" si="20"/>
        <v>0</v>
      </c>
      <c r="K59" s="143">
        <f t="shared" si="20"/>
        <v>0</v>
      </c>
      <c r="L59" s="143">
        <f t="shared" si="20"/>
        <v>0</v>
      </c>
      <c r="M59" s="143">
        <f t="shared" si="20"/>
        <v>0</v>
      </c>
      <c r="N59" s="143">
        <f t="shared" si="20"/>
        <v>0</v>
      </c>
      <c r="O59" s="143">
        <f t="shared" si="20"/>
        <v>0</v>
      </c>
      <c r="P59" s="143">
        <f t="shared" si="20"/>
        <v>0</v>
      </c>
      <c r="Q59" s="143">
        <f t="shared" si="20"/>
        <v>0</v>
      </c>
      <c r="R59" s="143">
        <f t="shared" si="20"/>
        <v>0</v>
      </c>
    </row>
    <row r="60" spans="2:18">
      <c r="B60" s="141" t="s">
        <v>59</v>
      </c>
      <c r="C60" s="142"/>
      <c r="D60" s="214">
        <v>0</v>
      </c>
      <c r="E60" s="215">
        <v>0</v>
      </c>
      <c r="F60" s="130"/>
      <c r="G60" s="143">
        <f t="shared" ref="G60:R64" si="21">IF(G$19=0,0,G$19/$D$19*$E60*$D60)</f>
        <v>0</v>
      </c>
      <c r="H60" s="143">
        <f t="shared" si="21"/>
        <v>0</v>
      </c>
      <c r="I60" s="143">
        <f t="shared" si="21"/>
        <v>0</v>
      </c>
      <c r="J60" s="143">
        <f t="shared" si="21"/>
        <v>0</v>
      </c>
      <c r="K60" s="143">
        <f t="shared" si="21"/>
        <v>0</v>
      </c>
      <c r="L60" s="143">
        <f t="shared" si="21"/>
        <v>0</v>
      </c>
      <c r="M60" s="143">
        <f t="shared" si="21"/>
        <v>0</v>
      </c>
      <c r="N60" s="143">
        <f t="shared" si="21"/>
        <v>0</v>
      </c>
      <c r="O60" s="143">
        <f t="shared" si="21"/>
        <v>0</v>
      </c>
      <c r="P60" s="143">
        <f t="shared" si="21"/>
        <v>0</v>
      </c>
      <c r="Q60" s="143">
        <f t="shared" si="21"/>
        <v>0</v>
      </c>
      <c r="R60" s="143">
        <f t="shared" si="21"/>
        <v>0</v>
      </c>
    </row>
    <row r="61" spans="2:18">
      <c r="B61" s="141" t="s">
        <v>60</v>
      </c>
      <c r="C61" s="142"/>
      <c r="D61" s="214">
        <v>0</v>
      </c>
      <c r="E61" s="215">
        <v>0</v>
      </c>
      <c r="F61" s="130"/>
      <c r="G61" s="143">
        <f t="shared" si="21"/>
        <v>0</v>
      </c>
      <c r="H61" s="143">
        <f t="shared" si="20"/>
        <v>0</v>
      </c>
      <c r="I61" s="143">
        <f t="shared" si="20"/>
        <v>0</v>
      </c>
      <c r="J61" s="143">
        <f t="shared" si="20"/>
        <v>0</v>
      </c>
      <c r="K61" s="143">
        <f t="shared" si="20"/>
        <v>0</v>
      </c>
      <c r="L61" s="143">
        <f t="shared" si="20"/>
        <v>0</v>
      </c>
      <c r="M61" s="143">
        <f t="shared" si="20"/>
        <v>0</v>
      </c>
      <c r="N61" s="143">
        <f t="shared" si="20"/>
        <v>0</v>
      </c>
      <c r="O61" s="143">
        <f t="shared" si="20"/>
        <v>0</v>
      </c>
      <c r="P61" s="143">
        <f t="shared" si="20"/>
        <v>0</v>
      </c>
      <c r="Q61" s="143">
        <f t="shared" si="20"/>
        <v>0</v>
      </c>
      <c r="R61" s="143">
        <f t="shared" si="20"/>
        <v>0</v>
      </c>
    </row>
    <row r="62" spans="2:18">
      <c r="B62" s="141" t="s">
        <v>60</v>
      </c>
      <c r="C62" s="144"/>
      <c r="D62" s="214">
        <v>0</v>
      </c>
      <c r="E62" s="215">
        <v>5</v>
      </c>
      <c r="F62" s="130"/>
      <c r="G62" s="143">
        <f t="shared" si="21"/>
        <v>0</v>
      </c>
      <c r="H62" s="143">
        <f t="shared" si="20"/>
        <v>0</v>
      </c>
      <c r="I62" s="143">
        <f t="shared" si="20"/>
        <v>0</v>
      </c>
      <c r="J62" s="143">
        <f t="shared" si="20"/>
        <v>0</v>
      </c>
      <c r="K62" s="143">
        <f t="shared" si="20"/>
        <v>0</v>
      </c>
      <c r="L62" s="143">
        <f t="shared" si="20"/>
        <v>0</v>
      </c>
      <c r="M62" s="143">
        <f t="shared" si="20"/>
        <v>0</v>
      </c>
      <c r="N62" s="143">
        <f t="shared" si="20"/>
        <v>0</v>
      </c>
      <c r="O62" s="143">
        <f t="shared" si="20"/>
        <v>0</v>
      </c>
      <c r="P62" s="143">
        <f t="shared" si="20"/>
        <v>0</v>
      </c>
      <c r="Q62" s="143">
        <f t="shared" si="20"/>
        <v>0</v>
      </c>
      <c r="R62" s="143">
        <f t="shared" si="20"/>
        <v>0</v>
      </c>
    </row>
    <row r="63" spans="2:18">
      <c r="B63" s="141" t="s">
        <v>61</v>
      </c>
      <c r="C63" s="144"/>
      <c r="D63" s="214">
        <v>82.5</v>
      </c>
      <c r="E63" s="215">
        <v>2</v>
      </c>
      <c r="F63" s="130"/>
      <c r="G63" s="143">
        <f t="shared" si="21"/>
        <v>0</v>
      </c>
      <c r="H63" s="143">
        <f t="shared" si="20"/>
        <v>165</v>
      </c>
      <c r="I63" s="143">
        <f t="shared" si="20"/>
        <v>0</v>
      </c>
      <c r="J63" s="143">
        <f t="shared" si="20"/>
        <v>165</v>
      </c>
      <c r="K63" s="143">
        <f t="shared" si="20"/>
        <v>0</v>
      </c>
      <c r="L63" s="143">
        <f t="shared" si="20"/>
        <v>165</v>
      </c>
      <c r="M63" s="143">
        <f t="shared" si="20"/>
        <v>165</v>
      </c>
      <c r="N63" s="143">
        <f t="shared" si="20"/>
        <v>0</v>
      </c>
      <c r="O63" s="143">
        <f t="shared" si="20"/>
        <v>165</v>
      </c>
      <c r="P63" s="143">
        <f t="shared" si="20"/>
        <v>0</v>
      </c>
      <c r="Q63" s="143">
        <f t="shared" si="20"/>
        <v>165</v>
      </c>
      <c r="R63" s="143">
        <f t="shared" si="20"/>
        <v>165</v>
      </c>
    </row>
    <row r="64" spans="2:18" ht="13.5" thickBot="1">
      <c r="B64" s="145" t="s">
        <v>61</v>
      </c>
      <c r="C64" s="144"/>
      <c r="D64" s="214">
        <v>574.19999999999993</v>
      </c>
      <c r="E64" s="215">
        <v>5</v>
      </c>
      <c r="F64" s="146"/>
      <c r="G64" s="147">
        <f t="shared" si="21"/>
        <v>0</v>
      </c>
      <c r="H64" s="147">
        <f t="shared" si="20"/>
        <v>2870.9999999999995</v>
      </c>
      <c r="I64" s="147">
        <f t="shared" si="20"/>
        <v>0</v>
      </c>
      <c r="J64" s="147">
        <f t="shared" si="20"/>
        <v>2870.9999999999995</v>
      </c>
      <c r="K64" s="147">
        <f t="shared" si="20"/>
        <v>0</v>
      </c>
      <c r="L64" s="147">
        <f t="shared" si="20"/>
        <v>2870.9999999999995</v>
      </c>
      <c r="M64" s="147">
        <f t="shared" si="20"/>
        <v>2870.9999999999995</v>
      </c>
      <c r="N64" s="147">
        <f t="shared" si="20"/>
        <v>0</v>
      </c>
      <c r="O64" s="147">
        <f t="shared" si="20"/>
        <v>2870.9999999999995</v>
      </c>
      <c r="P64" s="147">
        <f t="shared" si="20"/>
        <v>0</v>
      </c>
      <c r="Q64" s="147">
        <f t="shared" si="20"/>
        <v>2870.9999999999995</v>
      </c>
      <c r="R64" s="147">
        <f t="shared" si="20"/>
        <v>2870.9999999999995</v>
      </c>
    </row>
  </sheetData>
  <mergeCells count="2">
    <mergeCell ref="B11:R11"/>
    <mergeCell ref="B20:R20"/>
  </mergeCells>
  <phoneticPr fontId="172" type="noConversion"/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50" max="16383" man="1"/>
  </rowBreaks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7"/>
  <sheetViews>
    <sheetView view="pageBreakPreview" zoomScale="80" zoomScaleNormal="80" zoomScaleSheetLayoutView="80" workbookViewId="0">
      <pane xSplit="2" ySplit="6" topLeftCell="C7" activePane="bottomRight" state="frozen"/>
      <selection activeCell="AC5" sqref="AC5"/>
      <selection pane="topRight" activeCell="AC5" sqref="AC5"/>
      <selection pane="bottomLeft" activeCell="AC5" sqref="AC5"/>
      <selection pane="bottomRight" activeCell="F18" sqref="F18"/>
    </sheetView>
  </sheetViews>
  <sheetFormatPr defaultColWidth="9.125" defaultRowHeight="12.75"/>
  <cols>
    <col min="1" max="1" width="5.5" style="108" customWidth="1"/>
    <col min="2" max="2" width="34.75" style="108" customWidth="1"/>
    <col min="3" max="3" width="12.75" style="108" customWidth="1"/>
    <col min="4" max="4" width="14.125" style="108" customWidth="1"/>
    <col min="5" max="5" width="11.5" style="108" customWidth="1"/>
    <col min="6" max="11" width="9.25" style="108" bestFit="1" customWidth="1"/>
    <col min="12" max="12" width="11.25" style="108" customWidth="1"/>
    <col min="13" max="14" width="9.25" style="108" bestFit="1" customWidth="1"/>
    <col min="15" max="15" width="10.75" style="108" bestFit="1" customWidth="1"/>
    <col min="16" max="17" width="9.25" style="108" bestFit="1" customWidth="1"/>
    <col min="18" max="18" width="3.25" style="108" customWidth="1"/>
    <col min="19" max="16384" width="9.125" style="108"/>
  </cols>
  <sheetData>
    <row r="2" spans="2:17">
      <c r="B2" s="154" t="s">
        <v>30</v>
      </c>
    </row>
    <row r="3" spans="2:17" ht="16.5" customHeight="1" thickBot="1">
      <c r="B3" s="108" t="s">
        <v>130</v>
      </c>
      <c r="E3" s="250"/>
      <c r="F3" s="260">
        <f>'Данные_Буровой станок'!E6</f>
        <v>0.93</v>
      </c>
      <c r="G3" s="260">
        <f>'Данные_Буровой станок'!F6</f>
        <v>0.93</v>
      </c>
      <c r="H3" s="260">
        <f>'Данные_Буровой станок'!G6</f>
        <v>0.92</v>
      </c>
      <c r="I3" s="260">
        <f>'Данные_Буровой станок'!H6</f>
        <v>0.92</v>
      </c>
      <c r="J3" s="260">
        <f>'Данные_Буровой станок'!I6</f>
        <v>0.87</v>
      </c>
      <c r="K3" s="260">
        <f>'Данные_Буровой станок'!J6</f>
        <v>0.9</v>
      </c>
      <c r="L3" s="260">
        <f>'Данные_Буровой станок'!K6</f>
        <v>0.85</v>
      </c>
      <c r="M3" s="260">
        <f>'Данные_Буровой станок'!L6</f>
        <v>0.9</v>
      </c>
      <c r="N3" s="260">
        <f>'Данные_Буровой станок'!M6</f>
        <v>0.9</v>
      </c>
      <c r="O3" s="260">
        <f>'Данные_Буровой станок'!N6</f>
        <v>0.85</v>
      </c>
      <c r="P3" s="260">
        <f>'Данные_Буровой станок'!O6</f>
        <v>0.89</v>
      </c>
      <c r="Q3" s="260">
        <f>'Данные_Буровой станок'!P6</f>
        <v>0.89</v>
      </c>
    </row>
    <row r="4" spans="2:17" s="109" customFormat="1" ht="22.9" customHeight="1">
      <c r="B4" s="171" t="s">
        <v>31</v>
      </c>
      <c r="C4" s="172" t="s">
        <v>127</v>
      </c>
      <c r="D4" s="170"/>
      <c r="E4" s="246"/>
      <c r="F4" s="247">
        <v>1</v>
      </c>
      <c r="G4" s="247">
        <f t="shared" ref="G4:Q4" si="0">F4+1</f>
        <v>2</v>
      </c>
      <c r="H4" s="247">
        <f t="shared" si="0"/>
        <v>3</v>
      </c>
      <c r="I4" s="247">
        <f t="shared" si="0"/>
        <v>4</v>
      </c>
      <c r="J4" s="247">
        <f t="shared" si="0"/>
        <v>5</v>
      </c>
      <c r="K4" s="247">
        <f t="shared" si="0"/>
        <v>6</v>
      </c>
      <c r="L4" s="247">
        <f t="shared" si="0"/>
        <v>7</v>
      </c>
      <c r="M4" s="247">
        <f t="shared" si="0"/>
        <v>8</v>
      </c>
      <c r="N4" s="247">
        <f t="shared" si="0"/>
        <v>9</v>
      </c>
      <c r="O4" s="247">
        <f t="shared" si="0"/>
        <v>10</v>
      </c>
      <c r="P4" s="247">
        <f t="shared" si="0"/>
        <v>11</v>
      </c>
      <c r="Q4" s="247">
        <f t="shared" si="0"/>
        <v>12</v>
      </c>
    </row>
    <row r="5" spans="2:17">
      <c r="B5" s="110" t="s">
        <v>32</v>
      </c>
      <c r="C5" s="111" t="s">
        <v>33</v>
      </c>
      <c r="D5" s="112"/>
      <c r="E5" s="231"/>
      <c r="F5" s="244">
        <v>0</v>
      </c>
      <c r="G5" s="244">
        <f t="shared" ref="G5:Q5" si="1">F6+1</f>
        <v>7001</v>
      </c>
      <c r="H5" s="244">
        <f t="shared" si="1"/>
        <v>14001</v>
      </c>
      <c r="I5" s="244">
        <f t="shared" si="1"/>
        <v>21001</v>
      </c>
      <c r="J5" s="244">
        <f t="shared" si="1"/>
        <v>28001</v>
      </c>
      <c r="K5" s="244">
        <f t="shared" si="1"/>
        <v>35001</v>
      </c>
      <c r="L5" s="244">
        <f t="shared" si="1"/>
        <v>42001</v>
      </c>
      <c r="M5" s="244">
        <f t="shared" si="1"/>
        <v>49001</v>
      </c>
      <c r="N5" s="244">
        <f t="shared" si="1"/>
        <v>56001</v>
      </c>
      <c r="O5" s="244">
        <f t="shared" si="1"/>
        <v>63001</v>
      </c>
      <c r="P5" s="244">
        <f t="shared" si="1"/>
        <v>70001</v>
      </c>
      <c r="Q5" s="244">
        <f t="shared" si="1"/>
        <v>77001</v>
      </c>
    </row>
    <row r="6" spans="2:17" ht="13.5" thickBot="1">
      <c r="B6" s="114" t="s">
        <v>34</v>
      </c>
      <c r="C6" s="115" t="s">
        <v>33</v>
      </c>
      <c r="D6" s="116"/>
      <c r="E6" s="248">
        <f>[2]维护!F6</f>
        <v>7000</v>
      </c>
      <c r="F6" s="249">
        <f>E6</f>
        <v>7000</v>
      </c>
      <c r="G6" s="249">
        <f t="shared" ref="G6:Q6" si="2">F6+$E6</f>
        <v>14000</v>
      </c>
      <c r="H6" s="249">
        <f t="shared" si="2"/>
        <v>21000</v>
      </c>
      <c r="I6" s="249">
        <f t="shared" si="2"/>
        <v>28000</v>
      </c>
      <c r="J6" s="249">
        <f t="shared" si="2"/>
        <v>35000</v>
      </c>
      <c r="K6" s="249">
        <f t="shared" si="2"/>
        <v>42000</v>
      </c>
      <c r="L6" s="249">
        <f t="shared" si="2"/>
        <v>49000</v>
      </c>
      <c r="M6" s="249">
        <f t="shared" si="2"/>
        <v>56000</v>
      </c>
      <c r="N6" s="249">
        <f t="shared" si="2"/>
        <v>63000</v>
      </c>
      <c r="O6" s="249">
        <f t="shared" si="2"/>
        <v>70000</v>
      </c>
      <c r="P6" s="249">
        <f t="shared" si="2"/>
        <v>77000</v>
      </c>
      <c r="Q6" s="249">
        <f t="shared" si="2"/>
        <v>84000</v>
      </c>
    </row>
    <row r="7" spans="2:17" ht="13.5" thickBot="1">
      <c r="B7" s="117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</row>
    <row r="8" spans="2:17" ht="21.75" customHeight="1">
      <c r="B8" s="107" t="s">
        <v>62</v>
      </c>
      <c r="C8" s="53" t="s">
        <v>36</v>
      </c>
      <c r="D8" s="53"/>
      <c r="E8" s="251"/>
      <c r="F8" s="252">
        <f t="shared" ref="F8:Q8" si="3">F16</f>
        <v>102.66666666666667</v>
      </c>
      <c r="G8" s="252">
        <f t="shared" si="3"/>
        <v>102.66666666666667</v>
      </c>
      <c r="H8" s="252">
        <f t="shared" si="3"/>
        <v>102.66666666666667</v>
      </c>
      <c r="I8" s="252">
        <f t="shared" si="3"/>
        <v>102.66666666666667</v>
      </c>
      <c r="J8" s="252">
        <f t="shared" si="3"/>
        <v>102.66666666666667</v>
      </c>
      <c r="K8" s="252">
        <f t="shared" si="3"/>
        <v>102.66666666666667</v>
      </c>
      <c r="L8" s="252">
        <f t="shared" si="3"/>
        <v>102.66666666666667</v>
      </c>
      <c r="M8" s="252">
        <f t="shared" si="3"/>
        <v>102.66666666666667</v>
      </c>
      <c r="N8" s="252">
        <f t="shared" si="3"/>
        <v>102.66666666666667</v>
      </c>
      <c r="O8" s="252">
        <f t="shared" si="3"/>
        <v>102.66666666666667</v>
      </c>
      <c r="P8" s="252">
        <f t="shared" si="3"/>
        <v>102.66666666666667</v>
      </c>
      <c r="Q8" s="252">
        <f t="shared" si="3"/>
        <v>102.66666666666667</v>
      </c>
    </row>
    <row r="9" spans="2:17" ht="21" customHeight="1">
      <c r="B9" s="79" t="s">
        <v>25</v>
      </c>
      <c r="C9" s="106" t="s">
        <v>63</v>
      </c>
      <c r="D9" s="9"/>
      <c r="E9" s="253"/>
      <c r="F9" s="254">
        <f t="shared" ref="F9:Q9" si="4">SUM(F10:F12)</f>
        <v>200111.66666666669</v>
      </c>
      <c r="G9" s="254">
        <f t="shared" si="4"/>
        <v>832651.66666666663</v>
      </c>
      <c r="H9" s="254">
        <f t="shared" si="4"/>
        <v>736126.66666666663</v>
      </c>
      <c r="I9" s="254">
        <f t="shared" si="4"/>
        <v>648181.66666666663</v>
      </c>
      <c r="J9" s="254">
        <f t="shared" si="4"/>
        <v>641251.66666666663</v>
      </c>
      <c r="K9" s="254">
        <f t="shared" si="4"/>
        <v>925051.66666666663</v>
      </c>
      <c r="L9" s="254">
        <f t="shared" si="4"/>
        <v>648181.66666666663</v>
      </c>
      <c r="M9" s="254">
        <f t="shared" si="4"/>
        <v>647851.66666666663</v>
      </c>
      <c r="N9" s="254">
        <f t="shared" si="4"/>
        <v>617656.66666666663</v>
      </c>
      <c r="O9" s="254">
        <f t="shared" si="4"/>
        <v>643726.66666666663</v>
      </c>
      <c r="P9" s="254">
        <f t="shared" si="4"/>
        <v>652306.66666666663</v>
      </c>
      <c r="Q9" s="255">
        <f t="shared" si="4"/>
        <v>920926.66666666663</v>
      </c>
    </row>
    <row r="10" spans="2:17" ht="23.25" customHeight="1">
      <c r="B10" s="67" t="s">
        <v>27</v>
      </c>
      <c r="C10" s="11" t="s">
        <v>63</v>
      </c>
      <c r="D10" s="11"/>
      <c r="E10" s="11"/>
      <c r="F10" s="256">
        <f t="shared" ref="F10:Q10" si="5">F33</f>
        <v>2500</v>
      </c>
      <c r="G10" s="256">
        <f t="shared" si="5"/>
        <v>2500</v>
      </c>
      <c r="H10" s="256">
        <f t="shared" si="5"/>
        <v>2500</v>
      </c>
      <c r="I10" s="256">
        <f t="shared" si="5"/>
        <v>2500</v>
      </c>
      <c r="J10" s="256">
        <f t="shared" si="5"/>
        <v>2500</v>
      </c>
      <c r="K10" s="256">
        <f t="shared" si="5"/>
        <v>2500</v>
      </c>
      <c r="L10" s="256">
        <f t="shared" si="5"/>
        <v>2500</v>
      </c>
      <c r="M10" s="256">
        <f t="shared" si="5"/>
        <v>2500</v>
      </c>
      <c r="N10" s="256">
        <f t="shared" si="5"/>
        <v>2500</v>
      </c>
      <c r="O10" s="256">
        <f t="shared" si="5"/>
        <v>2500</v>
      </c>
      <c r="P10" s="256">
        <f t="shared" si="5"/>
        <v>2500</v>
      </c>
      <c r="Q10" s="257">
        <f t="shared" si="5"/>
        <v>2500</v>
      </c>
    </row>
    <row r="11" spans="2:17" ht="27.75" customHeight="1">
      <c r="B11" s="67" t="s">
        <v>28</v>
      </c>
      <c r="C11" s="11" t="s">
        <v>63</v>
      </c>
      <c r="D11" s="11"/>
      <c r="E11" s="11"/>
      <c r="F11" s="256">
        <f t="shared" ref="F11:Q11" si="6">F39</f>
        <v>71845</v>
      </c>
      <c r="G11" s="256">
        <f t="shared" si="6"/>
        <v>704385</v>
      </c>
      <c r="H11" s="256">
        <f t="shared" si="6"/>
        <v>607860</v>
      </c>
      <c r="I11" s="256">
        <f t="shared" si="6"/>
        <v>519915</v>
      </c>
      <c r="J11" s="256">
        <f t="shared" si="6"/>
        <v>512985</v>
      </c>
      <c r="K11" s="256">
        <f t="shared" si="6"/>
        <v>796785</v>
      </c>
      <c r="L11" s="256">
        <f t="shared" si="6"/>
        <v>519915</v>
      </c>
      <c r="M11" s="256">
        <f t="shared" si="6"/>
        <v>519585</v>
      </c>
      <c r="N11" s="256">
        <f t="shared" si="6"/>
        <v>489390</v>
      </c>
      <c r="O11" s="256">
        <f t="shared" si="6"/>
        <v>515460</v>
      </c>
      <c r="P11" s="256">
        <f t="shared" si="6"/>
        <v>524040</v>
      </c>
      <c r="Q11" s="257">
        <f t="shared" si="6"/>
        <v>792660</v>
      </c>
    </row>
    <row r="12" spans="2:17" ht="23.25" customHeight="1" thickBot="1">
      <c r="B12" s="69" t="s">
        <v>29</v>
      </c>
      <c r="C12" s="54" t="s">
        <v>63</v>
      </c>
      <c r="D12" s="54"/>
      <c r="E12" s="54"/>
      <c r="F12" s="258">
        <f t="shared" ref="F12:Q12" si="7">SUMPRODUCT(F$25:F$29,$D25:$D29)</f>
        <v>125766.66666666667</v>
      </c>
      <c r="G12" s="258">
        <f t="shared" si="7"/>
        <v>125766.66666666667</v>
      </c>
      <c r="H12" s="258">
        <f t="shared" si="7"/>
        <v>125766.66666666667</v>
      </c>
      <c r="I12" s="258">
        <f t="shared" si="7"/>
        <v>125766.66666666667</v>
      </c>
      <c r="J12" s="258">
        <f t="shared" si="7"/>
        <v>125766.66666666667</v>
      </c>
      <c r="K12" s="258">
        <f t="shared" si="7"/>
        <v>125766.66666666667</v>
      </c>
      <c r="L12" s="258">
        <f t="shared" si="7"/>
        <v>125766.66666666667</v>
      </c>
      <c r="M12" s="258">
        <f t="shared" si="7"/>
        <v>125766.66666666667</v>
      </c>
      <c r="N12" s="258">
        <f t="shared" si="7"/>
        <v>125766.66666666667</v>
      </c>
      <c r="O12" s="258">
        <f t="shared" si="7"/>
        <v>125766.66666666667</v>
      </c>
      <c r="P12" s="258">
        <f t="shared" si="7"/>
        <v>125766.66666666667</v>
      </c>
      <c r="Q12" s="258">
        <f t="shared" si="7"/>
        <v>125766.66666666667</v>
      </c>
    </row>
    <row r="13" spans="2:17">
      <c r="B13" s="55"/>
      <c r="E13" s="56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</row>
    <row r="14" spans="2:17" ht="13.5" thickBot="1">
      <c r="B14" s="120" t="s">
        <v>65</v>
      </c>
      <c r="E14" s="56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</row>
    <row r="15" spans="2:17" ht="13.5" thickBot="1">
      <c r="B15" s="157" t="s">
        <v>125</v>
      </c>
      <c r="C15" s="172" t="s">
        <v>127</v>
      </c>
      <c r="D15" s="178"/>
      <c r="E15" s="178"/>
      <c r="F15" s="176" t="s">
        <v>36</v>
      </c>
      <c r="G15" s="177" t="s">
        <v>36</v>
      </c>
      <c r="H15" s="177" t="s">
        <v>36</v>
      </c>
      <c r="I15" s="177" t="s">
        <v>36</v>
      </c>
      <c r="J15" s="177" t="s">
        <v>36</v>
      </c>
      <c r="K15" s="177" t="s">
        <v>36</v>
      </c>
      <c r="L15" s="177" t="s">
        <v>36</v>
      </c>
      <c r="M15" s="177" t="s">
        <v>36</v>
      </c>
      <c r="N15" s="177" t="s">
        <v>36</v>
      </c>
      <c r="O15" s="177" t="s">
        <v>36</v>
      </c>
      <c r="P15" s="177" t="s">
        <v>36</v>
      </c>
      <c r="Q15" s="188" t="s">
        <v>36</v>
      </c>
    </row>
    <row r="16" spans="2:17" ht="13.5" customHeight="1" thickBot="1">
      <c r="B16" s="181" t="s">
        <v>124</v>
      </c>
      <c r="C16" s="182"/>
      <c r="D16" s="183"/>
      <c r="E16" s="183"/>
      <c r="F16" s="238">
        <f t="shared" ref="F16:Q16" si="8">SUM(F17:F21)</f>
        <v>102.66666666666667</v>
      </c>
      <c r="G16" s="239">
        <f t="shared" si="8"/>
        <v>102.66666666666667</v>
      </c>
      <c r="H16" s="239">
        <f t="shared" si="8"/>
        <v>102.66666666666667</v>
      </c>
      <c r="I16" s="239">
        <f t="shared" si="8"/>
        <v>102.66666666666667</v>
      </c>
      <c r="J16" s="239">
        <f t="shared" si="8"/>
        <v>102.66666666666667</v>
      </c>
      <c r="K16" s="239">
        <f t="shared" si="8"/>
        <v>102.66666666666667</v>
      </c>
      <c r="L16" s="239">
        <f t="shared" si="8"/>
        <v>102.66666666666667</v>
      </c>
      <c r="M16" s="239">
        <f t="shared" si="8"/>
        <v>102.66666666666667</v>
      </c>
      <c r="N16" s="239">
        <f t="shared" si="8"/>
        <v>102.66666666666667</v>
      </c>
      <c r="O16" s="239">
        <f t="shared" si="8"/>
        <v>102.66666666666667</v>
      </c>
      <c r="P16" s="239">
        <f t="shared" si="8"/>
        <v>102.66666666666667</v>
      </c>
      <c r="Q16" s="240">
        <f t="shared" si="8"/>
        <v>102.66666666666667</v>
      </c>
    </row>
    <row r="17" spans="2:17">
      <c r="B17" s="60" t="s">
        <v>134</v>
      </c>
      <c r="C17" s="184" t="s">
        <v>36</v>
      </c>
      <c r="D17" s="179"/>
      <c r="E17" s="23"/>
      <c r="F17" s="218">
        <f>7000/1000*4</f>
        <v>28</v>
      </c>
      <c r="G17" s="218">
        <f t="shared" ref="G17:Q18" si="9">7000/1000*4</f>
        <v>28</v>
      </c>
      <c r="H17" s="218">
        <f t="shared" si="9"/>
        <v>28</v>
      </c>
      <c r="I17" s="218">
        <f t="shared" si="9"/>
        <v>28</v>
      </c>
      <c r="J17" s="218">
        <f t="shared" si="9"/>
        <v>28</v>
      </c>
      <c r="K17" s="218">
        <f t="shared" si="9"/>
        <v>28</v>
      </c>
      <c r="L17" s="218">
        <f t="shared" si="9"/>
        <v>28</v>
      </c>
      <c r="M17" s="218">
        <f t="shared" si="9"/>
        <v>28</v>
      </c>
      <c r="N17" s="218">
        <f t="shared" si="9"/>
        <v>28</v>
      </c>
      <c r="O17" s="218">
        <f t="shared" si="9"/>
        <v>28</v>
      </c>
      <c r="P17" s="218">
        <f t="shared" si="9"/>
        <v>28</v>
      </c>
      <c r="Q17" s="218">
        <f t="shared" si="9"/>
        <v>28</v>
      </c>
    </row>
    <row r="18" spans="2:17" ht="25.5">
      <c r="B18" s="60" t="s">
        <v>135</v>
      </c>
      <c r="C18" s="184" t="s">
        <v>36</v>
      </c>
      <c r="D18" s="180"/>
      <c r="E18" s="23"/>
      <c r="F18" s="218">
        <f>7000/1000*4</f>
        <v>28</v>
      </c>
      <c r="G18" s="218">
        <f t="shared" si="9"/>
        <v>28</v>
      </c>
      <c r="H18" s="218">
        <f t="shared" si="9"/>
        <v>28</v>
      </c>
      <c r="I18" s="218">
        <f t="shared" si="9"/>
        <v>28</v>
      </c>
      <c r="J18" s="218">
        <f t="shared" si="9"/>
        <v>28</v>
      </c>
      <c r="K18" s="218">
        <f t="shared" si="9"/>
        <v>28</v>
      </c>
      <c r="L18" s="218">
        <f t="shared" si="9"/>
        <v>28</v>
      </c>
      <c r="M18" s="218">
        <f t="shared" si="9"/>
        <v>28</v>
      </c>
      <c r="N18" s="218">
        <f t="shared" si="9"/>
        <v>28</v>
      </c>
      <c r="O18" s="218">
        <f t="shared" si="9"/>
        <v>28</v>
      </c>
      <c r="P18" s="218">
        <f t="shared" si="9"/>
        <v>28</v>
      </c>
      <c r="Q18" s="218">
        <f t="shared" si="9"/>
        <v>28</v>
      </c>
    </row>
    <row r="19" spans="2:17" ht="25.5">
      <c r="B19" s="60" t="s">
        <v>136</v>
      </c>
      <c r="C19" s="184" t="s">
        <v>36</v>
      </c>
      <c r="D19" s="180"/>
      <c r="E19" s="23"/>
      <c r="F19" s="218">
        <v>0</v>
      </c>
      <c r="G19" s="218">
        <v>0</v>
      </c>
      <c r="H19" s="218">
        <v>0</v>
      </c>
      <c r="I19" s="218">
        <v>0</v>
      </c>
      <c r="J19" s="218">
        <v>0</v>
      </c>
      <c r="K19" s="218">
        <v>0</v>
      </c>
      <c r="L19" s="218">
        <v>0</v>
      </c>
      <c r="M19" s="218">
        <v>0</v>
      </c>
      <c r="N19" s="218">
        <v>0</v>
      </c>
      <c r="O19" s="218">
        <v>0</v>
      </c>
      <c r="P19" s="218">
        <v>0</v>
      </c>
      <c r="Q19" s="218">
        <v>0</v>
      </c>
    </row>
    <row r="20" spans="2:17" ht="25.5">
      <c r="B20" s="60" t="s">
        <v>137</v>
      </c>
      <c r="C20" s="184" t="s">
        <v>36</v>
      </c>
      <c r="D20" s="180"/>
      <c r="E20" s="23"/>
      <c r="F20" s="218">
        <f>7000/1500*4</f>
        <v>18.666666666666668</v>
      </c>
      <c r="G20" s="218">
        <f t="shared" ref="G20:Q20" si="10">7000/1500*4</f>
        <v>18.666666666666668</v>
      </c>
      <c r="H20" s="218">
        <f t="shared" si="10"/>
        <v>18.666666666666668</v>
      </c>
      <c r="I20" s="218">
        <f t="shared" si="10"/>
        <v>18.666666666666668</v>
      </c>
      <c r="J20" s="218">
        <f t="shared" si="10"/>
        <v>18.666666666666668</v>
      </c>
      <c r="K20" s="218">
        <f t="shared" si="10"/>
        <v>18.666666666666668</v>
      </c>
      <c r="L20" s="218">
        <f t="shared" si="10"/>
        <v>18.666666666666668</v>
      </c>
      <c r="M20" s="218">
        <f t="shared" si="10"/>
        <v>18.666666666666668</v>
      </c>
      <c r="N20" s="218">
        <f t="shared" si="10"/>
        <v>18.666666666666668</v>
      </c>
      <c r="O20" s="218">
        <f t="shared" si="10"/>
        <v>18.666666666666668</v>
      </c>
      <c r="P20" s="218">
        <f t="shared" si="10"/>
        <v>18.666666666666668</v>
      </c>
      <c r="Q20" s="218">
        <f t="shared" si="10"/>
        <v>18.666666666666668</v>
      </c>
    </row>
    <row r="21" spans="2:17" ht="26.25" thickBot="1">
      <c r="B21" s="189" t="s">
        <v>138</v>
      </c>
      <c r="C21" s="190" t="s">
        <v>36</v>
      </c>
      <c r="D21" s="191"/>
      <c r="E21" s="52"/>
      <c r="F21" s="218">
        <f>7000/1500*6</f>
        <v>28</v>
      </c>
      <c r="G21" s="218">
        <f t="shared" ref="G21:Q21" si="11">7000/1500*6</f>
        <v>28</v>
      </c>
      <c r="H21" s="218">
        <f t="shared" si="11"/>
        <v>28</v>
      </c>
      <c r="I21" s="218">
        <f t="shared" si="11"/>
        <v>28</v>
      </c>
      <c r="J21" s="218">
        <f t="shared" si="11"/>
        <v>28</v>
      </c>
      <c r="K21" s="218">
        <f t="shared" si="11"/>
        <v>28</v>
      </c>
      <c r="L21" s="218">
        <f t="shared" si="11"/>
        <v>28</v>
      </c>
      <c r="M21" s="218">
        <f t="shared" si="11"/>
        <v>28</v>
      </c>
      <c r="N21" s="218">
        <f t="shared" si="11"/>
        <v>28</v>
      </c>
      <c r="O21" s="218">
        <f t="shared" si="11"/>
        <v>28</v>
      </c>
      <c r="P21" s="218">
        <f t="shared" si="11"/>
        <v>28</v>
      </c>
      <c r="Q21" s="218">
        <f t="shared" si="11"/>
        <v>28</v>
      </c>
    </row>
    <row r="22" spans="2:17">
      <c r="B22" s="55"/>
      <c r="E22" s="56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</row>
    <row r="23" spans="2:17" ht="13.5" thickBot="1">
      <c r="B23" s="120" t="s">
        <v>128</v>
      </c>
      <c r="D23" s="119">
        <f>ТО!F10</f>
        <v>35</v>
      </c>
      <c r="E23" s="56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</row>
    <row r="24" spans="2:17" ht="26.25" thickBot="1">
      <c r="B24" s="157" t="s">
        <v>125</v>
      </c>
      <c r="C24" s="172" t="s">
        <v>127</v>
      </c>
      <c r="D24" s="187" t="s">
        <v>70</v>
      </c>
      <c r="E24" s="187"/>
      <c r="F24" s="186" t="s">
        <v>126</v>
      </c>
      <c r="G24" s="186" t="s">
        <v>126</v>
      </c>
      <c r="H24" s="186" t="s">
        <v>126</v>
      </c>
      <c r="I24" s="186" t="s">
        <v>126</v>
      </c>
      <c r="J24" s="186" t="s">
        <v>126</v>
      </c>
      <c r="K24" s="186" t="s">
        <v>126</v>
      </c>
      <c r="L24" s="186" t="s">
        <v>126</v>
      </c>
      <c r="M24" s="186" t="s">
        <v>126</v>
      </c>
      <c r="N24" s="186" t="s">
        <v>126</v>
      </c>
      <c r="O24" s="186" t="s">
        <v>126</v>
      </c>
      <c r="P24" s="186" t="s">
        <v>126</v>
      </c>
      <c r="Q24" s="192" t="s">
        <v>126</v>
      </c>
    </row>
    <row r="25" spans="2:17">
      <c r="B25" s="185" t="str">
        <f>B17</f>
        <v>Замена электрических компонентов</v>
      </c>
      <c r="C25" s="184" t="s">
        <v>126</v>
      </c>
      <c r="D25" s="50">
        <f>$D$23</f>
        <v>35</v>
      </c>
      <c r="E25" s="23"/>
      <c r="F25" s="219">
        <f>$D$25*F17</f>
        <v>980</v>
      </c>
      <c r="G25" s="219">
        <f t="shared" ref="G25:Q25" si="12">$D$25*G17</f>
        <v>980</v>
      </c>
      <c r="H25" s="219">
        <f t="shared" si="12"/>
        <v>980</v>
      </c>
      <c r="I25" s="219">
        <f t="shared" si="12"/>
        <v>980</v>
      </c>
      <c r="J25" s="219">
        <f t="shared" si="12"/>
        <v>980</v>
      </c>
      <c r="K25" s="219">
        <f t="shared" si="12"/>
        <v>980</v>
      </c>
      <c r="L25" s="219">
        <f t="shared" si="12"/>
        <v>980</v>
      </c>
      <c r="M25" s="219">
        <f t="shared" si="12"/>
        <v>980</v>
      </c>
      <c r="N25" s="219">
        <f t="shared" si="12"/>
        <v>980</v>
      </c>
      <c r="O25" s="219">
        <f t="shared" si="12"/>
        <v>980</v>
      </c>
      <c r="P25" s="219">
        <f t="shared" si="12"/>
        <v>980</v>
      </c>
      <c r="Q25" s="219">
        <f t="shared" si="12"/>
        <v>980</v>
      </c>
    </row>
    <row r="26" spans="2:17" ht="25.5">
      <c r="B26" s="185" t="str">
        <f t="shared" ref="B26:B29" si="13">B18</f>
        <v>Регулировка или замена изнашиваемых деталей рабочего оборудования</v>
      </c>
      <c r="C26" s="184" t="s">
        <v>126</v>
      </c>
      <c r="D26" s="50">
        <f>$D$23</f>
        <v>35</v>
      </c>
      <c r="E26" s="23"/>
      <c r="F26" s="219">
        <f>$D$26*F18</f>
        <v>980</v>
      </c>
      <c r="G26" s="219">
        <f t="shared" ref="G26:Q26" si="14">$D$26*G18</f>
        <v>980</v>
      </c>
      <c r="H26" s="219">
        <f t="shared" si="14"/>
        <v>980</v>
      </c>
      <c r="I26" s="219">
        <f t="shared" si="14"/>
        <v>980</v>
      </c>
      <c r="J26" s="219">
        <f t="shared" si="14"/>
        <v>980</v>
      </c>
      <c r="K26" s="219">
        <f t="shared" si="14"/>
        <v>980</v>
      </c>
      <c r="L26" s="219">
        <f t="shared" si="14"/>
        <v>980</v>
      </c>
      <c r="M26" s="219">
        <f t="shared" si="14"/>
        <v>980</v>
      </c>
      <c r="N26" s="219">
        <f t="shared" si="14"/>
        <v>980</v>
      </c>
      <c r="O26" s="219">
        <f t="shared" si="14"/>
        <v>980</v>
      </c>
      <c r="P26" s="219">
        <f t="shared" si="14"/>
        <v>980</v>
      </c>
      <c r="Q26" s="219">
        <f t="shared" si="14"/>
        <v>980</v>
      </c>
    </row>
    <row r="27" spans="2:17" ht="25.5">
      <c r="B27" s="185" t="str">
        <f t="shared" si="13"/>
        <v>Ремонт и техническое обслуживание системы двигателя</v>
      </c>
      <c r="C27" s="184" t="s">
        <v>126</v>
      </c>
      <c r="D27" s="50">
        <f>$D$23</f>
        <v>35</v>
      </c>
      <c r="E27" s="23"/>
      <c r="F27" s="219">
        <f>$D$27*F19</f>
        <v>0</v>
      </c>
      <c r="G27" s="219">
        <f t="shared" ref="G27:Q27" si="15">$D$27*G19</f>
        <v>0</v>
      </c>
      <c r="H27" s="219">
        <f t="shared" si="15"/>
        <v>0</v>
      </c>
      <c r="I27" s="219">
        <f t="shared" si="15"/>
        <v>0</v>
      </c>
      <c r="J27" s="219">
        <f t="shared" si="15"/>
        <v>0</v>
      </c>
      <c r="K27" s="219">
        <f t="shared" si="15"/>
        <v>0</v>
      </c>
      <c r="L27" s="219">
        <f t="shared" si="15"/>
        <v>0</v>
      </c>
      <c r="M27" s="219">
        <f t="shared" si="15"/>
        <v>0</v>
      </c>
      <c r="N27" s="219">
        <f t="shared" si="15"/>
        <v>0</v>
      </c>
      <c r="O27" s="219">
        <f t="shared" si="15"/>
        <v>0</v>
      </c>
      <c r="P27" s="219">
        <f t="shared" si="15"/>
        <v>0</v>
      </c>
      <c r="Q27" s="219">
        <f t="shared" si="15"/>
        <v>0</v>
      </c>
    </row>
    <row r="28" spans="2:17" ht="25.5">
      <c r="B28" s="185" t="str">
        <f t="shared" si="13"/>
        <v>Ремонт и техническое обслуживание гидравлической системы</v>
      </c>
      <c r="C28" s="184" t="s">
        <v>126</v>
      </c>
      <c r="D28" s="50">
        <f>$D$23</f>
        <v>35</v>
      </c>
      <c r="E28" s="23"/>
      <c r="F28" s="219">
        <f>$D$28*F20</f>
        <v>653.33333333333337</v>
      </c>
      <c r="G28" s="219">
        <f t="shared" ref="G28:Q28" si="16">$D$28*G20</f>
        <v>653.33333333333337</v>
      </c>
      <c r="H28" s="219">
        <f t="shared" si="16"/>
        <v>653.33333333333337</v>
      </c>
      <c r="I28" s="219">
        <f t="shared" si="16"/>
        <v>653.33333333333337</v>
      </c>
      <c r="J28" s="219">
        <f t="shared" si="16"/>
        <v>653.33333333333337</v>
      </c>
      <c r="K28" s="219">
        <f t="shared" si="16"/>
        <v>653.33333333333337</v>
      </c>
      <c r="L28" s="219">
        <f t="shared" si="16"/>
        <v>653.33333333333337</v>
      </c>
      <c r="M28" s="219">
        <f t="shared" si="16"/>
        <v>653.33333333333337</v>
      </c>
      <c r="N28" s="219">
        <f t="shared" si="16"/>
        <v>653.33333333333337</v>
      </c>
      <c r="O28" s="219">
        <f t="shared" si="16"/>
        <v>653.33333333333337</v>
      </c>
      <c r="P28" s="219">
        <f t="shared" si="16"/>
        <v>653.33333333333337</v>
      </c>
      <c r="Q28" s="219">
        <f t="shared" si="16"/>
        <v>653.33333333333337</v>
      </c>
    </row>
    <row r="29" spans="2:17" ht="20.100000000000001" customHeight="1" thickBot="1">
      <c r="B29" s="193" t="str">
        <f t="shared" si="13"/>
        <v>Ремонт и техническое обслуживание ходовой части</v>
      </c>
      <c r="C29" s="190" t="s">
        <v>126</v>
      </c>
      <c r="D29" s="191">
        <f>$D$23</f>
        <v>35</v>
      </c>
      <c r="E29" s="52"/>
      <c r="F29" s="219">
        <f>$D$29*F21</f>
        <v>980</v>
      </c>
      <c r="G29" s="219">
        <f t="shared" ref="G29:Q29" si="17">$D$29*G21</f>
        <v>980</v>
      </c>
      <c r="H29" s="219">
        <f t="shared" si="17"/>
        <v>980</v>
      </c>
      <c r="I29" s="219">
        <f t="shared" si="17"/>
        <v>980</v>
      </c>
      <c r="J29" s="219">
        <f t="shared" si="17"/>
        <v>980</v>
      </c>
      <c r="K29" s="219">
        <f t="shared" si="17"/>
        <v>980</v>
      </c>
      <c r="L29" s="219">
        <f t="shared" si="17"/>
        <v>980</v>
      </c>
      <c r="M29" s="219">
        <f t="shared" si="17"/>
        <v>980</v>
      </c>
      <c r="N29" s="219">
        <f t="shared" si="17"/>
        <v>980</v>
      </c>
      <c r="O29" s="219">
        <f t="shared" si="17"/>
        <v>980</v>
      </c>
      <c r="P29" s="219">
        <f t="shared" si="17"/>
        <v>980</v>
      </c>
      <c r="Q29" s="219">
        <f t="shared" si="17"/>
        <v>980</v>
      </c>
    </row>
    <row r="30" spans="2:17">
      <c r="B30" s="55"/>
      <c r="E30" s="56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</row>
    <row r="31" spans="2:17" ht="13.5" thickBot="1">
      <c r="B31" s="120" t="s">
        <v>64</v>
      </c>
      <c r="F31" s="118"/>
    </row>
    <row r="32" spans="2:17" ht="39" thickBot="1">
      <c r="B32" s="173" t="s">
        <v>66</v>
      </c>
      <c r="C32" s="174" t="s">
        <v>67</v>
      </c>
      <c r="D32" s="166" t="s">
        <v>68</v>
      </c>
      <c r="E32" s="166" t="s">
        <v>69</v>
      </c>
      <c r="F32" s="175" t="s">
        <v>58</v>
      </c>
      <c r="G32" s="175" t="s">
        <v>58</v>
      </c>
      <c r="H32" s="175" t="s">
        <v>58</v>
      </c>
      <c r="I32" s="175" t="s">
        <v>58</v>
      </c>
      <c r="J32" s="175" t="s">
        <v>58</v>
      </c>
      <c r="K32" s="175" t="s">
        <v>58</v>
      </c>
      <c r="L32" s="175" t="s">
        <v>58</v>
      </c>
      <c r="M32" s="175" t="s">
        <v>58</v>
      </c>
      <c r="N32" s="175" t="s">
        <v>58</v>
      </c>
      <c r="O32" s="175" t="s">
        <v>58</v>
      </c>
      <c r="P32" s="175" t="s">
        <v>58</v>
      </c>
      <c r="Q32" s="175" t="s">
        <v>58</v>
      </c>
    </row>
    <row r="33" spans="2:17" ht="28.5" customHeight="1" thickBot="1">
      <c r="B33" s="57" t="s">
        <v>71</v>
      </c>
      <c r="C33" s="241"/>
      <c r="D33" s="242"/>
      <c r="E33" s="242"/>
      <c r="F33" s="239">
        <f t="shared" ref="F33:Q33" si="18">SUM(F34:F38)</f>
        <v>2500</v>
      </c>
      <c r="G33" s="239">
        <f t="shared" si="18"/>
        <v>2500</v>
      </c>
      <c r="H33" s="239">
        <f t="shared" si="18"/>
        <v>2500</v>
      </c>
      <c r="I33" s="239">
        <f t="shared" si="18"/>
        <v>2500</v>
      </c>
      <c r="J33" s="239">
        <f t="shared" si="18"/>
        <v>2500</v>
      </c>
      <c r="K33" s="239">
        <f t="shared" si="18"/>
        <v>2500</v>
      </c>
      <c r="L33" s="239">
        <f t="shared" si="18"/>
        <v>2500</v>
      </c>
      <c r="M33" s="239">
        <f t="shared" si="18"/>
        <v>2500</v>
      </c>
      <c r="N33" s="239">
        <f t="shared" si="18"/>
        <v>2500</v>
      </c>
      <c r="O33" s="239">
        <f t="shared" si="18"/>
        <v>2500</v>
      </c>
      <c r="P33" s="239">
        <f t="shared" si="18"/>
        <v>2500</v>
      </c>
      <c r="Q33" s="239">
        <f t="shared" si="18"/>
        <v>2500</v>
      </c>
    </row>
    <row r="34" spans="2:17">
      <c r="B34" s="122" t="s">
        <v>72</v>
      </c>
      <c r="C34" s="220">
        <v>500</v>
      </c>
      <c r="D34" s="221">
        <v>2000</v>
      </c>
      <c r="E34" s="222">
        <v>2</v>
      </c>
      <c r="F34" s="243">
        <f>$E34*$C34</f>
        <v>1000</v>
      </c>
      <c r="G34" s="243">
        <f t="shared" ref="F34:Q38" si="19">$E34*$C34</f>
        <v>1000</v>
      </c>
      <c r="H34" s="243">
        <f t="shared" si="19"/>
        <v>1000</v>
      </c>
      <c r="I34" s="243">
        <f t="shared" si="19"/>
        <v>1000</v>
      </c>
      <c r="J34" s="243">
        <f t="shared" si="19"/>
        <v>1000</v>
      </c>
      <c r="K34" s="243">
        <f t="shared" si="19"/>
        <v>1000</v>
      </c>
      <c r="L34" s="243">
        <f t="shared" si="19"/>
        <v>1000</v>
      </c>
      <c r="M34" s="243">
        <f t="shared" si="19"/>
        <v>1000</v>
      </c>
      <c r="N34" s="243">
        <f t="shared" si="19"/>
        <v>1000</v>
      </c>
      <c r="O34" s="243">
        <f t="shared" si="19"/>
        <v>1000</v>
      </c>
      <c r="P34" s="243">
        <f t="shared" si="19"/>
        <v>1000</v>
      </c>
      <c r="Q34" s="243">
        <f t="shared" si="19"/>
        <v>1000</v>
      </c>
    </row>
    <row r="35" spans="2:17" ht="25.5">
      <c r="B35" s="124" t="s">
        <v>73</v>
      </c>
      <c r="C35" s="223">
        <v>500</v>
      </c>
      <c r="D35" s="224">
        <v>1000</v>
      </c>
      <c r="E35" s="194">
        <v>1</v>
      </c>
      <c r="F35" s="244">
        <f t="shared" si="19"/>
        <v>500</v>
      </c>
      <c r="G35" s="244">
        <f t="shared" si="19"/>
        <v>500</v>
      </c>
      <c r="H35" s="244">
        <f t="shared" si="19"/>
        <v>500</v>
      </c>
      <c r="I35" s="244">
        <f t="shared" si="19"/>
        <v>500</v>
      </c>
      <c r="J35" s="244">
        <f t="shared" si="19"/>
        <v>500</v>
      </c>
      <c r="K35" s="244">
        <f t="shared" si="19"/>
        <v>500</v>
      </c>
      <c r="L35" s="244">
        <f t="shared" si="19"/>
        <v>500</v>
      </c>
      <c r="M35" s="244">
        <f t="shared" si="19"/>
        <v>500</v>
      </c>
      <c r="N35" s="244">
        <f t="shared" si="19"/>
        <v>500</v>
      </c>
      <c r="O35" s="244">
        <f t="shared" si="19"/>
        <v>500</v>
      </c>
      <c r="P35" s="244">
        <f t="shared" si="19"/>
        <v>500</v>
      </c>
      <c r="Q35" s="244">
        <f t="shared" si="19"/>
        <v>500</v>
      </c>
    </row>
    <row r="36" spans="2:17">
      <c r="B36" s="232" t="s">
        <v>139</v>
      </c>
      <c r="C36" s="223">
        <v>500</v>
      </c>
      <c r="D36" s="224">
        <v>2000</v>
      </c>
      <c r="E36" s="194">
        <v>1</v>
      </c>
      <c r="F36" s="244">
        <f t="shared" si="19"/>
        <v>500</v>
      </c>
      <c r="G36" s="244">
        <f t="shared" si="19"/>
        <v>500</v>
      </c>
      <c r="H36" s="244">
        <f t="shared" si="19"/>
        <v>500</v>
      </c>
      <c r="I36" s="244">
        <f t="shared" si="19"/>
        <v>500</v>
      </c>
      <c r="J36" s="244">
        <f t="shared" si="19"/>
        <v>500</v>
      </c>
      <c r="K36" s="244">
        <f t="shared" si="19"/>
        <v>500</v>
      </c>
      <c r="L36" s="244">
        <f t="shared" si="19"/>
        <v>500</v>
      </c>
      <c r="M36" s="244">
        <f t="shared" si="19"/>
        <v>500</v>
      </c>
      <c r="N36" s="244">
        <f t="shared" si="19"/>
        <v>500</v>
      </c>
      <c r="O36" s="244">
        <f t="shared" si="19"/>
        <v>500</v>
      </c>
      <c r="P36" s="244">
        <f t="shared" si="19"/>
        <v>500</v>
      </c>
      <c r="Q36" s="244">
        <f t="shared" si="19"/>
        <v>500</v>
      </c>
    </row>
    <row r="37" spans="2:17">
      <c r="B37" s="232" t="s">
        <v>140</v>
      </c>
      <c r="C37" s="223">
        <v>500</v>
      </c>
      <c r="D37" s="224">
        <v>2000</v>
      </c>
      <c r="E37" s="194">
        <v>0</v>
      </c>
      <c r="F37" s="244">
        <f t="shared" si="19"/>
        <v>0</v>
      </c>
      <c r="G37" s="244">
        <f t="shared" si="19"/>
        <v>0</v>
      </c>
      <c r="H37" s="244">
        <f t="shared" si="19"/>
        <v>0</v>
      </c>
      <c r="I37" s="244">
        <f t="shared" si="19"/>
        <v>0</v>
      </c>
      <c r="J37" s="244">
        <f t="shared" si="19"/>
        <v>0</v>
      </c>
      <c r="K37" s="244">
        <f t="shared" si="19"/>
        <v>0</v>
      </c>
      <c r="L37" s="244">
        <f t="shared" si="19"/>
        <v>0</v>
      </c>
      <c r="M37" s="244">
        <f t="shared" si="19"/>
        <v>0</v>
      </c>
      <c r="N37" s="244">
        <f t="shared" si="19"/>
        <v>0</v>
      </c>
      <c r="O37" s="244">
        <f t="shared" si="19"/>
        <v>0</v>
      </c>
      <c r="P37" s="244">
        <f t="shared" si="19"/>
        <v>0</v>
      </c>
      <c r="Q37" s="244">
        <f t="shared" si="19"/>
        <v>0</v>
      </c>
    </row>
    <row r="38" spans="2:17" ht="13.5" thickBot="1">
      <c r="B38" s="233" t="s">
        <v>141</v>
      </c>
      <c r="C38" s="225">
        <v>500</v>
      </c>
      <c r="D38" s="226">
        <v>2000</v>
      </c>
      <c r="E38" s="227">
        <v>1</v>
      </c>
      <c r="F38" s="245">
        <f t="shared" si="19"/>
        <v>500</v>
      </c>
      <c r="G38" s="245">
        <f t="shared" si="19"/>
        <v>500</v>
      </c>
      <c r="H38" s="245">
        <f t="shared" si="19"/>
        <v>500</v>
      </c>
      <c r="I38" s="245">
        <f t="shared" si="19"/>
        <v>500</v>
      </c>
      <c r="J38" s="245">
        <f t="shared" si="19"/>
        <v>500</v>
      </c>
      <c r="K38" s="245">
        <f t="shared" si="19"/>
        <v>500</v>
      </c>
      <c r="L38" s="245">
        <f t="shared" si="19"/>
        <v>500</v>
      </c>
      <c r="M38" s="245">
        <f t="shared" si="19"/>
        <v>500</v>
      </c>
      <c r="N38" s="245">
        <f t="shared" si="19"/>
        <v>500</v>
      </c>
      <c r="O38" s="245">
        <f t="shared" si="19"/>
        <v>500</v>
      </c>
      <c r="P38" s="245">
        <f t="shared" si="19"/>
        <v>500</v>
      </c>
      <c r="Q38" s="245">
        <f t="shared" si="19"/>
        <v>500</v>
      </c>
    </row>
    <row r="39" spans="2:17" ht="36" customHeight="1" thickBot="1">
      <c r="B39" s="57" t="s">
        <v>28</v>
      </c>
      <c r="C39" s="58"/>
      <c r="D39" s="59"/>
      <c r="E39" s="59"/>
      <c r="F39" s="121">
        <f>SUM(F40:F77)</f>
        <v>71845</v>
      </c>
      <c r="G39" s="121">
        <f t="shared" ref="G39:Q39" si="20">SUM(G40:G77)</f>
        <v>704385</v>
      </c>
      <c r="H39" s="121">
        <f t="shared" si="20"/>
        <v>607860</v>
      </c>
      <c r="I39" s="121">
        <f t="shared" si="20"/>
        <v>519915</v>
      </c>
      <c r="J39" s="121">
        <f t="shared" si="20"/>
        <v>512985</v>
      </c>
      <c r="K39" s="121">
        <f t="shared" si="20"/>
        <v>796785</v>
      </c>
      <c r="L39" s="121">
        <f t="shared" si="20"/>
        <v>519915</v>
      </c>
      <c r="M39" s="121">
        <f t="shared" si="20"/>
        <v>519585</v>
      </c>
      <c r="N39" s="121">
        <f t="shared" si="20"/>
        <v>489390</v>
      </c>
      <c r="O39" s="121">
        <f t="shared" si="20"/>
        <v>515460</v>
      </c>
      <c r="P39" s="121">
        <f t="shared" si="20"/>
        <v>524040</v>
      </c>
      <c r="Q39" s="121">
        <f t="shared" si="20"/>
        <v>792660</v>
      </c>
    </row>
    <row r="40" spans="2:17">
      <c r="B40" s="126" t="s">
        <v>97</v>
      </c>
      <c r="C40" s="127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</row>
    <row r="41" spans="2:17">
      <c r="B41" s="129" t="s">
        <v>98</v>
      </c>
      <c r="C41" s="223">
        <v>12375</v>
      </c>
      <c r="D41" s="228">
        <v>12000</v>
      </c>
      <c r="E41" s="208">
        <v>1</v>
      </c>
      <c r="F41" s="219">
        <v>0</v>
      </c>
      <c r="G41" s="219">
        <f>C41*E41</f>
        <v>12375</v>
      </c>
      <c r="H41" s="219">
        <v>0</v>
      </c>
      <c r="I41" s="219">
        <f>C41*E41</f>
        <v>12375</v>
      </c>
      <c r="J41" s="219">
        <v>0</v>
      </c>
      <c r="K41" s="219">
        <f>C41*E41</f>
        <v>12375</v>
      </c>
      <c r="L41" s="219">
        <f>C41*E41</f>
        <v>12375</v>
      </c>
      <c r="M41" s="219">
        <v>0</v>
      </c>
      <c r="N41" s="219">
        <f>C41*E41</f>
        <v>12375</v>
      </c>
      <c r="O41" s="219">
        <v>0</v>
      </c>
      <c r="P41" s="219">
        <f>C41*E41</f>
        <v>12375</v>
      </c>
      <c r="Q41" s="219">
        <f>C41*E41</f>
        <v>12375</v>
      </c>
    </row>
    <row r="42" spans="2:17">
      <c r="B42" s="129" t="s">
        <v>99</v>
      </c>
      <c r="C42" s="223">
        <v>3795</v>
      </c>
      <c r="D42" s="228">
        <v>10000</v>
      </c>
      <c r="E42" s="208">
        <v>1</v>
      </c>
      <c r="F42" s="219">
        <v>0</v>
      </c>
      <c r="G42" s="219">
        <f t="shared" ref="G42:G46" si="21">C42*E42</f>
        <v>3795</v>
      </c>
      <c r="H42" s="219">
        <f>C42*E42</f>
        <v>3795</v>
      </c>
      <c r="I42" s="219">
        <v>0</v>
      </c>
      <c r="J42" s="219">
        <f>C42*E42</f>
        <v>3795</v>
      </c>
      <c r="K42" s="219">
        <f t="shared" ref="K42:K46" si="22">C42*E42</f>
        <v>3795</v>
      </c>
      <c r="L42" s="219">
        <v>0</v>
      </c>
      <c r="M42" s="219">
        <f t="shared" ref="M42:M46" si="23">C42*E42</f>
        <v>3795</v>
      </c>
      <c r="N42" s="219">
        <f t="shared" ref="N42:N46" si="24">C42*E42</f>
        <v>3795</v>
      </c>
      <c r="O42" s="219">
        <f t="shared" ref="O42:O46" si="25">C42*E42</f>
        <v>3795</v>
      </c>
      <c r="P42" s="219">
        <v>0</v>
      </c>
      <c r="Q42" s="219">
        <f t="shared" ref="Q42:Q46" si="26">C42*E42</f>
        <v>3795</v>
      </c>
    </row>
    <row r="43" spans="2:17">
      <c r="B43" s="129" t="s">
        <v>100</v>
      </c>
      <c r="C43" s="223">
        <v>2475</v>
      </c>
      <c r="D43" s="228">
        <v>8000</v>
      </c>
      <c r="E43" s="208">
        <v>1</v>
      </c>
      <c r="F43" s="219">
        <v>0</v>
      </c>
      <c r="G43" s="219">
        <f t="shared" si="21"/>
        <v>2475</v>
      </c>
      <c r="H43" s="219">
        <f>C43*E43</f>
        <v>2475</v>
      </c>
      <c r="I43" s="219">
        <f t="shared" ref="I43:I44" si="27">C43*E43</f>
        <v>2475</v>
      </c>
      <c r="J43" s="219">
        <f t="shared" ref="J43:J46" si="28">C43*E43</f>
        <v>2475</v>
      </c>
      <c r="K43" s="219">
        <f t="shared" si="22"/>
        <v>2475</v>
      </c>
      <c r="L43" s="219">
        <f t="shared" ref="L43:L44" si="29">C43*E43</f>
        <v>2475</v>
      </c>
      <c r="M43" s="219">
        <f t="shared" si="23"/>
        <v>2475</v>
      </c>
      <c r="N43" s="219">
        <v>0</v>
      </c>
      <c r="O43" s="219">
        <f t="shared" si="25"/>
        <v>2475</v>
      </c>
      <c r="P43" s="219">
        <f t="shared" ref="P43:P44" si="30">C43*E43</f>
        <v>2475</v>
      </c>
      <c r="Q43" s="219">
        <f t="shared" si="26"/>
        <v>2475</v>
      </c>
    </row>
    <row r="44" spans="2:17">
      <c r="B44" s="129" t="s">
        <v>101</v>
      </c>
      <c r="C44" s="223">
        <v>4125</v>
      </c>
      <c r="D44" s="228">
        <v>8000</v>
      </c>
      <c r="E44" s="208">
        <v>1</v>
      </c>
      <c r="F44" s="219">
        <v>0</v>
      </c>
      <c r="G44" s="219">
        <f t="shared" si="21"/>
        <v>4125</v>
      </c>
      <c r="H44" s="219">
        <f>C44*E44</f>
        <v>4125</v>
      </c>
      <c r="I44" s="219">
        <f t="shared" si="27"/>
        <v>4125</v>
      </c>
      <c r="J44" s="219">
        <f t="shared" si="28"/>
        <v>4125</v>
      </c>
      <c r="K44" s="219">
        <f t="shared" si="22"/>
        <v>4125</v>
      </c>
      <c r="L44" s="219">
        <f t="shared" si="29"/>
        <v>4125</v>
      </c>
      <c r="M44" s="219">
        <f t="shared" si="23"/>
        <v>4125</v>
      </c>
      <c r="N44" s="219">
        <v>0</v>
      </c>
      <c r="O44" s="219">
        <f t="shared" si="25"/>
        <v>4125</v>
      </c>
      <c r="P44" s="219">
        <f t="shared" si="30"/>
        <v>4125</v>
      </c>
      <c r="Q44" s="219">
        <f t="shared" si="26"/>
        <v>4125</v>
      </c>
    </row>
    <row r="45" spans="2:17">
      <c r="B45" s="234" t="s">
        <v>142</v>
      </c>
      <c r="C45" s="223">
        <v>6600</v>
      </c>
      <c r="D45" s="228">
        <v>10000</v>
      </c>
      <c r="E45" s="208">
        <v>1</v>
      </c>
      <c r="F45" s="219">
        <v>0</v>
      </c>
      <c r="G45" s="219">
        <f t="shared" si="21"/>
        <v>6600</v>
      </c>
      <c r="H45" s="219">
        <f>C45*E45</f>
        <v>6600</v>
      </c>
      <c r="I45" s="219">
        <v>0</v>
      </c>
      <c r="J45" s="219">
        <f t="shared" si="28"/>
        <v>6600</v>
      </c>
      <c r="K45" s="219">
        <f t="shared" si="22"/>
        <v>6600</v>
      </c>
      <c r="L45" s="219">
        <v>0</v>
      </c>
      <c r="M45" s="219">
        <f t="shared" si="23"/>
        <v>6600</v>
      </c>
      <c r="N45" s="219">
        <f t="shared" si="24"/>
        <v>6600</v>
      </c>
      <c r="O45" s="219">
        <f t="shared" si="25"/>
        <v>6600</v>
      </c>
      <c r="P45" s="219">
        <v>0</v>
      </c>
      <c r="Q45" s="219">
        <f t="shared" si="26"/>
        <v>6600</v>
      </c>
    </row>
    <row r="46" spans="2:17">
      <c r="B46" s="234" t="s">
        <v>143</v>
      </c>
      <c r="C46" s="223">
        <v>6600</v>
      </c>
      <c r="D46" s="228">
        <v>10000</v>
      </c>
      <c r="E46" s="208">
        <v>1</v>
      </c>
      <c r="F46" s="219">
        <v>0</v>
      </c>
      <c r="G46" s="219">
        <f t="shared" si="21"/>
        <v>6600</v>
      </c>
      <c r="H46" s="219">
        <f>C46*E46</f>
        <v>6600</v>
      </c>
      <c r="I46" s="219">
        <v>0</v>
      </c>
      <c r="J46" s="219">
        <f t="shared" si="28"/>
        <v>6600</v>
      </c>
      <c r="K46" s="219">
        <f t="shared" si="22"/>
        <v>6600</v>
      </c>
      <c r="L46" s="219">
        <v>0</v>
      </c>
      <c r="M46" s="219">
        <f t="shared" si="23"/>
        <v>6600</v>
      </c>
      <c r="N46" s="219">
        <f t="shared" si="24"/>
        <v>6600</v>
      </c>
      <c r="O46" s="219">
        <f t="shared" si="25"/>
        <v>6600</v>
      </c>
      <c r="P46" s="219">
        <v>0</v>
      </c>
      <c r="Q46" s="219">
        <f t="shared" si="26"/>
        <v>6600</v>
      </c>
    </row>
    <row r="47" spans="2:17">
      <c r="B47" s="125" t="s">
        <v>102</v>
      </c>
      <c r="C47" s="229"/>
      <c r="D47" s="230"/>
      <c r="E47" s="231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</row>
    <row r="48" spans="2:17">
      <c r="B48" s="129" t="s">
        <v>103</v>
      </c>
      <c r="C48" s="223">
        <v>12375</v>
      </c>
      <c r="D48" s="228">
        <v>12000</v>
      </c>
      <c r="E48" s="208">
        <v>2</v>
      </c>
      <c r="F48" s="219">
        <v>0</v>
      </c>
      <c r="G48" s="219">
        <f>C48*E48</f>
        <v>24750</v>
      </c>
      <c r="H48" s="219">
        <v>0</v>
      </c>
      <c r="I48" s="219">
        <f>C48*E48</f>
        <v>24750</v>
      </c>
      <c r="J48" s="219">
        <v>0</v>
      </c>
      <c r="K48" s="219">
        <f>C48*E48</f>
        <v>24750</v>
      </c>
      <c r="L48" s="219">
        <f>C48*E48</f>
        <v>24750</v>
      </c>
      <c r="M48" s="219">
        <v>0</v>
      </c>
      <c r="N48" s="219">
        <f>C48*E48</f>
        <v>24750</v>
      </c>
      <c r="O48" s="219">
        <v>0</v>
      </c>
      <c r="P48" s="219">
        <f>C48*E48</f>
        <v>24750</v>
      </c>
      <c r="Q48" s="219">
        <f>C48*E48</f>
        <v>24750</v>
      </c>
    </row>
    <row r="49" spans="2:17">
      <c r="B49" s="129" t="s">
        <v>104</v>
      </c>
      <c r="C49" s="223">
        <v>37950</v>
      </c>
      <c r="D49" s="228">
        <v>10000</v>
      </c>
      <c r="E49" s="208">
        <v>2</v>
      </c>
      <c r="F49" s="219">
        <v>0</v>
      </c>
      <c r="G49" s="219">
        <f t="shared" ref="G49:G53" si="31">C49*E49</f>
        <v>75900</v>
      </c>
      <c r="H49" s="219">
        <f>C49*E49</f>
        <v>75900</v>
      </c>
      <c r="I49" s="219">
        <v>0</v>
      </c>
      <c r="J49" s="219">
        <f>C49*E49</f>
        <v>75900</v>
      </c>
      <c r="K49" s="219">
        <f t="shared" ref="K49:K53" si="32">C49*E49</f>
        <v>75900</v>
      </c>
      <c r="L49" s="219">
        <v>0</v>
      </c>
      <c r="M49" s="219">
        <f t="shared" ref="M49:M53" si="33">C49*E49</f>
        <v>75900</v>
      </c>
      <c r="N49" s="219">
        <f t="shared" ref="N49" si="34">C49*E49</f>
        <v>75900</v>
      </c>
      <c r="O49" s="219">
        <f t="shared" ref="O49:O53" si="35">C49*E49</f>
        <v>75900</v>
      </c>
      <c r="P49" s="219">
        <v>0</v>
      </c>
      <c r="Q49" s="219">
        <f t="shared" ref="Q49:Q53" si="36">C49*E49</f>
        <v>75900</v>
      </c>
    </row>
    <row r="50" spans="2:17">
      <c r="B50" s="129" t="s">
        <v>105</v>
      </c>
      <c r="C50" s="223">
        <v>2475</v>
      </c>
      <c r="D50" s="228">
        <v>8000</v>
      </c>
      <c r="E50" s="208">
        <v>2</v>
      </c>
      <c r="F50" s="219">
        <v>0</v>
      </c>
      <c r="G50" s="219">
        <f t="shared" si="31"/>
        <v>4950</v>
      </c>
      <c r="H50" s="219">
        <f>C50*E50</f>
        <v>4950</v>
      </c>
      <c r="I50" s="219">
        <f t="shared" ref="I50:I53" si="37">C50*E50</f>
        <v>4950</v>
      </c>
      <c r="J50" s="219">
        <f t="shared" ref="J50:J53" si="38">C50*E50</f>
        <v>4950</v>
      </c>
      <c r="K50" s="219">
        <f t="shared" si="32"/>
        <v>4950</v>
      </c>
      <c r="L50" s="219">
        <f t="shared" ref="L50:L53" si="39">C50*E50</f>
        <v>4950</v>
      </c>
      <c r="M50" s="219">
        <f t="shared" si="33"/>
        <v>4950</v>
      </c>
      <c r="N50" s="219">
        <v>0</v>
      </c>
      <c r="O50" s="219">
        <f t="shared" si="35"/>
        <v>4950</v>
      </c>
      <c r="P50" s="219">
        <f t="shared" ref="P50:P53" si="40">C50*E50</f>
        <v>4950</v>
      </c>
      <c r="Q50" s="219">
        <f t="shared" si="36"/>
        <v>4950</v>
      </c>
    </row>
    <row r="51" spans="2:17">
      <c r="B51" s="129" t="s">
        <v>106</v>
      </c>
      <c r="C51" s="223">
        <v>41250</v>
      </c>
      <c r="D51" s="228">
        <v>8000</v>
      </c>
      <c r="E51" s="208">
        <v>2</v>
      </c>
      <c r="F51" s="219">
        <v>0</v>
      </c>
      <c r="G51" s="219">
        <f t="shared" si="31"/>
        <v>82500</v>
      </c>
      <c r="H51" s="219">
        <f t="shared" ref="H51:H53" si="41">C51*E51</f>
        <v>82500</v>
      </c>
      <c r="I51" s="219">
        <f t="shared" si="37"/>
        <v>82500</v>
      </c>
      <c r="J51" s="219">
        <f t="shared" si="38"/>
        <v>82500</v>
      </c>
      <c r="K51" s="219">
        <f t="shared" si="32"/>
        <v>82500</v>
      </c>
      <c r="L51" s="219">
        <f t="shared" si="39"/>
        <v>82500</v>
      </c>
      <c r="M51" s="219">
        <f t="shared" si="33"/>
        <v>82500</v>
      </c>
      <c r="N51" s="219">
        <v>0</v>
      </c>
      <c r="O51" s="219">
        <f t="shared" si="35"/>
        <v>82500</v>
      </c>
      <c r="P51" s="219">
        <f t="shared" si="40"/>
        <v>82500</v>
      </c>
      <c r="Q51" s="219">
        <f t="shared" si="36"/>
        <v>82500</v>
      </c>
    </row>
    <row r="52" spans="2:17">
      <c r="B52" s="129" t="s">
        <v>107</v>
      </c>
      <c r="C52" s="223">
        <v>6600</v>
      </c>
      <c r="D52" s="228">
        <v>8000</v>
      </c>
      <c r="E52" s="208">
        <v>2</v>
      </c>
      <c r="F52" s="219">
        <v>0</v>
      </c>
      <c r="G52" s="219">
        <f t="shared" si="31"/>
        <v>13200</v>
      </c>
      <c r="H52" s="219">
        <f t="shared" si="41"/>
        <v>13200</v>
      </c>
      <c r="I52" s="219">
        <f t="shared" si="37"/>
        <v>13200</v>
      </c>
      <c r="J52" s="219">
        <f t="shared" si="38"/>
        <v>13200</v>
      </c>
      <c r="K52" s="219">
        <f t="shared" si="32"/>
        <v>13200</v>
      </c>
      <c r="L52" s="219">
        <f t="shared" si="39"/>
        <v>13200</v>
      </c>
      <c r="M52" s="219">
        <f t="shared" si="33"/>
        <v>13200</v>
      </c>
      <c r="N52" s="219">
        <v>0</v>
      </c>
      <c r="O52" s="219">
        <f t="shared" si="35"/>
        <v>13200</v>
      </c>
      <c r="P52" s="219">
        <f t="shared" si="40"/>
        <v>13200</v>
      </c>
      <c r="Q52" s="219">
        <f t="shared" si="36"/>
        <v>13200</v>
      </c>
    </row>
    <row r="53" spans="2:17">
      <c r="B53" s="129" t="s">
        <v>108</v>
      </c>
      <c r="C53" s="223">
        <v>6600</v>
      </c>
      <c r="D53" s="228">
        <v>8000</v>
      </c>
      <c r="E53" s="208">
        <v>2</v>
      </c>
      <c r="F53" s="219">
        <v>0</v>
      </c>
      <c r="G53" s="219">
        <f t="shared" si="31"/>
        <v>13200</v>
      </c>
      <c r="H53" s="219">
        <f t="shared" si="41"/>
        <v>13200</v>
      </c>
      <c r="I53" s="219">
        <f t="shared" si="37"/>
        <v>13200</v>
      </c>
      <c r="J53" s="219">
        <f t="shared" si="38"/>
        <v>13200</v>
      </c>
      <c r="K53" s="219">
        <f t="shared" si="32"/>
        <v>13200</v>
      </c>
      <c r="L53" s="219">
        <f t="shared" si="39"/>
        <v>13200</v>
      </c>
      <c r="M53" s="219">
        <f t="shared" si="33"/>
        <v>13200</v>
      </c>
      <c r="N53" s="219">
        <v>0</v>
      </c>
      <c r="O53" s="219">
        <f t="shared" si="35"/>
        <v>13200</v>
      </c>
      <c r="P53" s="219">
        <f t="shared" si="40"/>
        <v>13200</v>
      </c>
      <c r="Q53" s="219">
        <f t="shared" si="36"/>
        <v>13200</v>
      </c>
    </row>
    <row r="54" spans="2:17">
      <c r="B54" s="125" t="s">
        <v>109</v>
      </c>
      <c r="C54" s="229"/>
      <c r="D54" s="230"/>
      <c r="E54" s="231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</row>
    <row r="55" spans="2:17">
      <c r="B55" s="129" t="s">
        <v>110</v>
      </c>
      <c r="C55" s="223">
        <v>12375</v>
      </c>
      <c r="D55" s="228">
        <v>12000</v>
      </c>
      <c r="E55" s="208">
        <v>2</v>
      </c>
      <c r="F55" s="219">
        <v>0</v>
      </c>
      <c r="G55" s="219">
        <f>C55*E55</f>
        <v>24750</v>
      </c>
      <c r="H55" s="219">
        <v>0</v>
      </c>
      <c r="I55" s="219">
        <f>C55*E55</f>
        <v>24750</v>
      </c>
      <c r="J55" s="219">
        <v>0</v>
      </c>
      <c r="K55" s="219">
        <f>C55*E55</f>
        <v>24750</v>
      </c>
      <c r="L55" s="219">
        <f>C55*E55</f>
        <v>24750</v>
      </c>
      <c r="M55" s="219">
        <v>0</v>
      </c>
      <c r="N55" s="219">
        <f>C55*E55</f>
        <v>24750</v>
      </c>
      <c r="O55" s="219">
        <v>0</v>
      </c>
      <c r="P55" s="219">
        <f>C55*E55</f>
        <v>24750</v>
      </c>
      <c r="Q55" s="219">
        <f>C55*E55</f>
        <v>24750</v>
      </c>
    </row>
    <row r="56" spans="2:17">
      <c r="B56" s="234" t="s">
        <v>144</v>
      </c>
      <c r="C56" s="223">
        <v>37950</v>
      </c>
      <c r="D56" s="228">
        <v>12000</v>
      </c>
      <c r="E56" s="208">
        <v>2</v>
      </c>
      <c r="F56" s="219">
        <v>0</v>
      </c>
      <c r="G56" s="219">
        <f>C56*E56</f>
        <v>75900</v>
      </c>
      <c r="H56" s="219">
        <v>0</v>
      </c>
      <c r="I56" s="219">
        <f>C56*E56</f>
        <v>75900</v>
      </c>
      <c r="J56" s="219">
        <v>0</v>
      </c>
      <c r="K56" s="219">
        <f>C56*E56</f>
        <v>75900</v>
      </c>
      <c r="L56" s="219">
        <f>C56*E56</f>
        <v>75900</v>
      </c>
      <c r="M56" s="219">
        <v>0</v>
      </c>
      <c r="N56" s="219">
        <f>C56*E56</f>
        <v>75900</v>
      </c>
      <c r="O56" s="219">
        <v>0</v>
      </c>
      <c r="P56" s="219">
        <f>C56*E56</f>
        <v>75900</v>
      </c>
      <c r="Q56" s="219">
        <f>C56*E56</f>
        <v>75900</v>
      </c>
    </row>
    <row r="57" spans="2:17">
      <c r="B57" s="234" t="s">
        <v>145</v>
      </c>
      <c r="C57" s="223">
        <v>2475</v>
      </c>
      <c r="D57" s="228">
        <v>10000</v>
      </c>
      <c r="E57" s="208">
        <v>2</v>
      </c>
      <c r="F57" s="219">
        <v>0</v>
      </c>
      <c r="G57" s="219">
        <f t="shared" ref="G57:G59" si="42">C57*E57</f>
        <v>4950</v>
      </c>
      <c r="H57" s="219">
        <f>C57*E57</f>
        <v>4950</v>
      </c>
      <c r="I57" s="219">
        <v>0</v>
      </c>
      <c r="J57" s="219">
        <f t="shared" ref="J57:J58" si="43">C57*E57</f>
        <v>4950</v>
      </c>
      <c r="K57" s="219">
        <f t="shared" ref="K57:K59" si="44">C57*E57</f>
        <v>4950</v>
      </c>
      <c r="L57" s="219">
        <v>0</v>
      </c>
      <c r="M57" s="219">
        <f t="shared" ref="M57:M58" si="45">C57*E57</f>
        <v>4950</v>
      </c>
      <c r="N57" s="219">
        <f t="shared" ref="N57:N59" si="46">C57*E57</f>
        <v>4950</v>
      </c>
      <c r="O57" s="219">
        <f t="shared" ref="O57:O58" si="47">C57*E57</f>
        <v>4950</v>
      </c>
      <c r="P57" s="219">
        <v>0</v>
      </c>
      <c r="Q57" s="219">
        <f t="shared" ref="Q57:Q59" si="48">C57*E57</f>
        <v>4950</v>
      </c>
    </row>
    <row r="58" spans="2:17">
      <c r="B58" s="234" t="s">
        <v>146</v>
      </c>
      <c r="C58" s="223">
        <v>41250</v>
      </c>
      <c r="D58" s="228">
        <v>10000</v>
      </c>
      <c r="E58" s="208">
        <v>2</v>
      </c>
      <c r="F58" s="219">
        <v>0</v>
      </c>
      <c r="G58" s="219">
        <f t="shared" si="42"/>
        <v>82500</v>
      </c>
      <c r="H58" s="219">
        <f>C58*E58</f>
        <v>82500</v>
      </c>
      <c r="I58" s="219">
        <v>0</v>
      </c>
      <c r="J58" s="219">
        <f t="shared" si="43"/>
        <v>82500</v>
      </c>
      <c r="K58" s="219">
        <f t="shared" si="44"/>
        <v>82500</v>
      </c>
      <c r="L58" s="219">
        <v>0</v>
      </c>
      <c r="M58" s="219">
        <f t="shared" si="45"/>
        <v>82500</v>
      </c>
      <c r="N58" s="219">
        <f t="shared" si="46"/>
        <v>82500</v>
      </c>
      <c r="O58" s="219">
        <f t="shared" si="47"/>
        <v>82500</v>
      </c>
      <c r="P58" s="219">
        <v>0</v>
      </c>
      <c r="Q58" s="219">
        <f t="shared" si="48"/>
        <v>82500</v>
      </c>
    </row>
    <row r="59" spans="2:17">
      <c r="B59" s="234" t="s">
        <v>147</v>
      </c>
      <c r="C59" s="223">
        <v>6600</v>
      </c>
      <c r="D59" s="228">
        <v>12000</v>
      </c>
      <c r="E59" s="208">
        <v>2</v>
      </c>
      <c r="F59" s="219">
        <v>0</v>
      </c>
      <c r="G59" s="219">
        <f t="shared" si="42"/>
        <v>13200</v>
      </c>
      <c r="H59" s="219">
        <v>0</v>
      </c>
      <c r="I59" s="219">
        <f>C59*E59</f>
        <v>13200</v>
      </c>
      <c r="J59" s="219">
        <v>0</v>
      </c>
      <c r="K59" s="219">
        <f t="shared" si="44"/>
        <v>13200</v>
      </c>
      <c r="L59" s="219">
        <f>C59*E59</f>
        <v>13200</v>
      </c>
      <c r="M59" s="219">
        <v>0</v>
      </c>
      <c r="N59" s="219">
        <f t="shared" si="46"/>
        <v>13200</v>
      </c>
      <c r="O59" s="219">
        <v>0</v>
      </c>
      <c r="P59" s="219">
        <f>C59*E59</f>
        <v>13200</v>
      </c>
      <c r="Q59" s="219">
        <f t="shared" si="48"/>
        <v>13200</v>
      </c>
    </row>
    <row r="60" spans="2:17">
      <c r="B60" s="125" t="s">
        <v>111</v>
      </c>
      <c r="C60" s="229"/>
      <c r="D60" s="230"/>
      <c r="E60" s="231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</row>
    <row r="61" spans="2:17">
      <c r="B61" s="129" t="s">
        <v>112</v>
      </c>
      <c r="C61" s="223">
        <v>12375</v>
      </c>
      <c r="D61" s="228">
        <v>20000</v>
      </c>
      <c r="E61" s="208">
        <v>1</v>
      </c>
      <c r="F61" s="219">
        <v>20000</v>
      </c>
      <c r="G61" s="219">
        <v>0</v>
      </c>
      <c r="H61" s="219">
        <f>C61*E61</f>
        <v>12375</v>
      </c>
      <c r="I61" s="219">
        <v>0</v>
      </c>
      <c r="J61" s="219">
        <v>0</v>
      </c>
      <c r="K61" s="219">
        <f>C61*E61</f>
        <v>12375</v>
      </c>
      <c r="L61" s="219">
        <v>0</v>
      </c>
      <c r="M61" s="219">
        <v>0</v>
      </c>
      <c r="N61" s="219">
        <f>C61*E61</f>
        <v>12375</v>
      </c>
      <c r="O61" s="219">
        <v>0</v>
      </c>
      <c r="P61" s="219">
        <v>0</v>
      </c>
      <c r="Q61" s="219">
        <f>C61*E61</f>
        <v>12375</v>
      </c>
    </row>
    <row r="62" spans="2:17">
      <c r="B62" s="234" t="s">
        <v>148</v>
      </c>
      <c r="C62" s="223">
        <v>37950</v>
      </c>
      <c r="D62" s="228">
        <v>20000</v>
      </c>
      <c r="E62" s="208">
        <v>2</v>
      </c>
      <c r="F62" s="219">
        <v>20000</v>
      </c>
      <c r="G62" s="219">
        <v>0</v>
      </c>
      <c r="H62" s="219">
        <f>C62*E62</f>
        <v>75900</v>
      </c>
      <c r="I62" s="219">
        <v>0</v>
      </c>
      <c r="J62" s="219">
        <v>0</v>
      </c>
      <c r="K62" s="219">
        <f>C62*E62</f>
        <v>75900</v>
      </c>
      <c r="L62" s="219">
        <v>0</v>
      </c>
      <c r="M62" s="219">
        <v>0</v>
      </c>
      <c r="N62" s="219">
        <f>C62*E62</f>
        <v>75900</v>
      </c>
      <c r="O62" s="219">
        <v>0</v>
      </c>
      <c r="P62" s="219">
        <v>0</v>
      </c>
      <c r="Q62" s="219">
        <f>C62*E62</f>
        <v>75900</v>
      </c>
    </row>
    <row r="63" spans="2:17">
      <c r="B63" s="234" t="s">
        <v>149</v>
      </c>
      <c r="C63" s="223">
        <v>24750</v>
      </c>
      <c r="D63" s="228">
        <v>8000</v>
      </c>
      <c r="E63" s="208">
        <v>2</v>
      </c>
      <c r="F63" s="219">
        <v>0</v>
      </c>
      <c r="G63" s="219">
        <f t="shared" ref="G63:G65" si="49">C63*E63</f>
        <v>49500</v>
      </c>
      <c r="H63" s="219">
        <f t="shared" ref="H63:H64" si="50">C63*E63</f>
        <v>49500</v>
      </c>
      <c r="I63" s="219">
        <f t="shared" ref="I63:I65" si="51">C63*E63</f>
        <v>49500</v>
      </c>
      <c r="J63" s="219">
        <f t="shared" ref="J63:J64" si="52">C63*E63</f>
        <v>49500</v>
      </c>
      <c r="K63" s="219">
        <f t="shared" ref="K63:K65" si="53">C63*E63</f>
        <v>49500</v>
      </c>
      <c r="L63" s="219">
        <f t="shared" ref="L63:L65" si="54">C63*E63</f>
        <v>49500</v>
      </c>
      <c r="M63" s="219">
        <f t="shared" ref="M63:M64" si="55">C63*E63</f>
        <v>49500</v>
      </c>
      <c r="N63" s="219">
        <v>0</v>
      </c>
      <c r="O63" s="219">
        <f t="shared" ref="O63:O64" si="56">C63*E63</f>
        <v>49500</v>
      </c>
      <c r="P63" s="219">
        <f t="shared" ref="P63:P65" si="57">C63*E63</f>
        <v>49500</v>
      </c>
      <c r="Q63" s="219">
        <f t="shared" ref="Q63:Q65" si="58">C63*E63</f>
        <v>49500</v>
      </c>
    </row>
    <row r="64" spans="2:17">
      <c r="B64" s="234" t="s">
        <v>150</v>
      </c>
      <c r="C64" s="223">
        <v>41250</v>
      </c>
      <c r="D64" s="228">
        <v>8000</v>
      </c>
      <c r="E64" s="208">
        <v>2</v>
      </c>
      <c r="F64" s="219">
        <v>0</v>
      </c>
      <c r="G64" s="219">
        <f t="shared" si="49"/>
        <v>82500</v>
      </c>
      <c r="H64" s="219">
        <f t="shared" si="50"/>
        <v>82500</v>
      </c>
      <c r="I64" s="219">
        <f t="shared" si="51"/>
        <v>82500</v>
      </c>
      <c r="J64" s="219">
        <f t="shared" si="52"/>
        <v>82500</v>
      </c>
      <c r="K64" s="219">
        <f t="shared" si="53"/>
        <v>82500</v>
      </c>
      <c r="L64" s="219">
        <f t="shared" si="54"/>
        <v>82500</v>
      </c>
      <c r="M64" s="219">
        <f t="shared" si="55"/>
        <v>82500</v>
      </c>
      <c r="N64" s="219">
        <v>0</v>
      </c>
      <c r="O64" s="219">
        <f t="shared" si="56"/>
        <v>82500</v>
      </c>
      <c r="P64" s="219">
        <f t="shared" si="57"/>
        <v>82500</v>
      </c>
      <c r="Q64" s="219">
        <f t="shared" si="58"/>
        <v>82500</v>
      </c>
    </row>
    <row r="65" spans="2:17">
      <c r="B65" s="234" t="s">
        <v>151</v>
      </c>
      <c r="C65" s="223">
        <v>6600</v>
      </c>
      <c r="D65" s="228">
        <v>12000</v>
      </c>
      <c r="E65" s="208">
        <v>1</v>
      </c>
      <c r="F65" s="219">
        <v>0</v>
      </c>
      <c r="G65" s="219">
        <f t="shared" si="49"/>
        <v>6600</v>
      </c>
      <c r="H65" s="219">
        <v>0</v>
      </c>
      <c r="I65" s="219">
        <f t="shared" si="51"/>
        <v>6600</v>
      </c>
      <c r="J65" s="219">
        <v>0</v>
      </c>
      <c r="K65" s="219">
        <f t="shared" si="53"/>
        <v>6600</v>
      </c>
      <c r="L65" s="219">
        <f t="shared" si="54"/>
        <v>6600</v>
      </c>
      <c r="M65" s="219">
        <v>0</v>
      </c>
      <c r="N65" s="219">
        <f>C65*E65</f>
        <v>6600</v>
      </c>
      <c r="O65" s="219">
        <v>0</v>
      </c>
      <c r="P65" s="219">
        <f t="shared" si="57"/>
        <v>6600</v>
      </c>
      <c r="Q65" s="219">
        <f t="shared" si="58"/>
        <v>6600</v>
      </c>
    </row>
    <row r="66" spans="2:17">
      <c r="B66" s="125" t="s">
        <v>115</v>
      </c>
      <c r="C66" s="229"/>
      <c r="D66" s="230"/>
      <c r="E66" s="231"/>
      <c r="F66" s="230"/>
      <c r="G66" s="230"/>
      <c r="H66" s="230"/>
      <c r="I66" s="230"/>
      <c r="J66" s="230"/>
      <c r="K66" s="230"/>
      <c r="L66" s="230"/>
      <c r="M66" s="230"/>
      <c r="N66" s="230"/>
      <c r="O66" s="230"/>
      <c r="P66" s="230"/>
      <c r="Q66" s="230"/>
    </row>
    <row r="67" spans="2:17">
      <c r="B67" s="234" t="s">
        <v>152</v>
      </c>
      <c r="C67" s="223">
        <v>12375</v>
      </c>
      <c r="D67" s="228">
        <v>12000</v>
      </c>
      <c r="E67" s="208">
        <v>1</v>
      </c>
      <c r="F67" s="219">
        <v>0</v>
      </c>
      <c r="G67" s="219">
        <f>C67*E67</f>
        <v>12375</v>
      </c>
      <c r="H67" s="219">
        <v>0</v>
      </c>
      <c r="I67" s="219">
        <f>C67*E67</f>
        <v>12375</v>
      </c>
      <c r="J67" s="219">
        <v>0</v>
      </c>
      <c r="K67" s="219">
        <f>C67*E67</f>
        <v>12375</v>
      </c>
      <c r="L67" s="219">
        <f>C67*E67</f>
        <v>12375</v>
      </c>
      <c r="M67" s="219">
        <v>0</v>
      </c>
      <c r="N67" s="219">
        <f>C67*E67</f>
        <v>12375</v>
      </c>
      <c r="O67" s="219">
        <v>0</v>
      </c>
      <c r="P67" s="219">
        <f>C67*E67</f>
        <v>12375</v>
      </c>
      <c r="Q67" s="219">
        <f>C67*E67</f>
        <v>12375</v>
      </c>
    </row>
    <row r="68" spans="2:17">
      <c r="B68" s="234" t="s">
        <v>153</v>
      </c>
      <c r="C68" s="223">
        <v>37950</v>
      </c>
      <c r="D68" s="228">
        <v>8000</v>
      </c>
      <c r="E68" s="208">
        <v>1</v>
      </c>
      <c r="F68" s="219">
        <v>0</v>
      </c>
      <c r="G68" s="219">
        <f t="shared" ref="G68:G70" si="59">C68*E68</f>
        <v>37950</v>
      </c>
      <c r="H68" s="219">
        <f t="shared" ref="H68" si="60">C68*E68</f>
        <v>37950</v>
      </c>
      <c r="I68" s="219">
        <f t="shared" ref="I68:I70" si="61">C68*E68</f>
        <v>37950</v>
      </c>
      <c r="J68" s="219">
        <f t="shared" ref="J68" si="62">C68*E68</f>
        <v>37950</v>
      </c>
      <c r="K68" s="219">
        <f t="shared" ref="K68:K69" si="63">C68*E68</f>
        <v>37950</v>
      </c>
      <c r="L68" s="219">
        <f t="shared" ref="L68:L70" si="64">C68*E68</f>
        <v>37950</v>
      </c>
      <c r="M68" s="219">
        <f t="shared" ref="M68" si="65">C68*E68</f>
        <v>37950</v>
      </c>
      <c r="N68" s="219">
        <v>0</v>
      </c>
      <c r="O68" s="219">
        <f t="shared" ref="O68" si="66">C68*E68</f>
        <v>37950</v>
      </c>
      <c r="P68" s="219">
        <f t="shared" ref="P68:P70" si="67">C68*E68</f>
        <v>37950</v>
      </c>
      <c r="Q68" s="219">
        <f t="shared" ref="Q68:Q70" si="68">C68*E68</f>
        <v>37950</v>
      </c>
    </row>
    <row r="69" spans="2:17">
      <c r="B69" s="234" t="s">
        <v>154</v>
      </c>
      <c r="C69" s="223">
        <v>2475</v>
      </c>
      <c r="D69" s="228">
        <v>12000</v>
      </c>
      <c r="E69" s="208">
        <v>1</v>
      </c>
      <c r="F69" s="219">
        <v>0</v>
      </c>
      <c r="G69" s="219">
        <f t="shared" si="59"/>
        <v>2475</v>
      </c>
      <c r="H69" s="219">
        <v>0</v>
      </c>
      <c r="I69" s="219">
        <f t="shared" si="61"/>
        <v>2475</v>
      </c>
      <c r="J69" s="219">
        <v>0</v>
      </c>
      <c r="K69" s="219">
        <f t="shared" si="63"/>
        <v>2475</v>
      </c>
      <c r="L69" s="219">
        <f t="shared" si="64"/>
        <v>2475</v>
      </c>
      <c r="M69" s="219">
        <v>0</v>
      </c>
      <c r="N69" s="219">
        <f>C69*E69</f>
        <v>2475</v>
      </c>
      <c r="O69" s="219">
        <v>0</v>
      </c>
      <c r="P69" s="219">
        <f t="shared" si="67"/>
        <v>2475</v>
      </c>
      <c r="Q69" s="219">
        <f t="shared" si="68"/>
        <v>2475</v>
      </c>
    </row>
    <row r="70" spans="2:17">
      <c r="B70" s="234" t="s">
        <v>155</v>
      </c>
      <c r="C70" s="223">
        <v>4125</v>
      </c>
      <c r="D70" s="228">
        <v>6000</v>
      </c>
      <c r="E70" s="208">
        <v>1</v>
      </c>
      <c r="F70" s="219">
        <f>C70*E70</f>
        <v>4125</v>
      </c>
      <c r="G70" s="219">
        <f t="shared" si="59"/>
        <v>4125</v>
      </c>
      <c r="H70" s="219">
        <f t="shared" ref="H70" si="69">C70*E70</f>
        <v>4125</v>
      </c>
      <c r="I70" s="219">
        <f t="shared" si="61"/>
        <v>4125</v>
      </c>
      <c r="J70" s="219">
        <f t="shared" ref="J70:J71" si="70">C70*E70</f>
        <v>4125</v>
      </c>
      <c r="K70" s="219">
        <f>2*C70*E70</f>
        <v>8250</v>
      </c>
      <c r="L70" s="219">
        <f t="shared" si="64"/>
        <v>4125</v>
      </c>
      <c r="M70" s="219">
        <f t="shared" ref="M70" si="71">C70*E70</f>
        <v>4125</v>
      </c>
      <c r="N70" s="219">
        <f>C70*E70</f>
        <v>4125</v>
      </c>
      <c r="O70" s="219">
        <f t="shared" ref="O70" si="72">C70*E70</f>
        <v>4125</v>
      </c>
      <c r="P70" s="219">
        <f t="shared" si="67"/>
        <v>4125</v>
      </c>
      <c r="Q70" s="219">
        <f t="shared" si="68"/>
        <v>4125</v>
      </c>
    </row>
    <row r="71" spans="2:17">
      <c r="B71" s="234" t="s">
        <v>156</v>
      </c>
      <c r="C71" s="223">
        <v>6600</v>
      </c>
      <c r="D71" s="228">
        <v>4000</v>
      </c>
      <c r="E71" s="208">
        <v>1</v>
      </c>
      <c r="F71" s="219">
        <f>C71*E71</f>
        <v>6600</v>
      </c>
      <c r="G71" s="219">
        <f>2*C71*E71</f>
        <v>13200</v>
      </c>
      <c r="H71" s="219">
        <f>2*C71*E71</f>
        <v>13200</v>
      </c>
      <c r="I71" s="219">
        <f>2*C71*E71</f>
        <v>13200</v>
      </c>
      <c r="J71" s="219">
        <f t="shared" si="70"/>
        <v>6600</v>
      </c>
      <c r="K71" s="219">
        <f>2*C71*E71</f>
        <v>13200</v>
      </c>
      <c r="L71" s="219">
        <f>2*C71*E71</f>
        <v>13200</v>
      </c>
      <c r="M71" s="219">
        <f>2*C71*E71</f>
        <v>13200</v>
      </c>
      <c r="N71" s="219">
        <f>C71*E71</f>
        <v>6600</v>
      </c>
      <c r="O71" s="219">
        <f>2*C71*E71</f>
        <v>13200</v>
      </c>
      <c r="P71" s="219">
        <f>2*C71*E71</f>
        <v>13200</v>
      </c>
      <c r="Q71" s="219">
        <f>2*C71*E71</f>
        <v>13200</v>
      </c>
    </row>
    <row r="72" spans="2:17">
      <c r="B72" s="131" t="s">
        <v>114</v>
      </c>
      <c r="C72" s="229"/>
      <c r="D72" s="230"/>
      <c r="E72" s="231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0"/>
      <c r="Q72" s="230"/>
    </row>
    <row r="73" spans="2:17">
      <c r="B73" s="234" t="s">
        <v>157</v>
      </c>
      <c r="C73" s="223">
        <v>12375</v>
      </c>
      <c r="D73" s="228">
        <v>12000</v>
      </c>
      <c r="E73" s="208">
        <v>1</v>
      </c>
      <c r="F73" s="219">
        <v>0</v>
      </c>
      <c r="G73" s="219">
        <f>C73*E73</f>
        <v>12375</v>
      </c>
      <c r="H73" s="219">
        <v>0</v>
      </c>
      <c r="I73" s="219">
        <f>C73*E73</f>
        <v>12375</v>
      </c>
      <c r="J73" s="219">
        <v>0</v>
      </c>
      <c r="K73" s="219">
        <f>C73*E73</f>
        <v>12375</v>
      </c>
      <c r="L73" s="219">
        <f>C73*E73</f>
        <v>12375</v>
      </c>
      <c r="M73" s="219">
        <v>0</v>
      </c>
      <c r="N73" s="219">
        <f>C73*E73</f>
        <v>12375</v>
      </c>
      <c r="O73" s="219">
        <v>0</v>
      </c>
      <c r="P73" s="219">
        <f>C73*E73</f>
        <v>12375</v>
      </c>
      <c r="Q73" s="219">
        <f>C73*E73</f>
        <v>12375</v>
      </c>
    </row>
    <row r="74" spans="2:17">
      <c r="B74" s="234" t="s">
        <v>158</v>
      </c>
      <c r="C74" s="223">
        <v>3795</v>
      </c>
      <c r="D74" s="228">
        <v>8000</v>
      </c>
      <c r="E74" s="208">
        <v>1</v>
      </c>
      <c r="F74" s="219">
        <v>0</v>
      </c>
      <c r="G74" s="219">
        <f t="shared" ref="G74:G75" si="73">C74*E74</f>
        <v>3795</v>
      </c>
      <c r="H74" s="219">
        <f t="shared" ref="H74:H75" si="74">C74*E74</f>
        <v>3795</v>
      </c>
      <c r="I74" s="219">
        <f t="shared" ref="I74:I75" si="75">C74*E74</f>
        <v>3795</v>
      </c>
      <c r="J74" s="219">
        <f t="shared" ref="J74:J75" si="76">C74*E74</f>
        <v>3795</v>
      </c>
      <c r="K74" s="219">
        <f t="shared" ref="K74:K75" si="77">C74*E74</f>
        <v>3795</v>
      </c>
      <c r="L74" s="219">
        <f t="shared" ref="L74:L75" si="78">C74*E74</f>
        <v>3795</v>
      </c>
      <c r="M74" s="219">
        <f t="shared" ref="M74:M75" si="79">C74*E74</f>
        <v>3795</v>
      </c>
      <c r="N74" s="219">
        <v>0</v>
      </c>
      <c r="O74" s="219">
        <f t="shared" ref="O74:O75" si="80">C74*E74</f>
        <v>3795</v>
      </c>
      <c r="P74" s="219">
        <f t="shared" ref="P74:P75" si="81">C74*E74</f>
        <v>3795</v>
      </c>
      <c r="Q74" s="219">
        <f t="shared" ref="Q74:Q75" si="82">C74*E74</f>
        <v>3795</v>
      </c>
    </row>
    <row r="75" spans="2:17">
      <c r="B75" s="234" t="s">
        <v>159</v>
      </c>
      <c r="C75" s="223">
        <v>2475</v>
      </c>
      <c r="D75" s="228">
        <v>8000</v>
      </c>
      <c r="E75" s="208">
        <v>1</v>
      </c>
      <c r="F75" s="219">
        <v>0</v>
      </c>
      <c r="G75" s="219">
        <f t="shared" si="73"/>
        <v>2475</v>
      </c>
      <c r="H75" s="219">
        <f t="shared" si="74"/>
        <v>2475</v>
      </c>
      <c r="I75" s="219">
        <f t="shared" si="75"/>
        <v>2475</v>
      </c>
      <c r="J75" s="219">
        <f t="shared" si="76"/>
        <v>2475</v>
      </c>
      <c r="K75" s="219">
        <f t="shared" si="77"/>
        <v>2475</v>
      </c>
      <c r="L75" s="219">
        <f t="shared" si="78"/>
        <v>2475</v>
      </c>
      <c r="M75" s="219">
        <f t="shared" si="79"/>
        <v>2475</v>
      </c>
      <c r="N75" s="219">
        <v>0</v>
      </c>
      <c r="O75" s="219">
        <f t="shared" si="80"/>
        <v>2475</v>
      </c>
      <c r="P75" s="219">
        <f t="shared" si="81"/>
        <v>2475</v>
      </c>
      <c r="Q75" s="219">
        <f t="shared" si="82"/>
        <v>2475</v>
      </c>
    </row>
    <row r="76" spans="2:17">
      <c r="B76" s="234" t="s">
        <v>160</v>
      </c>
      <c r="C76" s="223">
        <v>4125</v>
      </c>
      <c r="D76" s="228">
        <v>1500</v>
      </c>
      <c r="E76" s="208">
        <v>1</v>
      </c>
      <c r="F76" s="219">
        <f>4*C76*E76</f>
        <v>16500</v>
      </c>
      <c r="G76" s="219">
        <f>5*C76*E76</f>
        <v>20625</v>
      </c>
      <c r="H76" s="219">
        <f>5*C76*E76</f>
        <v>20625</v>
      </c>
      <c r="I76" s="219">
        <f>4*C76*E76</f>
        <v>16500</v>
      </c>
      <c r="J76" s="219">
        <f>5*C76*E76</f>
        <v>20625</v>
      </c>
      <c r="K76" s="219">
        <f>5*C76*E76</f>
        <v>20625</v>
      </c>
      <c r="L76" s="219">
        <f>4*C76*E76</f>
        <v>16500</v>
      </c>
      <c r="M76" s="219">
        <f>5*C76*E76</f>
        <v>20625</v>
      </c>
      <c r="N76" s="219">
        <f>5*C76*E76</f>
        <v>20625</v>
      </c>
      <c r="O76" s="219">
        <f>4*C76*E76</f>
        <v>16500</v>
      </c>
      <c r="P76" s="219">
        <f>5*C76*E76</f>
        <v>20625</v>
      </c>
      <c r="Q76" s="219">
        <f>5*C76*E76</f>
        <v>20625</v>
      </c>
    </row>
    <row r="77" spans="2:17">
      <c r="B77" s="234" t="s">
        <v>161</v>
      </c>
      <c r="C77" s="223">
        <v>660</v>
      </c>
      <c r="D77" s="228">
        <v>1000</v>
      </c>
      <c r="E77" s="208">
        <v>1</v>
      </c>
      <c r="F77" s="219">
        <f>7*C77*E77</f>
        <v>4620</v>
      </c>
      <c r="G77" s="219">
        <f>F77</f>
        <v>4620</v>
      </c>
      <c r="H77" s="219">
        <f t="shared" ref="H77:Q77" si="83">G77</f>
        <v>4620</v>
      </c>
      <c r="I77" s="219">
        <f t="shared" si="83"/>
        <v>4620</v>
      </c>
      <c r="J77" s="219">
        <f t="shared" si="83"/>
        <v>4620</v>
      </c>
      <c r="K77" s="219">
        <f t="shared" si="83"/>
        <v>4620</v>
      </c>
      <c r="L77" s="219">
        <f t="shared" si="83"/>
        <v>4620</v>
      </c>
      <c r="M77" s="219">
        <f t="shared" si="83"/>
        <v>4620</v>
      </c>
      <c r="N77" s="219">
        <f t="shared" si="83"/>
        <v>4620</v>
      </c>
      <c r="O77" s="219">
        <f t="shared" si="83"/>
        <v>4620</v>
      </c>
      <c r="P77" s="219">
        <f t="shared" si="83"/>
        <v>4620</v>
      </c>
      <c r="Q77" s="219">
        <f t="shared" si="83"/>
        <v>4620</v>
      </c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9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станок'!Print_Area</vt:lpstr>
      <vt:lpstr>'Данные_Буровой станок'!Print_Titles</vt:lpstr>
      <vt:lpstr>Ремонты!Print_Titles</vt:lpstr>
      <vt:lpstr>ТО!Print_Titles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胡旭东</cp:lastModifiedBy>
  <cp:lastPrinted>2021-11-26T15:02:37Z</cp:lastPrinted>
  <dcterms:created xsi:type="dcterms:W3CDTF">2015-08-04T10:07:23Z</dcterms:created>
  <dcterms:modified xsi:type="dcterms:W3CDTF">2026-07-23T02:33:20Z</dcterms:modified>
</cp:coreProperties>
</file>